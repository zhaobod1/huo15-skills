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0025590\Desktop\AI表单\"/>
    </mc:Choice>
  </mc:AlternateContent>
  <xr:revisionPtr revIDLastSave="0" documentId="13_ncr:1_{87C0AE52-9D43-4884-98EC-893850C91CE0}" xr6:coauthVersionLast="47" xr6:coauthVersionMax="47" xr10:uidLastSave="{00000000-0000-0000-0000-000000000000}"/>
  <bookViews>
    <workbookView xWindow="-110" yWindow="-110" windowWidth="19420" windowHeight="11620" tabRatio="395" xr2:uid="{00000000-000D-0000-FFFF-FFFF00000000}"/>
  </bookViews>
  <sheets>
    <sheet name="DIP计划" sheetId="73" r:id="rId1"/>
    <sheet name="配料明细" sheetId="71" r:id="rId2"/>
    <sheet name="返工工单" sheetId="6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DIP计划!$A$2:$XEY$119</definedName>
    <definedName name="_xlnm._FilterDatabase" localSheetId="2" hidden="1">返工工单!$A$1:$K$1338</definedName>
    <definedName name="_xlnm._FilterDatabase" localSheetId="1" hidden="1">配料明细!$A$1:$K$1300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5" i="73" l="1"/>
  <c r="O115" i="73"/>
  <c r="H876" i="71"/>
  <c r="H877" i="71"/>
  <c r="H878" i="71"/>
  <c r="H879" i="71"/>
  <c r="H880" i="71"/>
  <c r="H881" i="71"/>
  <c r="H882" i="71"/>
  <c r="H883" i="71"/>
  <c r="H884" i="71"/>
  <c r="H885" i="71"/>
  <c r="H886" i="71"/>
  <c r="H887" i="71"/>
  <c r="H888" i="71"/>
  <c r="H889" i="71"/>
  <c r="H890" i="71"/>
  <c r="H891" i="71"/>
  <c r="H892" i="71"/>
  <c r="H893" i="71"/>
  <c r="H894" i="71"/>
  <c r="H895" i="71"/>
  <c r="H896" i="71"/>
  <c r="H897" i="71"/>
  <c r="H898" i="71"/>
  <c r="H899" i="71"/>
  <c r="H900" i="71"/>
  <c r="H901" i="71"/>
  <c r="H902" i="71"/>
  <c r="H903" i="71"/>
  <c r="H904" i="71"/>
  <c r="H905" i="71"/>
  <c r="H906" i="71"/>
  <c r="H907" i="71"/>
  <c r="H908" i="71"/>
  <c r="H909" i="71"/>
  <c r="H910" i="71"/>
  <c r="H911" i="71"/>
  <c r="H912" i="71"/>
  <c r="H913" i="71"/>
  <c r="H914" i="71"/>
  <c r="H915" i="71"/>
  <c r="H916" i="71"/>
  <c r="H917" i="71"/>
  <c r="H918" i="71"/>
  <c r="H919" i="71"/>
  <c r="H920" i="71"/>
  <c r="H921" i="71"/>
  <c r="H922" i="71"/>
  <c r="H923" i="71"/>
  <c r="H924" i="71"/>
  <c r="H925" i="71"/>
  <c r="H926" i="71"/>
  <c r="H927" i="71"/>
  <c r="H928" i="71"/>
  <c r="H929" i="71"/>
  <c r="H930" i="71"/>
  <c r="H931" i="71"/>
  <c r="H932" i="71"/>
  <c r="H933" i="71"/>
  <c r="H934" i="71"/>
  <c r="H935" i="71"/>
  <c r="H936" i="71"/>
  <c r="H937" i="71"/>
  <c r="H938" i="71"/>
  <c r="H939" i="71"/>
  <c r="H940" i="71"/>
  <c r="H941" i="71"/>
  <c r="H942" i="71"/>
  <c r="H943" i="71"/>
  <c r="H944" i="71"/>
  <c r="H945" i="71"/>
  <c r="H946" i="71"/>
  <c r="H947" i="71"/>
  <c r="H948" i="71"/>
  <c r="H949" i="71"/>
  <c r="H950" i="71"/>
  <c r="H951" i="71"/>
  <c r="H952" i="71"/>
  <c r="H953" i="71"/>
  <c r="H954" i="71"/>
  <c r="H955" i="71"/>
  <c r="H956" i="71"/>
  <c r="H957" i="71"/>
  <c r="H958" i="71"/>
  <c r="H959" i="71"/>
  <c r="H960" i="71"/>
  <c r="H961" i="71"/>
  <c r="H962" i="71"/>
  <c r="H963" i="71"/>
  <c r="H964" i="71"/>
  <c r="H965" i="71"/>
  <c r="H966" i="71"/>
  <c r="H967" i="71"/>
  <c r="H968" i="71"/>
  <c r="H969" i="71"/>
  <c r="H970" i="71"/>
  <c r="H971" i="71"/>
  <c r="H972" i="71"/>
  <c r="H973" i="71"/>
  <c r="H974" i="71"/>
  <c r="H975" i="71"/>
  <c r="H976" i="71"/>
  <c r="H977" i="71"/>
  <c r="H978" i="71"/>
  <c r="H979" i="71"/>
  <c r="H980" i="71"/>
  <c r="H981" i="71"/>
  <c r="H982" i="71"/>
  <c r="H983" i="71"/>
  <c r="H984" i="71"/>
  <c r="H985" i="71"/>
  <c r="H986" i="71"/>
  <c r="H987" i="71"/>
  <c r="H988" i="71"/>
  <c r="H989" i="71"/>
  <c r="H990" i="71"/>
  <c r="H991" i="71"/>
  <c r="H992" i="71"/>
  <c r="H993" i="71"/>
  <c r="H994" i="71"/>
  <c r="H995" i="71"/>
  <c r="H996" i="71"/>
  <c r="H997" i="71"/>
  <c r="H998" i="71"/>
  <c r="H999" i="71"/>
  <c r="H1000" i="71"/>
  <c r="H1001" i="71"/>
  <c r="H1002" i="71"/>
  <c r="H1003" i="71"/>
  <c r="H1004" i="71"/>
  <c r="H1005" i="71"/>
  <c r="H1006" i="71"/>
  <c r="H1007" i="71"/>
  <c r="H1008" i="71"/>
  <c r="H1009" i="71"/>
  <c r="H1010" i="71"/>
  <c r="H1011" i="71"/>
  <c r="H1012" i="71"/>
  <c r="H1013" i="71"/>
  <c r="H1014" i="71"/>
  <c r="H1015" i="71"/>
  <c r="H1016" i="71"/>
  <c r="H1017" i="71"/>
  <c r="H1018" i="71"/>
  <c r="H1019" i="71"/>
  <c r="H1020" i="71"/>
  <c r="H1021" i="71"/>
  <c r="H1022" i="71"/>
  <c r="H1023" i="71"/>
  <c r="H1024" i="71"/>
  <c r="H1025" i="71"/>
  <c r="H1026" i="71"/>
  <c r="H1027" i="71"/>
  <c r="H1028" i="71"/>
  <c r="H1029" i="71"/>
  <c r="H1030" i="71"/>
  <c r="H1031" i="71"/>
  <c r="H1032" i="71"/>
  <c r="H1033" i="71"/>
  <c r="H1034" i="71"/>
  <c r="H1035" i="71"/>
  <c r="H1036" i="71"/>
  <c r="H1037" i="71"/>
  <c r="H1038" i="71"/>
  <c r="H1039" i="71"/>
  <c r="H1040" i="71"/>
  <c r="H1041" i="71"/>
  <c r="H1042" i="71"/>
  <c r="H1043" i="71"/>
  <c r="H1044" i="71"/>
  <c r="H1045" i="71"/>
  <c r="H1046" i="71"/>
  <c r="H1047" i="71"/>
  <c r="H1048" i="71"/>
  <c r="H1049" i="71"/>
  <c r="H1050" i="71"/>
  <c r="H1051" i="71"/>
  <c r="H1052" i="71"/>
  <c r="H1053" i="71"/>
  <c r="H1054" i="71"/>
  <c r="H1055" i="71"/>
  <c r="H1056" i="71"/>
  <c r="H1057" i="71"/>
  <c r="H1058" i="71"/>
  <c r="H1059" i="71"/>
  <c r="H1060" i="71"/>
  <c r="H1061" i="71"/>
  <c r="H1062" i="71"/>
  <c r="H1063" i="71"/>
  <c r="H1064" i="71"/>
  <c r="H1065" i="71"/>
  <c r="H1066" i="71"/>
  <c r="H1067" i="71"/>
  <c r="H1068" i="71"/>
  <c r="H1069" i="71"/>
  <c r="H1070" i="71"/>
  <c r="H1071" i="71"/>
  <c r="H1072" i="71"/>
  <c r="H1073" i="71"/>
  <c r="H1074" i="71"/>
  <c r="H1075" i="71"/>
  <c r="H1076" i="71"/>
  <c r="H1077" i="71"/>
  <c r="H1078" i="71"/>
  <c r="H1079" i="71"/>
  <c r="H1080" i="71"/>
  <c r="H1081" i="71"/>
  <c r="H1082" i="71"/>
  <c r="H1083" i="71"/>
  <c r="H1084" i="71"/>
  <c r="H1085" i="71"/>
  <c r="H1086" i="71"/>
  <c r="H1087" i="71"/>
  <c r="H1088" i="71"/>
  <c r="H1089" i="71"/>
  <c r="H1090" i="71"/>
  <c r="H1091" i="71"/>
  <c r="H1092" i="71"/>
  <c r="H1093" i="71"/>
  <c r="H1094" i="71"/>
  <c r="H1095" i="71"/>
  <c r="H1096" i="71"/>
  <c r="H1097" i="71"/>
  <c r="H1098" i="71"/>
  <c r="H1099" i="71"/>
  <c r="H1100" i="71"/>
  <c r="H1101" i="71"/>
  <c r="H1102" i="71"/>
  <c r="H1103" i="71"/>
  <c r="H1104" i="71"/>
  <c r="H1105" i="71"/>
  <c r="H1106" i="71"/>
  <c r="H1107" i="71"/>
  <c r="H1108" i="71"/>
  <c r="H1109" i="71"/>
  <c r="H1110" i="71"/>
  <c r="H1111" i="71"/>
  <c r="H1112" i="71"/>
  <c r="H1113" i="71"/>
  <c r="H1114" i="71"/>
  <c r="H1115" i="71"/>
  <c r="H1116" i="71"/>
  <c r="H1117" i="71"/>
  <c r="H1118" i="71"/>
  <c r="H1119" i="71"/>
  <c r="H1120" i="71"/>
  <c r="H1121" i="71"/>
  <c r="H1122" i="71"/>
  <c r="H1123" i="71"/>
  <c r="H1124" i="71"/>
  <c r="H1125" i="71"/>
  <c r="H1126" i="71"/>
  <c r="H1127" i="71"/>
  <c r="H1128" i="71"/>
  <c r="H1129" i="71"/>
  <c r="H1130" i="71"/>
  <c r="H1131" i="71"/>
  <c r="H1132" i="71"/>
  <c r="H1133" i="71"/>
  <c r="H1134" i="71"/>
  <c r="H1135" i="71"/>
  <c r="H1136" i="71"/>
  <c r="H1137" i="71"/>
  <c r="H1138" i="71"/>
  <c r="H1139" i="71"/>
  <c r="H1140" i="71"/>
  <c r="H1141" i="71"/>
  <c r="H1142" i="71"/>
  <c r="H1143" i="71"/>
  <c r="H1144" i="71"/>
  <c r="H1145" i="71"/>
  <c r="H1146" i="71"/>
  <c r="H1147" i="71"/>
  <c r="H1148" i="71"/>
  <c r="H1149" i="71"/>
  <c r="H1150" i="71"/>
  <c r="H1151" i="71"/>
  <c r="H1152" i="71"/>
  <c r="H1153" i="71"/>
  <c r="H1154" i="71"/>
  <c r="H1155" i="71"/>
  <c r="H1156" i="71"/>
  <c r="H1157" i="71"/>
  <c r="H1158" i="71"/>
  <c r="H1159" i="71"/>
  <c r="H1160" i="71"/>
  <c r="H1161" i="71"/>
  <c r="H1162" i="71"/>
  <c r="H1163" i="71"/>
  <c r="H1164" i="71"/>
  <c r="H1165" i="71"/>
  <c r="H1166" i="71"/>
  <c r="H1167" i="71"/>
  <c r="H1168" i="71"/>
  <c r="H1169" i="71"/>
  <c r="H1170" i="71"/>
  <c r="H1171" i="71"/>
  <c r="H1172" i="71"/>
  <c r="H1173" i="71"/>
  <c r="H1174" i="71"/>
  <c r="H1175" i="71"/>
  <c r="H1176" i="71"/>
  <c r="H1177" i="71"/>
  <c r="H1178" i="71"/>
  <c r="H1179" i="71"/>
  <c r="H1180" i="71"/>
  <c r="H1181" i="71"/>
  <c r="H1182" i="71"/>
  <c r="H1183" i="71"/>
  <c r="H1184" i="71"/>
  <c r="H1185" i="71"/>
  <c r="H1186" i="71"/>
  <c r="H1187" i="71"/>
  <c r="H1188" i="71"/>
  <c r="H1189" i="71"/>
  <c r="H1190" i="71"/>
  <c r="H1191" i="71"/>
  <c r="H1192" i="71"/>
  <c r="H1193" i="71"/>
  <c r="H1194" i="71"/>
  <c r="H1195" i="71"/>
  <c r="H1196" i="71"/>
  <c r="H1197" i="71"/>
  <c r="H1198" i="71"/>
  <c r="H1199" i="71"/>
  <c r="H1200" i="71"/>
  <c r="H1201" i="71"/>
  <c r="H1202" i="71"/>
  <c r="H1203" i="71"/>
  <c r="H1204" i="71"/>
  <c r="H1205" i="71"/>
  <c r="H1206" i="71"/>
  <c r="H1207" i="71"/>
  <c r="H1208" i="71"/>
  <c r="H1209" i="71"/>
  <c r="H1210" i="71"/>
  <c r="H1211" i="71"/>
  <c r="H1212" i="71"/>
  <c r="H1213" i="71"/>
  <c r="H1214" i="71"/>
  <c r="H1215" i="71"/>
  <c r="H1216" i="71"/>
  <c r="H1217" i="71"/>
  <c r="H1218" i="71"/>
  <c r="H1219" i="71"/>
  <c r="H1220" i="71"/>
  <c r="H1221" i="71"/>
  <c r="H1222" i="71"/>
  <c r="H1223" i="71"/>
  <c r="H1224" i="71"/>
  <c r="H1225" i="71"/>
  <c r="H1226" i="71"/>
  <c r="H1227" i="71"/>
  <c r="H1228" i="71"/>
  <c r="H1229" i="71"/>
  <c r="H1230" i="71"/>
  <c r="H1231" i="71"/>
  <c r="H1232" i="71"/>
  <c r="H1233" i="71"/>
  <c r="H1234" i="71"/>
  <c r="H1235" i="71"/>
  <c r="H1236" i="71"/>
  <c r="H1237" i="71"/>
  <c r="H1238" i="71"/>
  <c r="H1239" i="71"/>
  <c r="H1240" i="71"/>
  <c r="H1241" i="71"/>
  <c r="H1242" i="71"/>
  <c r="H1243" i="71"/>
  <c r="H1244" i="71"/>
  <c r="H1245" i="71"/>
  <c r="H1246" i="71"/>
  <c r="H1247" i="71"/>
  <c r="H1248" i="71"/>
  <c r="H1249" i="71"/>
  <c r="H1250" i="71"/>
  <c r="H1251" i="71"/>
  <c r="H1252" i="71"/>
  <c r="H1253" i="71"/>
  <c r="H1254" i="71"/>
  <c r="H1255" i="71"/>
  <c r="H1256" i="71"/>
  <c r="H1257" i="71"/>
  <c r="H1258" i="71"/>
  <c r="H1259" i="71"/>
  <c r="H1260" i="71"/>
  <c r="H1261" i="71"/>
  <c r="H1262" i="71"/>
  <c r="H1263" i="71"/>
  <c r="H1264" i="71"/>
  <c r="H1265" i="71"/>
  <c r="H1266" i="71"/>
  <c r="H1267" i="71"/>
  <c r="H1268" i="71"/>
  <c r="H1269" i="71"/>
  <c r="H1270" i="71"/>
  <c r="H1271" i="71"/>
  <c r="H1272" i="71"/>
  <c r="H1273" i="71"/>
  <c r="H1274" i="71"/>
  <c r="H1275" i="71"/>
  <c r="H1276" i="71"/>
  <c r="H1277" i="71"/>
  <c r="H1278" i="71"/>
  <c r="H1279" i="71"/>
  <c r="H1280" i="71"/>
  <c r="H1281" i="71"/>
  <c r="H1282" i="71"/>
  <c r="H1283" i="71"/>
  <c r="H1284" i="71"/>
  <c r="H1285" i="71"/>
  <c r="H1286" i="71"/>
  <c r="H1287" i="71"/>
  <c r="H1288" i="71"/>
  <c r="H1289" i="71"/>
  <c r="H1290" i="71"/>
  <c r="H1291" i="71"/>
  <c r="H1292" i="71"/>
  <c r="H1293" i="71"/>
  <c r="H1294" i="71"/>
  <c r="H1295" i="71"/>
  <c r="H1296" i="71"/>
  <c r="H1297" i="71"/>
  <c r="H1298" i="71"/>
  <c r="H1299" i="71"/>
  <c r="H1300" i="71"/>
  <c r="L110" i="73" l="1"/>
  <c r="J116" i="73" a="1"/>
  <c r="J116" i="73" s="1"/>
  <c r="J108" i="73" a="1"/>
  <c r="J108" i="73" s="1"/>
  <c r="J107" i="73" a="1"/>
  <c r="J107" i="73" s="1"/>
  <c r="J106" i="73" a="1"/>
  <c r="J106" i="73" s="1"/>
  <c r="J105" i="73" a="1"/>
  <c r="J105" i="73" s="1"/>
  <c r="J94" i="73" a="1"/>
  <c r="J94" i="73" s="1"/>
  <c r="H578" i="71" s="1"/>
  <c r="J93" i="73" a="1"/>
  <c r="J93" i="73" s="1"/>
  <c r="J50" i="73" a="1"/>
  <c r="J50" i="73" s="1"/>
  <c r="H675" i="71" s="1"/>
  <c r="H676" i="71" s="1"/>
  <c r="J49" i="73" a="1"/>
  <c r="J49" i="73" s="1"/>
  <c r="H810" i="71" s="1"/>
  <c r="J48" i="73" a="1"/>
  <c r="J48" i="73" s="1"/>
  <c r="H639" i="71" s="1"/>
  <c r="H640" i="71" s="1"/>
  <c r="J47" i="73" a="1"/>
  <c r="J47" i="73" s="1"/>
  <c r="J46" i="73" a="1"/>
  <c r="J46" i="73" s="1"/>
  <c r="J40" i="73" a="1"/>
  <c r="J40" i="73" s="1"/>
  <c r="J39" i="73" a="1"/>
  <c r="J39" i="73" s="1"/>
  <c r="J28" i="73" a="1"/>
  <c r="J28" i="73" s="1"/>
  <c r="J27" i="73" a="1"/>
  <c r="J27" i="73" s="1"/>
  <c r="J11" i="73" a="1"/>
  <c r="J11" i="73" s="1"/>
  <c r="J10" i="73" a="1"/>
  <c r="J10" i="73" s="1"/>
  <c r="J9" i="73" a="1"/>
  <c r="J9" i="73" s="1"/>
  <c r="J8" i="73" a="1"/>
  <c r="J8" i="73" s="1"/>
  <c r="J7" i="73" a="1"/>
  <c r="J7" i="73" s="1"/>
  <c r="J6" i="73" a="1"/>
  <c r="J6" i="73" s="1"/>
  <c r="J5" i="73" a="1"/>
  <c r="J5" i="73" s="1"/>
  <c r="H579" i="71" l="1"/>
  <c r="AM6" i="73"/>
  <c r="AM7" i="73"/>
  <c r="AM8" i="73"/>
  <c r="AM9" i="73"/>
  <c r="AM10" i="73"/>
  <c r="AM11" i="73"/>
  <c r="AM12" i="73"/>
  <c r="AM13" i="73"/>
  <c r="AM14" i="73"/>
  <c r="AM15" i="73"/>
  <c r="AM16" i="73"/>
  <c r="AM17" i="73"/>
  <c r="AM18" i="73"/>
  <c r="AM19" i="73"/>
  <c r="AM20" i="73"/>
  <c r="AM21" i="73"/>
  <c r="AM22" i="73"/>
  <c r="AM23" i="73"/>
  <c r="AM24" i="73"/>
  <c r="AM25" i="73"/>
  <c r="AM26" i="73"/>
  <c r="AM27" i="73"/>
  <c r="AM28" i="73"/>
  <c r="AM29" i="73"/>
  <c r="AM30" i="73"/>
  <c r="AM31" i="73"/>
  <c r="AM32" i="73"/>
  <c r="AM34" i="73"/>
  <c r="AM33" i="73"/>
  <c r="AM35" i="73"/>
  <c r="AM36" i="73"/>
  <c r="AM37" i="73"/>
  <c r="AM38" i="73"/>
  <c r="AM39" i="73"/>
  <c r="AM40" i="73"/>
  <c r="AM41" i="73"/>
  <c r="AM42" i="73"/>
  <c r="AM43" i="73"/>
  <c r="AM44" i="73"/>
  <c r="AM45" i="73"/>
  <c r="AM46" i="73"/>
  <c r="AM47" i="73"/>
  <c r="AM48" i="73"/>
  <c r="AM49" i="73"/>
  <c r="AM50" i="73"/>
  <c r="AM51" i="73"/>
  <c r="AM52" i="73"/>
  <c r="AM53" i="73"/>
  <c r="AM54" i="73"/>
  <c r="AM55" i="73"/>
  <c r="AM56" i="73"/>
  <c r="AM57" i="73"/>
  <c r="AM58" i="73"/>
  <c r="AM59" i="73"/>
  <c r="AM60" i="73"/>
  <c r="AM61" i="73"/>
  <c r="AM62" i="73"/>
  <c r="AM63" i="73"/>
  <c r="AM64" i="73"/>
  <c r="AM65" i="73"/>
  <c r="AM66" i="73"/>
  <c r="AM67" i="73"/>
  <c r="AM68" i="73"/>
  <c r="AM69" i="73"/>
  <c r="AM70" i="73"/>
  <c r="AM71" i="73"/>
  <c r="AM72" i="73"/>
  <c r="AM73" i="73"/>
  <c r="AM74" i="73"/>
  <c r="AM75" i="73"/>
  <c r="AM76" i="73"/>
  <c r="AM77" i="73"/>
  <c r="AM78" i="73"/>
  <c r="AM79" i="73"/>
  <c r="AM80" i="73"/>
  <c r="AM81" i="73"/>
  <c r="AM82" i="73"/>
  <c r="AM83" i="73"/>
  <c r="AM84" i="73"/>
  <c r="AM85" i="73"/>
  <c r="AM86" i="73"/>
  <c r="AM87" i="73"/>
  <c r="AM88" i="73"/>
  <c r="AM89" i="73"/>
  <c r="AM90" i="73"/>
  <c r="AM91" i="73"/>
  <c r="AM92" i="73"/>
  <c r="AM93" i="73"/>
  <c r="AM94" i="73"/>
  <c r="AM95" i="73"/>
  <c r="AM97" i="73"/>
  <c r="AM96" i="73"/>
  <c r="AM98" i="73"/>
  <c r="AM99" i="73"/>
  <c r="AM100" i="73"/>
  <c r="AM101" i="73"/>
  <c r="AM102" i="73"/>
  <c r="AM103" i="73"/>
  <c r="AM104" i="73"/>
  <c r="AM105" i="73"/>
  <c r="AM106" i="73"/>
  <c r="AM107" i="73"/>
  <c r="AM108" i="73"/>
  <c r="AM112" i="73"/>
  <c r="AM109" i="73"/>
  <c r="AM111" i="73"/>
  <c r="AM113" i="73"/>
  <c r="AM114" i="73"/>
  <c r="AM115" i="73"/>
  <c r="AM116" i="73"/>
  <c r="AM117" i="73"/>
  <c r="AM118" i="73"/>
  <c r="AM119" i="73"/>
  <c r="AM110" i="73"/>
  <c r="AM5" i="73"/>
  <c r="L97" i="73"/>
  <c r="AI22" i="73" l="1"/>
  <c r="AI19" i="73"/>
  <c r="AI18" i="73"/>
  <c r="AI17" i="73"/>
  <c r="AI14" i="73"/>
  <c r="AI13" i="73"/>
  <c r="AI12" i="73"/>
  <c r="AI5" i="73"/>
  <c r="AG110" i="73" l="1"/>
  <c r="AH110" i="73" s="1"/>
  <c r="AG42" i="73"/>
  <c r="AH42" i="73" s="1"/>
  <c r="AG102" i="73"/>
  <c r="AH102" i="73" s="1"/>
  <c r="I102" i="73"/>
  <c r="K102" i="73"/>
  <c r="L102" i="73"/>
  <c r="I42" i="73"/>
  <c r="K42" i="73"/>
  <c r="L42" i="73"/>
  <c r="I110" i="73" l="1"/>
  <c r="K110" i="73"/>
  <c r="Y104" i="73" l="1"/>
  <c r="W104" i="73"/>
  <c r="M45" i="73"/>
  <c r="O2" i="73" l="1"/>
  <c r="H659" i="71" l="1"/>
  <c r="H660" i="71" s="1"/>
  <c r="H604" i="71"/>
  <c r="H606" i="71" s="1"/>
  <c r="J119" i="73" a="1"/>
  <c r="J119" i="73" s="1"/>
  <c r="J118" i="73" a="1"/>
  <c r="J118" i="73" s="1"/>
  <c r="H571" i="71"/>
  <c r="H573" i="71" s="1"/>
  <c r="J29" i="73" a="1"/>
  <c r="J29" i="73" s="1"/>
  <c r="H588" i="71" s="1"/>
  <c r="H595" i="71"/>
  <c r="H596" i="71" s="1"/>
  <c r="J117" i="73" a="1"/>
  <c r="J117" i="73" s="1"/>
  <c r="H599" i="71"/>
  <c r="H601" i="71" s="1"/>
  <c r="H598" i="71"/>
  <c r="H600" i="71" s="1"/>
  <c r="H811" i="71"/>
  <c r="H812" i="71" s="1"/>
  <c r="J41" i="73" a="1"/>
  <c r="J41" i="73" s="1"/>
  <c r="H567" i="71" s="1"/>
  <c r="H568" i="71" s="1"/>
  <c r="H809" i="71"/>
  <c r="J15" i="73" a="1"/>
  <c r="J15" i="73" s="1"/>
  <c r="H570" i="71" s="1"/>
  <c r="H572" i="71" s="1"/>
  <c r="H714" i="71"/>
  <c r="J14" i="73" a="1"/>
  <c r="J14" i="73" s="1"/>
  <c r="H729" i="71"/>
  <c r="H723" i="71"/>
  <c r="H724" i="71" s="1"/>
  <c r="J13" i="73" a="1"/>
  <c r="J13" i="73" s="1"/>
  <c r="J96" i="73" a="1"/>
  <c r="J96" i="73" s="1"/>
  <c r="H607" i="71" s="1"/>
  <c r="J52" i="73" a="1"/>
  <c r="J52" i="73" s="1"/>
  <c r="H733" i="71" s="1"/>
  <c r="H734" i="71" s="1"/>
  <c r="J12" i="73" a="1"/>
  <c r="J12" i="73" s="1"/>
  <c r="J95" i="73" a="1"/>
  <c r="J95" i="73" s="1"/>
  <c r="H574" i="71" s="1"/>
  <c r="H575" i="71" s="1"/>
  <c r="J51" i="73" a="1"/>
  <c r="J51" i="73" s="1"/>
  <c r="H702" i="71" s="1"/>
  <c r="Q2" i="73"/>
  <c r="H774" i="71" s="1"/>
  <c r="H776" i="71" s="1"/>
  <c r="AG97" i="73"/>
  <c r="AH97" i="73" s="1"/>
  <c r="I97" i="73"/>
  <c r="K97" i="73"/>
  <c r="H589" i="71" l="1"/>
  <c r="H730" i="71"/>
  <c r="H608" i="71"/>
  <c r="J65" i="73" a="1"/>
  <c r="J65" i="73" s="1"/>
  <c r="H829" i="71" s="1"/>
  <c r="H797" i="71"/>
  <c r="H798" i="71" s="1"/>
  <c r="H773" i="71"/>
  <c r="J64" i="73" a="1"/>
  <c r="J64" i="73" s="1"/>
  <c r="H722" i="71" s="1"/>
  <c r="H793" i="71"/>
  <c r="H794" i="71" s="1"/>
  <c r="H597" i="71"/>
  <c r="J66" i="73" a="1"/>
  <c r="J66" i="73" s="1"/>
  <c r="H830" i="71" s="1"/>
  <c r="J63" i="73" a="1"/>
  <c r="J63" i="73" s="1"/>
  <c r="H721" i="71" s="1"/>
  <c r="H845" i="71"/>
  <c r="H569" i="71"/>
  <c r="J62" i="73" a="1"/>
  <c r="J62" i="73" s="1"/>
  <c r="H841" i="71" s="1"/>
  <c r="H842" i="71" s="1"/>
  <c r="H843" i="71"/>
  <c r="J61" i="73" a="1"/>
  <c r="J61" i="73" s="1"/>
  <c r="H839" i="71" s="1"/>
  <c r="J42" i="73" a="1"/>
  <c r="J42" i="73" s="1"/>
  <c r="H874" i="71" s="1"/>
  <c r="H875" i="71" s="1"/>
  <c r="H625" i="71"/>
  <c r="J60" i="73" a="1"/>
  <c r="J60" i="73" s="1"/>
  <c r="H806" i="71" s="1"/>
  <c r="J59" i="73" a="1"/>
  <c r="J59" i="73" s="1"/>
  <c r="H670" i="71" s="1"/>
  <c r="H603" i="71"/>
  <c r="H605" i="71" s="1"/>
  <c r="H710" i="71"/>
  <c r="J58" i="73" a="1"/>
  <c r="J58" i="73" s="1"/>
  <c r="H840" i="71" s="1"/>
  <c r="H622" i="71"/>
  <c r="H624" i="71" s="1"/>
  <c r="H709" i="71"/>
  <c r="J57" i="73" a="1"/>
  <c r="J57" i="73" s="1"/>
  <c r="H831" i="71" s="1"/>
  <c r="H832" i="71" s="1"/>
  <c r="H715" i="71"/>
  <c r="H716" i="71" s="1"/>
  <c r="J56" i="73" a="1"/>
  <c r="J56" i="73" s="1"/>
  <c r="H711" i="71" s="1"/>
  <c r="H712" i="71" s="1"/>
  <c r="H627" i="71"/>
  <c r="H584" i="71"/>
  <c r="H585" i="71" s="1"/>
  <c r="J67" i="73" a="1"/>
  <c r="J67" i="73" s="1"/>
  <c r="H713" i="71" s="1"/>
  <c r="H626" i="71"/>
  <c r="B858" i="71"/>
  <c r="I858" i="71"/>
  <c r="J858" i="71"/>
  <c r="K858" i="71" s="1"/>
  <c r="B859" i="71"/>
  <c r="I859" i="71"/>
  <c r="J859" i="71"/>
  <c r="K859" i="71" s="1"/>
  <c r="B860" i="71"/>
  <c r="I860" i="71"/>
  <c r="J860" i="71"/>
  <c r="K860" i="71" s="1"/>
  <c r="B861" i="71"/>
  <c r="I861" i="71"/>
  <c r="J861" i="71"/>
  <c r="K861" i="71" s="1"/>
  <c r="B862" i="71"/>
  <c r="I862" i="71"/>
  <c r="J862" i="71"/>
  <c r="K862" i="71" s="1"/>
  <c r="B863" i="71"/>
  <c r="I863" i="71"/>
  <c r="J863" i="71"/>
  <c r="K863" i="71" s="1"/>
  <c r="B864" i="71"/>
  <c r="I864" i="71"/>
  <c r="J864" i="71"/>
  <c r="K864" i="71" s="1"/>
  <c r="B865" i="71"/>
  <c r="I865" i="71"/>
  <c r="J865" i="71"/>
  <c r="K865" i="71" s="1"/>
  <c r="B866" i="71"/>
  <c r="I866" i="71"/>
  <c r="J866" i="71"/>
  <c r="K866" i="71" s="1"/>
  <c r="B867" i="71"/>
  <c r="I867" i="71"/>
  <c r="J867" i="71"/>
  <c r="K867" i="71" s="1"/>
  <c r="B868" i="71"/>
  <c r="I868" i="71"/>
  <c r="J868" i="71"/>
  <c r="K868" i="71" s="1"/>
  <c r="B869" i="71"/>
  <c r="I869" i="71"/>
  <c r="J869" i="71"/>
  <c r="K869" i="71" s="1"/>
  <c r="B870" i="71"/>
  <c r="I870" i="71"/>
  <c r="J870" i="71"/>
  <c r="K870" i="71" s="1"/>
  <c r="B871" i="71"/>
  <c r="I871" i="71"/>
  <c r="J871" i="71"/>
  <c r="K871" i="71" s="1"/>
  <c r="B872" i="71"/>
  <c r="I872" i="71"/>
  <c r="J872" i="71"/>
  <c r="K872" i="71" s="1"/>
  <c r="B873" i="71"/>
  <c r="I873" i="71"/>
  <c r="J873" i="71"/>
  <c r="K873" i="71" s="1"/>
  <c r="B874" i="71"/>
  <c r="I874" i="71"/>
  <c r="J874" i="71"/>
  <c r="K874" i="71" s="1"/>
  <c r="B875" i="71"/>
  <c r="I875" i="71"/>
  <c r="J875" i="71"/>
  <c r="K875" i="71" s="1"/>
  <c r="B876" i="71"/>
  <c r="I876" i="71"/>
  <c r="J876" i="71"/>
  <c r="K876" i="71" s="1"/>
  <c r="B877" i="71"/>
  <c r="I877" i="71"/>
  <c r="J877" i="71"/>
  <c r="K877" i="71" s="1"/>
  <c r="B878" i="71"/>
  <c r="I878" i="71"/>
  <c r="J878" i="71"/>
  <c r="K878" i="71" s="1"/>
  <c r="B879" i="71"/>
  <c r="I879" i="71"/>
  <c r="J879" i="71"/>
  <c r="K879" i="71" s="1"/>
  <c r="B880" i="71"/>
  <c r="I880" i="71"/>
  <c r="J880" i="71"/>
  <c r="K880" i="71" s="1"/>
  <c r="B881" i="71"/>
  <c r="I881" i="71"/>
  <c r="J881" i="71"/>
  <c r="K881" i="71" s="1"/>
  <c r="B882" i="71"/>
  <c r="I882" i="71"/>
  <c r="J882" i="71"/>
  <c r="K882" i="71" s="1"/>
  <c r="B883" i="71"/>
  <c r="I883" i="71"/>
  <c r="J883" i="71"/>
  <c r="K883" i="71" s="1"/>
  <c r="B884" i="71"/>
  <c r="I884" i="71"/>
  <c r="J884" i="71"/>
  <c r="K884" i="71" s="1"/>
  <c r="B885" i="71"/>
  <c r="I885" i="71"/>
  <c r="J885" i="71"/>
  <c r="K885" i="71" s="1"/>
  <c r="B886" i="71"/>
  <c r="I886" i="71"/>
  <c r="J886" i="71"/>
  <c r="K886" i="71" s="1"/>
  <c r="B887" i="71"/>
  <c r="I887" i="71"/>
  <c r="J887" i="71"/>
  <c r="K887" i="71" s="1"/>
  <c r="B888" i="71"/>
  <c r="I888" i="71"/>
  <c r="J888" i="71"/>
  <c r="K888" i="71" s="1"/>
  <c r="B889" i="71"/>
  <c r="I889" i="71"/>
  <c r="J889" i="71"/>
  <c r="K889" i="71" s="1"/>
  <c r="B890" i="71"/>
  <c r="I890" i="71"/>
  <c r="J890" i="71"/>
  <c r="K890" i="71" s="1"/>
  <c r="B891" i="71"/>
  <c r="I891" i="71"/>
  <c r="J891" i="71"/>
  <c r="K891" i="71" s="1"/>
  <c r="B892" i="71"/>
  <c r="I892" i="71"/>
  <c r="J892" i="71"/>
  <c r="K892" i="71" s="1"/>
  <c r="B893" i="71"/>
  <c r="I893" i="71"/>
  <c r="J893" i="71"/>
  <c r="K893" i="71" s="1"/>
  <c r="B894" i="71"/>
  <c r="I894" i="71"/>
  <c r="J894" i="71"/>
  <c r="K894" i="71" s="1"/>
  <c r="B895" i="71"/>
  <c r="I895" i="71"/>
  <c r="J895" i="71"/>
  <c r="K895" i="71" s="1"/>
  <c r="B896" i="71"/>
  <c r="I896" i="71"/>
  <c r="J896" i="71"/>
  <c r="K896" i="71" s="1"/>
  <c r="B897" i="71"/>
  <c r="I897" i="71"/>
  <c r="J897" i="71"/>
  <c r="K897" i="71" s="1"/>
  <c r="B898" i="71"/>
  <c r="I898" i="71"/>
  <c r="J898" i="71"/>
  <c r="K898" i="71" s="1"/>
  <c r="B899" i="71"/>
  <c r="I899" i="71"/>
  <c r="J899" i="71"/>
  <c r="K899" i="71" s="1"/>
  <c r="B900" i="71"/>
  <c r="I900" i="71"/>
  <c r="J900" i="71"/>
  <c r="K900" i="71" s="1"/>
  <c r="B901" i="71"/>
  <c r="I901" i="71"/>
  <c r="J901" i="71"/>
  <c r="K901" i="71" s="1"/>
  <c r="B902" i="71"/>
  <c r="I902" i="71"/>
  <c r="J902" i="71"/>
  <c r="K902" i="71" s="1"/>
  <c r="B903" i="71"/>
  <c r="I903" i="71"/>
  <c r="J903" i="71"/>
  <c r="K903" i="71" s="1"/>
  <c r="B904" i="71"/>
  <c r="I904" i="71"/>
  <c r="J904" i="71"/>
  <c r="K904" i="71" s="1"/>
  <c r="B905" i="71"/>
  <c r="I905" i="71"/>
  <c r="J905" i="71"/>
  <c r="K905" i="71" s="1"/>
  <c r="B906" i="71"/>
  <c r="I906" i="71"/>
  <c r="J906" i="71"/>
  <c r="K906" i="71" s="1"/>
  <c r="B907" i="71"/>
  <c r="I907" i="71"/>
  <c r="J907" i="71"/>
  <c r="K907" i="71" s="1"/>
  <c r="B908" i="71"/>
  <c r="I908" i="71"/>
  <c r="J908" i="71"/>
  <c r="K908" i="71" s="1"/>
  <c r="B909" i="71"/>
  <c r="I909" i="71"/>
  <c r="J909" i="71"/>
  <c r="K909" i="71" s="1"/>
  <c r="B910" i="71"/>
  <c r="I910" i="71"/>
  <c r="J910" i="71"/>
  <c r="K910" i="71" s="1"/>
  <c r="B911" i="71"/>
  <c r="I911" i="71"/>
  <c r="J911" i="71"/>
  <c r="K911" i="71" s="1"/>
  <c r="B912" i="71"/>
  <c r="I912" i="71"/>
  <c r="J912" i="71"/>
  <c r="K912" i="71" s="1"/>
  <c r="B913" i="71"/>
  <c r="I913" i="71"/>
  <c r="J913" i="71"/>
  <c r="K913" i="71" s="1"/>
  <c r="B914" i="71"/>
  <c r="I914" i="71"/>
  <c r="J914" i="71"/>
  <c r="K914" i="71" s="1"/>
  <c r="B915" i="71"/>
  <c r="I915" i="71"/>
  <c r="J915" i="71"/>
  <c r="K915" i="71" s="1"/>
  <c r="B916" i="71"/>
  <c r="I916" i="71"/>
  <c r="J916" i="71"/>
  <c r="K916" i="71" s="1"/>
  <c r="B917" i="71"/>
  <c r="I917" i="71"/>
  <c r="J917" i="71"/>
  <c r="K917" i="71" s="1"/>
  <c r="B918" i="71"/>
  <c r="I918" i="71"/>
  <c r="J918" i="71"/>
  <c r="K918" i="71" s="1"/>
  <c r="B919" i="71"/>
  <c r="I919" i="71"/>
  <c r="J919" i="71"/>
  <c r="K919" i="71" s="1"/>
  <c r="B920" i="71"/>
  <c r="I920" i="71"/>
  <c r="J920" i="71"/>
  <c r="K920" i="71" s="1"/>
  <c r="B921" i="71"/>
  <c r="I921" i="71"/>
  <c r="J921" i="71"/>
  <c r="K921" i="71" s="1"/>
  <c r="B922" i="71"/>
  <c r="I922" i="71"/>
  <c r="J922" i="71"/>
  <c r="K922" i="71" s="1"/>
  <c r="B923" i="71"/>
  <c r="I923" i="71"/>
  <c r="J923" i="71"/>
  <c r="K923" i="71" s="1"/>
  <c r="B924" i="71"/>
  <c r="I924" i="71"/>
  <c r="J924" i="71"/>
  <c r="K924" i="71" s="1"/>
  <c r="B925" i="71"/>
  <c r="I925" i="71"/>
  <c r="J925" i="71"/>
  <c r="K925" i="71" s="1"/>
  <c r="B926" i="71"/>
  <c r="I926" i="71"/>
  <c r="J926" i="71"/>
  <c r="K926" i="71" s="1"/>
  <c r="B927" i="71"/>
  <c r="I927" i="71"/>
  <c r="J927" i="71"/>
  <c r="K927" i="71" s="1"/>
  <c r="B928" i="71"/>
  <c r="I928" i="71"/>
  <c r="J928" i="71"/>
  <c r="K928" i="71" s="1"/>
  <c r="B929" i="71"/>
  <c r="I929" i="71"/>
  <c r="J929" i="71"/>
  <c r="K929" i="71" s="1"/>
  <c r="B930" i="71"/>
  <c r="I930" i="71"/>
  <c r="J930" i="71"/>
  <c r="K930" i="71" s="1"/>
  <c r="B931" i="71"/>
  <c r="I931" i="71"/>
  <c r="J931" i="71"/>
  <c r="K931" i="71" s="1"/>
  <c r="B932" i="71"/>
  <c r="I932" i="71"/>
  <c r="J932" i="71"/>
  <c r="K932" i="71" s="1"/>
  <c r="B933" i="71"/>
  <c r="I933" i="71"/>
  <c r="J933" i="71"/>
  <c r="K933" i="71" s="1"/>
  <c r="B934" i="71"/>
  <c r="I934" i="71"/>
  <c r="J934" i="71"/>
  <c r="K934" i="71" s="1"/>
  <c r="B935" i="71"/>
  <c r="I935" i="71"/>
  <c r="J935" i="71"/>
  <c r="K935" i="71" s="1"/>
  <c r="B936" i="71"/>
  <c r="I936" i="71"/>
  <c r="J936" i="71"/>
  <c r="K936" i="71" s="1"/>
  <c r="B937" i="71"/>
  <c r="I937" i="71"/>
  <c r="J937" i="71"/>
  <c r="K937" i="71" s="1"/>
  <c r="B938" i="71"/>
  <c r="I938" i="71"/>
  <c r="J938" i="71"/>
  <c r="K938" i="71" s="1"/>
  <c r="B939" i="71"/>
  <c r="I939" i="71"/>
  <c r="J939" i="71"/>
  <c r="K939" i="71" s="1"/>
  <c r="B940" i="71"/>
  <c r="I940" i="71"/>
  <c r="J940" i="71"/>
  <c r="K940" i="71" s="1"/>
  <c r="B941" i="71"/>
  <c r="I941" i="71"/>
  <c r="J941" i="71"/>
  <c r="K941" i="71" s="1"/>
  <c r="B942" i="71"/>
  <c r="I942" i="71"/>
  <c r="J942" i="71"/>
  <c r="K942" i="71" s="1"/>
  <c r="B943" i="71"/>
  <c r="I943" i="71"/>
  <c r="J943" i="71"/>
  <c r="K943" i="71" s="1"/>
  <c r="B944" i="71"/>
  <c r="I944" i="71"/>
  <c r="J944" i="71"/>
  <c r="K944" i="71" s="1"/>
  <c r="B945" i="71"/>
  <c r="I945" i="71"/>
  <c r="J945" i="71"/>
  <c r="K945" i="71" s="1"/>
  <c r="B946" i="71"/>
  <c r="I946" i="71"/>
  <c r="J946" i="71"/>
  <c r="K946" i="71" s="1"/>
  <c r="B947" i="71"/>
  <c r="I947" i="71"/>
  <c r="J947" i="71"/>
  <c r="K947" i="71" s="1"/>
  <c r="B948" i="71"/>
  <c r="I948" i="71"/>
  <c r="J948" i="71"/>
  <c r="K948" i="71" s="1"/>
  <c r="B949" i="71"/>
  <c r="I949" i="71"/>
  <c r="J949" i="71"/>
  <c r="K949" i="71" s="1"/>
  <c r="B950" i="71"/>
  <c r="I950" i="71"/>
  <c r="J950" i="71"/>
  <c r="K950" i="71" s="1"/>
  <c r="B951" i="71"/>
  <c r="I951" i="71"/>
  <c r="J951" i="71"/>
  <c r="K951" i="71" s="1"/>
  <c r="B952" i="71"/>
  <c r="I952" i="71"/>
  <c r="J952" i="71"/>
  <c r="K952" i="71" s="1"/>
  <c r="B953" i="71"/>
  <c r="I953" i="71"/>
  <c r="J953" i="71"/>
  <c r="K953" i="71" s="1"/>
  <c r="B954" i="71"/>
  <c r="I954" i="71"/>
  <c r="J954" i="71"/>
  <c r="K954" i="71" s="1"/>
  <c r="B955" i="71"/>
  <c r="I955" i="71"/>
  <c r="J955" i="71"/>
  <c r="K955" i="71" s="1"/>
  <c r="B956" i="71"/>
  <c r="I956" i="71"/>
  <c r="J956" i="71"/>
  <c r="K956" i="71" s="1"/>
  <c r="B957" i="71"/>
  <c r="I957" i="71"/>
  <c r="J957" i="71"/>
  <c r="K957" i="71" s="1"/>
  <c r="B958" i="71"/>
  <c r="I958" i="71"/>
  <c r="J958" i="71"/>
  <c r="K958" i="71" s="1"/>
  <c r="B959" i="71"/>
  <c r="I959" i="71"/>
  <c r="J959" i="71"/>
  <c r="K959" i="71" s="1"/>
  <c r="B960" i="71"/>
  <c r="I960" i="71"/>
  <c r="J960" i="71"/>
  <c r="K960" i="71" s="1"/>
  <c r="B961" i="71"/>
  <c r="I961" i="71"/>
  <c r="J961" i="71"/>
  <c r="K961" i="71" s="1"/>
  <c r="B962" i="71"/>
  <c r="I962" i="71"/>
  <c r="J962" i="71"/>
  <c r="K962" i="71" s="1"/>
  <c r="B963" i="71"/>
  <c r="I963" i="71"/>
  <c r="J963" i="71"/>
  <c r="K963" i="71" s="1"/>
  <c r="B964" i="71"/>
  <c r="I964" i="71"/>
  <c r="J964" i="71"/>
  <c r="K964" i="71" s="1"/>
  <c r="B965" i="71"/>
  <c r="I965" i="71"/>
  <c r="J965" i="71"/>
  <c r="K965" i="71" s="1"/>
  <c r="B966" i="71"/>
  <c r="I966" i="71"/>
  <c r="J966" i="71"/>
  <c r="K966" i="71" s="1"/>
  <c r="B967" i="71"/>
  <c r="I967" i="71"/>
  <c r="J967" i="71"/>
  <c r="K967" i="71" s="1"/>
  <c r="B968" i="71"/>
  <c r="I968" i="71"/>
  <c r="J968" i="71"/>
  <c r="K968" i="71" s="1"/>
  <c r="B969" i="71"/>
  <c r="I969" i="71"/>
  <c r="J969" i="71"/>
  <c r="K969" i="71" s="1"/>
  <c r="B970" i="71"/>
  <c r="I970" i="71"/>
  <c r="J970" i="71"/>
  <c r="K970" i="71" s="1"/>
  <c r="B971" i="71"/>
  <c r="I971" i="71"/>
  <c r="J971" i="71"/>
  <c r="K971" i="71" s="1"/>
  <c r="B972" i="71"/>
  <c r="I972" i="71"/>
  <c r="J972" i="71"/>
  <c r="K972" i="71" s="1"/>
  <c r="B973" i="71"/>
  <c r="I973" i="71"/>
  <c r="J973" i="71"/>
  <c r="K973" i="71" s="1"/>
  <c r="B974" i="71"/>
  <c r="I974" i="71"/>
  <c r="J974" i="71"/>
  <c r="K974" i="71" s="1"/>
  <c r="B975" i="71"/>
  <c r="I975" i="71"/>
  <c r="J975" i="71"/>
  <c r="K975" i="71" s="1"/>
  <c r="B976" i="71"/>
  <c r="I976" i="71"/>
  <c r="J976" i="71"/>
  <c r="K976" i="71" s="1"/>
  <c r="B977" i="71"/>
  <c r="I977" i="71"/>
  <c r="J977" i="71"/>
  <c r="K977" i="71" s="1"/>
  <c r="B978" i="71"/>
  <c r="I978" i="71"/>
  <c r="J978" i="71"/>
  <c r="K978" i="71" s="1"/>
  <c r="B979" i="71"/>
  <c r="I979" i="71"/>
  <c r="J979" i="71"/>
  <c r="K979" i="71" s="1"/>
  <c r="B980" i="71"/>
  <c r="I980" i="71"/>
  <c r="J980" i="71"/>
  <c r="K980" i="71" s="1"/>
  <c r="B981" i="71"/>
  <c r="I981" i="71"/>
  <c r="J981" i="71"/>
  <c r="K981" i="71" s="1"/>
  <c r="B982" i="71"/>
  <c r="I982" i="71"/>
  <c r="J982" i="71"/>
  <c r="K982" i="71" s="1"/>
  <c r="B983" i="71"/>
  <c r="I983" i="71"/>
  <c r="J983" i="71"/>
  <c r="K983" i="71" s="1"/>
  <c r="B984" i="71"/>
  <c r="I984" i="71"/>
  <c r="J984" i="71"/>
  <c r="K984" i="71" s="1"/>
  <c r="B985" i="71"/>
  <c r="I985" i="71"/>
  <c r="J985" i="71"/>
  <c r="K985" i="71" s="1"/>
  <c r="B986" i="71"/>
  <c r="I986" i="71"/>
  <c r="J986" i="71"/>
  <c r="K986" i="71" s="1"/>
  <c r="B987" i="71"/>
  <c r="I987" i="71"/>
  <c r="J987" i="71"/>
  <c r="K987" i="71" s="1"/>
  <c r="B988" i="71"/>
  <c r="I988" i="71"/>
  <c r="J988" i="71"/>
  <c r="K988" i="71" s="1"/>
  <c r="B989" i="71"/>
  <c r="I989" i="71"/>
  <c r="J989" i="71"/>
  <c r="K989" i="71" s="1"/>
  <c r="B990" i="71"/>
  <c r="I990" i="71"/>
  <c r="J990" i="71"/>
  <c r="K990" i="71" s="1"/>
  <c r="B991" i="71"/>
  <c r="I991" i="71"/>
  <c r="J991" i="71"/>
  <c r="K991" i="71" s="1"/>
  <c r="B992" i="71"/>
  <c r="I992" i="71"/>
  <c r="J992" i="71"/>
  <c r="K992" i="71" s="1"/>
  <c r="B993" i="71"/>
  <c r="I993" i="71"/>
  <c r="J993" i="71"/>
  <c r="K993" i="71" s="1"/>
  <c r="B994" i="71"/>
  <c r="I994" i="71"/>
  <c r="J994" i="71"/>
  <c r="K994" i="71" s="1"/>
  <c r="B995" i="71"/>
  <c r="I995" i="71"/>
  <c r="J995" i="71"/>
  <c r="K995" i="71" s="1"/>
  <c r="B996" i="71"/>
  <c r="I996" i="71"/>
  <c r="J996" i="71"/>
  <c r="K996" i="71" s="1"/>
  <c r="B997" i="71"/>
  <c r="I997" i="71"/>
  <c r="J997" i="71"/>
  <c r="K997" i="71" s="1"/>
  <c r="B998" i="71"/>
  <c r="I998" i="71"/>
  <c r="J998" i="71"/>
  <c r="K998" i="71" s="1"/>
  <c r="B999" i="71"/>
  <c r="I999" i="71"/>
  <c r="J999" i="71"/>
  <c r="K999" i="71" s="1"/>
  <c r="B1000" i="71"/>
  <c r="I1000" i="71"/>
  <c r="J1000" i="71"/>
  <c r="K1000" i="71" s="1"/>
  <c r="B1001" i="71"/>
  <c r="I1001" i="71"/>
  <c r="J1001" i="71"/>
  <c r="K1001" i="71" s="1"/>
  <c r="B1002" i="71"/>
  <c r="I1002" i="71"/>
  <c r="J1002" i="71"/>
  <c r="K1002" i="71" s="1"/>
  <c r="B1003" i="71"/>
  <c r="I1003" i="71"/>
  <c r="J1003" i="71"/>
  <c r="K1003" i="71" s="1"/>
  <c r="B1004" i="71"/>
  <c r="I1004" i="71"/>
  <c r="J1004" i="71"/>
  <c r="K1004" i="71" s="1"/>
  <c r="B1005" i="71"/>
  <c r="I1005" i="71"/>
  <c r="J1005" i="71"/>
  <c r="K1005" i="71" s="1"/>
  <c r="B1006" i="71"/>
  <c r="I1006" i="71"/>
  <c r="J1006" i="71"/>
  <c r="K1006" i="71" s="1"/>
  <c r="B1007" i="71"/>
  <c r="I1007" i="71"/>
  <c r="J1007" i="71"/>
  <c r="K1007" i="71" s="1"/>
  <c r="B1008" i="71"/>
  <c r="I1008" i="71"/>
  <c r="J1008" i="71"/>
  <c r="K1008" i="71" s="1"/>
  <c r="B1009" i="71"/>
  <c r="I1009" i="71"/>
  <c r="J1009" i="71"/>
  <c r="K1009" i="71" s="1"/>
  <c r="B1010" i="71"/>
  <c r="I1010" i="71"/>
  <c r="J1010" i="71"/>
  <c r="K1010" i="71" s="1"/>
  <c r="B1011" i="71"/>
  <c r="I1011" i="71"/>
  <c r="J1011" i="71"/>
  <c r="K1011" i="71" s="1"/>
  <c r="B1012" i="71"/>
  <c r="I1012" i="71"/>
  <c r="J1012" i="71"/>
  <c r="K1012" i="71" s="1"/>
  <c r="B1013" i="71"/>
  <c r="I1013" i="71"/>
  <c r="J1013" i="71"/>
  <c r="K1013" i="71" s="1"/>
  <c r="B1014" i="71"/>
  <c r="I1014" i="71"/>
  <c r="J1014" i="71"/>
  <c r="K1014" i="71" s="1"/>
  <c r="B1015" i="71"/>
  <c r="I1015" i="71"/>
  <c r="J1015" i="71"/>
  <c r="K1015" i="71" s="1"/>
  <c r="B1016" i="71"/>
  <c r="I1016" i="71"/>
  <c r="J1016" i="71"/>
  <c r="K1016" i="71" s="1"/>
  <c r="B1017" i="71"/>
  <c r="I1017" i="71"/>
  <c r="J1017" i="71"/>
  <c r="K1017" i="71" s="1"/>
  <c r="B1018" i="71"/>
  <c r="I1018" i="71"/>
  <c r="J1018" i="71"/>
  <c r="K1018" i="71" s="1"/>
  <c r="B1019" i="71"/>
  <c r="I1019" i="71"/>
  <c r="J1019" i="71"/>
  <c r="K1019" i="71" s="1"/>
  <c r="B1020" i="71"/>
  <c r="I1020" i="71"/>
  <c r="J1020" i="71"/>
  <c r="K1020" i="71" s="1"/>
  <c r="B1021" i="71"/>
  <c r="I1021" i="71"/>
  <c r="J1021" i="71"/>
  <c r="K1021" i="71" s="1"/>
  <c r="B1022" i="71"/>
  <c r="I1022" i="71"/>
  <c r="J1022" i="71"/>
  <c r="K1022" i="71" s="1"/>
  <c r="B1023" i="71"/>
  <c r="I1023" i="71"/>
  <c r="J1023" i="71"/>
  <c r="K1023" i="71" s="1"/>
  <c r="B1024" i="71"/>
  <c r="I1024" i="71"/>
  <c r="J1024" i="71"/>
  <c r="K1024" i="71" s="1"/>
  <c r="B1025" i="71"/>
  <c r="I1025" i="71"/>
  <c r="J1025" i="71"/>
  <c r="K1025" i="71" s="1"/>
  <c r="B1026" i="71"/>
  <c r="I1026" i="71"/>
  <c r="J1026" i="71"/>
  <c r="K1026" i="71" s="1"/>
  <c r="B1027" i="71"/>
  <c r="I1027" i="71"/>
  <c r="J1027" i="71"/>
  <c r="K1027" i="71" s="1"/>
  <c r="B1028" i="71"/>
  <c r="I1028" i="71"/>
  <c r="J1028" i="71"/>
  <c r="K1028" i="71" s="1"/>
  <c r="B1029" i="71"/>
  <c r="I1029" i="71"/>
  <c r="J1029" i="71"/>
  <c r="K1029" i="71" s="1"/>
  <c r="B1030" i="71"/>
  <c r="I1030" i="71"/>
  <c r="J1030" i="71"/>
  <c r="K1030" i="71" s="1"/>
  <c r="B1031" i="71"/>
  <c r="I1031" i="71"/>
  <c r="J1031" i="71"/>
  <c r="K1031" i="71" s="1"/>
  <c r="B1032" i="71"/>
  <c r="I1032" i="71"/>
  <c r="J1032" i="71"/>
  <c r="K1032" i="71" s="1"/>
  <c r="B1033" i="71"/>
  <c r="I1033" i="71"/>
  <c r="J1033" i="71"/>
  <c r="K1033" i="71" s="1"/>
  <c r="B1034" i="71"/>
  <c r="I1034" i="71"/>
  <c r="J1034" i="71"/>
  <c r="K1034" i="71" s="1"/>
  <c r="B1035" i="71"/>
  <c r="I1035" i="71"/>
  <c r="J1035" i="71"/>
  <c r="K1035" i="71" s="1"/>
  <c r="B1036" i="71"/>
  <c r="I1036" i="71"/>
  <c r="J1036" i="71"/>
  <c r="K1036" i="71" s="1"/>
  <c r="B1037" i="71"/>
  <c r="I1037" i="71"/>
  <c r="J1037" i="71"/>
  <c r="K1037" i="71" s="1"/>
  <c r="B1038" i="71"/>
  <c r="I1038" i="71"/>
  <c r="J1038" i="71"/>
  <c r="K1038" i="71" s="1"/>
  <c r="B1039" i="71"/>
  <c r="I1039" i="71"/>
  <c r="J1039" i="71"/>
  <c r="K1039" i="71" s="1"/>
  <c r="B1040" i="71"/>
  <c r="I1040" i="71"/>
  <c r="J1040" i="71"/>
  <c r="K1040" i="71" s="1"/>
  <c r="B1041" i="71"/>
  <c r="I1041" i="71"/>
  <c r="J1041" i="71"/>
  <c r="K1041" i="71" s="1"/>
  <c r="B1042" i="71"/>
  <c r="I1042" i="71"/>
  <c r="J1042" i="71"/>
  <c r="K1042" i="71" s="1"/>
  <c r="B1043" i="71"/>
  <c r="I1043" i="71"/>
  <c r="J1043" i="71"/>
  <c r="K1043" i="71" s="1"/>
  <c r="B1044" i="71"/>
  <c r="I1044" i="71"/>
  <c r="J1044" i="71"/>
  <c r="K1044" i="71" s="1"/>
  <c r="B1045" i="71"/>
  <c r="I1045" i="71"/>
  <c r="J1045" i="71"/>
  <c r="K1045" i="71" s="1"/>
  <c r="B1046" i="71"/>
  <c r="I1046" i="71"/>
  <c r="J1046" i="71"/>
  <c r="K1046" i="71" s="1"/>
  <c r="B1047" i="71"/>
  <c r="I1047" i="71"/>
  <c r="J1047" i="71"/>
  <c r="K1047" i="71" s="1"/>
  <c r="B1048" i="71"/>
  <c r="I1048" i="71"/>
  <c r="J1048" i="71"/>
  <c r="K1048" i="71" s="1"/>
  <c r="B1049" i="71"/>
  <c r="I1049" i="71"/>
  <c r="J1049" i="71"/>
  <c r="K1049" i="71" s="1"/>
  <c r="B1050" i="71"/>
  <c r="I1050" i="71"/>
  <c r="J1050" i="71"/>
  <c r="K1050" i="71" s="1"/>
  <c r="B1051" i="71"/>
  <c r="I1051" i="71"/>
  <c r="J1051" i="71"/>
  <c r="K1051" i="71" s="1"/>
  <c r="B1052" i="71"/>
  <c r="I1052" i="71"/>
  <c r="J1052" i="71"/>
  <c r="K1052" i="71" s="1"/>
  <c r="B1053" i="71"/>
  <c r="I1053" i="71"/>
  <c r="J1053" i="71"/>
  <c r="K1053" i="71" s="1"/>
  <c r="B1054" i="71"/>
  <c r="I1054" i="71"/>
  <c r="J1054" i="71"/>
  <c r="K1054" i="71" s="1"/>
  <c r="B1055" i="71"/>
  <c r="I1055" i="71"/>
  <c r="J1055" i="71"/>
  <c r="K1055" i="71" s="1"/>
  <c r="B1056" i="71"/>
  <c r="I1056" i="71"/>
  <c r="J1056" i="71"/>
  <c r="K1056" i="71" s="1"/>
  <c r="B1057" i="71"/>
  <c r="I1057" i="71"/>
  <c r="J1057" i="71"/>
  <c r="K1057" i="71" s="1"/>
  <c r="B1058" i="71"/>
  <c r="I1058" i="71"/>
  <c r="J1058" i="71"/>
  <c r="K1058" i="71" s="1"/>
  <c r="B1059" i="71"/>
  <c r="I1059" i="71"/>
  <c r="J1059" i="71"/>
  <c r="K1059" i="71" s="1"/>
  <c r="B1060" i="71"/>
  <c r="I1060" i="71"/>
  <c r="J1060" i="71"/>
  <c r="K1060" i="71" s="1"/>
  <c r="B1061" i="71"/>
  <c r="I1061" i="71"/>
  <c r="J1061" i="71"/>
  <c r="K1061" i="71" s="1"/>
  <c r="B1062" i="71"/>
  <c r="I1062" i="71"/>
  <c r="J1062" i="71"/>
  <c r="K1062" i="71" s="1"/>
  <c r="B1063" i="71"/>
  <c r="I1063" i="71"/>
  <c r="J1063" i="71"/>
  <c r="K1063" i="71" s="1"/>
  <c r="B1064" i="71"/>
  <c r="I1064" i="71"/>
  <c r="J1064" i="71"/>
  <c r="K1064" i="71" s="1"/>
  <c r="B1065" i="71"/>
  <c r="I1065" i="71"/>
  <c r="J1065" i="71"/>
  <c r="K1065" i="71" s="1"/>
  <c r="B1066" i="71"/>
  <c r="I1066" i="71"/>
  <c r="J1066" i="71"/>
  <c r="K1066" i="71" s="1"/>
  <c r="B1067" i="71"/>
  <c r="I1067" i="71"/>
  <c r="J1067" i="71"/>
  <c r="K1067" i="71" s="1"/>
  <c r="B1068" i="71"/>
  <c r="I1068" i="71"/>
  <c r="J1068" i="71"/>
  <c r="K1068" i="71" s="1"/>
  <c r="B1069" i="71"/>
  <c r="I1069" i="71"/>
  <c r="J1069" i="71"/>
  <c r="K1069" i="71" s="1"/>
  <c r="B1070" i="71"/>
  <c r="I1070" i="71"/>
  <c r="J1070" i="71"/>
  <c r="K1070" i="71" s="1"/>
  <c r="B1071" i="71"/>
  <c r="I1071" i="71"/>
  <c r="J1071" i="71"/>
  <c r="K1071" i="71" s="1"/>
  <c r="B1072" i="71"/>
  <c r="I1072" i="71"/>
  <c r="J1072" i="71"/>
  <c r="K1072" i="71" s="1"/>
  <c r="B1073" i="71"/>
  <c r="I1073" i="71"/>
  <c r="J1073" i="71"/>
  <c r="K1073" i="71" s="1"/>
  <c r="B1074" i="71"/>
  <c r="I1074" i="71"/>
  <c r="J1074" i="71"/>
  <c r="K1074" i="71" s="1"/>
  <c r="B1075" i="71"/>
  <c r="I1075" i="71"/>
  <c r="J1075" i="71"/>
  <c r="K1075" i="71" s="1"/>
  <c r="B1076" i="71"/>
  <c r="I1076" i="71"/>
  <c r="J1076" i="71"/>
  <c r="K1076" i="71" s="1"/>
  <c r="B1077" i="71"/>
  <c r="I1077" i="71"/>
  <c r="J1077" i="71"/>
  <c r="K1077" i="71" s="1"/>
  <c r="B1078" i="71"/>
  <c r="I1078" i="71"/>
  <c r="J1078" i="71"/>
  <c r="K1078" i="71" s="1"/>
  <c r="B1079" i="71"/>
  <c r="I1079" i="71"/>
  <c r="J1079" i="71"/>
  <c r="K1079" i="71" s="1"/>
  <c r="B1080" i="71"/>
  <c r="I1080" i="71"/>
  <c r="J1080" i="71"/>
  <c r="K1080" i="71" s="1"/>
  <c r="B1081" i="71"/>
  <c r="I1081" i="71"/>
  <c r="J1081" i="71"/>
  <c r="K1081" i="71" s="1"/>
  <c r="B1082" i="71"/>
  <c r="I1082" i="71"/>
  <c r="J1082" i="71"/>
  <c r="K1082" i="71" s="1"/>
  <c r="B1083" i="71"/>
  <c r="I1083" i="71"/>
  <c r="J1083" i="71"/>
  <c r="K1083" i="71" s="1"/>
  <c r="B1084" i="71"/>
  <c r="I1084" i="71"/>
  <c r="J1084" i="71"/>
  <c r="K1084" i="71" s="1"/>
  <c r="B1085" i="71"/>
  <c r="I1085" i="71"/>
  <c r="J1085" i="71"/>
  <c r="K1085" i="71" s="1"/>
  <c r="B1086" i="71"/>
  <c r="I1086" i="71"/>
  <c r="J1086" i="71"/>
  <c r="K1086" i="71" s="1"/>
  <c r="B1087" i="71"/>
  <c r="I1087" i="71"/>
  <c r="J1087" i="71"/>
  <c r="K1087" i="71" s="1"/>
  <c r="B1088" i="71"/>
  <c r="I1088" i="71"/>
  <c r="J1088" i="71"/>
  <c r="K1088" i="71" s="1"/>
  <c r="B1089" i="71"/>
  <c r="I1089" i="71"/>
  <c r="J1089" i="71"/>
  <c r="K1089" i="71" s="1"/>
  <c r="B1090" i="71"/>
  <c r="I1090" i="71"/>
  <c r="J1090" i="71"/>
  <c r="K1090" i="71" s="1"/>
  <c r="B1091" i="71"/>
  <c r="I1091" i="71"/>
  <c r="J1091" i="71"/>
  <c r="K1091" i="71" s="1"/>
  <c r="B1092" i="71"/>
  <c r="I1092" i="71"/>
  <c r="J1092" i="71"/>
  <c r="K1092" i="71" s="1"/>
  <c r="B1093" i="71"/>
  <c r="I1093" i="71"/>
  <c r="J1093" i="71"/>
  <c r="K1093" i="71" s="1"/>
  <c r="B1094" i="71"/>
  <c r="I1094" i="71"/>
  <c r="J1094" i="71"/>
  <c r="K1094" i="71" s="1"/>
  <c r="B1095" i="71"/>
  <c r="I1095" i="71"/>
  <c r="J1095" i="71"/>
  <c r="K1095" i="71" s="1"/>
  <c r="B1096" i="71"/>
  <c r="I1096" i="71"/>
  <c r="J1096" i="71"/>
  <c r="K1096" i="71" s="1"/>
  <c r="B1097" i="71"/>
  <c r="I1097" i="71"/>
  <c r="J1097" i="71"/>
  <c r="K1097" i="71" s="1"/>
  <c r="B1098" i="71"/>
  <c r="I1098" i="71"/>
  <c r="J1098" i="71"/>
  <c r="K1098" i="71" s="1"/>
  <c r="B1099" i="71"/>
  <c r="I1099" i="71"/>
  <c r="J1099" i="71"/>
  <c r="K1099" i="71" s="1"/>
  <c r="B1100" i="71"/>
  <c r="I1100" i="71"/>
  <c r="J1100" i="71"/>
  <c r="K1100" i="71" s="1"/>
  <c r="B1101" i="71"/>
  <c r="I1101" i="71"/>
  <c r="J1101" i="71"/>
  <c r="K1101" i="71" s="1"/>
  <c r="B1102" i="71"/>
  <c r="I1102" i="71"/>
  <c r="J1102" i="71"/>
  <c r="K1102" i="71" s="1"/>
  <c r="B1103" i="71"/>
  <c r="I1103" i="71"/>
  <c r="J1103" i="71"/>
  <c r="K1103" i="71" s="1"/>
  <c r="B1104" i="71"/>
  <c r="I1104" i="71"/>
  <c r="J1104" i="71"/>
  <c r="K1104" i="71" s="1"/>
  <c r="B1105" i="71"/>
  <c r="I1105" i="71"/>
  <c r="J1105" i="71"/>
  <c r="K1105" i="71" s="1"/>
  <c r="B1106" i="71"/>
  <c r="I1106" i="71"/>
  <c r="J1106" i="71"/>
  <c r="K1106" i="71" s="1"/>
  <c r="B1107" i="71"/>
  <c r="I1107" i="71"/>
  <c r="J1107" i="71"/>
  <c r="K1107" i="71" s="1"/>
  <c r="B1108" i="71"/>
  <c r="I1108" i="71"/>
  <c r="J1108" i="71"/>
  <c r="K1108" i="71" s="1"/>
  <c r="B1109" i="71"/>
  <c r="I1109" i="71"/>
  <c r="J1109" i="71"/>
  <c r="K1109" i="71" s="1"/>
  <c r="B1110" i="71"/>
  <c r="I1110" i="71"/>
  <c r="J1110" i="71"/>
  <c r="K1110" i="71" s="1"/>
  <c r="B1111" i="71"/>
  <c r="I1111" i="71"/>
  <c r="J1111" i="71"/>
  <c r="K1111" i="71" s="1"/>
  <c r="B1112" i="71"/>
  <c r="I1112" i="71"/>
  <c r="J1112" i="71"/>
  <c r="K1112" i="71" s="1"/>
  <c r="B1113" i="71"/>
  <c r="I1113" i="71"/>
  <c r="J1113" i="71"/>
  <c r="K1113" i="71" s="1"/>
  <c r="B1114" i="71"/>
  <c r="I1114" i="71"/>
  <c r="J1114" i="71"/>
  <c r="K1114" i="71" s="1"/>
  <c r="B1115" i="71"/>
  <c r="I1115" i="71"/>
  <c r="J1115" i="71"/>
  <c r="K1115" i="71" s="1"/>
  <c r="B1116" i="71"/>
  <c r="I1116" i="71"/>
  <c r="J1116" i="71"/>
  <c r="K1116" i="71" s="1"/>
  <c r="B1117" i="71"/>
  <c r="I1117" i="71"/>
  <c r="J1117" i="71"/>
  <c r="K1117" i="71" s="1"/>
  <c r="B1118" i="71"/>
  <c r="I1118" i="71"/>
  <c r="J1118" i="71"/>
  <c r="K1118" i="71" s="1"/>
  <c r="B1119" i="71"/>
  <c r="I1119" i="71"/>
  <c r="J1119" i="71"/>
  <c r="K1119" i="71" s="1"/>
  <c r="B1120" i="71"/>
  <c r="I1120" i="71"/>
  <c r="J1120" i="71"/>
  <c r="K1120" i="71" s="1"/>
  <c r="B1121" i="71"/>
  <c r="I1121" i="71"/>
  <c r="J1121" i="71"/>
  <c r="K1121" i="71" s="1"/>
  <c r="B1122" i="71"/>
  <c r="I1122" i="71"/>
  <c r="J1122" i="71"/>
  <c r="K1122" i="71" s="1"/>
  <c r="B1123" i="71"/>
  <c r="I1123" i="71"/>
  <c r="J1123" i="71"/>
  <c r="K1123" i="71" s="1"/>
  <c r="B1124" i="71"/>
  <c r="I1124" i="71"/>
  <c r="J1124" i="71"/>
  <c r="K1124" i="71" s="1"/>
  <c r="B1125" i="71"/>
  <c r="I1125" i="71"/>
  <c r="J1125" i="71"/>
  <c r="K1125" i="71" s="1"/>
  <c r="B1126" i="71"/>
  <c r="I1126" i="71"/>
  <c r="J1126" i="71"/>
  <c r="K1126" i="71" s="1"/>
  <c r="B1127" i="71"/>
  <c r="I1127" i="71"/>
  <c r="J1127" i="71"/>
  <c r="K1127" i="71" s="1"/>
  <c r="B1128" i="71"/>
  <c r="I1128" i="71"/>
  <c r="J1128" i="71"/>
  <c r="K1128" i="71" s="1"/>
  <c r="B1129" i="71"/>
  <c r="I1129" i="71"/>
  <c r="J1129" i="71"/>
  <c r="K1129" i="71" s="1"/>
  <c r="B1130" i="71"/>
  <c r="I1130" i="71"/>
  <c r="J1130" i="71"/>
  <c r="K1130" i="71" s="1"/>
  <c r="B1131" i="71"/>
  <c r="I1131" i="71"/>
  <c r="J1131" i="71"/>
  <c r="K1131" i="71" s="1"/>
  <c r="B1132" i="71"/>
  <c r="I1132" i="71"/>
  <c r="J1132" i="71"/>
  <c r="K1132" i="71" s="1"/>
  <c r="B1133" i="71"/>
  <c r="I1133" i="71"/>
  <c r="J1133" i="71"/>
  <c r="K1133" i="71" s="1"/>
  <c r="B1134" i="71"/>
  <c r="I1134" i="71"/>
  <c r="J1134" i="71"/>
  <c r="K1134" i="71" s="1"/>
  <c r="B1135" i="71"/>
  <c r="I1135" i="71"/>
  <c r="J1135" i="71"/>
  <c r="K1135" i="71" s="1"/>
  <c r="B1136" i="71"/>
  <c r="I1136" i="71"/>
  <c r="J1136" i="71"/>
  <c r="K1136" i="71" s="1"/>
  <c r="B1137" i="71"/>
  <c r="I1137" i="71"/>
  <c r="J1137" i="71"/>
  <c r="K1137" i="71" s="1"/>
  <c r="B1138" i="71"/>
  <c r="I1138" i="71"/>
  <c r="J1138" i="71"/>
  <c r="K1138" i="71" s="1"/>
  <c r="B1139" i="71"/>
  <c r="I1139" i="71"/>
  <c r="J1139" i="71"/>
  <c r="K1139" i="71" s="1"/>
  <c r="B1140" i="71"/>
  <c r="I1140" i="71"/>
  <c r="J1140" i="71"/>
  <c r="K1140" i="71" s="1"/>
  <c r="B1141" i="71"/>
  <c r="I1141" i="71"/>
  <c r="J1141" i="71"/>
  <c r="K1141" i="71" s="1"/>
  <c r="B1142" i="71"/>
  <c r="I1142" i="71"/>
  <c r="J1142" i="71"/>
  <c r="K1142" i="71" s="1"/>
  <c r="B1143" i="71"/>
  <c r="I1143" i="71"/>
  <c r="J1143" i="71"/>
  <c r="K1143" i="71" s="1"/>
  <c r="B1144" i="71"/>
  <c r="I1144" i="71"/>
  <c r="J1144" i="71"/>
  <c r="K1144" i="71" s="1"/>
  <c r="B1145" i="71"/>
  <c r="I1145" i="71"/>
  <c r="J1145" i="71"/>
  <c r="K1145" i="71" s="1"/>
  <c r="B1146" i="71"/>
  <c r="I1146" i="71"/>
  <c r="J1146" i="71"/>
  <c r="K1146" i="71" s="1"/>
  <c r="B1147" i="71"/>
  <c r="I1147" i="71"/>
  <c r="J1147" i="71"/>
  <c r="K1147" i="71" s="1"/>
  <c r="B1148" i="71"/>
  <c r="I1148" i="71"/>
  <c r="J1148" i="71"/>
  <c r="K1148" i="71" s="1"/>
  <c r="B1149" i="71"/>
  <c r="I1149" i="71"/>
  <c r="J1149" i="71"/>
  <c r="K1149" i="71" s="1"/>
  <c r="B1150" i="71"/>
  <c r="I1150" i="71"/>
  <c r="J1150" i="71"/>
  <c r="K1150" i="71" s="1"/>
  <c r="B1151" i="71"/>
  <c r="I1151" i="71"/>
  <c r="J1151" i="71"/>
  <c r="K1151" i="71" s="1"/>
  <c r="B1152" i="71"/>
  <c r="I1152" i="71"/>
  <c r="J1152" i="71"/>
  <c r="K1152" i="71" s="1"/>
  <c r="B1153" i="71"/>
  <c r="I1153" i="71"/>
  <c r="J1153" i="71"/>
  <c r="K1153" i="71" s="1"/>
  <c r="B1154" i="71"/>
  <c r="I1154" i="71"/>
  <c r="J1154" i="71"/>
  <c r="K1154" i="71" s="1"/>
  <c r="B1155" i="71"/>
  <c r="I1155" i="71"/>
  <c r="J1155" i="71"/>
  <c r="K1155" i="71" s="1"/>
  <c r="B1156" i="71"/>
  <c r="I1156" i="71"/>
  <c r="J1156" i="71"/>
  <c r="K1156" i="71" s="1"/>
  <c r="B1157" i="71"/>
  <c r="I1157" i="71"/>
  <c r="J1157" i="71"/>
  <c r="K1157" i="71" s="1"/>
  <c r="B1158" i="71"/>
  <c r="I1158" i="71"/>
  <c r="J1158" i="71"/>
  <c r="K1158" i="71" s="1"/>
  <c r="B1159" i="71"/>
  <c r="I1159" i="71"/>
  <c r="J1159" i="71"/>
  <c r="K1159" i="71" s="1"/>
  <c r="B1160" i="71"/>
  <c r="I1160" i="71"/>
  <c r="J1160" i="71"/>
  <c r="K1160" i="71" s="1"/>
  <c r="B1161" i="71"/>
  <c r="I1161" i="71"/>
  <c r="J1161" i="71"/>
  <c r="K1161" i="71" s="1"/>
  <c r="B1162" i="71"/>
  <c r="I1162" i="71"/>
  <c r="J1162" i="71"/>
  <c r="K1162" i="71" s="1"/>
  <c r="B1163" i="71"/>
  <c r="I1163" i="71"/>
  <c r="J1163" i="71"/>
  <c r="K1163" i="71" s="1"/>
  <c r="B1164" i="71"/>
  <c r="I1164" i="71"/>
  <c r="J1164" i="71"/>
  <c r="K1164" i="71" s="1"/>
  <c r="B1165" i="71"/>
  <c r="I1165" i="71"/>
  <c r="J1165" i="71"/>
  <c r="K1165" i="71" s="1"/>
  <c r="B1166" i="71"/>
  <c r="I1166" i="71"/>
  <c r="J1166" i="71"/>
  <c r="K1166" i="71" s="1"/>
  <c r="B1167" i="71"/>
  <c r="I1167" i="71"/>
  <c r="J1167" i="71"/>
  <c r="K1167" i="71" s="1"/>
  <c r="B1168" i="71"/>
  <c r="I1168" i="71"/>
  <c r="J1168" i="71"/>
  <c r="K1168" i="71" s="1"/>
  <c r="B1169" i="71"/>
  <c r="I1169" i="71"/>
  <c r="J1169" i="71"/>
  <c r="K1169" i="71" s="1"/>
  <c r="B1170" i="71"/>
  <c r="I1170" i="71"/>
  <c r="J1170" i="71"/>
  <c r="K1170" i="71" s="1"/>
  <c r="B1171" i="71"/>
  <c r="I1171" i="71"/>
  <c r="J1171" i="71"/>
  <c r="K1171" i="71" s="1"/>
  <c r="B1172" i="71"/>
  <c r="I1172" i="71"/>
  <c r="J1172" i="71"/>
  <c r="K1172" i="71" s="1"/>
  <c r="B1173" i="71"/>
  <c r="I1173" i="71"/>
  <c r="J1173" i="71"/>
  <c r="K1173" i="71" s="1"/>
  <c r="B1174" i="71"/>
  <c r="I1174" i="71"/>
  <c r="J1174" i="71"/>
  <c r="K1174" i="71" s="1"/>
  <c r="B1175" i="71"/>
  <c r="I1175" i="71"/>
  <c r="J1175" i="71"/>
  <c r="K1175" i="71" s="1"/>
  <c r="B1176" i="71"/>
  <c r="I1176" i="71"/>
  <c r="J1176" i="71"/>
  <c r="K1176" i="71" s="1"/>
  <c r="B1177" i="71"/>
  <c r="I1177" i="71"/>
  <c r="J1177" i="71"/>
  <c r="K1177" i="71" s="1"/>
  <c r="B1178" i="71"/>
  <c r="I1178" i="71"/>
  <c r="J1178" i="71"/>
  <c r="K1178" i="71" s="1"/>
  <c r="B1179" i="71"/>
  <c r="I1179" i="71"/>
  <c r="J1179" i="71"/>
  <c r="K1179" i="71" s="1"/>
  <c r="B1180" i="71"/>
  <c r="I1180" i="71"/>
  <c r="J1180" i="71"/>
  <c r="K1180" i="71" s="1"/>
  <c r="B1181" i="71"/>
  <c r="I1181" i="71"/>
  <c r="J1181" i="71"/>
  <c r="K1181" i="71" s="1"/>
  <c r="B1182" i="71"/>
  <c r="I1182" i="71"/>
  <c r="J1182" i="71"/>
  <c r="K1182" i="71" s="1"/>
  <c r="B1183" i="71"/>
  <c r="I1183" i="71"/>
  <c r="J1183" i="71"/>
  <c r="K1183" i="71" s="1"/>
  <c r="B1184" i="71"/>
  <c r="I1184" i="71"/>
  <c r="J1184" i="71"/>
  <c r="K1184" i="71" s="1"/>
  <c r="B1185" i="71"/>
  <c r="I1185" i="71"/>
  <c r="J1185" i="71"/>
  <c r="K1185" i="71" s="1"/>
  <c r="B1186" i="71"/>
  <c r="I1186" i="71"/>
  <c r="J1186" i="71"/>
  <c r="K1186" i="71" s="1"/>
  <c r="B1187" i="71"/>
  <c r="I1187" i="71"/>
  <c r="J1187" i="71"/>
  <c r="K1187" i="71" s="1"/>
  <c r="B1188" i="71"/>
  <c r="I1188" i="71"/>
  <c r="J1188" i="71"/>
  <c r="K1188" i="71" s="1"/>
  <c r="B1189" i="71"/>
  <c r="I1189" i="71"/>
  <c r="J1189" i="71"/>
  <c r="K1189" i="71" s="1"/>
  <c r="B1190" i="71"/>
  <c r="I1190" i="71"/>
  <c r="J1190" i="71"/>
  <c r="K1190" i="71" s="1"/>
  <c r="B1191" i="71"/>
  <c r="I1191" i="71"/>
  <c r="J1191" i="71"/>
  <c r="K1191" i="71" s="1"/>
  <c r="B1192" i="71"/>
  <c r="I1192" i="71"/>
  <c r="J1192" i="71"/>
  <c r="K1192" i="71" s="1"/>
  <c r="B1193" i="71"/>
  <c r="I1193" i="71"/>
  <c r="J1193" i="71"/>
  <c r="K1193" i="71" s="1"/>
  <c r="B1194" i="71"/>
  <c r="I1194" i="71"/>
  <c r="J1194" i="71"/>
  <c r="K1194" i="71" s="1"/>
  <c r="B1195" i="71"/>
  <c r="I1195" i="71"/>
  <c r="J1195" i="71"/>
  <c r="K1195" i="71" s="1"/>
  <c r="B1196" i="71"/>
  <c r="I1196" i="71"/>
  <c r="J1196" i="71"/>
  <c r="K1196" i="71" s="1"/>
  <c r="B1197" i="71"/>
  <c r="I1197" i="71"/>
  <c r="J1197" i="71"/>
  <c r="K1197" i="71" s="1"/>
  <c r="B1198" i="71"/>
  <c r="I1198" i="71"/>
  <c r="J1198" i="71"/>
  <c r="K1198" i="71" s="1"/>
  <c r="B1199" i="71"/>
  <c r="I1199" i="71"/>
  <c r="J1199" i="71"/>
  <c r="K1199" i="71" s="1"/>
  <c r="B1200" i="71"/>
  <c r="I1200" i="71"/>
  <c r="J1200" i="71"/>
  <c r="K1200" i="71" s="1"/>
  <c r="B1201" i="71"/>
  <c r="I1201" i="71"/>
  <c r="J1201" i="71"/>
  <c r="K1201" i="71" s="1"/>
  <c r="B1202" i="71"/>
  <c r="I1202" i="71"/>
  <c r="J1202" i="71"/>
  <c r="K1202" i="71" s="1"/>
  <c r="B1203" i="71"/>
  <c r="I1203" i="71"/>
  <c r="J1203" i="71"/>
  <c r="K1203" i="71" s="1"/>
  <c r="B1204" i="71"/>
  <c r="I1204" i="71"/>
  <c r="J1204" i="71"/>
  <c r="K1204" i="71" s="1"/>
  <c r="B1205" i="71"/>
  <c r="I1205" i="71"/>
  <c r="J1205" i="71"/>
  <c r="K1205" i="71" s="1"/>
  <c r="B1206" i="71"/>
  <c r="I1206" i="71"/>
  <c r="J1206" i="71"/>
  <c r="K1206" i="71" s="1"/>
  <c r="B1207" i="71"/>
  <c r="I1207" i="71"/>
  <c r="J1207" i="71"/>
  <c r="K1207" i="71" s="1"/>
  <c r="B1208" i="71"/>
  <c r="I1208" i="71"/>
  <c r="J1208" i="71"/>
  <c r="K1208" i="71" s="1"/>
  <c r="B1209" i="71"/>
  <c r="I1209" i="71"/>
  <c r="J1209" i="71"/>
  <c r="K1209" i="71" s="1"/>
  <c r="B1210" i="71"/>
  <c r="I1210" i="71"/>
  <c r="J1210" i="71"/>
  <c r="K1210" i="71" s="1"/>
  <c r="B1211" i="71"/>
  <c r="I1211" i="71"/>
  <c r="J1211" i="71"/>
  <c r="K1211" i="71" s="1"/>
  <c r="B1212" i="71"/>
  <c r="I1212" i="71"/>
  <c r="J1212" i="71"/>
  <c r="K1212" i="71" s="1"/>
  <c r="B1213" i="71"/>
  <c r="I1213" i="71"/>
  <c r="J1213" i="71"/>
  <c r="K1213" i="71" s="1"/>
  <c r="B1214" i="71"/>
  <c r="I1214" i="71"/>
  <c r="J1214" i="71"/>
  <c r="K1214" i="71" s="1"/>
  <c r="B1215" i="71"/>
  <c r="I1215" i="71"/>
  <c r="J1215" i="71"/>
  <c r="K1215" i="71" s="1"/>
  <c r="B1216" i="71"/>
  <c r="I1216" i="71"/>
  <c r="J1216" i="71"/>
  <c r="K1216" i="71" s="1"/>
  <c r="B1217" i="71"/>
  <c r="I1217" i="71"/>
  <c r="J1217" i="71"/>
  <c r="K1217" i="71" s="1"/>
  <c r="B1218" i="71"/>
  <c r="I1218" i="71"/>
  <c r="J1218" i="71"/>
  <c r="K1218" i="71" s="1"/>
  <c r="B1219" i="71"/>
  <c r="I1219" i="71"/>
  <c r="J1219" i="71"/>
  <c r="K1219" i="71" s="1"/>
  <c r="B1220" i="71"/>
  <c r="I1220" i="71"/>
  <c r="J1220" i="71"/>
  <c r="K1220" i="71" s="1"/>
  <c r="B1221" i="71"/>
  <c r="I1221" i="71"/>
  <c r="J1221" i="71"/>
  <c r="K1221" i="71" s="1"/>
  <c r="B1222" i="71"/>
  <c r="I1222" i="71"/>
  <c r="J1222" i="71"/>
  <c r="K1222" i="71" s="1"/>
  <c r="B1223" i="71"/>
  <c r="I1223" i="71"/>
  <c r="J1223" i="71"/>
  <c r="K1223" i="71" s="1"/>
  <c r="B1224" i="71"/>
  <c r="I1224" i="71"/>
  <c r="J1224" i="71"/>
  <c r="K1224" i="71" s="1"/>
  <c r="B1225" i="71"/>
  <c r="I1225" i="71"/>
  <c r="J1225" i="71"/>
  <c r="K1225" i="71" s="1"/>
  <c r="B1226" i="71"/>
  <c r="I1226" i="71"/>
  <c r="J1226" i="71"/>
  <c r="K1226" i="71" s="1"/>
  <c r="B1227" i="71"/>
  <c r="I1227" i="71"/>
  <c r="J1227" i="71"/>
  <c r="K1227" i="71" s="1"/>
  <c r="B1228" i="71"/>
  <c r="I1228" i="71"/>
  <c r="J1228" i="71"/>
  <c r="K1228" i="71" s="1"/>
  <c r="B1229" i="71"/>
  <c r="I1229" i="71"/>
  <c r="J1229" i="71"/>
  <c r="K1229" i="71" s="1"/>
  <c r="B1230" i="71"/>
  <c r="I1230" i="71"/>
  <c r="J1230" i="71"/>
  <c r="K1230" i="71" s="1"/>
  <c r="B1231" i="71"/>
  <c r="I1231" i="71"/>
  <c r="J1231" i="71"/>
  <c r="K1231" i="71" s="1"/>
  <c r="B1232" i="71"/>
  <c r="I1232" i="71"/>
  <c r="J1232" i="71"/>
  <c r="K1232" i="71" s="1"/>
  <c r="B1233" i="71"/>
  <c r="I1233" i="71"/>
  <c r="J1233" i="71"/>
  <c r="K1233" i="71" s="1"/>
  <c r="B1234" i="71"/>
  <c r="I1234" i="71"/>
  <c r="J1234" i="71"/>
  <c r="K1234" i="71" s="1"/>
  <c r="B1235" i="71"/>
  <c r="I1235" i="71"/>
  <c r="J1235" i="71"/>
  <c r="K1235" i="71" s="1"/>
  <c r="B1236" i="71"/>
  <c r="I1236" i="71"/>
  <c r="J1236" i="71"/>
  <c r="K1236" i="71" s="1"/>
  <c r="B1237" i="71"/>
  <c r="I1237" i="71"/>
  <c r="J1237" i="71"/>
  <c r="K1237" i="71" s="1"/>
  <c r="B1238" i="71"/>
  <c r="I1238" i="71"/>
  <c r="J1238" i="71"/>
  <c r="K1238" i="71" s="1"/>
  <c r="B1239" i="71"/>
  <c r="I1239" i="71"/>
  <c r="J1239" i="71"/>
  <c r="K1239" i="71" s="1"/>
  <c r="B1240" i="71"/>
  <c r="I1240" i="71"/>
  <c r="J1240" i="71"/>
  <c r="K1240" i="71" s="1"/>
  <c r="B1241" i="71"/>
  <c r="I1241" i="71"/>
  <c r="J1241" i="71"/>
  <c r="K1241" i="71" s="1"/>
  <c r="B1242" i="71"/>
  <c r="I1242" i="71"/>
  <c r="J1242" i="71"/>
  <c r="K1242" i="71" s="1"/>
  <c r="B1243" i="71"/>
  <c r="I1243" i="71"/>
  <c r="J1243" i="71"/>
  <c r="K1243" i="71" s="1"/>
  <c r="B1244" i="71"/>
  <c r="I1244" i="71"/>
  <c r="J1244" i="71"/>
  <c r="K1244" i="71" s="1"/>
  <c r="B1245" i="71"/>
  <c r="I1245" i="71"/>
  <c r="J1245" i="71"/>
  <c r="K1245" i="71" s="1"/>
  <c r="B1246" i="71"/>
  <c r="I1246" i="71"/>
  <c r="J1246" i="71"/>
  <c r="K1246" i="71" s="1"/>
  <c r="B1247" i="71"/>
  <c r="I1247" i="71"/>
  <c r="J1247" i="71"/>
  <c r="K1247" i="71" s="1"/>
  <c r="B1248" i="71"/>
  <c r="I1248" i="71"/>
  <c r="J1248" i="71"/>
  <c r="K1248" i="71" s="1"/>
  <c r="B1249" i="71"/>
  <c r="I1249" i="71"/>
  <c r="J1249" i="71"/>
  <c r="K1249" i="71" s="1"/>
  <c r="B1250" i="71"/>
  <c r="I1250" i="71"/>
  <c r="J1250" i="71"/>
  <c r="K1250" i="71" s="1"/>
  <c r="B1251" i="71"/>
  <c r="I1251" i="71"/>
  <c r="J1251" i="71"/>
  <c r="K1251" i="71" s="1"/>
  <c r="B1252" i="71"/>
  <c r="I1252" i="71"/>
  <c r="J1252" i="71"/>
  <c r="K1252" i="71" s="1"/>
  <c r="B1253" i="71"/>
  <c r="I1253" i="71"/>
  <c r="J1253" i="71"/>
  <c r="K1253" i="71" s="1"/>
  <c r="B1254" i="71"/>
  <c r="I1254" i="71"/>
  <c r="J1254" i="71"/>
  <c r="K1254" i="71" s="1"/>
  <c r="B1255" i="71"/>
  <c r="I1255" i="71"/>
  <c r="J1255" i="71"/>
  <c r="K1255" i="71" s="1"/>
  <c r="B1256" i="71"/>
  <c r="I1256" i="71"/>
  <c r="J1256" i="71"/>
  <c r="K1256" i="71" s="1"/>
  <c r="B1257" i="71"/>
  <c r="I1257" i="71"/>
  <c r="J1257" i="71"/>
  <c r="K1257" i="71" s="1"/>
  <c r="B1258" i="71"/>
  <c r="I1258" i="71"/>
  <c r="J1258" i="71"/>
  <c r="K1258" i="71" s="1"/>
  <c r="B1259" i="71"/>
  <c r="I1259" i="71"/>
  <c r="J1259" i="71"/>
  <c r="K1259" i="71" s="1"/>
  <c r="B1260" i="71"/>
  <c r="I1260" i="71"/>
  <c r="J1260" i="71"/>
  <c r="K1260" i="71" s="1"/>
  <c r="B1261" i="71"/>
  <c r="I1261" i="71"/>
  <c r="J1261" i="71"/>
  <c r="K1261" i="71" s="1"/>
  <c r="B1262" i="71"/>
  <c r="I1262" i="71"/>
  <c r="J1262" i="71"/>
  <c r="K1262" i="71" s="1"/>
  <c r="B1263" i="71"/>
  <c r="I1263" i="71"/>
  <c r="J1263" i="71"/>
  <c r="K1263" i="71" s="1"/>
  <c r="B1264" i="71"/>
  <c r="I1264" i="71"/>
  <c r="J1264" i="71"/>
  <c r="K1264" i="71" s="1"/>
  <c r="B1265" i="71"/>
  <c r="I1265" i="71"/>
  <c r="J1265" i="71"/>
  <c r="K1265" i="71" s="1"/>
  <c r="B1266" i="71"/>
  <c r="I1266" i="71"/>
  <c r="J1266" i="71"/>
  <c r="K1266" i="71" s="1"/>
  <c r="B1267" i="71"/>
  <c r="I1267" i="71"/>
  <c r="J1267" i="71"/>
  <c r="K1267" i="71" s="1"/>
  <c r="B1268" i="71"/>
  <c r="I1268" i="71"/>
  <c r="J1268" i="71"/>
  <c r="K1268" i="71" s="1"/>
  <c r="B1269" i="71"/>
  <c r="I1269" i="71"/>
  <c r="J1269" i="71"/>
  <c r="K1269" i="71" s="1"/>
  <c r="B1270" i="71"/>
  <c r="I1270" i="71"/>
  <c r="J1270" i="71"/>
  <c r="K1270" i="71" s="1"/>
  <c r="B1271" i="71"/>
  <c r="I1271" i="71"/>
  <c r="J1271" i="71"/>
  <c r="K1271" i="71" s="1"/>
  <c r="B1272" i="71"/>
  <c r="I1272" i="71"/>
  <c r="J1272" i="71"/>
  <c r="K1272" i="71" s="1"/>
  <c r="B1273" i="71"/>
  <c r="I1273" i="71"/>
  <c r="J1273" i="71"/>
  <c r="K1273" i="71" s="1"/>
  <c r="B1274" i="71"/>
  <c r="I1274" i="71"/>
  <c r="J1274" i="71"/>
  <c r="K1274" i="71" s="1"/>
  <c r="B1275" i="71"/>
  <c r="I1275" i="71"/>
  <c r="J1275" i="71"/>
  <c r="K1275" i="71" s="1"/>
  <c r="B1276" i="71"/>
  <c r="I1276" i="71"/>
  <c r="J1276" i="71"/>
  <c r="K1276" i="71" s="1"/>
  <c r="B1277" i="71"/>
  <c r="I1277" i="71"/>
  <c r="J1277" i="71"/>
  <c r="K1277" i="71" s="1"/>
  <c r="B1278" i="71"/>
  <c r="I1278" i="71"/>
  <c r="J1278" i="71"/>
  <c r="K1278" i="71" s="1"/>
  <c r="B1279" i="71"/>
  <c r="I1279" i="71"/>
  <c r="J1279" i="71"/>
  <c r="K1279" i="71" s="1"/>
  <c r="B1280" i="71"/>
  <c r="I1280" i="71"/>
  <c r="J1280" i="71"/>
  <c r="K1280" i="71" s="1"/>
  <c r="B1281" i="71"/>
  <c r="I1281" i="71"/>
  <c r="J1281" i="71"/>
  <c r="K1281" i="71" s="1"/>
  <c r="B1282" i="71"/>
  <c r="I1282" i="71"/>
  <c r="J1282" i="71"/>
  <c r="K1282" i="71" s="1"/>
  <c r="B1283" i="71"/>
  <c r="I1283" i="71"/>
  <c r="J1283" i="71"/>
  <c r="K1283" i="71" s="1"/>
  <c r="B1284" i="71"/>
  <c r="I1284" i="71"/>
  <c r="J1284" i="71"/>
  <c r="K1284" i="71" s="1"/>
  <c r="B1285" i="71"/>
  <c r="I1285" i="71"/>
  <c r="J1285" i="71"/>
  <c r="K1285" i="71" s="1"/>
  <c r="B1286" i="71"/>
  <c r="I1286" i="71"/>
  <c r="J1286" i="71"/>
  <c r="K1286" i="71" s="1"/>
  <c r="B1287" i="71"/>
  <c r="I1287" i="71"/>
  <c r="J1287" i="71"/>
  <c r="K1287" i="71" s="1"/>
  <c r="B1288" i="71"/>
  <c r="I1288" i="71"/>
  <c r="J1288" i="71"/>
  <c r="K1288" i="71" s="1"/>
  <c r="B1289" i="71"/>
  <c r="I1289" i="71"/>
  <c r="J1289" i="71"/>
  <c r="K1289" i="71" s="1"/>
  <c r="B1290" i="71"/>
  <c r="I1290" i="71"/>
  <c r="J1290" i="71"/>
  <c r="K1290" i="71" s="1"/>
  <c r="B1291" i="71"/>
  <c r="I1291" i="71"/>
  <c r="J1291" i="71"/>
  <c r="K1291" i="71" s="1"/>
  <c r="B1292" i="71"/>
  <c r="I1292" i="71"/>
  <c r="J1292" i="71"/>
  <c r="K1292" i="71" s="1"/>
  <c r="B1293" i="71"/>
  <c r="I1293" i="71"/>
  <c r="J1293" i="71"/>
  <c r="K1293" i="71" s="1"/>
  <c r="B1294" i="71"/>
  <c r="I1294" i="71"/>
  <c r="J1294" i="71"/>
  <c r="K1294" i="71" s="1"/>
  <c r="B1295" i="71"/>
  <c r="I1295" i="71"/>
  <c r="J1295" i="71"/>
  <c r="K1295" i="71" s="1"/>
  <c r="B1296" i="71"/>
  <c r="I1296" i="71"/>
  <c r="J1296" i="71"/>
  <c r="K1296" i="71" s="1"/>
  <c r="B1297" i="71"/>
  <c r="I1297" i="71"/>
  <c r="J1297" i="71"/>
  <c r="K1297" i="71" s="1"/>
  <c r="B1298" i="71"/>
  <c r="I1298" i="71"/>
  <c r="J1298" i="71"/>
  <c r="K1298" i="71" s="1"/>
  <c r="B1299" i="71"/>
  <c r="I1299" i="71"/>
  <c r="J1299" i="71"/>
  <c r="K1299" i="71" s="1"/>
  <c r="B1300" i="71"/>
  <c r="I1300" i="71"/>
  <c r="J1300" i="71"/>
  <c r="K1300" i="71" s="1"/>
  <c r="AG89" i="73"/>
  <c r="H844" i="71" l="1"/>
  <c r="H846" i="71"/>
  <c r="H775" i="71"/>
  <c r="H629" i="71"/>
  <c r="H628" i="71"/>
  <c r="AH89" i="73"/>
  <c r="AG75" i="73" l="1"/>
  <c r="AH75" i="73" s="1"/>
  <c r="I75" i="73"/>
  <c r="K75" i="73"/>
  <c r="L75" i="73"/>
  <c r="I88" i="73"/>
  <c r="K88" i="73"/>
  <c r="L88" i="73"/>
  <c r="I89" i="73"/>
  <c r="K89" i="73"/>
  <c r="L89" i="73"/>
  <c r="AG109" i="73" l="1"/>
  <c r="AH109" i="73" s="1"/>
  <c r="L109" i="73"/>
  <c r="K109" i="73"/>
  <c r="I109" i="73"/>
  <c r="A109" i="73"/>
  <c r="L36" i="73"/>
  <c r="L37" i="73"/>
  <c r="AG84" i="73" l="1"/>
  <c r="AH84" i="73" s="1"/>
  <c r="AG77" i="73"/>
  <c r="AH77" i="73" s="1"/>
  <c r="AG71" i="73"/>
  <c r="AH71" i="73" s="1"/>
  <c r="AG82" i="73"/>
  <c r="AH82" i="73" s="1"/>
  <c r="AG70" i="73"/>
  <c r="AH70" i="73" s="1"/>
  <c r="AG83" i="73"/>
  <c r="AH83" i="73" s="1"/>
  <c r="AG85" i="73"/>
  <c r="AH85" i="73" s="1"/>
  <c r="AG86" i="73"/>
  <c r="AH86" i="73" s="1"/>
  <c r="AG87" i="73"/>
  <c r="AH87" i="73" s="1"/>
  <c r="AG72" i="73"/>
  <c r="AH72" i="73" s="1"/>
  <c r="AG78" i="73"/>
  <c r="AH78" i="73" s="1"/>
  <c r="AG73" i="73"/>
  <c r="AH73" i="73" s="1"/>
  <c r="AG79" i="73"/>
  <c r="AH79" i="73" s="1"/>
  <c r="AG80" i="73"/>
  <c r="AH80" i="73" s="1"/>
  <c r="AG74" i="73"/>
  <c r="AH74" i="73" s="1"/>
  <c r="AG81" i="73"/>
  <c r="AH81" i="73" s="1"/>
  <c r="AG88" i="73"/>
  <c r="AH88" i="73" s="1"/>
  <c r="I82" i="73"/>
  <c r="K82" i="73"/>
  <c r="L82" i="73"/>
  <c r="I70" i="73"/>
  <c r="K70" i="73"/>
  <c r="L70" i="73"/>
  <c r="I83" i="73"/>
  <c r="K83" i="73"/>
  <c r="L83" i="73"/>
  <c r="I84" i="73"/>
  <c r="K84" i="73"/>
  <c r="L84" i="73"/>
  <c r="I71" i="73"/>
  <c r="K71" i="73"/>
  <c r="L71" i="73"/>
  <c r="I85" i="73"/>
  <c r="K85" i="73"/>
  <c r="L85" i="73"/>
  <c r="I86" i="73"/>
  <c r="K86" i="73"/>
  <c r="L86" i="73"/>
  <c r="I87" i="73"/>
  <c r="K87" i="73"/>
  <c r="L87" i="73"/>
  <c r="I72" i="73"/>
  <c r="K72" i="73"/>
  <c r="L72" i="73"/>
  <c r="I78" i="73"/>
  <c r="K78" i="73"/>
  <c r="L78" i="73"/>
  <c r="I73" i="73"/>
  <c r="K73" i="73"/>
  <c r="L73" i="73"/>
  <c r="I79" i="73"/>
  <c r="K79" i="73"/>
  <c r="L79" i="73"/>
  <c r="I80" i="73"/>
  <c r="K80" i="73"/>
  <c r="L80" i="73"/>
  <c r="I74" i="73"/>
  <c r="K74" i="73"/>
  <c r="L74" i="73"/>
  <c r="I81" i="73"/>
  <c r="K81" i="73"/>
  <c r="L81" i="73"/>
  <c r="AG76" i="73"/>
  <c r="AH76" i="73" s="1"/>
  <c r="AG68" i="73"/>
  <c r="AH68" i="73" s="1"/>
  <c r="AG69" i="73"/>
  <c r="AH69" i="73" s="1"/>
  <c r="I76" i="73"/>
  <c r="K76" i="73"/>
  <c r="L76" i="73"/>
  <c r="I77" i="73"/>
  <c r="K77" i="73"/>
  <c r="L77" i="73"/>
  <c r="I68" i="73"/>
  <c r="K68" i="73"/>
  <c r="L68" i="73"/>
  <c r="I69" i="73"/>
  <c r="K69" i="73"/>
  <c r="L69" i="73"/>
  <c r="AG60" i="73"/>
  <c r="AH60" i="73" s="1"/>
  <c r="I60" i="73"/>
  <c r="K60" i="73"/>
  <c r="L60" i="73"/>
  <c r="AG57" i="73"/>
  <c r="AH57" i="73" s="1"/>
  <c r="AG66" i="73"/>
  <c r="AH66" i="73" s="1"/>
  <c r="AG55" i="73"/>
  <c r="AH55" i="73" s="1"/>
  <c r="L65" i="73"/>
  <c r="L66" i="73"/>
  <c r="L57" i="73"/>
  <c r="L55" i="73"/>
  <c r="L67" i="73"/>
  <c r="L56" i="73"/>
  <c r="AG65" i="73"/>
  <c r="AH65" i="73" s="1"/>
  <c r="I65" i="73" l="1"/>
  <c r="K65" i="73"/>
  <c r="I66" i="73"/>
  <c r="K66" i="73"/>
  <c r="I57" i="73"/>
  <c r="K57" i="73"/>
  <c r="I59" i="73"/>
  <c r="K59" i="73"/>
  <c r="AG63" i="73"/>
  <c r="AH63" i="73" s="1"/>
  <c r="AG67" i="73"/>
  <c r="AH67" i="73" s="1"/>
  <c r="AG61" i="73"/>
  <c r="AH61" i="73" s="1"/>
  <c r="AG58" i="73"/>
  <c r="AH58" i="73" s="1"/>
  <c r="AG62" i="73"/>
  <c r="AH62" i="73" s="1"/>
  <c r="AG56" i="73"/>
  <c r="AH56" i="73" s="1"/>
  <c r="AG59" i="73"/>
  <c r="AH59" i="73" s="1"/>
  <c r="I67" i="73"/>
  <c r="K67" i="73"/>
  <c r="I61" i="73"/>
  <c r="K61" i="73"/>
  <c r="L61" i="73"/>
  <c r="I58" i="73"/>
  <c r="K58" i="73"/>
  <c r="L58" i="73"/>
  <c r="I62" i="73"/>
  <c r="K62" i="73"/>
  <c r="L62" i="73"/>
  <c r="I56" i="73"/>
  <c r="K56" i="73"/>
  <c r="L59" i="73"/>
  <c r="AG51" i="73"/>
  <c r="AH51" i="73" s="1"/>
  <c r="I51" i="73"/>
  <c r="K51" i="73"/>
  <c r="L51" i="73"/>
  <c r="I53" i="73"/>
  <c r="K53" i="73"/>
  <c r="L53" i="73"/>
  <c r="I54" i="73"/>
  <c r="K54" i="73"/>
  <c r="L54" i="73"/>
  <c r="AG50" i="73"/>
  <c r="AH50" i="73" s="1"/>
  <c r="AG53" i="73"/>
  <c r="AH53" i="73" s="1"/>
  <c r="AG54" i="73"/>
  <c r="AH54" i="73" s="1"/>
  <c r="AG52" i="73"/>
  <c r="AH52" i="73" s="1"/>
  <c r="AG64" i="73"/>
  <c r="AH64" i="73" s="1"/>
  <c r="AG99" i="73"/>
  <c r="AH99" i="73" s="1"/>
  <c r="I52" i="73"/>
  <c r="K52" i="73"/>
  <c r="L52" i="73"/>
  <c r="I63" i="73"/>
  <c r="K63" i="73"/>
  <c r="L63" i="73"/>
  <c r="I64" i="73"/>
  <c r="K64" i="73"/>
  <c r="L64" i="73"/>
  <c r="I50" i="73"/>
  <c r="K50" i="73"/>
  <c r="L50" i="73"/>
  <c r="AG49" i="73"/>
  <c r="AH49" i="73" s="1"/>
  <c r="AG48" i="73"/>
  <c r="AH48" i="73" s="1"/>
  <c r="I49" i="73"/>
  <c r="K49" i="73"/>
  <c r="L49" i="73"/>
  <c r="K1179" i="69" l="1"/>
  <c r="K1178" i="69"/>
  <c r="K1177" i="69"/>
  <c r="K1176" i="69"/>
  <c r="K1175" i="69"/>
  <c r="K1174" i="69"/>
  <c r="K1173" i="69"/>
  <c r="K1172" i="69"/>
  <c r="K1169" i="69"/>
  <c r="K1167" i="69"/>
  <c r="K1157" i="69"/>
  <c r="K1156" i="69"/>
  <c r="K1155" i="69"/>
  <c r="K1154" i="69"/>
  <c r="K1153" i="69"/>
  <c r="K1152" i="69"/>
  <c r="K1151" i="69"/>
  <c r="K1150" i="69"/>
  <c r="K1149" i="69"/>
  <c r="F109" i="69"/>
  <c r="J857" i="71"/>
  <c r="K857" i="71" s="1"/>
  <c r="I857" i="71"/>
  <c r="B857" i="71"/>
  <c r="J856" i="71"/>
  <c r="K856" i="71" s="1"/>
  <c r="I856" i="71"/>
  <c r="B856" i="71"/>
  <c r="J855" i="71"/>
  <c r="K855" i="71" s="1"/>
  <c r="I855" i="71"/>
  <c r="B855" i="71"/>
  <c r="J854" i="71"/>
  <c r="K854" i="71" s="1"/>
  <c r="I854" i="71"/>
  <c r="B854" i="71"/>
  <c r="J853" i="71"/>
  <c r="K853" i="71" s="1"/>
  <c r="I853" i="71"/>
  <c r="B853" i="71"/>
  <c r="J852" i="71"/>
  <c r="K852" i="71" s="1"/>
  <c r="I852" i="71"/>
  <c r="B852" i="71"/>
  <c r="J851" i="71"/>
  <c r="K851" i="71" s="1"/>
  <c r="I851" i="71"/>
  <c r="B851" i="71"/>
  <c r="J850" i="71"/>
  <c r="K850" i="71" s="1"/>
  <c r="I850" i="71"/>
  <c r="B850" i="71"/>
  <c r="J849" i="71"/>
  <c r="K849" i="71" s="1"/>
  <c r="I849" i="71"/>
  <c r="B849" i="71"/>
  <c r="J848" i="71"/>
  <c r="K848" i="71" s="1"/>
  <c r="I848" i="71"/>
  <c r="B848" i="71"/>
  <c r="J847" i="71"/>
  <c r="K847" i="71" s="1"/>
  <c r="I847" i="71"/>
  <c r="B847" i="71"/>
  <c r="J846" i="71"/>
  <c r="K846" i="71" s="1"/>
  <c r="I846" i="71"/>
  <c r="B846" i="71"/>
  <c r="J845" i="71"/>
  <c r="K845" i="71" s="1"/>
  <c r="I845" i="71"/>
  <c r="B845" i="71"/>
  <c r="J844" i="71"/>
  <c r="K844" i="71" s="1"/>
  <c r="I844" i="71"/>
  <c r="B844" i="71"/>
  <c r="J843" i="71"/>
  <c r="K843" i="71" s="1"/>
  <c r="I843" i="71"/>
  <c r="B843" i="71"/>
  <c r="J842" i="71"/>
  <c r="K842" i="71" s="1"/>
  <c r="I842" i="71"/>
  <c r="B842" i="71"/>
  <c r="J841" i="71"/>
  <c r="K841" i="71" s="1"/>
  <c r="I841" i="71"/>
  <c r="B841" i="71"/>
  <c r="J840" i="71"/>
  <c r="K840" i="71" s="1"/>
  <c r="I840" i="71"/>
  <c r="B840" i="71"/>
  <c r="J839" i="71"/>
  <c r="K839" i="71" s="1"/>
  <c r="I839" i="71"/>
  <c r="B839" i="71"/>
  <c r="J838" i="71"/>
  <c r="K838" i="71" s="1"/>
  <c r="I838" i="71"/>
  <c r="B838" i="71"/>
  <c r="J837" i="71"/>
  <c r="K837" i="71" s="1"/>
  <c r="I837" i="71"/>
  <c r="B837" i="71"/>
  <c r="J836" i="71"/>
  <c r="K836" i="71" s="1"/>
  <c r="I836" i="71"/>
  <c r="B836" i="71"/>
  <c r="J835" i="71"/>
  <c r="K835" i="71" s="1"/>
  <c r="I835" i="71"/>
  <c r="B835" i="71"/>
  <c r="J834" i="71"/>
  <c r="K834" i="71" s="1"/>
  <c r="I834" i="71"/>
  <c r="B834" i="71"/>
  <c r="J833" i="71"/>
  <c r="K833" i="71" s="1"/>
  <c r="I833" i="71"/>
  <c r="B833" i="71"/>
  <c r="J832" i="71"/>
  <c r="K832" i="71" s="1"/>
  <c r="I832" i="71"/>
  <c r="B832" i="71"/>
  <c r="J831" i="71"/>
  <c r="K831" i="71" s="1"/>
  <c r="I831" i="71"/>
  <c r="B831" i="71"/>
  <c r="J830" i="71"/>
  <c r="K830" i="71" s="1"/>
  <c r="I830" i="71"/>
  <c r="B830" i="71"/>
  <c r="J829" i="71"/>
  <c r="K829" i="71" s="1"/>
  <c r="I829" i="71"/>
  <c r="B829" i="71"/>
  <c r="J828" i="71"/>
  <c r="K828" i="71" s="1"/>
  <c r="I828" i="71"/>
  <c r="B828" i="71"/>
  <c r="J827" i="71"/>
  <c r="K827" i="71" s="1"/>
  <c r="I827" i="71"/>
  <c r="B827" i="71"/>
  <c r="J826" i="71"/>
  <c r="K826" i="71" s="1"/>
  <c r="I826" i="71"/>
  <c r="B826" i="71"/>
  <c r="J825" i="71"/>
  <c r="K825" i="71" s="1"/>
  <c r="I825" i="71"/>
  <c r="B825" i="71"/>
  <c r="J824" i="71"/>
  <c r="K824" i="71" s="1"/>
  <c r="I824" i="71"/>
  <c r="B824" i="71"/>
  <c r="J823" i="71"/>
  <c r="K823" i="71" s="1"/>
  <c r="I823" i="71"/>
  <c r="B823" i="71"/>
  <c r="J822" i="71"/>
  <c r="K822" i="71" s="1"/>
  <c r="I822" i="71"/>
  <c r="B822" i="71"/>
  <c r="J821" i="71"/>
  <c r="K821" i="71" s="1"/>
  <c r="I821" i="71"/>
  <c r="B821" i="71"/>
  <c r="J820" i="71"/>
  <c r="K820" i="71" s="1"/>
  <c r="I820" i="71"/>
  <c r="B820" i="71"/>
  <c r="J819" i="71"/>
  <c r="K819" i="71" s="1"/>
  <c r="I819" i="71"/>
  <c r="B819" i="71"/>
  <c r="J818" i="71"/>
  <c r="K818" i="71" s="1"/>
  <c r="I818" i="71"/>
  <c r="B818" i="71"/>
  <c r="J817" i="71"/>
  <c r="K817" i="71" s="1"/>
  <c r="I817" i="71"/>
  <c r="B817" i="71"/>
  <c r="J816" i="71"/>
  <c r="K816" i="71" s="1"/>
  <c r="I816" i="71"/>
  <c r="B816" i="71"/>
  <c r="J815" i="71"/>
  <c r="K815" i="71" s="1"/>
  <c r="I815" i="71"/>
  <c r="B815" i="71"/>
  <c r="J814" i="71"/>
  <c r="K814" i="71" s="1"/>
  <c r="I814" i="71"/>
  <c r="B814" i="71"/>
  <c r="J813" i="71"/>
  <c r="K813" i="71" s="1"/>
  <c r="I813" i="71"/>
  <c r="B813" i="71"/>
  <c r="J812" i="71"/>
  <c r="K812" i="71" s="1"/>
  <c r="I812" i="71"/>
  <c r="B812" i="71"/>
  <c r="J811" i="71"/>
  <c r="K811" i="71" s="1"/>
  <c r="I811" i="71"/>
  <c r="B811" i="71"/>
  <c r="J810" i="71"/>
  <c r="K810" i="71" s="1"/>
  <c r="I810" i="71"/>
  <c r="B810" i="71"/>
  <c r="J809" i="71"/>
  <c r="K809" i="71" s="1"/>
  <c r="I809" i="71"/>
  <c r="B809" i="71"/>
  <c r="J808" i="71"/>
  <c r="K808" i="71" s="1"/>
  <c r="I808" i="71"/>
  <c r="B808" i="71"/>
  <c r="J807" i="71"/>
  <c r="K807" i="71" s="1"/>
  <c r="I807" i="71"/>
  <c r="B807" i="71"/>
  <c r="J806" i="71"/>
  <c r="K806" i="71" s="1"/>
  <c r="I806" i="71"/>
  <c r="B806" i="71"/>
  <c r="J805" i="71"/>
  <c r="K805" i="71" s="1"/>
  <c r="I805" i="71"/>
  <c r="B805" i="71"/>
  <c r="J804" i="71"/>
  <c r="K804" i="71" s="1"/>
  <c r="I804" i="71"/>
  <c r="B804" i="71"/>
  <c r="J803" i="71"/>
  <c r="K803" i="71" s="1"/>
  <c r="I803" i="71"/>
  <c r="B803" i="71"/>
  <c r="J802" i="71"/>
  <c r="K802" i="71" s="1"/>
  <c r="I802" i="71"/>
  <c r="B802" i="71"/>
  <c r="J801" i="71"/>
  <c r="K801" i="71" s="1"/>
  <c r="I801" i="71"/>
  <c r="B801" i="71"/>
  <c r="J800" i="71"/>
  <c r="K800" i="71" s="1"/>
  <c r="I800" i="71"/>
  <c r="B800" i="71"/>
  <c r="J799" i="71"/>
  <c r="K799" i="71" s="1"/>
  <c r="I799" i="71"/>
  <c r="B799" i="71"/>
  <c r="J798" i="71"/>
  <c r="K798" i="71" s="1"/>
  <c r="I798" i="71"/>
  <c r="B798" i="71"/>
  <c r="J797" i="71"/>
  <c r="K797" i="71" s="1"/>
  <c r="I797" i="71"/>
  <c r="B797" i="71"/>
  <c r="J796" i="71"/>
  <c r="K796" i="71" s="1"/>
  <c r="I796" i="71"/>
  <c r="B796" i="71"/>
  <c r="J795" i="71"/>
  <c r="K795" i="71" s="1"/>
  <c r="I795" i="71"/>
  <c r="B795" i="71"/>
  <c r="J794" i="71"/>
  <c r="K794" i="71" s="1"/>
  <c r="I794" i="71"/>
  <c r="B794" i="71"/>
  <c r="J793" i="71"/>
  <c r="K793" i="71" s="1"/>
  <c r="I793" i="71"/>
  <c r="B793" i="71"/>
  <c r="J792" i="71"/>
  <c r="K792" i="71" s="1"/>
  <c r="I792" i="71"/>
  <c r="B792" i="71"/>
  <c r="J791" i="71"/>
  <c r="K791" i="71" s="1"/>
  <c r="I791" i="71"/>
  <c r="B791" i="71"/>
  <c r="J790" i="71"/>
  <c r="K790" i="71" s="1"/>
  <c r="I790" i="71"/>
  <c r="B790" i="71"/>
  <c r="J789" i="71"/>
  <c r="K789" i="71" s="1"/>
  <c r="I789" i="71"/>
  <c r="B789" i="71"/>
  <c r="J788" i="71"/>
  <c r="K788" i="71" s="1"/>
  <c r="I788" i="71"/>
  <c r="B788" i="71"/>
  <c r="J787" i="71"/>
  <c r="K787" i="71" s="1"/>
  <c r="I787" i="71"/>
  <c r="B787" i="71"/>
  <c r="J786" i="71"/>
  <c r="K786" i="71" s="1"/>
  <c r="I786" i="71"/>
  <c r="B786" i="71"/>
  <c r="J785" i="71"/>
  <c r="K785" i="71" s="1"/>
  <c r="I785" i="71"/>
  <c r="B785" i="71"/>
  <c r="J784" i="71"/>
  <c r="K784" i="71" s="1"/>
  <c r="I784" i="71"/>
  <c r="B784" i="71"/>
  <c r="J783" i="71"/>
  <c r="K783" i="71" s="1"/>
  <c r="I783" i="71"/>
  <c r="B783" i="71"/>
  <c r="J782" i="71"/>
  <c r="K782" i="71" s="1"/>
  <c r="I782" i="71"/>
  <c r="B782" i="71"/>
  <c r="J781" i="71"/>
  <c r="K781" i="71" s="1"/>
  <c r="I781" i="71"/>
  <c r="B781" i="71"/>
  <c r="J780" i="71"/>
  <c r="K780" i="71" s="1"/>
  <c r="I780" i="71"/>
  <c r="B780" i="71"/>
  <c r="J779" i="71"/>
  <c r="K779" i="71" s="1"/>
  <c r="I779" i="71"/>
  <c r="B779" i="71"/>
  <c r="J778" i="71"/>
  <c r="K778" i="71" s="1"/>
  <c r="I778" i="71"/>
  <c r="B778" i="71"/>
  <c r="J777" i="71"/>
  <c r="K777" i="71" s="1"/>
  <c r="I777" i="71"/>
  <c r="B777" i="71"/>
  <c r="J776" i="71"/>
  <c r="K776" i="71" s="1"/>
  <c r="I776" i="71"/>
  <c r="B776" i="71"/>
  <c r="J775" i="71"/>
  <c r="K775" i="71" s="1"/>
  <c r="I775" i="71"/>
  <c r="B775" i="71"/>
  <c r="J774" i="71"/>
  <c r="K774" i="71" s="1"/>
  <c r="I774" i="71"/>
  <c r="B774" i="71"/>
  <c r="J773" i="71"/>
  <c r="K773" i="71" s="1"/>
  <c r="I773" i="71"/>
  <c r="B773" i="71"/>
  <c r="J772" i="71"/>
  <c r="K772" i="71" s="1"/>
  <c r="I772" i="71"/>
  <c r="B772" i="71"/>
  <c r="J771" i="71"/>
  <c r="K771" i="71" s="1"/>
  <c r="I771" i="71"/>
  <c r="B771" i="71"/>
  <c r="J770" i="71"/>
  <c r="K770" i="71" s="1"/>
  <c r="I770" i="71"/>
  <c r="B770" i="71"/>
  <c r="J769" i="71"/>
  <c r="K769" i="71" s="1"/>
  <c r="I769" i="71"/>
  <c r="B769" i="71"/>
  <c r="J768" i="71"/>
  <c r="K768" i="71" s="1"/>
  <c r="I768" i="71"/>
  <c r="B768" i="71"/>
  <c r="J767" i="71"/>
  <c r="K767" i="71" s="1"/>
  <c r="I767" i="71"/>
  <c r="B767" i="71"/>
  <c r="J766" i="71"/>
  <c r="K766" i="71" s="1"/>
  <c r="I766" i="71"/>
  <c r="B766" i="71"/>
  <c r="J765" i="71"/>
  <c r="K765" i="71" s="1"/>
  <c r="I765" i="71"/>
  <c r="B765" i="71"/>
  <c r="J764" i="71"/>
  <c r="K764" i="71" s="1"/>
  <c r="I764" i="71"/>
  <c r="B764" i="71"/>
  <c r="J763" i="71"/>
  <c r="K763" i="71" s="1"/>
  <c r="I763" i="71"/>
  <c r="B763" i="71"/>
  <c r="J762" i="71"/>
  <c r="K762" i="71" s="1"/>
  <c r="I762" i="71"/>
  <c r="B762" i="71"/>
  <c r="J761" i="71"/>
  <c r="K761" i="71" s="1"/>
  <c r="I761" i="71"/>
  <c r="B761" i="71"/>
  <c r="J760" i="71"/>
  <c r="K760" i="71" s="1"/>
  <c r="I760" i="71"/>
  <c r="B760" i="71"/>
  <c r="J759" i="71"/>
  <c r="K759" i="71" s="1"/>
  <c r="I759" i="71"/>
  <c r="B759" i="71"/>
  <c r="J758" i="71"/>
  <c r="K758" i="71" s="1"/>
  <c r="I758" i="71"/>
  <c r="B758" i="71"/>
  <c r="J757" i="71"/>
  <c r="K757" i="71" s="1"/>
  <c r="I757" i="71"/>
  <c r="B757" i="71"/>
  <c r="J756" i="71"/>
  <c r="K756" i="71" s="1"/>
  <c r="I756" i="71"/>
  <c r="B756" i="71"/>
  <c r="J755" i="71"/>
  <c r="K755" i="71" s="1"/>
  <c r="I755" i="71"/>
  <c r="B755" i="71"/>
  <c r="J754" i="71"/>
  <c r="K754" i="71" s="1"/>
  <c r="I754" i="71"/>
  <c r="B754" i="71"/>
  <c r="J753" i="71"/>
  <c r="K753" i="71" s="1"/>
  <c r="I753" i="71"/>
  <c r="B753" i="71"/>
  <c r="J752" i="71"/>
  <c r="K752" i="71" s="1"/>
  <c r="I752" i="71"/>
  <c r="B752" i="71"/>
  <c r="J751" i="71"/>
  <c r="K751" i="71" s="1"/>
  <c r="I751" i="71"/>
  <c r="B751" i="71"/>
  <c r="J750" i="71"/>
  <c r="K750" i="71" s="1"/>
  <c r="I750" i="71"/>
  <c r="B750" i="71"/>
  <c r="J749" i="71"/>
  <c r="K749" i="71" s="1"/>
  <c r="I749" i="71"/>
  <c r="B749" i="71"/>
  <c r="J748" i="71"/>
  <c r="K748" i="71" s="1"/>
  <c r="I748" i="71"/>
  <c r="B748" i="71"/>
  <c r="J747" i="71"/>
  <c r="K747" i="71" s="1"/>
  <c r="I747" i="71"/>
  <c r="B747" i="71"/>
  <c r="J746" i="71"/>
  <c r="K746" i="71" s="1"/>
  <c r="I746" i="71"/>
  <c r="B746" i="71"/>
  <c r="J745" i="71"/>
  <c r="K745" i="71" s="1"/>
  <c r="I745" i="71"/>
  <c r="B745" i="71"/>
  <c r="J744" i="71"/>
  <c r="K744" i="71" s="1"/>
  <c r="I744" i="71"/>
  <c r="B744" i="71"/>
  <c r="J743" i="71"/>
  <c r="K743" i="71" s="1"/>
  <c r="I743" i="71"/>
  <c r="B743" i="71"/>
  <c r="J742" i="71"/>
  <c r="K742" i="71" s="1"/>
  <c r="I742" i="71"/>
  <c r="B742" i="71"/>
  <c r="J741" i="71"/>
  <c r="K741" i="71" s="1"/>
  <c r="I741" i="71"/>
  <c r="B741" i="71"/>
  <c r="J740" i="71"/>
  <c r="K740" i="71" s="1"/>
  <c r="I740" i="71"/>
  <c r="B740" i="71"/>
  <c r="J739" i="71"/>
  <c r="K739" i="71" s="1"/>
  <c r="I739" i="71"/>
  <c r="B739" i="71"/>
  <c r="J738" i="71"/>
  <c r="K738" i="71" s="1"/>
  <c r="I738" i="71"/>
  <c r="B738" i="71"/>
  <c r="J737" i="71"/>
  <c r="K737" i="71" s="1"/>
  <c r="I737" i="71"/>
  <c r="B737" i="71"/>
  <c r="J736" i="71"/>
  <c r="K736" i="71" s="1"/>
  <c r="I736" i="71"/>
  <c r="B736" i="71"/>
  <c r="J735" i="71"/>
  <c r="K735" i="71" s="1"/>
  <c r="I735" i="71"/>
  <c r="B735" i="71"/>
  <c r="J734" i="71"/>
  <c r="K734" i="71" s="1"/>
  <c r="I734" i="71"/>
  <c r="B734" i="71"/>
  <c r="J733" i="71"/>
  <c r="K733" i="71" s="1"/>
  <c r="I733" i="71"/>
  <c r="B733" i="71"/>
  <c r="J732" i="71"/>
  <c r="K732" i="71" s="1"/>
  <c r="I732" i="71"/>
  <c r="B732" i="71"/>
  <c r="J731" i="71"/>
  <c r="K731" i="71" s="1"/>
  <c r="I731" i="71"/>
  <c r="B731" i="71"/>
  <c r="J730" i="71"/>
  <c r="K730" i="71" s="1"/>
  <c r="I730" i="71"/>
  <c r="B730" i="71"/>
  <c r="J729" i="71"/>
  <c r="K729" i="71" s="1"/>
  <c r="I729" i="71"/>
  <c r="B729" i="71"/>
  <c r="J728" i="71"/>
  <c r="K728" i="71" s="1"/>
  <c r="I728" i="71"/>
  <c r="B728" i="71"/>
  <c r="J727" i="71"/>
  <c r="K727" i="71" s="1"/>
  <c r="I727" i="71"/>
  <c r="B727" i="71"/>
  <c r="J726" i="71"/>
  <c r="K726" i="71" s="1"/>
  <c r="I726" i="71"/>
  <c r="B726" i="71"/>
  <c r="J725" i="71"/>
  <c r="K725" i="71" s="1"/>
  <c r="I725" i="71"/>
  <c r="B725" i="71"/>
  <c r="J724" i="71"/>
  <c r="K724" i="71" s="1"/>
  <c r="I724" i="71"/>
  <c r="B724" i="71"/>
  <c r="J723" i="71"/>
  <c r="K723" i="71" s="1"/>
  <c r="I723" i="71"/>
  <c r="B723" i="71"/>
  <c r="J722" i="71"/>
  <c r="K722" i="71" s="1"/>
  <c r="I722" i="71"/>
  <c r="B722" i="71"/>
  <c r="J721" i="71"/>
  <c r="K721" i="71" s="1"/>
  <c r="I721" i="71"/>
  <c r="B721" i="71"/>
  <c r="J720" i="71"/>
  <c r="K720" i="71" s="1"/>
  <c r="I720" i="71"/>
  <c r="B720" i="71"/>
  <c r="J719" i="71"/>
  <c r="K719" i="71" s="1"/>
  <c r="I719" i="71"/>
  <c r="B719" i="71"/>
  <c r="J718" i="71"/>
  <c r="K718" i="71" s="1"/>
  <c r="I718" i="71"/>
  <c r="B718" i="71"/>
  <c r="J717" i="71"/>
  <c r="K717" i="71" s="1"/>
  <c r="I717" i="71"/>
  <c r="B717" i="71"/>
  <c r="J716" i="71"/>
  <c r="K716" i="71" s="1"/>
  <c r="I716" i="71"/>
  <c r="B716" i="71"/>
  <c r="J715" i="71"/>
  <c r="K715" i="71" s="1"/>
  <c r="I715" i="71"/>
  <c r="B715" i="71"/>
  <c r="J714" i="71"/>
  <c r="K714" i="71" s="1"/>
  <c r="I714" i="71"/>
  <c r="B714" i="71"/>
  <c r="J713" i="71"/>
  <c r="K713" i="71" s="1"/>
  <c r="I713" i="71"/>
  <c r="B713" i="71"/>
  <c r="J712" i="71"/>
  <c r="K712" i="71" s="1"/>
  <c r="I712" i="71"/>
  <c r="B712" i="71"/>
  <c r="J711" i="71"/>
  <c r="K711" i="71" s="1"/>
  <c r="I711" i="71"/>
  <c r="B711" i="71"/>
  <c r="J710" i="71"/>
  <c r="K710" i="71" s="1"/>
  <c r="I710" i="71"/>
  <c r="B710" i="71"/>
  <c r="J709" i="71"/>
  <c r="K709" i="71" s="1"/>
  <c r="I709" i="71"/>
  <c r="B709" i="71"/>
  <c r="J708" i="71"/>
  <c r="K708" i="71" s="1"/>
  <c r="I708" i="71"/>
  <c r="B708" i="71"/>
  <c r="J707" i="71"/>
  <c r="K707" i="71" s="1"/>
  <c r="I707" i="71"/>
  <c r="B707" i="71"/>
  <c r="J706" i="71"/>
  <c r="K706" i="71" s="1"/>
  <c r="I706" i="71"/>
  <c r="B706" i="71"/>
  <c r="J705" i="71"/>
  <c r="K705" i="71" s="1"/>
  <c r="I705" i="71"/>
  <c r="B705" i="71"/>
  <c r="J704" i="71"/>
  <c r="K704" i="71" s="1"/>
  <c r="I704" i="71"/>
  <c r="B704" i="71"/>
  <c r="J703" i="71"/>
  <c r="K703" i="71" s="1"/>
  <c r="I703" i="71"/>
  <c r="B703" i="71"/>
  <c r="J702" i="71"/>
  <c r="K702" i="71" s="1"/>
  <c r="I702" i="71"/>
  <c r="B702" i="71"/>
  <c r="J701" i="71"/>
  <c r="K701" i="71" s="1"/>
  <c r="I701" i="71"/>
  <c r="B701" i="71"/>
  <c r="J700" i="71"/>
  <c r="K700" i="71" s="1"/>
  <c r="I700" i="71"/>
  <c r="B700" i="71"/>
  <c r="J699" i="71"/>
  <c r="K699" i="71" s="1"/>
  <c r="I699" i="71"/>
  <c r="B699" i="71"/>
  <c r="J698" i="71"/>
  <c r="K698" i="71" s="1"/>
  <c r="I698" i="71"/>
  <c r="B698" i="71"/>
  <c r="J697" i="71"/>
  <c r="K697" i="71" s="1"/>
  <c r="I697" i="71"/>
  <c r="B697" i="71"/>
  <c r="J696" i="71"/>
  <c r="K696" i="71" s="1"/>
  <c r="I696" i="71"/>
  <c r="B696" i="71"/>
  <c r="J695" i="71"/>
  <c r="K695" i="71" s="1"/>
  <c r="I695" i="71"/>
  <c r="B695" i="71"/>
  <c r="J694" i="71"/>
  <c r="K694" i="71" s="1"/>
  <c r="I694" i="71"/>
  <c r="B694" i="71"/>
  <c r="J693" i="71"/>
  <c r="K693" i="71" s="1"/>
  <c r="I693" i="71"/>
  <c r="B693" i="71"/>
  <c r="J692" i="71"/>
  <c r="K692" i="71" s="1"/>
  <c r="I692" i="71"/>
  <c r="B692" i="71"/>
  <c r="J691" i="71"/>
  <c r="K691" i="71" s="1"/>
  <c r="I691" i="71"/>
  <c r="B691" i="71"/>
  <c r="J690" i="71"/>
  <c r="K690" i="71" s="1"/>
  <c r="I690" i="71"/>
  <c r="B690" i="71"/>
  <c r="J689" i="71"/>
  <c r="K689" i="71" s="1"/>
  <c r="I689" i="71"/>
  <c r="B689" i="71"/>
  <c r="J688" i="71"/>
  <c r="K688" i="71" s="1"/>
  <c r="I688" i="71"/>
  <c r="B688" i="71"/>
  <c r="J687" i="71"/>
  <c r="K687" i="71" s="1"/>
  <c r="I687" i="71"/>
  <c r="B687" i="71"/>
  <c r="J686" i="71"/>
  <c r="K686" i="71" s="1"/>
  <c r="I686" i="71"/>
  <c r="B686" i="71"/>
  <c r="J685" i="71"/>
  <c r="K685" i="71" s="1"/>
  <c r="I685" i="71"/>
  <c r="B685" i="71"/>
  <c r="J684" i="71"/>
  <c r="K684" i="71" s="1"/>
  <c r="I684" i="71"/>
  <c r="B684" i="71"/>
  <c r="J683" i="71"/>
  <c r="K683" i="71" s="1"/>
  <c r="I683" i="71"/>
  <c r="B683" i="71"/>
  <c r="J682" i="71"/>
  <c r="K682" i="71" s="1"/>
  <c r="I682" i="71"/>
  <c r="B682" i="71"/>
  <c r="J681" i="71"/>
  <c r="K681" i="71" s="1"/>
  <c r="I681" i="71"/>
  <c r="B681" i="71"/>
  <c r="J680" i="71"/>
  <c r="K680" i="71" s="1"/>
  <c r="I680" i="71"/>
  <c r="B680" i="71"/>
  <c r="J679" i="71"/>
  <c r="K679" i="71" s="1"/>
  <c r="I679" i="71"/>
  <c r="B679" i="71"/>
  <c r="J678" i="71"/>
  <c r="K678" i="71" s="1"/>
  <c r="I678" i="71"/>
  <c r="B678" i="71"/>
  <c r="J677" i="71"/>
  <c r="K677" i="71" s="1"/>
  <c r="I677" i="71"/>
  <c r="B677" i="71"/>
  <c r="J676" i="71"/>
  <c r="K676" i="71" s="1"/>
  <c r="I676" i="71"/>
  <c r="B676" i="71"/>
  <c r="J675" i="71"/>
  <c r="K675" i="71" s="1"/>
  <c r="I675" i="71"/>
  <c r="B675" i="71"/>
  <c r="J674" i="71"/>
  <c r="K674" i="71" s="1"/>
  <c r="I674" i="71"/>
  <c r="B674" i="71"/>
  <c r="J673" i="71"/>
  <c r="K673" i="71" s="1"/>
  <c r="I673" i="71"/>
  <c r="B673" i="71"/>
  <c r="J672" i="71"/>
  <c r="K672" i="71" s="1"/>
  <c r="I672" i="71"/>
  <c r="B672" i="71"/>
  <c r="J671" i="71"/>
  <c r="K671" i="71" s="1"/>
  <c r="I671" i="71"/>
  <c r="B671" i="71"/>
  <c r="J670" i="71"/>
  <c r="K670" i="71" s="1"/>
  <c r="I670" i="71"/>
  <c r="B670" i="71"/>
  <c r="J669" i="71"/>
  <c r="K669" i="71" s="1"/>
  <c r="I669" i="71"/>
  <c r="B669" i="71"/>
  <c r="J668" i="71"/>
  <c r="K668" i="71" s="1"/>
  <c r="I668" i="71"/>
  <c r="B668" i="71"/>
  <c r="J667" i="71"/>
  <c r="K667" i="71" s="1"/>
  <c r="I667" i="71"/>
  <c r="B667" i="71"/>
  <c r="J666" i="71"/>
  <c r="K666" i="71" s="1"/>
  <c r="I666" i="71"/>
  <c r="B666" i="71"/>
  <c r="J665" i="71"/>
  <c r="K665" i="71" s="1"/>
  <c r="I665" i="71"/>
  <c r="B665" i="71"/>
  <c r="J664" i="71"/>
  <c r="K664" i="71" s="1"/>
  <c r="I664" i="71"/>
  <c r="B664" i="71"/>
  <c r="J663" i="71"/>
  <c r="K663" i="71" s="1"/>
  <c r="I663" i="71"/>
  <c r="B663" i="71"/>
  <c r="J662" i="71"/>
  <c r="K662" i="71" s="1"/>
  <c r="I662" i="71"/>
  <c r="B662" i="71"/>
  <c r="J661" i="71"/>
  <c r="K661" i="71" s="1"/>
  <c r="I661" i="71"/>
  <c r="B661" i="71"/>
  <c r="J660" i="71"/>
  <c r="K660" i="71" s="1"/>
  <c r="I660" i="71"/>
  <c r="B660" i="71"/>
  <c r="J659" i="71"/>
  <c r="K659" i="71" s="1"/>
  <c r="I659" i="71"/>
  <c r="B659" i="71"/>
  <c r="J658" i="71"/>
  <c r="K658" i="71" s="1"/>
  <c r="I658" i="71"/>
  <c r="B658" i="71"/>
  <c r="J657" i="71"/>
  <c r="K657" i="71" s="1"/>
  <c r="I657" i="71"/>
  <c r="B657" i="71"/>
  <c r="J656" i="71"/>
  <c r="K656" i="71" s="1"/>
  <c r="I656" i="71"/>
  <c r="B656" i="71"/>
  <c r="J655" i="71"/>
  <c r="K655" i="71" s="1"/>
  <c r="I655" i="71"/>
  <c r="B655" i="71"/>
  <c r="J654" i="71"/>
  <c r="K654" i="71" s="1"/>
  <c r="I654" i="71"/>
  <c r="B654" i="71"/>
  <c r="J653" i="71"/>
  <c r="K653" i="71" s="1"/>
  <c r="I653" i="71"/>
  <c r="B653" i="71"/>
  <c r="J652" i="71"/>
  <c r="K652" i="71" s="1"/>
  <c r="I652" i="71"/>
  <c r="B652" i="71"/>
  <c r="J651" i="71"/>
  <c r="K651" i="71" s="1"/>
  <c r="I651" i="71"/>
  <c r="B651" i="71"/>
  <c r="J650" i="71"/>
  <c r="K650" i="71" s="1"/>
  <c r="I650" i="71"/>
  <c r="B650" i="71"/>
  <c r="J649" i="71"/>
  <c r="K649" i="71" s="1"/>
  <c r="I649" i="71"/>
  <c r="B649" i="71"/>
  <c r="J648" i="71"/>
  <c r="K648" i="71" s="1"/>
  <c r="I648" i="71"/>
  <c r="B648" i="71"/>
  <c r="J647" i="71"/>
  <c r="K647" i="71" s="1"/>
  <c r="I647" i="71"/>
  <c r="B647" i="71"/>
  <c r="J646" i="71"/>
  <c r="K646" i="71" s="1"/>
  <c r="I646" i="71"/>
  <c r="B646" i="71"/>
  <c r="J645" i="71"/>
  <c r="K645" i="71" s="1"/>
  <c r="I645" i="71"/>
  <c r="B645" i="71"/>
  <c r="J644" i="71"/>
  <c r="K644" i="71" s="1"/>
  <c r="I644" i="71"/>
  <c r="B644" i="71"/>
  <c r="J643" i="71"/>
  <c r="K643" i="71" s="1"/>
  <c r="I643" i="71"/>
  <c r="B643" i="71"/>
  <c r="J642" i="71"/>
  <c r="K642" i="71" s="1"/>
  <c r="I642" i="71"/>
  <c r="B642" i="71"/>
  <c r="J641" i="71"/>
  <c r="K641" i="71" s="1"/>
  <c r="I641" i="71"/>
  <c r="B641" i="71"/>
  <c r="J640" i="71"/>
  <c r="K640" i="71" s="1"/>
  <c r="I640" i="71"/>
  <c r="B640" i="71"/>
  <c r="J639" i="71"/>
  <c r="K639" i="71" s="1"/>
  <c r="I639" i="71"/>
  <c r="B639" i="71"/>
  <c r="J638" i="71"/>
  <c r="K638" i="71" s="1"/>
  <c r="I638" i="71"/>
  <c r="B638" i="71"/>
  <c r="J637" i="71"/>
  <c r="K637" i="71" s="1"/>
  <c r="I637" i="71"/>
  <c r="B637" i="71"/>
  <c r="J636" i="71"/>
  <c r="K636" i="71" s="1"/>
  <c r="I636" i="71"/>
  <c r="B636" i="71"/>
  <c r="J635" i="71"/>
  <c r="K635" i="71" s="1"/>
  <c r="I635" i="71"/>
  <c r="B635" i="71"/>
  <c r="J634" i="71"/>
  <c r="K634" i="71" s="1"/>
  <c r="I634" i="71"/>
  <c r="B634" i="71"/>
  <c r="J633" i="71"/>
  <c r="K633" i="71" s="1"/>
  <c r="I633" i="71"/>
  <c r="B633" i="71"/>
  <c r="J632" i="71"/>
  <c r="K632" i="71" s="1"/>
  <c r="I632" i="71"/>
  <c r="B632" i="71"/>
  <c r="J631" i="71"/>
  <c r="K631" i="71" s="1"/>
  <c r="I631" i="71"/>
  <c r="B631" i="71"/>
  <c r="J630" i="71"/>
  <c r="K630" i="71" s="1"/>
  <c r="I630" i="71"/>
  <c r="B630" i="71"/>
  <c r="J629" i="71"/>
  <c r="K629" i="71" s="1"/>
  <c r="I629" i="71"/>
  <c r="B629" i="71"/>
  <c r="J628" i="71"/>
  <c r="K628" i="71" s="1"/>
  <c r="I628" i="71"/>
  <c r="B628" i="71"/>
  <c r="J627" i="71"/>
  <c r="K627" i="71" s="1"/>
  <c r="I627" i="71"/>
  <c r="B627" i="71"/>
  <c r="J626" i="71"/>
  <c r="K626" i="71" s="1"/>
  <c r="I626" i="71"/>
  <c r="B626" i="71"/>
  <c r="J625" i="71"/>
  <c r="K625" i="71" s="1"/>
  <c r="I625" i="71"/>
  <c r="B625" i="71"/>
  <c r="J624" i="71"/>
  <c r="K624" i="71" s="1"/>
  <c r="I624" i="71"/>
  <c r="B624" i="71"/>
  <c r="J623" i="71"/>
  <c r="K623" i="71" s="1"/>
  <c r="I623" i="71"/>
  <c r="B623" i="71"/>
  <c r="J622" i="71"/>
  <c r="K622" i="71" s="1"/>
  <c r="I622" i="71"/>
  <c r="B622" i="71"/>
  <c r="J621" i="71"/>
  <c r="K621" i="71" s="1"/>
  <c r="I621" i="71"/>
  <c r="B621" i="71"/>
  <c r="J620" i="71"/>
  <c r="K620" i="71" s="1"/>
  <c r="I620" i="71"/>
  <c r="B620" i="71"/>
  <c r="J619" i="71"/>
  <c r="K619" i="71" s="1"/>
  <c r="I619" i="71"/>
  <c r="B619" i="71"/>
  <c r="J618" i="71"/>
  <c r="K618" i="71" s="1"/>
  <c r="I618" i="71"/>
  <c r="B618" i="71"/>
  <c r="J617" i="71"/>
  <c r="K617" i="71" s="1"/>
  <c r="I617" i="71"/>
  <c r="B617" i="71"/>
  <c r="J616" i="71"/>
  <c r="K616" i="71" s="1"/>
  <c r="I616" i="71"/>
  <c r="B616" i="71"/>
  <c r="J615" i="71"/>
  <c r="K615" i="71" s="1"/>
  <c r="I615" i="71"/>
  <c r="B615" i="71"/>
  <c r="J614" i="71"/>
  <c r="K614" i="71" s="1"/>
  <c r="I614" i="71"/>
  <c r="B614" i="71"/>
  <c r="J613" i="71"/>
  <c r="K613" i="71" s="1"/>
  <c r="I613" i="71"/>
  <c r="B613" i="71"/>
  <c r="J612" i="71"/>
  <c r="K612" i="71" s="1"/>
  <c r="I612" i="71"/>
  <c r="B612" i="71"/>
  <c r="J611" i="71"/>
  <c r="K611" i="71" s="1"/>
  <c r="I611" i="71"/>
  <c r="B611" i="71"/>
  <c r="J610" i="71"/>
  <c r="K610" i="71" s="1"/>
  <c r="I610" i="71"/>
  <c r="B610" i="71"/>
  <c r="J609" i="71"/>
  <c r="K609" i="71" s="1"/>
  <c r="I609" i="71"/>
  <c r="B609" i="71"/>
  <c r="J608" i="71"/>
  <c r="K608" i="71" s="1"/>
  <c r="I608" i="71"/>
  <c r="B608" i="71"/>
  <c r="J607" i="71"/>
  <c r="K607" i="71" s="1"/>
  <c r="I607" i="71"/>
  <c r="B607" i="71"/>
  <c r="J606" i="71"/>
  <c r="K606" i="71" s="1"/>
  <c r="I606" i="71"/>
  <c r="B606" i="71"/>
  <c r="J605" i="71"/>
  <c r="K605" i="71" s="1"/>
  <c r="I605" i="71"/>
  <c r="B605" i="71"/>
  <c r="J604" i="71"/>
  <c r="K604" i="71" s="1"/>
  <c r="I604" i="71"/>
  <c r="B604" i="71"/>
  <c r="J603" i="71"/>
  <c r="K603" i="71" s="1"/>
  <c r="I603" i="71"/>
  <c r="B603" i="71"/>
  <c r="J602" i="71"/>
  <c r="K602" i="71" s="1"/>
  <c r="I602" i="71"/>
  <c r="B602" i="71"/>
  <c r="J601" i="71"/>
  <c r="K601" i="71" s="1"/>
  <c r="I601" i="71"/>
  <c r="B601" i="71"/>
  <c r="J600" i="71"/>
  <c r="K600" i="71" s="1"/>
  <c r="I600" i="71"/>
  <c r="B600" i="71"/>
  <c r="J599" i="71"/>
  <c r="K599" i="71" s="1"/>
  <c r="I599" i="71"/>
  <c r="B599" i="71"/>
  <c r="J598" i="71"/>
  <c r="K598" i="71" s="1"/>
  <c r="I598" i="71"/>
  <c r="B598" i="71"/>
  <c r="J597" i="71"/>
  <c r="K597" i="71" s="1"/>
  <c r="I597" i="71"/>
  <c r="B597" i="71"/>
  <c r="J596" i="71"/>
  <c r="K596" i="71" s="1"/>
  <c r="I596" i="71"/>
  <c r="B596" i="71"/>
  <c r="J595" i="71"/>
  <c r="K595" i="71" s="1"/>
  <c r="I595" i="71"/>
  <c r="B595" i="71"/>
  <c r="J594" i="71"/>
  <c r="K594" i="71" s="1"/>
  <c r="I594" i="71"/>
  <c r="B594" i="71"/>
  <c r="J593" i="71"/>
  <c r="K593" i="71" s="1"/>
  <c r="I593" i="71"/>
  <c r="B593" i="71"/>
  <c r="J592" i="71"/>
  <c r="K592" i="71" s="1"/>
  <c r="I592" i="71"/>
  <c r="B592" i="71"/>
  <c r="J591" i="71"/>
  <c r="K591" i="71" s="1"/>
  <c r="I591" i="71"/>
  <c r="B591" i="71"/>
  <c r="J590" i="71"/>
  <c r="K590" i="71" s="1"/>
  <c r="I590" i="71"/>
  <c r="B590" i="71"/>
  <c r="J589" i="71"/>
  <c r="K589" i="71" s="1"/>
  <c r="I589" i="71"/>
  <c r="B589" i="71"/>
  <c r="J588" i="71"/>
  <c r="K588" i="71" s="1"/>
  <c r="I588" i="71"/>
  <c r="B588" i="71"/>
  <c r="J587" i="71"/>
  <c r="K587" i="71" s="1"/>
  <c r="I587" i="71"/>
  <c r="B587" i="71"/>
  <c r="J586" i="71"/>
  <c r="K586" i="71" s="1"/>
  <c r="I586" i="71"/>
  <c r="B586" i="71"/>
  <c r="J585" i="71"/>
  <c r="K585" i="71" s="1"/>
  <c r="I585" i="71"/>
  <c r="B585" i="71"/>
  <c r="J584" i="71"/>
  <c r="K584" i="71" s="1"/>
  <c r="I584" i="71"/>
  <c r="B584" i="71"/>
  <c r="J583" i="71"/>
  <c r="K583" i="71" s="1"/>
  <c r="I583" i="71"/>
  <c r="B583" i="71"/>
  <c r="J582" i="71"/>
  <c r="K582" i="71" s="1"/>
  <c r="I582" i="71"/>
  <c r="B582" i="71"/>
  <c r="J581" i="71"/>
  <c r="K581" i="71" s="1"/>
  <c r="I581" i="71"/>
  <c r="B581" i="71"/>
  <c r="J580" i="71"/>
  <c r="K580" i="71" s="1"/>
  <c r="I580" i="71"/>
  <c r="B580" i="71"/>
  <c r="J579" i="71"/>
  <c r="K579" i="71" s="1"/>
  <c r="I579" i="71"/>
  <c r="B579" i="71"/>
  <c r="J578" i="71"/>
  <c r="K578" i="71" s="1"/>
  <c r="I578" i="71"/>
  <c r="B578" i="71"/>
  <c r="J577" i="71"/>
  <c r="K577" i="71" s="1"/>
  <c r="I577" i="71"/>
  <c r="B577" i="71"/>
  <c r="J576" i="71"/>
  <c r="K576" i="71" s="1"/>
  <c r="I576" i="71"/>
  <c r="B576" i="71"/>
  <c r="J575" i="71"/>
  <c r="K575" i="71" s="1"/>
  <c r="I575" i="71"/>
  <c r="B575" i="71"/>
  <c r="J574" i="71"/>
  <c r="K574" i="71" s="1"/>
  <c r="I574" i="71"/>
  <c r="B574" i="71"/>
  <c r="J573" i="71"/>
  <c r="K573" i="71" s="1"/>
  <c r="I573" i="71"/>
  <c r="B573" i="71"/>
  <c r="J572" i="71"/>
  <c r="K572" i="71" s="1"/>
  <c r="I572" i="71"/>
  <c r="B572" i="71"/>
  <c r="J571" i="71"/>
  <c r="K571" i="71" s="1"/>
  <c r="I571" i="71"/>
  <c r="B571" i="71"/>
  <c r="J570" i="71"/>
  <c r="K570" i="71" s="1"/>
  <c r="I570" i="71"/>
  <c r="B570" i="71"/>
  <c r="J569" i="71"/>
  <c r="K569" i="71" s="1"/>
  <c r="I569" i="71"/>
  <c r="B569" i="71"/>
  <c r="J568" i="71"/>
  <c r="K568" i="71" s="1"/>
  <c r="I568" i="71"/>
  <c r="B568" i="71"/>
  <c r="J567" i="71"/>
  <c r="K567" i="71" s="1"/>
  <c r="I567" i="71"/>
  <c r="B567" i="71"/>
  <c r="I566" i="71"/>
  <c r="B566" i="71"/>
  <c r="I565" i="71"/>
  <c r="B565" i="71"/>
  <c r="J564" i="71"/>
  <c r="K564" i="71" s="1"/>
  <c r="I564" i="71"/>
  <c r="B564" i="71"/>
  <c r="J563" i="71"/>
  <c r="K563" i="71" s="1"/>
  <c r="I563" i="71"/>
  <c r="B563" i="71"/>
  <c r="J562" i="71"/>
  <c r="K562" i="71" s="1"/>
  <c r="I562" i="71"/>
  <c r="B562" i="71"/>
  <c r="J561" i="71"/>
  <c r="K561" i="71" s="1"/>
  <c r="I561" i="71"/>
  <c r="B561" i="71"/>
  <c r="J560" i="71"/>
  <c r="K560" i="71" s="1"/>
  <c r="I560" i="71"/>
  <c r="B560" i="71"/>
  <c r="J559" i="71"/>
  <c r="K559" i="71" s="1"/>
  <c r="I559" i="71"/>
  <c r="B559" i="71"/>
  <c r="J558" i="71"/>
  <c r="K558" i="71" s="1"/>
  <c r="I558" i="71"/>
  <c r="B558" i="71"/>
  <c r="J557" i="71"/>
  <c r="K557" i="71" s="1"/>
  <c r="I557" i="71"/>
  <c r="B557" i="71"/>
  <c r="J556" i="71"/>
  <c r="K556" i="71" s="1"/>
  <c r="I556" i="71"/>
  <c r="B556" i="71"/>
  <c r="J555" i="71"/>
  <c r="K555" i="71" s="1"/>
  <c r="I555" i="71"/>
  <c r="B555" i="71"/>
  <c r="J554" i="71"/>
  <c r="K554" i="71" s="1"/>
  <c r="I554" i="71"/>
  <c r="B554" i="71"/>
  <c r="J553" i="71"/>
  <c r="K553" i="71" s="1"/>
  <c r="I553" i="71"/>
  <c r="B553" i="71"/>
  <c r="J552" i="71"/>
  <c r="K552" i="71" s="1"/>
  <c r="I552" i="71"/>
  <c r="B552" i="71"/>
  <c r="J551" i="71"/>
  <c r="K551" i="71" s="1"/>
  <c r="I551" i="71"/>
  <c r="B551" i="71"/>
  <c r="J550" i="71"/>
  <c r="K550" i="71" s="1"/>
  <c r="I550" i="71"/>
  <c r="B550" i="71"/>
  <c r="J549" i="71"/>
  <c r="K549" i="71" s="1"/>
  <c r="I549" i="71"/>
  <c r="B549" i="71"/>
  <c r="J548" i="71"/>
  <c r="K548" i="71" s="1"/>
  <c r="I548" i="71"/>
  <c r="B548" i="71"/>
  <c r="J547" i="71"/>
  <c r="K547" i="71" s="1"/>
  <c r="I547" i="71"/>
  <c r="B547" i="71"/>
  <c r="J546" i="71"/>
  <c r="K546" i="71" s="1"/>
  <c r="I546" i="71"/>
  <c r="B546" i="71"/>
  <c r="J545" i="71"/>
  <c r="K545" i="71" s="1"/>
  <c r="I545" i="71"/>
  <c r="B545" i="71"/>
  <c r="J544" i="71"/>
  <c r="K544" i="71" s="1"/>
  <c r="I544" i="71"/>
  <c r="B544" i="71"/>
  <c r="J543" i="71"/>
  <c r="K543" i="71" s="1"/>
  <c r="I543" i="71"/>
  <c r="B543" i="71"/>
  <c r="J542" i="71"/>
  <c r="K542" i="71" s="1"/>
  <c r="I542" i="71"/>
  <c r="B542" i="71"/>
  <c r="J541" i="71"/>
  <c r="K541" i="71" s="1"/>
  <c r="I541" i="71"/>
  <c r="B541" i="71"/>
  <c r="J540" i="71"/>
  <c r="K540" i="71" s="1"/>
  <c r="I540" i="71"/>
  <c r="B540" i="71"/>
  <c r="J539" i="71"/>
  <c r="K539" i="71" s="1"/>
  <c r="I539" i="71"/>
  <c r="B539" i="71"/>
  <c r="J538" i="71"/>
  <c r="K538" i="71" s="1"/>
  <c r="I538" i="71"/>
  <c r="B538" i="71"/>
  <c r="J537" i="71"/>
  <c r="K537" i="71" s="1"/>
  <c r="I537" i="71"/>
  <c r="B537" i="71"/>
  <c r="K536" i="71"/>
  <c r="B536" i="71"/>
  <c r="K535" i="71"/>
  <c r="B535" i="71"/>
  <c r="K534" i="71"/>
  <c r="B534" i="71"/>
  <c r="K533" i="71"/>
  <c r="B533" i="71"/>
  <c r="K532" i="71"/>
  <c r="B532" i="71"/>
  <c r="K531" i="71"/>
  <c r="B531" i="71"/>
  <c r="K530" i="71"/>
  <c r="B530" i="71"/>
  <c r="K529" i="71"/>
  <c r="B529" i="71"/>
  <c r="K528" i="71"/>
  <c r="B528" i="71"/>
  <c r="K527" i="71"/>
  <c r="B527" i="71"/>
  <c r="K526" i="71"/>
  <c r="B526" i="71"/>
  <c r="K525" i="71"/>
  <c r="B525" i="71"/>
  <c r="K524" i="71"/>
  <c r="B524" i="71"/>
  <c r="K523" i="71"/>
  <c r="B523" i="71"/>
  <c r="K522" i="71"/>
  <c r="B522" i="71"/>
  <c r="K521" i="71"/>
  <c r="B521" i="71"/>
  <c r="K520" i="71"/>
  <c r="B520" i="71"/>
  <c r="K519" i="71"/>
  <c r="B519" i="71"/>
  <c r="K518" i="71"/>
  <c r="B518" i="71"/>
  <c r="K517" i="71"/>
  <c r="B517" i="71"/>
  <c r="K516" i="71"/>
  <c r="B516" i="71"/>
  <c r="K515" i="71"/>
  <c r="B515" i="71"/>
  <c r="K514" i="71"/>
  <c r="B514" i="71"/>
  <c r="K513" i="71"/>
  <c r="B513" i="71"/>
  <c r="K512" i="71"/>
  <c r="B512" i="71"/>
  <c r="K511" i="71"/>
  <c r="B511" i="71"/>
  <c r="K510" i="71"/>
  <c r="B510" i="71"/>
  <c r="K509" i="71"/>
  <c r="B509" i="71"/>
  <c r="K508" i="71"/>
  <c r="B508" i="71"/>
  <c r="K507" i="71"/>
  <c r="B507" i="71"/>
  <c r="K506" i="71"/>
  <c r="B506" i="71"/>
  <c r="K505" i="71"/>
  <c r="B505" i="71"/>
  <c r="J317" i="71"/>
  <c r="K317" i="71" s="1"/>
  <c r="I317" i="71"/>
  <c r="B317" i="71"/>
  <c r="J316" i="71"/>
  <c r="K316" i="71" s="1"/>
  <c r="I316" i="71"/>
  <c r="B316" i="71"/>
  <c r="J315" i="71"/>
  <c r="K315" i="71" s="1"/>
  <c r="I315" i="71"/>
  <c r="B315" i="71"/>
  <c r="J314" i="71"/>
  <c r="K314" i="71" s="1"/>
  <c r="I314" i="71"/>
  <c r="B314" i="71"/>
  <c r="J313" i="71"/>
  <c r="K313" i="71" s="1"/>
  <c r="I313" i="71"/>
  <c r="B313" i="71"/>
  <c r="J312" i="71"/>
  <c r="K312" i="71" s="1"/>
  <c r="I312" i="71"/>
  <c r="B312" i="71"/>
  <c r="J311" i="71"/>
  <c r="K311" i="71" s="1"/>
  <c r="I311" i="71"/>
  <c r="B311" i="71"/>
  <c r="J310" i="71"/>
  <c r="K310" i="71" s="1"/>
  <c r="I310" i="71"/>
  <c r="B310" i="71"/>
  <c r="J309" i="71"/>
  <c r="K309" i="71" s="1"/>
  <c r="I309" i="71"/>
  <c r="B309" i="71"/>
  <c r="J308" i="71"/>
  <c r="K308" i="71" s="1"/>
  <c r="I308" i="71"/>
  <c r="B308" i="71"/>
  <c r="J307" i="71"/>
  <c r="K307" i="71" s="1"/>
  <c r="I307" i="71"/>
  <c r="B307" i="71"/>
  <c r="J306" i="71"/>
  <c r="K306" i="71" s="1"/>
  <c r="I306" i="71"/>
  <c r="B306" i="71"/>
  <c r="J305" i="71"/>
  <c r="K305" i="71" s="1"/>
  <c r="I305" i="71"/>
  <c r="B305" i="71"/>
  <c r="J304" i="71"/>
  <c r="K304" i="71" s="1"/>
  <c r="I304" i="71"/>
  <c r="B304" i="71"/>
  <c r="J303" i="71"/>
  <c r="K303" i="71" s="1"/>
  <c r="I303" i="71"/>
  <c r="B303" i="71"/>
  <c r="J302" i="71"/>
  <c r="K302" i="71" s="1"/>
  <c r="I302" i="71"/>
  <c r="B302" i="71"/>
  <c r="J301" i="71"/>
  <c r="K301" i="71" s="1"/>
  <c r="I301" i="71"/>
  <c r="B301" i="71"/>
  <c r="J300" i="71"/>
  <c r="K300" i="71" s="1"/>
  <c r="I300" i="71"/>
  <c r="B300" i="71"/>
  <c r="J299" i="71"/>
  <c r="K299" i="71" s="1"/>
  <c r="I299" i="71"/>
  <c r="B299" i="71"/>
  <c r="J298" i="71"/>
  <c r="K298" i="71" s="1"/>
  <c r="I298" i="71"/>
  <c r="B298" i="71"/>
  <c r="J297" i="71"/>
  <c r="K297" i="71" s="1"/>
  <c r="I297" i="71"/>
  <c r="B297" i="71"/>
  <c r="J296" i="71"/>
  <c r="K296" i="71" s="1"/>
  <c r="I296" i="71"/>
  <c r="B296" i="71"/>
  <c r="J295" i="71"/>
  <c r="K295" i="71" s="1"/>
  <c r="I295" i="71"/>
  <c r="B295" i="71"/>
  <c r="J294" i="71"/>
  <c r="K294" i="71" s="1"/>
  <c r="I294" i="71"/>
  <c r="B294" i="71"/>
  <c r="J293" i="71"/>
  <c r="K293" i="71" s="1"/>
  <c r="I293" i="71"/>
  <c r="B293" i="71"/>
  <c r="J292" i="71"/>
  <c r="K292" i="71" s="1"/>
  <c r="I292" i="71"/>
  <c r="B292" i="71"/>
  <c r="J291" i="71"/>
  <c r="K291" i="71" s="1"/>
  <c r="I291" i="71"/>
  <c r="B291" i="71"/>
  <c r="J290" i="71"/>
  <c r="K290" i="71" s="1"/>
  <c r="I290" i="71"/>
  <c r="B290" i="71"/>
  <c r="J289" i="71"/>
  <c r="K289" i="71" s="1"/>
  <c r="I289" i="71"/>
  <c r="B289" i="71"/>
  <c r="J288" i="71"/>
  <c r="K288" i="71" s="1"/>
  <c r="I288" i="71"/>
  <c r="B288" i="71"/>
  <c r="J287" i="71"/>
  <c r="K287" i="71" s="1"/>
  <c r="I287" i="71"/>
  <c r="B287" i="71"/>
  <c r="J286" i="71"/>
  <c r="K286" i="71" s="1"/>
  <c r="I286" i="71"/>
  <c r="B286" i="71"/>
  <c r="J285" i="71"/>
  <c r="K285" i="71" s="1"/>
  <c r="I285" i="71"/>
  <c r="B285" i="71"/>
  <c r="J284" i="71"/>
  <c r="K284" i="71" s="1"/>
  <c r="I284" i="71"/>
  <c r="B284" i="71"/>
  <c r="J283" i="71"/>
  <c r="K283" i="71" s="1"/>
  <c r="I283" i="71"/>
  <c r="B283" i="71"/>
  <c r="J282" i="71"/>
  <c r="K282" i="71" s="1"/>
  <c r="I282" i="71"/>
  <c r="B282" i="71"/>
  <c r="J281" i="71"/>
  <c r="K281" i="71" s="1"/>
  <c r="I281" i="71"/>
  <c r="B281" i="71"/>
  <c r="J280" i="71"/>
  <c r="K280" i="71" s="1"/>
  <c r="I280" i="71"/>
  <c r="B280" i="71"/>
  <c r="J279" i="71"/>
  <c r="K279" i="71" s="1"/>
  <c r="I279" i="71"/>
  <c r="B279" i="71"/>
  <c r="J278" i="71"/>
  <c r="K278" i="71" s="1"/>
  <c r="I278" i="71"/>
  <c r="B278" i="71"/>
  <c r="J277" i="71"/>
  <c r="K277" i="71" s="1"/>
  <c r="I277" i="71"/>
  <c r="B277" i="71"/>
  <c r="J276" i="71"/>
  <c r="K276" i="71" s="1"/>
  <c r="I276" i="71"/>
  <c r="B276" i="71"/>
  <c r="J275" i="71"/>
  <c r="K275" i="71" s="1"/>
  <c r="I275" i="71"/>
  <c r="B275" i="71"/>
  <c r="J274" i="71"/>
  <c r="K274" i="71" s="1"/>
  <c r="I274" i="71"/>
  <c r="B274" i="71"/>
  <c r="J273" i="71"/>
  <c r="K273" i="71" s="1"/>
  <c r="I273" i="71"/>
  <c r="B273" i="71"/>
  <c r="B272" i="71"/>
  <c r="B271" i="71"/>
  <c r="B270" i="71"/>
  <c r="B269" i="71"/>
  <c r="B268" i="71"/>
  <c r="B267" i="71"/>
  <c r="B266" i="71"/>
  <c r="B265" i="71"/>
  <c r="B264" i="71"/>
  <c r="B263" i="71"/>
  <c r="B262" i="71"/>
  <c r="B261" i="71"/>
  <c r="B260" i="71"/>
  <c r="B259" i="71"/>
  <c r="B258" i="71"/>
  <c r="B257" i="71"/>
  <c r="B256" i="71"/>
  <c r="B255" i="71"/>
  <c r="B254" i="71"/>
  <c r="B253" i="71"/>
  <c r="B252" i="71"/>
  <c r="B251" i="71"/>
  <c r="B250" i="71"/>
  <c r="B249" i="71"/>
  <c r="B248" i="71"/>
  <c r="B247" i="71"/>
  <c r="B246" i="71"/>
  <c r="B245" i="71"/>
  <c r="B244" i="71"/>
  <c r="B243" i="71"/>
  <c r="B242" i="71"/>
  <c r="B241" i="71"/>
  <c r="B240" i="71"/>
  <c r="B239" i="71"/>
  <c r="B238" i="71"/>
  <c r="B237" i="71"/>
  <c r="B236" i="71"/>
  <c r="B235" i="71"/>
  <c r="B234" i="71"/>
  <c r="B233" i="71"/>
  <c r="B232" i="71"/>
  <c r="B231" i="71"/>
  <c r="K230" i="71"/>
  <c r="B230" i="71"/>
  <c r="K229" i="71"/>
  <c r="B229" i="71"/>
  <c r="K228" i="71"/>
  <c r="B228" i="71"/>
  <c r="K227" i="71"/>
  <c r="B227" i="71"/>
  <c r="K226" i="71"/>
  <c r="B226" i="71"/>
  <c r="K225" i="71"/>
  <c r="B225" i="71"/>
  <c r="K224" i="71"/>
  <c r="B224" i="71"/>
  <c r="K223" i="71"/>
  <c r="B223" i="71"/>
  <c r="K222" i="71"/>
  <c r="B222" i="71"/>
  <c r="K221" i="71"/>
  <c r="B221" i="71"/>
  <c r="K220" i="71"/>
  <c r="B220" i="71"/>
  <c r="K219" i="71"/>
  <c r="B219" i="71"/>
  <c r="K218" i="71"/>
  <c r="B218" i="71"/>
  <c r="K217" i="71"/>
  <c r="B217" i="71"/>
  <c r="K216" i="71"/>
  <c r="B216" i="71"/>
  <c r="K215" i="71"/>
  <c r="B215" i="71"/>
  <c r="K214" i="71"/>
  <c r="B214" i="71"/>
  <c r="K213" i="71"/>
  <c r="B213" i="71"/>
  <c r="K212" i="71"/>
  <c r="B212" i="71"/>
  <c r="K211" i="71"/>
  <c r="B211" i="71"/>
  <c r="K210" i="71"/>
  <c r="B210" i="71"/>
  <c r="K209" i="71"/>
  <c r="B209" i="71"/>
  <c r="K208" i="71"/>
  <c r="B208" i="71"/>
  <c r="K207" i="71"/>
  <c r="B207" i="71"/>
  <c r="K206" i="71"/>
  <c r="B206" i="71"/>
  <c r="K205" i="71"/>
  <c r="B205" i="71"/>
  <c r="K204" i="71"/>
  <c r="B204" i="71"/>
  <c r="K203" i="71"/>
  <c r="B203" i="71"/>
  <c r="K202" i="71"/>
  <c r="B202" i="71"/>
  <c r="K201" i="71"/>
  <c r="B201" i="71"/>
  <c r="K200" i="71"/>
  <c r="B200" i="71"/>
  <c r="K199" i="71"/>
  <c r="B199" i="71"/>
  <c r="K198" i="71"/>
  <c r="B198" i="71"/>
  <c r="K197" i="71"/>
  <c r="B197" i="71"/>
  <c r="K196" i="71"/>
  <c r="B196" i="71"/>
  <c r="K195" i="71"/>
  <c r="B195" i="71"/>
  <c r="K194" i="71"/>
  <c r="B194" i="71"/>
  <c r="K193" i="71"/>
  <c r="B193" i="71"/>
  <c r="K192" i="71"/>
  <c r="B192" i="71"/>
  <c r="K191" i="71"/>
  <c r="B191" i="71"/>
  <c r="K190" i="71"/>
  <c r="B190" i="71"/>
  <c r="K189" i="71"/>
  <c r="B189" i="71"/>
  <c r="K188" i="71"/>
  <c r="B188" i="71"/>
  <c r="K187" i="71"/>
  <c r="B187" i="71"/>
  <c r="K186" i="71"/>
  <c r="B186" i="71"/>
  <c r="K185" i="71"/>
  <c r="B185" i="71"/>
  <c r="K184" i="71"/>
  <c r="B184" i="71"/>
  <c r="K183" i="71"/>
  <c r="B183" i="71"/>
  <c r="K182" i="71"/>
  <c r="B182" i="71"/>
  <c r="K181" i="71"/>
  <c r="B181" i="71"/>
  <c r="K180" i="71"/>
  <c r="B180" i="71"/>
  <c r="K179" i="71"/>
  <c r="B179" i="71"/>
  <c r="K178" i="71"/>
  <c r="B178" i="71"/>
  <c r="K177" i="71"/>
  <c r="B177" i="71"/>
  <c r="K176" i="71"/>
  <c r="B176" i="71"/>
  <c r="K175" i="71"/>
  <c r="B175" i="71"/>
  <c r="K174" i="71"/>
  <c r="B174" i="71"/>
  <c r="K173" i="71"/>
  <c r="B173" i="71"/>
  <c r="K172" i="71"/>
  <c r="B172" i="71"/>
  <c r="K171" i="71"/>
  <c r="B171" i="71"/>
  <c r="K170" i="71"/>
  <c r="B170" i="71"/>
  <c r="K169" i="71"/>
  <c r="B169" i="71"/>
  <c r="K168" i="71"/>
  <c r="B168" i="71"/>
  <c r="K167" i="71"/>
  <c r="B167" i="71"/>
  <c r="K166" i="71"/>
  <c r="B166" i="71"/>
  <c r="K165" i="71"/>
  <c r="B165" i="71"/>
  <c r="K164" i="71"/>
  <c r="B164" i="71"/>
  <c r="K163" i="71"/>
  <c r="B163" i="71"/>
  <c r="K162" i="71"/>
  <c r="B162" i="71"/>
  <c r="K161" i="71"/>
  <c r="B161" i="71"/>
  <c r="K160" i="71"/>
  <c r="B160" i="71"/>
  <c r="K159" i="71"/>
  <c r="B159" i="71"/>
  <c r="K158" i="71"/>
  <c r="B158" i="71"/>
  <c r="K157" i="71"/>
  <c r="B157" i="71"/>
  <c r="K156" i="71"/>
  <c r="B156" i="71"/>
  <c r="K155" i="71"/>
  <c r="B155" i="71"/>
  <c r="K154" i="71"/>
  <c r="B154" i="71"/>
  <c r="J153" i="71"/>
  <c r="B153" i="71"/>
  <c r="J152" i="71"/>
  <c r="B152" i="71"/>
  <c r="J151" i="71"/>
  <c r="B151" i="71"/>
  <c r="J150" i="71"/>
  <c r="B150" i="71"/>
  <c r="J149" i="71"/>
  <c r="B149" i="71"/>
  <c r="J148" i="71"/>
  <c r="B148" i="71"/>
  <c r="J147" i="71"/>
  <c r="B147" i="71"/>
  <c r="J146" i="71"/>
  <c r="B146" i="71"/>
  <c r="J145" i="71"/>
  <c r="B145" i="71"/>
  <c r="J144" i="71"/>
  <c r="B144" i="71"/>
  <c r="J143" i="71"/>
  <c r="B143" i="71"/>
  <c r="J142" i="71"/>
  <c r="B142" i="71"/>
  <c r="J141" i="71"/>
  <c r="B141" i="71"/>
  <c r="J140" i="71"/>
  <c r="B140" i="71"/>
  <c r="J139" i="71"/>
  <c r="B139" i="71"/>
  <c r="J138" i="71"/>
  <c r="B138" i="71"/>
  <c r="J137" i="71"/>
  <c r="B137" i="71"/>
  <c r="J136" i="71"/>
  <c r="B136" i="71"/>
  <c r="J135" i="71"/>
  <c r="B135" i="71"/>
  <c r="J134" i="71"/>
  <c r="B134" i="71"/>
  <c r="J133" i="71"/>
  <c r="B133" i="71"/>
  <c r="J132" i="71"/>
  <c r="B132" i="71"/>
  <c r="J131" i="71"/>
  <c r="B131" i="71"/>
  <c r="J130" i="71"/>
  <c r="B130" i="71"/>
  <c r="J129" i="71"/>
  <c r="B129" i="71"/>
  <c r="J128" i="71"/>
  <c r="B128" i="71"/>
  <c r="J127" i="71"/>
  <c r="B127" i="71"/>
  <c r="J126" i="71"/>
  <c r="B126" i="71"/>
  <c r="J125" i="71"/>
  <c r="B125" i="71"/>
  <c r="J124" i="71"/>
  <c r="B124" i="71"/>
  <c r="J123" i="71"/>
  <c r="B123" i="71"/>
  <c r="J122" i="71"/>
  <c r="B122" i="71"/>
  <c r="J121" i="71"/>
  <c r="B121" i="71"/>
  <c r="J120" i="71"/>
  <c r="B120" i="71"/>
  <c r="J119" i="71"/>
  <c r="B119" i="71"/>
  <c r="J118" i="71"/>
  <c r="B118" i="71"/>
  <c r="J117" i="71"/>
  <c r="B117" i="71"/>
  <c r="J116" i="71"/>
  <c r="B116" i="71"/>
  <c r="J115" i="71"/>
  <c r="B115" i="71"/>
  <c r="J114" i="71"/>
  <c r="B114" i="71"/>
  <c r="J113" i="71"/>
  <c r="B113" i="71"/>
  <c r="J112" i="71"/>
  <c r="B112" i="71"/>
  <c r="J111" i="71"/>
  <c r="I111" i="71"/>
  <c r="B111" i="71"/>
  <c r="J110" i="71"/>
  <c r="I110" i="71"/>
  <c r="B110" i="71"/>
  <c r="J109" i="71"/>
  <c r="I109" i="71"/>
  <c r="B109" i="71"/>
  <c r="J108" i="71"/>
  <c r="I108" i="71"/>
  <c r="B108" i="71"/>
  <c r="J107" i="71"/>
  <c r="I107" i="71"/>
  <c r="B107" i="71"/>
  <c r="J106" i="71"/>
  <c r="I106" i="71"/>
  <c r="B106" i="71"/>
  <c r="J105" i="71"/>
  <c r="I105" i="71"/>
  <c r="B105" i="71"/>
  <c r="J104" i="71"/>
  <c r="I104" i="71"/>
  <c r="B104" i="71"/>
  <c r="J103" i="71"/>
  <c r="I103" i="71"/>
  <c r="B103" i="71"/>
  <c r="J102" i="71"/>
  <c r="I102" i="71"/>
  <c r="B102" i="71"/>
  <c r="J101" i="71"/>
  <c r="I101" i="71"/>
  <c r="B101" i="71"/>
  <c r="J100" i="71"/>
  <c r="I100" i="71"/>
  <c r="B100" i="71"/>
  <c r="J99" i="71"/>
  <c r="I99" i="71"/>
  <c r="B99" i="71"/>
  <c r="J98" i="71"/>
  <c r="I98" i="71"/>
  <c r="B98" i="71"/>
  <c r="J97" i="71"/>
  <c r="I97" i="71"/>
  <c r="B97" i="71"/>
  <c r="J96" i="71"/>
  <c r="I96" i="71"/>
  <c r="B96" i="71"/>
  <c r="J95" i="71"/>
  <c r="I95" i="71"/>
  <c r="B95" i="71"/>
  <c r="J94" i="71"/>
  <c r="I94" i="71"/>
  <c r="B94" i="71"/>
  <c r="J93" i="71"/>
  <c r="I93" i="71"/>
  <c r="B93" i="71"/>
  <c r="J92" i="71"/>
  <c r="I92" i="71"/>
  <c r="B92" i="71"/>
  <c r="J91" i="71"/>
  <c r="I91" i="71"/>
  <c r="B91" i="71"/>
  <c r="J90" i="71"/>
  <c r="I90" i="71"/>
  <c r="B90" i="71"/>
  <c r="J89" i="71"/>
  <c r="I89" i="71"/>
  <c r="B89" i="71"/>
  <c r="J88" i="71"/>
  <c r="I88" i="71"/>
  <c r="B88" i="71"/>
  <c r="J87" i="71"/>
  <c r="I87" i="71"/>
  <c r="B87" i="71"/>
  <c r="J86" i="71"/>
  <c r="I86" i="71"/>
  <c r="B86" i="71"/>
  <c r="J85" i="71"/>
  <c r="I85" i="71"/>
  <c r="B85" i="71"/>
  <c r="J84" i="71"/>
  <c r="I84" i="71"/>
  <c r="B84" i="71"/>
  <c r="J83" i="71"/>
  <c r="I83" i="71"/>
  <c r="B83" i="71"/>
  <c r="J82" i="71"/>
  <c r="I82" i="71"/>
  <c r="B82" i="71"/>
  <c r="J81" i="71"/>
  <c r="I81" i="71"/>
  <c r="B81" i="71"/>
  <c r="J80" i="71"/>
  <c r="I80" i="71"/>
  <c r="B80" i="71"/>
  <c r="J79" i="71"/>
  <c r="I79" i="71"/>
  <c r="B79" i="71"/>
  <c r="J78" i="71"/>
  <c r="I78" i="71"/>
  <c r="B78" i="71"/>
  <c r="J77" i="71"/>
  <c r="I77" i="71"/>
  <c r="B77" i="71"/>
  <c r="J76" i="71"/>
  <c r="I76" i="71"/>
  <c r="B76" i="71"/>
  <c r="J75" i="71"/>
  <c r="I75" i="71"/>
  <c r="B75" i="71"/>
  <c r="J74" i="71"/>
  <c r="I74" i="71"/>
  <c r="B74" i="71"/>
  <c r="J73" i="71"/>
  <c r="I73" i="71"/>
  <c r="B73" i="71"/>
  <c r="J72" i="71"/>
  <c r="I72" i="71"/>
  <c r="B72" i="71"/>
  <c r="J71" i="71"/>
  <c r="I71" i="71"/>
  <c r="B71" i="71"/>
  <c r="J70" i="71"/>
  <c r="I70" i="71"/>
  <c r="B70" i="71"/>
  <c r="J69" i="71"/>
  <c r="I69" i="71"/>
  <c r="B69" i="71"/>
  <c r="J68" i="71"/>
  <c r="I68" i="71"/>
  <c r="B68" i="71"/>
  <c r="J67" i="71"/>
  <c r="I67" i="71"/>
  <c r="B67" i="71"/>
  <c r="J66" i="71"/>
  <c r="I66" i="71"/>
  <c r="B66" i="71"/>
  <c r="J65" i="71"/>
  <c r="I65" i="71"/>
  <c r="B65" i="71"/>
  <c r="J64" i="71"/>
  <c r="I64" i="71"/>
  <c r="B64" i="71"/>
  <c r="J63" i="71"/>
  <c r="I63" i="71"/>
  <c r="B63" i="71"/>
  <c r="J62" i="71"/>
  <c r="I62" i="71"/>
  <c r="B62" i="71"/>
  <c r="J61" i="71"/>
  <c r="I61" i="71"/>
  <c r="B61" i="71"/>
  <c r="J60" i="71"/>
  <c r="I60" i="71"/>
  <c r="B60" i="71"/>
  <c r="J59" i="71"/>
  <c r="I59" i="71"/>
  <c r="B59" i="71"/>
  <c r="J58" i="71"/>
  <c r="I58" i="71"/>
  <c r="B58" i="71"/>
  <c r="J57" i="71"/>
  <c r="I57" i="71"/>
  <c r="B57" i="71"/>
  <c r="J56" i="71"/>
  <c r="I56" i="71"/>
  <c r="B56" i="71"/>
  <c r="J55" i="71"/>
  <c r="I55" i="71"/>
  <c r="B55" i="71"/>
  <c r="J54" i="71"/>
  <c r="I54" i="71"/>
  <c r="B54" i="71"/>
  <c r="J53" i="71"/>
  <c r="I53" i="71"/>
  <c r="B53" i="71"/>
  <c r="J52" i="71"/>
  <c r="I52" i="71"/>
  <c r="B52" i="71"/>
  <c r="J51" i="71"/>
  <c r="I51" i="71"/>
  <c r="B51" i="71"/>
  <c r="J50" i="71"/>
  <c r="I50" i="71"/>
  <c r="B50" i="71"/>
  <c r="J49" i="71"/>
  <c r="I49" i="71"/>
  <c r="B49" i="71"/>
  <c r="J48" i="71"/>
  <c r="I48" i="71"/>
  <c r="B48" i="71"/>
  <c r="J47" i="71"/>
  <c r="I47" i="71"/>
  <c r="B47" i="71"/>
  <c r="J46" i="71"/>
  <c r="I46" i="71"/>
  <c r="B46" i="71"/>
  <c r="J45" i="71"/>
  <c r="I45" i="71"/>
  <c r="B45" i="71"/>
  <c r="J44" i="71"/>
  <c r="I44" i="71"/>
  <c r="B44" i="71"/>
  <c r="J43" i="71"/>
  <c r="I43" i="71"/>
  <c r="B43" i="71"/>
  <c r="J42" i="71"/>
  <c r="I42" i="71"/>
  <c r="B42" i="71"/>
  <c r="J41" i="71"/>
  <c r="I41" i="71"/>
  <c r="B41" i="71"/>
  <c r="J40" i="71"/>
  <c r="I40" i="71"/>
  <c r="B40" i="71"/>
  <c r="J39" i="71"/>
  <c r="I39" i="71"/>
  <c r="B39" i="71"/>
  <c r="J38" i="71"/>
  <c r="I38" i="71"/>
  <c r="B38" i="71"/>
  <c r="J37" i="71"/>
  <c r="I37" i="71"/>
  <c r="B37" i="71"/>
  <c r="J36" i="71"/>
  <c r="I36" i="71"/>
  <c r="B36" i="71"/>
  <c r="J35" i="71"/>
  <c r="I35" i="71"/>
  <c r="B35" i="71"/>
  <c r="J34" i="71"/>
  <c r="I34" i="71"/>
  <c r="B34" i="71"/>
  <c r="J33" i="71"/>
  <c r="I33" i="71"/>
  <c r="B33" i="71"/>
  <c r="J32" i="71"/>
  <c r="I32" i="71"/>
  <c r="B32" i="71"/>
  <c r="J31" i="71"/>
  <c r="I31" i="71"/>
  <c r="B31" i="71"/>
  <c r="J30" i="71"/>
  <c r="I30" i="71"/>
  <c r="B30" i="71"/>
  <c r="J29" i="71"/>
  <c r="I29" i="71"/>
  <c r="B29" i="71"/>
  <c r="J28" i="71"/>
  <c r="I28" i="71"/>
  <c r="B28" i="71"/>
  <c r="J27" i="71"/>
  <c r="I27" i="71"/>
  <c r="B27" i="71"/>
  <c r="J26" i="71"/>
  <c r="I26" i="71"/>
  <c r="B26" i="71"/>
  <c r="J25" i="71"/>
  <c r="I25" i="71"/>
  <c r="B25" i="71"/>
  <c r="J24" i="71"/>
  <c r="I24" i="71"/>
  <c r="B24" i="71"/>
  <c r="J23" i="71"/>
  <c r="I23" i="71"/>
  <c r="B23" i="71"/>
  <c r="J22" i="71"/>
  <c r="I22" i="71"/>
  <c r="B22" i="71"/>
  <c r="J21" i="71"/>
  <c r="I21" i="71"/>
  <c r="B21" i="71"/>
  <c r="J20" i="71"/>
  <c r="I20" i="71"/>
  <c r="B20" i="71"/>
  <c r="J19" i="71"/>
  <c r="I19" i="71"/>
  <c r="B19" i="71"/>
  <c r="J18" i="71"/>
  <c r="I18" i="71"/>
  <c r="B18" i="71"/>
  <c r="J17" i="71"/>
  <c r="I17" i="71"/>
  <c r="B17" i="71"/>
  <c r="J16" i="71"/>
  <c r="I16" i="71"/>
  <c r="B16" i="71"/>
  <c r="J15" i="71"/>
  <c r="I15" i="71"/>
  <c r="B15" i="71"/>
  <c r="J14" i="71"/>
  <c r="I14" i="71"/>
  <c r="B14" i="71"/>
  <c r="J13" i="71"/>
  <c r="I13" i="71"/>
  <c r="B13" i="71"/>
  <c r="J12" i="71"/>
  <c r="I12" i="71"/>
  <c r="B12" i="71"/>
  <c r="J11" i="71"/>
  <c r="I11" i="71"/>
  <c r="B11" i="71"/>
  <c r="J10" i="71"/>
  <c r="I10" i="71"/>
  <c r="B10" i="71"/>
  <c r="J9" i="71"/>
  <c r="I9" i="71"/>
  <c r="B9" i="71"/>
  <c r="J8" i="71"/>
  <c r="I8" i="71"/>
  <c r="B8" i="71"/>
  <c r="J7" i="71"/>
  <c r="I7" i="71"/>
  <c r="B7" i="71"/>
  <c r="J6" i="71"/>
  <c r="I6" i="71"/>
  <c r="B6" i="71"/>
  <c r="J5" i="71"/>
  <c r="I5" i="71"/>
  <c r="B5" i="71"/>
  <c r="J4" i="71"/>
  <c r="I4" i="71"/>
  <c r="B4" i="71"/>
  <c r="J3" i="71"/>
  <c r="I3" i="71"/>
  <c r="B3" i="71"/>
  <c r="J2" i="71"/>
  <c r="I2" i="71"/>
  <c r="B2" i="71"/>
  <c r="AG98" i="73"/>
  <c r="AH98" i="73" s="1"/>
  <c r="L98" i="73"/>
  <c r="K98" i="73"/>
  <c r="I98" i="73"/>
  <c r="A98" i="73"/>
  <c r="J566" i="71"/>
  <c r="K566" i="71" s="1"/>
  <c r="K114" i="73"/>
  <c r="I114" i="73"/>
  <c r="AG113" i="73"/>
  <c r="AH113" i="73" s="1"/>
  <c r="L113" i="73"/>
  <c r="K113" i="73"/>
  <c r="I113" i="73"/>
  <c r="A113" i="73"/>
  <c r="AI119" i="73"/>
  <c r="AG119" i="73"/>
  <c r="AH119" i="73" s="1"/>
  <c r="I119" i="73"/>
  <c r="A119" i="73"/>
  <c r="AG118" i="73"/>
  <c r="AH118" i="73" s="1"/>
  <c r="L118" i="73"/>
  <c r="K118" i="73"/>
  <c r="I118" i="73"/>
  <c r="A118" i="73"/>
  <c r="AG117" i="73"/>
  <c r="AH117" i="73" s="1"/>
  <c r="I117" i="73"/>
  <c r="A117" i="73"/>
  <c r="AG116" i="73"/>
  <c r="AH116" i="73" s="1"/>
  <c r="L116" i="73"/>
  <c r="K116" i="73"/>
  <c r="I116" i="73"/>
  <c r="A116" i="73"/>
  <c r="AJ115" i="73"/>
  <c r="AK115" i="73" s="1"/>
  <c r="AF115" i="73"/>
  <c r="AE115" i="73"/>
  <c r="AD115" i="73"/>
  <c r="AC115" i="73"/>
  <c r="AB115" i="73"/>
  <c r="AA115" i="73"/>
  <c r="Z115" i="73"/>
  <c r="Y115" i="73"/>
  <c r="X115" i="73"/>
  <c r="W115" i="73"/>
  <c r="V115" i="73"/>
  <c r="U115" i="73"/>
  <c r="T115" i="73"/>
  <c r="R115" i="73"/>
  <c r="Q115" i="73"/>
  <c r="P115" i="73"/>
  <c r="N115" i="73"/>
  <c r="A115" i="73"/>
  <c r="AG112" i="73"/>
  <c r="AH112" i="73" s="1"/>
  <c r="L112" i="73"/>
  <c r="K112" i="73"/>
  <c r="I112" i="73"/>
  <c r="A112" i="73"/>
  <c r="AG111" i="73"/>
  <c r="AH111" i="73" s="1"/>
  <c r="L111" i="73"/>
  <c r="K111" i="73"/>
  <c r="I111" i="73"/>
  <c r="H761" i="71"/>
  <c r="H762" i="71" s="1"/>
  <c r="H759" i="71"/>
  <c r="H760" i="71" s="1"/>
  <c r="H717" i="71"/>
  <c r="H718" i="71" s="1"/>
  <c r="AI108" i="73"/>
  <c r="AG108" i="73"/>
  <c r="AH108" i="73" s="1"/>
  <c r="L108" i="73"/>
  <c r="K108" i="73"/>
  <c r="I108" i="73"/>
  <c r="A108" i="73"/>
  <c r="AI107" i="73"/>
  <c r="AG107" i="73"/>
  <c r="AH107" i="73" s="1"/>
  <c r="L107" i="73"/>
  <c r="K107" i="73"/>
  <c r="I107" i="73"/>
  <c r="A107" i="73"/>
  <c r="AG106" i="73"/>
  <c r="AH106" i="73" s="1"/>
  <c r="L106" i="73"/>
  <c r="K106" i="73"/>
  <c r="I106" i="73"/>
  <c r="A106" i="73"/>
  <c r="AG105" i="73"/>
  <c r="AH105" i="73" s="1"/>
  <c r="L105" i="73"/>
  <c r="K105" i="73"/>
  <c r="I105" i="73"/>
  <c r="A105" i="73"/>
  <c r="AJ104" i="73"/>
  <c r="AK104" i="73" s="1"/>
  <c r="AF104" i="73"/>
  <c r="AE104" i="73"/>
  <c r="AD104" i="73"/>
  <c r="AC104" i="73"/>
  <c r="AB104" i="73"/>
  <c r="AA104" i="73"/>
  <c r="Z104" i="73"/>
  <c r="X104" i="73"/>
  <c r="V104" i="73"/>
  <c r="U104" i="73"/>
  <c r="T104" i="73"/>
  <c r="S104" i="73"/>
  <c r="R104" i="73"/>
  <c r="Q104" i="73"/>
  <c r="P104" i="73"/>
  <c r="O104" i="73"/>
  <c r="N104" i="73"/>
  <c r="M104" i="73"/>
  <c r="A104" i="73"/>
  <c r="AI103" i="73"/>
  <c r="AG103" i="73"/>
  <c r="AH103" i="73" s="1"/>
  <c r="L103" i="73"/>
  <c r="K103" i="73"/>
  <c r="I103" i="73"/>
  <c r="A103" i="73"/>
  <c r="AI101" i="73"/>
  <c r="AG101" i="73"/>
  <c r="AH101" i="73" s="1"/>
  <c r="L101" i="73"/>
  <c r="K101" i="73"/>
  <c r="I101" i="73"/>
  <c r="A101" i="73"/>
  <c r="AI100" i="73"/>
  <c r="AG100" i="73"/>
  <c r="AH100" i="73" s="1"/>
  <c r="L100" i="73"/>
  <c r="K100" i="73"/>
  <c r="I100" i="73"/>
  <c r="A100" i="73"/>
  <c r="AI96" i="73"/>
  <c r="AG96" i="73"/>
  <c r="AH96" i="73" s="1"/>
  <c r="L96" i="73"/>
  <c r="K96" i="73"/>
  <c r="I96" i="73"/>
  <c r="A96" i="73"/>
  <c r="AI95" i="73"/>
  <c r="AG95" i="73"/>
  <c r="AH95" i="73" s="1"/>
  <c r="L95" i="73"/>
  <c r="K95" i="73"/>
  <c r="I95" i="73"/>
  <c r="A95" i="73"/>
  <c r="AG94" i="73"/>
  <c r="AH94" i="73" s="1"/>
  <c r="L94" i="73"/>
  <c r="K94" i="73"/>
  <c r="I94" i="73"/>
  <c r="A94" i="73"/>
  <c r="AI93" i="73"/>
  <c r="AG93" i="73"/>
  <c r="AH93" i="73" s="1"/>
  <c r="L93" i="73"/>
  <c r="K93" i="73"/>
  <c r="I93" i="73"/>
  <c r="A93" i="73"/>
  <c r="AJ92" i="73"/>
  <c r="AK92" i="73" s="1"/>
  <c r="AF92" i="73"/>
  <c r="AE92" i="73"/>
  <c r="AD92" i="73"/>
  <c r="AC92" i="73"/>
  <c r="AB92" i="73"/>
  <c r="AA92" i="73"/>
  <c r="Z92" i="73"/>
  <c r="Y92" i="73"/>
  <c r="X92" i="73"/>
  <c r="W92" i="73"/>
  <c r="V92" i="73"/>
  <c r="U92" i="73"/>
  <c r="T92" i="73"/>
  <c r="S92" i="73"/>
  <c r="R92" i="73"/>
  <c r="Q92" i="73"/>
  <c r="P92" i="73"/>
  <c r="O92" i="73"/>
  <c r="N92" i="73"/>
  <c r="M92" i="73"/>
  <c r="A92" i="73"/>
  <c r="AI90" i="73"/>
  <c r="AG90" i="73"/>
  <c r="AH90" i="73" s="1"/>
  <c r="L90" i="73"/>
  <c r="K90" i="73"/>
  <c r="I90" i="73"/>
  <c r="A90" i="73"/>
  <c r="AI91" i="73"/>
  <c r="AG91" i="73"/>
  <c r="AH91" i="73" s="1"/>
  <c r="L91" i="73"/>
  <c r="K91" i="73"/>
  <c r="I91" i="73"/>
  <c r="A91" i="73"/>
  <c r="K55" i="73"/>
  <c r="I55" i="73"/>
  <c r="A55" i="73"/>
  <c r="L99" i="73"/>
  <c r="K99" i="73"/>
  <c r="I99" i="73"/>
  <c r="A99" i="73"/>
  <c r="L48" i="73"/>
  <c r="K48" i="73"/>
  <c r="I48" i="73"/>
  <c r="A48" i="73"/>
  <c r="AG47" i="73"/>
  <c r="AH47" i="73" s="1"/>
  <c r="L47" i="73"/>
  <c r="K47" i="73"/>
  <c r="I47" i="73"/>
  <c r="A47" i="73"/>
  <c r="AG46" i="73"/>
  <c r="AH46" i="73" s="1"/>
  <c r="L46" i="73"/>
  <c r="K46" i="73"/>
  <c r="I46" i="73"/>
  <c r="A46" i="73"/>
  <c r="AJ45" i="73"/>
  <c r="AK45" i="73" s="1"/>
  <c r="AF45" i="73"/>
  <c r="AE45" i="73"/>
  <c r="AD45" i="73"/>
  <c r="AC45" i="73"/>
  <c r="AB45" i="73"/>
  <c r="AA45" i="73"/>
  <c r="Z45" i="73"/>
  <c r="Y45" i="73"/>
  <c r="X45" i="73"/>
  <c r="W45" i="73"/>
  <c r="V45" i="73"/>
  <c r="U45" i="73"/>
  <c r="T45" i="73"/>
  <c r="S45" i="73"/>
  <c r="R45" i="73"/>
  <c r="Q45" i="73"/>
  <c r="O45" i="73"/>
  <c r="N45" i="73"/>
  <c r="A45" i="73"/>
  <c r="AG44" i="73"/>
  <c r="AH44" i="73" s="1"/>
  <c r="L44" i="73"/>
  <c r="K44" i="73"/>
  <c r="I44" i="73"/>
  <c r="A44" i="73"/>
  <c r="AG43" i="73"/>
  <c r="AH43" i="73" s="1"/>
  <c r="L43" i="73"/>
  <c r="K43" i="73"/>
  <c r="I43" i="73"/>
  <c r="L41" i="73"/>
  <c r="K41" i="73"/>
  <c r="AG41" i="73" s="1"/>
  <c r="AH41" i="73" s="1"/>
  <c r="I41" i="73"/>
  <c r="A41" i="73"/>
  <c r="AG40" i="73"/>
  <c r="AH40" i="73" s="1"/>
  <c r="L40" i="73"/>
  <c r="K40" i="73"/>
  <c r="I40" i="73"/>
  <c r="A40" i="73"/>
  <c r="AG39" i="73"/>
  <c r="AH39" i="73" s="1"/>
  <c r="L39" i="73"/>
  <c r="K39" i="73"/>
  <c r="I39" i="73"/>
  <c r="A39" i="73"/>
  <c r="AJ38" i="73"/>
  <c r="AK38" i="73" s="1"/>
  <c r="AF38" i="73"/>
  <c r="AE38" i="73"/>
  <c r="AD38" i="73"/>
  <c r="AC38" i="73"/>
  <c r="AB38" i="73"/>
  <c r="AA38" i="73"/>
  <c r="Z38" i="73"/>
  <c r="Y38" i="73"/>
  <c r="X38" i="73"/>
  <c r="W38" i="73"/>
  <c r="V38" i="73"/>
  <c r="U38" i="73"/>
  <c r="T38" i="73"/>
  <c r="S38" i="73"/>
  <c r="R38" i="73"/>
  <c r="Q38" i="73"/>
  <c r="P38" i="73"/>
  <c r="O38" i="73"/>
  <c r="N38" i="73"/>
  <c r="M38" i="73"/>
  <c r="A38" i="73"/>
  <c r="AG37" i="73"/>
  <c r="AH37" i="73" s="1"/>
  <c r="K37" i="73"/>
  <c r="I37" i="73"/>
  <c r="AG36" i="73"/>
  <c r="AH36" i="73" s="1"/>
  <c r="K36" i="73"/>
  <c r="I36" i="73"/>
  <c r="AG35" i="73"/>
  <c r="AH35" i="73" s="1"/>
  <c r="L35" i="73"/>
  <c r="K35" i="73"/>
  <c r="I35" i="73"/>
  <c r="AG34" i="73"/>
  <c r="AH34" i="73" s="1"/>
  <c r="L34" i="73"/>
  <c r="K34" i="73"/>
  <c r="I34" i="73"/>
  <c r="AG33" i="73"/>
  <c r="AH33" i="73" s="1"/>
  <c r="L33" i="73"/>
  <c r="K33" i="73"/>
  <c r="I33" i="73"/>
  <c r="AG32" i="73"/>
  <c r="AH32" i="73" s="1"/>
  <c r="L32" i="73"/>
  <c r="K32" i="73"/>
  <c r="I32" i="73"/>
  <c r="AG31" i="73"/>
  <c r="AH31" i="73" s="1"/>
  <c r="L31" i="73"/>
  <c r="I31" i="73"/>
  <c r="AI30" i="73"/>
  <c r="AG30" i="73"/>
  <c r="AH30" i="73" s="1"/>
  <c r="L30" i="73"/>
  <c r="K30" i="73"/>
  <c r="I30" i="73"/>
  <c r="AI29" i="73"/>
  <c r="AG29" i="73"/>
  <c r="AH29" i="73" s="1"/>
  <c r="L29" i="73"/>
  <c r="K29" i="73"/>
  <c r="I29" i="73"/>
  <c r="A29" i="73"/>
  <c r="AI28" i="73"/>
  <c r="AG28" i="73"/>
  <c r="AH28" i="73" s="1"/>
  <c r="L28" i="73"/>
  <c r="K28" i="73"/>
  <c r="I28" i="73"/>
  <c r="A28" i="73"/>
  <c r="AG27" i="73"/>
  <c r="AH27" i="73" s="1"/>
  <c r="L27" i="73"/>
  <c r="K27" i="73"/>
  <c r="I27" i="73"/>
  <c r="A27" i="73"/>
  <c r="AJ26" i="73"/>
  <c r="AK26" i="73" s="1"/>
  <c r="AF26" i="73"/>
  <c r="AE26" i="73"/>
  <c r="AD26" i="73"/>
  <c r="AC26" i="73"/>
  <c r="AB26" i="73"/>
  <c r="AA26" i="73"/>
  <c r="Z26" i="73"/>
  <c r="Y26" i="73"/>
  <c r="X26" i="73"/>
  <c r="W26" i="73"/>
  <c r="V26" i="73"/>
  <c r="U26" i="73"/>
  <c r="T26" i="73"/>
  <c r="S26" i="73"/>
  <c r="R26" i="73"/>
  <c r="Q26" i="73"/>
  <c r="P26" i="73"/>
  <c r="O26" i="73"/>
  <c r="N26" i="73"/>
  <c r="M26" i="73"/>
  <c r="A26" i="73"/>
  <c r="AJ25" i="73"/>
  <c r="AG25" i="73"/>
  <c r="AH25" i="73" s="1"/>
  <c r="L25" i="73"/>
  <c r="K25" i="73"/>
  <c r="I25" i="73"/>
  <c r="A25" i="73"/>
  <c r="AJ24" i="73"/>
  <c r="AG24" i="73"/>
  <c r="AH24" i="73" s="1"/>
  <c r="L24" i="73"/>
  <c r="K24" i="73"/>
  <c r="I24" i="73"/>
  <c r="A24" i="73"/>
  <c r="AJ23" i="73"/>
  <c r="AG23" i="73"/>
  <c r="AH23" i="73" s="1"/>
  <c r="L23" i="73"/>
  <c r="K23" i="73"/>
  <c r="I23" i="73"/>
  <c r="A23" i="73"/>
  <c r="AJ22" i="73"/>
  <c r="AG22" i="73"/>
  <c r="AH22" i="73" s="1"/>
  <c r="L22" i="73"/>
  <c r="K22" i="73"/>
  <c r="I22" i="73"/>
  <c r="A22" i="73"/>
  <c r="AJ21" i="73"/>
  <c r="AG21" i="73"/>
  <c r="AH21" i="73" s="1"/>
  <c r="L21" i="73"/>
  <c r="K21" i="73"/>
  <c r="I21" i="73"/>
  <c r="A21" i="73"/>
  <c r="AJ20" i="73"/>
  <c r="AG20" i="73"/>
  <c r="AH20" i="73" s="1"/>
  <c r="L20" i="73"/>
  <c r="K20" i="73"/>
  <c r="I20" i="73"/>
  <c r="A20" i="73"/>
  <c r="AG19" i="73"/>
  <c r="AH19" i="73" s="1"/>
  <c r="L19" i="73"/>
  <c r="K19" i="73"/>
  <c r="I19" i="73"/>
  <c r="A19" i="73"/>
  <c r="AG18" i="73"/>
  <c r="AH18" i="73" s="1"/>
  <c r="L18" i="73"/>
  <c r="K18" i="73"/>
  <c r="I18" i="73"/>
  <c r="AJ17" i="73"/>
  <c r="AG17" i="73"/>
  <c r="AH17" i="73" s="1"/>
  <c r="L17" i="73"/>
  <c r="K17" i="73"/>
  <c r="I17" i="73"/>
  <c r="A17" i="73"/>
  <c r="AG16" i="73"/>
  <c r="AH16" i="73" s="1"/>
  <c r="L16" i="73"/>
  <c r="K16" i="73"/>
  <c r="I16" i="73"/>
  <c r="A16" i="73"/>
  <c r="AJ15" i="73"/>
  <c r="AG15" i="73"/>
  <c r="AH15" i="73" s="1"/>
  <c r="L15" i="73"/>
  <c r="K15" i="73"/>
  <c r="I15" i="73"/>
  <c r="A15" i="73"/>
  <c r="AG14" i="73"/>
  <c r="AH14" i="73" s="1"/>
  <c r="L14" i="73"/>
  <c r="K14" i="73"/>
  <c r="I14" i="73"/>
  <c r="A14" i="73"/>
  <c r="AG13" i="73"/>
  <c r="AH13" i="73" s="1"/>
  <c r="L13" i="73"/>
  <c r="K13" i="73"/>
  <c r="I13" i="73"/>
  <c r="A13" i="73"/>
  <c r="AJ12" i="73"/>
  <c r="AG12" i="73"/>
  <c r="AH12" i="73" s="1"/>
  <c r="L12" i="73"/>
  <c r="K12" i="73"/>
  <c r="I12" i="73"/>
  <c r="A12" i="73"/>
  <c r="AG11" i="73"/>
  <c r="AH11" i="73" s="1"/>
  <c r="L11" i="73"/>
  <c r="K11" i="73"/>
  <c r="I11" i="73"/>
  <c r="A11" i="73"/>
  <c r="AG10" i="73"/>
  <c r="AH10" i="73" s="1"/>
  <c r="L10" i="73"/>
  <c r="K10" i="73"/>
  <c r="I10" i="73"/>
  <c r="A10" i="73"/>
  <c r="AG9" i="73"/>
  <c r="AH9" i="73" s="1"/>
  <c r="L9" i="73"/>
  <c r="K9" i="73"/>
  <c r="I9" i="73"/>
  <c r="A9" i="73"/>
  <c r="AG8" i="73"/>
  <c r="AH8" i="73" s="1"/>
  <c r="L8" i="73"/>
  <c r="K8" i="73"/>
  <c r="I8" i="73"/>
  <c r="A8" i="73"/>
  <c r="AJ7" i="73"/>
  <c r="AG7" i="73"/>
  <c r="AH7" i="73" s="1"/>
  <c r="L7" i="73"/>
  <c r="K7" i="73"/>
  <c r="I7" i="73"/>
  <c r="A7" i="73"/>
  <c r="AJ6" i="73"/>
  <c r="AG6" i="73"/>
  <c r="AH6" i="73" s="1"/>
  <c r="L6" i="73"/>
  <c r="K6" i="73"/>
  <c r="I6" i="73"/>
  <c r="A6" i="73"/>
  <c r="AJ5" i="73"/>
  <c r="AG5" i="73"/>
  <c r="AH5" i="73" s="1"/>
  <c r="L5" i="73"/>
  <c r="K5" i="73"/>
  <c r="I5" i="73"/>
  <c r="A5" i="73"/>
  <c r="P2" i="73"/>
  <c r="N2" i="73"/>
  <c r="S115" i="73" l="1"/>
  <c r="J53" i="73" a="1"/>
  <c r="J53" i="73" s="1"/>
  <c r="H731" i="71" s="1"/>
  <c r="H703" i="71"/>
  <c r="H704" i="71" s="1"/>
  <c r="H701" i="71"/>
  <c r="H674" i="71"/>
  <c r="H673" i="71"/>
  <c r="J54" i="73" a="1"/>
  <c r="J54" i="73" s="1"/>
  <c r="H732" i="71" s="1"/>
  <c r="J55" i="73" a="1"/>
  <c r="J55" i="73" s="1"/>
  <c r="H687" i="71" s="1"/>
  <c r="H688" i="71" s="1"/>
  <c r="P45" i="73"/>
  <c r="AG114" i="73"/>
  <c r="AH114" i="73" s="1"/>
  <c r="J565" i="71"/>
  <c r="K565" i="71" s="1"/>
  <c r="R2" i="73" l="1"/>
  <c r="S2" i="73"/>
  <c r="J97" i="73" s="1" a="1"/>
  <c r="J97" i="73" s="1"/>
  <c r="H866" i="71" s="1"/>
  <c r="H867" i="71" l="1"/>
  <c r="H795" i="71"/>
  <c r="H796" i="71" s="1"/>
  <c r="H872" i="71"/>
  <c r="H873" i="71" s="1"/>
  <c r="H870" i="71"/>
  <c r="H705" i="71"/>
  <c r="H706" i="71" s="1"/>
  <c r="H862" i="71"/>
  <c r="J69" i="73" a="1"/>
  <c r="J69" i="73" s="1"/>
  <c r="H815" i="71" s="1"/>
  <c r="H816" i="71" s="1"/>
  <c r="H614" i="71"/>
  <c r="H616" i="71" s="1"/>
  <c r="J68" i="73" a="1"/>
  <c r="J68" i="73" s="1"/>
  <c r="H813" i="71" s="1"/>
  <c r="H772" i="71"/>
  <c r="H653" i="71"/>
  <c r="H654" i="71" s="1"/>
  <c r="H819" i="71"/>
  <c r="H820" i="71" s="1"/>
  <c r="H602" i="71"/>
  <c r="H648" i="71"/>
  <c r="H650" i="71" s="1"/>
  <c r="H817" i="71"/>
  <c r="H837" i="71"/>
  <c r="H838" i="71" s="1"/>
  <c r="H745" i="71"/>
  <c r="H643" i="71"/>
  <c r="H645" i="71" s="1"/>
  <c r="H586" i="71"/>
  <c r="H835" i="71"/>
  <c r="H678" i="71"/>
  <c r="H741" i="71"/>
  <c r="H620" i="71"/>
  <c r="H621" i="71" s="1"/>
  <c r="H623" i="71" s="1"/>
  <c r="J99" i="73" a="1"/>
  <c r="J99" i="73" s="1"/>
  <c r="H637" i="71" s="1"/>
  <c r="H638" i="71" s="1"/>
  <c r="H677" i="71"/>
  <c r="H823" i="71"/>
  <c r="H634" i="71"/>
  <c r="H636" i="71" s="1"/>
  <c r="J98" i="73" a="1"/>
  <c r="J98" i="73" s="1"/>
  <c r="H665" i="71" s="1"/>
  <c r="H666" i="71" s="1"/>
  <c r="J32" i="73" a="1"/>
  <c r="J32" i="73" s="1"/>
  <c r="H727" i="71" s="1"/>
  <c r="H728" i="71" s="1"/>
  <c r="H633" i="71"/>
  <c r="H635" i="71" s="1"/>
  <c r="J31" i="73" a="1"/>
  <c r="J31" i="73" s="1"/>
  <c r="H582" i="71" s="1"/>
  <c r="H583" i="71" s="1"/>
  <c r="H592" i="71"/>
  <c r="H594" i="71" s="1"/>
  <c r="J30" i="73" a="1"/>
  <c r="J30" i="73" s="1"/>
  <c r="H651" i="71" s="1"/>
  <c r="H652" i="71" s="1"/>
  <c r="H591" i="71"/>
  <c r="H593" i="71" s="1"/>
  <c r="H615" i="71"/>
  <c r="H617" i="71" s="1"/>
  <c r="H836" i="71"/>
  <c r="H671" i="71"/>
  <c r="H672" i="71" s="1"/>
  <c r="H669" i="71"/>
  <c r="H685" i="71"/>
  <c r="H686" i="71"/>
  <c r="H807" i="71"/>
  <c r="H808" i="71" s="1"/>
  <c r="H805" i="71"/>
  <c r="H799" i="71"/>
  <c r="H818" i="71"/>
  <c r="H679" i="71"/>
  <c r="H814" i="71"/>
  <c r="H737" i="71"/>
  <c r="T2" i="73"/>
  <c r="H738" i="71" l="1"/>
  <c r="H742" i="71"/>
  <c r="H587" i="71"/>
  <c r="H680" i="71"/>
  <c r="H800" i="71"/>
  <c r="H746" i="71"/>
  <c r="H863" i="71"/>
  <c r="H871" i="71"/>
  <c r="H824" i="71"/>
  <c r="J81" i="73" a="1"/>
  <c r="J81" i="73" s="1"/>
  <c r="H757" i="71" s="1"/>
  <c r="H758" i="71" s="1"/>
  <c r="J70" i="73" a="1"/>
  <c r="J70" i="73" s="1"/>
  <c r="H694" i="71" s="1"/>
  <c r="J80" i="73" a="1"/>
  <c r="J80" i="73" s="1"/>
  <c r="H755" i="71" s="1"/>
  <c r="J79" i="73" a="1"/>
  <c r="J79" i="73" s="1"/>
  <c r="H691" i="71" s="1"/>
  <c r="H692" i="71" s="1"/>
  <c r="J78" i="73" a="1"/>
  <c r="J78" i="73" s="1"/>
  <c r="H689" i="71" s="1"/>
  <c r="J77" i="73" a="1"/>
  <c r="J77" i="73" s="1"/>
  <c r="H736" i="71" s="1"/>
  <c r="J76" i="73" a="1"/>
  <c r="J76" i="73" s="1"/>
  <c r="H735" i="71" s="1"/>
  <c r="J75" i="73" a="1"/>
  <c r="J75" i="73" s="1"/>
  <c r="H753" i="71" s="1"/>
  <c r="J74" i="73" a="1"/>
  <c r="J74" i="73" s="1"/>
  <c r="H756" i="71" s="1"/>
  <c r="J73" i="73" a="1"/>
  <c r="J73" i="73" s="1"/>
  <c r="H690" i="71" s="1"/>
  <c r="J72" i="73" a="1"/>
  <c r="J72" i="73" s="1"/>
  <c r="H683" i="71" s="1"/>
  <c r="J71" i="73" a="1"/>
  <c r="J71" i="73" s="1"/>
  <c r="H698" i="71" s="1"/>
  <c r="H864" i="71"/>
  <c r="U2" i="73"/>
  <c r="H754" i="71" l="1"/>
  <c r="H865" i="71"/>
  <c r="H684" i="71"/>
  <c r="H647" i="71"/>
  <c r="H649" i="71" s="1"/>
  <c r="H856" i="71"/>
  <c r="H857" i="71" s="1"/>
  <c r="H619" i="71"/>
  <c r="H590" i="71"/>
  <c r="H613" i="71"/>
  <c r="J88" i="73" a="1"/>
  <c r="J88" i="73" s="1"/>
  <c r="H751" i="71" s="1"/>
  <c r="J100" i="73" a="1"/>
  <c r="J100" i="73" s="1"/>
  <c r="H611" i="71" s="1"/>
  <c r="H612" i="71" s="1"/>
  <c r="J87" i="73" a="1"/>
  <c r="J87" i="73" s="1"/>
  <c r="H682" i="71" s="1"/>
  <c r="J86" i="73" a="1"/>
  <c r="J86" i="73" s="1"/>
  <c r="H681" i="71" s="1"/>
  <c r="H769" i="71"/>
  <c r="H771" i="71" s="1"/>
  <c r="J85" i="73" a="1"/>
  <c r="J85" i="73" s="1"/>
  <c r="H699" i="71" s="1"/>
  <c r="H700" i="71" s="1"/>
  <c r="H784" i="71"/>
  <c r="H786" i="71" s="1"/>
  <c r="J84" i="73" a="1"/>
  <c r="J84" i="73" s="1"/>
  <c r="H697" i="71" s="1"/>
  <c r="H852" i="71"/>
  <c r="H853" i="71" s="1"/>
  <c r="H655" i="71"/>
  <c r="H656" i="71" s="1"/>
  <c r="H642" i="71"/>
  <c r="H644" i="71" s="1"/>
  <c r="J83" i="73" a="1"/>
  <c r="J83" i="73" s="1"/>
  <c r="H695" i="71" s="1"/>
  <c r="H696" i="71" s="1"/>
  <c r="J82" i="73" a="1"/>
  <c r="J82" i="73" s="1"/>
  <c r="H693" i="71" s="1"/>
  <c r="W2" i="73"/>
  <c r="V2" i="73"/>
  <c r="J89" i="73" l="1" a="1"/>
  <c r="J89" i="73" s="1"/>
  <c r="H752" i="71" s="1"/>
  <c r="H768" i="71"/>
  <c r="H783" i="71"/>
  <c r="H641" i="71"/>
  <c r="J91" i="73" a="1"/>
  <c r="J91" i="73" s="1"/>
  <c r="H779" i="71"/>
  <c r="H781" i="71" s="1"/>
  <c r="J90" i="73" a="1"/>
  <c r="J90" i="73" s="1"/>
  <c r="H739" i="71"/>
  <c r="H740" i="71" s="1"/>
  <c r="J101" i="73" a="1"/>
  <c r="J101" i="73" s="1"/>
  <c r="H803" i="71" s="1"/>
  <c r="H646" i="71"/>
  <c r="H576" i="71"/>
  <c r="H577" i="71" s="1"/>
  <c r="H609" i="71"/>
  <c r="H610" i="71" s="1"/>
  <c r="H632" i="71"/>
  <c r="X2" i="73"/>
  <c r="Y2" i="73"/>
  <c r="H630" i="71" s="1"/>
  <c r="H804" i="71" l="1"/>
  <c r="H785" i="71"/>
  <c r="H631" i="71"/>
  <c r="H770" i="71"/>
  <c r="H580" i="71"/>
  <c r="H581" i="71" s="1"/>
  <c r="H618" i="71"/>
  <c r="H854" i="71"/>
  <c r="J16" i="73" a="1"/>
  <c r="J16" i="73" s="1"/>
  <c r="H778" i="71" s="1"/>
  <c r="J18" i="73" a="1"/>
  <c r="J18" i="73" s="1"/>
  <c r="H767" i="71" s="1"/>
  <c r="J17" i="73" a="1"/>
  <c r="J17" i="73" s="1"/>
  <c r="H782" i="71" s="1"/>
  <c r="Z2" i="73"/>
  <c r="AA2" i="73"/>
  <c r="J19" i="73" s="1" a="1"/>
  <c r="J19" i="73" s="1"/>
  <c r="H777" i="71" s="1"/>
  <c r="H780" i="71" l="1"/>
  <c r="H855" i="71"/>
  <c r="AB2" i="73"/>
  <c r="AC2" i="73"/>
  <c r="AD2" i="73" l="1"/>
  <c r="AE2" i="73"/>
  <c r="H765" i="71" l="1"/>
  <c r="H821" i="71"/>
  <c r="H822" i="71" s="1"/>
  <c r="H849" i="71"/>
  <c r="J33" i="73" a="1"/>
  <c r="J33" i="73" s="1"/>
  <c r="H789" i="71" s="1"/>
  <c r="J34" i="73" a="1"/>
  <c r="J34" i="73" s="1"/>
  <c r="H667" i="71" s="1"/>
  <c r="H668" i="71" s="1"/>
  <c r="J102" i="73" a="1"/>
  <c r="J102" i="73" s="1"/>
  <c r="J25" i="73" a="1"/>
  <c r="J25" i="73" s="1"/>
  <c r="AF2" i="73"/>
  <c r="H766" i="71" l="1"/>
  <c r="H790" i="71"/>
  <c r="J109" i="73" a="1"/>
  <c r="J109" i="73" s="1"/>
  <c r="H833" i="71" s="1"/>
  <c r="J110" i="73" a="1"/>
  <c r="J110" i="73" s="1"/>
  <c r="H868" i="71" s="1"/>
  <c r="H663" i="71"/>
  <c r="H664" i="71" s="1"/>
  <c r="H847" i="71"/>
  <c r="H657" i="71"/>
  <c r="H658" i="71" s="1"/>
  <c r="H825" i="71"/>
  <c r="H801" i="71"/>
  <c r="H802" i="71" s="1"/>
  <c r="H747" i="71"/>
  <c r="H748" i="71" s="1"/>
  <c r="H850" i="71"/>
  <c r="J112" i="73" a="1"/>
  <c r="J112" i="73" s="1"/>
  <c r="H749" i="71" s="1"/>
  <c r="H827" i="71"/>
  <c r="H707" i="71"/>
  <c r="J111" i="73" a="1"/>
  <c r="J111" i="73" s="1"/>
  <c r="H791" i="71" s="1"/>
  <c r="H792" i="71" s="1"/>
  <c r="H787" i="71"/>
  <c r="H788" i="71" s="1"/>
  <c r="H661" i="71"/>
  <c r="H662" i="71" s="1"/>
  <c r="H763" i="71"/>
  <c r="H858" i="71"/>
  <c r="J20" i="73" a="1"/>
  <c r="J20" i="73" s="1"/>
  <c r="J114" i="73" a="1"/>
  <c r="J114" i="73" s="1"/>
  <c r="H743" i="71"/>
  <c r="H719" i="71"/>
  <c r="H720" i="71" s="1"/>
  <c r="J35" i="73" a="1"/>
  <c r="J35" i="73" s="1"/>
  <c r="H725" i="71" s="1"/>
  <c r="H726" i="71" s="1"/>
  <c r="J37" i="73" a="1"/>
  <c r="J37" i="73" s="1"/>
  <c r="J43" i="73" a="1"/>
  <c r="J43" i="73" s="1"/>
  <c r="J103" i="73" a="1"/>
  <c r="J103" i="73" s="1"/>
  <c r="H860" i="71"/>
  <c r="J24" i="73" a="1"/>
  <c r="J24" i="73" s="1"/>
  <c r="J22" i="73" a="1"/>
  <c r="J22" i="73" s="1"/>
  <c r="J23" i="73" a="1"/>
  <c r="J23" i="73" s="1"/>
  <c r="J36" i="73" a="1"/>
  <c r="J36" i="73" s="1"/>
  <c r="J21" i="73" a="1"/>
  <c r="J21" i="73" s="1"/>
  <c r="J113" i="73" a="1"/>
  <c r="J113" i="73" s="1"/>
  <c r="J44" i="73" a="1"/>
  <c r="J44" i="73" s="1"/>
  <c r="H859" i="71" l="1"/>
  <c r="H826" i="71"/>
  <c r="H764" i="71"/>
  <c r="H848" i="71"/>
  <c r="H869" i="71"/>
  <c r="H708" i="71"/>
  <c r="H834" i="71"/>
  <c r="H861" i="71"/>
  <c r="H744" i="71"/>
  <c r="H828" i="71"/>
  <c r="H750" i="71"/>
  <c r="H85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王雯波</author>
  </authors>
  <commentList>
    <comment ref="W104" authorId="0" shapeId="0" xr:uid="{525F1CC6-A1CA-43C3-AD51-6DC898651C42}">
      <text>
        <r>
          <rPr>
            <b/>
            <sz val="9"/>
            <color indexed="81"/>
            <rFont val="宋体"/>
            <family val="3"/>
            <charset val="134"/>
          </rPr>
          <t>王雯波:</t>
        </r>
        <r>
          <rPr>
            <sz val="9"/>
            <color indexed="81"/>
            <rFont val="宋体"/>
            <family val="3"/>
            <charset val="134"/>
          </rPr>
          <t xml:space="preserve">
清包装</t>
        </r>
      </text>
    </comment>
    <comment ref="O115" authorId="0" shapeId="0" xr:uid="{20291ACB-76DD-4CEB-8761-661E9147A45B}">
      <text>
        <r>
          <rPr>
            <b/>
            <sz val="9"/>
            <color indexed="81"/>
            <rFont val="宋体"/>
            <family val="3"/>
            <charset val="134"/>
          </rPr>
          <t>王雯波:</t>
        </r>
        <r>
          <rPr>
            <sz val="9"/>
            <color indexed="81"/>
            <rFont val="宋体"/>
            <family val="3"/>
            <charset val="134"/>
          </rPr>
          <t xml:space="preserve">
插件8H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王雯波</author>
  </authors>
  <commentList>
    <comment ref="F682" authorId="0" shapeId="0" xr:uid="{00000000-0006-0000-0200-000001000000}">
      <text>
        <r>
          <rPr>
            <b/>
            <sz val="11"/>
            <rFont val="宋体"/>
            <family val="3"/>
            <charset val="134"/>
          </rPr>
          <t xml:space="preserve">原单3251，先建700
</t>
        </r>
      </text>
    </comment>
    <comment ref="F698" authorId="0" shapeId="0" xr:uid="{00000000-0006-0000-0200-000002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448-429=19
按照实际库存429建单
</t>
        </r>
      </text>
    </comment>
    <comment ref="F713" authorId="0" shapeId="0" xr:uid="{00000000-0006-0000-0200-000003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返工方案里数量951
5月25日建单库存只有825
按825建单已与解工沟通</t>
        </r>
      </text>
    </comment>
    <comment ref="F883" authorId="0" shapeId="0" xr:uid="{00000000-0006-0000-0200-000004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组件缺料</t>
        </r>
      </text>
    </comment>
    <comment ref="F896" authorId="0" shapeId="0" xr:uid="{00000000-0006-0000-0200-000005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组件缺料</t>
        </r>
      </text>
    </comment>
    <comment ref="F1068" authorId="0" shapeId="0" xr:uid="{00000000-0006-0000-0200-000006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返工方案数量533，实际库存388</t>
        </r>
      </text>
    </comment>
    <comment ref="F1150" authorId="0" shapeId="0" xr:uid="{00000000-0006-0000-0200-000007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未下达</t>
        </r>
      </text>
    </comment>
    <comment ref="F1263" authorId="0" shapeId="0" xr:uid="{00000000-0006-0000-0200-000008000000}">
      <text>
        <r>
          <rPr>
            <b/>
            <sz val="11"/>
            <rFont val="宋体"/>
            <family val="3"/>
            <charset val="134"/>
          </rPr>
          <t>王雯波:</t>
        </r>
        <r>
          <rPr>
            <sz val="11"/>
            <rFont val="宋体"/>
            <family val="3"/>
            <charset val="134"/>
          </rPr>
          <t xml:space="preserve">
组件缺料</t>
        </r>
      </text>
    </comment>
    <comment ref="F1292" authorId="0" shapeId="0" xr:uid="{00000000-0006-0000-0200-000009000000}">
      <text>
        <r>
          <rPr>
            <b/>
            <sz val="9"/>
            <rFont val="宋体"/>
            <family val="3"/>
            <charset val="134"/>
          </rPr>
          <t>王雯波:</t>
        </r>
        <r>
          <rPr>
            <sz val="9"/>
            <rFont val="宋体"/>
            <family val="3"/>
            <charset val="134"/>
          </rPr>
          <t xml:space="preserve">
仓库无板子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<sst xmlns="http://schemas.openxmlformats.org/spreadsheetml/2006/main" count="6593" uniqueCount="1845">
  <si>
    <t>工序</t>
  </si>
  <si>
    <t>成品编码</t>
  </si>
  <si>
    <t>整机工单号</t>
  </si>
  <si>
    <t>新系统工单号</t>
  </si>
  <si>
    <t>物料描述</t>
  </si>
  <si>
    <t>工单数量</t>
  </si>
  <si>
    <t>剩余数量</t>
  </si>
  <si>
    <t>拼板数</t>
  </si>
  <si>
    <t>上线时间</t>
  </si>
  <si>
    <t>UPH</t>
  </si>
  <si>
    <t>人力</t>
  </si>
  <si>
    <t>已排数量</t>
  </si>
  <si>
    <t>未排数量</t>
  </si>
  <si>
    <t>备注</t>
  </si>
  <si>
    <t>定稿工单</t>
  </si>
  <si>
    <t>客户</t>
  </si>
  <si>
    <t>类型</t>
  </si>
  <si>
    <t>生产时长</t>
  </si>
  <si>
    <t>夜班</t>
  </si>
  <si>
    <t>开工线体</t>
  </si>
  <si>
    <t>插件</t>
  </si>
  <si>
    <t>包装</t>
  </si>
  <si>
    <t>697-C2503C G0020 1235823 H7A09529D/PV22&amp;</t>
  </si>
  <si>
    <t>测试</t>
  </si>
  <si>
    <t>500268-C2501A-C H7A09528C PE2306Q</t>
  </si>
  <si>
    <t>1886-C2512D-X 20170752 7i洗衣机通用板 天青墨</t>
  </si>
  <si>
    <t>1886-C2512D G0020 20170752 7i洗衣机面板 天青墨</t>
  </si>
  <si>
    <t>500268-C2501B-DRV H7A09502V/PV2229Y</t>
  </si>
  <si>
    <t>697-C2504C-DRV H7A09502B/PV2229H</t>
  </si>
  <si>
    <t>500268-C2501B G0020 1250711 H7A10566H-D&amp;</t>
  </si>
  <si>
    <t>697-C2504C G0020 1201685 H7A09158B/PV22&amp;</t>
  </si>
  <si>
    <t>697-C2503A-DRV H7A09502J/PV2229Q</t>
  </si>
  <si>
    <t>500268-C2501E-DRV H7A11297A/PV2229Y</t>
  </si>
  <si>
    <t>697-C2503C-DRV H7A09502C/PV2229Q</t>
  </si>
  <si>
    <t>697-C2503A G0020 1240104 H7A09529E/PV22&amp;</t>
  </si>
  <si>
    <t>500268-C2501E G0020 1242656 H7A10566E-D&amp;</t>
  </si>
  <si>
    <t>697-C2503E-DRV H7A09502D/PV2229Q</t>
  </si>
  <si>
    <t>697-C2504D-DRV H7A09502G/PV2229H</t>
  </si>
  <si>
    <t>697-C2503E G0020 1220212 H7A09529B/PV22&amp;</t>
  </si>
  <si>
    <t>697-C2504D G0020 1239203 H7A09158E/PV22&amp;</t>
  </si>
  <si>
    <t>697-C2504A-C H7A09528A/PE2306H</t>
  </si>
  <si>
    <t>697-C2504B-DRV H7A09502A/PV2229H</t>
  </si>
  <si>
    <t>697-C2504B G0020 1201684 H7A09158A/PV22&amp;</t>
  </si>
  <si>
    <t>1886-C2512A-K 干洗衣机按键旋钮板</t>
  </si>
  <si>
    <t>1886-C2512F-X 20239594 7i干衣机通用板 新能效天青墨</t>
  </si>
  <si>
    <t>1886-C2512F G0020 20239594 7i干衣机面板 新能效天&amp;</t>
  </si>
  <si>
    <t>201-A2378A-O HLP5602-GWM.01</t>
  </si>
  <si>
    <t>201-A2379B-X 7S5602(天青墨)</t>
  </si>
  <si>
    <t>201-A2381C-X 2297595 冼衣机面板(全球白)</t>
  </si>
  <si>
    <t>201-A2381B-X HLP5602-GWM(天青墨)</t>
  </si>
  <si>
    <t>1886-C2512A-X 20116662 干衣机通用板</t>
  </si>
  <si>
    <t>500269-C2407A-X 2446112</t>
  </si>
  <si>
    <t>1886-C2512A G0020 20116662 干衣机面板</t>
  </si>
  <si>
    <t>500269-C2405A-X 2446112 天青墨</t>
  </si>
  <si>
    <t>1886-C2512C-X 20116663 7i干衣机通用板 天青墨</t>
  </si>
  <si>
    <t>500268-C2501F-DRV H7A09502P/PV2229Y</t>
  </si>
  <si>
    <t>500268-C2501F G0020 1242657 H7A10566F-D&amp;</t>
  </si>
  <si>
    <t>齐套300齐套</t>
  </si>
  <si>
    <t>海信DIPL01，拉长任宁宁</t>
  </si>
  <si>
    <t>DIPL02</t>
  </si>
  <si>
    <t>600766-A2504A-PC G0044 0011801490M</t>
  </si>
  <si>
    <t>693-C23I1A-PC 0011801652A</t>
  </si>
  <si>
    <t>500323-B24A6H-PC 0011801490Y</t>
  </si>
  <si>
    <t>500323-C24L6H-PC G0044 0011801172DL</t>
  </si>
  <si>
    <t>693-C2246A-PC G0044 0011801172AG  小批验证用</t>
  </si>
  <si>
    <t>693-B2201B-PC 0011801424B</t>
  </si>
  <si>
    <t>500323-C24F6B-PC 0041801140A</t>
  </si>
  <si>
    <t>500323-C24F6A-PC 0041801140</t>
  </si>
  <si>
    <t>30号入库，可放节后</t>
  </si>
  <si>
    <t>693-C23B7A-PC 0151800228CA</t>
  </si>
  <si>
    <t>备库</t>
  </si>
  <si>
    <t>500323-C24A9A-PC 0011801490S</t>
  </si>
  <si>
    <t>693-C23I3A-PC 0011801656</t>
  </si>
  <si>
    <t>500323-C2491A-PC 0011801656A</t>
  </si>
  <si>
    <t>693-C2576B-PC G0044 0011801490BS</t>
  </si>
  <si>
    <t>500323-C2491D-PC G0044 0011801656B</t>
  </si>
  <si>
    <t>693-C2608B-PC G0044 0011801656D</t>
  </si>
  <si>
    <t>500323-C24L6G-PC G0044 0011801172DM</t>
  </si>
  <si>
    <t>693-C23G3A-PC 0011801172CW</t>
  </si>
  <si>
    <t>693-C23J4B-PC 0011801172CU</t>
  </si>
  <si>
    <t>693-C2608A-PC G0044 0011801656C</t>
  </si>
  <si>
    <t>693-B2201J-PC 0011801424C</t>
  </si>
  <si>
    <t>693-B2201N-PC-0011801424AE</t>
  </si>
  <si>
    <t>693-B2201O-PC-0011801424AF</t>
  </si>
  <si>
    <t>693-B23G7B-PC  0011801048AF</t>
  </si>
  <si>
    <t>693-B23G9A-PC  0011801424AT</t>
  </si>
  <si>
    <t>693-B23I7A-PC 0011801039AM</t>
  </si>
  <si>
    <t>693-B23I7B-PC 0011801039AN</t>
  </si>
  <si>
    <t>500323-C2489A-PC 0011801425AA</t>
  </si>
  <si>
    <t>1323-C2306A-PC 0011801652</t>
  </si>
  <si>
    <t>501964-B2602B G0020 2499050</t>
  </si>
  <si>
    <t>海尔DIPL02，拉长张玲丽</t>
  </si>
  <si>
    <t>DIPL03</t>
  </si>
  <si>
    <t>600766-A2505E-PC G0044 0011801843JCHHR</t>
  </si>
  <si>
    <t>600766-A2505D-PC G0044 0011801843K</t>
  </si>
  <si>
    <t>600766-A2505B-PC G0044 0011801843G</t>
  </si>
  <si>
    <t>693-C2534F-PC G0044 0011801843X</t>
  </si>
  <si>
    <t>500323-C2501A-PC 0011801843D</t>
  </si>
  <si>
    <t>29号入库</t>
  </si>
  <si>
    <t>693-C2556A-D G0044 0031800517</t>
  </si>
  <si>
    <t>693-C2534G-PC G0044 0011801843Y</t>
  </si>
  <si>
    <t>海尔DIPL03，拉长邢树理</t>
  </si>
  <si>
    <t>DIPL04</t>
  </si>
  <si>
    <t>2189-B2505Y G0020 20217726</t>
  </si>
  <si>
    <t>2189-B2505Y-D 20217726</t>
  </si>
  <si>
    <t>2189-B2505M G0020 20159286</t>
  </si>
  <si>
    <t>2189-B2505M-D 20159286</t>
  </si>
  <si>
    <t>2189-B2507C G0020 20135510</t>
  </si>
  <si>
    <t>2189-B2507C-D 20135510</t>
  </si>
  <si>
    <t>2189-B2505R G0020 20187291</t>
  </si>
  <si>
    <t>2189-B2505R-D 20187291</t>
  </si>
  <si>
    <t>2189-B2507B G0020 20126720</t>
  </si>
  <si>
    <t>2189-B2507B-D 20126720</t>
  </si>
  <si>
    <t>2189-B2505Z G0020 20217734</t>
  </si>
  <si>
    <t>2189-B2505Z-D 20217734</t>
  </si>
  <si>
    <t>2189-B2505P G0020 20112792</t>
  </si>
  <si>
    <t>2189-B2505P-D 20112792</t>
  </si>
  <si>
    <t>2189-B2505G G0020 20112794</t>
  </si>
  <si>
    <t>2189-B2505G-D 20112794</t>
  </si>
  <si>
    <t>2189-B2505A G0020 2489739</t>
  </si>
  <si>
    <t>2189-B2505A-D 2489739</t>
  </si>
  <si>
    <t>2189-B2505O G0020 20112793</t>
  </si>
  <si>
    <t>2189-B2505O-D 20112793</t>
  </si>
  <si>
    <t>旋钮板</t>
  </si>
  <si>
    <t>2189-B2505A-KN 2489739</t>
  </si>
  <si>
    <t>2189-B2505L G0020 20159285</t>
  </si>
  <si>
    <t>2189-B2505L-D 20159285</t>
  </si>
  <si>
    <t>2189-B2507E G0020 20206798</t>
  </si>
  <si>
    <t>2189-B2507E-D 20206798</t>
  </si>
  <si>
    <t>2189-B2507G G0020 20224798</t>
  </si>
  <si>
    <t>30号入库</t>
  </si>
  <si>
    <t>2189-B2507G-D 20224798</t>
  </si>
  <si>
    <t>2189-B2505AK G0020 20246774</t>
  </si>
  <si>
    <t>2189-B2505AK-D 20246774</t>
  </si>
  <si>
    <t>2189-B2505AM G0020 20120050</t>
  </si>
  <si>
    <t>2189-B2505AM-D 20120050</t>
  </si>
  <si>
    <t>2189-B2505AI G0020 2504047</t>
  </si>
  <si>
    <t>2189-B2505AI-D 2504047</t>
  </si>
  <si>
    <t>2189-B2505F G0020 20107993</t>
  </si>
  <si>
    <t>2189-B2505F-D 20107993</t>
  </si>
  <si>
    <t>2189-B2507A G0020 20127550</t>
  </si>
  <si>
    <t>2189-B2507A-D 20127550</t>
  </si>
  <si>
    <t>2189-B2505AL G0020 20120049</t>
  </si>
  <si>
    <t>2189-B2505AL-D 20120049</t>
  </si>
  <si>
    <t>2189-B2507H G0020 20224799</t>
  </si>
  <si>
    <t>2189-B2507H-D 20224799</t>
  </si>
  <si>
    <t>2189-B2507I G0020 20224800</t>
  </si>
  <si>
    <t>2189-B2507N G0020 20239309</t>
  </si>
  <si>
    <t>2189-B2507O G0020 20141243</t>
  </si>
  <si>
    <t>2189-B2507F G0020 20224797</t>
  </si>
  <si>
    <t>海尔DIPL04，拉长邢树理</t>
  </si>
  <si>
    <t>DIPL05</t>
  </si>
  <si>
    <t>693-C2205A-PC 0190400348</t>
  </si>
  <si>
    <t>693-C2413A-PC 0181800103 加水泥电阻</t>
  </si>
  <si>
    <t>693-C2412A-PC 0041801687</t>
  </si>
  <si>
    <t>500493-B2407I-D G0020 20114666</t>
  </si>
  <si>
    <t>693-C2434A-PC 0031800138R</t>
  </si>
  <si>
    <t>500493-B2402E-D 2418237</t>
  </si>
  <si>
    <t>500493-C2501A G0020 20105971</t>
  </si>
  <si>
    <t>500493-C2504A-CB 2468085</t>
  </si>
  <si>
    <t>海尔DIPL05，拉长李哲</t>
  </si>
  <si>
    <t>DIPL06</t>
  </si>
  <si>
    <t>693-A2182A-PC 0011800807</t>
  </si>
  <si>
    <t>500323-C24A2E-PC G0044 0011801675C 新</t>
  </si>
  <si>
    <t>693-A2179A-PC 0011800630K</t>
  </si>
  <si>
    <t>693-C2283A-PC 0011800923F</t>
  </si>
  <si>
    <t>693-C2349A-PC 0011800923G</t>
  </si>
  <si>
    <t>693-C2513A-PC G0044 0011800537F</t>
  </si>
  <si>
    <t>500323-C24F3A-D 0011801685</t>
  </si>
  <si>
    <t>693-C2532C-PC G0044 0011802020B</t>
  </si>
  <si>
    <t>693-C2532B-PC G0044 0011802020A</t>
  </si>
  <si>
    <t>693-A2180G-PC 0011800646L</t>
  </si>
  <si>
    <t>693-C23I5A-PC 0011801071E</t>
  </si>
  <si>
    <t>693-A2179E-PC    0011800630J</t>
  </si>
  <si>
    <t>693-C2260D-PC 0011801256R</t>
  </si>
  <si>
    <t>501706-C2501A-PC G0044 1060171</t>
  </si>
  <si>
    <t>693-C2516C-PC G0044 0011801675AB</t>
  </si>
  <si>
    <t>693-C2516H-PC G0044 0011801675K</t>
  </si>
  <si>
    <t>500323-C24A2B-PC G0044 0011801675B 新</t>
  </si>
  <si>
    <t>693-C2373A-PC  0011800980E</t>
  </si>
  <si>
    <t>693-C2238A-PC 0011800977K</t>
  </si>
  <si>
    <t>693-C24Q3B-PC G0044 0011801977F</t>
  </si>
  <si>
    <t>693-A2179B-PC 0011800630M</t>
  </si>
  <si>
    <t>693-A2179C-PC 0011800630L</t>
  </si>
  <si>
    <t>693-C2250A-PC 0011800980J</t>
  </si>
  <si>
    <t>693-C2256D-PC 0011801123H</t>
  </si>
  <si>
    <t>693-C2256E-PC 0011801123J</t>
  </si>
  <si>
    <t>693-C2260A-PC 0011801256B</t>
  </si>
  <si>
    <t>693-C2260B-PC 0011801256L</t>
  </si>
  <si>
    <t>693-C2568A-PC G0044 0011800722GCH</t>
  </si>
  <si>
    <t>500323-C24A2A-PC G0044 0011801675A 新</t>
  </si>
  <si>
    <t>693-C2516A-PC G0044 0011801675H</t>
  </si>
  <si>
    <t>693-C2516E-PC G0044 0011801675AF</t>
  </si>
  <si>
    <t>693-C2516F-PC G0044 0011801675AE</t>
  </si>
  <si>
    <t>693-C24Q3C-PC G0044 0011801977E</t>
  </si>
  <si>
    <t>693-C24Q3D-PC G0044 0011801977H</t>
  </si>
  <si>
    <t>693-C24Q3E-PC G0044 0011801977G</t>
  </si>
  <si>
    <t>693-C2203A-PC 0011801327</t>
  </si>
  <si>
    <t>693-C2373B-PC??0011800980F</t>
  </si>
  <si>
    <t>693-C23I2A-PC 0011801657</t>
  </si>
  <si>
    <t>693-C23J5A-PC 0011801826</t>
  </si>
  <si>
    <t>海尔DIPL06，拉长徐长</t>
  </si>
  <si>
    <t>DIPL07</t>
  </si>
  <si>
    <t>693-C25A7A-PC G0044 0151801031AA</t>
  </si>
  <si>
    <t>693-C2588A-PC G0044 0151801031G</t>
  </si>
  <si>
    <t>693-C25A1A-PC G0044 0151801031FA</t>
  </si>
  <si>
    <t>693-C25A5A-PC G0044 0151801031FB</t>
  </si>
  <si>
    <t>500323-C24N5C-PC 0151801031E</t>
  </si>
  <si>
    <t>693-C23D5A-PC 0151801031</t>
  </si>
  <si>
    <t>501964-B2602B-P 2499050</t>
  </si>
  <si>
    <t>501964-B2602B-PC 2499050</t>
  </si>
  <si>
    <t>693-C25A8A-PC G0044 0151801031B</t>
  </si>
  <si>
    <t>500323-C24L7A-PC 0011800977AA</t>
  </si>
  <si>
    <t>500323-C24F7A-PC 0151801003</t>
  </si>
  <si>
    <t>693-C23D5B-PC 0151801031A</t>
  </si>
  <si>
    <t>693-C2398A-PC 0151801003A</t>
  </si>
  <si>
    <t>DIPL08</t>
  </si>
  <si>
    <t>600766-A2503A-PC G0044 0011801330MHR</t>
  </si>
  <si>
    <t>500323-C2508A-PC 0011801824</t>
  </si>
  <si>
    <t>693-C23C8A-PC 0011800977T</t>
  </si>
  <si>
    <t>693-A2210B-PC 0011801372A</t>
  </si>
  <si>
    <t>693-A2210E-PC 0011801372B</t>
  </si>
  <si>
    <t>693-A2210G-PC 0011801372G</t>
  </si>
  <si>
    <t>693-B2209J-PC-0011801425D</t>
  </si>
  <si>
    <t>693-C2352D-PC 0011801516E</t>
  </si>
  <si>
    <t>500323-C24J3B-PC G0044 0011801890C</t>
  </si>
  <si>
    <t>693-B2548A-PC G0044 0011801922</t>
  </si>
  <si>
    <t>693-C2352A-PC 0011801516</t>
  </si>
  <si>
    <t>693-C2352C-PC 0011801516D</t>
  </si>
  <si>
    <t>693-B2201M-PC 0011801424Z</t>
  </si>
  <si>
    <t>693-C2331B-PC 0011801593A</t>
  </si>
  <si>
    <t>693-C2331D-PC 0011801593C</t>
  </si>
  <si>
    <t>500323-C2488A-PC 0011801482A</t>
  </si>
  <si>
    <t>500323-C24A3C-PC G0044 0011801850B</t>
  </si>
  <si>
    <t>693-B2548E-PC G0044 0011801922F</t>
  </si>
  <si>
    <t>693-B2548F-PC G0044 0011801922G</t>
  </si>
  <si>
    <t>693-B23G2A-PC 0011801330G</t>
  </si>
  <si>
    <t>693-B23G2B-PC 0011801330H</t>
  </si>
  <si>
    <t>693-B23G2D-PC 0011801330C</t>
  </si>
  <si>
    <t>693-B25D2B-PC G0044 0011801330AK</t>
  </si>
  <si>
    <t>500323-C24J3A-PC 0011801890</t>
  </si>
  <si>
    <t>693-C23D4A-PC 0011801593</t>
  </si>
  <si>
    <t>693-C2331E-PC 0011801593D</t>
  </si>
  <si>
    <t>500323-C24D2B-D 0021800616C</t>
  </si>
  <si>
    <t>500323-C24D2F-D G0044 0021800616E</t>
  </si>
  <si>
    <t>500323-C24D2J-D G0044 0021800616J</t>
  </si>
  <si>
    <t>693-C2595E-D G0044 0021800866B</t>
  </si>
  <si>
    <t>693-B2286B-D 0021800442A</t>
  </si>
  <si>
    <t>693-C2595A-D G0044 0021800866</t>
  </si>
  <si>
    <t>693-C2595C-D G0044 0021800866GA</t>
  </si>
  <si>
    <t>1323-B2307A-D 0011801713</t>
  </si>
  <si>
    <t>1323-C2305A-D 0011801659</t>
  </si>
  <si>
    <t>500323-C24D2A-D 0021800616B</t>
  </si>
  <si>
    <t>500323-C24D2G-D G0044 0021800616F</t>
  </si>
  <si>
    <t>693-C2390A-D 0021800616</t>
  </si>
  <si>
    <t>501851-A2513A-D G0384 612101020027</t>
  </si>
  <si>
    <t>501851-A2514A-D G0384 612101020026</t>
  </si>
  <si>
    <t>693-C2596A-D G0044 0041801949</t>
  </si>
  <si>
    <t>500323-C24F5B-D 0021800615C</t>
  </si>
  <si>
    <t>693-C2216F-D 0011800324T</t>
  </si>
  <si>
    <t>500323-C24R1A G0044</t>
  </si>
  <si>
    <t>500323-C24G5A-D G0044 0011801911 新</t>
  </si>
  <si>
    <t>693-C2375A-D 0011800387D 合肥专用</t>
  </si>
  <si>
    <t>600766-A2506A-PC G0044 0011800977HHR</t>
  </si>
  <si>
    <t>600766-A2506B-PC G0044 0011800977JHR</t>
  </si>
  <si>
    <t>下达日期</t>
  </si>
  <si>
    <t>完成插件</t>
  </si>
  <si>
    <t>物料编码</t>
  </si>
  <si>
    <t>整机工单</t>
  </si>
  <si>
    <t>订单</t>
  </si>
  <si>
    <t>数量</t>
  </si>
  <si>
    <t>上线</t>
  </si>
  <si>
    <t>配料日期</t>
  </si>
  <si>
    <t>2189-B2505C G0020 2504029</t>
  </si>
  <si>
    <t>2189-B2505C-D 2504029</t>
  </si>
  <si>
    <t>501851-A2513A-D 612101020027</t>
  </si>
  <si>
    <t>600766-A2505E-PC 0011801843JCHHR</t>
  </si>
  <si>
    <t>693-C25A8A-PC 0151801031B</t>
  </si>
  <si>
    <t>2006-C2301B-PC 888001414</t>
  </si>
  <si>
    <t>501851-A2514A-D 612101020026</t>
  </si>
  <si>
    <t>500323-C24D2F-D 0021800616E</t>
  </si>
  <si>
    <t>693-C2621A G0044 0121800104WC</t>
  </si>
  <si>
    <t>693-C2621A-D 0121800104WC-L左</t>
  </si>
  <si>
    <t>693-C2621A-D 0121800104WC-R右</t>
  </si>
  <si>
    <t>693-C2595E-D 0021800866B</t>
  </si>
  <si>
    <t>693-C2591A G0044 0121800104WG</t>
  </si>
  <si>
    <t>693-C2591A-D 0121800104WG-R右</t>
  </si>
  <si>
    <t>693-C2591A-D G0044 0121800104WG-L左</t>
  </si>
  <si>
    <t>693-C2591A-D 0121800104WG-L左</t>
  </si>
  <si>
    <t>693-C2595C-D 0021800866GA</t>
  </si>
  <si>
    <t>693-C2534G-PC 0011801843Y</t>
  </si>
  <si>
    <t>693-C23H5A-D G0044 0121800104W</t>
  </si>
  <si>
    <t>693-C23H5A-D 0121800104W-R右</t>
  </si>
  <si>
    <t>693-C23H5A-D G0044 0121800104W-L左</t>
  </si>
  <si>
    <t>693-C23H5A-D 0121800104W-L左</t>
  </si>
  <si>
    <t>600766-A2505C-PC G0044 0011801843J</t>
  </si>
  <si>
    <t>600766-A2505C-PC 0011801843J</t>
  </si>
  <si>
    <t>693-C24Q3C-PC 0011801977E</t>
  </si>
  <si>
    <t>693-C2516H-PC 0011801675K</t>
  </si>
  <si>
    <t>2189-B2505E G0020 2506399</t>
  </si>
  <si>
    <t>2189-B2505E-D 2506399</t>
  </si>
  <si>
    <t>693-C24Q3D-PC 0011801977H</t>
  </si>
  <si>
    <t>500323-C24L6H-PC 0011801172DL</t>
  </si>
  <si>
    <t>693-C24Q3E-PC 0011801977G</t>
  </si>
  <si>
    <t>2189-B2401F-PC 2397248</t>
  </si>
  <si>
    <t>贴片部件 2189-B2401F-PC 2397248</t>
  </si>
  <si>
    <t>693-B2548A-PC 0011801922</t>
  </si>
  <si>
    <t>2189-B2401D-PC 2397172</t>
  </si>
  <si>
    <t>贴片部件 2189-B2401D-PC 2397172</t>
  </si>
  <si>
    <t>500493-B2407C-D G0020 2488431</t>
  </si>
  <si>
    <t>500493-B2407C-D 2488431</t>
  </si>
  <si>
    <t>693-C2532B-PC 0011802020A</t>
  </si>
  <si>
    <t>500323-C24A2A-PC 0011801675A 新</t>
  </si>
  <si>
    <t>2189-B2401O-PC G0020 2417151</t>
  </si>
  <si>
    <t>2189-B2401O-PC 2417151</t>
  </si>
  <si>
    <t>500493-B2407A-D 2436207</t>
  </si>
  <si>
    <t>500493-B2407H-D G0020 20114667</t>
  </si>
  <si>
    <t>500493-B2407H-D 20114667</t>
  </si>
  <si>
    <t>693-C2433A-PC 0151800695 海尔空调695电控板</t>
  </si>
  <si>
    <t>693-C2433A-PC 0151800695</t>
  </si>
  <si>
    <t>693-C24Q3B-PC 0011801977F</t>
  </si>
  <si>
    <t>2189-B2401B-PC 2397243</t>
  </si>
  <si>
    <t>贴片部件 2189-B2401B-PC 2397243</t>
  </si>
  <si>
    <t>693-C2516C-PC 0011801675AB</t>
  </si>
  <si>
    <t>600766-A2503A-PC 0011801330MHR</t>
  </si>
  <si>
    <t>693-B2548E-PC 0011801922F</t>
  </si>
  <si>
    <t>600766-A2504A-PC 0011801490M</t>
  </si>
  <si>
    <t>600766-A2506B-PC 0011800977JHR</t>
  </si>
  <si>
    <t>600766-A2506A-PC 0011800977HHR</t>
  </si>
  <si>
    <t>693-B25D2B-PC 0011801330AK</t>
  </si>
  <si>
    <t>600766-A2505B-PC 0011801843G</t>
  </si>
  <si>
    <t>500323-C24N9M-PC 0011801490BP</t>
  </si>
  <si>
    <t>500323-C24D2E-D G0044 0021800616G</t>
  </si>
  <si>
    <t>500323-C24D2E-D 0021800616G</t>
  </si>
  <si>
    <t>693-C2357A-PC 0011800980K</t>
  </si>
  <si>
    <t>1911-B2503A-D G0044 0011801902D</t>
  </si>
  <si>
    <t>1911-B2503A-D 0011801902D</t>
  </si>
  <si>
    <t>201-A2412A-X DMIC-70-02-001</t>
  </si>
  <si>
    <t>500323-C24D2J-D 0021800616J</t>
  </si>
  <si>
    <t>500323-C24N9H-PC 0011801490AZ</t>
  </si>
  <si>
    <t>500493-B2402I-D G0020 2475417</t>
  </si>
  <si>
    <t>500493-B2402I-D 2475417</t>
  </si>
  <si>
    <t>693-C2575A-D G0044 0021800841</t>
  </si>
  <si>
    <t>693-C2575A-D BOT面 0021800841</t>
  </si>
  <si>
    <t>693-C2575A-D TOP面 0021800841</t>
  </si>
  <si>
    <t>500493-C2501A-D 20105971-D</t>
  </si>
  <si>
    <t>500493-C2501A-P 20105971-P</t>
  </si>
  <si>
    <t>500323-C24A2E-PC 0011801675C 新</t>
  </si>
  <si>
    <t>2189-B2507F-D 20224797</t>
  </si>
  <si>
    <t>693-C25A7A-PC 0151801031AA</t>
  </si>
  <si>
    <t>500323-C24D2K-D G0044 0021800616K</t>
  </si>
  <si>
    <t>500323-C24D2K-D 0021800616K</t>
  </si>
  <si>
    <t>693-C2568A-PC 0011800722GCH</t>
  </si>
  <si>
    <t>693-C2513A-PC 0011800537F</t>
  </si>
  <si>
    <t>693-C2588A-PC 0151801031G</t>
  </si>
  <si>
    <t>600766-A2505D-PC 0011801843K</t>
  </si>
  <si>
    <t>贴片部件 500323-B24A6H-PC 0011801490Y</t>
  </si>
  <si>
    <t>693-C25A1A-PC 0151801031FA</t>
  </si>
  <si>
    <t>693-C25A5A-PC 0151801031FB</t>
  </si>
  <si>
    <t>500323-C24G5A-D 0011801911 新</t>
  </si>
  <si>
    <t>693-C2596A-D 0041801949</t>
  </si>
  <si>
    <t>693-A2179E-PC 0011800630J</t>
  </si>
  <si>
    <t>500493-B2407I-D 20114666</t>
  </si>
  <si>
    <t>693-C2532C-PC 0011802020B</t>
  </si>
  <si>
    <t>贴片部件 500323-C24F6A-PC 0041801140</t>
  </si>
  <si>
    <t>693-C2246A-PC 0011801172AG 小批验证用</t>
  </si>
  <si>
    <t>693-C2534F-PC 0011801843X</t>
  </si>
  <si>
    <t>500323-C24J3B-PC 0011801890C</t>
  </si>
  <si>
    <t>贴片部件 500323-C24F6B-PC 0041801140A</t>
  </si>
  <si>
    <t>693-B2209J-PC 0011801425D</t>
  </si>
  <si>
    <t>线体</t>
  </si>
  <si>
    <t>销售订单</t>
  </si>
  <si>
    <t>物料</t>
  </si>
  <si>
    <t>下达时间</t>
  </si>
  <si>
    <t>完工日期</t>
  </si>
  <si>
    <t>返工原因</t>
  </si>
  <si>
    <t>责任归属</t>
  </si>
  <si>
    <t>DIP03</t>
  </si>
  <si>
    <t>PM通知693-B2201A-PC成品库存从胶州代理处发回青岛2650套，再加合肥的2561套，工厂库存969，全部改制成693-B2201B-PC.</t>
  </si>
  <si>
    <t>青岛事业部</t>
  </si>
  <si>
    <t>针对客户端反馈2180G存在停电补偿失效（自锁）异常，近期出货的返工，通过同研发与测试商讨，产品重新烧录程序。QE提供数量：6962 PCS.</t>
  </si>
  <si>
    <t>693-A2180C-PC 0011800646F</t>
  </si>
  <si>
    <t>针对客户端反馈2180C存在停电补偿失效（自锁）异常，近期出货的返工，通过同研发与测试商讨，产品重新烧录程序。QE提供数量：6962 PCS.</t>
  </si>
  <si>
    <t>693-A2180A-PC 0011800646A</t>
  </si>
  <si>
    <t>693-A2180D-PC 0011800646M</t>
  </si>
  <si>
    <t>693-B2201A-PC 0011801424A</t>
  </si>
  <si>
    <t>PM通知将1424V/W(693-B2201H,I-PC)库存返工成1424A和1424B(693-B2201A,B-PC),改制数量如下:1424A需要数量850PCS；1424B需要数量7029PCS，B款最少保5160PCS.</t>
  </si>
  <si>
    <t>693-A2180F-PC 0011800646C</t>
  </si>
  <si>
    <t>693-A2180存在停电补偿失效（自锁）异常，胶州仓库产品重新烧录程序。QE提供数量：5910 PCS.</t>
  </si>
  <si>
    <t>青岛工厂</t>
  </si>
  <si>
    <t>693-A2180B-PC 0011800646D</t>
  </si>
  <si>
    <t>693-A2180H-PC 0011800646B</t>
  </si>
  <si>
    <t>693-A2180E-PC 0011800646</t>
  </si>
  <si>
    <t>201-A2247A-PC PV023平台 1120129</t>
  </si>
  <si>
    <t>201-A2247A-PC J1跳线打错位置（错打JP1），QE提供数量：100PCS.</t>
  </si>
  <si>
    <t>研发建错BOM，需返插座</t>
  </si>
  <si>
    <t>研发</t>
  </si>
  <si>
    <t>DIP02</t>
  </si>
  <si>
    <t>693-A2178I-PC 0011800612V</t>
  </si>
  <si>
    <t>612V（2178I）针座CN7存在错料不良，PCBA需返工处理，数量：4200PCS.</t>
  </si>
  <si>
    <t>693-A2181B-PC     0011800537C</t>
  </si>
  <si>
    <t>693-A2181B-PC 连锡半焊不良检查，QE提供数量：11760 PCS.</t>
  </si>
  <si>
    <t>693-A2179D-PC 0011800630P</t>
  </si>
  <si>
    <t>693-A2179D-PC研发BOM建错，C26风机电容要求2uf，BOM错误成1.2uf，返工更换风机电容。</t>
  </si>
  <si>
    <t>为满足交付需求，今天用646D改制成646L 320PCS出货，需返工；返工数量：320pcs （需重新烧录EE程序）</t>
  </si>
  <si>
    <t xml:space="preserve">因产品用错风机电容，需返工；返工数量：600pcs </t>
  </si>
  <si>
    <t>因产品用错风机电容，多返了140</t>
  </si>
  <si>
    <t>693-B2209A-PC-0011801425N</t>
  </si>
  <si>
    <t>更换电阻、保险器。数量：157 PCS.</t>
  </si>
  <si>
    <t>693-A2210D-PC 0011801372C</t>
  </si>
  <si>
    <t>因EE程序烧录错误，需重新烧录返工；返工数量：3795pcs （需重新烧录）</t>
  </si>
  <si>
    <t>因产品用错风机电容，需将630P改制为630K出货，需返工；返工数量：4041pcs （需重新烧录EE程序）</t>
  </si>
  <si>
    <t>DIP01</t>
  </si>
  <si>
    <t>201-A2182D-PC  1111442</t>
  </si>
  <si>
    <t xml:space="preserve">客户端反馈201-A2182D-PC在客户端出现绝缘垫片破损不良，需重新高压测试返工；返工数量：244pcs </t>
  </si>
  <si>
    <t xml:space="preserve"> 693-B2201B-PC 0011801424B   在线更新E程序（校验和:90E0）,贴新程序产品标贴及外箱标贴（外箱标贴须备注新程序）。数量：5000 PCS.</t>
  </si>
  <si>
    <t>693-A2179D-PC研发BOM建错，C26风机电容要求2uf，BOM错误成1.2uf，现返工更换CN502插座及产品标签，烧录0011800630K程序,返工成693-A2179A-PC 0011800630K产品消化  。数量：3078 PCS.</t>
  </si>
  <si>
    <t>693-B2286A-D 0021800442G</t>
  </si>
  <si>
    <t>693-B2286A-D 0021800442G 更换底壳总成，更换LD33返工流程，数量200pcs</t>
  </si>
  <si>
    <t>合肥生产，青岛帮忙返工，更换电阻、保险器。数量：157 PCS.</t>
  </si>
  <si>
    <t>由于物料未备案，现将693-B2286B-PC 0011801256L 更换C18,R44,IC3组合物料，目检包装出货,数量470pcs</t>
  </si>
  <si>
    <t>693-B2201N-PC-0011801424AE      更换CN5,CN6线束物料，目检包装出货,数量3954pcs</t>
  </si>
  <si>
    <t>693-B2201A-PC 0011801424A  更换CN5,CN6线束物料，目检包装出货,数量875pcs</t>
  </si>
  <si>
    <t>品质</t>
  </si>
  <si>
    <t>供应商返工</t>
  </si>
  <si>
    <t>693-B2201O-PC-0011801424AF     更换CN5,CN6线束物料，目检包装出货,数量4250pcs</t>
  </si>
  <si>
    <t>693-B2201B-PC 0011801424B    更换CN5,CN6线束物料，目检包装出货,数量10439pcs</t>
  </si>
  <si>
    <t>201-A2182G-PC 1146576</t>
  </si>
  <si>
    <t>201-A2182G-PC 1146576产品，目检散热器外观，包装出货,数量769pcs</t>
  </si>
  <si>
    <t>693-B2201J-PC 0011801424C WI错误导致产线漏插K2,CN11,CN16元件过炉焊接，现补焊K2,CN11,CN16元件，AVI工站投板通拉返工。数量1000pcs。</t>
  </si>
  <si>
    <t>工程部</t>
  </si>
  <si>
    <t>顺德青岛事业部</t>
  </si>
  <si>
    <t>已发货</t>
  </si>
  <si>
    <t>客户新程序验证，须提供330pcs新程序产品；现对693-A2210G-PC 0011801372G更换产品标贴，烧录新E方程序，读取并确认检验和无误后包装出货,数量280+50pcs</t>
  </si>
  <si>
    <t>693-A2181C-PC     0011800537A</t>
  </si>
  <si>
    <t>693-A2181C-PC  0011800537A BOM中跳线J26建在备注栏里，工艺未核对出，导致J26跳线未AI。现焊接J26跳线，焊后AVI工序投板通拉作业,数量828pcs</t>
  </si>
  <si>
    <t>客户要求变更；现对693-A2210G-PC 0011801372G更换产品标贴，烧录新E方程序，青岛仓1454+胶州仓退账207</t>
  </si>
  <si>
    <t>客户要求变更；现对693-A2210G-PC 0011801372G更换产品标贴，烧录新E方程序，</t>
  </si>
  <si>
    <t>693-A2210F-PC 0011801372D</t>
  </si>
  <si>
    <t>客户要求变更；现对693-A2210F-PC 0011801372D更换产品标贴，烧录新E方程序，读取并确认检验和无误后包装出货,数量8660pcs</t>
  </si>
  <si>
    <t>由于客户软件版本变更，现将693-B2286B-D 0021800442A 重新烧录软件程序，粘贴产品标签，测试后通拉,数量200pcs</t>
  </si>
  <si>
    <t>客户要求变更；现对693-A2210G-PC 0011801372G更换产品标贴，烧录新E方程序，胶州仓退账972</t>
  </si>
  <si>
    <t>现有物料库存无法满足客户订单交期需求；现对693-A2210F-PC 0011801372D更换E3电容，拆除RV100压敏，更换产品标贴，烧录新E方程序，校验和读取验证，改制成693-A2210D-PC 0011801372C产品包装出货,数量896pcs</t>
  </si>
  <si>
    <t>由于客户软件版本变更，现对在制品693-B2286A-D 0021800442G重新烧录新程序后目检FCT1工序投入正常流拉，数量3700pcs</t>
  </si>
  <si>
    <t>693-A2178E-PC 0011800612H</t>
  </si>
  <si>
    <t>RI机底座撞件，导致C22电容破损，现对693-A2178E-PC 0011800612H 目检C22电容包装出货,数量4683pcs</t>
  </si>
  <si>
    <t>RI机底座撞件，导致C22电容破损，现对693-A2178I-PC 0011800612V 目检C22电容包装出货,数量3000pcs</t>
  </si>
  <si>
    <t>客户主程序升级，现对693-B2201N-PC-0011801424AE  更换产品标贴，烧录新Z程序（E校验和：CBAC），目检后包装出货,数量1882pcs</t>
  </si>
  <si>
    <t>DIP04</t>
  </si>
  <si>
    <t>由于客户端反馈屏幕显示异物、存在多版本程序、热熔不良，现将693-B2286B-D 0021800442A 目检外观，重新烧录软件程序，上电测试，目检包装发货,数量9000pcs</t>
  </si>
  <si>
    <t>客户主程序升级，现对693-A2179E-PC 0011800630J 更换产品标贴，烧录新E程序（E校验和：2E20），目检后包装出货,数量418pcs</t>
  </si>
  <si>
    <t>消耗成品库存改制出货；现对  693-A2178D-PC 0011800612R   更换产品标贴，烧录新E方程序（E校验和：6B3A），读取并确认检验和改制成 693-A2178E-PC 0011800612H   后包装出货,数量6045pcs</t>
  </si>
  <si>
    <t>693-A2178C-PC 0011800612Z</t>
  </si>
  <si>
    <t>消耗成品库存改制出货；现对693-A2178H-PC 0011800612AB 更换产品标贴，烧录新E方程序（E校验和：7301），读取并确认检验和改制成693-A2178C-PC 0011800612Z  后包装出货,数量1994pcs</t>
  </si>
  <si>
    <t>消耗成品库存改制出货；现对 693-A2178K-PC 0011800612AC   更换产品标贴，烧录新E方程序（E校验和：7301），读取并确认检验和改制成693-A2178C-PC 0011800612Z  后包装出货,数量2618pcs</t>
  </si>
  <si>
    <t>693-C2302B-PC 0011800879N</t>
  </si>
  <si>
    <t>板面喷涂UV过固化炉后，E7,E8电容顶部胶纸外观破损，不良根本原因还在验证中；现对 693-C2302B-PC 0011800879N 产品更换外观破损电容，补漆、目检后包装出货,数量150pcs</t>
  </si>
  <si>
    <t>喷漆机温度过高</t>
  </si>
  <si>
    <t>693-C2284C-PC 0011801522B</t>
  </si>
  <si>
    <t>现有物料库存无法满足客户订单交期需求；现对693-C2284B-PC 0011801522A更换C26风机电容，更换产品标贴，重新烧录新E方程序，校验和读取验证， 改制返工成693-C2284C-PC 0011801522B产品包装出货,数量20pcs</t>
  </si>
  <si>
    <t>由于客户端反馈屏幕显示异物，现将693-B2286B-D 0021800442A 上电目检灯珠是否全亮，显示屏是否有阴影，异物，目检包装发货,数量1629pcs</t>
  </si>
  <si>
    <t>研发返工条件下发错误，致使二次返工；现对 693-A2178D-PC 0011800612R   更换RV1,C15,CN3,CN8物料（此批次返工产品EE程序已烧录），改制成 693-A2178E-PC 0011800612H 后包装出货,数量6045pcs</t>
  </si>
  <si>
    <t>由于客户最新物料备案未及时共享，CY3,CY4,CY5物料不符合现有备案要求；现对693-A2180B-PC 0011800646D  更换CY3,CY4,CY5安规电容，目检包装出货,数量320pcs</t>
  </si>
  <si>
    <t>单片机芯片混料，重新烧录测试后编译E方程序，导致E方程序错误；现对693-C2260A-PC 0011801256B 重新烧录E方程序（E校验和：EFD0），读取并确认E校验和,后目检包装出货,数量1404pcs</t>
  </si>
  <si>
    <t>产线CN7插座插件反向700pcs，更换后成品插座出现连锡，现对库存693-A2178I-PC 0011800612V 重新过AVI检测CN7插座焊点及方向后包装出货,数量2520pcs</t>
  </si>
  <si>
    <t>研发返工需求内容提供错误.现对693-A2178C-PC 0011800612Z 挑选mes标签为693-A2178H-PC产品直接目检包装入库，入库数量1994pcs；</t>
  </si>
  <si>
    <t>由于客户最新物料备案未及时共享，CY3,CY4,CY5物料不符合现有备案要求；现对693-A2180B-PC 0011800646D  更换CY3,CY4,CY5安规电容，目检包装出货,数量2809pcs</t>
  </si>
  <si>
    <t>研发返工需求内容提供错误.目检mes标签为693-A2178K-PC产品装吸塑隔离（须返工更换元件），对mes标签为693-A2178K-PC产品更换E207,C15元件后补漆，目检包装入库，入库数量2618pcs</t>
  </si>
  <si>
    <t>由于客户端反馈屏幕显示异物，现将693-B2286A-D 0021800442G 上电目检灯珠是否全亮，显示屏是否有阴影，异物，目检包装发货,数量2592pcs</t>
  </si>
  <si>
    <t>1323-C2203A-PC 0011801036A</t>
  </si>
  <si>
    <t>开发替代料建错，CN12物料不符合备案要求；现对1323-C2203A-PC 0011801036A 更换CN12插座，补漆，目检包装出货,数量463pcs</t>
  </si>
  <si>
    <t>1323-C2205C-PC 0011801036C</t>
  </si>
  <si>
    <t>由于客户端变更IPM散热器规格，要求我司同步变更配套支架定位柱高度，现将1323-C2205C-PC 0011801036C   产品剪断支架散热器定位柱，测量定位柱残留高度后，目检包装发货,数量182pcs（成品）+1892pcs（原材料）+229pcs（原材料）共计2303pcs；</t>
  </si>
  <si>
    <t>201-A2182C-PC 1097658</t>
  </si>
  <si>
    <t>201-A2182系列FCT测试瞬时值/平均值报错,ECN变更（C0501468,C0532050,C0556125），现对201-A2182C-PC 更换电阻，ECN变更升级，FCT1测试工序投板流拉包装出货</t>
  </si>
  <si>
    <t>由于客户最新物料备案未及时共享，CY3,CY4,CY5物料不符合现有备案要求；现对693-A2180A-PC 0011800646A  更换CY3,CY4,CY5安规电容，目检包装出货,数量1333pcs</t>
  </si>
  <si>
    <t>693-B2201G-PC 0011801424J</t>
  </si>
  <si>
    <t>CX1,CX2电容不符合客户备案要求；现对693-B2201G-PC 0011801424J更换CX1,CX2电容器，补漆，目检包装出货,数量570pcs</t>
  </si>
  <si>
    <t>693-B2201F-PC 0011801424H</t>
  </si>
  <si>
    <t>CX1,CX2电容不符合客户备案要求；现对693-B2201F-PC 0011801424H更换CX1,CX2电容器，补漆，目检包装出货,数量570pcs</t>
  </si>
  <si>
    <t>693-C2218A-PC 0190400359</t>
  </si>
  <si>
    <t>由于359订单紧急出货，现对库存品693-B2287A-PC 0190400359A 更换客户标签，重烧程序（校验和:90E0）返工成693-C2218A-PC 0190400359产品，校验程序后目检包装出货。数量：76PCS.</t>
  </si>
  <si>
    <t>693-B2201Q-PC-0011801424K</t>
  </si>
  <si>
    <t>客户程序升级；现对693-B2201Q-PC-0011801424K 更新Z程序和E程序,校验E方程序，FCT测试，更换客户标签及外箱标签，目检包装出货,数量199pcs</t>
  </si>
  <si>
    <t>693-C2260C-PC 0011801256M</t>
  </si>
  <si>
    <t>客户程序升级；现对693-C2260C-PC 0011801256M 更新Z程序和E程序,校验E方程序，更换客户标签及外箱标签，目检包装出货,数量395（200+195pcs）</t>
  </si>
  <si>
    <t>693-B2201R-PC-0011801424L</t>
  </si>
  <si>
    <t>TECO</t>
  </si>
  <si>
    <t>客户程序升级；现对693-B2201R-PC-0011801424L   更新Z程序和E程序,校验E方程序，更换客户标签及外箱标签，目检包装出货,数量：代理库存197pcs</t>
  </si>
  <si>
    <t>/</t>
  </si>
  <si>
    <t>由于金龙线束来料不良，现将 1323-C2203A-PC 0011801036A  更换CN5,CN6线束，补漆后目检包装发货,数量169pcs</t>
  </si>
  <si>
    <t>693-B2201P-PC-0011801424N</t>
  </si>
  <si>
    <t>客户程序升级；现对693-B2201P-PC-0011801424N 更新Z程序和E程序,校验E方程序，更换客户标签及外箱标签，目检包装出货,数量：代理库存196pcs</t>
  </si>
  <si>
    <t>客户程序升级；现对693-B2201O-PC-0011801424AF 更新Z程序和E程序,校验E方程序，更换客户标签及外箱标签，目检包装出货,数量工厂库存536pcs+代理库存295pcs</t>
  </si>
  <si>
    <t>693-B2201S-PC-0011801424G</t>
  </si>
  <si>
    <t>客户程序升级；现对693-B2201S-PC-0011801424G 更新Z程序和E程序,校验E方程序，更换客户标签及外箱标签，目检包装出货,数量：代理库存199pcs</t>
  </si>
  <si>
    <t>由于海信2182系列FCT测试瞬时电压值不过，现对库存201-A2182C-PC 1097658成品库存返工，原位置更换以下物料清单组件后，补漆目检包装出货,数量427pcs</t>
  </si>
  <si>
    <t>由于359订单紧急出货，现对库存品693-B2287A-PC 0190400359A 更换客户标签，重烧程序（校验和:90E0）返工成693-C2218A-PC 0190400359产品，校验程序后目检包装出货。数量：13PCS.</t>
  </si>
  <si>
    <t>由于1522产品客户bom建错，现对库存品693-C2284C-PC 0011801522B  产品增加R92、R93贴片电阻，用万用表量取阻值无误后目检包装出货。数量：20PCS.</t>
  </si>
  <si>
    <t>693-C2284B-PC 0011801522A</t>
  </si>
  <si>
    <t>由于1522产品客户bom建错，现对库存品693-C2284B-PC 0011801522A 产品增加R92、R93贴片电阻，用万用表量取阻值无误后目检包装出货。数量：20PCS.</t>
  </si>
  <si>
    <t>693-C2284A-PC 0011801522</t>
  </si>
  <si>
    <t>由于1522产品客户bom建错，现对库存品693-C2284A-PC 0011801522 产品增加R92、R93贴片电阻，用万用表量取阻值无误后目检包装出货。数量：40PCS.</t>
  </si>
  <si>
    <t>由于客户端变更组合螺钉规格，要求我司同步变更，现将1323-C2205C-PC 0011801036C 产品拆箱更换组合螺钉，重新封箱发货,数量163pcs；</t>
  </si>
  <si>
    <t>由于客户端反馈屏幕显示异物，现将693-B2286B-D 0021800442A上电目检灯珠是否全亮，显示屏是否有阴影，异物，目检包装发货,数量5112pcs</t>
  </si>
  <si>
    <r>
      <rPr>
        <sz val="11"/>
        <color rgb="FFFF0000"/>
        <rFont val="等线"/>
        <family val="3"/>
        <charset val="134"/>
        <scheme val="minor"/>
      </rPr>
      <t>合肥生产产品。</t>
    </r>
    <r>
      <rPr>
        <sz val="11"/>
        <color theme="1"/>
        <rFont val="等线"/>
        <family val="3"/>
        <charset val="134"/>
        <scheme val="minor"/>
      </rPr>
      <t>客户程序升级；现对693-B2209J-PC-0011801425D重新烧录主程序和EE程序，目检包装出货,数量182pcs</t>
    </r>
  </si>
  <si>
    <t>客户升级主程序及EE程序；现对693-A2182A-PC 0011800807产品更换产品标签，及外箱标签，重新烧录主程序和EE程序，校验EE程序无误后，目检包装出货,数量7007pcs</t>
  </si>
  <si>
    <t>库存呆滞品改制消化；现对693-B2201H-PC 0011801424V更换产品标贴，更换CY2,CY3,增加CN11/K2/CX3/R16/D16/N7，烧录EE程序数据，改制成  693-B2201A-PC 0011801424A   读取并确认检验和无误后目检包装出货,数量737pcs</t>
  </si>
  <si>
    <t>库存呆滞品改制消化；现对 693-B2201I-PC 0011801424W 更换产品标贴，拆除RV7,RV8,更换CY2,CY3,增加CN11/K2/CX3/R16/D16/N7，烧录新EE程序数据，改制成 693-B2201B-PC 0011801424B 读取并确认检验和无误后目检包装出货,数量2259pcs</t>
  </si>
  <si>
    <t>合肥545不返</t>
  </si>
  <si>
    <t>693-A2178F-PC 0011800612F</t>
  </si>
  <si>
    <t>成品呆滞改制消化，现对693-A2178N-PC 0011800612E 更换C15风机电容，更换标签，更新EE程序改制返成693-A2178F-PC 0011800612F  目检包装出货,数量60pcs</t>
  </si>
  <si>
    <t>成品库存呆滞消耗；现对693-A2180D-PC 0011800646M重新烧录主程序和EE程序 改制成693-A2180H-PC 0011800646B  ，目检包装出货,数量600pcs</t>
  </si>
  <si>
    <t>成品库存呆滞消耗；现对693-A2180F-PC 0011800646C删去CN5插座，重新烧录EE程序，更换产品标签，洗板补胶，改制成693-A2180A-PC 0011800646A，目检包装出货,数量50pcs</t>
  </si>
  <si>
    <t>1911-C2301A-D  0011800607T(泰国)</t>
  </si>
  <si>
    <t>因项目紧急，607T（泰国）未维护，用607T出货，无需返工，返工工单只用于对账</t>
  </si>
  <si>
    <t>693-A2311B-PC 0151800561BBB</t>
  </si>
  <si>
    <t>返完40，关闭工单</t>
  </si>
  <si>
    <t>客户升级程序；现对 693-A2311B-PC 0151800561BBB 重新烧录主程序，更换产品标签，目检包装出货,数量192pcs</t>
  </si>
  <si>
    <t>693-C23A1A-PC 0011801123K</t>
  </si>
  <si>
    <t>成品库存呆滞消耗；现对693-C2256C-PC 0011801123G删去E7，LX1,RV1,CN1,CN3,CN5,CN6,CN15,K2,CON1,CON2,CON3，新增E7，LX1,RV1,CN6,重新烧录主程序及EE程序，更换产品标签，洗板补胶，改制成693-C23A1A-PC 0011801123K，目检包装出货,数量8pcs</t>
  </si>
  <si>
    <t>库存品改制消耗；现对693-B2201Q-PC-0011801424K 拆除CN11,K2,CX3,R16,D16,N7,更新EE程序,校验E方程序，FCT测试，更换客户标签及外箱标签，返工成693-B2201P-PC-0011801424N  目检包装出货,数量5pcs</t>
  </si>
  <si>
    <t>693-B2286D-D 0021800442GB</t>
  </si>
  <si>
    <t>客户新品样机需求，现将693-B2286A-D 0021800442G 更换面膜、标签，重新烧录程序，上电目检灯珠是否全亮，显示屏是否有阴影，异物， 改制成693-B2286D-D 0021800442GB  目检包装发货,数量30pcs</t>
  </si>
  <si>
    <t>693-B2276A-PC 0031800004FH</t>
  </si>
  <si>
    <t>客户程序升级；现对693-B2276B-PC 0031800004FP 更换数码管LEDM1、程序更新，FCT测试，更换客户标签及外箱标签，改制成693-B2276A-PC 0031800004FH  目检包装入库,数量70pcs</t>
  </si>
  <si>
    <t>693-B2276B-PC 0031800004FP</t>
  </si>
  <si>
    <t>客户程序升级；现对693-B2276B-PC 0031800004FP 更换数码管LEDM1、程序更新，FCT测试，更换客户标签及外箱标签，目检包装入库,数量70pcs</t>
  </si>
  <si>
    <t>693-B2275A-PC 0031800386JL</t>
  </si>
  <si>
    <t>客户程序升级；现对693-B2275A-PC 0031800386JL 更换数码管LEDM1、程序更新，FCT测试，更换客户标签及外箱标签，目检包装入库,数量70pcs</t>
  </si>
  <si>
    <t>693-C2355A-D 0011800607T</t>
  </si>
  <si>
    <t>营销紧急交货，现将 1911-C2301A-D 0011800607T(泰国) 更换包材改制成693-C2355A-D 0011800607T ，目检包装出货,数量100pcs</t>
  </si>
  <si>
    <t>营销急插单，现将693-B2201B-PC 0011801424B 重新烧录EE程序，并校验EE，更换客户标签改制成693-B2201A-PC 0011801424A，目检包装出货,数量400pcs</t>
  </si>
  <si>
    <t>客户工艺样机需求；现对693-B2201P-PC-0011801424N 更新Z程序和E程序,校验E方程序，更换客户标签及外箱标签，新增“工艺样机”标签，目检包装出货,数量：代理库存12pcs</t>
  </si>
  <si>
    <t>库存呆滞品改制消化；现对693-B2201H-PC 0011801424V更换产品标贴，拆除RV7,RV8,更换CY2,CY3,增加CN11/K2/CX3/R16/D16/N7，烧录Z程序，烧录EE程序数据，改制成  693-B2201A-PC 0011801424A   读取并确认检验和无误后目检包装出货,数量200pcs</t>
  </si>
  <si>
    <t>客户订单需求；现对693-B2201F-PC 0011801424H更换FUSE2，CN3，IGBT1，重新烧录Z程序和EE程序 改制成693-C2386A-PC 0011801424AP FCT测试更换标签后，洗板，补漆，目检包装出货,数量1pcs</t>
  </si>
  <si>
    <t>693-C2386A-PC 0011801424AP</t>
  </si>
  <si>
    <t>客户订单需求；现对693-B2201F-PC 0011801424H更换FUSE2，CN3，IGBT1，重新烧录Z程序和EE程序 改制成693-C2386A-PC 0011801424AP FCT测试更换标签后，洗板，补漆，目检包装出货,数量2000pcs</t>
  </si>
  <si>
    <t>693-C2310A-PC  0190400340</t>
  </si>
  <si>
    <t>客户程序升级；现对693-C2310A-PC  0190400340 更换标签，重新烧录Z程序，并校验Z程序无误后，FCT测试后，目检包装出货,数量79pcs</t>
  </si>
  <si>
    <t>营销紧急交货；现对693-A2181B-PC 0011800537C产品更换更换C26,CN3元件，补胶补漆粘贴“工艺样机”标签后目检包装出货,数量8pcs</t>
  </si>
  <si>
    <t>客户订单需求；现对693-B2201F-PC 0011801424H更换FUSE2，CN3，更换标签，重新烧录Z程序和EE程序 改制成693-B23G9A-PC  0011801424AT  FCT测试后，洗板，补漆，目检包装出货,数量11144pcs</t>
  </si>
  <si>
    <r>
      <rPr>
        <sz val="11"/>
        <color theme="1"/>
        <rFont val="等线"/>
        <family val="3"/>
        <charset val="134"/>
        <scheme val="minor"/>
      </rPr>
      <t>DIP0</t>
    </r>
    <r>
      <rPr>
        <sz val="11"/>
        <color theme="1"/>
        <rFont val="等线"/>
        <family val="3"/>
        <charset val="134"/>
        <scheme val="minor"/>
      </rPr>
      <t>1</t>
    </r>
  </si>
  <si>
    <t>693-C20015A 0011800977B</t>
  </si>
  <si>
    <t>客户端零星退货，无需返工，工单用于走报废流程</t>
  </si>
  <si>
    <r>
      <rPr>
        <sz val="11"/>
        <color theme="1"/>
        <rFont val="等线"/>
        <family val="3"/>
        <charset val="134"/>
        <scheme val="minor"/>
      </rPr>
      <t>DIP03</t>
    </r>
  </si>
  <si>
    <t>客户程序升级，现对 693-A2179B-PC 0011800630M 更换标签，重新烧录EE,EE程序校验，FCT测试 目检包装出货,数量7684pcs</t>
  </si>
  <si>
    <r>
      <rPr>
        <sz val="11"/>
        <rFont val="等线"/>
        <family val="3"/>
        <charset val="134"/>
        <scheme val="minor"/>
      </rPr>
      <t>DIP0</t>
    </r>
    <r>
      <rPr>
        <sz val="11"/>
        <rFont val="等线"/>
        <family val="3"/>
        <charset val="134"/>
        <scheme val="minor"/>
      </rPr>
      <t>4</t>
    </r>
  </si>
  <si>
    <r>
      <rPr>
        <sz val="11"/>
        <rFont val="等线"/>
        <family val="3"/>
        <charset val="134"/>
        <scheme val="minor"/>
      </rPr>
      <t>DIP0</t>
    </r>
    <r>
      <rPr>
        <sz val="11"/>
        <color theme="1"/>
        <rFont val="等线"/>
        <family val="3"/>
        <charset val="134"/>
        <scheme val="minor"/>
      </rPr>
      <t>1</t>
    </r>
  </si>
  <si>
    <t>客户订单需求；现对693-B2201F-PC 0011801424H更换C17，CN4，新增CN5，更换标签，重新烧录EE程序 改制成693-C20033A 0011800977C   FCT测试后，洗板，补漆，补胶，目检包装出货,数量214pcs</t>
  </si>
  <si>
    <r>
      <rPr>
        <sz val="11"/>
        <rFont val="等线"/>
        <family val="3"/>
        <charset val="134"/>
        <scheme val="minor"/>
      </rPr>
      <t>DIP03</t>
    </r>
  </si>
  <si>
    <t>客户订单需求；现对693-B2201G-PC 0011801424J 更换FUSE2，CN3，更换标签，重新烧录Z程序和EE程序 改制成693-B23G9A-PC  0011801424AT  FCT测试后，洗板，补漆，目检包装出货,数量10053pcs</t>
  </si>
  <si>
    <t>客户技改需求，现对1323-C2203A-PC 0011801036A  删除C61电容，清理焊点，目检包装出货,数量44pcs</t>
  </si>
  <si>
    <t>库存呆滞品改制消化；现对693-B2201H-PC 0011801424V更换产品标贴，拆除RV7,RV8,更换CY2,CY3,增加CN11/K2/CX3/R16/D16/N7，烧录Z程序，烧录EE程序数据，改制成  693-B2201A-PC 0011801424A   读取并确认检验和无误后目检包装出货,数量850pcs</t>
  </si>
  <si>
    <t>库存呆滞品改制消化；现对693-B2201I-PC 0011801424W更换产品标贴，拆除RV7,RV8,更换CY2,CY3,增加CN11/K2/CX3/R16/D16/N7，烧录Z程序，烧录EE程序数据，改制成693-B2201B-PC 0011801424B   读取并确认检验和无误后目检包装出货,数量850pcs</t>
  </si>
  <si>
    <t>693-B2287A-PC 0190400359A</t>
  </si>
  <si>
    <t>库存呆滞品改制消化；现对693-C2218A-P 0190400359更换产品标贴，烧录Z程序,改制成693-B2287A-PC 0190400359A ，FCT测试，目检包装出货,数量36pcs</t>
  </si>
  <si>
    <t>库存呆滞品改制消化；现对693-B2201J-PC 0011801424C更换产品标贴，烧录Z程序，烧录EE程序数据，改制成693-B2201B-PC 0011801424B   读取并确认检验和无误后目检包装出货,数量575pcs</t>
  </si>
  <si>
    <t>营销急插单，现将693-B2201B-PC 0011801424B 重新烧录EE程序，并校验EE，更换客户标签改制成693-B2201A-PC 0011801424A，目检包装出货,数量448pcs</t>
  </si>
  <si>
    <t>客户订单需求；现对693-C2218A-P 0190400359更换产品标贴，烧录Z程序,改制成693-B2287A-PC 0190400359A ，FCT测试，目检包装出货,数量36pcs</t>
  </si>
  <si>
    <t>客户订单需求；现对693-B2201F-PC 0011801424H（使用已经筛选IGBT合格的1424H产品进行返工）更换CX1,CX2，更换标签，重新烧录Z程序, FCT测试后，洗板，补漆，目检包装出货,数量448pcs</t>
  </si>
  <si>
    <t>库存呆滞品改制消化；现对693-B2201C-PC 0011801424E 拆除RV7、RV8、CN16,更换AC-L、AC-N线束，更换产品标贴，烧录Z程序，烧录EE程序数据，改制成693-B23G9A-PC  0011801424AT  读取并确认检验和无误后FCT测试、目检包装出货,数量2170pcs</t>
  </si>
  <si>
    <t>693-C2318B-PC 0011801425X</t>
  </si>
  <si>
    <t>客户EE程序升级；现对693-C2318B-PC 0011801425X 重新烧录EE程序，EE程序校验，FCT测试，更换标签，目检包装出货,数量1195pcs</t>
  </si>
  <si>
    <t>693-C2318A-PC 0011801425W</t>
  </si>
  <si>
    <t>客户EE程序升级；现对693-C2318A-PC 0011801425W 重新烧录EE程序，EE程序校验，FCT测试，更换标签，目检包装出货,数量578pcs</t>
  </si>
  <si>
    <t>PIE未明确识别客户喷漆技术条件，导致喷漆不全；现对 693-A2311B-PC 0151800561BBB 重新刷M78三防漆，目检包装出货,数量3000pcs</t>
  </si>
  <si>
    <t>693-A2311A-PC 0151800561BBA</t>
  </si>
  <si>
    <t>PIE未明确识别客户喷漆技术条件，导致喷漆不全；现对693-A2311A-PC 0151800561BBA   重新刷M78三防漆，目检包装出货,数量2000pcs</t>
  </si>
  <si>
    <t>客户程序升级；现对693-B2275A-PC 0031800386JL  更换数码管LEDM1、程序更新，FCT测试，更换客户标签及外箱标签，目检包装入库,数量150pcs</t>
  </si>
  <si>
    <t>研发bom建错；现对1323-C2205C-PC 0011801036C更换C61，清洗焊点，补漆，目检，FCT测试，目检包装入库,数量2512pcs（在产2000，大连代理成品506，厂内成品6）</t>
  </si>
  <si>
    <t>693-C2221A-D 0190400415</t>
  </si>
  <si>
    <t>客户需新增加气泡袋；现对693-C2221A-D 0190400415更换C61，拆箱，取产品，目检，装气泡袋，包装入库,数量：768pcs</t>
  </si>
  <si>
    <t>1323-C2205B-PC 0011801036B</t>
  </si>
  <si>
    <t>研发bom建错；现对1323-C2205B-PC 0011801036B更换C61，清洗焊点，补漆，目检，FCT测试，目检包装入库,数量2551pcs（在产2500，大连代理成品51，厂内成品0）</t>
  </si>
  <si>
    <t>693-C2336A-PC 0190400507</t>
  </si>
  <si>
    <t>客户升级程序；现对693-C2336A-PC 0190400507 更换标签，擦除程序，FCT测试，重新烧录单片机程序，FCT测试，目检包装出货,数量180pcs(库存170pcs+代理仓10pcs)</t>
  </si>
  <si>
    <t>693-A2380A-D 0011801125A</t>
  </si>
  <si>
    <t>客户变更技术条件；现对693-A2380A-D 0011801125A  板面LED灯喷漆，紫光灯目检，FCT全显测试，目检包装出货,数量181pcs</t>
  </si>
  <si>
    <t>2006-C2301A-PC 888000908</t>
  </si>
  <si>
    <t>客户转移，不需要返工</t>
  </si>
  <si>
    <t>客户程序升级，研发物料选型错误；现对693-B2201J-PC 0011801424C更换产品标贴，换件，烧录Z程序，烧录EE程序数据，EE程序校验，FCT测试后目检包装出货,数量973(库存894pcs+代理库存79pcs）</t>
  </si>
  <si>
    <t>客户程序升级，研发物料选型错误；现对693-B2201B-PC 0011801424B 更换产品标贴，换件，烧录Z程序，烧录EE程序数据，EE程序校验改制成693-B2201J-PC 0011801424C后FCT测试后目检包装出货,数量139pcs</t>
  </si>
  <si>
    <t>客诉面膜贴歪；现对693-B2286A-D 0021800442G 目检，FCT测试，包装出货,数量4182pcs</t>
  </si>
  <si>
    <t>客户程序升级；现对693-B2286D-D 0021800442GB更换产品标贴,擦除Z程序，FCT测试烧录主程序，FCT测试后，目检，包装出货,数量626pcs</t>
  </si>
  <si>
    <t>CX1,CX2电容不符合客户备案要求；现对693-B2201F-PC 0011801424H更换CX1,CX2电容器，洗板、补漆，FCT测试、扫描，目检，扫描包装出货,数量50pcs</t>
  </si>
  <si>
    <t>693-C2338A-PC 0190400415B</t>
  </si>
  <si>
    <t>研发BOM选型错误；现对693-C2338A-PC 0190400415B  更换EC2电解电容，清洗焊点，补漆，FCT测试，目检包装出货,数量819pcs</t>
  </si>
  <si>
    <t>按键沾漆，返工</t>
  </si>
  <si>
    <t>201-A2371A-PC 1196682</t>
  </si>
  <si>
    <t>C6位号螺钉多料；现对201-A2371A-PC 1196682 拆箱取产品，拆除C6位号螺钉，目检，包装出货,数量46pcs</t>
  </si>
  <si>
    <t>客户程序升级；现对693-B2286D-D 0021800442GB更换产品标贴,擦除Z程序，FCT测试烧录主程序，FCT测试后，目检，包装出货,数量335pcs</t>
  </si>
  <si>
    <t>693-C2325B-D 0190400527A</t>
  </si>
  <si>
    <t>LED灯支架来料膜有贴反不良；现对693-C2325B-D 0190400527A  FCT测试，目检，包装出货,数量1298pcs</t>
  </si>
  <si>
    <r>
      <rPr>
        <sz val="11"/>
        <color theme="1"/>
        <rFont val="等线"/>
        <family val="3"/>
        <charset val="134"/>
        <scheme val="minor"/>
      </rPr>
      <t>DIP0</t>
    </r>
    <r>
      <rPr>
        <sz val="11"/>
        <color theme="1"/>
        <rFont val="等线"/>
        <family val="3"/>
        <charset val="134"/>
        <scheme val="minor"/>
      </rPr>
      <t>6</t>
    </r>
  </si>
  <si>
    <t>客户程序升级；现对693-C2260B-PC 0011801256L 烧录Z程序，主程序校验,烧录EE程序，EE程序检验，FCT测试后，更换产品标签，目检，包装出货,数量237pcs</t>
  </si>
  <si>
    <t>DIP05</t>
  </si>
  <si>
    <t>693-C2335A-PC 0211800001</t>
  </si>
  <si>
    <t>客户程序升级；现对693-C2335A-PC 0211800001  擦除Z程序，FCT测试烧录主程序，FCT测试后，目检，包装出货,数量200pcs</t>
  </si>
  <si>
    <t>客户紧急订单需求，现对1323-C2205B-PC 0011801036B  更换产品标签（20*30m客户标签）、目检、包装出货,数量593pcs</t>
  </si>
  <si>
    <t>693-B2168A-C 0190400113F</t>
  </si>
  <si>
    <t>生产漏烧录程序，导致客诉；现对693-B2168A-C 0190400113F，重新烧录单片机程序 ，程序校验，FCT测试、目检包装出货,数量83pcs</t>
  </si>
  <si>
    <t>CX1,CX2,IGBT1不符合呵护备案要求；现对693-B2201F-PC 0011801424H 更换CX1,CX2,IGBT1, FCT测试后，洗板，补漆，目检包装出货,数量300pcs</t>
  </si>
  <si>
    <t>693-C2394A-PC 0011801423AB</t>
  </si>
  <si>
    <t>K1继电器规格选型错；现对693-C2394A-PC 0011801423AB   更换K1, 洗板，补漆,FCT测试后，目检包装出货,数量200pcs</t>
  </si>
  <si>
    <t>客户程序升级；现对693-A2210D-PC 0011801372C  擦除EE程序，FCT测试，标签绑定，烧录EE程序，EE程序校验，FCT测试，目检，EE程序校验，包装出货,数量1234pcs</t>
  </si>
  <si>
    <t>693-C2303A-PC 0011801606</t>
  </si>
  <si>
    <t>客诉散热片打裂；现对 693-C2303A-PC 0011801606 FCT测试、扫描，目检扫描、包装入库,数量109pcs</t>
  </si>
  <si>
    <t>客户程序升级；现对693-C2260B-PC 0011801256L 烧录Z程序，主程序校验,烧录EE程序，EE程序检验，更换产品标签link绑定，目检，主程序校验，EE程序检验，包装出货,数量500pcs</t>
  </si>
  <si>
    <t>改制品，漏刷程序，从胶州代理退回；现对693-C2386A-PC 0011801424AP 烧录Z程序，烧录Z程序,EE程序擦除，fct测试，烧录EE程序数据，EE程序校验，FCT测试，EE程序校验后目检包装出货,数量384</t>
  </si>
  <si>
    <t>研发C61电容选型错误，现对1323-C2203A-PC 0011801036A  更换C61电容，清理焊点，补漆，FCT测试、扫描，目检包装出货,数量553pcs</t>
  </si>
  <si>
    <t>客户主程序升级；现对693-C2221A-D 0190400415  擦除主程序，FCT测试、扫描，主程序烧录，主程序校验，FCT测试，更换标签，主程序校验后，目检、更换新包材包装出货,数量200pcs</t>
  </si>
  <si>
    <t>693-C2221B-D 0190400415A</t>
  </si>
  <si>
    <t>客户主程序升级；现对693-C2221B-D 0190400415A  擦除主程序，FCT测试、扫描，主程序烧录，主程序校验，FCT测试，更换标签，主程序校验后，目检、更换新包材包装出货,数量200pcs</t>
  </si>
  <si>
    <t>693-B2379A-D 0011801716</t>
  </si>
  <si>
    <t>客诉喷漆前灯珠撞件；现对 693-B2379A-D 0011801716 FCT测试、扫描，目检扫描，扫描、包装出货,数量5452pcs</t>
  </si>
  <si>
    <t>客户更新支架图纸、客诉显示不良；现将693-B2286A-D 0021800442G 更换面膜、标签，重新烧录程序，上电目检灯珠是否全亮，显示屏是否有阴影，异物， 改制成693-B2286D-D 0021800442GB  目检包装发货,数量1680pcs</t>
  </si>
  <si>
    <t>693-C2377A-PC 0011801303</t>
  </si>
  <si>
    <t>客户技改需求；现对 693-C2377A-PC 0011801303 将D34贴片二极管更换成0Ω电阻，清洗焊点，目检，补漆，FCT测试，目检包装出货,数量480pcs</t>
  </si>
  <si>
    <t>693-A2178B-PC 0011800612D</t>
  </si>
  <si>
    <t>客户订单需求，库存品消耗；现对693-A2178N-PC 0011800612E 更换产品标贴，新增插座，清洗焊点，补漆，烧录EE程序，改制成693-A2178B-PC 0011800612D后，EE程序校验，FCT测试，目检，EE程序校验，包装出货,数量120pcs</t>
  </si>
  <si>
    <t>客户订单需求，库存品消耗；现对693-A2178D-PC 0011800612R   更换产品标贴，烧录EE程序，改制成693-A2178I-PC 0011800612V 后，EE程序校验，FCT测试，目检，包装出货,数量1021pcs</t>
  </si>
  <si>
    <t>C61电容选型错误；现对1323-C2205C-PC 0011801036C 更换标签，更换C61，清洗焊点，补漆，目检，FCT测试，目检包装入库,数量907pcs</t>
  </si>
  <si>
    <t>693-C2404A-D 0021800615A</t>
  </si>
  <si>
    <r>
      <rPr>
        <sz val="11"/>
        <color theme="1"/>
        <rFont val="等线"/>
        <family val="3"/>
        <charset val="134"/>
        <scheme val="minor"/>
      </rPr>
      <t>DIP0</t>
    </r>
    <r>
      <rPr>
        <sz val="11"/>
        <color theme="1"/>
        <rFont val="等线"/>
        <family val="3"/>
        <charset val="134"/>
        <scheme val="minor"/>
      </rPr>
      <t>9</t>
    </r>
  </si>
  <si>
    <t>客户程序升级；现对693-B23G2D-PC 0011801330C ，EE程序擦除，fct测试，贴标签link绑定，烧录EE程序数据，EE程序校验，FCT测试，目检，EE程序校验后目检包装出货,数量98pcs；</t>
  </si>
  <si>
    <t>客户EE程序升级；现对693-B2209J-PC-0011801425D擦除EE程序，FCT测试、扫描，EE程序烧录，EE程序校验，FCT测试，更换标签，EE程序校验，目检包装出货,数量194pcs</t>
  </si>
  <si>
    <t>693-B2209K-PC-0011801425E</t>
  </si>
  <si>
    <t>青岛事业部呆滞品消耗；现对693-B2209K-PC-0011801425E擦除EE程序，FCT测试、扫描，EE程序烧录，EE程序校验，FCT测试，更换标签，EE程序校验，改制为 693-B2209L-PC-0011801425F  后目检包装出货,数量191pcs</t>
  </si>
  <si>
    <t>客户程序升级；现对693-B2201S-PC-0011801424G  更换产品标贴，烧录主程序，烧录主程序，EE程序擦除，FCT测试，烧录EE程序数据，EE程序校验，FCT测试后，EE程序校验，目检，包装出货,数量15pcs</t>
  </si>
  <si>
    <r>
      <rPr>
        <sz val="11"/>
        <color theme="1"/>
        <rFont val="等线"/>
        <family val="3"/>
        <charset val="134"/>
        <scheme val="minor"/>
      </rPr>
      <t>DIP09</t>
    </r>
  </si>
  <si>
    <t>693-C2389A-D 0021800615</t>
  </si>
  <si>
    <t>升级软件及标贴</t>
  </si>
  <si>
    <t>事客户EE程序升级；现对693-A2210E-PC 0011801372B擦除EE程序，FCT测试、扫描，EE程序烧录，EE程序校验，FCT测试，更换标签，EE程序校验， 后目检包装出货,数量138pcs</t>
  </si>
  <si>
    <t>693-B2209L-PC-0011801425F</t>
  </si>
  <si>
    <t>客户程序升级；现对693-B2209I-PC-0011801425T更换产品标贴，换件，烧录Z程序，烧录EE程序数据，EE程序校验改制成693-B2209L-PC-0011801425F后FCT测试后目检包装出货,数量200pcs</t>
  </si>
  <si>
    <t>变更软件及标贴（693-B2201O-PC款0011801424AF改型成693-B2201N-PC款0011801424AE）</t>
  </si>
  <si>
    <t>青岛事业部呆滞库存消耗；现对693-A2179D-PC 0011800630P 更换产品标贴，去除端子线束，换件，EE程序擦除，FCT测试，烧录EE程序，EE程序校验，FCT测试,改制成 693-A2179A-PC 0011800630K 后目检包装出货,数量597PCS</t>
  </si>
  <si>
    <t>成品库存呆滞消耗；现对693-A2180F-PC 0011800646C删去CN5插座，重新烧录EE程序，更换产品标签，洗板补胶，改制成693-A2180A-PC 0011800646A，目检包装出货,数量1399pcs</t>
  </si>
  <si>
    <t>201-A2401C-PC 1206582&amp;</t>
  </si>
  <si>
    <t>依据客户需求MCU程序升级</t>
  </si>
  <si>
    <t>201-A2402C-PC 1206576&amp;</t>
  </si>
  <si>
    <t>201-A2401D-PC 1206583&amp;</t>
  </si>
  <si>
    <t>201-A2402D-PC 1206579&amp;</t>
  </si>
  <si>
    <t>CX1,CX2,IGBT1不符合呵护备案要求；现对693-B2201F-PC 0011801424H 更换CX1,CX2,IGBT1, FCT测试后，更换标签，洗板，补漆，目检包装出货,数量300pcs</t>
  </si>
  <si>
    <t>693-C2260D-PC 0011801256R删去CN56插座，重新烧录主程序及EE程序，更换产品标签，洗板补胶，改制成693-C2260B-PC-0011801256L，目检包装出货</t>
  </si>
  <si>
    <t>693-B2113A(0190400172)</t>
  </si>
  <si>
    <t>客户程序升级；现对693-B2113A-PC 0190400172 更换标签，擦除程序，FCT测试、扫描，重新烧录单片机程序、扫描，FCT测试、扫描，目检包装出货,数量1100pcs</t>
  </si>
  <si>
    <t>201-A2381B-X 2348588 冼衣机面板(天青墨)</t>
  </si>
  <si>
    <t>按键板、旋钮板、程序重新烧录，通用主板程序升级；现对201-A2381B拆壳撕标签（30*10）、按键板程序烧录、校验，旋钮板程序烧录、校验，通用主板程序烧录，FCT测试，目检、组装面壳，目检FCT测试，目检包装出货,数量36pcs</t>
  </si>
  <si>
    <t>201-A2381A-O 2348569 干衣机面板(天青墨)</t>
  </si>
  <si>
    <t>按键板、旋钮板、程序重新烧录，通用主板程序升级；现对201-A2381A-O拆壳撕标签（30*10）、按键板程序烧录、校验，旋钮板程序烧录、校验，通用主板程序烧录，FCT测试，目检、组装面壳，目检FCT测试，目检包装出货,数量6pcs</t>
  </si>
  <si>
    <t>客户程序变更；现对693-B2201R-PC-0011801424L  更换产品标贴，擦除EE程序，烧录EE程序数据，EE程序校验，FCT测试，贴标签、MES标签link，目检，EE程序校验，包装出货,数量57pcs</t>
  </si>
  <si>
    <t>客户订单下达错误；现对 693-C2404A-D 0021800615A 更换标签，擦除程序，FCT测试、扫描，重新烧录单片机程序、扫描，改制成693-C2389A-D 0021800615 后，FCT测试、扫描，目检包装出货,数量2210pcs</t>
  </si>
  <si>
    <t>1323-C2206A-D 0011801037A</t>
  </si>
  <si>
    <t>客诉灯珠显示有色差，现将 1323-C2206A-D 0011801037A FCT通电全显目检色差，目检、包装出货,数量900pcs</t>
  </si>
  <si>
    <t>客户订单下达错误；现对 693-C2404A-D 0021800615A 更换标签，擦除程序，FCT测试、扫描，重新烧录单片机程序、扫描，改制成693-C2389A-D 0021800615 后，FCT测试、扫描，目检包装出货,数量50pcs</t>
  </si>
  <si>
    <t>客户紧急订单需求，现对1323-C2203A-PC 0011801036A  更换产品标签（20*30m客户标签）、目检、包装出货,数量368pcs</t>
  </si>
  <si>
    <t>研发选型错误，现对1323-C2203A-PC 0011801036A  更换C61电容，清理焊点，补漆，FCT测试、扫描，目检包装出货,数量11pcs</t>
  </si>
  <si>
    <t>由于1522产品客户bom建错，现对库存品693-C2284B-PC 0011801522A 产品增加R92、R93贴片电阻，用万用表量取阻值无误后补漆、目检包装出货。数量：145PCS.</t>
  </si>
  <si>
    <t>由于1522产品客户bom建错，现对库存品693-C2284A-PC 0011801522 产品增加R92、R93贴片电阻，用万用表量取阻值无误后补漆、目检包装出货。数量：100PCS.</t>
  </si>
  <si>
    <t>由于1522产品客户bom建错，现对库存品693-C2284C-PC 0011801522B  产品增加R92、R93贴片电阻，用万用表量取阻值无误后补漆、目检包装出货。数量：27PCS.</t>
  </si>
  <si>
    <t>事客户程序升级；现对693-A2311B-PC 0151800561BBB更换E12电容，擦除主程序，清理焊点、洗板，FCT测试、扫描，主程序烧录，FCT测试，更换标签，目检包装出货,数量189pcs</t>
  </si>
  <si>
    <t>693-B2201B-PC 0011801424B重新烧录EE程序，更换产品标签，目检包装出货,1340库存+78客退+61无账=1479pcs</t>
  </si>
  <si>
    <t>青岛事业部呆滞品库存消耗；现对 693-A2311A-PC 0151800561BBA更换产品标贴，拆换件，清理焊点，补漆，目检，烧录Z程序，烧录EE程序数据，EE程序校验 改制成693-B2201F-PC 0011801424H 后FCT测试目检包装出货,数量10pcs</t>
  </si>
  <si>
    <t>N1三极管使用错误；现对693-B2379A-D 0011801716  更换N1三极管，清理焊点、电子显微镜目检、补漆、FCT,目检、贴标签、link绑定、包装，数量154PCS</t>
  </si>
  <si>
    <t>青岛事业部呆滞库存消耗；现对693-A2178J-PC 0011800612M   更换产品标贴，更换C15风机电容，新增端子线束，清理焊点、补漆、点胶，目检，烧录Z程序，Z程序校验，烧录EE程序，EE程序校验改制成693-A2178F-PC 0011800612F 后，贴新标签、目检包装出货,数量320PCS</t>
  </si>
  <si>
    <t>青岛事业部呆滞库存消耗；现对693-A2178J-PC 0011800612M   更换产品标贴，新增端子线束与插座，清理焊点、补漆，目检，烧录Z程序，Z程序校验，烧录EE程序，EE程序校验改制成  693-A2178B-PC 0011800612D后，贴新标签、目检包装出货,数量172PCS</t>
  </si>
  <si>
    <t>693-A2181A-PC   0011800537</t>
  </si>
  <si>
    <t>青岛事业部呆滞库存消耗；现对693-A2181C-PC  0011800537A  更换产品标贴，删除C29,C30，新增D12,D15二极管，K4、K5继电器，清理焊点、补漆，目检，烧录EE程序，EE程序校验改制成693-A2181A-PC 0011800537  后，FCT测试，贴新标签、目检包装出货,数量1445PCS</t>
  </si>
  <si>
    <t>693-B2351F-PC 0011801606F</t>
  </si>
  <si>
    <t>PCB备案问题；现对 693-C2303A-PC 0011801606 更换标签，烧录EE程序，改制为693-B2351F-PC 0011801606F后，EE程序校验，FCT测试、扫描，贴标签，link绑定，目检扫描、包装入库,数量100pcs</t>
  </si>
  <si>
    <t>693-A2179K-PC 0011800630Z</t>
  </si>
  <si>
    <t>青岛事业部呆滞库存消耗；现对693-A2179J-PC 0011800630Y  更换产品标贴，更换C26、CN502，清理焊点、补漆、点胶，目检，烧录EE程序，EE程序校验,改制成693-A2179K-PC 0011800630Z 后，FCT测试，贴新标签、目检包装出货,数量187PCS</t>
  </si>
  <si>
    <t>N1三极管使用错误；现对693-B2379A-D 0011801716  更换N1三极管，清理焊点、电子显微镜目检、补漆、FCT,目检、贴标签、link绑定、包装，数量9913PCS</t>
  </si>
  <si>
    <t>灌胶不良，补胶目检入库</t>
  </si>
  <si>
    <t>客户EE程序升级；现对693-B2209J-PC-0011801425D擦除EE程序，EE程序烧录，EE程序校验，FCT测试，更换标签，EE程序校验，目检包装出货,数量214pcs</t>
  </si>
  <si>
    <t>旧线束不符合客户要求；现对693-B23G9A-PC  0011801424AT 更换CN1.CN2线束、清理焊点、补漆、目检、包装出货,数量2972pcs</t>
  </si>
  <si>
    <t>693-B2351E-PC 0011801606E</t>
  </si>
  <si>
    <t>为满足交货需求，现对693-C2303A-PC 0011801606 更换产品标贴，烧录EE程序数据，改制成693-B2351E-PC 0011801606E 读取并确认检验和无误后FCT测试、目检包装出货,数量6pcs</t>
  </si>
  <si>
    <t>客户反馈693-C2390A-D 0021800616 显示板灯光显示不统一,LED显示模块一种显示灯白，另一种显示灯黄，已经明确不可以接收，现需要厂内进行筛选白色进行发货。</t>
  </si>
  <si>
    <t>由客退品，现将693-B2286A-D 0021800442G 烧录空程序，FCT，烧录最新主程序，FCT,更换外壳、面膜、泡棉，FCT上电目检灯珠是否全亮，显示屏是否有阴影，异物，更换标签、LINK绑定，目检包装发货,数量69pcs</t>
  </si>
  <si>
    <t>由客退品，现将693-B2286B-D 0021800442A 烧录空程序，FCT1，烧录最新主程序，FCT2上电目检灯珠是否全亮，显示屏是否有阴影，异物，更换标签、LINK绑定，目检包装发货,数量7pcs</t>
  </si>
  <si>
    <t>由客退品，现将693-B2286D-D 0021800442GB 烧录空程序，FCT1，烧录最新主程序，FCT2上电目检灯珠是否全亮，显示屏是否有阴影，异物，更换标签、LINK绑定，目检包装发货,数量6pcs</t>
  </si>
  <si>
    <t>693-C2387A-PC 0190400286A</t>
  </si>
  <si>
    <t>青岛事业部呆滞库存消耗；现对693-A2178J-PC 0011800612M   更换产品标贴，更换C15风机电容，新增端子线束，清理焊点、补漆、点胶，目检，烧录Z程序，Z程序校验，烧录EE程序，EE程序校验改制成693-A2178F-PC 0011800612F 后，贴新标签、目检包装出货,数量300PCS</t>
  </si>
  <si>
    <t>青岛事业部呆滞库存消耗；现对693-A2178J-PC 0011800612M   更换产品标贴，更换C15风机电容，新增端子线束，清理焊点、补漆、点胶，目检，烧录Z程序，Z程序校验，烧录EE程序，EE程序校验改制成693-A2178F-PC 0011800612F 后，贴新标签、目检包装出货,数量200PCS</t>
  </si>
  <si>
    <t>693-B2201K-PC 0011801424D</t>
  </si>
  <si>
    <t>青岛事业部呆滞品库存消耗；现对693-C23H4A-PC 0011801424AW  更换产品标贴，更换CN3，清理焊点，补漆，目检，单片机烧录空程序，FCT,烧录Z程序，烧录EE程序数据，EE程序校验 改制成693-B2201K-PC 0011801424D   后FCT测试目检包装出货,数量30pcs</t>
  </si>
  <si>
    <t>客户程序升级；现对693-C2260D-PC 0011801256R 更换U1芯片，补漆目检， 烧录Z程序，主程序校验,烧录EE程序，EE程序检验，更换产品标签link绑定，目检，主程序校验，EE程序检验，包装出货,数量98pcs</t>
  </si>
  <si>
    <t>研发bom建错（1036系列插座和薄膜电容使用错误）；现对1323-C2205C-PC 0011801036C更换正确的薄膜电容（位号C301)和插座（位号CN17），然后进行FCT测试、目检包装出货,数量921pcs</t>
  </si>
  <si>
    <t>因客户端程序升级，现对693-C2250A-PC 0011800980J 更换产品标贴，升级E方和主程序，读取并确认检验和无误后FCT测试、目检包装出货,数量780pcs</t>
  </si>
  <si>
    <t>693-C2371A-D 0190400377</t>
  </si>
  <si>
    <t>海尔净水377新品，小批试产过程中因BOM错误导致跳线J11-J14缺失，先通过返工增加跳线。</t>
  </si>
  <si>
    <t>客户对693-C2325B-D 0190400527A系列提出两点要求 ①取消烧写口盖帽（不要烧写帽的原因是客户模具开的有点问题，跟原来的板子有干涉）
②带有集成WIFI芯片的板子，请粘贴2张MAC条码，部分粘贴，便于工厂撕下。</t>
  </si>
  <si>
    <t>693-C2325D-D 0190400527B</t>
  </si>
  <si>
    <t>客户对693-C2325D-D 0190400527B系列提出两点要求 ①取消烧写口盖帽（不要烧写帽的原因是客户模具开的有点问题，跟原来的板子有干涉）
②带有集成WIFI芯片的板子，请粘贴2张MAC条码，部分粘贴，便于工厂撕下。</t>
  </si>
  <si>
    <t>693-C2325E-D 0190400527D</t>
  </si>
  <si>
    <t>客户对693-C2325E-D 0190400527D系列提出两点要求 ①取消烧写口盖帽（不要烧写帽的原因是客户模具开的有点问题，跟原来的板子有干涉）
②带有集成WIFI芯片的板子，请粘贴2张MAC条码，部分粘贴，便于工厂撕下。</t>
  </si>
  <si>
    <t>1911-C2401A-PC 0011801036C 海尔空调1036C电控板</t>
  </si>
  <si>
    <t>成品呆滞改制消化，现对693-A2180D-PC 0011800646M 改制返成693-A2180B-PC 0011800646D,数量7523pcs</t>
  </si>
  <si>
    <t>为满足客户交期，现对693-B2201A-PC 0011801424A 更换产品标贴，升级E方程序，改制为693-B2201B-PC 0011801424B，ATE测试无误后、目检包装出货,数量2200pcs</t>
  </si>
  <si>
    <t>693-B2201U</t>
  </si>
  <si>
    <t>因客户端程序升级，现对693-B2201U-PC-0011801424AB 更换产品标贴，升级E方程序，读取并确认检验和无误后FCT测试、目检包装出货,数量593pcs</t>
  </si>
  <si>
    <t>为满足客户样机需求，现对693-C2389A-D 0021800615 更换产品标贴，烧录Z程序数据，拆外壳link绑定，读取并确认检验和无误后FCT测试、目检包装出货,数量4pcs</t>
  </si>
  <si>
    <t>合肥洗衣机要求增加双标签，现对693-B2275A-PC 0031800386JL 库存单标签产品在线打印第二个标签并粘贴，目检后包装扫描，返工数量5380。</t>
  </si>
  <si>
    <t>客户程序升级；现对693-C2260B-PC 0011801256L 烧录Z程序，主程序校验,烧录EE程序，EE程序检验，更换产品标签link绑定，目检，主程序校验，EE程序检验，包装出货,数量372pcs</t>
  </si>
  <si>
    <t>零星客退，工单关闭</t>
  </si>
  <si>
    <t>为满足交货需求，现对693-C2389A-D 0021800615 更换产品标贴，烧录Z程序和触摸屏程序数据，读取并确认检验和无误后FCT测试、目检包装出货,数量29pcs</t>
  </si>
  <si>
    <t>成品呆滞改制消化，现对693-A2178A-PC 0011800612X改制返成693-A2178C-PC 0011800612Z,数量50pcs</t>
  </si>
  <si>
    <t>为满足客户发货需求；现对693-B2201P-PC-0011801424N 增加K2,CN11,CX3,R16,D16,N7，更换产品标贴，烧录EE程序数据，改制成693-B2201Q-PC-0011801424K  读取并确认检验和无误后FCT测试、目检包装出货,数量200pcs</t>
  </si>
  <si>
    <t>因客户端程序升级，现对693-C2373A-PC  0011800980E 更换产品标贴，升级E方程序，读取并确认检验和无误后FCT测试、目检包装出货,数量107pcs</t>
  </si>
  <si>
    <t>因客户端程序升级，现对693-C2373B-PC  0011800980F 更换产品标贴，升级E方程序，读取并确认检验和无误后FCT测试、目检包装出货,数量344pcs</t>
  </si>
  <si>
    <t>693-C2038A-D 0190400112A</t>
  </si>
  <si>
    <t>为消化呆滞库存，现对693-C2038M-D(0190400112D) 更换产品标贴，烧录主程序数据，改制成693-C2038A-D 0190400112A，FCT测试无误后，目检包装出货,数量113pcs</t>
  </si>
  <si>
    <t>693-C2177B-C 0190400113G 芯朋电源方案</t>
  </si>
  <si>
    <t>为消化呆滞库存，现对693-C2177C-C 0190400113H（批次内包含693-B2168C-C 0190400113H产品，不做区分全部返工）更换产品标贴，烧录主程序数据，改制成693-B2168B-C 0190400113G ，FCT测试无误后，目检包装出货,数量218pcs</t>
  </si>
  <si>
    <t>成品呆滞改制消化，现对693-A2180D-PC 0011800646M 改制返成693-A2180G-PC 0011800646L,数量2000pcs</t>
  </si>
  <si>
    <t>693-C2328B-PC 0190400534A</t>
  </si>
  <si>
    <t>客户通知Z1程序升级，现对693-C2328B-PC 0190400534A 更换产品标贴，烧录EE程序数据，读取并确认检验和无误后FCT测试后灌胶投拉,数量500pcs</t>
  </si>
  <si>
    <t>客户通知Z1程序升级，现对693-C2328B-PC 0190400534A 更换产品标贴，烧录Z1程序数据，读取并确认检验和无误后FCT测试,然后目检包装，数量441pcs</t>
  </si>
  <si>
    <t>因客户端程序升级，现对693-A2179E-PC 0011800630J 更换产品标贴，升级E方程序，读取并确认检验和无误后FCT测试、目检包装出货,数量2688pcs</t>
  </si>
  <si>
    <t>693-C2246AG-PC 0011801172CH</t>
  </si>
  <si>
    <t>成品呆滞改制消化，现对0011801172BK改制返成0011801172CH,数量1286pcs</t>
  </si>
  <si>
    <t>成品呆滞改制消化，现对693-A2180D-PC 0011800646M 改制返成693-A2180A-PC 0011800646A,数量2000pcs</t>
  </si>
  <si>
    <t>为满足出货要求，现对1425P产品拆件、更换产品标贴，升级E方程序改制成1425N，读取并确认检验和无误后FCT测试、目检包装出货,数量35pcs</t>
  </si>
  <si>
    <t>为满足出货要求，现对980J产品拆件、更换产品标贴，升级E方程序改制成980F，读取并确认检验和无误后FCT测试、目检包装出货,数量120pcs</t>
  </si>
  <si>
    <t>693-C2373A-PC 0011800980E</t>
  </si>
  <si>
    <t>合肥工单</t>
  </si>
  <si>
    <t>无工单号</t>
  </si>
  <si>
    <t>电源板\C07150045\0</t>
  </si>
  <si>
    <t>帮助深圳海信返工</t>
  </si>
  <si>
    <t>顺德事业部</t>
  </si>
  <si>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等线"/>
        <family val="3"/>
        <charset val="134"/>
        <scheme val="minor"/>
      </rPr>
      <t>IPL03</t>
    </r>
  </si>
  <si>
    <t>因正常工单报废3pcs，不满足交货，需要改制3pcs,10880020647改制成10880032759,下返工工单形态转换，转换完成后使用报废品的包装物料包装发货。</t>
  </si>
  <si>
    <t>客户要求增加双标签，现对693-B2276A-PC 0031800004FH 库存单标签产品在线打印第二个标签并粘贴，目检后包装扫描，返工数量1344。</t>
  </si>
  <si>
    <t>693-C23K1B-PC 0011801720A</t>
  </si>
  <si>
    <t>研发变更pcb插座极性，未及时跟进通知品质工艺，导致WI插座极性错误；现对693-C23K1B-PC 0011801720A 更换CN21/CN21'插座方向，LDE灯点亮测试，目检包装出货,数量126PCS</t>
  </si>
  <si>
    <t>DIP09</t>
  </si>
  <si>
    <t>成品呆滞改制消化，现对693-A2178J-PC 0011800612M 改制返成693-A2178F-PC 0011800612F,数量246pcs</t>
  </si>
  <si>
    <t>693-B2201I-PC 0011801424W</t>
  </si>
  <si>
    <t>693-B2201B-PC 0011801424B 改制成	693-B2201I-PC 0011801424W，实物不做处理，完成形态转换，仓库平账。</t>
  </si>
  <si>
    <t>693-B23G9A-PC  0011801424AT 改制成	693-B2201I-PC 0011801424W，实物不做处理，完成形态转换，仓库平账。</t>
  </si>
  <si>
    <t>693-B2201H-PC  0011801424V</t>
  </si>
  <si>
    <t>693-B23G9A-PC  0011801424AT 改制成693-B2201H-PC  0011801424V，实物不做处理，完成形态转换，仓库平账。</t>
  </si>
  <si>
    <t>693-C2386A-PC 0011801424AP 改制成693-B2201H-PC  0011801424V，实物不做处理，完成形态转换，仓库平账。</t>
  </si>
  <si>
    <t>693-C2386A-PC 0011801424AP 改制成693-B2201G-PC 0011801424J，实物不做处理，完成形态转换，仓库平账。</t>
  </si>
  <si>
    <t>693-B2201F-PC 0011801424H改制成693-B2201G-PC 0011801424J，实物不做处理，完成形态转换，仓库平账。</t>
  </si>
  <si>
    <t>693-C20023A-C 0190400002</t>
  </si>
  <si>
    <t>为消化呆滞库存，现对693-C2157B-C(0190400002H) 更换产品标贴，烧录主程序数据，改制成693-C20023A-C 0190400002，FCT测试无误后，目检包装出货,数量50pcs</t>
  </si>
  <si>
    <t>693-C20023A-D 0190400001</t>
  </si>
  <si>
    <t>为消化呆滞库存，现对693-C20023B-D 0190400001JK 更换产品标贴，烧录主程序数据，改制成693-C20023A-D 0190400001，FCT测试无误后，目检包装出货,数量10pcs</t>
  </si>
  <si>
    <t>为消化库存，现对1424AW 更换端子线和产品标贴，升级Z和E方程序，改制为1424D，ATE和FCT测试无误后、目检包装出货,数量20pcs</t>
  </si>
  <si>
    <t>客户程序升级；现对693-A2179C-PC 0011800630L 更换产品标贴，ATE烧录EE程序、EE程序校验、扫描，FCT测试、扫描,贴标签、link，目检，包装出货,数量1999PCS</t>
  </si>
  <si>
    <t>客户通知升级主程序，现对693-C2389A-D 0021800615 更换产品标贴，烧录Z程序数据，读取并确认检验和无误后FCT测试、目检包装出货,数量1150pcs</t>
  </si>
  <si>
    <t>为保障屏幕不脱落，现对693-C2404A-D 0021800615A 库存品增加气泡片，目检后包装扫描，返工数量3633。</t>
  </si>
  <si>
    <t>为满足售后订单交货，现对693-C20023D-D 0190400001C 更换产品标贴，烧录主程序数据，改制成693-C20023A-D 0190400001，FCT测试无误后，目检包装出货,数量50pcs</t>
  </si>
  <si>
    <t>693-C20023C-D 0190400001B</t>
  </si>
  <si>
    <t>为满足售后订单交货，现对693-C20023D-D 0190400001C 更换产品标贴，烧录主程序数据，改制成693-C20023C-D 0190400001B，FCT测试无误后，目检包装出货,数量20pcs</t>
  </si>
  <si>
    <t>为满足交货需求，现对693-C2389A-D 0021800615 更换产品标贴，烧录Z程序和触摸屏程序数据，读取并确认检验和无误后FCT测试、目检包装出货,数量62pcs</t>
  </si>
  <si>
    <t>693-C23C2A-PC 0011801172CR</t>
  </si>
  <si>
    <t>客户紧急订单需求；现对 693-C23C2A-PC 0011801172CR 粘贴MES标签，更换产品标贴，Z程序擦除，ATE烧录Z程序、扫描，ATE烧录EE程序、EE程序校验、扫描，FCT测试、扫描,贴标签，目检，包装出货,数量：83pcs</t>
  </si>
  <si>
    <t>研发标贴文件受控错误；现对201-A2381C-X 2297595 冼衣机面板(全球白) 拆箱取产品，LINK绑定就标签后更换30*10机型标签，，目检，包装出货,数量164pcs</t>
  </si>
  <si>
    <t>201-A2381A-O HLP5602-GWM.01</t>
  </si>
  <si>
    <t>研发标贴文件受控错误；现对201-A2381A-O 2348569 干衣机面板(天青墨) 拆箱取产品，LINK绑定就标签后更换30*10机型标签，，目检，包装出货,数量29pcs</t>
  </si>
  <si>
    <t>693-C2413A-PC 0181800103</t>
  </si>
  <si>
    <t>干衣机程序不变，校验和变更，现对693-C2413A-PC 0181800103 库存进行返工，更换标签，目检后包装扫描，返工数量200。</t>
  </si>
  <si>
    <t>693-A2179H-PC 0011800630S</t>
  </si>
  <si>
    <t>客户程序升级；现对693-A2179H-PC 0011800630S  更换产品标贴，ATE烧录EE程序、EE程序校验、扫描，FCT测试、扫描,贴标签、link，目检，包装出货,数量：仓库：1000PCS+代理仓：759PCS</t>
  </si>
  <si>
    <t>693-C2325A-D 0190400527</t>
  </si>
  <si>
    <t>客户对693-C2325A-D 0190400527系列提出两点要求 ①取消烧写口盖帽（不要烧写帽的原因是客户模具开的有点问题，跟原来的板子有干涉）
②带有集成WIFI芯片的板子，请粘贴2张MAC条码，部分粘贴，便于工厂撕下。</t>
  </si>
  <si>
    <t>693-C2317B-PC 0011800977R</t>
  </si>
  <si>
    <t>为满足发货需求，现对977S 更换器件和产品标贴，升级Z和E方程序，改制为977R，FCT测试无误后、目检包装出货,数量3pcs</t>
  </si>
  <si>
    <t>693-B2272A-D 0031800374</t>
  </si>
  <si>
    <t>客户反馈693-B2272A-D 0031800374 显示板有缺划色差不良，现需要厂内进行返工筛选后发货。</t>
  </si>
  <si>
    <t>561BBA客户端持续发生C251电容裂的，需要返工更换成柔性电容，更换后用万用表测试容值，目检后包装。</t>
  </si>
  <si>
    <t>561BBB客户端持续发生C251电容裂的，需要返工更换成柔性电容，更换后用万用表测试容值，目检后包装。</t>
  </si>
  <si>
    <t>693-C2336B-PC 0190400507A</t>
  </si>
  <si>
    <t>客户端程序升级，现对693-C2336B-PC 0190400507A 更换产品标贴，升级程序，FCT测试无误后，目检包装出货,数量727pcs</t>
  </si>
  <si>
    <t>693-C23K1A-PC 0011801720</t>
  </si>
  <si>
    <t>客户程序变更；现对693-C23K1A-PC 0011801720 更换产品标贴，擦除Z程序，FCT测试、扫描，烧录Z程序数据，FCT测试、扫描，贴标签、MES标签link，目检，包装出货,数量170pcs</t>
  </si>
  <si>
    <t>客户程序变更；现对693-C23K1B-PC 0011801720A 更换产品标贴，擦除Z程序，FCT测试、扫描，烧录Z程序数据，FCT测试、扫描，贴标签、MES标签link，目检，包装出货,数量170pcs</t>
  </si>
  <si>
    <t>客户技改；现对693-C23I3A-PC 0011801656 返工CN5CN6线束套管位置， SA1放电管点胶，更换产品标贴，更新EE程序数据， 读取并确认检验和无误后FCT测试、目检包装出货,数量197pcs</t>
  </si>
  <si>
    <r>
      <rPr>
        <sz val="11"/>
        <color theme="1"/>
        <rFont val="等线"/>
        <family val="3"/>
        <charset val="134"/>
        <scheme val="minor"/>
      </rPr>
      <t>客户技改；现对693-C23I3A-PC 001180165</t>
    </r>
    <r>
      <rPr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3"/>
        <charset val="134"/>
        <scheme val="minor"/>
      </rPr>
      <t xml:space="preserve"> 返工CN5CN6线束套管位置， SA1放电管点胶，FCT测试、目检包装出货,数量46pcs</t>
    </r>
  </si>
  <si>
    <t>客户通知升级主程序，现对693-C2390A-D 0021800616 更换产品标贴，烧录Z程序数据，读取并确认检验和无误后FCT测试、目检包装出货,数量56pcs</t>
  </si>
  <si>
    <t>为满足交货需求，现对693-C2389A-D 0021800615 更换产品标贴，烧录Z程序和触摸屏程序数据，读取并确认检验和无误后FCT测试、目检包装出货,数量49pcs</t>
  </si>
  <si>
    <t>646L不良品6/26号退回1440，6/29号返工已出货，未做账，补单销账</t>
  </si>
  <si>
    <t>合肥洗衣机要求增加双标签，现对顺德青岛事业部返回的 693-B2275A-PC 0031800386JL 库存单标签产品在线打印第二个标签并粘贴，目检后包装扫描，返工数量3800。</t>
  </si>
  <si>
    <t>客户EE程序升级；现对693-B2209J-PC-0011801425D擦除EE程序，EE程序烧录，EE程序校验、扫描，FCT测试、扫描，更换标签，EE程序校验，目检包装出货,数量129pcs</t>
  </si>
  <si>
    <r>
      <rPr>
        <sz val="11"/>
        <color theme="1"/>
        <rFont val="等线"/>
        <family val="3"/>
        <charset val="134"/>
        <scheme val="minor"/>
      </rPr>
      <t>DIP0</t>
    </r>
    <r>
      <rPr>
        <sz val="11"/>
        <color theme="1"/>
        <rFont val="等线"/>
        <family val="3"/>
        <charset val="134"/>
        <scheme val="minor"/>
      </rPr>
      <t>7</t>
    </r>
  </si>
  <si>
    <t>693-C20033A 0011800977C</t>
  </si>
  <si>
    <t>深圳工厂无测试，补测试</t>
  </si>
  <si>
    <t>500323-C24F5A-D 0021800615B</t>
  </si>
  <si>
    <t>为满足型检样机需求，现将615改制为615B，更换产品标贴，烧录Z程序数据，拆外壳link绑定，读取并确认检验和无误后FCT测试、目检包装出货,数量12pcs</t>
  </si>
  <si>
    <t>693-C2256B-PC 0011801123F</t>
  </si>
  <si>
    <t>客户紧急订单需求；现对693-C2256D-PC 0011801123H ，更换E7、LX1 更新EE程序、改制成693-C2256B-PC 0011801123F 后测试 目检，包装出货,数量60pcs</t>
  </si>
  <si>
    <t>201-A2401A-PC 1203877_H7B11804A-D/PV220&amp;</t>
  </si>
  <si>
    <r>
      <rPr>
        <sz val="11"/>
        <color theme="1"/>
        <rFont val="等线"/>
        <family val="3"/>
        <charset val="134"/>
        <scheme val="minor"/>
      </rPr>
      <t>客户停用华德保险丝；现对201-A2401</t>
    </r>
    <r>
      <rPr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-PC 拆箱取产品，拆除FU101位号保险管、清理焊点、焊接FU101 ，洗板补漆、目检，包装出货,数量48pcs</t>
    </r>
  </si>
  <si>
    <t>201-A2401B-PC 1203878_H7B11804B-D/PV220&amp;</t>
  </si>
  <si>
    <t>客户停用华德保险丝；现对201-A2401B-PC 拆箱取产品，拆除FU101位号保险管、清理焊点、焊接FU101 ，洗板补漆、目检，包装出货,数量18pcs</t>
  </si>
  <si>
    <t>成品呆滞改制消化，现对0011801172Q改制返成0011801172CW,数量100pcs</t>
  </si>
  <si>
    <t>为满足型检样机需求，现将616改制为616B，更换产品标贴，烧录Z程序数据，更换外壳，读取并确认检验和无误后FCT测试、目检包装出货,数量12pcs</t>
  </si>
  <si>
    <t>500325-C2402A-D 888002201-415</t>
  </si>
  <si>
    <t>500325-C2402B-D 888002157-415A</t>
  </si>
  <si>
    <t>500325-C2402C-D 888002082-415B</t>
  </si>
  <si>
    <t>客户反馈显示色差，现对693-C2375A-D 0011800387D 合肥专用 目检挑选喷漆不良，不良喷漆返修，FCT色差检测，目检包装出货；数量：4563pcs</t>
  </si>
  <si>
    <r>
      <rPr>
        <sz val="11"/>
        <color theme="1"/>
        <rFont val="等线"/>
        <family val="3"/>
        <charset val="134"/>
        <scheme val="minor"/>
      </rPr>
      <t>DIP0</t>
    </r>
    <r>
      <rPr>
        <sz val="11"/>
        <color theme="1"/>
        <rFont val="等线"/>
        <family val="3"/>
        <charset val="134"/>
        <scheme val="minor"/>
      </rPr>
      <t>5</t>
    </r>
  </si>
  <si>
    <t>客户要求增加双标签，现对重庆客返693-B2276B-PC 0031800004FP 库存单标签产品在线打印第二个标签并粘贴，目检后包装扫描，返工数量60。</t>
  </si>
  <si>
    <t>客户要求增加双标签，现对重庆客返693-B2276A-PC 0031800004FH 库存单标签产品在线打印第二个标签并粘贴，目检后包装扫描，返工数量60。</t>
  </si>
  <si>
    <t>合肥洗衣机要求增加双标签，现对重庆返回的 693-B2275A-PC 0031800386JL 库存单标签产品在线打印第二个标签并粘贴，目检后包装扫描，返工数量4246。</t>
  </si>
  <si>
    <t>青岛事业部呆滞库存消耗；现对693-A2178J-PC 0011800612M   更换产品标贴，更换C15风机电容，新增端子线束，清理焊点、补漆、点胶，目检，烧录Z程序，Z程序校验，烧录EE程序，EE程序校验改制成693-A2178F-PC 0011800612F 后，贴新标签、FCT测试、目检包装出货,数量300PCS</t>
  </si>
  <si>
    <t>客户端程序升级，现对693-C2336B-PC 0190400507A 更换产品标贴，升级程序，FCT测试无误后，目检包装出货,数量8pcs</t>
  </si>
  <si>
    <t>客户端不接受无物联信息产品，针对客户返回升级程序后的产品进行link，目检包装出货,数量516pcs</t>
  </si>
  <si>
    <t>为消化库存，现将442GA改制成442G，更换产品标贴，烧录Z程序数据，读取并确认检验和无误后FCT测试、目检包装出货,数量1687pcs</t>
  </si>
  <si>
    <t>成品呆滞改制消化，现对0011801172AH改制返成0011801172CW,数量183pcs</t>
  </si>
  <si>
    <t>成品呆滞改制消化，现对0011801172R改制返成0011801172CW,数量137pcs</t>
  </si>
  <si>
    <t>693-C23B2A-PC 0151800648D</t>
  </si>
  <si>
    <t>客户Z程序升级；现对693-C23B2A-PC 0151800648D 擦除Z程序，FCT测试、扫描，Z程序烧录，FCT测试、扫描，更换标签，目检包装出货,数量5427pcs</t>
  </si>
  <si>
    <t>客户反馈693-B2272A-D 0031800374 有胶不干不良，现需要厂内进行返工筛选后发货。</t>
  </si>
  <si>
    <t>因客户端程序升级，现对630M 更换产品标贴，升级E方程序，读取并确认检验和无误后FCT测试、目检包装出货,数量1748pcs</t>
  </si>
  <si>
    <t>天润开模的442A外壳，经过重庆工厂的客户组装适配，确认外壳适配ok。可以供货。但是需要小批再验证，先通过返工重庆退回的61pcs验证。</t>
  </si>
  <si>
    <r>
      <rPr>
        <sz val="10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RTD</t>
    </r>
  </si>
  <si>
    <t>客户EE程序升级；现对693-C2373B-PC  0011800980F  擦除EE程序，EE程序烧录、EE程序校验、扫描，FCT测试、扫描，更换标签，目检包装出货,代理库存数量135pcs</t>
  </si>
  <si>
    <t>693-C2328A-PC 0190400534</t>
  </si>
  <si>
    <t>客户通知新供货的产品需要物联数据，现对534更换客户标签后进行link绑定，数量2078pcs。</t>
  </si>
  <si>
    <t>仓库未先入先出，导致呆滞；现对693-A2210B-PC 0011801372A 擦除EE程序，EE程序烧录、EE程序校验、扫描，更换标签LIN绑定，目检包装出货,库存数量36pcs</t>
  </si>
  <si>
    <t>693-C2177G-C 0190400113M 芯朋电源方案</t>
  </si>
  <si>
    <t>为消化呆滞库存,现将113L改制成113M，FCT测试无误后，目检包装出货,数量560pcs</t>
  </si>
  <si>
    <t>为消化呆滞库存,现将113G改制成113M，FCT测试无误后，目检包装出货,数量216pcs</t>
  </si>
  <si>
    <t>415B产品发送倍世，软硬件一致，仅标签不一样，所以需要返工更换标签，返工数量,245。</t>
  </si>
  <si>
    <t>693-B2301B-PC 0041801545D</t>
  </si>
  <si>
    <t>FCT工站需要重新测试漏电流，数量200.</t>
  </si>
  <si>
    <r>
      <rPr>
        <sz val="11"/>
        <color theme="1"/>
        <rFont val="等线"/>
        <family val="3"/>
        <charset val="134"/>
        <scheme val="minor"/>
      </rPr>
      <t>为满足出货，5</t>
    </r>
    <r>
      <rPr>
        <sz val="11"/>
        <color theme="1"/>
        <rFont val="等线"/>
        <family val="3"/>
        <charset val="134"/>
        <scheme val="minor"/>
      </rPr>
      <t>27B改制成527</t>
    </r>
  </si>
  <si>
    <t>693-C2385A-PC 0190400556</t>
  </si>
  <si>
    <t>物联信息</t>
  </si>
  <si>
    <t>研发物料选型错误；现对693-C23K1A-PC 0011801720 更换K2,K3,K4,K5,K6,K7继电器，洗板、目检焊点、FCT测试、补漆、目检、包装出货,数量20pcs</t>
  </si>
  <si>
    <t>客诉R82电阻损件；现对693-A2182A-PC 0011800807产品更换R82电阻，清洗焊点，R82电阻测试，目检，包装出货,数量1395pcs</t>
  </si>
  <si>
    <t>青岛事业部呆滞库存消耗；现对693-A2178J-PC 0011800612M   更换产品标贴，新增端子线束与插座，清理焊点、补漆，目检，烧录Z程序，Z程序校验，烧录EE程序，EE程序校验改制成  693-A2178B-PC 0011800612D后，贴新标签、目检包装出货,数量200PCS</t>
  </si>
  <si>
    <t>693-C2270A-PC 0011801583A</t>
  </si>
  <si>
    <t>客户变更E9、E15电容；现对693-C2270A-PC 0011801583A 更换E9、E15，目检清洗焊点、补漆、FCT测试扫描，目检包装出货,数量3085pcs+600PCS</t>
  </si>
  <si>
    <t>693-C20023E-PC</t>
  </si>
  <si>
    <t>为满足出货要求，现将002H改制成002D: 贴MES标签，补MES数据，更换客户标贴，烧录主程序数据，FCT测试无误后，目检包装出货,数量10pcs</t>
  </si>
  <si>
    <t>693-C20023C-C 0190400002B</t>
  </si>
  <si>
    <t>为满足出货要求，现将002H改制成002B: 贴MES标签，补MES数据，更换客户标贴，烧录主程序数据，FCT测试无误后，目检包装出货,数量10pcs</t>
  </si>
  <si>
    <t>693-C2038A-C 0190400113A</t>
  </si>
  <si>
    <t>693-C2177F-C 0190400113L 芯朋电源方案</t>
  </si>
  <si>
    <t>693-B2113A-C(0190400172)</t>
  </si>
  <si>
    <t>693-C2157B-C(0190400002H)</t>
  </si>
  <si>
    <t>693-C23K1C-PC 0011801720B</t>
  </si>
  <si>
    <t>客户程序变更；现对693-C23K1C-PC 0011801720B  更换产品标贴，擦除Z程序，FCT测试、扫描，烧录Z程序数据，FCT测试、扫描，贴标签、MES标签link，目检，包装出货,数量169pcs</t>
  </si>
  <si>
    <t>693-C2213C-PC 0190400102B</t>
  </si>
  <si>
    <t>693-C2213A-PC 0190400102C</t>
  </si>
  <si>
    <t>693-C2213B-PC 0190400102D</t>
  </si>
  <si>
    <t>客户反馈海信洗衣机8588有WIFI ID错误的产品，现对库存32pcs及顺德青岛事业部寄回6pcs，共38pcs进行FCT测试返工。</t>
  </si>
  <si>
    <t>倍世415改制415A，返工升级程序，更换支架和标签，返工数量48。</t>
  </si>
  <si>
    <t>为满足型检样机需求，现将615改制为615C，更换产品标贴，烧录Z程序数据，拆外壳link绑定，读取并确认检验和无误后FCT测试、目检包装出货,数量12pcs</t>
  </si>
  <si>
    <t>693-C2328C-PC 0190400534B</t>
  </si>
  <si>
    <t>客户通知Z1程序升级，现对693-C2328C-PC 0190400534B 更换产品标贴，烧录Z1程序数据，读取并确认检验和无误后FCT测试,然后目检包装，数量441pcs</t>
  </si>
  <si>
    <t>693-B2301C-PC 0041801545A</t>
  </si>
  <si>
    <t>接客户通知需要升级主程序，客户处成品已完成升级主程序，现返回厂内更换客户标签，数量1154pcs。</t>
  </si>
  <si>
    <t>接客户通知需要升级主程序，现将库存升级主程序，更换客户标签，FCT测试合格后包装，数量1000pcs。</t>
  </si>
  <si>
    <t>库存品，现将693-B2286B-D 0021800442A 烧录空程序，FCT1，烧录最新主程序，FCT2上电目检灯珠是否全亮，显示屏是否有阴影，异物，更换标签、LINK绑定，目检包装发货,数量5031pcs</t>
  </si>
  <si>
    <t>客户端程序升级，现对693-C2336A-PC 0190400507 更换产品标贴，升级程序，FCT测试无误后，目检包装出货,数量172pcs</t>
  </si>
  <si>
    <t>接客户通知需要升级主程序，现将库存升级主程序，更换客户标签，FCT测试合格后包装，数量1200pcs。</t>
  </si>
  <si>
    <t>693-C2393A-PC 0011801640</t>
  </si>
  <si>
    <t>客户EE程序升级；现对 693-C2393A-PC 0011801640更换产品标贴，擦除EE程序，烧录EE程序数据，EE程序校验、扫描，FCT测试、扫描，贴标签、MES标签link，目检，包装出货,数量52pcs</t>
  </si>
  <si>
    <t>客户要求228CA变更标签位置，现进行返工更换标签，目检后包装，返工数量1178。</t>
  </si>
  <si>
    <t>倍世415B改制415A，返工升级程序，更换支架和标签，返工数量48。</t>
  </si>
  <si>
    <t>客户通知升级主程序，现对615B 更换产品标贴，烧录Z程序数据，读取并确认检验和无误后FCT测试、目检包装出货,数量44pcs</t>
  </si>
  <si>
    <t>693-C2328F-PC 0190400534AA</t>
  </si>
  <si>
    <t>为满足出货要求，现将693-C2328E-PC 0190400534C改制成534AA，更换产品标贴，烧录Z1程序数据，读取并确认检验和无误后FCT测试,然后目检包装，数量75pcs</t>
  </si>
  <si>
    <t>693-C2172A-PC 0011801270A</t>
  </si>
  <si>
    <t>1270A返工更换变压器，粘贴MES标签，更换客户标签，FCT合格后包装出货，数量152pcs.</t>
  </si>
  <si>
    <t>1323-C2209B-D 0011800607S</t>
  </si>
  <si>
    <t>研发试流CON1位号新厂家线束，波峰焊过炉后线束开裂；现对1323-C2209B-D 0011800607S 更换CON1位号线束，清理焊点、目检无误后AVI站投板通拉,数量94pcs</t>
  </si>
  <si>
    <t xml:space="preserve"> </t>
  </si>
  <si>
    <t>693-C2238B-PC 0011800977S</t>
  </si>
  <si>
    <t>贴片光耦不良；现对 693-C2238B-PC 0011800977S    FCT测试、扫描，目检包装出货；库存：2691pcs</t>
  </si>
  <si>
    <t>贴片光耦不良；现对 693-C2317B-PC 0011800977R  FCT测试、扫描，目检包装出货；库存：353pcs</t>
  </si>
  <si>
    <t>DIP10</t>
  </si>
  <si>
    <t>贴片光耦不良；现对 693-C2238B-PC 0011800977S    FCT测试、扫描，目检包装出货；胶州退回库存：2230pcs</t>
  </si>
  <si>
    <t>415B产品发送倍世，软硬件一致，仅标签不一样，所以需要返工更换标签，返工数量567。</t>
  </si>
  <si>
    <t>415产品发送倍世，软硬件一致，仅标签不一样，所以需要返工更换标签，返工数量420。</t>
  </si>
  <si>
    <t>DIP08</t>
  </si>
  <si>
    <t>客户紧急订单需求；现对693-C2256D-PC 0011801123H ，更换CN6、CN11'、CN5‘ 更新EE程序、改制成693-C2256E-PC 0011801123J 后测试 目检，包装出货,数量150pcs</t>
  </si>
  <si>
    <t>客户紧急订单需求；现对693-C2256D-PC 0011801123H ，更换CN6、CN11'、CN5‘ 更新EE程序、改制成693-C2256E-PC 0011801123J 后测试 目检，包装出货,数量200pcs</t>
  </si>
  <si>
    <t>售后备件需求；现对 693-B2379A-D 0011801716  FCT全显测，更换包材、目检，包装出货,数量1455pcs</t>
  </si>
  <si>
    <t>693-B2363A-D 0011801125</t>
  </si>
  <si>
    <t>售后备件需求；现对 693-B2363A-D 0011801125  FCT全显测，更换包材、目检，包装出货,数量100pcs</t>
  </si>
  <si>
    <t>客户通知升级主程序，现对500323-C24D2A-D 0021800616B 更换产品标贴，烧录Z程序数据，读取并确认检验和无误后FCT测试、目检包装出货,数量1084pcs</t>
  </si>
  <si>
    <t>693-B2275A-PC 0031800386JL 重庆</t>
  </si>
  <si>
    <t>386JL合肥改制重庆，在制品直接更换标签，数量5000。</t>
  </si>
  <si>
    <t>光耦来料不良；现对693-C2357A-PC 0011800980K  位号IC3,IC6,IC7,IC10贴片光耦进行筛选周期，目检、包装出货,库存数量：705pcs</t>
  </si>
  <si>
    <t>客户通知Z1程序升级，现对693-C2385A-PC 0190400556  更换产品标贴，烧录Z1程序数据，读取并确认检验和无误后FCT测试,然后目检包装，数量421pcs</t>
  </si>
  <si>
    <t>为满足型检样机需求，现将615改制为615C，更换产品标贴，烧录Z程序数据，拆外壳link绑定，读取并确认检验和无误后FCT测试、目检包装出货,数量8pcs</t>
  </si>
  <si>
    <t>693-C2317A-PC 0011800977P</t>
  </si>
  <si>
    <t>贴片光耦不良；现对 693-C2317A-PC 0011800977P   更换IC5光耦，FCT测试、扫描，目检包装出货；库存：1651pcs</t>
  </si>
  <si>
    <t>693-B2301A-PC  0041801545</t>
  </si>
  <si>
    <t>693-B2301A-PC  0041801545 客户端出现20多台因为芯片翘脚虚焊导致开机自动关机的问题需要返工，先CCD外观检查（位号IC12），再FCT测试，注意测试时压缩机是否工作，测试好后继续通电运行至少10s观察是否自动关机，数量163。</t>
  </si>
  <si>
    <t>售后备件需求；现对 693-B2379A-D 0011801716  FCT全显测，更换包材、目检，包装出货,数量1272pcs</t>
  </si>
  <si>
    <t>因供应商来料错料，现对1545更换CN8、CN10两个插座，FCT测试合格后，目检包装，数量533。</t>
  </si>
  <si>
    <t>500323-C24I8B-PC 0011801606M</t>
  </si>
  <si>
    <t>青岛事业部呆滞库存消耗；现对500323-C24I8A-PC 0011801606L 更换产品标贴，更换硬件，清理焊点、补漆、点胶，目检，烧录程序及校验，改制成500323-C24I8B-PC 0011801606M后，贴新标签、FCT测试、目检包装出货,数量5PCS（研发改制）</t>
  </si>
  <si>
    <t>23年库存品，没有link绑定mes信息；现对693-C2260C-PC 0011801256M 将客户标签同MES标签进行link绑定，目检包装出货,数量：198pcs</t>
  </si>
  <si>
    <t>500325-C2402D-D 888001871-415C</t>
  </si>
  <si>
    <t>500325-C2402E-D 888001870-415D</t>
  </si>
  <si>
    <t>客户技改；现对693-C2250A-PC 0011800980J   CN14焊盘电白硅胶覆盖焊盘，目检包装出货,库存数量588pcs</t>
  </si>
  <si>
    <t>客户技改；现对693-C2373A-PC  0011800980E CN14焊盘电白硅胶覆盖焊盘，目检包装出货,库存数量2173pcs</t>
  </si>
  <si>
    <t>客户技改；现对693-C2373B-PC  0011800980F CN14焊盘电白硅胶覆盖焊盘，目检包装出货,库存数量1596pcs</t>
  </si>
  <si>
    <t>1323-C2302A-PC 0011801644</t>
  </si>
  <si>
    <t>客户喷漆区域升级；现对 1323-C2302A-PC 0011801644 重新喷漆，紫光灯目检，目检、包装出货,数量1666pcs</t>
  </si>
  <si>
    <t>客户反馈693-B2286A-D 0021800442G 显示板颜色有差异，现需要厂内进行返工筛选后发货。</t>
  </si>
  <si>
    <t>693-C23C6C-PC 0011801119Q</t>
  </si>
  <si>
    <t>客户紧急订单需求；现对 693-C23C6B-PC 0011801119P 更新EE程序，更换客户标签，link绑定，改制成 693-C23C6C-PC 0011801119Q后  FCT测试、 目检，包装出货,数量5pcs</t>
  </si>
  <si>
    <t>客诉产品运输散板；现对 693-B2379A-D 0011801716 更换包装方式、目检，包装出货,数量3072pcs</t>
  </si>
  <si>
    <t>光耦来料不良；现对 693-C2256E-PC 0011801123J 更换IC6,目检、FCT测试、补漆、 目检，包装出货,数量168（在产线）+725（青岛事业部退回）</t>
  </si>
  <si>
    <t>光耦来料不良；现对 693-A2182A-PC 0011800807  进行IC6不良周期筛选，不良品更换IC6,目检、FCT测试、补漆、 目检，包装出货,数量1104pcs；</t>
  </si>
  <si>
    <t>光耦来料不良；现对 693-A2180G-PC 0011800646L 更换IC6,目检、FCT测试、补漆、 目检，包装出货,数量120pcs；</t>
  </si>
  <si>
    <t>光耦来料不良；现对693-C2256D-PC 0011801123H 更换IC6,目检、FCT测试、补漆、 目检，包装出货,数量3776pcs</t>
  </si>
  <si>
    <t>倍世415改制415D，返工升级程序，更换支架和标签，返工数量89。</t>
  </si>
  <si>
    <t>倍世415B改制415D，返工升级程序，更换支架和标签，返工数量263。</t>
  </si>
  <si>
    <t>倍世415A改制415C，返工升级程序，更换支架和标签，返工数量350。</t>
  </si>
  <si>
    <t>600208-C2404A-D 70051649</t>
  </si>
  <si>
    <t>为满足发货需求，现将615A俄罗斯改制为615土耳其，更换标签，目检包装，数量25pcs.</t>
  </si>
  <si>
    <t>客户通知Z1程序升级，现对228CA 更换产品标贴，烧录Z1程序数据，读取并确认检验和无误后FCT测试,然后目检包装，数量1194pcs.</t>
  </si>
  <si>
    <t>为满足发货需求，现将616B改制为616C，更换产品标贴，烧录Z程序数据，更换外壳，读取并确认检验和无误后FCT测试、目检包装出货,数量90pcs</t>
  </si>
  <si>
    <t>693-A2178G-PC 0011800612L</t>
  </si>
  <si>
    <t>23年库存品，没有link绑定mes信息；现对693-A2178G-PC 0011800612L 将客户标签同MES标签进行FCT测试、link绑定、目检包装出货,数量：226pcs</t>
  </si>
  <si>
    <t>693-B2430A-P 0041800569</t>
  </si>
  <si>
    <t>帮合肥工厂返工，更换标贴位置，工时挂合肥工厂</t>
  </si>
  <si>
    <t>693-C23B6E-PC 0041801136D</t>
  </si>
  <si>
    <t>1136D客户端反馈EE漏烧录，需要返工筛选，库存品要退站走MES，灌胶后的功能测用MES管控，同时增加外观检，数量100pcs。</t>
  </si>
  <si>
    <t>693-C23B6F-PC 0041801136E</t>
  </si>
  <si>
    <t>1136E客户端反馈EE漏烧录，需要返工筛选，库存品要退站走MES，灌胶后的功能测用MES管控，同时增加外观检，数量100pcs。</t>
  </si>
  <si>
    <t>374 返工检查LED是否不良，并且更换外箱。</t>
  </si>
  <si>
    <t>发欧洲备件；现对 693-C2256E-PC 0011801123J   剪断J2跳线,SW2拨码开关2和4拨至ON、目检、SW2顶部打胶（客户提供）、 目检，包装出货,数量84pcs</t>
  </si>
  <si>
    <t>发欧洲备件；现对693-C2256D-PC 0011801123H 剪断J2跳线,SW2拨码开关2和4拨至ON、目检、SW2顶部打胶（客户提供）、 目检，包装出货,数量25pcs</t>
  </si>
  <si>
    <t>发欧洲备件；现对693-C2256D-PC 0011801123H 剪断J2跳线,SW2拨码开关2和4拨至ON、目检、SW2顶部打胶（客户提供）、 目检，包装出货,数量231pcs</t>
  </si>
  <si>
    <t>发欧洲备件；现对693-C2256D-PC 0011801123H 剪断J2跳线,SW2拨码开关2和4拨至ON、目检、SW2顶部打胶（客户提供）、 目检，包装出货,数量62pcs</t>
  </si>
  <si>
    <t>1136D改制1136E，返工升级程序，更换标签，返工数量10。</t>
  </si>
  <si>
    <t>发胶州备件；现对693-C2256D-PC 0011801123H 取产品、目检、装气泡袋、纸箱包装出货,数量336pcs</t>
  </si>
  <si>
    <t>发胶州备件；现对693-A2180G-PC 0011800646L  取产品、目检、装气泡袋、纸箱包装出货,数量51pcs</t>
  </si>
  <si>
    <t>客户紧急订单需求；现对693-C2342A-PC 0011801256S 更换产品标贴，拆除C2、CN25、CN14、应急按键板，更换IC1存储芯片，新增SW1按键，清理焊点、补漆、点胶，目检，擦除Z程序，FCT测试、Z程序烧录，烧录EE程序，EE程序校验、FCT测试、改制成693-C2260D-PC 0011801256R 后，贴新标签link绑定、目检包装出货,数量10PCS</t>
  </si>
  <si>
    <t>693-C2342A-PC 0011801256S</t>
  </si>
  <si>
    <t>库存品，没有link绑定mes信息；现对693-C2342A-PC 0011801256S   新增mes标签，更换客户标签，将客户标签同MES标签进行link绑定，目检包装出货,数量：15pcs</t>
  </si>
  <si>
    <t>500323-C2496A-PC 0011801423AS</t>
  </si>
  <si>
    <t>客户订单紧急需求；现对 693-C2394A-PC 0011801423AB 更换产品标贴，拆除CN18,更换IPM1,IG1,D1,BG1,IC5,FUSE3,IPM1_A(支架)，清洗焊点，EE程序烧录、EE程序校验，FCT测试,补漆，贴新标签，LINK绑定后目检包装出货；数量：10PCS</t>
  </si>
  <si>
    <t>研发物料选型错误；现对693-C23K1A-PC 0011801720 更换K2,K3,K4,K5,K6,K7继电器，洗板、目检焊点、FCT测试、补漆、目检、包装出货,数量50pcs</t>
  </si>
  <si>
    <t>C301、CN17物料不符合客户备案要求，现对1323-C2205B-PC 0011801036B  更换C301、CN17、清洗焊点、FCT测试、补漆、目检、包装出货,数量124pcs</t>
  </si>
  <si>
    <t>客户技改；现对693-A2311B-PC 0151800561BBB  产品更换N11三极管，清洗焊点，FCT，补漆、目检，包装出货,数量:150pcs</t>
  </si>
  <si>
    <t>客户技改；现对693-A2311A-PC 0151800561BBA产品更换N11三极管，清洗焊点，FCT，补漆、目检，包装出货,数量:66pcs</t>
  </si>
  <si>
    <t>693-B23E9A-PC 0011801583K</t>
  </si>
  <si>
    <t>客户EE程序升级；现对 693-B23E9A-PC 0011801583K更新EE程序和,校验E方程序，FCT测试、更换客户标签及外箱标签，目检包装出货,数量：3708PCS</t>
  </si>
  <si>
    <t>客户程序升级；现对1323-C2306A-PC 0011801652  更换产品标贴，擦除Z程序，FCT测试，Z程序烧录、EE程序烧录、EE程序校验，FCT测试,贴新标签，LINK绑定后目检包装出货；数量：926PCS</t>
  </si>
  <si>
    <t>客户程序升级；现对693-C23I1A-PC 0011801652A 更换产品标贴，擦除Z程序，FCT测试，Z程序烧录、EE程序烧录、EE程序校验，FCT测试,贴新标签，LINK绑定后目检包装出货；数量：115PCS</t>
  </si>
  <si>
    <t>客户EE程序升级；现对693-C23I3A-PC 0011801656 更新EE程序和,校验E方程序，FCT测试、更换客户标签及外箱标签，目检包装出货,数量：库存1744PCS+在制待包装720pcs+系统无账30pcs</t>
  </si>
  <si>
    <t>青岛事业部呆滞库存消耗交售后备件；现对693-A2178J-PC 0011800612M   更换产品标贴，更换C15风机电容，新增端子线束，清理焊点、补漆、点胶，目检，烧录Z程序，Z程序校验，烧录EE程序，EE程序校验改制成693-A2178F-PC 0011800612F 后，贴新标签、FCT测试、目检包装出货,数量580PCS</t>
  </si>
  <si>
    <t>客户主程序升级；现对693-B2201I-PC 0011801424W  更新Z程序，FCT测试、更换客户标签及外箱标签，目检包装出货,数量：库存161pcs</t>
  </si>
  <si>
    <t>500323-C24A3A-PC 0011801850</t>
  </si>
  <si>
    <t>客户订单紧急需求；现对 500323-C24A3B-PC 0011801850A 更换产品标贴，更换RV1，清洗焊点，新EE程序烧录、EE程序校验，FCT测试改制成500323-C24A3A-PC 0011801850后,补漆，贴新标签，LINK绑定后目检包装出货；数量：100PCS</t>
  </si>
  <si>
    <t>客户紧急订单需求；现对500323-C24I8A-PC 0011801606L 更换标签，更新Z程序，烧录EE程序，改制为500323-C24I8B-PC 0011801606M后，EE程序校验，FCT测试、扫描，贴标签，link绑定，目检扫描、包装入库,数量5pcs</t>
  </si>
  <si>
    <t>527D缺料使用527B改制，更换支架，更新程序，满足发货需求。</t>
  </si>
  <si>
    <t>研发物料选型错误；现对693-C23K1A-PC 0011801720 更换标签，更换K2,K3,K4,K5,K6继电器，洗板、目检焊点、FCT测试、补漆、贴标签link绑定，目检、包装出货,数量2475pcs</t>
  </si>
  <si>
    <t>国外售后备件需求；现对 1323-C2302A-PC 0011801644 取产品更换包装方式，目检、包装出货,数量100pcs</t>
  </si>
  <si>
    <t>客户EE程序升级；现对500323-C24A9A-PC 0011801490S 更换产品标贴，EE程序烧录、EE程序校验，FCT测试,贴新标签，LINK绑定后目检包装出货；数量：198PCS</t>
  </si>
  <si>
    <t>因供应商来料错料，现对1545更换CN8、CN10两个插座，FCT测试合格后，目检包装，数量760。</t>
  </si>
  <si>
    <t>研发改制需求表有误；现对693-C23K1A-PC 0011801720 更换标签，拆除K7继电器，洗板、目检焊点、FCT测试、补漆、贴标签link绑定，目检、包装出货,数量45pcs</t>
  </si>
  <si>
    <t>海尔客户技改更换PTC1；现对693-C2377A-PC 0011801303 更换PTC1，清理焊点，补漆，目检，补漆，组装，包装,数量100PCS</t>
  </si>
  <si>
    <t>693-C2172E-PC 0011800377Y</t>
  </si>
  <si>
    <t>客户订单需求；现对693-C2172E-PC 0011800377Y 增加MES标签，更换包装方式，目检、包装出货,数量436pcs</t>
  </si>
  <si>
    <t>青岛事业部呆滞库存消耗；现对693-A2180D-PC 0011800646M 更换产品标贴，更换E7、LX1，新增K2、D4、CN43,CN44、CN11’物料，清理焊点、补漆、E7点胶，目检，Z程序覆盖擦除、FTC测试、烧录Z程序，烧录EE程序，EE程序校验改制成693-A2180A-PC 0011800646A 后，贴新标签、FCT测试、目检包装出货,数量1045PCS</t>
  </si>
  <si>
    <t>500323-C24I2A-D 0011801917</t>
  </si>
  <si>
    <t>客户通知Z程序升级，现对500323-C24I2A-D 0011801917  更换产品标贴，烧录Z程序数据，读取并确认检验和无误后FCT测试,然后目检包装，数量72pcs</t>
  </si>
  <si>
    <t>客户订单需求；现对693-A2180A-PC 0011800646A   更换CN5,目检、EE程序烧录，EE程序校验，FCT测试、更换标签，补漆、 目检，包装出货,数量2pcs</t>
  </si>
  <si>
    <t>500323-C24H8A-PC 0011801903A</t>
  </si>
  <si>
    <t>客户程序升级；现对500323-C24H8A-PC 0011801903A 烧录Z程序，主程序校验,烧录EE程序，EE程序检验，更换产品标签link绑定，目检，主程序校验，EE程序检验，包装出货,数量282pcs</t>
  </si>
  <si>
    <t>发ROE售后品；现对693-C2256D-PC 0011801123H 剪断J2跳线,SW2拨码开关2拨至ON、目检、SW2顶部打胶（客户提供）、 目检，包装出货,数量690pcs</t>
  </si>
  <si>
    <t>发ROE售后品；现对693-C2256D-PC 0011801123H 剪断J2跳线,SW2拨码开关2和4拨至ON、目检、SW2顶部打胶（客户提供）、 目检，包装出货,数量20pcs</t>
  </si>
  <si>
    <t>发意大利贸易公司售后品；现对693-C2256D-PC 0011801123H 剪断J2跳线,SW2拨码开关2和4拨至ON、目检、SW2顶部打胶（客户提供）、 目检，包装出货,数量1000pcs</t>
  </si>
  <si>
    <t>发意大利贸易公司售后品；现对693-C2256D-PC 0011801123H 剪断J2跳线,SW2拨码开关2拨至ON、目检、SW2顶部打胶（客户提供）、 目检，包装出货,数量4790pcs</t>
  </si>
  <si>
    <t>693-B2287C-PC 0190400359AA</t>
  </si>
  <si>
    <t>为满足出货要求，现将359A改制成359AA，更换产品标贴，烧录Z1程序数据，读取并确认检验和无误后FCT测试,然后目检包装，数量100pcs</t>
  </si>
  <si>
    <t>201-A2381D-X 2320393 干衣机面板(全球白)</t>
  </si>
  <si>
    <t>客户通知海信洗衣机201-A2381D需要升级程序，现对库存及客户退回产品，共755pcs进行返工升级。</t>
  </si>
  <si>
    <t>发土耳其（散件）售后品；现对693-A2180G-PC 0011800646L 剪断J2跳线,SW2拨码开关2和4拨至ON、目检、SW2顶部打胶（客户提供）、 目检，包装出货,数量1810pcs</t>
  </si>
  <si>
    <t>发土耳其（散件）售后品；现对693-A2180G-PC 0011800646L 剪断J2跳线,SW2拨码开关2拨至ON、目检、SW2顶部打胶（客户提供）、 目检，包装出货,数量455pcs</t>
  </si>
  <si>
    <t>客户EE程序升级；现对 693-C2250A-PC 0011800980J 更换产品标贴，EE程序擦除，EE程序烧录、EE程序校验，FCT测试,贴新标签，LINK绑定后目检包装出货；数量：1221PCS</t>
  </si>
  <si>
    <t>接客户通知，客户标签中客户料号后三位595打印模糊，现返回厂内更换客户标签，数量278pcs。</t>
  </si>
  <si>
    <t>103客户端反馈需要升级程序，现对库存品进行升级，FCT测试合格后目检包装。</t>
  </si>
  <si>
    <t>500323-C24D2C-D 0021800616A</t>
  </si>
  <si>
    <t>为满足客户出货需求，现将616B改制为616A，更换产品标贴，烧录Z程序数据，更换外壳，读取并确认检验和无误后FCT测试、目检包装出货,数量12pcs</t>
  </si>
  <si>
    <t>693-B2301D-PC 0041801545C</t>
  </si>
  <si>
    <t>由于运输过程成品散落，需要重新测试FCT后目检出货，数量300。</t>
  </si>
  <si>
    <t>由于运输过程成品散落，需要重新测试FCT后目检出货，数量150。</t>
  </si>
  <si>
    <t>693-C2256C-PC 0011801123G</t>
  </si>
  <si>
    <t>成品库存无link绑定信息；现对693-C2256C-PC 0011801123G 更换标签，退站重新link绑定mes，FCT、目检包装出货,数量15pcs</t>
  </si>
  <si>
    <t>500269-C2408A-X 2447564 全球白 新欧标</t>
  </si>
  <si>
    <t>客户通知海信洗衣机201-A2381D需要升级程序改制成500269-C2408A，现对库存及客户退回产品，共755pcs进行返工升级。</t>
  </si>
  <si>
    <t>500323-C2496F-PC 0011801423T</t>
  </si>
  <si>
    <t>客户主程序升级；现对500323-C2496F-PC 0011801423T   更新Z程序，Z程序读取校验，FCT测试、更换客户标签及外箱标签，目检包装出货,数量：库存200pcs</t>
  </si>
  <si>
    <t>客户EE程序升级；现对693-A2179H-PC 0011800630S  更换产品标贴，擦除EE程序并校验、烧录EE程序并校验、扫描，FCT测试、扫描,贴标签、link，目检，包装出货,数量：316PCS</t>
  </si>
  <si>
    <t>合肥工厂产品，IPM透锡不良；现对693-C2246AG-PC 0011801172CH   目检,测试,目检，包装出货,数量：413PCS</t>
  </si>
  <si>
    <t>500323-C24A5A-PC 0011801583P</t>
  </si>
  <si>
    <r>
      <rPr>
        <sz val="11"/>
        <rFont val="等线"/>
        <family val="3"/>
        <charset val="134"/>
        <scheme val="minor"/>
      </rPr>
      <t>客户EE程序升级；现对</t>
    </r>
    <r>
      <rPr>
        <sz val="11"/>
        <color theme="1"/>
        <rFont val="等线"/>
        <family val="3"/>
        <charset val="134"/>
        <scheme val="minor"/>
      </rPr>
      <t>500323-C24A5A-PC 0011801583P</t>
    </r>
    <r>
      <rPr>
        <sz val="11"/>
        <color theme="1"/>
        <rFont val="等线"/>
        <family val="3"/>
        <charset val="134"/>
        <scheme val="minor"/>
      </rPr>
      <t>更换产品标贴，擦除EE程序并校验、烧录EE程序并校验、扫描，FCT测试、扫描,贴标签、link，目检，包装出货,数量：197PCS</t>
    </r>
  </si>
  <si>
    <t>693-C23K4A-PC 0011800997TD</t>
  </si>
  <si>
    <t>客户EE程序升级；现对693-C23K4A-PC 0011800997TD 更换产品标贴，擦除EE程序并校验、烧录EE程序并校验、扫描，FCT测试、扫描,贴标签、link，目检，包装出货,数量：60PCS</t>
  </si>
  <si>
    <t>合肥洗衣机反馈SW3按键浮高，现对库存进行按键打磨后，目检后包装扫描。</t>
  </si>
  <si>
    <r>
      <rPr>
        <sz val="11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ECO</t>
    </r>
  </si>
  <si>
    <t>客户EE程序升级；现对693-A2210G-PC 0011801372G 更换产品标贴，擦除EE程序并校验、烧录EE程序并校验、扫描，FCT测试、扫描,贴标签、link，目检，包装出货,数量：573PCS</t>
  </si>
  <si>
    <t>693-B23K2A-PC 0011801482</t>
  </si>
  <si>
    <t>研发bom建错；现对1482更换正确的X电容（CX1、CX2），然后进行FCT测试、目检包装出货,数量1520pcs.</t>
  </si>
  <si>
    <t>693-C2216E-D 0011800324</t>
  </si>
  <si>
    <t>客户紧急订单需求，现对693-C2216H-D 0011800324N 更换MES标签，更换CN1线束，更换产品标签，改制成 693-C2216E-D 0011800324 后测试，link绑定、补漆，目检包装出货。数量：16 PCS.</t>
  </si>
  <si>
    <t>客户硬件及EE程序升级；现对500323-C24A9A-PC 0011801490S  更换产品标贴，更换CY6,擦除EE程序并校验、烧录EE程序并校验、扫描，FCT测试、扫描,贴标签、link，目检，包装出货,数量：229PCS</t>
  </si>
  <si>
    <t>693-C2246A-PC 0011801172AG</t>
  </si>
  <si>
    <t>替代料桥堆（10140007103 ）规格书公差预留过大脖子短，导致1172AG机型插件后浮高；现对693-C2246A-PC 0011801172AG  桥堆引脚加锡、压件、 目检,补漆，测试,目检，包装出货,数量：3175PCS</t>
  </si>
  <si>
    <t>客户通知Z1程序升级，现对693-C2385A-PC 0190400556  更换产品标贴，烧录Z1程序数据，读取并确认检验和无误后FCT测试,然后目检包装，数量783pcs</t>
  </si>
  <si>
    <t>客户主程序升级；现对693-B23E9A-PC 0011801583K 更换产品标贴，擦除Z程序，FCT测试、烧录Z程序，FCT测试、扫描,贴标签、link，目检，包装出货,数量：1941PCS</t>
  </si>
  <si>
    <t>693-C2404A-D 0021800615A(国内)</t>
  </si>
  <si>
    <t>因面膜混料，现将615A俄罗斯改制为615国内发货，升级程序，更换标签，目检包装，数量1386pcs.</t>
  </si>
  <si>
    <t>500323-C24N5A-PC 0151801031C 待老化</t>
  </si>
  <si>
    <t>为满足发货需求，现对1031A更换产品标贴，升级Z和E方程序，改制为1031C，FCT测试无误后、目检包装出货,数量25pcs</t>
  </si>
  <si>
    <t>500323-C24N5A-PC 0151801031C</t>
  </si>
  <si>
    <t>为满足出货要求，现将002H改制成002: 贴MES标签，补MES数据，更换客户标贴，烧录主程序数据，FCT测试无误后，目检包装出货,数量50pcs</t>
  </si>
  <si>
    <t>为满足出货要求，现将001H改制成001B: 贴MES标签，补MES数据，更换客户标贴，烧录主程序数据，FCT测试无误后，目检包装出货,数量50pcs</t>
  </si>
  <si>
    <t>因442GBLED颜色用错，现将442GB改制成442G，更换产品标贴，烧录Z程序数据，读取并确认检验和无误后FCT测试、目检包装出货,数量1000pcs</t>
  </si>
  <si>
    <t>客户LED显示屏膜片升级；现对500323-C24I2A-D 0011801917  更换产品膜片，按压膜片，FCT测试、目检，包装出货,数量：1672PCS</t>
  </si>
  <si>
    <t>因新旧膜片切换问题，现将616改制为616B，更换产品标贴，烧录Z程序数据，更换外壳，读取并确认检验和无误后FCT测试、目检包装出货,数量3129pcs</t>
  </si>
  <si>
    <t>因新旧膜片切换问题，现将616A改制为616B，更换产品标贴，烧录Z程序数据，更换外壳，读取并确认检验和无误后FCT测试、目检包装出货,数量81pcs</t>
  </si>
  <si>
    <t>工工单，数量5161，只调账不返工</t>
  </si>
  <si>
    <t>为消化呆滞库存，现对113M产品更换产品标贴，烧录主程序数据，改制成113G ，FCT测试无误后，目检包装出货,数量50pcs</t>
  </si>
  <si>
    <t>为满足出货要求，现将002H改制成002B: 贴MES标签，补MES数据，更换客户标贴，烧录主程序数据，FCT测试无误后，目检包装出货,数量50pcs</t>
  </si>
  <si>
    <t>为满足发货需求，现对1031A更换产品标贴，升级Z和E方程序，改制为1031C，FCT测试无误后、目检包装出货,数量5pcs</t>
  </si>
  <si>
    <t>为满足售后订单交货，建工单后研发升级后发货。</t>
  </si>
  <si>
    <t>693-C20023F-D 0190400001E</t>
  </si>
  <si>
    <t>为满足出货要求，现将001H改制成001E: 贴MES标签，补MES数据，更换客户标贴，烧录主程序数据，FCT测试无误后，目检包装出货,数量50pcs</t>
  </si>
  <si>
    <t>693-C2177A-C 0190400113F</t>
  </si>
  <si>
    <t>为消化呆滞库存，现对113M产品更换产品标贴，烧录主程序数据，改制成113F ，FCT测试无误后，目检包装出货,数量100pcs</t>
  </si>
  <si>
    <t>693-C20023D-C 0190400002C</t>
  </si>
  <si>
    <t>为满足出货要求，现将002H改制成002C: 贴MES标签，补MES数据，更换客户标贴，烧录主程序数据，FCT测试无误后，目检包装出货,数量50pcs</t>
  </si>
  <si>
    <t>500323-C24A1B-PC 0190400340CA</t>
  </si>
  <si>
    <t>客户通知340CA升级主程序，现对在制品更换产品标贴，烧录Z1程序数据，FCT测试OK后目检包装，数量2195pcs</t>
  </si>
  <si>
    <t>建返工单后研发自行返工，工艺通过返工单录入MES数据。</t>
  </si>
  <si>
    <t>693-C2404A-D 0021800615A(俄罗斯)</t>
  </si>
  <si>
    <t>客户主程序升级；现对693-C2404A-D 0021800615A(俄罗斯) 更换产品标贴，擦除Z程序，FCT测试，烧录Z程序，主程序版本读取，FCT测试，贴标签、link，目检，包装出货,数量：1361CS</t>
  </si>
  <si>
    <t>客户技改；现对693-C2373B-PC  0011800980F CN14焊盘电白硅胶覆盖焊盘，目检包装出货,库存数量574pcs</t>
  </si>
  <si>
    <t>客户技改；现对693-C2373A-PC  0011800980E CN14焊盘电白硅胶覆盖焊盘，目检包装出货,库存数量805pcs</t>
  </si>
  <si>
    <t>客户技改；现对693-C2250A-PC 0011800980J   CN14焊盘电白硅胶覆盖焊盘，目检包装出货,库存数量688pcs</t>
  </si>
  <si>
    <t>客户订单紧急需求；现对 693-B2351F-PC 0011801606F 更换产品标贴，更换mes标签，更换E2，清洗焊点，Z程序擦除，Z程序烧录，FCT测试，EE程序烧录、EE程序校验，FCT测试,补漆，贴新标签，LINK绑定后目检包装出货；数量：10PCS</t>
  </si>
  <si>
    <t>500323-C24P7A-PC 0011801973</t>
  </si>
  <si>
    <t>项目通知重庆青岛事业部1973产品使用纸箱包装出货；现对500323-C24P7A-PC 0011801973 取产品，目检、包装入库,数量525pcs</t>
  </si>
  <si>
    <t>500323-C24F7B-PC 0151801003C</t>
  </si>
  <si>
    <t>500323-C24N5B-PC 0151801031D</t>
  </si>
  <si>
    <t>为满足发货需求，现将615A改制为615，烧测试程序，读取按键初始容值，更换标签，烧写新程序并校验，FCT测试后目检包装，数量500pcs.</t>
  </si>
  <si>
    <t>2025-03-20,CS任瑞焕邮件通知，386JL合肥出货5161pcs销账错误，转仓后需要帮忙建立返</t>
  </si>
  <si>
    <t>售后产品返工。</t>
  </si>
  <si>
    <t>500323-C24I2D-D 0011801917D</t>
  </si>
  <si>
    <t>项目通知1917产品使用纸箱包装出货；现对 500323-C24I2D-D 0011801917D 取产品，目检、包装入库,数量2000pcs</t>
  </si>
  <si>
    <t>693-C20023A-C   0190400002</t>
  </si>
  <si>
    <t>002系列三款产品更换小板，总数量1069pcs</t>
  </si>
  <si>
    <t>693-B2163I-PC    0190400002H</t>
  </si>
  <si>
    <t>693-A2169A
0021800442</t>
  </si>
  <si>
    <t>442系列五款产品切换V码更换标签返工，总数量440pcs</t>
  </si>
  <si>
    <t>客户通知340CA升级主程序，现对在制品更换产品标贴，烧录Z1程序数据，FCT测试OK后目检包装，数量1000pcs</t>
  </si>
  <si>
    <t>693-B2286B
0021800442A</t>
  </si>
  <si>
    <t>693-B2286A
0021800442G</t>
  </si>
  <si>
    <t>为满足发货需求，现将615改制为615A，升级触摸程序和Z程序，更换标签，FCT测试后目检包装，数量1000pcs.</t>
  </si>
  <si>
    <t>客户售后备件需求；现对693-C2256D-PC 0011801123H ，更换E7、LX1 更新EE程序、改制成 693-C2256B-PC 0011801123F   后测试 贴标签、link绑定，目检，包装出货,数量50pcs</t>
  </si>
  <si>
    <t>项目通知1973产品使用纸箱包装出货；现对500323-C24P7A-PC 0011801973 取产品，目检、包装入库,数量150pcs</t>
  </si>
  <si>
    <t>光耦来料不良；现对693-C2256D-PC 0011801123H 更换IC6,目检、FCT测试、补漆、 目检，包装出货,数量174pcs</t>
  </si>
  <si>
    <t>光耦来料不良；现对693-A2182A-PC 0011800807 更换IC6,目检、FCT测试、补漆、 目检，包装出货,数量349pcs</t>
  </si>
  <si>
    <t>客户技改，通知江浩电容不能使用；现对693-C2270A-PC 0011801583A  程序校验和进行筛选确认（江浩厂家须更换），E9,E15电容厂家进行筛选确认（江浩厂家）,目检、FCT测试、补漆、 目检，包装出货,数量1958pcs；</t>
  </si>
  <si>
    <t>为满足样机需求，现将616改制成616G，更换标签，重新关联物联数据，FCT测试后包装，数量50pcs</t>
  </si>
  <si>
    <t>500323-C24F5C-D G0044 0021800615G</t>
  </si>
  <si>
    <t>为满足样机需求，现将615改制成615G，更换标签，重新关联物联数据，FCT测试后包装，数量50pcs</t>
  </si>
  <si>
    <t>693-B2286C-D 0021800442GA</t>
  </si>
  <si>
    <t>500323-C2496C-PC 0011801423AP</t>
  </si>
  <si>
    <t>1423功率器件有胶，有硅胶；现对 500323-C2496C-PC 0011801423AP 取产品，目检、包装入库,数量328pcs</t>
  </si>
  <si>
    <t>500323-C2496E-PC 0011801423AC</t>
  </si>
  <si>
    <t>1423功率器件有胶，有硅胶；现对 500323-C2496A-PC 0011801423AS 取产品，目检、包装入库,数量224pcs</t>
  </si>
  <si>
    <t>1423功率器件有胶，有硅胶；现对 500323-C2496A-PC 0011801423AS 取产品，目检、包装入库,数量274pcs</t>
  </si>
  <si>
    <t>500323-C2496D-PC 0011801423AQ</t>
  </si>
  <si>
    <t>1423功率器件有胶，有硅胶；现对500323-C2496D-PC 0011801423AQ  取产品，目检、包装入库,数量1911pcs</t>
  </si>
  <si>
    <t>关于616系列膜片技改事宜，4/7品质同事发现仍有约580+pcs的616旧膜成品未完成改制，但616B已切换成新膜，无法由616旧膜改616B旧膜消化了。现已确认 对策：不良品仓的580+pcs的616旧膜成品、返工线工单尾单旧膜成品，均返工为原型号产品更换新膜片</t>
  </si>
  <si>
    <t>客户主程序升级；现对500323-C24I2D-D 0011801917D更换产品标贴，擦除Z程序，FCT测试，烧录Z程序，FCT测试、扫描,贴标签、link，目检，包装出货,数量：199PCS</t>
  </si>
  <si>
    <t>项目通知重庆青岛事业部1973产品使用纸箱包装出货；现对500323-C24P7A-PC 0011801973 取产品，目检、包装入库,数量1500pcs</t>
  </si>
  <si>
    <t>500323-C24N9G-PC 0011801490AV</t>
  </si>
  <si>
    <t>1490AV营销要求小批产品粘贴XPYZ标签；现对500323-C24N9G-PC 0011801490AV   取产品，贴标签、目检、包装入库,数量200pcs</t>
  </si>
  <si>
    <t>备件需求，吸塑换纸箱后发货。</t>
  </si>
  <si>
    <t>693-A2178A-PC 0011800612X</t>
  </si>
  <si>
    <t>612X售后备件发货，增加物联数据，FCT测试后包装发货，数量210pcs</t>
  </si>
  <si>
    <t>客户通知340CA升级主程序，现对在制品更换产品标贴，烧录Z1程序数据，FCT测试OK后目检包装，数量2143pcs</t>
  </si>
  <si>
    <t>客户紧急订单需求；现对 693-B23I7A-PC 0011801039AM升级主程序、EE程序烧录、EE程序校验、更换C5,C57电容，FCT测试，补漆、贴标签、link绑定 目检，包装出货,数量69pcs；</t>
  </si>
  <si>
    <t>客户紧急订单需求；现对 693-B23I7B-PC 0011801039AN 升级主程序、EE程序烧录、EE程序校验、更换C5,C57电容，FCT测试，补漆、贴标签、link绑定 目检，包装出货,数量69pcs；</t>
  </si>
  <si>
    <t>因客户紧急售后备件需求，1123H需改制1123F 更换E7/LX1，升级EE程序，FCT测试后包装发货，数量100pcs</t>
  </si>
  <si>
    <t>客诉CN9、CN11插座掉针的情况；现对500323-C24P7A-PC 0011801973 、目检CN9,CN11插座、不良更换、补漆、FCT测试，贴标签、link绑定 目检，包装出货,数量50pcs；</t>
  </si>
  <si>
    <t>青岛事业部出现SW2拨码错的情况；现对693-C23K1C-PC 0011801720B 取产品、目检、包装入库,数量1147pcs</t>
  </si>
  <si>
    <t>1490S电容C33裂；现对500323-C24A9A-PC 0011801490S  取产品、扫描，ICT测试、扫描、目检、扫描、扫描、包装入库,数量3251pcs</t>
  </si>
  <si>
    <t>为满足发货需求，现将615改制为615A，升级触摸程序和Z程序，更换标签，FCT测试后目检包装，数量900pcs.</t>
  </si>
  <si>
    <t>因228CA错料（7815错用7805），从代理仓返回不良批次进行返工筛选，数量1168pcs</t>
  </si>
  <si>
    <t>616A就就膜片改制成新膜片，数量176pcs</t>
  </si>
  <si>
    <t>693-B2201T-PC-0011801424AA</t>
  </si>
  <si>
    <r>
      <rPr>
        <sz val="11"/>
        <rFont val="等线"/>
        <family val="3"/>
        <charset val="134"/>
        <scheme val="minor"/>
      </rPr>
      <t>612X售后备件发货，增加物联数据，FCT测试后包装发货，数量210pcs（</t>
    </r>
    <r>
      <rPr>
        <b/>
        <sz val="11"/>
        <color rgb="FFFF0000"/>
        <rFont val="等线"/>
        <family val="3"/>
        <charset val="134"/>
        <scheme val="minor"/>
      </rPr>
      <t>备注返工文档里就是这么写的</t>
    </r>
    <r>
      <rPr>
        <sz val="11"/>
        <rFont val="等线"/>
        <family val="3"/>
        <charset val="134"/>
        <scheme val="minor"/>
      </rPr>
      <t>）</t>
    </r>
  </si>
  <si>
    <t>C61,C92电容来料不良；现对 500323-C2496D-PC 0011801423AQ 取产品，目检、包装，入库,数量：1792pcs</t>
  </si>
  <si>
    <t>386JL客户端反馈掰角值错误，现对库存和客退品进行筛选，将不良品挑出，修正后包装发货。</t>
  </si>
  <si>
    <t>500323-C24A3B-PC 0011801850A</t>
  </si>
  <si>
    <t>N12三极管击穿；现对500323-C24A3B-PC 0011801850A   更换N12三极管，FCT测试，补漆、 目检，包装出货,数量48pcs；</t>
  </si>
  <si>
    <t>N12三极管击穿；现对500323-C24A3A-PC 0011801850 更换N12三极管，FCT测试，补漆、贴标签、link绑定 目检，包装出货,数量201pcs；</t>
  </si>
  <si>
    <t>1911-C2302D-PC G0044 0011800951B</t>
  </si>
  <si>
    <t>950F/G/B大连青岛事业部取消订单，库存发泰国工厂消化，需更改包材；现对1323-B2207A-P 0011800951B 取产品，目检、包装，改制成1911-C2302D-PC G0044 0011800951B后入库,数量：10pcs</t>
  </si>
  <si>
    <t>合肥工厂产品，IPM透锡不良；现对693-C2246A-PC 0011801172AG   目检,测试,目检，包装出货,数量：5000PCS</t>
  </si>
  <si>
    <t>1911-C2302B-D G0044 0011800950F</t>
  </si>
  <si>
    <t>950F/G/B大连青岛事业部取消订单，库存发泰国工厂消化，需更改包材；现对1323-B2207A-D  0011800950F  取产品，目检、包装，改制成1911-C2302B-D 0011800950F后入库,数量：14237pcs</t>
  </si>
  <si>
    <t>1911-C2302C-D G0044 0011800950G</t>
  </si>
  <si>
    <t>950F/G/B大连青岛事业部取消订单，库存发泰国工厂消化，需更改包材；现对1323-B2207A-L 0011800950G   取产品，目检、包装，改制成1911-C2302C-D G0044 0011800950G后入库,数量：14237pcs（备注返工文档里就是这么写的）</t>
  </si>
  <si>
    <t>客户主程序升级；现对500323-C2508A-PC 0011801824  更换产品标贴，擦除Z程序，FCT测试、烧录Z程序，FCT测试、扫描,贴标签、link，目检，包装出货,数量：200PCS</t>
  </si>
  <si>
    <t>386JL备件更换包装后发货。</t>
  </si>
  <si>
    <t>客户技改；现对 693-C2256C-PC 0011801123G  升级主程序、EE程序烧录、EE程序校验、更换CN36插座，FCT测试，补漆、贴标签、link绑定 目检，包装出货,数量9pcs；</t>
  </si>
  <si>
    <t>客户EE程序升级；现对500323-C24N9H-PC 0011801490AZ 更换产品标贴，,擦除EE程序并校验、烧录EE程序并校验、扫描，FCT测试、扫描,贴标签、link，目检，包装出货,数量：958PCS</t>
  </si>
  <si>
    <t>客户通知升级程序，现将442G升级主程序后FCT测试合格，再包装发货，数量2281pcs.</t>
  </si>
  <si>
    <t>客户紧急订单需求；现对693-C2216H-D 0011800324N，更换CN1 和客户标签，CN1焊盘去胶，拆件打孔、焊件，洗板补漆，改制成 693-C2216F-D 0011800324T 后测试、贴标签、目检，包装出货,数量800pcs</t>
  </si>
  <si>
    <t>112A返工增加物联数据，粘贴MES标签，更换客户标签，FCT合格后包装出货，数量78pcs.</t>
  </si>
  <si>
    <t>500268-B2502A-DRV G0020 1223171 H7B1256&amp;</t>
  </si>
  <si>
    <t>日立PV2206H标签软件校验和少一位 0 ,返工更换标签，数量50pcs.</t>
  </si>
  <si>
    <t>海尔客户技改更换PTC1；现对693-C2377A-PC 0011801303 更换PTC1，清理焊点，补漆，目检，补漆，组装，包装,数量41PCS</t>
  </si>
  <si>
    <t>smt欠板，现对693-B2201O-PC 0011801424AF 更换MES标签及产品标贴，烧录最新EE程序数据，EE程序校验，改制成0011801424AE后，贴标签link、目检包装出货,数量5pcs</t>
  </si>
  <si>
    <t>693-C2302A-PC 0011800879P</t>
  </si>
  <si>
    <t>客户紧急订单需求；现对  693-C2302B-PC 0011800879N升级EE程序烧录、EE程序校验、更换CY5,CY501,CY502,CN18，改制为693-C2302A-PC 0011800879P后FCT测试，补漆、贴标签、link绑定 目检，包装出货,数量3pcs；</t>
  </si>
  <si>
    <t>374 返工更换外箱。</t>
  </si>
  <si>
    <t>为满足出货要求，现将002H改制成002D: 贴MES标签，补MES数据，更换客户标贴，烧录主程序数据，FCT测试无误后，目检包装出货,数量30pcs</t>
  </si>
  <si>
    <t>客户紧急订单需求；现对693-C2216H-D 0011800324N，更换CN1 和客户标签，CN1焊盘去胶，拆件打孔、焊件，洗板补漆，改制成 693-C2216F-D 0011800324T 后测试、贴标签、目检，包装出货,数量50pcs</t>
  </si>
  <si>
    <t>客户通知340CA升级主程序，现对在制品更换产品标贴，烧录Z1程序数据，FCT测试OK后目检包装，数量951pcs</t>
  </si>
  <si>
    <t>1545更换散热器后年检，FCT测试合格后，目检包装，数量13。</t>
  </si>
  <si>
    <t>500323-C24F8C-PC 0011801852D</t>
  </si>
  <si>
    <t>客户EE程序升级；现对500323-C24F8C-PC 0011801852DATE自动烧录EE程序，EE校验，FCT测试，FCT工位投板测试后正常通拉,数量198pcs；</t>
  </si>
  <si>
    <t>OBA检出功率器件翘起，沾漆不良；现对 500323-C24A9A-PC 0011801490S   取产品，目检、包装，入库,数量：4900pcs</t>
  </si>
  <si>
    <t>1545D因R169贴片电阻撞件，现库存100加上代理返回的300，共计400pcs需要返工，请出具返工工单，用万用表量测R168、R169、R170这三个位号，值在范围内是正常的，测不住值或者测试的值不在范围内未不良需要更换贴片电阻</t>
  </si>
  <si>
    <t>501649-B2401B-BMS 二级主控-GD32E505-BMS-150&amp;</t>
  </si>
  <si>
    <t>客户程序更新；现对501649-B2401B-BMS 二级主控程序擦除，FCT测试，程序烧录、后FCT测试、 目检，包装出货,数量175pcs；</t>
  </si>
  <si>
    <t>客户通知359AA升级程序，现将库存更换产品标贴，烧录Z1程序数据，读取并确认检验和无误后FCT测试,然后目检包装，数量137pcs</t>
  </si>
  <si>
    <t>零星客退品质高经理清不良品库存</t>
  </si>
  <si>
    <t>客户紧急订单需求；现对  693-C2302B-PC 0011800879N升级EE程序烧录、EE程序校验、更换CY5,CY501,CY502,CN18，改制为693-C2302A-PC 0011800879P后FCT测试，补漆、贴标签、link绑定 目检，包装出货,数量78pcs；</t>
  </si>
  <si>
    <t>为满足出货要求，现将359A改制成359AA，更换产品标贴，烧录Z1程序数据，读取并确认检验和无误后FCT测试,然后目检包装，数量508pcs</t>
  </si>
  <si>
    <t>青岛事业部消呆；现对 693-C20033A-PC 0011800977C  升级EE程序烧录、EE程序校验、更换CN4,CN17,新增CN5，改制为 693-C20015A 0011800977B  后FCT测试，补漆、贴标签、link绑定 目检，包装出货,数量263pcs；</t>
  </si>
  <si>
    <t>500323-C24A5B-PC 0011801583X</t>
  </si>
  <si>
    <t>1583X的因为正面板边有漆造成青岛事业部装配困难；现对 500323-C24A5B-PC 0011801583X   取产品，目检、包装，入库,数量：18178pcs</t>
  </si>
  <si>
    <t>1323-B2207A-D  0011800950F</t>
  </si>
  <si>
    <t>950F/G/B大连青岛事业部取消订单，库存发泰国工厂消化，需更改包材；其中761漏关联，重新关联。</t>
  </si>
  <si>
    <t>海信2407屏幕来料不良，且厂内无法有效测试拦截，现返工更换新屏幕，数量178pcs.</t>
  </si>
  <si>
    <t>因228CA错料（7815错用7805），厂内库存+从代理仓返回不良批次进行返工筛选，数量877pcs</t>
  </si>
  <si>
    <t>客户通知340CA升级主程序，现对在制品更换产品标贴，烧录Z1程序数据，FCT测试OK后目检包装，数量126pcs</t>
  </si>
  <si>
    <t>库存呆滞，无mes信息关联；现对693-C23I2A-PC 0011801657  筛选24年生产产品，增加mes与客户标贴绑定，目检SAI引脚是否点胶, 目检，包装出货,数量212pcs；</t>
  </si>
  <si>
    <t>1031C客户升级主程序和EE，现对1031C更换产品标贴，升级Z和E方程序，FCT测试无误后、目检包装出货,数量9pcs</t>
  </si>
  <si>
    <t>客户程序升级；现对693-C2390A-D 0021800616  取产品，上电目检程序版本号及校验和、目检、包装，入库,数量：7684pcs</t>
  </si>
  <si>
    <t>海信2407跳线补漆，数量1978pcs.</t>
  </si>
  <si>
    <t>客户软硬件升级，C33电容不良挑选；现对500323-C24N9H-PC 0011801490AZ 主程序擦除、FCT测试，烧录主程序，ATE自动烧录并校验EE，FCT测试，更换标签，ICT测试，ICT测试,目检、包装；数量1050pcs；</t>
  </si>
  <si>
    <t>青岛事业部消呆；现对 693-C2386A-PC 0011801424AP   升级EE程序烧录、EE程序校验,改制为 693-B23G9A-PC  0011801424AT   后FCT测试、贴标签、link绑定 目检，包装出货,数量1700pcs；</t>
  </si>
  <si>
    <t>693-A2210B-PC0011801372A</t>
  </si>
  <si>
    <t>693-B2209B-PC-0011801425P</t>
  </si>
  <si>
    <t>693-C2177G-C0190400113M芯朋电源方案</t>
  </si>
  <si>
    <t>693-B23G2B-PC0011801330H</t>
  </si>
  <si>
    <t>693-B2286A-D0021800442G</t>
  </si>
  <si>
    <t>693-A2180A-PC0011800646A</t>
  </si>
  <si>
    <t>693-C2386A-PC0011801424AP</t>
  </si>
  <si>
    <t>客户软硬件升级，C33电容不良挑选；现对500323-C24N9H-PC 0011801490AZ 主程序筛选，ATE自动烧录并校验EE，FCT测试，更换标签，ICT测试，ICT测试,目检、包装；数量3500pcs；</t>
  </si>
  <si>
    <t>客户紧急订单需求；现对 693-C2302A-PC 0011800879P EE程序擦除，FCT测试，EE烧录、EE程序校验、改制为 693-C2302B-PC 0011800879N 后FCT测试、贴标签、link绑定 目检，包装出货,数量78pcs；</t>
  </si>
  <si>
    <t>针对615 baseline不良问题升级触摸程序后，按照小于8000标准筛选baseline值，数量4403。</t>
  </si>
  <si>
    <t>针对615B baseline不良问题升级主程序和触摸程序后，按照小于8000标准筛选baseline值，数量</t>
  </si>
  <si>
    <t>客户紧急订单青求:现对693-C2216H-D0011800324N，更换CN1 和客户标签，CN1群盘去，拆件打孔、件，洗板漆，政制成693C2216F-D 0011800324T 后测试、贴标签、目检，包装出货，数量10pcs</t>
  </si>
  <si>
    <t>SMT将977S主程序烧录到977K产品中；现对 693-C2238A-PC 0011800977K  主程序擦除、FCT测试，主程序烧录、FCT测试，贴标签、link绑定 目检，包装出货,数量115pcs；</t>
  </si>
  <si>
    <t>615A国内改制为615A俄罗斯平账，数量835pcs.</t>
  </si>
  <si>
    <t>(备注错误）为满足出货需求，现将2401A改制为B，升级主程序，现将库存升级主程序，更换客户标签，FCT测试合格后包装，数量1200pcs。</t>
  </si>
  <si>
    <t>（扩单）客户软硬件升级，C33电容不良挑选；现对500323-C24N9H-PC 0011801490AZ 主程序筛选，ATE自动烧录并校验EE，FCT测试，更换标签，ICT测试，ICT测试,目检、包装；数量3500pcs；</t>
  </si>
  <si>
    <t>客户紧急订单需求；现对693-B2209L-PC-0011801425F   主程序擦除、FCT、主程序烧录、FCT、EE擦除、EE校验、EE程序烧录、EE程序校验、新增D7,R16,CX3,K2,CN10，改制成 693-B2209J-PC 0011801425D 后，FCT测试，补漆、贴标签、link绑定 目检，包装出货,数量40pcs；</t>
  </si>
  <si>
    <t>客户软硬件升级，C33电容不良挑选；现对500323-C24N9H-PC 0011801490AZ 主程序筛选，ATE自动烧录并校验EE，FCT测试，更换标签，ICT测试，ICT测试,目检、包装；数量2600pcs；</t>
  </si>
  <si>
    <t>1323-B2207A-L 0011800950G</t>
  </si>
  <si>
    <t>库存品消呆；现对1323-C2201A-D 0011800950E 增加MES标签，拆除J4、J8、SW7，更换CN2、CN6,清理焊点、目检、补漆，重烧主程序、EE擦除、EE校验、EE程序烧录、EE程序校验，改制成1323-B2207A-L 0011800950G 后FCT测试、贴标签、link绑定、包装，数量100PCS</t>
  </si>
  <si>
    <t>客户通知升级主程序，现对615A 更换产品标贴，烧录Z程序数据，读取并确认检验和无误后FCT测试、目检包装出货,数量1157pcs</t>
  </si>
  <si>
    <t>客户软件升级；现对693-C2352A-PC 0011801516 升级主程序、EE程序擦除、FCT、EE程序烧录、EE程序校验，FCT测试、更换标签、目检，包装,数量12pcs；</t>
  </si>
  <si>
    <t>CS邮件通知，转移客户，不需返工</t>
  </si>
  <si>
    <t>1323-B2207A-P 0011800951B</t>
  </si>
  <si>
    <t>青岛事业部消呆；现对 693-C2386A-PC 0011801424AP   升级EE程序烧录、EE程序校验,改制为 693-B23G9A-PC  0011801424AT   后FCT测试、贴标签、link绑定 目检，包装出货,数量575pcs；</t>
  </si>
  <si>
    <t>为满足发货需求，现将615B改制为615A，升级触摸程序和Z程序，更换标签，FCT测试后目检包装，数量1200pcs.</t>
  </si>
  <si>
    <t>客户EE升级；现对 500323-C24N9G-PC 0011801490AV ATE自动烧录并校验EE，FCT测试，更换标签,目检、包装；数量1014pcs；</t>
  </si>
  <si>
    <t>693-C2357A-PC0011800980K</t>
  </si>
  <si>
    <t>693-A2178A-PC0011800612X</t>
  </si>
  <si>
    <t>(备注错误）客户软件升级；现对693-C2352C-PC 0011801516D  升级主程序、EE程序擦除、FCT、EE程序烧录、EE程序校验，FCT测试、更换标签、目检，包装,数量34pcs；</t>
  </si>
  <si>
    <t>客户软件升级；现对693-C2352D-PC 0011801516E 升级主程序、EE程序擦除、FCT、EE程序烧录、EE程序校验，FCT测试、更换标签、目检，包装,数量28pcs；</t>
  </si>
  <si>
    <t>客户软件升级，硬件升级；现对693-C2331E-PC 0011801593D   升级主程序、EE程序擦除、FCT、EE程序烧录、EE程序校验，焊接跳线、补漆，FCT测试、更换标签、目检，包装,数量1pcs；</t>
  </si>
  <si>
    <t>客户软件升级，硬件升级；现对693-C2331B-PC 0011801593A 升级主程序、EE程序擦除、FCT、EE程序烧录、EE程序校验，焊接跳线、补漆，FCT测试、更换标签、目检，包装,数量81pcs；</t>
  </si>
  <si>
    <t>客户软件升级，硬件升级；现对693-C23D4A-PC 0011801593   升级主程序、EE程序擦除、FCT、EE程序烧录、EE程序校验，焊接跳线、补漆，FCT测试、更换标签、目检，包装,数量44pcs；</t>
  </si>
  <si>
    <t>客户紧急订单需求；现对693-C2216H-D 0011800324N，更换CN1 和客户标签，CN1焊盘去胶，拆件打孔、焊件，洗板补漆，改制成 693-C2216F-D 0011800324T 后测试、贴标签、目检，包装出货,数量160pcs</t>
  </si>
  <si>
    <t>客户主程序升级；现对  693-A2179E-PC0011800630J 主程序擦除、FCT、主程序烧录，FCT、贴标签、link绑定 目检，包装出货,数量148pcs；</t>
  </si>
  <si>
    <t>客户软件升级；现对693-A2179C-PC0011800630L 主程序擦除，FCT，主程序烧录，FCT、EE程序擦除、FCT、EE程序烧录、EE程序校验，FCT测试、更换标签、目检，包装,数量101pcs；</t>
  </si>
  <si>
    <t>客户软件升级；现对693-A2179D-PC0011800630P 升主程序擦除，FCT，主程序烧录，FCT、EE程序擦除、FCT、EE程序烧录、EE程序校验，FCT测试、更换标签、目检，包装,数量265pcs；</t>
  </si>
  <si>
    <t>客户软件升级；现对693-C2352C-PC 0011801516D  升级主程序、EE程序擦除、FCT、EE程序烧录、EE程序校验，FCT测试、更换标签、目检，包装,数量47pcs；</t>
  </si>
  <si>
    <t>客户通知1140A升级主程序，现对在制品更换产品标贴，烧录Z1程序数据，FCT测试OK后目检包装，数量441pcs</t>
  </si>
  <si>
    <t>693-C2246AC-PC 0011801172BD</t>
  </si>
  <si>
    <t>(孙工说不需要返工，已关单）产线波峰焊焊接异常，导致IPM透锡不良；现对 693-C2246AC-PC 0011801172BD   目检,测试,目检，包装出货,数量：124PCS</t>
  </si>
  <si>
    <t>（cs调整账务已发邮件）不同客户间1088编码无法过账，需退回账开改制工单改成泰国编码开票</t>
  </si>
  <si>
    <t>客户变更板边毛刺标准；现对 500323-C24G5A-D G0044 0011801911 新  刮毛刺,目检，包装出货,数量：1185PCS</t>
  </si>
  <si>
    <t>415C产品返工更换插座，FCT测试后目检包装发货，返工数量220。</t>
  </si>
  <si>
    <t>库存品消呆；现对693-A2210D-PC 0011801372C   增加MES标签，拆除CY1,CY2,更换E3.C10,L1,COM,CAN,ACL,LIN.LOUT,清理焊点、目检、补漆，EE程序烧录、EE程序校验，改制成693-A2210G-PC 0011801372G   后FCT测试、贴标签、link绑定、包装，数量40PCS</t>
  </si>
  <si>
    <t>海信洗衣机201-A2381D需要改制成500269-C2408A，并将新程序升级到最新版本V90，现对客户处成品48pcs进行返工升级。</t>
  </si>
  <si>
    <t>客户EE升级；现对 693-C23K4A-PC 0011800997TD    ATE自动烧录并校验EE，FCT测试，更换标签,目检、包装；数量211pcs；</t>
  </si>
  <si>
    <t>500323-C24F8A-PC 0011801852</t>
  </si>
  <si>
    <t>客户EE升级；现对  500323-C24F8A-PC 0011801852  ATE自动烧录并校验EE，FCT测试，更换标签,目检、包装；数量1418pcs；</t>
  </si>
  <si>
    <t>为满足发货需求，现将615B改制为615A，升级触摸程序和Z程序，更换标签，FCT测试后目检包装，数量1285pcs.</t>
  </si>
  <si>
    <t>RI机插RA1阻排撞件；现对 500323-C24A5B-PC 0011801583X  电子显微镜下目检RA1阻排外观,目检，包装出货,数量：5000PCS</t>
  </si>
  <si>
    <t>693-A2383A-PC 0011800691AH</t>
  </si>
  <si>
    <t>青岛事业部消呆，现对693-A2383A-PC 0011800691AH  机型 FCT测试、目检，包装,数量334pcs；</t>
  </si>
  <si>
    <t>客诉变压器物料不良；现对500323-C2508A-PC 0011801824 ATE自动测试，link绑定、目检、包装；数量12699pcs；</t>
  </si>
  <si>
    <t>客户程序升级；现对693-C2270A-PC 0011801583A 主程序擦除、FCT、主程序烧录、FCT、ATE自动烧录EE、EE程序校验，FCT测试、更换标签、目检，包装,数量：110pcs；（实际在账110pcs，实际返工659pcs）</t>
  </si>
  <si>
    <t>不同客户间1088编码无法过账，需开改制工单改成大连编码开票</t>
  </si>
  <si>
    <t>1824客诉，ZD1二极管物料不良；现对500323-C2508A-PC 0011801824 目检筛选客户标签日期、筛选ZD1丝印不良更换ZD1,CCD目检、FCT测试、补漆、目检、包装；数量5200pcs；</t>
  </si>
  <si>
    <t>库存品消呆；现对693-A2210D-PC 0011801372C   增加MES标签，拆除CY1,CY2,更换E3.C10,L1,COM,CAN,ACL,LIN.LOUT,清理焊点、目检、补漆，EE程序烧录、EE程序校验，改制成693-A2210G-PC 0011801372G   后FCT测试、贴标签、link绑定、包装，数量30PCS</t>
  </si>
  <si>
    <t>1824客诉，ZD1二极管物料不良；现对500323-C2508A-PC 0011801824 目检筛选客户标签日期、筛选ZD1丝印不良更换ZD1,CCD目检、FCT测试、补漆、目检、包装；数量7356pcs；</t>
  </si>
  <si>
    <t>500325-C2402H-D 888002452(415AB)</t>
  </si>
  <si>
    <t>415AB，返工升级程序，返工数量307。</t>
  </si>
  <si>
    <t>为满足发货需求，现将615B改制为615土耳其，升级触摸程序和Z程序，更换标签，FCT测试后目检包装，数量5pcs.</t>
  </si>
  <si>
    <t>693-C2441A-PC  0011801583A    锡膏工艺</t>
  </si>
  <si>
    <t>客户标签V代码维护错误；现对693-C2441A-PC 0011801583A （锡膏工艺） 更换标签、link绑定、目检，包装,数量：910pcs；</t>
  </si>
  <si>
    <t>青岛事业部消呆；现对500323-C24A5D-PC 0011801583AD   升级主程序、EE程序擦除、FCT、EE程序烧录、EE程序校验，改制成： 693-B23E9A-PC 0011801583K  后FCT测试、更换标签、目检，包装,数量1157pcs；</t>
  </si>
  <si>
    <t>客户紧急订单需求，现对500323-C24P7B-PC 0011801973A  机型 入重工工单、复制mes标签、ATE自动烧录、EE程序校验，改制成500323-C24P7A-PC 0011801973  后FCT测试、更换标签、link绑定、目检，包装,数量2172pcs；</t>
  </si>
  <si>
    <t>201-A2412A-X G0020 3677805 BCD-600W MIC&amp;</t>
  </si>
  <si>
    <t>接客户通知，2412 MIC组件连接线需要增加电工胶布，数量57pcs。</t>
  </si>
  <si>
    <t>为满足出货要求，950F改制泰国，需增加气泡垫，更换客户标签和。</t>
  </si>
  <si>
    <t>500323-C24P8A-PC 0011800697AC</t>
  </si>
  <si>
    <t>客户指定标签位置，标签位置变更；现对 500323-C24P8A-PC 0011800697AC 更换标签、link绑定、目检，包装,数量：192pcs；</t>
  </si>
  <si>
    <t>1545A更换散热器后年检，FCT测试合格后，目检包装，数量1。</t>
  </si>
  <si>
    <t>500269-C2401C-X G0020 2444226 天青墨</t>
  </si>
  <si>
    <t>客户退回的WIFI ID标签缺失的产品，需要补打WIFI ID标签，数量169.</t>
  </si>
  <si>
    <t>693-B2287D-PC 0190400359AB</t>
  </si>
  <si>
    <t>为满足出货要求，现将359A改制成359AB，更换产品标贴，烧录Z1程序数据，读取并确认检验和无误后FCT测试,然后目检包装，数量100pcs</t>
  </si>
  <si>
    <t>黄岛退货净水415系列因混入了错误的PCB版本和错误的插座，需返工挑选；</t>
  </si>
  <si>
    <t>C24电容损件；现对1323-B2307A-D 0011801713  更换C24电容，目检、FCT测试，补UV胶，目检、包装；数量1200pcs；</t>
  </si>
  <si>
    <t>紧急订单需求，需更改包材；现对 693-C2355A-D 0011800607T      取产品，目检、包装,数量：1349pcs</t>
  </si>
  <si>
    <t>1911-C2302A-D 0011800607S(泰国)</t>
  </si>
  <si>
    <t>紧急订单需求，需更改包材；现对 1323-C2209B-D 0011800607S     取产品，目检、包装,数量：1190pcs</t>
  </si>
  <si>
    <t>359AB升级程序，更换产品标贴，烧录Z1程序数据，读取并确认检验和无误后FCT测试,然后目检包装，数量224pcs</t>
  </si>
  <si>
    <t>1425AA售后备件需求，需更改包材；现对 500323-C2489A-PC 0011801425AA   取产品，目检、包装,数量：400pcs</t>
  </si>
  <si>
    <t>客户主程序升级；现对500323-C24F8C-PC 0011801852D  主程序擦除、FCT、主程序烧录，FCT、贴标签、link绑定 目检，包装出货,数量645pcs；</t>
  </si>
  <si>
    <t>415AB，返工升级程序，返工数量188。</t>
  </si>
  <si>
    <t>415AB，更换插座，返工升级程序，返工数量98。仓库账是415AB，实物是415其它型号，但硬件一样，总数量98.</t>
  </si>
  <si>
    <t>客户紧急订单需求；现对693-A2180C-PC 0011800646F EE擦除、EE校验、EE程序烧录、EE程序校验、新增D4,K2,CN43,CN44,CN47,CN5，改制成693-A2180B-PC 0011800646D后，FCT测试，补漆、贴标签、link绑定 目检，包装出货,数量40pcs；</t>
  </si>
  <si>
    <t>415D，更换插座，升级程序，改制成415AB，返工数量1260。仓库账是415D，实物是415其它型号，但硬件一样，总数量1260.</t>
  </si>
  <si>
    <t>C7电容撞件；现对 1911-C2301A-D  0011800607T(泰国)  电子显微镜下目检C7电容外观,目检，包装出货,数量：15194PCS</t>
  </si>
  <si>
    <t>693-C2536A-D G0044 0011802040</t>
  </si>
  <si>
    <t>客诉导电泡棉粘贴歪斜；现对 693-C2536A-D 0011802040  取产品，目检、包装，后入库,数量：1025pcs</t>
  </si>
  <si>
    <t>500323-C24N5D-PC 0151801031F</t>
  </si>
  <si>
    <t>1031F整流桥和散热器贴合不平，返工先打螺丝再焊接，数量80pcs。</t>
  </si>
  <si>
    <t>客户紧急订单需求；现对693-C2216H-D 0011800324N，更换CN1 和客户标签，CN1焊盘去胶，拆件打孔、焊件，洗板补漆，改制成 693-C2216F-D 0011800324T 后测试、贴标签、目检，包装出货,数量20pcs</t>
  </si>
  <si>
    <t>为满足发货需求，现将615B增加泡棉，改制为615G，更换标签，增加MESFCT测试后目检包装，数量27pcs.</t>
  </si>
  <si>
    <t>IC2芯片引脚歪斜，有虚焊风险；现对693-B2201I-PC 0011801424W  取产品，CCD目检、包装，后入库,数量：1092pcs</t>
  </si>
  <si>
    <t>IC2芯片引脚歪斜，有虚焊风险；现对 693-B2201M-PC 0011801424Z   取产品，CCD目检、包装，后入库,数量：3543pcs</t>
  </si>
  <si>
    <t>615&amp;616系列 返工更换外箱。</t>
  </si>
  <si>
    <t>青岛事业部消呆；现对693-C23H4C-PC  0011801424AX  主程序擦除、FCT、主程序烧录、EE程序烧录、EE程序校验，更换CN3线束，改制成：693-B2201K-PC 0011801424D  后FCT测试、主程序校验、补漆固化、更换标签、目检，包装,数量50pcs；</t>
  </si>
  <si>
    <t>500323-C24D2D-D 0021800616D</t>
  </si>
  <si>
    <t>关于泰国备货无交付需求，部分库存发往大连麻烦开改制工单进行入库，入库后cs销账开票</t>
  </si>
  <si>
    <t>海信2418236系列客户端已下市，需将库存改制成2418237进行交货，更换标签，FCT测试OK后，目检后包装扫描，返工数量750。</t>
  </si>
  <si>
    <t>C7电容撞件；现对 1911-C2301A-D  0011800607T(泰国)  更换C7电容,电子显微镜下目检C7电容外观,FCT测试,补漆,目检，包装出货,数量：1643PCS</t>
  </si>
  <si>
    <t>客户紧急订单需求；现对 693-B23I7B-PC 0011801039AN 升级主程序、EE程序烧录、EE程序校验、FCT测试，补漆、贴标签、link绑定 目检，包装出货,数量69pcs；</t>
  </si>
  <si>
    <t>693-C20023E-D</t>
  </si>
  <si>
    <t>为满足出货要求，现将001H改制成001D: 贴MES标签，补MES数据，更换客户标贴，烧录主程序数据，FCT测试无误后，目检包装出货,数量50pcs</t>
  </si>
  <si>
    <t>500323-C2508C-PC G0044 0011801824B</t>
  </si>
  <si>
    <t>客户主程序升级；现对  500323-C2508C-PC G0044 0011801824B    主程序擦除、FCT测试1,主程序烧录1、主程序烧录2，主程序校验，贴标签,FCT测试2、 目检，包装出货,数量：200pcs</t>
  </si>
  <si>
    <t>201-A2381F-X 2376777 7S古洛尼白</t>
  </si>
  <si>
    <t>为满足样机需求，现将616E改制成616F，更换标签，重新关联物联数据，FCT测试后包装，数量50pcs</t>
  </si>
  <si>
    <t>消呆；现对693-C2216H-D 0011800324N，更换CN1 和客户标签，CN1焊盘去胶，拆件打孔、焊件，洗板补漆，改制成 693-C2216F-D 0011800324T 后测试、贴标签、目检，包装出货,数量80pcs</t>
  </si>
  <si>
    <t>客户EE程序升级，技改删除LED1；现对500323-C24A5A-PC 0011801583P更换产品标贴，拆除LED1灯珠，清理焊点、补漆，EE擦除，烧录最新EE程序数据，EE程序校验，FCT测试后贴标签link、目检包装出货,数量125pcs</t>
  </si>
  <si>
    <t>生产反馈没有不良品</t>
  </si>
  <si>
    <t>客户EE程序升级，技改删除LED1；现对500323-C24A5A-PC 0011801583P更换产品标贴，拆除LED1灯珠，清理焊点、补漆，EE擦除，烧录最新EE程序数据，EE程序校验，FCT测试后贴标签link、目检包装出货,数量192pcs</t>
  </si>
  <si>
    <t>客户主程序升级；现对  500323-C2508C-PC G0044 0011801824B    主程序擦除、主程序烧录，主程序校验，FCT、贴标签、link绑定 目检，包装出货,数量：2475pcs</t>
  </si>
  <si>
    <t>693-C2352B-PC 0011801516C</t>
  </si>
  <si>
    <t>客户CN13插座升级；现对 693-C2352B-PC 0011801516C    更换CN13插座，目检、FCT测试，补UV胶，目检、包装；数量30pcs；</t>
  </si>
  <si>
    <t>1172BD PCB正面开窗露铜；现对693-C2246AC-PC 0011801172BD  露铜区域补锡，清洗，目检，包装出货,数量：100PCS</t>
  </si>
  <si>
    <t>客诉三极管不良；现对 693-A2179A-PC 0011800630K  FCT测试, 电子显微镜下目检P1,P3三极管丝印,板底板面目检，包装出货,数量：1133PCS</t>
  </si>
  <si>
    <t>成品呆滞改制消化，现对693-A2180D-PC 0011800646M 改制返成693-A2180G-PC 0011800646L,数量244pcs</t>
  </si>
  <si>
    <t>客户通知升级主程序，现对616G 更换产品标贴，烧录Z程序数据，读取并确认检验和无误后FCT测试、目检包装出货,数量2811pcs</t>
  </si>
  <si>
    <t>仓库</t>
  </si>
  <si>
    <t>为满足样机需求，现对500323-C24F2A-D 0121800104WD 更换产品标贴，升级左右板程序和无误后FCT测试、目检包装出货,数量10pcs</t>
  </si>
  <si>
    <t>事业部</t>
  </si>
  <si>
    <t>客户要求1031系列产品PCB金属化过孔使用白色绝缘胶涂覆。</t>
  </si>
  <si>
    <t>客户备品需求；现对 693-C23H4A-PC 0011801424AW 升级主程序、EE程序烧录、EE程序校验、更新硬件，FCT测试，补漆、贴标签、link绑定 目检，包装出货,数量15pcs；</t>
  </si>
  <si>
    <t>534AA老化验证可靠性，FCT测试、老化,然后复测FCT，数量50pcs</t>
  </si>
  <si>
    <t>1003客户升级主程序，现对1003更换产品标贴，升级Z程序，FCT测试无误后、目检包装出货,数量412pcs</t>
  </si>
  <si>
    <t>为满足客户样机需求，现对138R 更换产品标贴，烧录Z程序数据，FCT测试、目检包装出货,数量19pcs</t>
  </si>
  <si>
    <t>客户升级Z程序和EE；现对693-C2358A-PC 0011800977J   升级主程序、EE程序擦除、FCT、EE程序烧录、EE程序校验，FCT测试、更换标签、目检，包装,数量56pcs；</t>
  </si>
  <si>
    <t>500323-C24A2F-PC 0011801675G</t>
  </si>
  <si>
    <t>客户EE程序升级，现对 500323-C24A2F-PC 0011801675G  机型 EE程序擦除、FCT、EE程序烧录、FCT测试、更换标签、目检，包装,数量67pcs；</t>
  </si>
  <si>
    <t>客户退回产品，返工升级最新程序发货，数量12pcs.</t>
  </si>
  <si>
    <t>1911-C2302E-PC G0044 0011801640 泰国</t>
  </si>
  <si>
    <t>大连无需订单需求，库存发泰国工厂消化，需更改包材；现对693-C2393A-PC 0011801640    取产品，目检、包装，改制成 1911-C2302E-PC G0044 0011801640 泰国  后入库,数量：558pcs</t>
  </si>
  <si>
    <t>1003客户升级主程序，现对1003更换产品标贴，升级Z程序，FCT测试无误后、目检包装出货</t>
  </si>
  <si>
    <t>为满足发货需求，现将615改制为615A，升级触摸程序和Z程序，更换标签，FCT测试后目检包装，数量1215pcs.</t>
  </si>
  <si>
    <t>ZD1虚焊；现对 500323-C2508A-PC 0011801824   目检ZD1两侧焊盘是否虚焊或少锡、补焊、清理焊点、目检、FCT、刷漆、  目检，包装出货,数量：3966pcs；</t>
  </si>
  <si>
    <t>0021800442A产品在外协生产产品出现批量Q13固定引脚虚焊不良，需返工拆壳检查，数量188pcs。</t>
  </si>
  <si>
    <t>质量（代工厂责任）</t>
  </si>
  <si>
    <t>客户技改；现对693-B23K2A-PC 0011801482   CN1插座点白硅胶填充覆盖，目检包装出货,库存数量：2018pcs</t>
  </si>
  <si>
    <t>售后备件需求；现对 693-A2210D-PC 0011801372C 升级主程序、EE程序擦除、FCT、EE程序烧录、EE程序校验，拆除CY1,CY2,更换L1,COM,AC L,AC N、LINLOUT,补漆，FCT测试、更换标签、改制成693-A2210E-PC 0011801372B 后目检，包装,数量10pcs；</t>
  </si>
  <si>
    <t>201-A2381E-X 2379455 7S古洛尼白</t>
  </si>
  <si>
    <t>客户主程序升级；现对 500323-C2508A-PC 0011801824   主程序擦除、FCT、主程序烧录，FCT、贴标签、link绑定 目检，包装出货,数量：26358pcs；</t>
  </si>
  <si>
    <t>消呆；现对 693-C2260D-PC 0011801256R 拆除SW1,IC1,新增C2,CN25,CN14 应急按键板一套（包含端子线CN101，按键K101，PCB）,IC1 ,补漆，升级主程序、EE程序擦除、FCT、EE程序烧录、EE程序校验，FCT测试、更换标签、改制成 693-C2342A-PC 0011801256S  后目检，包装,数量40pcs；</t>
  </si>
  <si>
    <t>新增R110,D18；现对500323-C2496D-PC 0011801423AQ  新增R110、D18位号电阻，目检、FCT测试，补UV胶，目检、包装；数量1500pcs；</t>
  </si>
  <si>
    <t>关于泰国备货无交付需求，部分库存发往大连</t>
  </si>
  <si>
    <t>客户主程序升级；现对  500323-C2508C-PC G0044 0011801824B    主程序擦除、主程序烧录，主程序校验，FCT、贴标签、link绑定 目检，包装出货,数量：13pcs</t>
  </si>
  <si>
    <t>693-C2571A-PC G0044 0011801973E</t>
  </si>
  <si>
    <t>客户升级Z程序和EE；现对693-C2571A-PC G0044 0011801973E  升级主程序、EE程序擦除、FCT、EE程序烧录、EE程序校验，FCT测试、更换标签、目检，包装,数量79pcs；</t>
  </si>
  <si>
    <t>售后备件需求；现对 693-A2210D-PC 0011801372C 升级主程序、EE程序擦除、FCT、EE程序烧录、EE程序校验，拆除CY1,CY2,更换L1,COM,AC L,AC N、LINLOUT,补漆，FCT测试、更换标签、改制成693-A2210E-PC 0011801372B 后目检，包装,数量6pcs；</t>
  </si>
  <si>
    <t>693-C2571B-PC G0044 0011801973G</t>
  </si>
  <si>
    <t>客户订单紧急需求，现对 693-C2571A-PC G0044 0011801973E  机型 EE程序擦除、FCT、EE程序烧录、FCT测试、更换标签，改制成693-C2571B-PC G0044 0011801973G后、目检，包装,数量20pcs；</t>
  </si>
  <si>
    <t>海信500493-B2402E客户端升级程序，需要在线升级程序，FCT测试OK后，目检包装，返工数量1186。</t>
  </si>
  <si>
    <t>客户通知升级主程序，现对616A 更换产品标贴，烧录Z程序数据，读取并确认检验和无误后FCT测试、目检包装出货,数量1273pcs</t>
  </si>
  <si>
    <t>客户升级主程序；现对693-C2571A-PC G0044 0011801973E  主程序擦除、FCT、主程序烧录、FCT测试、更换标签、目检，包装,数量405pcs；</t>
  </si>
  <si>
    <t>为满足出货要求，950F改制泰国，需增加气泡垫，更换客户标签。</t>
  </si>
  <si>
    <t>为满足出货要求，950G改制泰国，需增加气泡垫，更换外箱标签。</t>
  </si>
  <si>
    <t>客户升级主程序；现对693-B23G2A-PC 0011801330G    主程序擦除、FCT、主程序烧录、FCT测试、更换标签、目检，包装,数量1pcs；</t>
  </si>
  <si>
    <t>客户升级主程序；现对693-B23G2D-PC 0011801330C   主程序擦除、FCT、主程序烧录、FCT测试、更换标签、目检，包装,数量805pcs（库存712pcs，代理93pcs）；</t>
  </si>
  <si>
    <t>103升级程序，现对库存品进行升级，FCT测试合格后目检包装。</t>
  </si>
  <si>
    <t>客户EE程序升级，现对 693-C2534F-PC G0044 0011801843X  机型 EE程序擦除、FCT、EE程序烧录、FCT测试、更换标签、目检，包装,数量199pcs；</t>
  </si>
  <si>
    <t>2189-B2401C-PC 2397168</t>
  </si>
  <si>
    <t>海信洗衣机2189-B2401C-PC，返工升级最新程序发货，更换产品标贴，烧录主程序数据，FCT测试、更换标贴、目检包装出货,数量6977pcs</t>
  </si>
  <si>
    <t>研发更新喷漆区域；现对 693-C2394A-PC 0011801423AB    按照WI板面最新喷漆区域对R1,R24,R13电阻及其他未喷涂区域补漆，目检，包装入库；客退数量：376PCS</t>
  </si>
  <si>
    <t>500323-C2496B-PC 0011801423AT</t>
  </si>
  <si>
    <t>研发更新喷漆区域；现对 500323-C2496B-PC 0011801423AT   按照WI板面最新喷漆区域对R1,R24,R13电阻及其他未喷涂区域补漆，目检，包装入库；数量1458PCS（库存：1192PCS+客退：266pcs)</t>
  </si>
  <si>
    <t>500323-C2496K-PC 0011801423AX</t>
  </si>
  <si>
    <t>研发更新喷漆区域；现对 500323-C2496K-PC 0011801423AX   按照WI板面最新喷漆区域对R1,R24,R13电阻及其他未喷涂区域补漆，目检，包装入库；数量691PCS（库存：27PCS+客退：664pcs)</t>
  </si>
  <si>
    <t>500323-C2496L-PC 0011801423AL</t>
  </si>
  <si>
    <t>研发更新喷漆区域；现对 500323-C2496L-PC 0011801423AL  按照WI板面最新喷漆区域对R1,R24,R13电阻及其他未喷涂区域补漆，目检，包装入库；客退数量：224PCS</t>
  </si>
  <si>
    <t>研发更新喷漆区域；现对 500323-C2496E-PC 0011801423AC  按照WI板面最新喷漆区域对R1,R24,R13电阻及其他未喷涂区域补漆，目检，包装入库；数量：5PCS</t>
  </si>
  <si>
    <t>500323-C2496M-PC 0011801423AJ</t>
  </si>
  <si>
    <t>研发更新喷漆区域；现对500323-C2496M-PC 0011801423AJ    按照WI板面最新喷漆区域对R1,R24,R13电阻及其他未喷涂区域补漆，目检，包装入库；数量940PCS（库存：216PCS+客退：724pcs)</t>
  </si>
  <si>
    <t>库存品消呆；现对1323-C2201A-D 0011800950E 增加MES标签，拆除J4、J8、SW7，LED14更换CN2、CN6,清理焊点、目检、补漆，重烧主程序、EE擦除、EE校验、EE程序烧录、EE程序校验，改制成 1911-C2302C-D G0044 0011800950G(泰国)   后FCT测试、贴标签、link绑定、包装，数量860PCS</t>
  </si>
  <si>
    <t>客户通知升级主程序，现对616A 更换产品标贴，烧录Z程序数据，读取并确认检验和无误后FCT测试、目检包装出货,数量1328pcs</t>
  </si>
  <si>
    <t>客户升级主程序；现对500323-C24I2D-D 0011801917D  主程序擦除、FCT、主程序烧录、FCT测试、更换标签、目检，包装,数量:1489pcs</t>
  </si>
  <si>
    <t>1031清尾返工，数量73pcs.</t>
  </si>
  <si>
    <t>生产</t>
  </si>
  <si>
    <t>693-C2328D-PC 0190400534D</t>
  </si>
  <si>
    <t>为满足出货要求，现将534改制成534D，更换产品标贴，烧录Z1程序数据，读取并确认检验和无误后FCT测试,然后目检包装，数量500pcs</t>
  </si>
  <si>
    <t>客户升级主程序；现对693-B23K2A-PC 0011801482 主程序擦除、FCT、主程序烧录、FCT测试、更换标签、目检，包装,数量2018pcs；</t>
  </si>
  <si>
    <t>客户升级主程序；现对500323-C2488A-PC 0011801482A   主程序擦除、FCT、主程序烧录、FCT测试、更换标签、目检，包装,数量39pcs；</t>
  </si>
  <si>
    <t>500323-C24D2H-D G0044 0021800616GA</t>
  </si>
  <si>
    <t>616G改制为616GA，更换产品标贴，烧录Z程序数据，读取并确认检验和无误后FCT测试、目检包装出货,数量320pcs</t>
  </si>
  <si>
    <t>海信洗衣机500269-C2408A-X清尾品返工升级最新程序发货，数量64。</t>
  </si>
  <si>
    <t>海信洗衣机201-A2381B-X  天青墨清尾品返工升级最新程序发货，数量2。</t>
  </si>
  <si>
    <t>693-C2358A-PC 0011800977J</t>
  </si>
  <si>
    <t>客户EE程序更新；现对  500323-C2488A-PC 0011801482A升级EE程序烧录、EE程序校验、后FCT测试、贴标签、link绑定 目检，包装出货,数量30pcs；</t>
  </si>
  <si>
    <t>客户软硬件升级，C33电容不良挑选；现对500323-C24N9H-PC 0011801490AZ 主程序筛选，ATE自动烧录并校验EE，FCT测试，更换标签，ICT测试，ICT测试,目检、包装；数量2300pcs；</t>
  </si>
  <si>
    <t>697-C2503B G0020 1240105 H7A09529F/PV22&amp;</t>
  </si>
  <si>
    <t>海信日立电感返工</t>
  </si>
  <si>
    <t>386JL合肥退回库存，现对库存和客退品进行筛选，将不良品挑出，筛选后包装发货，286pcs</t>
  </si>
  <si>
    <t>库存不可用需升级主程序，现对616G更换产品标贴，烧录Z程序数据，读取并确认检验和无误后FCT测试、目检包装出货,数量24pcs</t>
  </si>
  <si>
    <t>2189-B2401I-PC 2397245</t>
  </si>
  <si>
    <t>海信洗衣机2189-B2401I-PC，返工升级最新程序发货，更换产品标贴，烧录主程序数据，FCT测试、更换标贴、目检包装出货,数量2893pcs</t>
  </si>
  <si>
    <t>500323-C24I2B-D 0011801917A</t>
  </si>
  <si>
    <t>客户升级主程序；现对500323-C24I2B-D 0011801917A  主程序擦除、FCT、主程序烧录、FCT测试、更换标签、目检，包装,数量:21PCS；</t>
  </si>
  <si>
    <t>库存品消呆；现对693-B2209A-PC 0011801425N 复制MES标签，CX3，K2,CN10加锡打孔，新增D7,R16,CX3，K2,CN10,清理焊点、目检、补漆，EE擦除、FCT、EE程序烧录、EE程序校验，改制成693-B2209B-PC 0011801425P后FCT测试、贴标签、link绑定、包装，数量20PCS</t>
  </si>
  <si>
    <t>249-A16006U-PC</t>
  </si>
  <si>
    <t>鲁倩10月底调整账务创建</t>
  </si>
  <si>
    <t>财务部</t>
  </si>
  <si>
    <t>417-A2401B-PC CPM_PUMU_L_G1_5_H 客户PN:80&amp;</t>
  </si>
  <si>
    <t>062-A20005B_Lenz A20177303</t>
  </si>
  <si>
    <t>062-A20005D Lenz A20177303_ST_IGBT</t>
  </si>
  <si>
    <t>249-A2403A-PC</t>
  </si>
  <si>
    <t>417-A2401R-PC LC_CPM_PUMU_L_G1_5_LRV_客户&amp;</t>
  </si>
  <si>
    <t>249-A2303D-PC</t>
  </si>
  <si>
    <t>洗衣机616GA程序异常返工，重新烧录Z程序数据，读取并确认检验和无误后FCT测试、目检包装出货,数量207pcs。</t>
  </si>
  <si>
    <t>415系列产品返工维修LED、插座，FCT测试后目检包装，返工数量1926pcs。</t>
  </si>
  <si>
    <t>库存不可用升级主程序，现对616更换产品标贴，烧录Z程序数据，读取并确认检验和无误后FCT测试、目检包装出货,数量758pcs</t>
  </si>
  <si>
    <t>客户EE程序升级，现对693-C2571A-PC G0044 0011801973E机型 EE程序擦除、FCT、EE程序烧录、FCT测试、更换标签、目检，包装,数量248pcs；</t>
  </si>
  <si>
    <t>693-C2398A-PC 0151801003A待老化</t>
  </si>
  <si>
    <t>商空的板子不良仓有以下客退不良，商空1003和1031系列建立返工工单维修，共90pcs；</t>
  </si>
  <si>
    <t>库存不可用需升级主程序，现对616C更换产品标贴，烧录Z程序数据，读取并确认检验和无误后FCT测试、目检包装出货,数量52pcs</t>
  </si>
  <si>
    <t>500323-C24I2C-D 0011801917C</t>
  </si>
  <si>
    <t>客户升级主程序；现对500323-C24I2C-D 0011801917C  主程序擦除、FCT、主程序烧录、FCT测试、更换标签、目检，包装,数量:1628pcs</t>
  </si>
  <si>
    <t>电容物料应力损伤；现对500323-B24A6H-PC 0011801490Y 目检CN3,CN1,CN2,CN4位号线束规格是否正确，对不良线束进行更换，目检，补漆、FCT测试，目检、包装；数量2222pcs；</t>
  </si>
  <si>
    <t>(如如姐说按照14建单）客户软件升级；现对 693-C2352B-PC 0011801516C   升级主程序、EE程序擦除、FCT、EE程序烧录、EE程序校验，FCT测试、更换标签、目检，包装,数量34pcs；</t>
  </si>
  <si>
    <t>500323-C24R1A-PC G0044 海尔洗衣机售后检测仪-主板</t>
  </si>
  <si>
    <t>在制产品，现对500323-C24R1A-PC产品U8位号更换物料，FCT测试合格后下转，数量50pcs.</t>
  </si>
  <si>
    <t>500323-C24I2D-D 0011801917E</t>
  </si>
  <si>
    <t>客户升级主程序；现对500323-C24I2E-D 0011801917E   主程序擦除、FCT、主程序烧录、FCT测试、更换标签、目检，包装,数量:1325pcs</t>
  </si>
  <si>
    <t>为满足出货要求，现将359改制成359AB，更换产品标贴，烧录Z1程序数据，读取并确认检验和无误后FCT测试,目检包装，数量335pcs。</t>
  </si>
  <si>
    <t>1031C库存品升级EE程序，校验和E:CED3，其中15pcs已标记测试不良需重点维修，FCT测试无误后、目检包装出货,数量54pcs</t>
  </si>
  <si>
    <t>693-B2301E-PC G0044 0041801545AA</t>
  </si>
  <si>
    <t>693-B2301E-PC产品需要升级主程序，更换客户标签，FCT测试合格后包装，数量128pcs。</t>
  </si>
  <si>
    <t>693-B2301F-PC G0044 0041801545AB</t>
  </si>
  <si>
    <t>693-B2301E-PC 0041801545AA产品改制成693-B2301F-PC 0041801545AB 更换MES标签，升级主程序，读校验和，更换客户标签，LINK绑定后，目检包装，数量5pcs。</t>
  </si>
  <si>
    <t>成品呆滞改制消化，现对693-A2178A-PC 0011800612X改制返成693-A2178C-PC 0011800612Z,数量400pcs</t>
  </si>
  <si>
    <t>客户升级主程序；现对500323-C24I2A-D 0011801917  主程序擦除、FCT、主程序烧录、FCT测试、更换标签、目检，包装,数量674pcs（库存536pcs，代理138pcs）；</t>
  </si>
  <si>
    <t>500325-C2402G-D 888002542(415AA)</t>
  </si>
  <si>
    <t>库存品消呆；现对693-B2209A-PC 0011801425N 复制MES标签，更换L1,PE，新增D7,R16,CX3，K2,CN10,清理焊点、目检、补漆，EE擦除、FCT、EE程序烧录、EE程序校验，改制成693-B2209J-PC 0011801425D 后FCT测试、贴标签、link绑定、包装，数量82PCS</t>
  </si>
  <si>
    <t>1136D客户端要求切换双码，更换标签，LINK绑定，目检后包装，数量100pcs。</t>
  </si>
  <si>
    <t>扎线长度不符合客户要求，现对库存品重新测量扎线长度，FCT测试合格后目检包装，共6347pcs。</t>
  </si>
  <si>
    <t>1031D客户升级主程序和EE，现对1031D更换产品标贴，升级Z和E方程序，FCT测试无误后、目检包装出货,数量248pcs</t>
  </si>
  <si>
    <t>1031E客户升级主程序和EE，现对1031E更换产品标贴，升级Z和E方程序，FCT测试无误后、目检包装出货,数量239pcs</t>
  </si>
  <si>
    <t>1003C客户升级主程序和EE，现对1003C更换产品标贴，升级Z和E方程序，FCT测试无误后、目检包装出货,数量60pcs</t>
  </si>
  <si>
    <t>库存1890产品改制1890C，更换EE程序，更换标签，FCT测试合格后目检、包装，共4pcs。</t>
  </si>
  <si>
    <t>600766-A2505A-PC G0044 0011801843B</t>
  </si>
  <si>
    <t>支架来料变形、致IGBT功率器件是否翘起；现对600766-A2505A-PC G0044 0011801843B  目检功率器件是否翘起、线束外观、包装；数量200pcs；</t>
  </si>
  <si>
    <t>500323-C24D2I-D G0044 0021800616H</t>
  </si>
  <si>
    <t>为满足样机需求，现将616E改制成616H，更换标签，重新关联物联数据，FCT测试后包装，数量7pcs.</t>
  </si>
  <si>
    <t>为满足样机需求，现将616E改制成616F，更换标签，重新关联物联数据，FCT测试后包装，数量29pcs.</t>
  </si>
  <si>
    <t>客户EE程序升级，现对 693-C2534F-PC G0044 0011801843X  机型 EE程序擦除、FCT、EE程序烧录、FCT测试、更换标签、目检，包装,数量600pcs；</t>
  </si>
  <si>
    <t>为满足出货要求，现将359改制成359AA，更换产品标贴，烧录Z1程序数据，读取并确认检验和无误后FCT测试,目检包装，数量100pcs</t>
  </si>
  <si>
    <t>端子线改制验证，对693-C2556A-D G0044 0031800517 产品中端子线改制热缩管缩短45mm，共100根。</t>
  </si>
  <si>
    <t>客户EE程序升级；现对693-B23G2D-PC 0011801330C  EE程序擦除、烧录、FCT测试、校验，更换标签，目检包装出货,数量92pcs。</t>
  </si>
  <si>
    <t xml:space="preserve">库存呆滞品改制消化；现对693-B2201G-PC 0011801424J  拆除FUSE2 CN3、IGBT1，更换FUSE2 CN3、IGBT1，更换MES标贴，客户标贴，烧录Z程序，烧录EE程序数据，改制成693-B23G9A-PC </t>
  </si>
  <si>
    <t>海信日立697-C2504D产品焊盘粘漆返工，一共292pcs。</t>
  </si>
  <si>
    <t>海信日立697-C2504C产品焊盘粘漆返工，一共883pcs。</t>
  </si>
  <si>
    <t>697-C2503F G0020 1221341 H7A09529C/PV22&amp;</t>
  </si>
  <si>
    <t>海信日立697-C2503F产品焊盘粘漆返工，一共536pcs。</t>
  </si>
  <si>
    <t>EE程序升级，库存产品升级。</t>
  </si>
  <si>
    <t>海信日立697-C2504B产品焊盘粘漆，螺丝松动返工，一共902pcs。</t>
  </si>
  <si>
    <t>386JL客户端反馈SW3按键卡死、掰角值错误，现对库存和客退品进行筛选，将不良品挑出，修正后包装发货。</t>
  </si>
  <si>
    <t>库存500323-C24N9H-PC产品检查标签内容，升级EE程序，ICT测试C33,R144,R143位号，FCT测试，目检，更改纸箱包装入库，一共119pcs。</t>
  </si>
  <si>
    <t>693-B23I7A-PC 0011801039AM 需更换艾华电容，现对产品进行电容E1拆除，更换电感，清理焊点补漆，FCT测试后，目检包装，数量342PCS。</t>
  </si>
  <si>
    <t>693-B23I7B-PC 0011801039AN  需更换艾华电容，现对产品进行电容E1拆除，更换电感，清理焊点补漆，FCT测试后，目检包装，数量375PCS。</t>
  </si>
  <si>
    <t>500323-C24F9A-PC 0011801710H</t>
  </si>
  <si>
    <t>OID码更改返工，入MRB，退站撕标贴，贴新标签LINK绑定后，目检包装，数量一共1500pcs。</t>
  </si>
  <si>
    <t>客户要求693-C2556A-D 产品端子线改制热缩管缩短，更换刀卡，一共5271pcs。</t>
  </si>
  <si>
    <t>海信洗衣机2189-B2401F-PC 2397248，返工升级最新程序发货，更换产品标贴，烧录主程序数据，FCT测试、更换标贴、目检包装出货,数量684pcs。</t>
  </si>
  <si>
    <t>库存品693-C2434A-PC 0031800138R产品重新进行FCT测试，目检，包装,数量7942pcs。</t>
  </si>
  <si>
    <t>工程</t>
  </si>
  <si>
    <t>客户要求693-C2556A-D 产品端子线改制热缩管缩短，更换刀卡，一共973pcs。</t>
  </si>
  <si>
    <t>库存消呆，500323-C2508C-PC 0011801824B改制1824，更换MES标签，拆除更换CN7，E3元件，清理焊点补漆，烧录EE程序和风机程序，FCT测试、更换客户标贴LINK绑定、目检包装出货,数量10pcs。</t>
  </si>
  <si>
    <t>377系列增加双码返工，取产品入MRB，退站ASSY撕标贴，贴新标签LINK绑定后，目检包装，数量一共3340pcs。</t>
  </si>
  <si>
    <t>693-C2371B-D 0190400377A</t>
  </si>
  <si>
    <t>377系列增加双码返工，取产品入MRB，退站ASSY撕标贴，贴新标签LINK绑定后，目检包装，数量一共1450pcs。</t>
  </si>
  <si>
    <t>693-C2536B-D G0044 0011802040A</t>
  </si>
  <si>
    <t>库存品筛选不良；现对693-C2536B-D G0044 0011802040A   取产品，测试，不良品维修，目检、包装，后入库,数量：999pcs.</t>
  </si>
  <si>
    <t>500323-C24A5G-PC G0044 0011801583AF</t>
  </si>
  <si>
    <t>现对500323-C24A5G-PC G0044 0011801583AF产品筛选不良，取产品，万用表测试，不良品维修，FCT测试，目检、包装，后入库,数量：600pcs.</t>
  </si>
  <si>
    <t>为满足样机需求，现将616E改制成616F，更换标签，重新关联物联数据，FCT测试后包装，数量50pcs.</t>
  </si>
  <si>
    <t>库存不良品返工，对697-C2504B G0020 产品中贴片插座护套拆除作业，共450pcs。</t>
  </si>
  <si>
    <t>生产部</t>
  </si>
  <si>
    <t>库存不良品返工，对697-C2504D G0020 产品中贴片插座护套拆除作业，共160pcs。</t>
  </si>
  <si>
    <t>697-C2504E G0020 1221254 H7A09158C/PV22&amp;</t>
  </si>
  <si>
    <t>库存不良品返工，对697-C2504E G0020 产品中贴片插座护套拆除作业，共271pcs。</t>
  </si>
  <si>
    <t>500268-C2501I G0020 1239934 H7A10566A-D&amp;</t>
  </si>
  <si>
    <t>库存不良品返工，对500268-C2501I G0020 产品中贴片插座护套拆除作业，共160pcs。</t>
  </si>
  <si>
    <t>库存不良品返工，对697-C2503E G0020 产品中贴片插座护套拆除作业，共540pcs。</t>
  </si>
  <si>
    <t>697-C2504A G0020 1235820 H7A09158D/PV22&amp;</t>
  </si>
  <si>
    <t>库存不良品返工，对697-C2504A G0020 产品中贴片插座护套拆除作业，共540pcs。</t>
  </si>
  <si>
    <t>客户最新要求；693-C2536A-D G0044 0011802040产品更换主程序  取产品，擦除，FCT测试，烧录，FCT测试，校验，目检、包装，后入库,数量：1000pcs.</t>
  </si>
  <si>
    <t>R2电阻本体裂；现对693-C2536B-D G0044 0011802040A   取产品，CCD目检、包装，后入库,数量：935pcs</t>
  </si>
  <si>
    <t>不良品筛选，对600766-A2504A-PC 0011801490M产品目检电感，黑白红端子线，目检、包装，后入库,数量：5998pcs.</t>
  </si>
  <si>
    <t>534AA插片用错，现需要扒胶后更换插片、外壳，再重新打胶，FCT测试,然后目检包装，数量1513pcs</t>
  </si>
  <si>
    <t>693-C2534K-PC G0044 0011801843AH</t>
  </si>
  <si>
    <t>支架来料变形、致IGBT功率器件是否翘起；现对693-C2534K-PC G0044 0011801843AH  目检功率器件是否翘起、线束外观、包装；数量741pcs；</t>
  </si>
  <si>
    <t>研发更新喷漆区域；现对 500323-C2496E-PC 0011801423AC  按照WI板面最新喷漆区域对R1,R24,R13电阻及其他未喷涂区域补漆，目检，包装入库；数量：394PCS</t>
  </si>
  <si>
    <t>374 返工更换外箱，共1155psc。</t>
  </si>
  <si>
    <t>扎线长度不符合客户要求，现对库存品重新测量扎线长度，FCT测试合格后目检包装，共960pcs。</t>
  </si>
  <si>
    <t>693-C2598A G0044 0121800104WF</t>
  </si>
  <si>
    <t>为满足需求，现对500323-C24F2A-D 0121800104WD 更换产品标贴，升级左右板程序和无误后FCT测试、目检包装出货,数量3pcs.</t>
  </si>
  <si>
    <t>扎线长度不符合客户要求，现对库存品重新测量扎线长度，FCT测试合格后目检包装，共1200pcs。</t>
  </si>
  <si>
    <t>产线保险丝错料；现对 600766-A2504A-PC G0044 0011801490M   取产品，目检保险丝、包装入库,数量：11620pcs</t>
  </si>
  <si>
    <t>消呆；现对693-C2216H-D 0011800324N，更换CN1 和客户标签，CN1焊盘去胶，拆件打孔、焊件，洗板补漆，改制成 693-C2216F-D 0011800324T 后测试、贴标签、目检，包装出货,数量240pcs</t>
  </si>
  <si>
    <t>500323-C24A2A-PC 0011801675A</t>
  </si>
  <si>
    <t>客户EE程序升级；现对500323-C24A2A-PC 0011801675A  EE程序擦除、测试、烧录、校验、FCT测试、校验可变位，更换标签，目检包装出货,数量45pcs。</t>
  </si>
  <si>
    <t>501764-B2501B-PC G1417 NTD10-REF</t>
  </si>
  <si>
    <t>成品 501764-B2501B 产品标贴粘贴错误，现对库存进行拆除标贴，更换新标贴，目检，包装，共11520psc。</t>
  </si>
  <si>
    <t>501764-B2501A-PC G1417 NTD10-FRZ</t>
  </si>
  <si>
    <t>成品 501764-B2501A 产品标贴粘贴错误，现对库存进行拆除标贴，更换新标贴，目检，包装，共12625psc。</t>
  </si>
  <si>
    <t>海信日立697-C2503A产品焊盘粘漆返工，一共302pcs。</t>
  </si>
  <si>
    <t>胶州仓库拉回，FCT测试后，目检包装，一共50pcs。</t>
  </si>
  <si>
    <t>海信日立500268-C2501I产品焊盘粘漆返工，一共359pcs。</t>
  </si>
  <si>
    <t>697-C2504F G0020 1239204 H7A09158F/PV22&amp;</t>
  </si>
  <si>
    <t>海信日立697-C2504F产品焊盘粘漆返工，一共77pcs。</t>
  </si>
  <si>
    <t>海信日立697-C2504E产品焊盘粘漆返工，一共100pcs。</t>
  </si>
  <si>
    <t>海信日立697-C2504A产品焊盘粘漆返工，一共571pcs。</t>
  </si>
  <si>
    <t>客退品提供备件，FCT测试后，目检包装，200块使用纸箱包装，120块使用吸塑包装，一共320pcs。</t>
  </si>
  <si>
    <t>697-C2503D G0020 1220211 H7A09529A/PV22&amp;</t>
  </si>
  <si>
    <t>喷漆其他元件时无法避让该位置，导致焊盘粘漆。</t>
  </si>
  <si>
    <t>如有邮件或其它支持文件需附上。</t>
  </si>
  <si>
    <t>库存品693-C2571B-PC，产品R177,R178物料选择K脚方向不合适，与E8有干涉，调整R177,R178倾斜方向，点胶固定返工，一共999pcs。</t>
  </si>
  <si>
    <t>693-B2548A-PC产品主程序校验，确认ROOT Remap使能，FCT测试后，目检，包装入库，一共2864pcs。</t>
  </si>
  <si>
    <t>青岛工程</t>
  </si>
  <si>
    <t>客户要求693-C2556A-D 产品端子线改制热缩管缩短45mm，一共100pcs。</t>
  </si>
  <si>
    <t>消呆；现对693-C2216H-D 0011800324N，更换CN1 和客户标签，CN1焊盘去胶，拆件打孔、焊件，洗板补漆，改制成 693-C2216F-D 0011800324T 后测试、贴标签、目检，包装出货,数量2160pcs。</t>
  </si>
  <si>
    <t>693-C2283A-PC产品提供备件，返工取产品，目检，更换纸箱包装，共95pcs。</t>
  </si>
  <si>
    <t>库存消呆，现将616E改制成616H，烧录程序，校验程序，FCT测试，贴标签LINK绑定后，目检包装，数量一共300pcs。</t>
  </si>
  <si>
    <t>693-B2301E-PC 0041801545AA产品改制成693-B2301F-PC 0041801545AB 更换MES标签，升级主程序，读校验和，更换客户标签，LINK绑定后，目检包装，数量50pcs。</t>
  </si>
  <si>
    <t>现对600766-A2504A-PC拆除，更换电感，清理焊点，喷漆固化，FCT测试后，目检包装，数量20PCS。</t>
  </si>
  <si>
    <t>600766-A2505E-PC产品确认标贴内容，目检板底板面，包装扫描，共5583pcs。</t>
  </si>
  <si>
    <t>客退品提供备件，目检包装，使用纸箱包装，一共80pcs。</t>
  </si>
  <si>
    <t>库存500323-C24A2E-PC产品升级EE程序，FCT测试合格后，贴标贴LINK绑定，目检包装，一共163pcs。</t>
  </si>
  <si>
    <t>库存消呆，现将616E改制成616H，烧录程序，校验程序，FCT测试，贴标签LINK绑定后，目检包装，数量一共20pcs。</t>
  </si>
  <si>
    <t>697-C2504C 产品退站，更换条码，包装，共1pcs。</t>
  </si>
  <si>
    <t>697-C2504A G0020 1235820 产品退站，更换条码，包装，共1pcs。</t>
  </si>
  <si>
    <t>697-C2503C G0020 1235823 产品退站，更换条码，包装，共2pcs。</t>
  </si>
  <si>
    <t>697-C2503D G0020 1220211 产品退站，更换条码，包装，共1pcs。</t>
  </si>
  <si>
    <t>0031800386JL 交付售后备件，产品更改包材，目检，包装扫描，共500pcs。</t>
  </si>
  <si>
    <t>1911-C2302B-D G0044 0011800950F 产品更改包材，更换外箱标贴，包装，共197pcs。</t>
  </si>
  <si>
    <t>1911-C2302C-D G0044 0011800950G 产品更改包材，更换外箱标贴，包装，共159pcs。</t>
  </si>
  <si>
    <t>OID码更改返工，入MRB，退站撕标贴，贴新标签LINK绑定后，目检包装，数量一共919pcs。</t>
  </si>
  <si>
    <t>500323-C2496G-PC 0011801423AV</t>
  </si>
  <si>
    <t>OID码更改返工，入MRB，退站撕标贴，贴新标签LINK绑定后，目检包装，数量一共62pcs。</t>
  </si>
  <si>
    <t>500323-B2515B-PC 0011801490JZ</t>
  </si>
  <si>
    <t>1490JZ产品PTC不良返工，入MRB，退站CARTON，套热缩管，热风枪加热，目检，包装，数量一共4967pcs。</t>
  </si>
  <si>
    <t>OID码更改返工，入MRB，退站撕标贴，贴新标签LINK绑定后，目检包装，数量一共1000pcs。</t>
  </si>
  <si>
    <t>500323-C24F8B-PC 0011801852A</t>
  </si>
  <si>
    <t>OID码更改返工，入MRB，退站撕标贴，贴新标签LINK绑定后，目检包装，数量一共2000pcs。</t>
  </si>
  <si>
    <t>OID码更改返工，入MRB，退站撕标贴，贴新标签LINK绑定后，目检包装，数量一共500pcs。</t>
  </si>
  <si>
    <t>1490JZ产品PTC不良返工，入MRB，退站CARTON，套热缩管，热风枪加热，目检，包装，数量一共1791pcs。</t>
  </si>
  <si>
    <t>1094-C2101A-PC</t>
  </si>
  <si>
    <t>为满足出货要求，现将002H改制成002F: 贴MES标签，补MES数据，更换客户标贴，烧录主程序数据，FCT测试无误后，目检包装出货,数量50pcs</t>
  </si>
  <si>
    <t>客户紧急订单需求；现对693-A2180C-PC 0011800646F    主程序擦除、FCT、主程序烧录、FCT、EE擦除、EE校验、EE程序烧录、EE程序校验、新增D4,K2,CN43,CN44,CN47,CN5，改制成  693-A2180G-PC 0011800646L后，FCT测试，补漆、贴标签、link绑定 目检，包装出货,数量533pcs；</t>
  </si>
  <si>
    <t>日立PV2229电感交叉错料返工，数量两款各100pcs.</t>
  </si>
  <si>
    <t>103产品灌胶后表面发白起泡，现对不良品进行返修并升级最新程序，FCT测试合格后目检包装，473pcs</t>
  </si>
  <si>
    <t>500493-B2407D-D G0020 2491645</t>
  </si>
  <si>
    <t>在产500493-B2407D-D G0020 2491645产品技改返工，增加跳线J44,J45,J46，共176psc。</t>
  </si>
  <si>
    <t>500493-B2407E-D G0020 2491646</t>
  </si>
  <si>
    <t>客户产品技改返工。</t>
  </si>
  <si>
    <t>车工文件错误</t>
  </si>
  <si>
    <t>1323-B2207A-D  0011800950F  产品更改包材，更换外箱标贴，包装，共197pcs。</t>
  </si>
  <si>
    <t>1323-B2207A-L 0011800950G 产品更改包材，更换外箱标贴，包装，共159pcs。</t>
  </si>
  <si>
    <t>OID码更改返工，入MRB，退站撕标贴，贴新标签LINK绑定后，目检包装，数量一共522pcs。</t>
  </si>
  <si>
    <t>库存消呆，500323-C2508C-PC 0011801824B改制1824，更换MES标签，拆除更换CN7，E3元件，清理焊点补漆，烧录EE程序和风机程序，FCT测试、更换客户标贴LINK绑定、目检包装出货,数量500pcs。</t>
  </si>
  <si>
    <t>534AA老化验证可靠性，FCT测试、老化,然后复测FCT，数量1080pcs</t>
  </si>
  <si>
    <t>R143,R144电阻裂，C33电容不良；现对500323-C24N9H-PC 0011801490AZ 更换R143,R144,C33，目检、复制mes标签，EE擦除，EE烧录，EE校验，撕客户标签，ICT测试，FCT测试，补UV胶，贴标签、link绑定，改制成 500323-C24A9A-PC 0011801490S后，目检、包装；数量4560pcs；</t>
  </si>
  <si>
    <t>李阳</t>
  </si>
  <si>
    <t>0021800616C交货出口散件，产品更改包材，目检，包装扫描，共650pcs。</t>
  </si>
  <si>
    <t>OID码更改返工，入MRB，退站撕标贴，贴新标签LINK绑定后，目检包装，数量一共2087pcs。</t>
  </si>
  <si>
    <t>海信日立要求成品外箱必须带有RoHS标识。</t>
  </si>
  <si>
    <t>201-A2423B-PC 1204350 H7B11853B-D PV2206</t>
  </si>
  <si>
    <t>201-A2402B-PC 1203876_H7B11803B-D/PV220&amp;</t>
  </si>
  <si>
    <t>库存品消呆；现对693-B2209A-PC 0011801425N 复制MES标签，新增D7,R16,CX3，K2,CN10,清理焊点、目检、AVI测试，板底板面补漆，EE擦除、EE校验，EE程序烧录、EE程序校验，改制成693-B2209B-PC-0011801425P  后FCT测试、贴标签、link绑定、目检、包装，数量15PCS。</t>
  </si>
  <si>
    <t>库存消呆，500323-C2508C-PC 0011801824B改制1824产品。</t>
  </si>
  <si>
    <t>客户技改，升级EE程序和主程序，FCT测试、更换客户标贴LINK绑定、目检包装出货,数量107pcs。</t>
  </si>
  <si>
    <t>库存消呆提供备件，现将616A改制成616C，擦除，烧录，校验程序，FCT测试，贴标签LINK绑定后，目检，使用纸箱包装，数量一共650pcs。</t>
  </si>
  <si>
    <t>OID码更改返工，入MRB，退站撕标贴，贴新标签LINK绑定后，目检包装，数量一共1201pcs。</t>
  </si>
  <si>
    <t>海信500493-B2407系列排母立即变更，取产品退站CARTON，修剪CN501排针，目检，包装，一共195pcs。</t>
  </si>
  <si>
    <t>500493-B2407G-D G0020 2493878</t>
  </si>
  <si>
    <t>海信500493-B2407系列排母立即变更，取产品退站CARTON，修剪CN501排针，目检，包装，一共309pcs。</t>
  </si>
  <si>
    <t>海信500493-B2407系列排母立即变更，取产品退站CARTON，修剪CN501排针，目检，包装，一共394pcs。</t>
  </si>
  <si>
    <t>海信500493-B2407系列排母立即变更，取产品退站CARTON，修剪CN501排针，目检，包装，外箱粘贴“排母已返”标贴，一共1195pcs。</t>
  </si>
  <si>
    <t>500493-B2407J-D G0020 20107934</t>
  </si>
  <si>
    <t>海信500493-B2407系列排母立即变更，取产品退站CARTON，修剪CN501排针，目检，包装，一共436pcs。</t>
  </si>
  <si>
    <t>海信500493-B2407系列排母立即变更，取产品退站CARTON，修剪CN501排针，目检，包装，外箱粘贴“排母已返”标贴，一共988pcs。</t>
  </si>
  <si>
    <t>500493-B2407B-D G0020 2480423</t>
  </si>
  <si>
    <t>海信500493-B2407系列排母立即变更，取产品退站CARTON，修剪CN501排针，目检，包装，外箱粘贴“排母已返”标贴，一共399pcs。</t>
  </si>
  <si>
    <t>海信500493-B2407系列排母立即变更，取产品退站CARTON，修剪CN501排针，目检，包装，一共542pcs。</t>
  </si>
  <si>
    <t>海信500493-B2407系列排母立即变更，取产品退站CARTON，修剪CN501排针，目检，包装，一共180pcs。</t>
  </si>
  <si>
    <t>海信500493-B2407系列排母立即变更，取产品退站CARTON，修剪CN501排针，目检，包装，一共1527pcs。</t>
  </si>
  <si>
    <t>海信500493-B2407系列排母立即变更，取产品退站CARTON，修剪CN501排针，目检，包装，一共239pcs。</t>
  </si>
  <si>
    <t>仓库调整账务</t>
  </si>
  <si>
    <t>仓库阳哥</t>
  </si>
  <si>
    <t>600766-A2504A-PC客户端测试L1电感不符合技术要求，现对产品进行电感L1拆除，更换电感，清理焊点，喷漆固化，FCT测试后，目检包装，数量100PCS。</t>
  </si>
  <si>
    <t>500323-C24L2A-PC 0011801889</t>
  </si>
  <si>
    <t>OID码更改返工，入MRB，退站撕标贴，贴新标签LINK绑定后，目检包装，数量一共98pcs。</t>
  </si>
  <si>
    <t>海信智慧客户7S系列软件更新，升级最新程序，FCT测试，贴标签LINK绑定，目检，包装扫描，一共1127pcs。</t>
  </si>
  <si>
    <t>海信智慧客户7S系列软件更新，升级最新程序，FCT测试，贴标签LINK绑定，目检，包装扫描，一共471pcs。</t>
  </si>
  <si>
    <t>海信智慧客户7S系列软件更新，升级最新程序，FCT测试，贴标签LINK绑定，目检，包装扫描，一共426pcs。</t>
  </si>
  <si>
    <t>OID码更改返工，入MRB，退站撕标贴，贴新标签LINK绑定后，目检包装，数量一共730pcs。</t>
  </si>
  <si>
    <t>OID码更改返工，入MRB，退站撕标贴，贴新标签LINK绑定后，目检包装，数量一共1856pcs。</t>
  </si>
  <si>
    <t>OID码更改返工，入MRB，退站撕标贴，贴新标签LINK绑定后，目检包装，数量一共2915pcs。</t>
  </si>
  <si>
    <t>2189-B2401G-PC 2397250</t>
  </si>
  <si>
    <t>2189-B2401I-PC 2397245 改制成2189-B2401G-PC 2397250 ，升级程序，FCT测试，贴标签LINK绑定，目检，包装扫描，一共200pcs。</t>
  </si>
  <si>
    <t>500323-C24R1A-PC产品清尾，取产品，安装整理线束，目检，包装，一共48pcs。</t>
  </si>
  <si>
    <t>海信智慧客户7S系列软件更新，升级最新程序，FCT测试，贴标签LINK绑定，目检，包装扫描，一共673pcs。</t>
  </si>
  <si>
    <t>海信智慧客户7S系列软件更新，升级最新程序，FCT测试，贴标签LINK绑定，目检，包装扫描，一共548pcs。</t>
  </si>
  <si>
    <t>现对600766-A2504A-PC拆除，更换电感，清理焊点，喷漆固化，FCT测试后，目检包装，数量1000PCS。</t>
  </si>
  <si>
    <t>海信500493-B2402E-D 2418237产品改制500493-B2402D-D 2418236 ，取产品退站ASSY，更换产品标贴LINK绑定、目检包装出货,数量30pcs。</t>
  </si>
  <si>
    <t>500493-B2402A-D 2417971</t>
  </si>
  <si>
    <t>海信500493-B2402C-D 2417973产品改制500493-B2402A-D 2417971，擦除主程序，烧录主程序数据，FCT测试、更换标贴、目检包装出货,数量1pcs。</t>
  </si>
  <si>
    <t>600766-A2504A-PC客户端测试L1电感不符合技术要求，现对产品进行电感L1拆除，更换电感，清理焊点，喷漆固化，FCT测试后，目检包装，数量1000PCS。</t>
  </si>
  <si>
    <t>500269-C2501A-X G0020 12990319 DW50CN 澳洲</t>
  </si>
  <si>
    <t>产品售后返工，取产品，拆屏幕和外壳，压合屏幕组装后，FCT测试，贴标签LINK绑定，目检包装，一共5pcs。</t>
  </si>
  <si>
    <t>500323-C2491B-PC 0011801657A</t>
  </si>
  <si>
    <t>客户技改，升级EE程序，FCT测试、更换客户标贴LINK绑定、目检包装出货,数量56pcs。</t>
  </si>
  <si>
    <t>615A库存升级最新程序，擦除，FCT测试，烧录，FCT测试，读版本号，贴标签LINK绑定后，目检，包装，数量一共83pcs。</t>
  </si>
  <si>
    <t>客户技改，升级EE程序，FCT测试、更换客户标贴LINK绑定、目检包装出货,数量133pcs。</t>
  </si>
  <si>
    <t>500323-C24A9A-PC 0011801490S产品客退复测，取产品，ICT测试C33电容，目检扫描，包装扫描，OBA抽检，数量219PCS。</t>
  </si>
  <si>
    <t>青岛工程部</t>
  </si>
  <si>
    <t>600766-A2504A-PC客户端测试L1电感不符合技术要求，现对产品进行电感L1拆除，更换电感，清理焊点，喷漆固化，FCT测试后，目检包装，数量1500PCS。</t>
  </si>
  <si>
    <t>615改制615A，烧写最新触摸程序和主程序，擦除，FCT测试，烧录，FCT测试，读版本号，贴标签LINK绑定后，目检，包装，数量一共90pcs。</t>
  </si>
  <si>
    <t>616F样机升级最新程序，擦除，FCT测试，烧录，FCT测试，读版本号，贴标签LINK绑定后，目检，包装，数量一共83pcs。</t>
  </si>
  <si>
    <t>更换标贴返工，确认新标签与旧标签内容一致，入MRB，退站ASSY,撕标贴，贴新标签LINK绑定后，目检包装，数量一共5pcs。</t>
  </si>
  <si>
    <t>更换标贴返工，确认新标签与旧标签内容一致，入MRB，退站ASSY,撕标贴，贴新标签LINK绑定后，目检包装，数量一共211pcs。</t>
  </si>
  <si>
    <t>更换标贴返工，确认新标签与旧标签内容一致，入MRB，退站ASSY,撕标贴，贴新标签LINK绑定后，目检包装，数量一共23pcs。</t>
  </si>
  <si>
    <t>更换标贴返工，确认新标签与旧标签内容一致，入MRB，退站ASSY,撕标贴，贴新标签LINK绑定后，目检包装，数量一共500pcs。</t>
  </si>
  <si>
    <t>更换标贴返工，确认新标签与旧标签内容一致，入MRB，退站ASSY,撕标贴，贴新标签LINK绑定后，目检包装，数量一共3pcs。</t>
  </si>
  <si>
    <t>更换标贴返工，确认新标签与旧标签内容一致，入MRB，退站ASSY,撕标贴，贴新标签LINK绑定后，目检包装，数量一共138pcs。</t>
  </si>
  <si>
    <t>更换标贴返工，确认新标签与旧标签内容一致，入MRB，退站ASSY,撕标贴，贴新标签LINK绑定后，目检包装，数量一共197pcs。</t>
  </si>
  <si>
    <t>693-B2286A-D 0021800442G 产品升级程序，现对442G产品烧录主程序数据，FCT测试，更换标签LINK绑定后，目检包装出货,数量557pcs。</t>
  </si>
  <si>
    <t>1323-C2205C-PC 0011801036C 不良品库存返工，取产品，退站ASSY确认工单，板面喷漆，更换标签LINK绑定，点胶，目检，更改纸箱包装，一共126pcs。</t>
  </si>
  <si>
    <t>更换标贴返工，确认新标签与旧标签内容一致，入MRB，退站ASSY,撕标贴，贴新标签LINK绑定后，目检包装，数量一共95pcs。</t>
  </si>
  <si>
    <t>更换标贴返工，确认新标签与旧标签内容一致，入MRB，退站ASSY,撕标贴，贴新标签LINK绑定后，目检包装，数量一共150pcs。</t>
  </si>
  <si>
    <t>更换标贴返工，确认新标签与旧标签内容一致，入MRB，退站ASSY,撕标贴，贴新标签LINK绑定后，目检包装，数量一共24pcs。</t>
  </si>
  <si>
    <t>更换标贴返工，确认新标签与旧标签内容一致，入MRB，退站ASSY,撕标贴，贴新标签LINK绑定后，目检包装，数量一共296pcs。</t>
  </si>
  <si>
    <t>为满足出货需求，现将616改制成616F，擦除，烧录，校验程序，FCT测试，读版本号，贴标签LINK绑定后，目检，包装扫描，数量一共300pcs。</t>
  </si>
  <si>
    <t>693-C23B8A-PC 0151800561CA</t>
  </si>
  <si>
    <t>客户通知Z1程序升级，现对561CA 更换产品标贴，烧录Z1程序数据，读取并确认检验和无误后FCT测试,然后目检包装，数量85pcs.</t>
  </si>
  <si>
    <t>青岛事业部消耗低呆滞；现对693-B2363A-D 0011801125，拆除SEN1光感， 更换客户标签，R48焊盘加锡去胶，清理焊盘、焊件，洗板补漆，改制成 693-A2380A-D 0011801125A   后测试、贴标签、目检，包装出货,数量649pcs</t>
  </si>
  <si>
    <t>1031D客退品，升级最新程序，FCT测试无误后、目检包装出货,数量1pcs</t>
  </si>
  <si>
    <t>海信产品500269-C2405A-X 2446112 天青墨升级最新程序，补打WIFI ID标签，FCT测试合格后目检、包装复喷，共10pcs。</t>
  </si>
  <si>
    <t>103返工-关单直接返工</t>
  </si>
  <si>
    <t>OID码更改返工，确认新标签与旧标签内容一致，入MRB，退站撕标贴，贴新标签LINK绑定后，目检包装，数量一共8pcs。</t>
  </si>
  <si>
    <t>顺德零星客退</t>
  </si>
  <si>
    <t>商空1031A返工，更换散热硅脂，打胶，FCT测试无误后、目检，更换吸塑包装出货,数量78pcs.</t>
  </si>
  <si>
    <t>顺德海信</t>
  </si>
  <si>
    <t>138R筛选外壳破碎，数量1753pcs.</t>
  </si>
  <si>
    <t>陈仁杰专家供应商</t>
  </si>
  <si>
    <t>693-B2287H-PC G0044 0190400359AF</t>
  </si>
  <si>
    <t>库存升级现将359AC改制成359AF，更换产品标贴，烧录Z1程序数据，读取并确认检验和无误后FCT测试,然后目检包装，数量33pcs。</t>
  </si>
  <si>
    <t>支架来料变形、致IGBT功率器件是否翘起；现对600766-A2505D-PC G0044 0011801843K   目检功率器件是否翘起、线束外观、包装；数量200pcs；</t>
  </si>
  <si>
    <t>扎线长度不符合客户要求，现对库存品重新测量扎线长度，FCT测试合格后目检包装，共3120pcs。</t>
  </si>
  <si>
    <t>1031C库存品升级EE程序，校验和E:CED5，FCT测试无误后、目检包装出货,数量75pcs.</t>
  </si>
  <si>
    <t>库存品消呆；现对1323-C2201A-D 0011800950E 增加MES标签，拆除J4、J8、SW7，LED14更换CN2、CN6,清理焊点、目检、补漆，重烧主程序、EE擦除、EE校验、EE程序烧录、EE程序校验，改制成 1911-C2302C-D G0044 0011800950G(泰国)   后FCT测试、贴标签、link绑定、包装，数量545PCS</t>
  </si>
  <si>
    <t>OID码更改返工，入MRB，退站撕标贴，贴新标签LINK绑定后，目检包装，数量一共1200pcs。</t>
  </si>
  <si>
    <t>600766-A2504A-PC客户端测试L1电感不符合技术要求，现对产品进行电感L1拆除，更换电感，清理焊点，喷漆固化，FCT测试后，目检包装，数量900PCS。</t>
  </si>
  <si>
    <t>库存500323-C24P8A-PC产品升级EE程序，FCT测试合格后，贴标贴LINK绑定，目检包装，一共154pcs。</t>
  </si>
  <si>
    <t>138R库存升级最新程序，擦除，FCT测试，烧录，FCT测试，贴标签LINK绑定后，目检，包装，数量一共1105pcs。</t>
  </si>
  <si>
    <t>616G库存升级最新程序，擦除，FCT测试，烧录，FCT测试，读版本号，贴标签LINK绑定后，目检，包装，数量一共1192pcs。</t>
  </si>
  <si>
    <t>1687库存返回厂内更换WIFI标签，数量一共335pcs。</t>
  </si>
  <si>
    <t>500323-C24A1A-PC 0190400340BA</t>
  </si>
  <si>
    <t>为满足出货需求，现将340改制成340BA，复制MES信息，擦除主程序，校验，烧录主程序，校验，FCT测试，贴标签LINK绑定后，目检，包装扫描，数量一共384pcs。</t>
  </si>
  <si>
    <t>693-C2433A-PC产品升级主程序返工，取产品，擦除主程序，校验主程序，烧录主程序，校验，FCT测试，更换客户标贴，目检包装扫描,数量116pcs。</t>
  </si>
  <si>
    <t>600766-A2504A-PC客户端测试L1电感不符合技术要求，现对产品进行电感L1拆除，更换电感，清理焊点，喷漆固化，FCT测试后，目检包装，数量1350PCS。</t>
  </si>
  <si>
    <t>693-C2352D-PC 0011801516E  产品，升级EE程序和主程序，FCT测试、更换客户标贴LINK绑定、目检包装,数量14pcs。</t>
  </si>
  <si>
    <t>0021800616E产品更改包材，目检，包装扫描，共320pcs。</t>
  </si>
  <si>
    <t>693-C2352C-PC 0011801516D   产品，升级EE程序和主程序，FCT测试、更换客户标贴LINK绑定、目检包装,数量24pcs。</t>
  </si>
  <si>
    <t>693-C2352B-PC 0011801516C   产品，升级EE程序和主程序，FCT测试、更换客户标贴LINK绑定、目检包装,数量3pcs。</t>
  </si>
  <si>
    <t>693-C2352A-PC 0011801516  产品，升级EE程序和主程序，FCT测试、更换客户标贴LINK绑定、目检包装,数量201pcs。</t>
  </si>
  <si>
    <t>616G库存升级最新程序，擦除，FCT测试，烧录，FCT测试，读版本号，贴标签LINK绑定后，目检，包装，数量一共752pcs。</t>
  </si>
  <si>
    <t>海信500493-B2407B-D G0020 2480423产品改制500493-B2407I-D G0020 20114666，复制MES标贴，擦除主程序，校验，烧录主程序，FCT测试，读版本号，更换标贴、目检包装出货,数量45pcs。</t>
  </si>
  <si>
    <t>201-A2371A-PC 1196682_H7B11346B-D/PV220&amp;</t>
  </si>
  <si>
    <t>海信日立产品外壳结构件破损，厂家筛选不良品，返工复检。</t>
  </si>
  <si>
    <t>供应商</t>
  </si>
  <si>
    <t>倍世1414改制1060171，取产品退站CARTON,更换客户标贴，目检，更换纸箱包装，粘贴追溯卡，一共400pcs。</t>
  </si>
  <si>
    <t>改模后打样新支架，客户端验证漏水实验，693-C2556A-D 产品更换新支架(研发提供)，目检，包装扫描一共20pcs。</t>
  </si>
  <si>
    <t>693-C2574B-C G0044 0021800839A</t>
  </si>
  <si>
    <t>693-C2574C-C G0044 0021800839B改制839A，取产品退站FCT,更换MES标贴，擦除主程序，校验主程序，烧录主程序，校验主程序，FCT测试，更换客户标贴LINK，目检，包装扫描，一共64pcs。</t>
  </si>
  <si>
    <t>693-C2246A-PC 0011801172AG 产品提供备件，取产品退站CARTON,目检，更换包材扫描，一共900pcs。</t>
  </si>
  <si>
    <t>1323-B2207A-P 0011800951B  改制1911-C2302D-PC G0044 0011800951B，取产品退站ASSY,更换客户标贴和MES标贴，LINK后目检，更换包装扫描，一共8pcs。</t>
  </si>
  <si>
    <t>500323-C24D2A-D 0021800616B 产品筛选不良品，取产品，测试Baselin值和差值，目检，包装扫描，一共3102pcs。</t>
  </si>
  <si>
    <t>500323-C24D2B-D 0021800616C  产品筛选不良品，取产品，测试Baselin值和差值，目检，包装扫描，一共2044pcs。</t>
  </si>
  <si>
    <t>693-B23G9A-PC  0011801424AT 目检更换包材包装,数量284pcs。</t>
  </si>
  <si>
    <t>为满足出货需求，现将377A改制成377，拆除支架，LED5,LED7,LED10,LED12，CN4，清理焊点，补漆固化，更换新支架，擦除主程序，校验，烧录主程序，校验，FCT测试，贴标签LINK绑定后，目检，包装扫描，数量一共1885pcs。</t>
  </si>
  <si>
    <t>693-C2352C-PC 0011801516D  客户技改升级主程序，取产品，擦除主程序，FCT测试，烧录主程序，FCT测试，目检包装扫描,数量12pcs。</t>
  </si>
  <si>
    <t>500493-B2407D-D产品更改纸箱包材，包装，共900pcs。</t>
  </si>
  <si>
    <t>无工单</t>
  </si>
  <si>
    <t>693-B2201I-PC 0011801424W更换IC1光耦，更换产品标签，功能测试，目检包装出货</t>
  </si>
  <si>
    <t>693-B2201H-PC 0011801424V</t>
  </si>
  <si>
    <t>693-B2201H-PC 0011801424V更换IC1光耦，更换产品标签，功能测试，目检包装出货</t>
  </si>
  <si>
    <t>500493-B2407E-D产品更改纸箱包材，包装，共1350pcs。</t>
  </si>
  <si>
    <t>693-C23B8A-PC 0151800561CA产品，升级EE程序和主程序，FCT测试、更换客户标贴LINK绑定、目检包装出货,数量73pcs。</t>
  </si>
  <si>
    <t>为消化呆滞库存，现对113M产品更换产品标贴，烧录主程序数据，改制成113F，FCT测试无误后，目检包装出货,数量500pcs。</t>
  </si>
  <si>
    <t>客户技改，升级EE程序和主程序，FCT测试、更换客户标贴LINK绑定、目检包装出货,数量90pcs。</t>
  </si>
  <si>
    <t>138R库存升级最新程序，擦除，FCT测试，烧录，FCT测试，贴标签LINK绑定后，目检，包装，数量一共2638pcs。</t>
  </si>
  <si>
    <t>商空1031A返工，更换散热硅脂，打胶，FCT测试无误后、目检包装出货,数量237pcs.</t>
  </si>
  <si>
    <t>693-C2413A-PC产品电感不良返工,取产品拆卸外壳，拆除电感L1，打孔焊接元件L1，目检板底板面，安装外壳，FCT测试，收板，一共数量5100pcs。</t>
  </si>
  <si>
    <t>暂时没定责任</t>
  </si>
  <si>
    <t>600766-A2504A-PC客户端测试L1电感不符合技术要求，现对产品进行电感L1拆除，更换电感，清理焊点，喷漆固化，FCT测试后，目检包装，数量1510PCS。</t>
  </si>
  <si>
    <t>客户技改，升级主程序，EE程序，FCT测试、更换客户标贴LINK绑定、目检包装出货,数量36pcs。</t>
  </si>
  <si>
    <t>客户技改，升级主程序，EE程序，FCT测试、更换客户标贴LINK绑定、目检包装出货,数量224pcs。</t>
  </si>
  <si>
    <t>客户技改，升级主程序，EE程序，FCT测试、更换客户标贴LINK绑定、目检包装出货,数量152pcs。</t>
  </si>
  <si>
    <t>693-C25A9A-PC G0044 0151801003AB</t>
  </si>
  <si>
    <t>客户技改，升级主程序，EE程序，FCT测试、更换客户标贴LINK绑定、目检包装出货,数量425pcs。</t>
  </si>
  <si>
    <t>616系列客户增加baseline值测试，发货前要返工测试一遍baseline值再出货，数量20</t>
  </si>
  <si>
    <t>为满足发货需求，现将616J改制为616H，更换产品标贴，烧录Z程序数据，读取并确认检验和无误后FCT测试、baseline值测试，目检包装出货,数量70pcs</t>
  </si>
  <si>
    <t>接客户通知，关于7S天青墨屏显模组颜色判定说明——库存隔离，挑选后出货,总数量2761</t>
  </si>
  <si>
    <t>500269-C2401A-X 2399506 天青墨</t>
  </si>
  <si>
    <t>500323-C24D2A-D 0021800616B 不良品处理，不良品重新喷漆，测试baseline值，目检，包装，数量一共80pcs。</t>
  </si>
  <si>
    <t>500323-C24D2A-D 0021800616B改制616F 擦除U1，FCT测试，烧录U1，FCT测试，读版本号，贴标签LINK绑定后，重新喷漆，测试baseline值，目检，包装扫描，数量一共130pcs。</t>
  </si>
  <si>
    <t>为满足交付，现将海信2189-B2505E G0020 2506399产品改制2189-B2505F G0020 20107993 ，复制MES标贴，擦除主程序，校验，烧录主程序，校验，FCT测试，更换标贴LINK、目检包装出货,数量300pcs。</t>
  </si>
  <si>
    <t>500323-C24A9A-PC 0011801490S 锁螺丝返工，取产品，锁紧风机IPM2螺丝，目检，包装,数量2100pcs。</t>
  </si>
  <si>
    <t>实物在1700返工，账务在1900,1900帮助建单</t>
  </si>
  <si>
    <t>合肥工厂</t>
  </si>
  <si>
    <t>693-C2568B-PC G0044 0011800722GCHA</t>
  </si>
  <si>
    <t>693-C2568B-PC G0044 0011800722GCHA  客户技改升级EE程序，取产品，擦除EE程序，校验EE，烧录EE，校验EE，FCT测试，贴标贴LINK后，目检包装扫描,数量61pcs。</t>
  </si>
  <si>
    <t>500323-C24F2A-D 0121800104WD</t>
  </si>
  <si>
    <t>为满足交货需求，现将500323-C24F2A-D 0121800104WD改制693-C2621A G0044 0121800104WC，更换MES标签，拆除LED显示模块，焊接新显示模块,CCD目检，清理焊点补漆，L板和R板重新烧写主程序，FCT测试、更换客户标贴LINK绑定、目检包装出货,数量319pcs。</t>
  </si>
  <si>
    <t>693-C2622A G0044 0121800104WP</t>
  </si>
  <si>
    <t>为满足交货需求，现将500323-C24F2A-D 0121800104WD改制693-C2622A G0044 0121800104WP ，更换MES标签，拆除LED显示模块，焊接新显示模块,CCD目检，清理焊点补漆，L板和R板重新烧写主程序，FCT测试、更换客户标贴LINK绑定、目检包装出货,数量31pcs。</t>
  </si>
  <si>
    <t xml:space="preserve">为满足交货需求，现将500323-C24F2B G0044 0121800104WE改制693-C2598A G0044 0121800104WF  </t>
  </si>
  <si>
    <t>500323-C2497A-PC 0190400556B</t>
  </si>
  <si>
    <t>500323-C2497A-PC 0190400556B产品打胶点堵安规槽返工，取产品退站FI，清理白胶，重新打胶，目检扫描，包装扫描,数量57pcs。</t>
  </si>
  <si>
    <t>693-C2595D-D G0044 0021800866A</t>
  </si>
  <si>
    <t>洗衣机产品改制，现将693-C2595A-D G0044 0021800866 产品，更换8字膜片，擦除U4程序，烧录U4程序，校验U4程序改制成693-C2595D-D G0044 0021800866A 后，FCT测试，贴标签LINK绑定，目检包装，数量一共32pcs。</t>
  </si>
  <si>
    <t>500323-C24D2H-D G0044 0021800616GA改制616G 擦除U1，FCT测试，烧录U1，FCT测试，读版本号，贴标签LINK绑定后，重新喷漆，测试baseline值，目检，更改纸箱包装扫描，数量一共320pcs。</t>
  </si>
  <si>
    <t>501851-A2514A-D G0384 612101020026  产品返工加焊按键引脚，取产品，拆卸外壳，加焊按键引脚，清理焊点，目检外观，吹面壳，组装外壳，锁螺钉，点亮测试，修整外壳，平面度检测，目检，包装扫描,数量960pcs。</t>
  </si>
  <si>
    <t>501851-A2513A-D G0384 612101020027 产品返工加焊按键引脚，取产品，拆卸外壳，加焊按键引脚，清理焊点，目检外观，吹面壳，组装外壳，锁螺钉，点亮测试，修整外壳，平面度检测，目检，包装扫描,数量2228pcs。</t>
  </si>
  <si>
    <t>样机产品改制，现将693-C2595A-D G0044 0021800866 产品，热压支架，擦除U4,烧录U4,校验U4，改制成693-C2595D-D G0044 0021800866B 后，FCT测试，贴标签LINK绑定，目检包装，数量一共15pcs。</t>
  </si>
  <si>
    <t>693-C2390A-D 0021800616 客退不良品处理，取产品，确认原标贴校验和与现标贴一致后，测试baseline值，重新喷漆，测试baseline值，点亮测试，目检，包装，数量一共100pcs。</t>
  </si>
  <si>
    <t>因产能不足无法按时交货，现将500323-C24D2H-D G0044 0021800616GA改制616G 擦除U1，FCT测试，烧录U1，FCT测试，读版本号，贴标签LINK绑定后，重新喷漆，测试baseline值，目检，更改纸箱包装扫描，数量一共220pcs。</t>
  </si>
  <si>
    <t>库存693-C2516A-PC产品升级主程序，取产品，擦除主程序，校验，烧录主程序，校验，FCT测试合格后，贴标贴LINK绑定，目检包装，一共132pcs。</t>
  </si>
  <si>
    <t>693-C20023E-D 0190400001D</t>
  </si>
  <si>
    <t>客户通知升级主程序，现对615B 更换产品标贴，烧录Z程序数据，读取并确认检验和无误后FCT测试、目检包装出货,数量432pcs</t>
  </si>
  <si>
    <t>波峰焊加锡条炉温降低，导致IPM透锡不良；现对693-C2246AC-PC 0011801172BD  目检,维修、测试,目检，包装出货,数量：150PCS</t>
  </si>
  <si>
    <t>商空的板子不良仓有以下客退不良，请建立返工工单维修</t>
  </si>
  <si>
    <t>1687库存返回厂内更换WIFI标签，数量100pcs。</t>
  </si>
  <si>
    <t>1031C客退品，升级最新程序，FCT测试无误后、目检包装出货,数量2pcs</t>
  </si>
  <si>
    <t>海信产品201-A2381A-O HLP5602-GWM.01升级最新程序，补打WIFI ID标签，FCT测试合格后目检、包装复喷，共1pcs。</t>
  </si>
  <si>
    <t>海信产品201-A2381B-X HLP5602-GWM(天青墨) 天青墨升级最新程序，补打WIFI ID标签，FCT测试合格后目检、包装复喷，共10pcs。</t>
  </si>
  <si>
    <t>海信产品201-A2381C-X 2297595 冼衣机面板(全球白)升级最新程序，补打WIFI ID标签，FCT测试合格后目检、包装，共1pcs。</t>
  </si>
  <si>
    <t>海信产品500269-C2401A-X 2399506 天青墨升级最新程序，补打WIFI ID标签，FCT测试合格后目检、包装复喷，共1pcs。</t>
  </si>
  <si>
    <t>海信产品500269-C2401C-X升级最新程序，补打WIFI ID标签，FCT测试合格后目检、包装复喷，共1pcs。</t>
  </si>
  <si>
    <t>海信产品500269-C2408A-X 2447564全球白新欧标升级最新程序，补打WIFI ID标签，更换扬声器，FCT测试合格后目检、包装，共1pcs。</t>
  </si>
  <si>
    <t>海信500493-B2402E客户端升级程序，需要在线升级程序，FCT测试OK后，目检包装，返工数量39。</t>
  </si>
  <si>
    <t>客户EE程序升级，现对693-C2532B-PC 0011802020A机型 EE程序烧录、FCT测试、更换标签、目检包装,数量200pcs。</t>
  </si>
  <si>
    <t>海信产品201-A2381F-X 2376777 7S古洛尼白升级最新程序，补打WIFI ID标签，FCT测试合格后目检、包装，共2pcs。</t>
  </si>
  <si>
    <t>插座不一样无法改制，现将534D改回534，更换产品标贴，烧录Z1程序数据，读取并确认检验和无误后FCT测试,然后目检包装，数量500pcs</t>
  </si>
  <si>
    <t>客户订单需求；现对693-C2172E-PC 0011800377Y 增加物联数据，MES标签，FCT测试，目检、包装出货,数量407pcs</t>
  </si>
  <si>
    <t>为消化呆滞库存，现对113M产品更换产品标贴，烧录主程序数据，改制成113F ，FCT测试无误后，目检包装出货,数量292pcs</t>
  </si>
  <si>
    <t>693-C2571B-PC，产品R177,R178物料选择K脚方向不合适，与E8有干涉，调整R177,R178倾斜方向，点胶固定返工，一共476pcs。</t>
  </si>
  <si>
    <t>客户技改，升级EE程序和主程序，FCT测试、更换客户标贴LINK绑定、目检包装出货,数量430pcs。</t>
  </si>
  <si>
    <t>OID码更改返工，入MRB，退站撕标贴，贴新标签LINK绑定后，目检包装，数量一共63pcs。</t>
  </si>
  <si>
    <t>1031C客退品返工，升级EE程序，校验和E:CED5，FCT测试无误后、目检包装出货,数量47pcs.</t>
  </si>
  <si>
    <t>海尔洗衣机售后检测仪退货返工升级最新程序，取产品拆卸外壳，升级程序，FCT测试，目检，包装，一共50pcs。</t>
  </si>
  <si>
    <t>500493-B2402E-D 返工取产品，X-Ray测试，目检，包装，共100pcs。</t>
  </si>
  <si>
    <t>商空1031E改制1031A，擦除主程序，FCT测试，烧录主程序,擦除EE，校验EE，FCT测试无误后、目检包装扫描,数量一共189pcs.</t>
  </si>
  <si>
    <t>呆滞库存，442A产品返工筛选不良品，FCT测试后，目检，旧外壳需更换新外壳，FCT测试后，包装扫描，共99pcs。</t>
  </si>
  <si>
    <t>提供胶州备件，取产品退站FCT，FCT测试，目检外观，包装扫描，使用纸箱包装，一共100pcs。</t>
  </si>
  <si>
    <t>洗衣机374返工包材交售后备件,取产品，FCT测试，目检，更换外箱，共252psc。</t>
  </si>
  <si>
    <t>10880037268 产品升级最新程序，擦除U1，FCT测试，烧录U1，FCT测试，读版本号，贴标签LINK绑定后，重新喷漆，测试baseline值，目检，包装扫描，数量一共70pcs。</t>
  </si>
  <si>
    <t>海信侧出风产品粘胶，返工筛选不良品，清理白胶，数量一共247pcs。</t>
  </si>
  <si>
    <t>海信侧出风产品粘胶，返工筛选不良品，清理白胶，数量一共748pcs。</t>
  </si>
  <si>
    <t>海信侧出风产品粘胶，返工筛选不良品，清理白胶，数量一共452pcs。</t>
  </si>
  <si>
    <t>海信侧出风产品粘胶，返工筛选不良品，清理白胶，数量一共401pcs。</t>
  </si>
  <si>
    <t>海信侧出风产品粘胶，返工筛选不良品，清理白胶，数量一共288pcs。</t>
  </si>
  <si>
    <t>海信侧出风产品粘胶，返工筛选不良品，清理白胶，数量一共149pcs。</t>
  </si>
  <si>
    <t>海信侧出风产品粘胶，返工筛选不良品，清理白胶，数量一共866pcs。</t>
  </si>
  <si>
    <t>海信侧出风产品粘胶，返工筛选不良品，清理白胶，数量一共440pcs。</t>
  </si>
  <si>
    <t>海信侧出风产品粘胶，返工筛选不良品，清理白胶，数量一共342pcs。</t>
  </si>
  <si>
    <t>海信侧出风产品粘胶，返工筛选不良品，清理白胶，数量一共240pcs。</t>
  </si>
  <si>
    <t>海信侧出风产品粘胶，返工筛选不良品，清理白胶，数量一共491pcs。</t>
  </si>
  <si>
    <t>海信侧出风产品粘胶，返工筛选不良品，清理白胶，数量一共295pcs。</t>
  </si>
  <si>
    <t>海信侧出风产品粘胶，返工筛选不良品，清理白胶，数量一共126pcs。</t>
  </si>
  <si>
    <t>为满足交货，现将693-C2404A-D 0021800615A(俄罗斯)改制693-C2404A-D 0021800615A(国内)，取产品，确认原标贴校验和与现标贴一致后，退站ASSY，更换MES标签，更换客户标贴LINK绑定、Baseline测试，FCT测试，目检，更改包装为吸塑后出货,数量160pcs。</t>
  </si>
  <si>
    <t>500323-C24D2A-D 0021800616B 不良品处理，取产品，确认原标贴校验和与现标贴一致后，测试baseline值，重新喷漆，测试baseline值，点亮测试，目检，包装，数量一共938pcs。</t>
  </si>
  <si>
    <t>500323-C24D2C-D 0021800616A   不良品处理，取产品，确认原标贴校验和与现标贴一致后，测试baseline值，重新喷漆，测试baseline值，点亮测试，目检，包装，数量一共837pcs。</t>
  </si>
  <si>
    <t>693-B2286B-D 0021800442A 返工筛选不良品，取产品，点亮测试，目检，包装,数量288pcs。</t>
  </si>
  <si>
    <t>693-B2548F-PC G0044 0011801922G  客户技改升级EE程序，取产品，擦除EE程序，校验EE，烧录EE，校验EE，FCT测试，贴标贴LINK后，目检包装扫描,数量38pcs。</t>
  </si>
  <si>
    <t>500323-C24D2J-D G0044 0021800616J 产品升级最新程序，擦除U1，FCT测试，烧录U1，FCT测试，读版本号，贴标签LINK绑定后，重新喷漆，测试baseline值，目检，包装扫描，数量一共1040pcs。</t>
  </si>
  <si>
    <t>693-C24Q3E-PC G0044 0011801977G    客户技改升级EE程序，取产品，擦除EE程序，校验EE，烧录EE，校验EE，FCT测试，贴标贴LINK后，目检包装扫描,数量37pcs。</t>
  </si>
  <si>
    <t>2189-B2505K G0020 20140245</t>
  </si>
  <si>
    <t>为满足交付，现将海信2189-B2505J G0020 20140244  产品改制2189-B2505K G0020 20140245 ，复制MES标贴，擦除主程序，校验，烧录主程序，校验，FCT测试，更换标贴LINK、目检包装出货,数量60pcs。</t>
  </si>
  <si>
    <t>海信洗衣机面板用错干衣机面板，返工筛选不良品，取产品，目检，包装一共390pcs。</t>
  </si>
  <si>
    <t>海信洗衣机面板用错干衣机面板，返工筛选不良品，取产品，目检，包装一共632pcs。</t>
  </si>
  <si>
    <t>海信洗衣机面板用错干衣机面板，返工筛选不良品，取产品，目检，包装一共145pcs。</t>
  </si>
  <si>
    <t>海信洗衣机面板用错干衣机面板，返工筛选不良品，取产品，目检，包装一共168pcs。</t>
  </si>
  <si>
    <t>海信洗衣机面板用错干衣机面板，返工筛选不良品，取产品，目检，包装一共66pcs。</t>
  </si>
  <si>
    <t>洗衣机产品改制，现将693-C2595A-D G0044 0021800866 产品，更换8字膜片，擦除U4程序，烧录U4程序，校验U4程序改制成693-C2595D-D G0044 0021800866A 后，FCT测试，贴标签LINK绑定，目检包装，数量一共12pcs。</t>
  </si>
  <si>
    <t>取产品，撕R板客户标签，R板擦除程序，校验，烧录程序，校验，FCT测试、更换客户标贴LINK绑定、目检包装出货,数量193pcs。</t>
  </si>
  <si>
    <t>693-B2201B-PC 0011801424B 返工锁紧IPM螺钉，取产品退站ASSY，锁紧螺钉，目检，包装扫描,数量640pcs。</t>
  </si>
  <si>
    <t>600766-A2501A-D G0044 0011800387DHR</t>
  </si>
  <si>
    <t>693-C2375A-D 0011800387D 合肥专用改制 600766-A2501A-D G0044 0011800387DHR 发往巴基斯坦，更换客户标贴LINK绑定，目检扫描，更改包材，数量一共13500pcs。</t>
  </si>
  <si>
    <t>693-A2179A-PC 0011800630K  产品按键进漆返工筛选不良品维修，取产品退站CARTON，紫光灯下目检按键有无进漆，检查按键按动功能是否良好，目检外观，包装扫描,数量1822pcs。</t>
  </si>
  <si>
    <t>693-A2179C-PC 0011800630L 产品按键进漆返工筛选不良品维修，取产品退站CARTON，紫光灯下目检按键有无进漆，检查按键按动功能是否良好，目检外观，包装扫描,数量181pcs。</t>
  </si>
  <si>
    <t>海尔洗衣机售后检测仪返工升级最新程序，取产品拆卸外壳，升级程序，FCT测试，目检，包装，一共143pcs。</t>
  </si>
  <si>
    <t>消呆；现对693-C2216H-D 0011800324N，更换CN1 和客户标签，CN1焊盘去胶，拆件打孔、焊件，洗板补漆，改制成 693-C2216F-D 0011800324T 后测试、贴标签LINK绑定、目检，包装扫描,数量903pcs。</t>
  </si>
  <si>
    <t>600766-B2606B-PC G0044 0011801843BC</t>
  </si>
  <si>
    <t>600766-B2606A-PC G0044 0011801843BA</t>
  </si>
  <si>
    <t>第一面</t>
    <phoneticPr fontId="7" type="noConversion"/>
  </si>
  <si>
    <t>693-C2608B-PC 0011801656D</t>
  </si>
  <si>
    <t>500323-C2491D-PC 0011801656B</t>
  </si>
  <si>
    <t xml:space="preserve">3号入库 </t>
  </si>
  <si>
    <t>500323-C24L6G-PC 0011801172DM</t>
  </si>
  <si>
    <t>5/6消耗掉--旧支架10270024553</t>
    <phoneticPr fontId="7" type="noConversion"/>
  </si>
  <si>
    <t>697-C2503D-DRV H7A09502C/PV2229Q</t>
  </si>
  <si>
    <t>500268-C2501I-DRV H7A09502L/PV2229Y</t>
  </si>
  <si>
    <t>1886-C2515A-X G0020 3677802 BCD-600W 屏显&amp;</t>
  </si>
  <si>
    <t>697-B2505A-DRV G0020 H7D39442C-D</t>
  </si>
  <si>
    <t>插件</t>
    <phoneticPr fontId="7" type="noConversion"/>
  </si>
  <si>
    <t>693-C2556A-D 0031800517</t>
  </si>
  <si>
    <t>693-C25A9A-PC 0151801003AB</t>
  </si>
  <si>
    <t>693-C2576B-PC 0011801490BS</t>
  </si>
  <si>
    <t>500269-C2407A-X 2446112 新欧标</t>
  </si>
  <si>
    <t>1886-C2512E G0020 20235808 7i干衣机面板 新能效全&amp;</t>
  </si>
  <si>
    <t>1398-C2501A-DRV G0044 020300017 TEC-SC&amp;</t>
  </si>
  <si>
    <t>1398-C2505E-DRV G0044 020300020D INT-LI&amp;</t>
  </si>
  <si>
    <t>1398-C2506E-DRV G0044 020300022D INT-PW&amp;</t>
  </si>
  <si>
    <t>1398-C2507D-DRV G0044 INT PLUS-LIN  200&amp;</t>
  </si>
  <si>
    <t>693-C2574C-C G0044 0021800839B</t>
  </si>
  <si>
    <t>500323-C24F5D-D G0044 0021800615D</t>
  </si>
  <si>
    <t>1886-C2516B-X G0020 BCD-640W-MIC组件</t>
  </si>
  <si>
    <t>青岛事业部</t>
    <phoneticPr fontId="14" type="noConversion"/>
  </si>
  <si>
    <t>693-B2286A-D 0021800442G 产品客户端出现混用外壳，厂内库存筛选不良品维修，取产品退站CARTON，目检外壳面膜样式有无错料，目检外观，包装扫描,数量1480pcs。</t>
    <phoneticPr fontId="14" type="noConversion"/>
  </si>
  <si>
    <t xml:space="preserve">青岛工厂     </t>
  </si>
  <si>
    <t>693-B2286D-D 0021800442GB   产品客户端出现混用外壳，厂内库存筛选不良品，取产品退站CARTON，目检外壳面膜样式有无错料，目检外观，包装扫描,数量1080pcs。</t>
  </si>
  <si>
    <t>1323-C2305A-D 0011801659客退品筛选不良，取产品退站FCT，撕客户标贴，FCT测试，贴标贴LINK后，目检外观，包装扫描,数量323pcs。</t>
  </si>
  <si>
    <t>697-B2505A-DRV产品客户升级程序，筛选钣金件和电阻不良品，取产品撕客户标贴，退站CARTON,目检钣金件和电阻与图片是否一致，升级程序，目检外观，包装扫描,数量30pcs。</t>
  </si>
  <si>
    <t>顺德事业部</t>
    <phoneticPr fontId="14" type="noConversion"/>
  </si>
  <si>
    <t>为满足交货需求，产品改制，现将693-C2608B-PC G0044 0011801656D产品  R121改为2.2K后贴片，AOI检测，转入DIP段，擦除主程序，校验主程序，烧录主程序，擦除EE程序，校验EE，烧录EE，校验EE，改为693-C2608A-PC G0044 0011801656C后，FCT测试，贴标贴LINK后，目检包装扫描,数量10pcs。</t>
  </si>
  <si>
    <t>1398-C2501A-DRV 产品更换客户标贴，包装粘胶返工，取产品退站ASSY，撕客户标贴，目检产品打胶点，贴标贴LINK绑定，目检外观，包装扫描数量一共178pcs。</t>
  </si>
  <si>
    <t>843Y因版图升级，旧版图库存无法交货，消呆改制，取产品复制MES信息，入MRB退站ASSY撕客户标贴，拆除COM，AC-L(棕)AC-N(蓝)端子线，打孔焊接COM，AC-L(棕)，AC-N(蓝)线束，清理焊点，补漆固化，擦除EE程序，校验EE，烧录EE，校验EE，FCT测试，贴标贴LINK后，目检包装扫描,数量84pcs。</t>
  </si>
  <si>
    <t>1398-C2505E-DRV 产品更换客户标贴，包装粘胶返工，取产品退站ASSY，撕客户标贴，目检产品打胶点，贴标贴LINK绑定，目检外观，包装扫描数量一共20pcs。</t>
  </si>
  <si>
    <t xml:space="preserve">青岛工厂和事业部   </t>
  </si>
  <si>
    <t>1398-C2506E-DRV 产品包装粘胶返工，取产品退站ASSY，撕客户标贴，目检产品打胶点，贴标贴LINK绑定，目检外观，包装扫描数量一共19pcs。</t>
  </si>
  <si>
    <t>1398-C2507D-DRV 产品更换客户标贴，包装粘胶返工，取产品退站ASSY，撕客户标贴，目检产品打胶点，贴标贴LINK绑定，目检外观，包装扫描数量一共20pcs。</t>
  </si>
  <si>
    <t>1843Y因版图升级，旧版图库存无法交货，消呆改制，取产品复制MES信息，入MRB退站ASSY撕客户标贴，拆除COM，AC-L(棕)AC-N(蓝)端子线，打孔焊接COM，AC-L(棕)，AC-N(蓝)线束，清理焊点，补漆固化，擦除EE程序，校验EE，烧录EE，校验EE，FCT测试，贴标贴LINK后，目检包装扫描,数量84pcs。</t>
  </si>
  <si>
    <t>海信智慧7I客户需求样机1886-C2512E，内部未小批生产过，临时使用1886-C2512A进行改制，取产品退站ASSY，撕客户标贴，拆卸外壳，烧录核心板最新程序，FCT测试，贴标签LINK绑定，目检，包装扫描，一共4pcs。</t>
  </si>
  <si>
    <t>客户技改0021800839B升级程序，取产品入MRB退站FCT，撕客户标贴，擦除主程序，校验主程序，烧录主程序，校验主程序，FCT测试，贴标贴LINK，目检，包装扫描，一共15pcs。</t>
  </si>
  <si>
    <t>500323-C24F5B-D 0021800615C客户技改升级程序，取产品退站FCT，撕客户标贴，擦除U1，FCT测试，烧录U1，FCT测试，读版本号，贴标签LINK绑定后，测试baseline值，目检，包装扫描数量一共507pcs。</t>
  </si>
  <si>
    <t>500323-C24F5D-D G0044 0021800615D老库存返工测试弹簧值，取产品退站CARTON，测试baseline值，喷漆固化，测试baseline值，目检，包装扫描数量一共139pcs。</t>
  </si>
  <si>
    <t>客户技改693-C2352A-PC 0011801516产品升级EE程序和主程序，取产品入MRB,退站FCT，撕客户标贴，擦除主程序，FCT测试，烧录主程序，擦除EE,校验EE，烧录EE，校验EE,FCT测试、更换客户标贴LINK绑定、目检包装,数量408pcs。</t>
  </si>
  <si>
    <t>客户技改693-C2352B-PC 0011801516C产品升级EE程序和主程序，取产品入MRB,退站FCT，撕客户标贴，擦除主程序，FCT测试，烧录主程序，擦除EE,校验EE，烧录EE，校验EE,FCT测试、更换客户标贴LINK绑定、目检包装,数量38pcs。</t>
  </si>
  <si>
    <t>客户技改693-C2352C-PC 0011801516D 产品升级EE程序和主程序，取产品入MRB,退站FCT，撕客户标贴，擦除主程序，FCT测试，烧录主程序，擦除EE,校验EE，烧录EE，校验EE,FCT测试、更换客户标贴LINK绑定、目检包装,数量231pcs。</t>
  </si>
  <si>
    <t>库存消呆，海信1886-C2516A-X 产品改制1886-C2516B-X ，外箱标贴打印,撕原外箱标贴，粘贴新外箱标贴，数量420pcs。</t>
  </si>
  <si>
    <t xml:space="preserve">顺德事业部 </t>
  </si>
  <si>
    <t>697-B2505A-DRV H7D39442C-D</t>
  </si>
  <si>
    <t>青岛工厂DIP计划（QR-QW-PMC-01-01-QD生产计划表V01）</t>
    <phoneticPr fontId="7" type="noConversion"/>
  </si>
  <si>
    <t>693-C2516O G0044 0011801675AX</t>
  </si>
  <si>
    <t>693-C2516O-PC 0011801675AX</t>
  </si>
  <si>
    <t>30号入库1500</t>
    <phoneticPr fontId="7" type="noConversion"/>
  </si>
  <si>
    <t>2189-B2505I G0020 20126172</t>
  </si>
  <si>
    <t>2189-B2505I-D 20126172</t>
  </si>
  <si>
    <t>2189-B2507R G0020 20127549</t>
  </si>
  <si>
    <t>2189-B2507R-D 20127549</t>
  </si>
  <si>
    <t>衍生新品，通知王志法跟线</t>
    <phoneticPr fontId="7" type="noConversion"/>
  </si>
  <si>
    <t>2189-B2507O-D 20141243</t>
  </si>
  <si>
    <t>2189-B2505B G0020 2504028</t>
  </si>
  <si>
    <t>2189-B2505B-D 2504028</t>
  </si>
  <si>
    <t>5号入库</t>
    <phoneticPr fontId="7" type="noConversion"/>
  </si>
  <si>
    <t>5号晚上入库</t>
    <phoneticPr fontId="7" type="noConversion"/>
  </si>
  <si>
    <t>备库</t>
    <phoneticPr fontId="7" type="noConversion"/>
  </si>
  <si>
    <t>7号入库</t>
    <phoneticPr fontId="7" type="noConversion"/>
  </si>
  <si>
    <t>7号入库</t>
    <phoneticPr fontId="7" type="noConversion"/>
  </si>
  <si>
    <t>2189-B2505AH G0020 2504046</t>
  </si>
  <si>
    <t>2189-B2505AH-D 2504046</t>
  </si>
  <si>
    <t>2189-B2507I-D 20224800</t>
  </si>
  <si>
    <t>2189-B2507J G0020 20224801</t>
  </si>
  <si>
    <t>2189-B2507J-D 20224801</t>
  </si>
  <si>
    <t>8号入库</t>
    <phoneticPr fontId="7" type="noConversion"/>
  </si>
  <si>
    <t>693-B23G7B-PC</t>
  </si>
  <si>
    <t>1886-C2515A-X 3677802 BCD-600W 屏显组件</t>
  </si>
  <si>
    <t>693-B2201N-PC 0011801424AE</t>
  </si>
  <si>
    <t>693-C2516E-PC 0011801675AF</t>
  </si>
  <si>
    <t>693-B2201R-PC 0011801424L</t>
  </si>
  <si>
    <t>600766-B2606B-PC 0011801843BC</t>
  </si>
  <si>
    <t>600766-B2606A-PC 0011801843BA</t>
  </si>
  <si>
    <t>693-C2516O-K 0011801675AX</t>
  </si>
  <si>
    <t>2026/5/7-验证板子不合格</t>
    <phoneticPr fontId="7" type="noConversion"/>
  </si>
  <si>
    <t>2026/5/8-验证板子不合格</t>
    <phoneticPr fontId="7" type="noConversion"/>
  </si>
  <si>
    <t>500323-C24A3C-PC 0011801850B</t>
  </si>
  <si>
    <t>693-C2373B-PC  0011800980F</t>
  </si>
  <si>
    <t>30号入库600</t>
    <phoneticPr fontId="7" type="noConversion"/>
  </si>
  <si>
    <t>693-C2556B-D G0044 0031800517A</t>
  </si>
  <si>
    <t>693-C23E6A-X 0150410226</t>
  </si>
  <si>
    <t>693-C2556B-D 0031800517A</t>
  </si>
  <si>
    <t>衍生新品，通知杨明跟线</t>
    <phoneticPr fontId="7" type="noConversion"/>
  </si>
  <si>
    <t>5/11入库</t>
  </si>
  <si>
    <t>5/7入完</t>
    <phoneticPr fontId="7" type="noConversion"/>
  </si>
  <si>
    <t>693-B2548F-PC 0011801922G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</si>
</sst>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USD]\ #,##0.00"/>
    <numFmt numFmtId="177" formatCode="0_);[Red]\(0\)"/>
    <numFmt numFmtId="178" formatCode="m/d;@"/>
    <numFmt numFmtId="179" formatCode="m&quot;月&quot;d&quot;日&quot;;@"/>
  </numFmts>
  <fonts count="20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8840296639912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176" fontId="17" fillId="0" borderId="0">
      <alignment vertical="center"/>
    </xf>
    <xf numFmtId="0" fontId="17" fillId="0" borderId="0" applyFont="0" applyFill="0" applyBorder="0" applyAlignment="0" applyProtection="0">
      <alignment vertical="center"/>
    </xf>
  </cellStyleXfs>
  <cellXfs count="150">
    <xf numFmtId="0" fontId="0" fillId="0" borderId="0" xfId="0"/>
    <xf numFmtId="0" fontId="1" fillId="0" borderId="0" xfId="3" applyFont="1"/>
    <xf numFmtId="0" fontId="2" fillId="0" borderId="0" xfId="3" applyFont="1"/>
    <xf numFmtId="0" fontId="17" fillId="2" borderId="0" xfId="3" applyFill="1"/>
    <xf numFmtId="0" fontId="17" fillId="0" borderId="0" xfId="3"/>
    <xf numFmtId="177" fontId="17" fillId="0" borderId="0" xfId="3" applyNumberFormat="1"/>
    <xf numFmtId="178" fontId="17" fillId="0" borderId="0" xfId="3" applyNumberFormat="1" applyAlignment="1">
      <alignment horizontal="left"/>
    </xf>
    <xf numFmtId="0" fontId="3" fillId="3" borderId="1" xfId="3" applyFont="1" applyFill="1" applyBorder="1" applyAlignment="1">
      <alignment horizontal="left" vertical="center"/>
    </xf>
    <xf numFmtId="177" fontId="3" fillId="3" borderId="1" xfId="3" applyNumberFormat="1" applyFont="1" applyFill="1" applyBorder="1" applyAlignment="1">
      <alignment horizontal="left" vertical="center"/>
    </xf>
    <xf numFmtId="178" fontId="3" fillId="3" borderId="1" xfId="3" applyNumberFormat="1" applyFont="1" applyFill="1" applyBorder="1" applyAlignment="1">
      <alignment horizontal="left" vertical="center"/>
    </xf>
    <xf numFmtId="0" fontId="17" fillId="2" borderId="1" xfId="3" applyFill="1" applyBorder="1"/>
    <xf numFmtId="177" fontId="17" fillId="2" borderId="1" xfId="3" applyNumberFormat="1" applyFill="1" applyBorder="1"/>
    <xf numFmtId="178" fontId="17" fillId="2" borderId="1" xfId="3" applyNumberFormat="1" applyFill="1" applyBorder="1" applyAlignment="1">
      <alignment horizontal="left"/>
    </xf>
    <xf numFmtId="0" fontId="2" fillId="2" borderId="1" xfId="3" applyFont="1" applyFill="1" applyBorder="1"/>
    <xf numFmtId="177" fontId="2" fillId="2" borderId="1" xfId="3" applyNumberFormat="1" applyFont="1" applyFill="1" applyBorder="1"/>
    <xf numFmtId="178" fontId="2" fillId="2" borderId="1" xfId="3" applyNumberFormat="1" applyFont="1" applyFill="1" applyBorder="1" applyAlignment="1">
      <alignment horizontal="left"/>
    </xf>
    <xf numFmtId="178" fontId="1" fillId="2" borderId="1" xfId="3" applyNumberFormat="1" applyFont="1" applyFill="1" applyBorder="1" applyAlignment="1">
      <alignment horizontal="left"/>
    </xf>
    <xf numFmtId="0" fontId="17" fillId="0" borderId="1" xfId="3" applyBorder="1"/>
    <xf numFmtId="0" fontId="2" fillId="0" borderId="1" xfId="3" applyFont="1" applyBorder="1"/>
    <xf numFmtId="0" fontId="1" fillId="2" borderId="1" xfId="3" applyFont="1" applyFill="1" applyBorder="1"/>
    <xf numFmtId="0" fontId="2" fillId="0" borderId="2" xfId="3" applyFont="1" applyBorder="1"/>
    <xf numFmtId="177" fontId="2" fillId="2" borderId="1" xfId="3" applyNumberFormat="1" applyFont="1" applyFill="1" applyBorder="1" applyAlignment="1">
      <alignment horizontal="left" vertical="center"/>
    </xf>
    <xf numFmtId="0" fontId="2" fillId="2" borderId="1" xfId="3" applyFont="1" applyFill="1" applyBorder="1" applyAlignment="1">
      <alignment horizontal="left" vertical="center"/>
    </xf>
    <xf numFmtId="178" fontId="2" fillId="2" borderId="1" xfId="3" applyNumberFormat="1" applyFont="1" applyFill="1" applyBorder="1" applyAlignment="1">
      <alignment horizontal="left" vertical="center"/>
    </xf>
    <xf numFmtId="0" fontId="17" fillId="2" borderId="2" xfId="3" applyFill="1" applyBorder="1"/>
    <xf numFmtId="0" fontId="17" fillId="2" borderId="1" xfId="3" applyFill="1" applyBorder="1" applyAlignment="1">
      <alignment horizontal="left" vertical="center"/>
    </xf>
    <xf numFmtId="177" fontId="1" fillId="2" borderId="1" xfId="3" applyNumberFormat="1" applyFont="1" applyFill="1" applyBorder="1" applyAlignment="1">
      <alignment horizontal="left" vertical="center"/>
    </xf>
    <xf numFmtId="0" fontId="2" fillId="2" borderId="2" xfId="3" applyFont="1" applyFill="1" applyBorder="1"/>
    <xf numFmtId="177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8" fontId="2" fillId="2" borderId="1" xfId="0" applyNumberFormat="1" applyFont="1" applyFill="1" applyBorder="1" applyAlignment="1">
      <alignment horizontal="left" vertical="center"/>
    </xf>
    <xf numFmtId="177" fontId="17" fillId="0" borderId="1" xfId="3" applyNumberFormat="1" applyBorder="1"/>
    <xf numFmtId="178" fontId="17" fillId="0" borderId="1" xfId="3" applyNumberFormat="1" applyBorder="1" applyAlignment="1">
      <alignment horizontal="left"/>
    </xf>
    <xf numFmtId="178" fontId="17" fillId="0" borderId="0" xfId="3" applyNumberFormat="1" applyBorder="1" applyAlignment="1">
      <alignment horizontal="left"/>
    </xf>
    <xf numFmtId="177" fontId="2" fillId="0" borderId="1" xfId="3" applyNumberFormat="1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178" fontId="2" fillId="0" borderId="1" xfId="3" applyNumberFormat="1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7" fillId="0" borderId="1" xfId="3" applyBorder="1" applyAlignment="1">
      <alignment horizontal="left" vertical="center"/>
    </xf>
    <xf numFmtId="0" fontId="2" fillId="0" borderId="0" xfId="3" applyFont="1" applyBorder="1"/>
    <xf numFmtId="177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8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8" fontId="17" fillId="0" borderId="0" xfId="3" applyNumberFormat="1"/>
    <xf numFmtId="0" fontId="2" fillId="2" borderId="0" xfId="7" applyFont="1" applyFill="1" applyAlignment="1"/>
    <xf numFmtId="179" fontId="17" fillId="0" borderId="0" xfId="3" applyNumberFormat="1" applyAlignment="1">
      <alignment horizontal="left"/>
    </xf>
    <xf numFmtId="0" fontId="17" fillId="0" borderId="0" xfId="3" applyAlignment="1">
      <alignment horizontal="left"/>
    </xf>
    <xf numFmtId="177" fontId="17" fillId="0" borderId="0" xfId="3" applyNumberFormat="1" applyAlignment="1">
      <alignment horizontal="left"/>
    </xf>
    <xf numFmtId="14" fontId="17" fillId="0" borderId="0" xfId="3" applyNumberFormat="1" applyAlignment="1">
      <alignment horizontal="left"/>
    </xf>
    <xf numFmtId="0" fontId="17" fillId="0" borderId="0" xfId="3" applyFill="1"/>
    <xf numFmtId="179" fontId="4" fillId="0" borderId="1" xfId="3" applyNumberFormat="1" applyFont="1" applyBorder="1" applyAlignment="1">
      <alignment horizontal="left" vertical="center"/>
    </xf>
    <xf numFmtId="177" fontId="5" fillId="0" borderId="1" xfId="3" applyNumberFormat="1" applyFont="1" applyBorder="1" applyAlignment="1">
      <alignment horizontal="left" vertical="center"/>
    </xf>
    <xf numFmtId="14" fontId="6" fillId="0" borderId="1" xfId="3" applyNumberFormat="1" applyFont="1" applyBorder="1" applyAlignment="1">
      <alignment horizontal="left" vertical="top"/>
    </xf>
    <xf numFmtId="177" fontId="7" fillId="0" borderId="0" xfId="3" applyNumberFormat="1" applyFont="1" applyAlignment="1">
      <alignment horizontal="left" vertical="center"/>
    </xf>
    <xf numFmtId="179" fontId="6" fillId="2" borderId="1" xfId="7" applyNumberFormat="1" applyFont="1" applyFill="1" applyBorder="1" applyAlignment="1">
      <alignment horizontal="left" vertical="top"/>
    </xf>
    <xf numFmtId="0" fontId="6" fillId="2" borderId="1" xfId="7" applyFont="1" applyFill="1" applyBorder="1" applyAlignment="1">
      <alignment horizontal="left" vertical="top"/>
    </xf>
    <xf numFmtId="177" fontId="6" fillId="2" borderId="1" xfId="7" applyNumberFormat="1" applyFont="1" applyFill="1" applyBorder="1" applyAlignment="1">
      <alignment horizontal="left" vertical="top"/>
    </xf>
    <xf numFmtId="177" fontId="6" fillId="2" borderId="1" xfId="2" applyNumberFormat="1" applyFont="1" applyFill="1" applyBorder="1" applyAlignment="1">
      <alignment horizontal="left" vertical="top"/>
    </xf>
    <xf numFmtId="3" fontId="6" fillId="2" borderId="1" xfId="7" applyNumberFormat="1" applyFont="1" applyFill="1" applyBorder="1" applyAlignment="1">
      <alignment horizontal="left" vertical="top"/>
    </xf>
    <xf numFmtId="14" fontId="6" fillId="2" borderId="1" xfId="7" applyNumberFormat="1" applyFont="1" applyFill="1" applyBorder="1" applyAlignment="1">
      <alignment horizontal="left" vertical="top"/>
    </xf>
    <xf numFmtId="177" fontId="17" fillId="0" borderId="1" xfId="3" applyNumberFormat="1" applyBorder="1" applyAlignment="1">
      <alignment horizontal="left" vertical="center"/>
    </xf>
    <xf numFmtId="177" fontId="7" fillId="0" borderId="0" xfId="7" applyNumberFormat="1" applyFont="1" applyFill="1" applyAlignment="1">
      <alignment horizontal="left" vertical="center"/>
    </xf>
    <xf numFmtId="0" fontId="2" fillId="2" borderId="0" xfId="7" applyFont="1" applyFill="1" applyAlignment="1">
      <alignment horizontal="left" vertical="center"/>
    </xf>
    <xf numFmtId="179" fontId="6" fillId="0" borderId="1" xfId="3" applyNumberFormat="1" applyFont="1" applyBorder="1" applyAlignment="1">
      <alignment horizontal="left" vertical="top"/>
    </xf>
    <xf numFmtId="0" fontId="6" fillId="0" borderId="1" xfId="7" applyFont="1" applyBorder="1" applyAlignment="1">
      <alignment horizontal="left" vertical="top"/>
    </xf>
    <xf numFmtId="177" fontId="6" fillId="0" borderId="1" xfId="3" applyNumberFormat="1" applyFont="1" applyBorder="1" applyAlignment="1">
      <alignment horizontal="left" vertical="top"/>
    </xf>
    <xf numFmtId="177" fontId="6" fillId="0" borderId="1" xfId="2" applyNumberFormat="1" applyFont="1" applyFill="1" applyBorder="1" applyAlignment="1">
      <alignment horizontal="left" vertical="top"/>
    </xf>
    <xf numFmtId="177" fontId="6" fillId="0" borderId="1" xfId="7" applyNumberFormat="1" applyFont="1" applyFill="1" applyBorder="1" applyAlignment="1">
      <alignment horizontal="left" vertical="top"/>
    </xf>
    <xf numFmtId="177" fontId="7" fillId="0" borderId="0" xfId="3" applyNumberFormat="1" applyFont="1" applyFill="1" applyAlignment="1">
      <alignment horizontal="left" vertical="center"/>
    </xf>
    <xf numFmtId="177" fontId="7" fillId="2" borderId="0" xfId="7" applyNumberFormat="1" applyFont="1" applyFill="1" applyAlignment="1">
      <alignment horizontal="left" vertical="center"/>
    </xf>
    <xf numFmtId="0" fontId="4" fillId="0" borderId="0" xfId="4" applyFont="1"/>
    <xf numFmtId="0" fontId="2" fillId="0" borderId="0" xfId="4" applyFont="1"/>
    <xf numFmtId="0" fontId="8" fillId="0" borderId="0" xfId="4" applyFont="1"/>
    <xf numFmtId="0" fontId="2" fillId="0" borderId="0" xfId="4" applyFont="1" applyFill="1"/>
    <xf numFmtId="0" fontId="0" fillId="0" borderId="0" xfId="4" applyFont="1"/>
    <xf numFmtId="177" fontId="2" fillId="0" borderId="0" xfId="4" applyNumberFormat="1" applyFont="1"/>
    <xf numFmtId="177" fontId="2" fillId="0" borderId="0" xfId="4" applyNumberFormat="1" applyFont="1" applyAlignment="1">
      <alignment horizontal="left"/>
    </xf>
    <xf numFmtId="0" fontId="2" fillId="0" borderId="0" xfId="4" applyFont="1" applyAlignment="1">
      <alignment horizontal="center"/>
    </xf>
    <xf numFmtId="177" fontId="2" fillId="0" borderId="0" xfId="4" applyNumberFormat="1" applyFont="1" applyAlignment="1">
      <alignment horizontal="center"/>
    </xf>
    <xf numFmtId="178" fontId="0" fillId="0" borderId="0" xfId="4" applyNumberFormat="1" applyFont="1" applyAlignment="1">
      <alignment horizontal="center"/>
    </xf>
    <xf numFmtId="0" fontId="0" fillId="0" borderId="0" xfId="4" applyFont="1" applyAlignment="1">
      <alignment vertical="center"/>
    </xf>
    <xf numFmtId="0" fontId="0" fillId="0" borderId="0" xfId="4" applyFont="1" applyAlignment="1">
      <alignment horizontal="left" vertical="center"/>
    </xf>
    <xf numFmtId="0" fontId="0" fillId="0" borderId="0" xfId="4" applyFont="1" applyAlignment="1">
      <alignment horizontal="center" vertical="center"/>
    </xf>
    <xf numFmtId="14" fontId="2" fillId="0" borderId="0" xfId="4" applyNumberFormat="1" applyFont="1"/>
    <xf numFmtId="0" fontId="10" fillId="3" borderId="1" xfId="4" applyFont="1" applyFill="1" applyBorder="1" applyAlignment="1">
      <alignment horizontal="left" vertical="center"/>
    </xf>
    <xf numFmtId="177" fontId="10" fillId="3" borderId="1" xfId="4" applyNumberFormat="1" applyFont="1" applyFill="1" applyBorder="1" applyAlignment="1">
      <alignment horizontal="left" vertical="center"/>
    </xf>
    <xf numFmtId="177" fontId="2" fillId="3" borderId="1" xfId="4" applyNumberFormat="1" applyFont="1" applyFill="1" applyBorder="1" applyAlignment="1">
      <alignment horizontal="left" vertical="center"/>
    </xf>
    <xf numFmtId="0" fontId="2" fillId="3" borderId="1" xfId="4" applyFont="1" applyFill="1" applyBorder="1" applyAlignment="1">
      <alignment horizontal="left" vertical="center" wrapText="1"/>
    </xf>
    <xf numFmtId="177" fontId="10" fillId="3" borderId="1" xfId="4" applyNumberFormat="1" applyFont="1" applyFill="1" applyBorder="1" applyAlignment="1">
      <alignment horizontal="left" vertical="center" wrapText="1"/>
    </xf>
    <xf numFmtId="178" fontId="10" fillId="3" borderId="1" xfId="4" applyNumberFormat="1" applyFont="1" applyFill="1" applyBorder="1" applyAlignment="1">
      <alignment horizontal="left" vertical="center" wrapText="1"/>
    </xf>
    <xf numFmtId="0" fontId="2" fillId="4" borderId="1" xfId="4" applyFont="1" applyFill="1" applyBorder="1"/>
    <xf numFmtId="177" fontId="2" fillId="4" borderId="1" xfId="4" applyNumberFormat="1" applyFont="1" applyFill="1" applyBorder="1"/>
    <xf numFmtId="177" fontId="2" fillId="4" borderId="1" xfId="4" applyNumberFormat="1" applyFont="1" applyFill="1" applyBorder="1" applyAlignment="1">
      <alignment horizontal="left"/>
    </xf>
    <xf numFmtId="177" fontId="1" fillId="4" borderId="1" xfId="4" applyNumberFormat="1" applyFont="1" applyFill="1" applyBorder="1"/>
    <xf numFmtId="178" fontId="2" fillId="4" borderId="1" xfId="4" applyNumberFormat="1" applyFont="1" applyFill="1" applyBorder="1"/>
    <xf numFmtId="0" fontId="2" fillId="2" borderId="1" xfId="4" applyFont="1" applyFill="1" applyBorder="1"/>
    <xf numFmtId="177" fontId="2" fillId="2" borderId="1" xfId="4" applyNumberFormat="1" applyFont="1" applyFill="1" applyBorder="1"/>
    <xf numFmtId="177" fontId="2" fillId="2" borderId="1" xfId="4" applyNumberFormat="1" applyFont="1" applyFill="1" applyBorder="1" applyAlignment="1">
      <alignment horizontal="left"/>
    </xf>
    <xf numFmtId="178" fontId="2" fillId="2" borderId="1" xfId="4" applyNumberFormat="1" applyFont="1" applyFill="1" applyBorder="1"/>
    <xf numFmtId="0" fontId="10" fillId="0" borderId="1" xfId="4" applyFont="1" applyBorder="1" applyAlignment="1">
      <alignment horizontal="left" vertical="center"/>
    </xf>
    <xf numFmtId="177" fontId="10" fillId="0" borderId="1" xfId="4" applyNumberFormat="1" applyFont="1" applyBorder="1" applyAlignment="1">
      <alignment horizontal="left" vertical="center"/>
    </xf>
    <xf numFmtId="177" fontId="10" fillId="5" borderId="1" xfId="4" applyNumberFormat="1" applyFont="1" applyFill="1" applyBorder="1" applyAlignment="1">
      <alignment horizontal="left" vertical="center"/>
    </xf>
    <xf numFmtId="0" fontId="10" fillId="2" borderId="1" xfId="4" applyFont="1" applyFill="1" applyBorder="1" applyAlignment="1">
      <alignment horizontal="left" vertical="center"/>
    </xf>
    <xf numFmtId="178" fontId="10" fillId="0" borderId="1" xfId="4" applyNumberFormat="1" applyFont="1" applyBorder="1" applyAlignment="1">
      <alignment horizontal="left" vertical="center"/>
    </xf>
    <xf numFmtId="177" fontId="10" fillId="0" borderId="1" xfId="4" applyNumberFormat="1" applyFont="1" applyFill="1" applyBorder="1" applyAlignment="1">
      <alignment horizontal="left" vertical="center"/>
    </xf>
    <xf numFmtId="0" fontId="10" fillId="0" borderId="1" xfId="4" applyFont="1" applyFill="1" applyBorder="1" applyAlignment="1">
      <alignment horizontal="left" vertical="center"/>
    </xf>
    <xf numFmtId="178" fontId="10" fillId="6" borderId="1" xfId="4" applyNumberFormat="1" applyFont="1" applyFill="1" applyBorder="1" applyAlignment="1">
      <alignment horizontal="center" vertical="center"/>
    </xf>
    <xf numFmtId="178" fontId="10" fillId="3" borderId="1" xfId="4" applyNumberFormat="1" applyFont="1" applyFill="1" applyBorder="1" applyAlignment="1">
      <alignment horizontal="center" vertical="center"/>
    </xf>
    <xf numFmtId="0" fontId="2" fillId="4" borderId="1" xfId="4" applyFont="1" applyFill="1" applyBorder="1" applyAlignment="1">
      <alignment vertical="center"/>
    </xf>
    <xf numFmtId="0" fontId="2" fillId="4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vertical="center"/>
    </xf>
    <xf numFmtId="0" fontId="2" fillId="2" borderId="1" xfId="4" applyFont="1" applyFill="1" applyBorder="1" applyAlignment="1">
      <alignment horizontal="center" vertical="center"/>
    </xf>
    <xf numFmtId="0" fontId="11" fillId="0" borderId="2" xfId="4" applyFont="1" applyBorder="1" applyAlignment="1">
      <alignment horizontal="center" vertical="center"/>
    </xf>
    <xf numFmtId="0" fontId="10" fillId="0" borderId="2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178" fontId="11" fillId="3" borderId="1" xfId="4" applyNumberFormat="1" applyFont="1" applyFill="1" applyBorder="1" applyAlignment="1">
      <alignment horizontal="center" vertical="center"/>
    </xf>
    <xf numFmtId="0" fontId="9" fillId="3" borderId="0" xfId="4" applyFont="1" applyFill="1" applyBorder="1" applyAlignment="1">
      <alignment vertical="center"/>
    </xf>
    <xf numFmtId="0" fontId="10" fillId="3" borderId="4" xfId="4" applyFont="1" applyFill="1" applyBorder="1" applyAlignment="1">
      <alignment horizontal="left" vertical="center" wrapText="1"/>
    </xf>
    <xf numFmtId="14" fontId="10" fillId="3" borderId="1" xfId="4" applyNumberFormat="1" applyFont="1" applyFill="1" applyBorder="1" applyAlignment="1">
      <alignment horizontal="left" vertical="center"/>
    </xf>
    <xf numFmtId="0" fontId="2" fillId="4" borderId="4" xfId="4" applyFont="1" applyFill="1" applyBorder="1" applyAlignment="1">
      <alignment horizontal="center" vertical="center"/>
    </xf>
    <xf numFmtId="14" fontId="2" fillId="4" borderId="1" xfId="4" applyNumberFormat="1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14" fontId="2" fillId="2" borderId="1" xfId="4" applyNumberFormat="1" applyFont="1" applyFill="1" applyBorder="1" applyAlignment="1">
      <alignment horizontal="center" vertical="center"/>
    </xf>
    <xf numFmtId="0" fontId="3" fillId="0" borderId="4" xfId="4" applyFont="1" applyBorder="1" applyAlignment="1">
      <alignment horizontal="left" vertical="center"/>
    </xf>
    <xf numFmtId="14" fontId="10" fillId="0" borderId="1" xfId="4" applyNumberFormat="1" applyFont="1" applyBorder="1" applyAlignment="1">
      <alignment horizontal="left" vertical="center"/>
    </xf>
    <xf numFmtId="178" fontId="10" fillId="0" borderId="1" xfId="4" applyNumberFormat="1" applyFont="1" applyFill="1" applyBorder="1" applyAlignment="1">
      <alignment horizontal="left" vertical="center"/>
    </xf>
    <xf numFmtId="0" fontId="10" fillId="0" borderId="1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14" fontId="11" fillId="0" borderId="1" xfId="4" applyNumberFormat="1" applyFont="1" applyBorder="1" applyAlignment="1">
      <alignment horizontal="left" vertical="center"/>
    </xf>
    <xf numFmtId="0" fontId="10" fillId="0" borderId="4" xfId="4" applyFont="1" applyFill="1" applyBorder="1" applyAlignment="1">
      <alignment horizontal="left" vertical="center"/>
    </xf>
    <xf numFmtId="14" fontId="10" fillId="0" borderId="1" xfId="4" applyNumberFormat="1" applyFont="1" applyFill="1" applyBorder="1" applyAlignment="1">
      <alignment horizontal="left" vertical="center"/>
    </xf>
    <xf numFmtId="0" fontId="3" fillId="0" borderId="4" xfId="4" applyFont="1" applyFill="1" applyBorder="1" applyAlignment="1">
      <alignment horizontal="left" vertical="center"/>
    </xf>
    <xf numFmtId="14" fontId="11" fillId="0" borderId="1" xfId="4" applyNumberFormat="1" applyFont="1" applyFill="1" applyBorder="1" applyAlignment="1">
      <alignment horizontal="left" vertical="center"/>
    </xf>
    <xf numFmtId="14" fontId="10" fillId="0" borderId="0" xfId="4" applyNumberFormat="1" applyFont="1" applyAlignment="1">
      <alignment horizontal="left" vertical="center"/>
    </xf>
    <xf numFmtId="0" fontId="10" fillId="0" borderId="0" xfId="4" applyFont="1" applyAlignment="1">
      <alignment horizontal="left" vertical="center"/>
    </xf>
    <xf numFmtId="0" fontId="3" fillId="0" borderId="5" xfId="4" applyFont="1" applyBorder="1" applyAlignment="1">
      <alignment horizontal="left" vertical="center"/>
    </xf>
    <xf numFmtId="0" fontId="8" fillId="0" borderId="0" xfId="4" applyFont="1" applyBorder="1"/>
    <xf numFmtId="0" fontId="1" fillId="0" borderId="0" xfId="4" applyFont="1"/>
    <xf numFmtId="0" fontId="11" fillId="0" borderId="1" xfId="4" applyFont="1" applyBorder="1" applyAlignment="1">
      <alignment horizontal="left" vertical="center"/>
    </xf>
    <xf numFmtId="0" fontId="1" fillId="0" borderId="0" xfId="4" applyFont="1" applyFill="1"/>
    <xf numFmtId="0" fontId="11" fillId="0" borderId="1" xfId="4" applyFont="1" applyFill="1" applyBorder="1" applyAlignment="1">
      <alignment horizontal="left" vertical="center"/>
    </xf>
    <xf numFmtId="14" fontId="10" fillId="0" borderId="0" xfId="4" applyNumberFormat="1" applyFont="1" applyFill="1" applyAlignment="1">
      <alignment horizontal="left" vertical="center"/>
    </xf>
    <xf numFmtId="0" fontId="10" fillId="0" borderId="0" xfId="4" applyFont="1" applyFill="1" applyAlignment="1">
      <alignment horizontal="left" vertical="center"/>
    </xf>
    <xf numFmtId="177" fontId="11" fillId="5" borderId="1" xfId="4" applyNumberFormat="1" applyFont="1" applyFill="1" applyBorder="1" applyAlignment="1">
      <alignment horizontal="left" vertical="center"/>
    </xf>
    <xf numFmtId="0" fontId="10" fillId="0" borderId="4" xfId="4" applyFont="1" applyBorder="1" applyAlignment="1">
      <alignment horizontal="left" vertical="center"/>
    </xf>
    <xf numFmtId="0" fontId="12" fillId="0" borderId="0" xfId="4" applyFont="1"/>
    <xf numFmtId="0" fontId="1" fillId="0" borderId="0" xfId="4" applyFont="1" applyBorder="1"/>
    <xf numFmtId="0" fontId="9" fillId="3" borderId="3" xfId="4" applyFont="1" applyFill="1" applyBorder="1" applyAlignment="1">
      <alignment horizontal="center" vertical="center"/>
    </xf>
  </cellXfs>
  <cellStyles count="10">
    <cellStyle name="RowLevel_8" xfId="1" xr:uid="{00000000-0005-0000-0000-000000000000}"/>
    <cellStyle name="百分比 13" xfId="2" xr:uid="{00000000-0005-0000-0000-000001000000}"/>
    <cellStyle name="常规" xfId="0" builtinId="0"/>
    <cellStyle name="常规 2" xfId="3" xr:uid="{00000000-0005-0000-0000-000003000000}"/>
    <cellStyle name="常规 2 2" xfId="4" xr:uid="{00000000-0005-0000-0000-000004000000}"/>
    <cellStyle name="常规 2 3" xfId="5" xr:uid="{00000000-0005-0000-0000-000005000000}"/>
    <cellStyle name="常规 3" xfId="6" xr:uid="{00000000-0005-0000-0000-000006000000}"/>
    <cellStyle name="常规 3 2 2" xfId="7" xr:uid="{00000000-0005-0000-0000-000007000000}"/>
    <cellStyle name="常规 3 2 2 2" xfId="8" xr:uid="{00000000-0005-0000-0000-000008000000}"/>
    <cellStyle name="货币 2" xfId="9" xr:uid="{00000000-0005-0000-0000-000009000000}"/>
  </cellStyles>
  <dxfs count="10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00FF"/>
      <color rgb="FFFF66FF"/>
      <color rgb="FFFF00FF"/>
      <color rgb="FFFF99FF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0003587/Desktop/5.8-5.10/&#38738;&#23707;&#25237;&#20135;4-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0003587/Desktop/DIP/&#38738;&#23707;DIP%20%20IE%20Model%20202604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0003587/Desktop/5-8.1/&#21103;&#26412;&#38738;&#23707;&#25237;&#20135;4-2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50003587/Desktop/&#21103;&#26412;&#25490;&#20135;&#38656;&#27714;&#34920;-&#33014;&#24030;&#26356;&#26032;4-3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49000009\Desktop\&#24040;&#38598;\&#21608;&#22235;&#21021;&#31295;&#24037;&#21333;0308-03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9000009/Desktop/&#24040;&#38598;/WK17/&#21021;&#31295;&#24037;&#21333;0423-051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DIP/&#23436;&#25104;&#25554;&#20214;&#25991;&#20214;/&#23436;&#25104;&#25554;&#20214;&#35746;&#21333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rius-desktop\download\nini.qin@szhittech.com\regular\1\AOoA2ADcKA-uTSuDDGozc4pS\&#36820;&#24037;&#24037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青岛4 (2)"/>
      <sheetName val="工单明细"/>
    </sheetNames>
    <sheetDataSet>
      <sheetData sheetId="0">
        <row r="1">
          <cell r="C1" t="str">
            <v>物料编码</v>
          </cell>
          <cell r="D1" t="str">
            <v>客户</v>
          </cell>
        </row>
        <row r="2">
          <cell r="C2">
            <v>10880036852</v>
          </cell>
          <cell r="D2" t="str">
            <v>日立测出风</v>
          </cell>
        </row>
        <row r="3">
          <cell r="C3">
            <v>10880036206</v>
          </cell>
          <cell r="D3" t="str">
            <v>日立测出风</v>
          </cell>
        </row>
        <row r="4">
          <cell r="C4">
            <v>10880036205</v>
          </cell>
          <cell r="D4" t="str">
            <v>日立测出风</v>
          </cell>
        </row>
        <row r="5">
          <cell r="C5">
            <v>10880038252</v>
          </cell>
          <cell r="D5" t="str">
            <v>海信家电7I</v>
          </cell>
        </row>
        <row r="6">
          <cell r="C6">
            <v>10880036499</v>
          </cell>
          <cell r="D6" t="str">
            <v>日立测出风</v>
          </cell>
        </row>
        <row r="7">
          <cell r="C7">
            <v>10880036479</v>
          </cell>
          <cell r="D7" t="str">
            <v>日立测出风</v>
          </cell>
        </row>
        <row r="8">
          <cell r="C8">
            <v>10880036207</v>
          </cell>
          <cell r="D8" t="str">
            <v>日立测出风</v>
          </cell>
        </row>
        <row r="9">
          <cell r="C9">
            <v>10880036134</v>
          </cell>
          <cell r="D9" t="str">
            <v>日立测出风</v>
          </cell>
        </row>
        <row r="10">
          <cell r="C10">
            <v>10880036503</v>
          </cell>
          <cell r="D10" t="str">
            <v>日立测出风</v>
          </cell>
        </row>
        <row r="11">
          <cell r="C11">
            <v>10880036504</v>
          </cell>
          <cell r="D11" t="str">
            <v>日立测出风</v>
          </cell>
        </row>
        <row r="12">
          <cell r="C12">
            <v>10880036481</v>
          </cell>
          <cell r="D12" t="str">
            <v>日立测出风</v>
          </cell>
        </row>
        <row r="13">
          <cell r="C13">
            <v>10880034619</v>
          </cell>
          <cell r="D13" t="str">
            <v>海信家电</v>
          </cell>
        </row>
        <row r="14">
          <cell r="C14">
            <v>10880031760</v>
          </cell>
          <cell r="D14" t="str">
            <v>海信家电</v>
          </cell>
        </row>
        <row r="15">
          <cell r="C15">
            <v>10880031011</v>
          </cell>
          <cell r="D15" t="str">
            <v>海信家电</v>
          </cell>
        </row>
        <row r="16">
          <cell r="C16">
            <v>10880037605</v>
          </cell>
          <cell r="D16" t="str">
            <v>海信家电640W</v>
          </cell>
        </row>
        <row r="17">
          <cell r="C17">
            <v>10880038810</v>
          </cell>
          <cell r="D17" t="str">
            <v>海信家电7I</v>
          </cell>
        </row>
        <row r="18">
          <cell r="C18">
            <v>10880035795</v>
          </cell>
          <cell r="D18" t="str">
            <v>海信家电7I</v>
          </cell>
        </row>
        <row r="19">
          <cell r="C19">
            <v>10880036497</v>
          </cell>
          <cell r="D19" t="str">
            <v>日立测出风</v>
          </cell>
        </row>
        <row r="20">
          <cell r="C20">
            <v>10880036206</v>
          </cell>
          <cell r="D20" t="str">
            <v>日立测出风</v>
          </cell>
        </row>
        <row r="21">
          <cell r="C21">
            <v>10880036134</v>
          </cell>
          <cell r="D21" t="str">
            <v>日立测出风</v>
          </cell>
        </row>
        <row r="22">
          <cell r="C22">
            <v>10880036205</v>
          </cell>
          <cell r="D22" t="str">
            <v>日立测出风</v>
          </cell>
        </row>
        <row r="23">
          <cell r="C23">
            <v>10880036135</v>
          </cell>
          <cell r="D23" t="str">
            <v>日立测出风</v>
          </cell>
        </row>
        <row r="24">
          <cell r="C24">
            <v>10880036493</v>
          </cell>
          <cell r="D24" t="str">
            <v>日立测出风</v>
          </cell>
        </row>
        <row r="25">
          <cell r="C25">
            <v>10880036467</v>
          </cell>
          <cell r="D25" t="str">
            <v>日立顶出风</v>
          </cell>
        </row>
        <row r="26">
          <cell r="C26">
            <v>10880036493</v>
          </cell>
          <cell r="D26" t="str">
            <v>日立测出风</v>
          </cell>
        </row>
        <row r="27">
          <cell r="C27">
            <v>10880036467</v>
          </cell>
          <cell r="D27" t="str">
            <v>日立顶出风</v>
          </cell>
        </row>
        <row r="28">
          <cell r="C28">
            <v>10880036135</v>
          </cell>
          <cell r="D28" t="str">
            <v>日立测出风</v>
          </cell>
        </row>
        <row r="29">
          <cell r="C29">
            <v>10880036495</v>
          </cell>
          <cell r="D29" t="str">
            <v>日立测出风</v>
          </cell>
        </row>
        <row r="30">
          <cell r="C30">
            <v>10880036207</v>
          </cell>
          <cell r="D30" t="str">
            <v>日立测出风</v>
          </cell>
        </row>
        <row r="31">
          <cell r="C31">
            <v>10880036205</v>
          </cell>
          <cell r="D31" t="str">
            <v>日立测出风</v>
          </cell>
        </row>
        <row r="32">
          <cell r="C32">
            <v>10880036479</v>
          </cell>
          <cell r="D32" t="str">
            <v>日立测出风</v>
          </cell>
        </row>
        <row r="33">
          <cell r="C33">
            <v>10880036206</v>
          </cell>
          <cell r="D33" t="str">
            <v>日立测出风</v>
          </cell>
        </row>
        <row r="34">
          <cell r="C34">
            <v>10880036852</v>
          </cell>
          <cell r="D34" t="str">
            <v>日立测出风</v>
          </cell>
        </row>
        <row r="35">
          <cell r="C35">
            <v>10880036499</v>
          </cell>
          <cell r="D35" t="str">
            <v>日立测出风</v>
          </cell>
        </row>
        <row r="36">
          <cell r="C36">
            <v>10880036481</v>
          </cell>
          <cell r="D36" t="str">
            <v>日立测出风</v>
          </cell>
        </row>
        <row r="37">
          <cell r="C37">
            <v>10880036504</v>
          </cell>
          <cell r="D37" t="str">
            <v>日立测出风</v>
          </cell>
        </row>
        <row r="38">
          <cell r="C38">
            <v>10880036494</v>
          </cell>
          <cell r="D38" t="str">
            <v>日立测出风</v>
          </cell>
        </row>
        <row r="39">
          <cell r="C39">
            <v>10880036503</v>
          </cell>
          <cell r="D39" t="str">
            <v>日立测出风</v>
          </cell>
        </row>
        <row r="40">
          <cell r="C40">
            <v>10880036479</v>
          </cell>
          <cell r="D40" t="str">
            <v>日立测出风</v>
          </cell>
        </row>
        <row r="41">
          <cell r="C41">
            <v>10880036493</v>
          </cell>
          <cell r="D41" t="str">
            <v>日立测出风</v>
          </cell>
        </row>
        <row r="42">
          <cell r="C42">
            <v>10880036207</v>
          </cell>
          <cell r="D42" t="str">
            <v>日立测出风</v>
          </cell>
        </row>
        <row r="43">
          <cell r="C43">
            <v>10880036467</v>
          </cell>
          <cell r="D43" t="str">
            <v>日立顶出风</v>
          </cell>
        </row>
        <row r="44">
          <cell r="C44">
            <v>10880036135</v>
          </cell>
          <cell r="D44" t="str">
            <v>日立测出风</v>
          </cell>
        </row>
        <row r="45">
          <cell r="C45">
            <v>10880036852</v>
          </cell>
          <cell r="D45" t="str">
            <v>日立测出风</v>
          </cell>
        </row>
        <row r="46">
          <cell r="C46">
            <v>10880036499</v>
          </cell>
          <cell r="D46" t="str">
            <v>日立测出风</v>
          </cell>
        </row>
        <row r="47">
          <cell r="C47">
            <v>10880038252</v>
          </cell>
          <cell r="D47" t="str">
            <v>海信家电7I</v>
          </cell>
        </row>
        <row r="48">
          <cell r="C48">
            <v>10880036786</v>
          </cell>
          <cell r="D48" t="str">
            <v>海信家电600W</v>
          </cell>
        </row>
        <row r="49">
          <cell r="C49">
            <v>10880038252</v>
          </cell>
          <cell r="D49" t="str">
            <v>海信家电7I</v>
          </cell>
        </row>
        <row r="50">
          <cell r="C50">
            <v>10880031011</v>
          </cell>
          <cell r="D50" t="str">
            <v>海信家电</v>
          </cell>
        </row>
        <row r="51">
          <cell r="C51">
            <v>10880038809</v>
          </cell>
          <cell r="D51" t="str">
            <v>海信家电7I</v>
          </cell>
        </row>
        <row r="52">
          <cell r="C52">
            <v>10880038251</v>
          </cell>
          <cell r="D52" t="str">
            <v>海信家电7I</v>
          </cell>
        </row>
        <row r="53">
          <cell r="C53">
            <v>10880031760</v>
          </cell>
          <cell r="D53" t="str">
            <v>海信家电</v>
          </cell>
        </row>
        <row r="54">
          <cell r="C54">
            <v>10880031760</v>
          </cell>
          <cell r="D54" t="str">
            <v>海信家电</v>
          </cell>
        </row>
        <row r="55">
          <cell r="C55">
            <v>10880034621</v>
          </cell>
          <cell r="D55" t="str">
            <v>海信家电</v>
          </cell>
        </row>
        <row r="56">
          <cell r="C56">
            <v>10880031011</v>
          </cell>
          <cell r="D56" t="str">
            <v>海信家电</v>
          </cell>
        </row>
        <row r="57">
          <cell r="C57">
            <v>10880034619</v>
          </cell>
          <cell r="D57" t="str">
            <v>海信家电</v>
          </cell>
        </row>
        <row r="58">
          <cell r="C58">
            <v>10880034619</v>
          </cell>
          <cell r="D58" t="str">
            <v>海信家电</v>
          </cell>
        </row>
        <row r="59">
          <cell r="C59">
            <v>10880031011</v>
          </cell>
          <cell r="D59" t="str">
            <v>海信家电</v>
          </cell>
        </row>
        <row r="60">
          <cell r="C60">
            <v>10880031760</v>
          </cell>
          <cell r="D60" t="str">
            <v>海信家电</v>
          </cell>
        </row>
        <row r="61">
          <cell r="C61">
            <v>10880038252</v>
          </cell>
          <cell r="D61" t="str">
            <v>海信家电7I</v>
          </cell>
        </row>
        <row r="62">
          <cell r="C62">
            <v>10880033610</v>
          </cell>
          <cell r="D62" t="str">
            <v>海信家电</v>
          </cell>
        </row>
        <row r="63">
          <cell r="C63">
            <v>10880038251</v>
          </cell>
          <cell r="D63" t="str">
            <v>海信家电7I</v>
          </cell>
        </row>
        <row r="64">
          <cell r="C64">
            <v>10880036786</v>
          </cell>
          <cell r="D64" t="str">
            <v>海信家电600W</v>
          </cell>
        </row>
        <row r="65">
          <cell r="C65">
            <v>10880034621</v>
          </cell>
          <cell r="D65" t="str">
            <v>海信家电</v>
          </cell>
        </row>
        <row r="66">
          <cell r="C66">
            <v>10880036020</v>
          </cell>
          <cell r="D66" t="str">
            <v>海信家电7I</v>
          </cell>
        </row>
        <row r="67">
          <cell r="C67">
            <v>10880031760</v>
          </cell>
          <cell r="D67" t="str">
            <v>海信家电</v>
          </cell>
        </row>
        <row r="68">
          <cell r="C68">
            <v>10880038809</v>
          </cell>
          <cell r="D68" t="str">
            <v>海信家电7I</v>
          </cell>
        </row>
        <row r="69">
          <cell r="C69">
            <v>10880033610</v>
          </cell>
          <cell r="D69" t="str">
            <v>海信家电</v>
          </cell>
        </row>
        <row r="70">
          <cell r="C70">
            <v>10880035448</v>
          </cell>
          <cell r="D70" t="str">
            <v>海信家电</v>
          </cell>
        </row>
        <row r="71">
          <cell r="C71">
            <v>10880032386</v>
          </cell>
          <cell r="D71" t="str">
            <v>海信家电600W</v>
          </cell>
        </row>
        <row r="72">
          <cell r="C72">
            <v>10880038810</v>
          </cell>
          <cell r="D72" t="str">
            <v>海信家电7I</v>
          </cell>
        </row>
        <row r="83">
          <cell r="C83"/>
        </row>
        <row r="84">
          <cell r="C84"/>
        </row>
        <row r="85">
          <cell r="C85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P变更记录"/>
      <sheetName val="IE model  海尔产品"/>
      <sheetName val="IE model  海信产品 "/>
      <sheetName val="IE model  海尔产品 20251130"/>
      <sheetName val="IE model  海信产品20251130"/>
    </sheetNames>
    <sheetDataSet>
      <sheetData sheetId="0"/>
      <sheetData sheetId="1">
        <row r="1">
          <cell r="A1" t="str">
            <v>成品编码</v>
          </cell>
          <cell r="B1" t="str">
            <v>成品描述</v>
          </cell>
          <cell r="C1" t="str">
            <v>PCB P/N</v>
          </cell>
          <cell r="D1" t="str">
            <v>拼板数量</v>
          </cell>
          <cell r="E1" t="str">
            <v>PCB工艺</v>
          </cell>
          <cell r="F1" t="str">
            <v>类型</v>
          </cell>
          <cell r="G1" t="str">
            <v>产品总工时(H)</v>
          </cell>
          <cell r="H1" t="str">
            <v>通拉UPH</v>
          </cell>
          <cell r="I1" t="str">
            <v>通拉人数（不含助拉）</v>
          </cell>
        </row>
        <row r="2">
          <cell r="A2">
            <v>10880018842</v>
          </cell>
          <cell r="B2" t="str">
            <v>693-A2178A-PC 0011800612X</v>
          </cell>
          <cell r="C2">
            <v>10250035536</v>
          </cell>
          <cell r="D2" t="str">
            <v>1*2</v>
          </cell>
          <cell r="E2" t="str">
            <v>锡膏</v>
          </cell>
          <cell r="F2" t="str">
            <v>空调内机</v>
          </cell>
          <cell r="G2">
            <v>5.5999999999999994E-2</v>
          </cell>
          <cell r="H2">
            <v>500</v>
          </cell>
          <cell r="I2">
            <v>28</v>
          </cell>
        </row>
        <row r="3">
          <cell r="A3">
            <v>10880018845</v>
          </cell>
          <cell r="B3" t="str">
            <v>693-A2178C-PC 0011800612Z</v>
          </cell>
          <cell r="C3">
            <v>10250035536</v>
          </cell>
          <cell r="D3" t="str">
            <v>1*2</v>
          </cell>
          <cell r="E3" t="str">
            <v>锡膏</v>
          </cell>
          <cell r="F3" t="str">
            <v>空调内机</v>
          </cell>
          <cell r="G3">
            <v>5.5999999999999994E-2</v>
          </cell>
          <cell r="H3">
            <v>500</v>
          </cell>
          <cell r="I3">
            <v>28</v>
          </cell>
        </row>
        <row r="4">
          <cell r="A4">
            <v>10880018848</v>
          </cell>
          <cell r="B4" t="str">
            <v>693-A2178G-PC 0011800612L</v>
          </cell>
          <cell r="C4">
            <v>10250035536</v>
          </cell>
          <cell r="D4" t="str">
            <v>1*2</v>
          </cell>
          <cell r="E4" t="str">
            <v>锡膏</v>
          </cell>
          <cell r="F4" t="str">
            <v>空调内机</v>
          </cell>
          <cell r="G4">
            <v>5.5999999999999994E-2</v>
          </cell>
          <cell r="H4">
            <v>500</v>
          </cell>
          <cell r="I4">
            <v>28</v>
          </cell>
        </row>
        <row r="5">
          <cell r="A5">
            <v>10880018849</v>
          </cell>
          <cell r="B5" t="str">
            <v>693-A2178H-PC 0011800612AB</v>
          </cell>
          <cell r="C5">
            <v>10250035536</v>
          </cell>
          <cell r="D5" t="str">
            <v>1*2</v>
          </cell>
          <cell r="E5" t="str">
            <v>锡膏</v>
          </cell>
          <cell r="F5" t="str">
            <v>空调内机</v>
          </cell>
          <cell r="G5">
            <v>5.5999999999999994E-2</v>
          </cell>
          <cell r="H5">
            <v>500</v>
          </cell>
          <cell r="I5">
            <v>28</v>
          </cell>
        </row>
        <row r="6">
          <cell r="A6">
            <v>10880018853</v>
          </cell>
          <cell r="B6" t="str">
            <v>693-A2178P-PC 0011800612Y</v>
          </cell>
          <cell r="C6">
            <v>10250035536</v>
          </cell>
          <cell r="D6" t="str">
            <v>1*2</v>
          </cell>
          <cell r="E6" t="str">
            <v>锡膏</v>
          </cell>
          <cell r="F6" t="str">
            <v>空调内机</v>
          </cell>
          <cell r="G6">
            <v>5.5999999999999994E-2</v>
          </cell>
          <cell r="H6">
            <v>500</v>
          </cell>
          <cell r="I6">
            <v>28</v>
          </cell>
        </row>
        <row r="7">
          <cell r="A7">
            <v>10880020281</v>
          </cell>
          <cell r="B7" t="str">
            <v>693-A2178K-PC 0011800612AC</v>
          </cell>
          <cell r="C7">
            <v>10250035536</v>
          </cell>
          <cell r="D7" t="str">
            <v>1*2</v>
          </cell>
          <cell r="E7" t="str">
            <v>锡膏</v>
          </cell>
          <cell r="F7" t="str">
            <v>空调内机</v>
          </cell>
          <cell r="G7">
            <v>5.5999999999999994E-2</v>
          </cell>
          <cell r="H7">
            <v>500</v>
          </cell>
          <cell r="I7">
            <v>28</v>
          </cell>
        </row>
        <row r="8">
          <cell r="A8">
            <v>10880020274</v>
          </cell>
          <cell r="B8" t="str">
            <v>693-A2178O-PC 0011800612C</v>
          </cell>
          <cell r="C8">
            <v>10250031442</v>
          </cell>
          <cell r="D8" t="str">
            <v>1*2</v>
          </cell>
          <cell r="E8" t="str">
            <v>红胶</v>
          </cell>
          <cell r="F8" t="str">
            <v>空调内机</v>
          </cell>
          <cell r="G8">
            <v>5.5999999999999994E-2</v>
          </cell>
          <cell r="H8">
            <v>500</v>
          </cell>
          <cell r="I8">
            <v>28</v>
          </cell>
        </row>
        <row r="9">
          <cell r="A9">
            <v>10880020277</v>
          </cell>
          <cell r="B9" t="str">
            <v>693-A2178Q-PC 0011800612P</v>
          </cell>
          <cell r="C9">
            <v>10250031442</v>
          </cell>
          <cell r="D9" t="str">
            <v>1*2</v>
          </cell>
          <cell r="E9" t="str">
            <v>红胶</v>
          </cell>
          <cell r="F9" t="str">
            <v>空调内机</v>
          </cell>
          <cell r="G9">
            <v>5.5999999999999994E-2</v>
          </cell>
          <cell r="H9">
            <v>500</v>
          </cell>
          <cell r="I9">
            <v>28</v>
          </cell>
        </row>
        <row r="10">
          <cell r="A10">
            <v>10880020278</v>
          </cell>
          <cell r="B10" t="str">
            <v>693-A2178R-PC 0011800612Q</v>
          </cell>
          <cell r="C10">
            <v>10250031442</v>
          </cell>
          <cell r="D10" t="str">
            <v>1*2</v>
          </cell>
          <cell r="E10" t="str">
            <v>红胶</v>
          </cell>
          <cell r="F10" t="str">
            <v>空调内机</v>
          </cell>
          <cell r="G10">
            <v>5.5999999999999994E-2</v>
          </cell>
          <cell r="H10">
            <v>500</v>
          </cell>
          <cell r="I10">
            <v>28</v>
          </cell>
        </row>
        <row r="11">
          <cell r="A11">
            <v>10880018843</v>
          </cell>
          <cell r="B11" t="str">
            <v>693-A2178B-PC 0011800612D</v>
          </cell>
          <cell r="C11">
            <v>10250033759</v>
          </cell>
          <cell r="D11" t="str">
            <v>1*2</v>
          </cell>
          <cell r="E11" t="str">
            <v>红胶</v>
          </cell>
          <cell r="F11" t="str">
            <v>空调内机</v>
          </cell>
          <cell r="G11">
            <v>5.5999999999999994E-2</v>
          </cell>
          <cell r="H11">
            <v>500</v>
          </cell>
          <cell r="I11">
            <v>28</v>
          </cell>
        </row>
        <row r="12">
          <cell r="A12">
            <v>10880018851</v>
          </cell>
          <cell r="B12" t="str">
            <v>693-A2178J-PC 0011800612M</v>
          </cell>
          <cell r="C12">
            <v>10250033759</v>
          </cell>
          <cell r="D12" t="str">
            <v>1*2</v>
          </cell>
          <cell r="E12" t="str">
            <v>红胶</v>
          </cell>
          <cell r="F12" t="str">
            <v>空调内机</v>
          </cell>
          <cell r="G12">
            <v>5.5999999999999994E-2</v>
          </cell>
          <cell r="H12">
            <v>500</v>
          </cell>
          <cell r="I12">
            <v>28</v>
          </cell>
        </row>
        <row r="13">
          <cell r="A13">
            <v>10880020276</v>
          </cell>
          <cell r="B13" t="str">
            <v>693-A2178N-PC 0011800612E</v>
          </cell>
          <cell r="C13">
            <v>10250033759</v>
          </cell>
          <cell r="D13" t="str">
            <v>1*2</v>
          </cell>
          <cell r="E13" t="str">
            <v>红胶</v>
          </cell>
          <cell r="F13" t="str">
            <v>空调内机</v>
          </cell>
          <cell r="G13">
            <v>5.5999999999999994E-2</v>
          </cell>
          <cell r="H13">
            <v>500</v>
          </cell>
          <cell r="I13">
            <v>28</v>
          </cell>
        </row>
        <row r="14">
          <cell r="A14">
            <v>10880018091</v>
          </cell>
          <cell r="B14" t="str">
            <v>693-A2178F-PC 0011800612F</v>
          </cell>
          <cell r="C14">
            <v>10250033759</v>
          </cell>
          <cell r="D14" t="str">
            <v>1*2</v>
          </cell>
          <cell r="E14" t="str">
            <v>红胶</v>
          </cell>
          <cell r="F14" t="str">
            <v>空调内机</v>
          </cell>
          <cell r="G14">
            <v>5.5999999999999994E-2</v>
          </cell>
          <cell r="H14">
            <v>500</v>
          </cell>
          <cell r="I14">
            <v>28</v>
          </cell>
        </row>
        <row r="15">
          <cell r="A15">
            <v>10880018846</v>
          </cell>
          <cell r="B15" t="str">
            <v>693-A2178D-PC 0011800612R</v>
          </cell>
          <cell r="C15" t="str">
            <v>10250035069/10250035076</v>
          </cell>
          <cell r="D15" t="str">
            <v>1*2</v>
          </cell>
          <cell r="E15" t="str">
            <v>锡膏</v>
          </cell>
          <cell r="F15" t="str">
            <v>空调内机</v>
          </cell>
          <cell r="G15">
            <v>5.5999999999999994E-2</v>
          </cell>
          <cell r="H15">
            <v>500</v>
          </cell>
          <cell r="I15">
            <v>28</v>
          </cell>
        </row>
        <row r="16">
          <cell r="A16">
            <v>10880018847</v>
          </cell>
          <cell r="B16" t="str">
            <v>693-A2178E-PC 0011800612H</v>
          </cell>
          <cell r="C16" t="str">
            <v>10250035069/10250035076</v>
          </cell>
          <cell r="D16" t="str">
            <v>1*2</v>
          </cell>
          <cell r="E16" t="str">
            <v>锡膏</v>
          </cell>
          <cell r="F16" t="str">
            <v>空调内机</v>
          </cell>
          <cell r="G16">
            <v>5.5999999999999994E-2</v>
          </cell>
          <cell r="H16">
            <v>500</v>
          </cell>
          <cell r="I16">
            <v>28</v>
          </cell>
        </row>
        <row r="17">
          <cell r="A17">
            <v>10880032745</v>
          </cell>
          <cell r="B17" t="str">
            <v xml:space="preserve">693-C2470C-PC 0011800612H(612Y版图贴片LED)  </v>
          </cell>
          <cell r="C17" t="str">
            <v>10250039129/10250039130</v>
          </cell>
          <cell r="D17" t="str">
            <v>1*2</v>
          </cell>
          <cell r="E17" t="str">
            <v>锡膏</v>
          </cell>
          <cell r="F17" t="str">
            <v>空调内机</v>
          </cell>
          <cell r="G17">
            <v>5.5999999999999994E-2</v>
          </cell>
          <cell r="H17">
            <v>500</v>
          </cell>
          <cell r="I17">
            <v>28</v>
          </cell>
        </row>
        <row r="18">
          <cell r="A18">
            <v>10880018850</v>
          </cell>
          <cell r="B18" t="str">
            <v>693-A2178I-PC 0011800612V</v>
          </cell>
          <cell r="C18" t="str">
            <v>10250035069/10250035076</v>
          </cell>
          <cell r="D18" t="str">
            <v>1*2</v>
          </cell>
          <cell r="E18" t="str">
            <v>锡膏</v>
          </cell>
          <cell r="F18" t="str">
            <v>空调内机</v>
          </cell>
          <cell r="G18">
            <v>5.5999999999999994E-2</v>
          </cell>
          <cell r="H18">
            <v>500</v>
          </cell>
          <cell r="I18">
            <v>28</v>
          </cell>
        </row>
        <row r="19">
          <cell r="A19">
            <v>10880020279</v>
          </cell>
          <cell r="B19" t="str">
            <v>693-A2178L-PC 0011800612T</v>
          </cell>
          <cell r="C19" t="str">
            <v>10250035069/10250035076</v>
          </cell>
          <cell r="D19" t="str">
            <v>1*2</v>
          </cell>
          <cell r="E19" t="str">
            <v>锡膏</v>
          </cell>
          <cell r="F19" t="str">
            <v>空调内机</v>
          </cell>
          <cell r="G19">
            <v>5.5999999999999994E-2</v>
          </cell>
          <cell r="H19">
            <v>500</v>
          </cell>
          <cell r="I19">
            <v>28</v>
          </cell>
        </row>
        <row r="20">
          <cell r="A20">
            <v>10880020280</v>
          </cell>
          <cell r="B20" t="str">
            <v>693-A2178M-PC 0011800612W</v>
          </cell>
          <cell r="C20" t="str">
            <v>10250035069/10250035076</v>
          </cell>
          <cell r="D20" t="str">
            <v>1*2</v>
          </cell>
          <cell r="E20" t="str">
            <v>锡膏</v>
          </cell>
          <cell r="F20" t="str">
            <v>空调内机</v>
          </cell>
          <cell r="G20">
            <v>5.5999999999999994E-2</v>
          </cell>
          <cell r="H20">
            <v>500</v>
          </cell>
          <cell r="I20">
            <v>28</v>
          </cell>
        </row>
        <row r="21">
          <cell r="A21">
            <v>10880017516</v>
          </cell>
          <cell r="B21" t="str">
            <v>693-A2179A-PC 0011800630K</v>
          </cell>
          <cell r="C21" t="str">
            <v>10250038428/10250038429</v>
          </cell>
          <cell r="D21" t="str">
            <v>1*2</v>
          </cell>
          <cell r="E21" t="str">
            <v>锡膏</v>
          </cell>
          <cell r="F21" t="str">
            <v>空调内机</v>
          </cell>
          <cell r="G21">
            <v>5.2000000000000005E-2</v>
          </cell>
          <cell r="H21">
            <v>500</v>
          </cell>
          <cell r="I21">
            <v>26</v>
          </cell>
        </row>
        <row r="22">
          <cell r="A22">
            <v>10880017524</v>
          </cell>
          <cell r="B22" t="str">
            <v>693-A2179B-PC 0011800630M</v>
          </cell>
          <cell r="C22" t="str">
            <v>10250038428/10250038429</v>
          </cell>
          <cell r="D22" t="str">
            <v>1*2</v>
          </cell>
          <cell r="E22" t="str">
            <v>锡膏</v>
          </cell>
          <cell r="F22" t="str">
            <v>空调内机</v>
          </cell>
          <cell r="G22">
            <v>5.7999999999999996E-2</v>
          </cell>
          <cell r="H22">
            <v>500</v>
          </cell>
          <cell r="I22">
            <v>29</v>
          </cell>
        </row>
        <row r="23">
          <cell r="A23">
            <v>10880017525</v>
          </cell>
          <cell r="B23" t="str">
            <v>693-A2179C-PC 0011800630L</v>
          </cell>
          <cell r="C23" t="str">
            <v>10250038428/10250038429</v>
          </cell>
          <cell r="D23" t="str">
            <v>1*2</v>
          </cell>
          <cell r="E23" t="str">
            <v>锡膏</v>
          </cell>
          <cell r="F23" t="str">
            <v>空调内机</v>
          </cell>
          <cell r="G23">
            <v>5.2000000000000005E-2</v>
          </cell>
          <cell r="H23">
            <v>500</v>
          </cell>
          <cell r="I23">
            <v>26</v>
          </cell>
        </row>
        <row r="24">
          <cell r="A24">
            <v>10880017526</v>
          </cell>
          <cell r="B24" t="str">
            <v>693-A2179D-PC 0011800630P</v>
          </cell>
          <cell r="C24" t="str">
            <v>10250038428/10250038429</v>
          </cell>
          <cell r="D24" t="str">
            <v>1*2</v>
          </cell>
          <cell r="E24" t="str">
            <v>锡膏</v>
          </cell>
          <cell r="F24" t="str">
            <v>空调内机</v>
          </cell>
          <cell r="G24">
            <v>5.5999999999999994E-2</v>
          </cell>
          <cell r="H24">
            <v>500</v>
          </cell>
          <cell r="I24">
            <v>28</v>
          </cell>
        </row>
        <row r="25">
          <cell r="A25">
            <v>10880017527</v>
          </cell>
          <cell r="B25" t="str">
            <v>693-A2179E-PC 0011800630J</v>
          </cell>
          <cell r="C25">
            <v>10250033346</v>
          </cell>
          <cell r="D25" t="str">
            <v>1*2</v>
          </cell>
          <cell r="E25" t="str">
            <v>锡膏</v>
          </cell>
          <cell r="F25" t="str">
            <v>空调内机</v>
          </cell>
          <cell r="G25">
            <v>7.7499999999999999E-2</v>
          </cell>
          <cell r="H25">
            <v>400</v>
          </cell>
          <cell r="I25">
            <v>31</v>
          </cell>
        </row>
        <row r="26">
          <cell r="A26">
            <v>10880020217</v>
          </cell>
          <cell r="B26" t="str">
            <v>693-A2179F-PC 0011800630</v>
          </cell>
          <cell r="C26">
            <v>10250033344</v>
          </cell>
          <cell r="D26" t="str">
            <v>1*2</v>
          </cell>
          <cell r="E26" t="str">
            <v>红胶</v>
          </cell>
          <cell r="F26" t="str">
            <v>空调内机</v>
          </cell>
          <cell r="G26">
            <v>6.2E-2</v>
          </cell>
          <cell r="H26">
            <v>500</v>
          </cell>
          <cell r="I26">
            <v>31</v>
          </cell>
        </row>
        <row r="27">
          <cell r="A27">
            <v>10880020223</v>
          </cell>
          <cell r="B27" t="str">
            <v>693-A2179I-PC 0011800630E</v>
          </cell>
          <cell r="C27">
            <v>10250033344</v>
          </cell>
          <cell r="D27" t="str">
            <v>1*2</v>
          </cell>
          <cell r="E27" t="str">
            <v>红胶</v>
          </cell>
          <cell r="F27" t="str">
            <v>空调内机</v>
          </cell>
          <cell r="G27">
            <v>6.2E-2</v>
          </cell>
          <cell r="H27">
            <v>500</v>
          </cell>
          <cell r="I27">
            <v>31</v>
          </cell>
        </row>
        <row r="28">
          <cell r="A28">
            <v>10880020224</v>
          </cell>
          <cell r="B28" t="str">
            <v>693-A2179J-PC 0011800630Y--977B小板</v>
          </cell>
          <cell r="C28">
            <v>10250033344</v>
          </cell>
          <cell r="D28" t="str">
            <v>1*2</v>
          </cell>
          <cell r="E28" t="str">
            <v>红胶</v>
          </cell>
          <cell r="F28" t="str">
            <v>空调内机</v>
          </cell>
          <cell r="G28">
            <v>7.0500000000000007E-2</v>
          </cell>
          <cell r="H28">
            <v>500</v>
          </cell>
          <cell r="I28">
            <v>33</v>
          </cell>
        </row>
        <row r="29">
          <cell r="H29">
            <v>2000</v>
          </cell>
          <cell r="I29">
            <v>9</v>
          </cell>
        </row>
        <row r="30">
          <cell r="A30">
            <v>10880020225</v>
          </cell>
          <cell r="B30" t="str">
            <v>693-A2179K-PC 0011800630Z--977B小板</v>
          </cell>
          <cell r="C30">
            <v>10250033344</v>
          </cell>
          <cell r="D30" t="str">
            <v>1*2</v>
          </cell>
          <cell r="E30" t="str">
            <v>红胶</v>
          </cell>
          <cell r="F30" t="str">
            <v>空调内机</v>
          </cell>
          <cell r="G30">
            <v>7.0500000000000007E-2</v>
          </cell>
          <cell r="H30">
            <v>500</v>
          </cell>
          <cell r="I30">
            <v>33</v>
          </cell>
        </row>
        <row r="31">
          <cell r="H31">
            <v>2000</v>
          </cell>
          <cell r="I31">
            <v>9</v>
          </cell>
        </row>
        <row r="32">
          <cell r="A32">
            <v>10880020221</v>
          </cell>
          <cell r="B32" t="str">
            <v>693-A2179G-PC 0011800630R</v>
          </cell>
          <cell r="C32" t="str">
            <v>10250033742/10250033743</v>
          </cell>
          <cell r="D32" t="str">
            <v>1*2</v>
          </cell>
          <cell r="E32" t="str">
            <v>锡膏</v>
          </cell>
          <cell r="F32" t="str">
            <v>空调内机</v>
          </cell>
          <cell r="G32">
            <v>8.3333333333333329E-2</v>
          </cell>
          <cell r="H32">
            <v>300</v>
          </cell>
          <cell r="I32">
            <v>25</v>
          </cell>
        </row>
        <row r="33">
          <cell r="A33">
            <v>10880020222</v>
          </cell>
          <cell r="B33" t="str">
            <v>693-A2179H-PC 0011800630S</v>
          </cell>
          <cell r="C33" t="str">
            <v>10250033742/10250033743</v>
          </cell>
          <cell r="D33" t="str">
            <v>1*2</v>
          </cell>
          <cell r="E33" t="str">
            <v>锡膏</v>
          </cell>
          <cell r="F33" t="str">
            <v>空调内机</v>
          </cell>
          <cell r="G33">
            <v>8.3333333333333329E-2</v>
          </cell>
          <cell r="H33">
            <v>500</v>
          </cell>
          <cell r="I33">
            <v>25</v>
          </cell>
        </row>
        <row r="34">
          <cell r="A34">
            <v>10880017530</v>
          </cell>
          <cell r="B34" t="str">
            <v>693-A2180A-PC 0011800646A</v>
          </cell>
          <cell r="C34" t="str">
            <v>10250029660/10250029662</v>
          </cell>
          <cell r="D34" t="str">
            <v>1*3</v>
          </cell>
          <cell r="E34" t="str">
            <v>锡膏</v>
          </cell>
          <cell r="F34" t="str">
            <v>空调内机</v>
          </cell>
          <cell r="G34">
            <v>0.06</v>
          </cell>
          <cell r="H34">
            <v>500</v>
          </cell>
          <cell r="I34">
            <v>30</v>
          </cell>
        </row>
        <row r="35">
          <cell r="A35">
            <v>10880017531</v>
          </cell>
          <cell r="B35" t="str">
            <v>693-A2180B-PC 0011800646D</v>
          </cell>
          <cell r="C35" t="str">
            <v>10250029660/10250029662</v>
          </cell>
          <cell r="D35" t="str">
            <v>1*3</v>
          </cell>
          <cell r="E35" t="str">
            <v>锡膏</v>
          </cell>
          <cell r="F35" t="str">
            <v>空调内机</v>
          </cell>
          <cell r="G35">
            <v>5.5999999999999994E-2</v>
          </cell>
          <cell r="H35">
            <v>500</v>
          </cell>
          <cell r="I35">
            <v>30</v>
          </cell>
        </row>
        <row r="36">
          <cell r="A36">
            <v>10880017532</v>
          </cell>
          <cell r="B36" t="str">
            <v>693-A2180C-PC 0011800646F</v>
          </cell>
          <cell r="C36" t="str">
            <v>10250029660/10250029662</v>
          </cell>
          <cell r="D36" t="str">
            <v>1*3</v>
          </cell>
          <cell r="E36" t="str">
            <v>锡膏</v>
          </cell>
          <cell r="F36" t="str">
            <v>空调内机</v>
          </cell>
          <cell r="G36">
            <v>5.5999999999999994E-2</v>
          </cell>
          <cell r="H36">
            <v>500</v>
          </cell>
          <cell r="I36">
            <v>30</v>
          </cell>
        </row>
        <row r="37">
          <cell r="A37">
            <v>10880017533</v>
          </cell>
          <cell r="B37" t="str">
            <v>693-A2180D-PC 0011800646M</v>
          </cell>
          <cell r="C37" t="str">
            <v>10250029660/10250029662</v>
          </cell>
          <cell r="D37" t="str">
            <v>1*3</v>
          </cell>
          <cell r="E37" t="str">
            <v>锡膏</v>
          </cell>
          <cell r="F37" t="str">
            <v>空调内机</v>
          </cell>
          <cell r="G37">
            <v>5.5999999999999994E-2</v>
          </cell>
          <cell r="H37">
            <v>500</v>
          </cell>
          <cell r="I37">
            <v>30</v>
          </cell>
        </row>
        <row r="38">
          <cell r="A38">
            <v>10880017534</v>
          </cell>
          <cell r="B38" t="str">
            <v>693-A2180E-PC 0011800646</v>
          </cell>
          <cell r="C38" t="str">
            <v>10250029660/10250029662</v>
          </cell>
          <cell r="D38" t="str">
            <v>1*3</v>
          </cell>
          <cell r="E38" t="str">
            <v>锡膏</v>
          </cell>
          <cell r="F38" t="str">
            <v>空调内机</v>
          </cell>
          <cell r="G38">
            <v>5.5999999999999994E-2</v>
          </cell>
          <cell r="H38">
            <v>500</v>
          </cell>
          <cell r="I38">
            <v>30</v>
          </cell>
        </row>
        <row r="39">
          <cell r="A39">
            <v>10880017535</v>
          </cell>
          <cell r="B39" t="str">
            <v>693-A2180F-PC 0011800646C</v>
          </cell>
          <cell r="C39" t="str">
            <v>10250029660/10250029662</v>
          </cell>
          <cell r="D39" t="str">
            <v>1*3</v>
          </cell>
          <cell r="E39" t="str">
            <v>锡膏</v>
          </cell>
          <cell r="F39" t="str">
            <v>空调内机</v>
          </cell>
          <cell r="G39">
            <v>5.5999999999999994E-2</v>
          </cell>
          <cell r="H39">
            <v>500</v>
          </cell>
          <cell r="I39">
            <v>30</v>
          </cell>
        </row>
        <row r="40">
          <cell r="A40">
            <v>10880017536</v>
          </cell>
          <cell r="B40" t="str">
            <v>693-A2180G-PC 0011800646L</v>
          </cell>
          <cell r="C40" t="str">
            <v>10250029660/10250029662</v>
          </cell>
          <cell r="D40" t="str">
            <v>1*3</v>
          </cell>
          <cell r="E40" t="str">
            <v>锡膏</v>
          </cell>
          <cell r="F40" t="str">
            <v>空调内机</v>
          </cell>
          <cell r="G40">
            <v>5.5999999999999994E-2</v>
          </cell>
          <cell r="H40">
            <v>500</v>
          </cell>
          <cell r="I40">
            <v>30</v>
          </cell>
        </row>
        <row r="41">
          <cell r="A41">
            <v>10880017537</v>
          </cell>
          <cell r="B41" t="str">
            <v>693-A2180H-PC 0011800646B</v>
          </cell>
          <cell r="C41" t="str">
            <v>10250029660/10250029662</v>
          </cell>
          <cell r="D41" t="str">
            <v>1*3</v>
          </cell>
          <cell r="E41" t="str">
            <v>锡膏</v>
          </cell>
          <cell r="F41" t="str">
            <v>空调内机</v>
          </cell>
          <cell r="G41">
            <v>5.5999999999999994E-2</v>
          </cell>
          <cell r="H41">
            <v>500</v>
          </cell>
          <cell r="I41">
            <v>30</v>
          </cell>
        </row>
        <row r="42">
          <cell r="A42">
            <v>10880020226</v>
          </cell>
          <cell r="B42" t="str">
            <v>693-A2180I-PC 0011800646J</v>
          </cell>
          <cell r="C42" t="str">
            <v>10250029660/10250029662</v>
          </cell>
          <cell r="D42" t="str">
            <v>1*3</v>
          </cell>
          <cell r="E42" t="str">
            <v>锡膏</v>
          </cell>
          <cell r="F42" t="str">
            <v>空调内机</v>
          </cell>
          <cell r="G42">
            <v>5.5999999999999994E-2</v>
          </cell>
          <cell r="H42">
            <v>500</v>
          </cell>
          <cell r="I42">
            <v>30</v>
          </cell>
        </row>
        <row r="43">
          <cell r="A43">
            <v>10880020227</v>
          </cell>
          <cell r="B43" t="str">
            <v>693-A2180J-PC 0011800646K</v>
          </cell>
          <cell r="C43" t="str">
            <v>10250029660/10250029662</v>
          </cell>
          <cell r="D43" t="str">
            <v>1*3</v>
          </cell>
          <cell r="E43" t="str">
            <v>锡膏</v>
          </cell>
          <cell r="F43" t="str">
            <v>空调内机</v>
          </cell>
          <cell r="G43">
            <v>5.5999999999999994E-2</v>
          </cell>
          <cell r="H43">
            <v>500</v>
          </cell>
          <cell r="I43">
            <v>30</v>
          </cell>
        </row>
        <row r="44">
          <cell r="A44">
            <v>10880020229</v>
          </cell>
          <cell r="B44" t="str">
            <v>693-A2180K-PC 0011800646G</v>
          </cell>
          <cell r="C44" t="str">
            <v>10250029660/10250029662</v>
          </cell>
          <cell r="D44" t="str">
            <v>1*3</v>
          </cell>
          <cell r="E44" t="str">
            <v>锡膏</v>
          </cell>
          <cell r="F44" t="str">
            <v>空调内机</v>
          </cell>
          <cell r="G44">
            <v>5.5999999999999994E-2</v>
          </cell>
          <cell r="H44">
            <v>500</v>
          </cell>
          <cell r="I44">
            <v>30</v>
          </cell>
        </row>
        <row r="45">
          <cell r="A45">
            <v>10880017948</v>
          </cell>
          <cell r="B45" t="str">
            <v>693-A2181A-PC 0011800537</v>
          </cell>
          <cell r="C45" t="str">
            <v xml:space="preserve"> 10250033736/10250033737</v>
          </cell>
          <cell r="D45" t="str">
            <v>1*2</v>
          </cell>
          <cell r="E45" t="str">
            <v>红胶</v>
          </cell>
          <cell r="F45" t="str">
            <v>空调内机</v>
          </cell>
          <cell r="G45">
            <v>5.0909090909090911E-2</v>
          </cell>
          <cell r="H45">
            <v>550</v>
          </cell>
          <cell r="I45">
            <v>28</v>
          </cell>
        </row>
        <row r="46">
          <cell r="A46">
            <v>10880017950</v>
          </cell>
          <cell r="B46" t="str">
            <v>693-A2181C-PC 0011800537A</v>
          </cell>
          <cell r="C46" t="str">
            <v xml:space="preserve"> 10250033736/10250033737</v>
          </cell>
          <cell r="D46" t="str">
            <v>1*2</v>
          </cell>
          <cell r="E46" t="str">
            <v>红胶</v>
          </cell>
          <cell r="F46" t="str">
            <v>空调内机</v>
          </cell>
          <cell r="G46">
            <v>5.0909090909090911E-2</v>
          </cell>
          <cell r="H46">
            <v>550</v>
          </cell>
          <cell r="I46">
            <v>28</v>
          </cell>
        </row>
        <row r="47">
          <cell r="A47">
            <v>10880020216</v>
          </cell>
          <cell r="B47" t="str">
            <v>693-A2181D-PC 0011800537B</v>
          </cell>
          <cell r="C47" t="str">
            <v>10250033738/10250033739</v>
          </cell>
          <cell r="D47" t="str">
            <v>1*2</v>
          </cell>
          <cell r="E47" t="str">
            <v>红胶</v>
          </cell>
          <cell r="F47" t="str">
            <v>空调内机</v>
          </cell>
          <cell r="G47">
            <v>5.0909090909090911E-2</v>
          </cell>
          <cell r="H47">
            <v>550</v>
          </cell>
          <cell r="I47">
            <v>28</v>
          </cell>
        </row>
        <row r="48">
          <cell r="A48">
            <v>10880017949</v>
          </cell>
          <cell r="B48" t="str">
            <v>693-A2181B-PC 0011800537C</v>
          </cell>
          <cell r="C48" t="str">
            <v>10250033740/10250033741</v>
          </cell>
          <cell r="D48" t="str">
            <v>1*2</v>
          </cell>
          <cell r="E48" t="str">
            <v>红胶</v>
          </cell>
          <cell r="F48" t="str">
            <v>空调内机</v>
          </cell>
          <cell r="G48">
            <v>5.0909090909090911E-2</v>
          </cell>
          <cell r="H48">
            <v>550</v>
          </cell>
          <cell r="I48">
            <v>28</v>
          </cell>
        </row>
        <row r="49">
          <cell r="A49">
            <v>10880035531</v>
          </cell>
          <cell r="B49" t="str">
            <v xml:space="preserve">693-C2513B-PC G0044 0011800537K  </v>
          </cell>
          <cell r="C49" t="str">
            <v>10250042774/10250042775</v>
          </cell>
          <cell r="D49" t="str">
            <v>1*2</v>
          </cell>
          <cell r="E49" t="str">
            <v>红胶</v>
          </cell>
          <cell r="F49" t="str">
            <v>空调内机</v>
          </cell>
          <cell r="G49">
            <v>7.2222222222222215E-2</v>
          </cell>
          <cell r="H49">
            <v>360</v>
          </cell>
          <cell r="I49">
            <v>26</v>
          </cell>
        </row>
        <row r="50">
          <cell r="A50">
            <v>10880035513</v>
          </cell>
          <cell r="B50" t="str">
            <v xml:space="preserve">693-C2513A-PC G0044 0011800537F   </v>
          </cell>
          <cell r="C50" t="str">
            <v>10250042774/10250042775</v>
          </cell>
          <cell r="D50" t="str">
            <v>1*2</v>
          </cell>
          <cell r="E50" t="str">
            <v>红胶</v>
          </cell>
          <cell r="F50" t="str">
            <v>空调内机</v>
          </cell>
          <cell r="G50">
            <v>7.2222222222222215E-2</v>
          </cell>
          <cell r="H50">
            <v>360</v>
          </cell>
          <cell r="I50">
            <v>26</v>
          </cell>
        </row>
        <row r="51">
          <cell r="A51">
            <v>10880018093</v>
          </cell>
          <cell r="B51" t="str">
            <v>693-A2182A-PC 0011800807</v>
          </cell>
          <cell r="C51" t="str">
            <v>10250029758/10250029759</v>
          </cell>
          <cell r="D51" t="str">
            <v>1*3</v>
          </cell>
          <cell r="E51" t="str">
            <v>锡膏</v>
          </cell>
          <cell r="F51" t="str">
            <v>空调内机</v>
          </cell>
          <cell r="G51">
            <v>0.06</v>
          </cell>
          <cell r="H51">
            <v>500</v>
          </cell>
          <cell r="I51">
            <v>30</v>
          </cell>
        </row>
        <row r="52">
          <cell r="A52">
            <v>10880018096</v>
          </cell>
          <cell r="B52" t="str">
            <v>693-B2201A-PC 0011801424A</v>
          </cell>
          <cell r="C52">
            <v>10250034000</v>
          </cell>
          <cell r="D52" t="str">
            <v>1*2</v>
          </cell>
          <cell r="E52" t="str">
            <v>锡膏</v>
          </cell>
          <cell r="F52" t="str">
            <v>空调外机</v>
          </cell>
          <cell r="G52">
            <v>0.10606060606060606</v>
          </cell>
          <cell r="H52">
            <v>330</v>
          </cell>
          <cell r="I52">
            <v>35</v>
          </cell>
        </row>
        <row r="53">
          <cell r="A53">
            <v>10880018097</v>
          </cell>
          <cell r="B53" t="str">
            <v>693-B2201B-PC 0011801424B</v>
          </cell>
          <cell r="C53">
            <v>10250034000</v>
          </cell>
          <cell r="D53" t="str">
            <v>1*2</v>
          </cell>
          <cell r="E53" t="str">
            <v>锡膏</v>
          </cell>
          <cell r="F53" t="str">
            <v>空调外机</v>
          </cell>
          <cell r="G53">
            <v>0.10606060606060606</v>
          </cell>
          <cell r="H53">
            <v>330</v>
          </cell>
          <cell r="I53">
            <v>35</v>
          </cell>
        </row>
        <row r="54">
          <cell r="A54">
            <v>10880019036</v>
          </cell>
          <cell r="B54" t="str">
            <v>693-B2201C-PC 0011801424E</v>
          </cell>
          <cell r="C54">
            <v>10250034000</v>
          </cell>
          <cell r="D54" t="str">
            <v>1*2</v>
          </cell>
          <cell r="E54" t="str">
            <v>锡膏</v>
          </cell>
          <cell r="F54" t="str">
            <v>空调外机</v>
          </cell>
          <cell r="G54">
            <v>0.10606060606060606</v>
          </cell>
          <cell r="H54">
            <v>330</v>
          </cell>
          <cell r="I54">
            <v>35</v>
          </cell>
        </row>
        <row r="55">
          <cell r="A55">
            <v>10880019037</v>
          </cell>
          <cell r="B55" t="str">
            <v>693-B2201D-PC 0011801424F</v>
          </cell>
          <cell r="C55">
            <v>10250034000</v>
          </cell>
          <cell r="D55" t="str">
            <v>1*2</v>
          </cell>
          <cell r="E55" t="str">
            <v>锡膏</v>
          </cell>
          <cell r="F55" t="str">
            <v>空调外机</v>
          </cell>
          <cell r="G55">
            <v>0.10606060606060606</v>
          </cell>
          <cell r="H55">
            <v>330</v>
          </cell>
          <cell r="I55">
            <v>35</v>
          </cell>
        </row>
        <row r="56">
          <cell r="A56">
            <v>10880019038</v>
          </cell>
          <cell r="B56" t="str">
            <v>693-B2201E-PC 0011801424M</v>
          </cell>
          <cell r="C56">
            <v>10250034000</v>
          </cell>
          <cell r="D56" t="str">
            <v>1*2</v>
          </cell>
          <cell r="E56" t="str">
            <v>锡膏</v>
          </cell>
          <cell r="F56" t="str">
            <v>空调外机</v>
          </cell>
          <cell r="G56">
            <v>0.10606060606060606</v>
          </cell>
          <cell r="H56">
            <v>330</v>
          </cell>
          <cell r="I56">
            <v>35</v>
          </cell>
        </row>
        <row r="57">
          <cell r="A57">
            <v>10880019039</v>
          </cell>
          <cell r="B57" t="str">
            <v>693-B2201F-PC 0011801424H</v>
          </cell>
          <cell r="C57">
            <v>10250034000</v>
          </cell>
          <cell r="D57" t="str">
            <v>1*2</v>
          </cell>
          <cell r="E57" t="str">
            <v>锡膏</v>
          </cell>
          <cell r="F57" t="str">
            <v>空调外机</v>
          </cell>
          <cell r="G57">
            <v>0.10606060606060606</v>
          </cell>
          <cell r="H57">
            <v>330</v>
          </cell>
          <cell r="I57">
            <v>35</v>
          </cell>
        </row>
        <row r="58">
          <cell r="A58">
            <v>10880019040</v>
          </cell>
          <cell r="B58" t="str">
            <v>693-B2201G-PC 0011801424J</v>
          </cell>
          <cell r="C58">
            <v>10250034000</v>
          </cell>
          <cell r="D58" t="str">
            <v>1*2</v>
          </cell>
          <cell r="E58" t="str">
            <v>锡膏</v>
          </cell>
          <cell r="F58" t="str">
            <v>空调外机</v>
          </cell>
          <cell r="G58">
            <v>0.10606060606060606</v>
          </cell>
          <cell r="H58">
            <v>330</v>
          </cell>
          <cell r="I58">
            <v>35</v>
          </cell>
        </row>
        <row r="59">
          <cell r="A59">
            <v>10880019041</v>
          </cell>
          <cell r="B59" t="str">
            <v>693-B2201H-PC 0011801424V</v>
          </cell>
          <cell r="C59">
            <v>10250034000</v>
          </cell>
          <cell r="D59" t="str">
            <v>1*2</v>
          </cell>
          <cell r="E59" t="str">
            <v>锡膏</v>
          </cell>
          <cell r="F59" t="str">
            <v>空调外机</v>
          </cell>
          <cell r="G59">
            <v>0.10606060606060606</v>
          </cell>
          <cell r="H59">
            <v>330</v>
          </cell>
          <cell r="I59">
            <v>35</v>
          </cell>
        </row>
        <row r="60">
          <cell r="A60">
            <v>10880019240</v>
          </cell>
          <cell r="B60" t="str">
            <v>693-B2201J-PC 0011801424C</v>
          </cell>
          <cell r="C60">
            <v>10250034000</v>
          </cell>
          <cell r="D60" t="str">
            <v>1*2</v>
          </cell>
          <cell r="E60" t="str">
            <v>锡膏</v>
          </cell>
          <cell r="F60" t="str">
            <v>空调外机</v>
          </cell>
          <cell r="G60">
            <v>0.10606060606060606</v>
          </cell>
          <cell r="H60">
            <v>330</v>
          </cell>
          <cell r="I60">
            <v>35</v>
          </cell>
        </row>
        <row r="61">
          <cell r="A61">
            <v>10880019241</v>
          </cell>
          <cell r="B61" t="str">
            <v>693-B2201K-PC 0011801424D</v>
          </cell>
          <cell r="C61">
            <v>10250034000</v>
          </cell>
          <cell r="D61" t="str">
            <v>1*2</v>
          </cell>
          <cell r="E61" t="str">
            <v>锡膏</v>
          </cell>
          <cell r="F61" t="str">
            <v>空调外机</v>
          </cell>
          <cell r="G61">
            <v>0.10606060606060606</v>
          </cell>
          <cell r="H61">
            <v>330</v>
          </cell>
          <cell r="I61">
            <v>35</v>
          </cell>
        </row>
        <row r="62">
          <cell r="A62">
            <v>10880021895</v>
          </cell>
          <cell r="B62" t="str">
            <v>693-B2201V-PC 0011801424X</v>
          </cell>
          <cell r="C62">
            <v>10250034000</v>
          </cell>
          <cell r="D62" t="str">
            <v>1*2</v>
          </cell>
          <cell r="E62" t="str">
            <v>锡膏</v>
          </cell>
          <cell r="F62" t="str">
            <v>空调外机</v>
          </cell>
          <cell r="G62">
            <v>0.10606060606060606</v>
          </cell>
          <cell r="H62">
            <v>330</v>
          </cell>
          <cell r="I62">
            <v>35</v>
          </cell>
        </row>
        <row r="63">
          <cell r="A63">
            <v>10880020005</v>
          </cell>
          <cell r="B63" t="str">
            <v>693-B2201L-PC 0011801424Y</v>
          </cell>
          <cell r="C63">
            <v>10250034000</v>
          </cell>
          <cell r="D63" t="str">
            <v>1*2</v>
          </cell>
          <cell r="E63" t="str">
            <v>锡膏</v>
          </cell>
          <cell r="F63" t="str">
            <v>空调外机</v>
          </cell>
          <cell r="G63">
            <v>0.10606060606060606</v>
          </cell>
          <cell r="H63">
            <v>330</v>
          </cell>
          <cell r="I63">
            <v>35</v>
          </cell>
        </row>
        <row r="64">
          <cell r="A64">
            <v>10880020640</v>
          </cell>
          <cell r="B64" t="str">
            <v>693-B2201M-PC-0011801424Z</v>
          </cell>
          <cell r="C64">
            <v>10250034000</v>
          </cell>
          <cell r="D64" t="str">
            <v>1*2</v>
          </cell>
          <cell r="E64" t="str">
            <v>锡膏</v>
          </cell>
          <cell r="F64" t="str">
            <v>空调外机</v>
          </cell>
          <cell r="G64">
            <v>0.10606060606060606</v>
          </cell>
          <cell r="H64">
            <v>330</v>
          </cell>
          <cell r="I64">
            <v>35</v>
          </cell>
        </row>
        <row r="65">
          <cell r="A65">
            <v>10880021015</v>
          </cell>
          <cell r="B65" t="str">
            <v>693-B2201N-PC 0011801424AE</v>
          </cell>
          <cell r="C65">
            <v>10250034000</v>
          </cell>
          <cell r="D65" t="str">
            <v>1*2</v>
          </cell>
          <cell r="E65" t="str">
            <v>锡膏</v>
          </cell>
          <cell r="F65" t="str">
            <v>空调外机</v>
          </cell>
          <cell r="G65">
            <v>0.10606060606060606</v>
          </cell>
          <cell r="H65">
            <v>330</v>
          </cell>
          <cell r="I65">
            <v>35</v>
          </cell>
        </row>
        <row r="66">
          <cell r="A66">
            <v>10880021019</v>
          </cell>
          <cell r="B66" t="str">
            <v>693-B2201O-PC 0011801424AF</v>
          </cell>
          <cell r="C66">
            <v>10250034000</v>
          </cell>
          <cell r="D66" t="str">
            <v>1*2</v>
          </cell>
          <cell r="E66" t="str">
            <v>锡膏</v>
          </cell>
          <cell r="F66" t="str">
            <v>空调外机</v>
          </cell>
          <cell r="G66">
            <v>0.10606060606060606</v>
          </cell>
          <cell r="H66">
            <v>330</v>
          </cell>
          <cell r="I66">
            <v>35</v>
          </cell>
        </row>
        <row r="67">
          <cell r="A67">
            <v>10880019042</v>
          </cell>
          <cell r="B67" t="str">
            <v>693-B2201I-PC 0011801424W</v>
          </cell>
          <cell r="C67">
            <v>10250034000</v>
          </cell>
          <cell r="D67" t="str">
            <v>1*2</v>
          </cell>
          <cell r="E67" t="str">
            <v>锡膏</v>
          </cell>
          <cell r="F67" t="str">
            <v>空调外机</v>
          </cell>
          <cell r="G67">
            <v>0.10606060606060606</v>
          </cell>
          <cell r="H67">
            <v>330</v>
          </cell>
          <cell r="I67">
            <v>35</v>
          </cell>
        </row>
        <row r="68">
          <cell r="A68">
            <v>10880021175</v>
          </cell>
          <cell r="B68" t="str">
            <v>693-B2201P-PC 0011801424N</v>
          </cell>
          <cell r="C68">
            <v>10250034000</v>
          </cell>
          <cell r="D68" t="str">
            <v>1*2</v>
          </cell>
          <cell r="E68" t="str">
            <v>锡膏</v>
          </cell>
          <cell r="F68" t="str">
            <v>空调外机</v>
          </cell>
          <cell r="G68">
            <v>0.10606060606060606</v>
          </cell>
          <cell r="H68">
            <v>330</v>
          </cell>
          <cell r="I68">
            <v>35</v>
          </cell>
        </row>
        <row r="69">
          <cell r="A69">
            <v>10880021173</v>
          </cell>
          <cell r="B69" t="str">
            <v>693-B2201Q-PC 0011801424K</v>
          </cell>
          <cell r="C69">
            <v>10250034000</v>
          </cell>
          <cell r="D69" t="str">
            <v>1*2</v>
          </cell>
          <cell r="E69" t="str">
            <v>锡膏</v>
          </cell>
          <cell r="F69" t="str">
            <v>空调外机</v>
          </cell>
          <cell r="G69">
            <v>0.10606060606060606</v>
          </cell>
          <cell r="H69">
            <v>330</v>
          </cell>
          <cell r="I69">
            <v>35</v>
          </cell>
        </row>
        <row r="70">
          <cell r="A70">
            <v>10880021172</v>
          </cell>
          <cell r="B70" t="str">
            <v>693-B2201S-PC 0011801424G</v>
          </cell>
          <cell r="C70">
            <v>10250034000</v>
          </cell>
          <cell r="D70" t="str">
            <v>1*2</v>
          </cell>
          <cell r="E70" t="str">
            <v>锡膏</v>
          </cell>
          <cell r="F70" t="str">
            <v>空调外机</v>
          </cell>
          <cell r="G70">
            <v>0.10606060606060606</v>
          </cell>
          <cell r="H70">
            <v>330</v>
          </cell>
          <cell r="I70">
            <v>35</v>
          </cell>
        </row>
        <row r="71">
          <cell r="A71">
            <v>10880021174</v>
          </cell>
          <cell r="B71" t="str">
            <v>693-B2201R-PC 0011801424L</v>
          </cell>
          <cell r="C71">
            <v>10250034000</v>
          </cell>
          <cell r="D71" t="str">
            <v>1*2</v>
          </cell>
          <cell r="E71" t="str">
            <v>锡膏</v>
          </cell>
          <cell r="F71" t="str">
            <v>空调外机</v>
          </cell>
          <cell r="G71">
            <v>0.10606060606060606</v>
          </cell>
          <cell r="H71">
            <v>330</v>
          </cell>
          <cell r="I71">
            <v>35</v>
          </cell>
        </row>
        <row r="72">
          <cell r="A72">
            <v>10880029156</v>
          </cell>
          <cell r="B72" t="str">
            <v xml:space="preserve">693-C2386A-PC 0011801424AP  </v>
          </cell>
          <cell r="C72">
            <v>10250034000</v>
          </cell>
          <cell r="D72" t="str">
            <v>1*2</v>
          </cell>
          <cell r="E72" t="str">
            <v>锡膏</v>
          </cell>
          <cell r="F72" t="str">
            <v>空调电控板</v>
          </cell>
          <cell r="G72">
            <v>0.10606060606060606</v>
          </cell>
          <cell r="H72">
            <v>330</v>
          </cell>
          <cell r="I72">
            <v>35</v>
          </cell>
        </row>
        <row r="73">
          <cell r="A73">
            <v>10880021344</v>
          </cell>
          <cell r="B73" t="str">
            <v>693-B2201T-PC-0011801424AA  </v>
          </cell>
          <cell r="C73">
            <v>10250034000</v>
          </cell>
          <cell r="D73" t="str">
            <v>1*2</v>
          </cell>
          <cell r="E73" t="str">
            <v>锡膏</v>
          </cell>
          <cell r="F73" t="str">
            <v>空调电控板</v>
          </cell>
          <cell r="G73">
            <v>0.10606060606060606</v>
          </cell>
          <cell r="H73">
            <v>330</v>
          </cell>
          <cell r="I73">
            <v>35</v>
          </cell>
        </row>
        <row r="74">
          <cell r="A74">
            <v>10880021345</v>
          </cell>
          <cell r="B74" t="str">
            <v xml:space="preserve"> 693-B2201U-PC-0011801424AB  </v>
          </cell>
          <cell r="C74">
            <v>10250034000</v>
          </cell>
          <cell r="D74" t="str">
            <v>1*2</v>
          </cell>
          <cell r="E74" t="str">
            <v>锡膏</v>
          </cell>
          <cell r="F74" t="str">
            <v>空调电控板</v>
          </cell>
          <cell r="G74">
            <v>0.10606060606060606</v>
          </cell>
          <cell r="H74">
            <v>330</v>
          </cell>
          <cell r="I74">
            <v>35</v>
          </cell>
        </row>
        <row r="75">
          <cell r="A75">
            <v>10880030920</v>
          </cell>
          <cell r="B75" t="str">
            <v>693-B23G9A-PC 0011801424AT</v>
          </cell>
          <cell r="C75">
            <v>10250034000</v>
          </cell>
          <cell r="D75" t="str">
            <v>1*2</v>
          </cell>
          <cell r="E75" t="str">
            <v>锡膏</v>
          </cell>
          <cell r="F75" t="str">
            <v>空调电控板</v>
          </cell>
          <cell r="G75">
            <v>0.10606060606060606</v>
          </cell>
          <cell r="H75">
            <v>330</v>
          </cell>
          <cell r="I75">
            <v>35</v>
          </cell>
        </row>
        <row r="76">
          <cell r="A76">
            <v>10880030734</v>
          </cell>
          <cell r="B76" t="str">
            <v>693-C23H4A-PC 0011801424AW</v>
          </cell>
          <cell r="C76">
            <v>10250034000</v>
          </cell>
          <cell r="D76" t="str">
            <v>1*2</v>
          </cell>
          <cell r="E76" t="str">
            <v>锡膏</v>
          </cell>
          <cell r="F76" t="str">
            <v>空调电控板</v>
          </cell>
          <cell r="G76">
            <v>0.10606060606060606</v>
          </cell>
          <cell r="H76">
            <v>330</v>
          </cell>
          <cell r="I76">
            <v>35</v>
          </cell>
        </row>
        <row r="77">
          <cell r="A77">
            <v>10880030738</v>
          </cell>
          <cell r="B77" t="str">
            <v>693-C23H4B-PC  0011801424AZ</v>
          </cell>
          <cell r="C77">
            <v>10250034000</v>
          </cell>
          <cell r="D77" t="str">
            <v>1*2</v>
          </cell>
          <cell r="E77" t="str">
            <v>锡膏</v>
          </cell>
          <cell r="F77" t="str">
            <v>空调电控板</v>
          </cell>
          <cell r="G77">
            <v>0.10606060606060606</v>
          </cell>
          <cell r="H77">
            <v>330</v>
          </cell>
          <cell r="I77">
            <v>35</v>
          </cell>
        </row>
        <row r="78">
          <cell r="A78">
            <v>10880030742</v>
          </cell>
          <cell r="B78" t="str">
            <v>693-C23H4C-PC  0011801424AX</v>
          </cell>
          <cell r="C78">
            <v>10250034000</v>
          </cell>
          <cell r="D78" t="str">
            <v>1*2</v>
          </cell>
          <cell r="E78" t="str">
            <v>锡膏</v>
          </cell>
          <cell r="F78" t="str">
            <v>空调电控板</v>
          </cell>
          <cell r="G78">
            <v>0.10606060606060606</v>
          </cell>
          <cell r="H78">
            <v>330</v>
          </cell>
          <cell r="I78">
            <v>35</v>
          </cell>
        </row>
        <row r="79">
          <cell r="A79">
            <v>10880031135</v>
          </cell>
          <cell r="B79" t="str">
            <v xml:space="preserve">693-B23G9B-PC  0011801424AV  </v>
          </cell>
          <cell r="C79">
            <v>10250034000</v>
          </cell>
          <cell r="D79" t="str">
            <v>1*2</v>
          </cell>
          <cell r="E79" t="str">
            <v>锡膏</v>
          </cell>
          <cell r="F79" t="str">
            <v>空调电控板</v>
          </cell>
          <cell r="G79">
            <v>0.10606060606060606</v>
          </cell>
          <cell r="H79">
            <v>330</v>
          </cell>
          <cell r="I79">
            <v>35</v>
          </cell>
        </row>
        <row r="80">
          <cell r="A80">
            <v>10880031317</v>
          </cell>
          <cell r="B80" t="str">
            <v>693-C23H4D-PC  0011801424BA</v>
          </cell>
          <cell r="C80">
            <v>10250034000</v>
          </cell>
          <cell r="D80" t="str">
            <v>1*2</v>
          </cell>
          <cell r="E80" t="str">
            <v>锡膏</v>
          </cell>
          <cell r="F80" t="str">
            <v>空调电控板</v>
          </cell>
          <cell r="G80">
            <v>0.10606060606060606</v>
          </cell>
          <cell r="H80">
            <v>330</v>
          </cell>
          <cell r="I80">
            <v>35</v>
          </cell>
        </row>
        <row r="81">
          <cell r="A81">
            <v>10880033273</v>
          </cell>
          <cell r="B81" t="str">
            <v>500323-C2492A-PC 0011801424BG</v>
          </cell>
          <cell r="C81">
            <v>10250034000</v>
          </cell>
          <cell r="D81" t="str">
            <v>1*2</v>
          </cell>
          <cell r="E81" t="str">
            <v>锡膏</v>
          </cell>
          <cell r="F81" t="str">
            <v>空调电控板</v>
          </cell>
          <cell r="G81">
            <v>0.10606060606060606</v>
          </cell>
          <cell r="H81">
            <v>330</v>
          </cell>
          <cell r="I81">
            <v>35</v>
          </cell>
        </row>
        <row r="82">
          <cell r="A82">
            <v>10880031136</v>
          </cell>
          <cell r="B82" t="str">
            <v xml:space="preserve">693-B23G9C-PC  0011801424AY </v>
          </cell>
          <cell r="C82" t="str">
            <v>10250042240/10250042281</v>
          </cell>
          <cell r="D82" t="str">
            <v>1*2</v>
          </cell>
          <cell r="E82" t="str">
            <v>锡膏</v>
          </cell>
          <cell r="F82" t="str">
            <v>空调电控板</v>
          </cell>
          <cell r="G82">
            <v>0.10606060606060606</v>
          </cell>
          <cell r="H82">
            <v>330</v>
          </cell>
          <cell r="I82">
            <v>35</v>
          </cell>
        </row>
        <row r="83">
          <cell r="A83">
            <v>10880012825</v>
          </cell>
          <cell r="B83" t="str">
            <v>693-C20015A 0011800977B--977B小板</v>
          </cell>
          <cell r="C83" t="str">
            <v>10250031918/10250031917</v>
          </cell>
          <cell r="D83" t="str">
            <v>1*2</v>
          </cell>
          <cell r="E83" t="str">
            <v>锡膏</v>
          </cell>
          <cell r="F83" t="str">
            <v>空调内机</v>
          </cell>
          <cell r="G83">
            <v>6.4500000000000002E-2</v>
          </cell>
          <cell r="H83">
            <v>500</v>
          </cell>
          <cell r="I83">
            <v>30</v>
          </cell>
        </row>
        <row r="84">
          <cell r="H84">
            <v>2000</v>
          </cell>
          <cell r="I84">
            <v>9</v>
          </cell>
        </row>
        <row r="85">
          <cell r="A85">
            <v>10400014144</v>
          </cell>
          <cell r="B85" t="str">
            <v>693-C20015A-K</v>
          </cell>
          <cell r="C85">
            <v>10250024231</v>
          </cell>
          <cell r="D85" t="str">
            <v>1*50</v>
          </cell>
          <cell r="E85" t="str">
            <v>无SMT</v>
          </cell>
          <cell r="F85" t="str">
            <v>空调内机按键板</v>
          </cell>
          <cell r="G85">
            <v>4.4999999999999997E-3</v>
          </cell>
          <cell r="H85">
            <v>2000</v>
          </cell>
          <cell r="I85">
            <v>9</v>
          </cell>
        </row>
        <row r="86">
          <cell r="A86">
            <v>10880013354</v>
          </cell>
          <cell r="B86" t="str">
            <v>693-C20033A 0011800977C--977B小板</v>
          </cell>
          <cell r="C86" t="str">
            <v>10250031918/10250031917</v>
          </cell>
          <cell r="D86" t="str">
            <v>1*2</v>
          </cell>
          <cell r="E86" t="str">
            <v>锡膏</v>
          </cell>
          <cell r="F86" t="str">
            <v>空调内机</v>
          </cell>
          <cell r="G86">
            <v>6.4500000000000002E-2</v>
          </cell>
          <cell r="H86">
            <v>500</v>
          </cell>
          <cell r="I86">
            <v>30</v>
          </cell>
        </row>
        <row r="87">
          <cell r="H87">
            <v>2000</v>
          </cell>
          <cell r="I87">
            <v>9</v>
          </cell>
        </row>
        <row r="88">
          <cell r="A88">
            <v>10880037368</v>
          </cell>
          <cell r="B88" t="str">
            <v xml:space="preserve">600766-A2506A-PC G0044 0011800977HHR  </v>
          </cell>
          <cell r="C88" t="str">
            <v xml:space="preserve"> 10250042276/ 10250042277</v>
          </cell>
          <cell r="D88" t="str">
            <v>1*2</v>
          </cell>
          <cell r="E88" t="str">
            <v>锡膏</v>
          </cell>
          <cell r="F88" t="str">
            <v>空调内机</v>
          </cell>
          <cell r="G88">
            <v>6.8055555555555564E-2</v>
          </cell>
          <cell r="H88">
            <v>500</v>
          </cell>
          <cell r="I88">
            <v>31</v>
          </cell>
        </row>
        <row r="89">
          <cell r="H89">
            <v>2000</v>
          </cell>
          <cell r="I89">
            <v>9</v>
          </cell>
        </row>
        <row r="90">
          <cell r="A90">
            <v>10880037369</v>
          </cell>
          <cell r="B90" t="str">
            <v xml:space="preserve"> 600766-A2506B-PC G0044 0011800977JHR  </v>
          </cell>
          <cell r="C90" t="str">
            <v xml:space="preserve"> 10250042276/ 10250042277</v>
          </cell>
          <cell r="D90" t="str">
            <v>1*2</v>
          </cell>
          <cell r="E90" t="str">
            <v>锡膏</v>
          </cell>
          <cell r="F90" t="str">
            <v>空调内机</v>
          </cell>
          <cell r="G90">
            <v>6.8055555555555564E-2</v>
          </cell>
          <cell r="H90">
            <v>500</v>
          </cell>
          <cell r="I90">
            <v>31</v>
          </cell>
        </row>
        <row r="91">
          <cell r="H91">
            <v>2000</v>
          </cell>
          <cell r="I91">
            <v>9</v>
          </cell>
        </row>
        <row r="92">
          <cell r="A92">
            <v>10880034093</v>
          </cell>
          <cell r="B92" t="str">
            <v>500323-C24L7A-PC 0011800977AA</v>
          </cell>
          <cell r="C92" t="str">
            <v>10250042276/10250042277</v>
          </cell>
          <cell r="D92" t="str">
            <v>1*2</v>
          </cell>
          <cell r="E92" t="str">
            <v>锡膏</v>
          </cell>
          <cell r="F92" t="str">
            <v>空调内机</v>
          </cell>
          <cell r="G92">
            <v>6.4500000000000002E-2</v>
          </cell>
          <cell r="H92">
            <v>500</v>
          </cell>
          <cell r="I92">
            <v>30</v>
          </cell>
        </row>
        <row r="93">
          <cell r="H93">
            <v>2000</v>
          </cell>
          <cell r="I93">
            <v>9</v>
          </cell>
        </row>
        <row r="94">
          <cell r="A94">
            <v>10880028929</v>
          </cell>
          <cell r="B94" t="str">
            <v>693-C2358A-PC 0011800977J  --977B小板</v>
          </cell>
          <cell r="C94" t="str">
            <v>10250031918/10250031917</v>
          </cell>
          <cell r="D94" t="str">
            <v>1*2</v>
          </cell>
          <cell r="E94" t="str">
            <v>锡膏</v>
          </cell>
          <cell r="F94" t="str">
            <v>空调内机</v>
          </cell>
          <cell r="G94">
            <v>6.4500000000000002E-2</v>
          </cell>
          <cell r="H94">
            <v>500</v>
          </cell>
          <cell r="I94">
            <v>30</v>
          </cell>
        </row>
        <row r="95">
          <cell r="H95">
            <v>2000</v>
          </cell>
          <cell r="I95">
            <v>9</v>
          </cell>
        </row>
        <row r="96">
          <cell r="A96">
            <v>10880019434</v>
          </cell>
          <cell r="B96" t="str">
            <v>693-B2209A-PC-0011801425N</v>
          </cell>
          <cell r="C96" t="str">
            <v>10250032040/10250032036</v>
          </cell>
          <cell r="D96" t="str">
            <v>1*2</v>
          </cell>
          <cell r="E96" t="str">
            <v>锡膏</v>
          </cell>
          <cell r="F96" t="str">
            <v>空调外机</v>
          </cell>
          <cell r="G96">
            <v>0.10625</v>
          </cell>
          <cell r="H96">
            <v>320</v>
          </cell>
          <cell r="I96">
            <v>34</v>
          </cell>
        </row>
        <row r="97">
          <cell r="A97">
            <v>10880020192</v>
          </cell>
          <cell r="B97" t="str">
            <v>693-B2209L-PC-0011801425F</v>
          </cell>
          <cell r="C97" t="str">
            <v>10250032063/10250032040</v>
          </cell>
          <cell r="D97" t="str">
            <v>1*2</v>
          </cell>
          <cell r="E97" t="str">
            <v>锡膏</v>
          </cell>
          <cell r="F97" t="str">
            <v>空调外机</v>
          </cell>
          <cell r="G97">
            <v>0.10625</v>
          </cell>
          <cell r="H97">
            <v>320</v>
          </cell>
          <cell r="I97">
            <v>34</v>
          </cell>
        </row>
        <row r="98">
          <cell r="A98">
            <v>10880020187</v>
          </cell>
          <cell r="B98" t="str">
            <v>693-B2209J-PC-0011801425D</v>
          </cell>
          <cell r="C98" t="str">
            <v>10250032063/10250032040</v>
          </cell>
          <cell r="D98" t="str">
            <v>1*2</v>
          </cell>
          <cell r="E98" t="str">
            <v>锡膏</v>
          </cell>
          <cell r="F98" t="str">
            <v>空调外机</v>
          </cell>
          <cell r="G98">
            <v>0.10625</v>
          </cell>
          <cell r="H98">
            <v>320</v>
          </cell>
          <cell r="I98">
            <v>34</v>
          </cell>
        </row>
        <row r="99">
          <cell r="A99">
            <v>10880019205</v>
          </cell>
          <cell r="B99" t="str">
            <v>693-B2209B-PC-0011801425P</v>
          </cell>
          <cell r="C99" t="str">
            <v>10250032040/10250032036</v>
          </cell>
          <cell r="D99" t="str">
            <v>1*2</v>
          </cell>
          <cell r="E99" t="str">
            <v>锡膏</v>
          </cell>
          <cell r="F99" t="str">
            <v>空调外机</v>
          </cell>
          <cell r="G99">
            <v>0.10625</v>
          </cell>
          <cell r="H99">
            <v>320</v>
          </cell>
          <cell r="I99">
            <v>34</v>
          </cell>
        </row>
        <row r="100">
          <cell r="A100">
            <v>10880020157</v>
          </cell>
          <cell r="B100" t="str">
            <v>693-B2209I-PC-0011801425T</v>
          </cell>
          <cell r="C100" t="str">
            <v>10250032040/10250032036</v>
          </cell>
          <cell r="D100" t="str">
            <v>1*2</v>
          </cell>
          <cell r="E100" t="str">
            <v>锡膏</v>
          </cell>
          <cell r="F100" t="str">
            <v>空调外机</v>
          </cell>
          <cell r="G100">
            <v>0.10625</v>
          </cell>
          <cell r="H100">
            <v>320</v>
          </cell>
          <cell r="I100">
            <v>34</v>
          </cell>
        </row>
        <row r="101">
          <cell r="A101">
            <v>10880027957</v>
          </cell>
          <cell r="B101" t="str">
            <v xml:space="preserve">693-C2318A-PC 0011801425W  </v>
          </cell>
          <cell r="C101">
            <v>10250034005</v>
          </cell>
          <cell r="D101" t="str">
            <v>1*2</v>
          </cell>
          <cell r="E101" t="str">
            <v>锡膏</v>
          </cell>
          <cell r="F101" t="str">
            <v>空调电控板</v>
          </cell>
          <cell r="G101">
            <v>0.10625</v>
          </cell>
          <cell r="H101">
            <v>320</v>
          </cell>
          <cell r="I101">
            <v>34</v>
          </cell>
        </row>
        <row r="102">
          <cell r="A102">
            <v>10880027958</v>
          </cell>
          <cell r="B102" t="str">
            <v xml:space="preserve"> 693-C2318B-PC 0011801425X  </v>
          </cell>
          <cell r="C102">
            <v>10250034005</v>
          </cell>
          <cell r="D102" t="str">
            <v>1*2</v>
          </cell>
          <cell r="E102" t="str">
            <v>锡膏</v>
          </cell>
          <cell r="F102" t="str">
            <v>空调电控板</v>
          </cell>
          <cell r="G102">
            <v>0.10625</v>
          </cell>
          <cell r="H102">
            <v>320</v>
          </cell>
          <cell r="I102">
            <v>34</v>
          </cell>
        </row>
        <row r="103">
          <cell r="A103">
            <v>10880033216</v>
          </cell>
          <cell r="B103" t="str">
            <v>500323-C2489A-PC 0011801425AA</v>
          </cell>
          <cell r="C103">
            <v>10250034005</v>
          </cell>
          <cell r="D103" t="str">
            <v>1*2</v>
          </cell>
          <cell r="E103" t="str">
            <v>锡膏</v>
          </cell>
          <cell r="F103" t="str">
            <v>空调电控板</v>
          </cell>
          <cell r="G103">
            <v>0.10625</v>
          </cell>
          <cell r="H103">
            <v>320</v>
          </cell>
          <cell r="I103">
            <v>34</v>
          </cell>
        </row>
        <row r="104">
          <cell r="A104">
            <v>10880019918</v>
          </cell>
          <cell r="B104" t="str">
            <v xml:space="preserve"> 693-A2210A-PC 0011801372  </v>
          </cell>
          <cell r="C104" t="str">
            <v>10250032011/10250032012</v>
          </cell>
          <cell r="D104" t="str">
            <v>1*2</v>
          </cell>
          <cell r="E104" t="str">
            <v>锡膏</v>
          </cell>
          <cell r="F104" t="str">
            <v>空调外机</v>
          </cell>
          <cell r="G104">
            <v>9.4285714285714292E-2</v>
          </cell>
          <cell r="H104">
            <v>350</v>
          </cell>
          <cell r="I104">
            <v>33</v>
          </cell>
        </row>
        <row r="105">
          <cell r="A105">
            <v>10880020208</v>
          </cell>
          <cell r="B105" t="str">
            <v>693-A2210B-PC 0011801372A</v>
          </cell>
          <cell r="C105" t="str">
            <v>10250032011/10250032012</v>
          </cell>
          <cell r="D105" t="str">
            <v>1*2</v>
          </cell>
          <cell r="E105" t="str">
            <v>锡膏</v>
          </cell>
          <cell r="F105" t="str">
            <v>空调外机</v>
          </cell>
          <cell r="G105">
            <v>9.4285714285714292E-2</v>
          </cell>
          <cell r="H105">
            <v>350</v>
          </cell>
          <cell r="I105">
            <v>33</v>
          </cell>
        </row>
        <row r="106">
          <cell r="A106">
            <v>10880020209</v>
          </cell>
          <cell r="B106" t="str">
            <v>693-A2210C-PC 0011801372F</v>
          </cell>
          <cell r="C106" t="str">
            <v>10250032011/10250032012</v>
          </cell>
          <cell r="D106" t="str">
            <v>1*2</v>
          </cell>
          <cell r="E106" t="str">
            <v>锡膏</v>
          </cell>
          <cell r="F106" t="str">
            <v>空调外机</v>
          </cell>
          <cell r="G106">
            <v>9.4285714285714292E-2</v>
          </cell>
          <cell r="H106">
            <v>350</v>
          </cell>
          <cell r="I106">
            <v>33</v>
          </cell>
        </row>
        <row r="107">
          <cell r="A107">
            <v>10880020678</v>
          </cell>
          <cell r="B107" t="str">
            <v>693-A2210D-PC 0011801372C</v>
          </cell>
          <cell r="C107" t="str">
            <v>10250032011/10250032012</v>
          </cell>
          <cell r="D107" t="str">
            <v>1*2</v>
          </cell>
          <cell r="E107" t="str">
            <v>锡膏</v>
          </cell>
          <cell r="F107" t="str">
            <v>空调外机</v>
          </cell>
          <cell r="G107">
            <v>9.4285714285714292E-2</v>
          </cell>
          <cell r="H107">
            <v>350</v>
          </cell>
          <cell r="I107">
            <v>33</v>
          </cell>
        </row>
        <row r="108">
          <cell r="A108">
            <v>10880020677</v>
          </cell>
          <cell r="B108" t="str">
            <v>693-A2210E-PC 0011801372B</v>
          </cell>
          <cell r="C108" t="str">
            <v>10250032011/10250032012</v>
          </cell>
          <cell r="D108" t="str">
            <v>1*2</v>
          </cell>
          <cell r="E108" t="str">
            <v>锡膏</v>
          </cell>
          <cell r="F108" t="str">
            <v>空调外机</v>
          </cell>
          <cell r="G108">
            <v>9.4285714285714292E-2</v>
          </cell>
          <cell r="H108">
            <v>350</v>
          </cell>
          <cell r="I108">
            <v>33</v>
          </cell>
        </row>
        <row r="109">
          <cell r="A109">
            <v>10880020681</v>
          </cell>
          <cell r="B109" t="str">
            <v>693-A2210F-PC 0011801372D</v>
          </cell>
          <cell r="C109" t="str">
            <v>10250032011/10250032012</v>
          </cell>
          <cell r="D109" t="str">
            <v>1*2</v>
          </cell>
          <cell r="E109" t="str">
            <v>锡膏</v>
          </cell>
          <cell r="F109" t="str">
            <v>空调外机</v>
          </cell>
          <cell r="G109">
            <v>9.4285714285714292E-2</v>
          </cell>
          <cell r="H109">
            <v>350</v>
          </cell>
          <cell r="I109">
            <v>33</v>
          </cell>
        </row>
        <row r="110">
          <cell r="A110">
            <v>10880020940</v>
          </cell>
          <cell r="B110" t="str">
            <v>693-A2210G-PC 0011801372G</v>
          </cell>
          <cell r="C110" t="str">
            <v>10250032011/10250032012</v>
          </cell>
          <cell r="D110" t="str">
            <v>1*2</v>
          </cell>
          <cell r="E110" t="str">
            <v>锡膏</v>
          </cell>
          <cell r="F110" t="str">
            <v>空调外机</v>
          </cell>
          <cell r="G110">
            <v>9.4285714285714292E-2</v>
          </cell>
          <cell r="H110">
            <v>350</v>
          </cell>
          <cell r="I110">
            <v>33</v>
          </cell>
        </row>
        <row r="111">
          <cell r="A111">
            <v>10880021029</v>
          </cell>
          <cell r="B111" t="str">
            <v>693-C2260A-PC 0011801256B</v>
          </cell>
          <cell r="C111" t="str">
            <v>10250033444/10250033445</v>
          </cell>
          <cell r="D111" t="str">
            <v>1*2</v>
          </cell>
          <cell r="E111" t="str">
            <v>锡膏</v>
          </cell>
          <cell r="F111" t="str">
            <v>空调内机</v>
          </cell>
          <cell r="G111">
            <v>5.7999999999999996E-2</v>
          </cell>
          <cell r="H111">
            <v>500</v>
          </cell>
          <cell r="I111">
            <v>29</v>
          </cell>
        </row>
        <row r="112">
          <cell r="A112">
            <v>10880021311</v>
          </cell>
          <cell r="B112" t="str">
            <v>693-C2260B-PC 0011801256L</v>
          </cell>
          <cell r="C112" t="str">
            <v>10250033444/10250033445</v>
          </cell>
          <cell r="D112" t="str">
            <v>1*2</v>
          </cell>
          <cell r="E112" t="str">
            <v>锡膏</v>
          </cell>
          <cell r="F112" t="str">
            <v>空调内机</v>
          </cell>
          <cell r="G112">
            <v>5.7999999999999996E-2</v>
          </cell>
          <cell r="H112">
            <v>500</v>
          </cell>
          <cell r="I112">
            <v>29</v>
          </cell>
        </row>
        <row r="113">
          <cell r="A113">
            <v>10880021318</v>
          </cell>
          <cell r="B113" t="str">
            <v>693-C2260C-PC 0011801256M</v>
          </cell>
          <cell r="C113" t="str">
            <v>10250033444/10250033445</v>
          </cell>
          <cell r="D113" t="str">
            <v>1*2</v>
          </cell>
          <cell r="E113" t="str">
            <v>锡膏</v>
          </cell>
          <cell r="F113" t="str">
            <v>空调内机</v>
          </cell>
          <cell r="G113">
            <v>5.7999999999999996E-2</v>
          </cell>
          <cell r="H113">
            <v>500</v>
          </cell>
          <cell r="I113">
            <v>29</v>
          </cell>
        </row>
        <row r="114">
          <cell r="A114">
            <v>10880021416</v>
          </cell>
          <cell r="B114" t="str">
            <v>693-C2260D-PC 0011801256R</v>
          </cell>
          <cell r="C114" t="str">
            <v>10250034959/10250034958</v>
          </cell>
          <cell r="D114" t="str">
            <v>1*2</v>
          </cell>
          <cell r="E114" t="str">
            <v>锡膏</v>
          </cell>
          <cell r="F114" t="str">
            <v>空调电控板</v>
          </cell>
          <cell r="G114">
            <v>0.06</v>
          </cell>
          <cell r="H114">
            <v>500</v>
          </cell>
          <cell r="I114">
            <v>30</v>
          </cell>
        </row>
        <row r="115">
          <cell r="A115">
            <v>10880028346</v>
          </cell>
          <cell r="B115" t="str">
            <v xml:space="preserve">693-C2342A-PC 0011801256S  </v>
          </cell>
          <cell r="C115" t="str">
            <v>10250034959/10250034958</v>
          </cell>
          <cell r="D115" t="str">
            <v>1*2</v>
          </cell>
          <cell r="E115" t="str">
            <v>锡膏</v>
          </cell>
          <cell r="F115" t="str">
            <v>空调电控板</v>
          </cell>
          <cell r="G115">
            <v>0.06</v>
          </cell>
          <cell r="H115">
            <v>500</v>
          </cell>
          <cell r="I115">
            <v>30</v>
          </cell>
        </row>
        <row r="116">
          <cell r="A116">
            <v>10880018105</v>
          </cell>
          <cell r="B116" t="str">
            <v>693-A2169A-D 0021800442</v>
          </cell>
          <cell r="C116">
            <v>10250029331</v>
          </cell>
          <cell r="D116" t="str">
            <v>1*3</v>
          </cell>
          <cell r="E116" t="str">
            <v>锡膏</v>
          </cell>
          <cell r="F116" t="str">
            <v>442海尔滚筒洗衣机</v>
          </cell>
          <cell r="G116">
            <v>4.1333333333333333E-2</v>
          </cell>
          <cell r="H116">
            <v>750</v>
          </cell>
          <cell r="I116">
            <v>31</v>
          </cell>
        </row>
        <row r="117">
          <cell r="A117">
            <v>10880022044</v>
          </cell>
          <cell r="B117" t="str">
            <v xml:space="preserve">693-B2286A-D 0021800442G  </v>
          </cell>
          <cell r="C117">
            <v>10250029331</v>
          </cell>
          <cell r="D117" t="str">
            <v>1*3</v>
          </cell>
          <cell r="E117" t="str">
            <v>锡膏</v>
          </cell>
          <cell r="F117" t="str">
            <v>洗衣机442G显示板</v>
          </cell>
          <cell r="G117">
            <v>4.3999999999999997E-2</v>
          </cell>
          <cell r="H117">
            <v>750</v>
          </cell>
          <cell r="I117">
            <v>33</v>
          </cell>
        </row>
        <row r="118">
          <cell r="A118">
            <v>10880022123</v>
          </cell>
          <cell r="B118" t="str">
            <v xml:space="preserve">693-B2286B-D 0021800442A  </v>
          </cell>
          <cell r="C118">
            <v>10250029331</v>
          </cell>
          <cell r="D118" t="str">
            <v>1*3</v>
          </cell>
          <cell r="E118" t="str">
            <v>锡膏</v>
          </cell>
          <cell r="F118" t="str">
            <v>洗衣机442A显示板</v>
          </cell>
          <cell r="G118">
            <v>4.6666666666666662E-2</v>
          </cell>
          <cell r="H118">
            <v>750</v>
          </cell>
          <cell r="I118">
            <v>35</v>
          </cell>
        </row>
        <row r="119">
          <cell r="A119">
            <v>10880029837</v>
          </cell>
          <cell r="B119" t="str">
            <v xml:space="preserve">693-B2286C-D 0021800442GA  </v>
          </cell>
          <cell r="C119">
            <v>10250029331</v>
          </cell>
          <cell r="D119" t="str">
            <v>1*3</v>
          </cell>
          <cell r="E119" t="str">
            <v>锡膏</v>
          </cell>
          <cell r="F119" t="str">
            <v>干衣机442GA显示板</v>
          </cell>
          <cell r="G119">
            <v>4.5333333333333337E-2</v>
          </cell>
          <cell r="H119">
            <v>750</v>
          </cell>
          <cell r="I119">
            <v>34</v>
          </cell>
        </row>
        <row r="120">
          <cell r="A120">
            <v>10880030243</v>
          </cell>
          <cell r="B120" t="str">
            <v xml:space="preserve">693-B2286D-D 0021800442GB  </v>
          </cell>
          <cell r="C120">
            <v>10250029331</v>
          </cell>
          <cell r="D120" t="str">
            <v>1*3</v>
          </cell>
          <cell r="E120" t="str">
            <v>锡膏</v>
          </cell>
          <cell r="F120" t="str">
            <v>干衣机442GB显示板</v>
          </cell>
          <cell r="G120">
            <v>4.5333333333333337E-2</v>
          </cell>
          <cell r="H120">
            <v>750</v>
          </cell>
          <cell r="I120">
            <v>34</v>
          </cell>
        </row>
        <row r="121">
          <cell r="A121">
            <v>10400014723</v>
          </cell>
          <cell r="B121" t="str">
            <v>693-C20023A-O2</v>
          </cell>
          <cell r="C121" t="str">
            <v>10250023415/ 10250021023</v>
          </cell>
          <cell r="D121" t="str">
            <v>1*80</v>
          </cell>
          <cell r="E121" t="str">
            <v>锡膏</v>
          </cell>
          <cell r="F121" t="str">
            <v>控制转接板</v>
          </cell>
          <cell r="G121" t="e">
            <v>#VALUE!</v>
          </cell>
          <cell r="H121">
            <v>144</v>
          </cell>
          <cell r="I121" t="str">
            <v>NA</v>
          </cell>
        </row>
        <row r="122">
          <cell r="A122">
            <v>10400014716</v>
          </cell>
          <cell r="B122" t="str">
            <v>693-C20023A-O1</v>
          </cell>
          <cell r="C122" t="str">
            <v>10250014265/ 10250024267</v>
          </cell>
          <cell r="D122" t="str">
            <v>1*30</v>
          </cell>
          <cell r="E122" t="str">
            <v>锡膏</v>
          </cell>
          <cell r="F122" t="str">
            <v>显示转接板</v>
          </cell>
          <cell r="G122" t="e">
            <v>#VALUE!</v>
          </cell>
          <cell r="H122">
            <v>144</v>
          </cell>
          <cell r="I122" t="str">
            <v>NA</v>
          </cell>
        </row>
        <row r="123">
          <cell r="A123">
            <v>10880015829</v>
          </cell>
          <cell r="B123" t="str">
            <v>693-C2157B-D  0190400001H</v>
          </cell>
          <cell r="C123" t="str">
            <v>10250026201/ 10250026203</v>
          </cell>
          <cell r="D123" t="str">
            <v>1*4</v>
          </cell>
          <cell r="E123" t="str">
            <v>锡膏</v>
          </cell>
          <cell r="F123" t="str">
            <v>卡萨帝云鲸500G衍生品显示器</v>
          </cell>
          <cell r="G123">
            <v>8.666666666666667E-2</v>
          </cell>
          <cell r="H123">
            <v>300</v>
          </cell>
          <cell r="I123">
            <v>26</v>
          </cell>
        </row>
        <row r="124">
          <cell r="A124">
            <v>10880012988</v>
          </cell>
          <cell r="B124" t="str">
            <v>693-C20023D-D 0190400001C</v>
          </cell>
          <cell r="C124" t="str">
            <v>10250026201/10250026203</v>
          </cell>
          <cell r="D124" t="str">
            <v>1*4</v>
          </cell>
          <cell r="E124" t="str">
            <v>锡膏</v>
          </cell>
          <cell r="F124" t="str">
            <v>净水器600G显示器</v>
          </cell>
          <cell r="G124">
            <v>8.666666666666667E-2</v>
          </cell>
          <cell r="H124">
            <v>300</v>
          </cell>
          <cell r="I124">
            <v>26</v>
          </cell>
        </row>
        <row r="125">
          <cell r="A125">
            <v>10880015830</v>
          </cell>
          <cell r="B125" t="str">
            <v>693-C2157B-C  0190400002H</v>
          </cell>
          <cell r="C125" t="str">
            <v>10250024268/ 10250024269</v>
          </cell>
          <cell r="D125" t="str">
            <v>1*4</v>
          </cell>
          <cell r="E125" t="str">
            <v>锡膏</v>
          </cell>
          <cell r="F125" t="str">
            <v>卡萨帝云鲸500G衍生品控制器</v>
          </cell>
          <cell r="G125">
            <v>5.6388888888888884E-2</v>
          </cell>
          <cell r="H125">
            <v>600</v>
          </cell>
          <cell r="I125">
            <v>29</v>
          </cell>
        </row>
        <row r="126">
          <cell r="A126">
            <v>10880020557</v>
          </cell>
          <cell r="B126" t="str">
            <v>1323-B2207A-P 0011800951B</v>
          </cell>
          <cell r="C126" t="str">
            <v>10250031126 /10250031602</v>
          </cell>
          <cell r="D126" t="str">
            <v>1*3</v>
          </cell>
          <cell r="E126" t="str">
            <v>锡膏</v>
          </cell>
          <cell r="F126" t="str">
            <v>空调电源板</v>
          </cell>
          <cell r="G126">
            <v>4.1428571428571426E-2</v>
          </cell>
          <cell r="H126">
            <v>700</v>
          </cell>
          <cell r="I126">
            <v>29</v>
          </cell>
        </row>
        <row r="127">
          <cell r="A127">
            <v>10880020654</v>
          </cell>
          <cell r="B127" t="str">
            <v>1323-B2207A-L 0011800950G</v>
          </cell>
          <cell r="C127">
            <v>10250029130</v>
          </cell>
          <cell r="D127" t="str">
            <v>1*2</v>
          </cell>
          <cell r="E127" t="str">
            <v>锡膏</v>
          </cell>
          <cell r="F127" t="str">
            <v>海尔空调除湿显示板</v>
          </cell>
          <cell r="G127">
            <v>3.8666666666666669E-2</v>
          </cell>
          <cell r="H127">
            <v>750</v>
          </cell>
          <cell r="I127">
            <v>29</v>
          </cell>
        </row>
        <row r="128">
          <cell r="A128">
            <v>10880020555</v>
          </cell>
          <cell r="B128" t="str">
            <v>1323-B2207A-D 0011800950F</v>
          </cell>
          <cell r="C128">
            <v>10250029130</v>
          </cell>
          <cell r="D128" t="str">
            <v>1*2</v>
          </cell>
          <cell r="E128" t="str">
            <v>锡膏</v>
          </cell>
          <cell r="F128" t="str">
            <v>海尔空调除湿显示板</v>
          </cell>
          <cell r="G128">
            <v>3.8666666666666669E-2</v>
          </cell>
          <cell r="H128">
            <v>750</v>
          </cell>
          <cell r="I128">
            <v>29</v>
          </cell>
        </row>
        <row r="129">
          <cell r="A129">
            <v>10880035381</v>
          </cell>
          <cell r="B129" t="str">
            <v xml:space="preserve">1911-C2302D-PC G0044 0011800951B  </v>
          </cell>
          <cell r="C129" t="str">
            <v>10250031126 /10250031602</v>
          </cell>
          <cell r="D129" t="str">
            <v>1*3</v>
          </cell>
          <cell r="E129" t="str">
            <v>锡膏</v>
          </cell>
          <cell r="F129" t="str">
            <v>空调电源板</v>
          </cell>
          <cell r="G129">
            <v>3.8666666666666662E-2</v>
          </cell>
          <cell r="H129">
            <v>750</v>
          </cell>
          <cell r="I129">
            <v>29</v>
          </cell>
        </row>
        <row r="130">
          <cell r="A130">
            <v>10880035379</v>
          </cell>
          <cell r="B130" t="str">
            <v>1911-C2302C-D G0044 0011800950G</v>
          </cell>
          <cell r="C130">
            <v>10250029130</v>
          </cell>
          <cell r="D130" t="str">
            <v>1*2</v>
          </cell>
          <cell r="E130" t="str">
            <v>锡膏</v>
          </cell>
          <cell r="F130" t="str">
            <v>海尔空调除湿显示板</v>
          </cell>
          <cell r="G130">
            <v>3.8666666666666669E-2</v>
          </cell>
          <cell r="H130">
            <v>750</v>
          </cell>
          <cell r="I130">
            <v>29</v>
          </cell>
        </row>
        <row r="131">
          <cell r="A131">
            <v>10880035380</v>
          </cell>
          <cell r="B131" t="str">
            <v xml:space="preserve">1911-C2302B-D G0044 0011800950F  </v>
          </cell>
          <cell r="C131">
            <v>10250029130</v>
          </cell>
          <cell r="D131" t="str">
            <v>1*2</v>
          </cell>
          <cell r="E131" t="str">
            <v>锡膏</v>
          </cell>
          <cell r="F131" t="str">
            <v>海尔空调除湿显示板</v>
          </cell>
          <cell r="G131">
            <v>3.8666666666666669E-2</v>
          </cell>
          <cell r="H131">
            <v>750</v>
          </cell>
          <cell r="I131">
            <v>29</v>
          </cell>
        </row>
        <row r="132">
          <cell r="A132">
            <v>10880019777</v>
          </cell>
          <cell r="B132" t="str">
            <v>1323-C2206A-D 0011801037A</v>
          </cell>
          <cell r="C132" t="str">
            <v>10250031309/ 10250031461</v>
          </cell>
          <cell r="D132" t="str">
            <v>1*5</v>
          </cell>
          <cell r="E132" t="str">
            <v>锡膏</v>
          </cell>
          <cell r="F132" t="str">
            <v>空调显示板</v>
          </cell>
          <cell r="G132">
            <v>5.9807692307692312E-2</v>
          </cell>
          <cell r="H132">
            <v>800</v>
          </cell>
          <cell r="I132">
            <v>30</v>
          </cell>
        </row>
        <row r="133">
          <cell r="A133">
            <v>10880020275</v>
          </cell>
          <cell r="B133" t="str">
            <v>1323-C2209A-D 0011800607R</v>
          </cell>
          <cell r="C133" t="str">
            <v>10250031556/ 10250031557</v>
          </cell>
          <cell r="D133" t="str">
            <v>1*6</v>
          </cell>
          <cell r="E133" t="str">
            <v>锡膏</v>
          </cell>
          <cell r="F133" t="str">
            <v>海尔定频窗机显示板</v>
          </cell>
          <cell r="G133">
            <v>5.2631578947368418E-2</v>
          </cell>
          <cell r="H133">
            <v>570</v>
          </cell>
          <cell r="I133">
            <v>30</v>
          </cell>
        </row>
        <row r="134">
          <cell r="A134">
            <v>10880028394</v>
          </cell>
          <cell r="B134" t="str">
            <v xml:space="preserve">1323-C2209B-D 0011800607S  </v>
          </cell>
          <cell r="C134" t="str">
            <v>10250031556/ 10250031557</v>
          </cell>
          <cell r="D134" t="str">
            <v>1*6</v>
          </cell>
          <cell r="E134" t="str">
            <v>锡膏</v>
          </cell>
          <cell r="F134" t="str">
            <v>海尔空调显示板</v>
          </cell>
          <cell r="G134">
            <v>5.2631578947368418E-2</v>
          </cell>
          <cell r="H134">
            <v>570</v>
          </cell>
          <cell r="I134">
            <v>30</v>
          </cell>
        </row>
        <row r="135">
          <cell r="A135">
            <v>10880030447</v>
          </cell>
          <cell r="B135" t="str">
            <v>1911-C2302A-D 0011800607S(泰国)</v>
          </cell>
          <cell r="C135">
            <v>10250034322</v>
          </cell>
          <cell r="D135" t="str">
            <v>1*6</v>
          </cell>
          <cell r="E135" t="str">
            <v>锡膏</v>
          </cell>
          <cell r="F135" t="str">
            <v>海尔空调显示板</v>
          </cell>
          <cell r="G135">
            <v>5.2631578947368418E-2</v>
          </cell>
          <cell r="H135">
            <v>570</v>
          </cell>
          <cell r="I135">
            <v>30</v>
          </cell>
        </row>
        <row r="136">
          <cell r="A136">
            <v>10880028833</v>
          </cell>
          <cell r="B136" t="str">
            <v xml:space="preserve"> 693-C2355A-D 0011800607T  </v>
          </cell>
          <cell r="C136" t="str">
            <v>10250031556/ 10250031557</v>
          </cell>
          <cell r="D136" t="str">
            <v>1*6</v>
          </cell>
          <cell r="E136" t="str">
            <v>锡膏</v>
          </cell>
          <cell r="F136" t="str">
            <v>海尔定频窗机显示板</v>
          </cell>
          <cell r="G136">
            <v>5.2631578947368418E-2</v>
          </cell>
          <cell r="H136">
            <v>570</v>
          </cell>
          <cell r="I136">
            <v>30</v>
          </cell>
        </row>
        <row r="137">
          <cell r="A137">
            <v>10880030296</v>
          </cell>
          <cell r="B137" t="str">
            <v xml:space="preserve">1911-C2301A-D  0011800607T(泰国)  </v>
          </cell>
          <cell r="C137" t="str">
            <v>10250031556/ 10250031557</v>
          </cell>
          <cell r="D137" t="str">
            <v>1*6</v>
          </cell>
          <cell r="E137" t="str">
            <v>锡膏</v>
          </cell>
          <cell r="F137" t="str">
            <v>海尔定频窗机显示板</v>
          </cell>
          <cell r="G137">
            <v>5.2631578947368418E-2</v>
          </cell>
          <cell r="H137">
            <v>570</v>
          </cell>
          <cell r="I137">
            <v>30</v>
          </cell>
        </row>
        <row r="138">
          <cell r="A138">
            <v>10880019222</v>
          </cell>
          <cell r="B138" t="str">
            <v>1323-C2203A-PC 0011801036A</v>
          </cell>
          <cell r="C138" t="str">
            <v>10250028801/ 10250028803</v>
          </cell>
          <cell r="D138" t="str">
            <v>1*2</v>
          </cell>
          <cell r="E138" t="str">
            <v>锡膏</v>
          </cell>
          <cell r="F138" t="str">
            <v>海尔窗机变频电控板</v>
          </cell>
          <cell r="G138">
            <v>9.6875000000000017E-2</v>
          </cell>
          <cell r="H138">
            <v>320</v>
          </cell>
          <cell r="I138">
            <v>31</v>
          </cell>
        </row>
        <row r="139">
          <cell r="A139">
            <v>10880019773</v>
          </cell>
          <cell r="B139" t="str">
            <v xml:space="preserve">1323-C2205B-PC 0011801036B  </v>
          </cell>
          <cell r="C139" t="str">
            <v>10250031906/10250031907</v>
          </cell>
          <cell r="D139" t="str">
            <v>1*2</v>
          </cell>
          <cell r="E139" t="str">
            <v>锡膏</v>
          </cell>
          <cell r="F139" t="str">
            <v>海尔空调电控板</v>
          </cell>
          <cell r="G139">
            <v>0.11538461538461539</v>
          </cell>
          <cell r="H139">
            <v>260</v>
          </cell>
          <cell r="I139">
            <v>30</v>
          </cell>
        </row>
        <row r="140">
          <cell r="A140">
            <v>10880020647</v>
          </cell>
          <cell r="B140" t="str">
            <v xml:space="preserve">1323-C2205C-PC 0011801036C  </v>
          </cell>
          <cell r="C140" t="str">
            <v>10250031906/10250031907</v>
          </cell>
          <cell r="D140" t="str">
            <v>1*2</v>
          </cell>
          <cell r="E140" t="str">
            <v>锡膏</v>
          </cell>
          <cell r="F140" t="str">
            <v>海尔空调内机电控板</v>
          </cell>
          <cell r="G140">
            <v>0.11538461538461539</v>
          </cell>
          <cell r="H140">
            <v>260</v>
          </cell>
          <cell r="I140">
            <v>30</v>
          </cell>
        </row>
        <row r="141">
          <cell r="A141">
            <v>10880032759</v>
          </cell>
          <cell r="B141" t="str">
            <v xml:space="preserve">1911-C2401A-PC 0011801036C 海尔空调1036C电控板  </v>
          </cell>
          <cell r="C141" t="str">
            <v>10250031906/10250031907</v>
          </cell>
          <cell r="D141" t="str">
            <v>1*2</v>
          </cell>
          <cell r="E141" t="str">
            <v>锡膏</v>
          </cell>
          <cell r="F141" t="str">
            <v>海尔空调内机电控板</v>
          </cell>
          <cell r="G141">
            <v>0.11538461538461539</v>
          </cell>
          <cell r="H141">
            <v>260</v>
          </cell>
          <cell r="I141">
            <v>30</v>
          </cell>
        </row>
        <row r="142">
          <cell r="A142">
            <v>10880014776</v>
          </cell>
          <cell r="B142" t="str">
            <v>693-A2036A-D 0190400103</v>
          </cell>
          <cell r="C142" t="str">
            <v>10250026701/ 10250026700</v>
          </cell>
          <cell r="D142" t="str">
            <v>1*6</v>
          </cell>
          <cell r="E142" t="str">
            <v>锡膏</v>
          </cell>
          <cell r="F142" t="str">
            <v>三根芯净水器显示板</v>
          </cell>
          <cell r="G142">
            <v>0.05</v>
          </cell>
          <cell r="H142">
            <v>600</v>
          </cell>
          <cell r="I142">
            <v>30</v>
          </cell>
        </row>
        <row r="143">
          <cell r="A143">
            <v>10880019706</v>
          </cell>
          <cell r="B143" t="str">
            <v>693-C2202A-PC 0190400286</v>
          </cell>
          <cell r="C143" t="str">
            <v>10250031856/ 10250031857</v>
          </cell>
          <cell r="D143" t="str">
            <v>1*10</v>
          </cell>
          <cell r="E143" t="str">
            <v>锡膏</v>
          </cell>
          <cell r="F143" t="str">
            <v>净水前置过滤器电控板</v>
          </cell>
          <cell r="G143">
            <v>6.3111111111111104E-2</v>
          </cell>
          <cell r="H143">
            <v>360</v>
          </cell>
          <cell r="I143">
            <v>30</v>
          </cell>
        </row>
        <row r="144">
          <cell r="A144">
            <v>10880031096</v>
          </cell>
          <cell r="B144" t="str">
            <v xml:space="preserve">2006-C2301B-PC 888001414  </v>
          </cell>
          <cell r="C144" t="str">
            <v>10250037562/10250037563/10250037564</v>
          </cell>
          <cell r="D144" t="str">
            <v>1*10</v>
          </cell>
          <cell r="E144" t="str">
            <v>锡膏</v>
          </cell>
          <cell r="F144" t="str">
            <v>净水1414电控板</v>
          </cell>
          <cell r="G144">
            <v>6.3111111111111104E-2</v>
          </cell>
          <cell r="H144">
            <v>360</v>
          </cell>
          <cell r="I144">
            <v>30</v>
          </cell>
        </row>
        <row r="145">
          <cell r="A145">
            <v>10880035709</v>
          </cell>
          <cell r="B145" t="str">
            <v>501706-C2501A-PC G0044 1060171</v>
          </cell>
          <cell r="C145" t="str">
            <v>10250037562/10250037563/10250037564</v>
          </cell>
          <cell r="D145" t="str">
            <v>1*10</v>
          </cell>
          <cell r="E145" t="str">
            <v>锡膏</v>
          </cell>
          <cell r="F145" t="str">
            <v>净水1414电控板</v>
          </cell>
          <cell r="G145">
            <v>6.3111111111111104E-2</v>
          </cell>
          <cell r="H145">
            <v>360</v>
          </cell>
          <cell r="I145">
            <v>30</v>
          </cell>
        </row>
        <row r="146">
          <cell r="A146">
            <v>10880019682</v>
          </cell>
          <cell r="B146" t="str">
            <v>693-C2205A-PC 0190400348</v>
          </cell>
          <cell r="C146" t="str">
            <v>10250030298/ 10250030299</v>
          </cell>
          <cell r="D146" t="str">
            <v>1*16</v>
          </cell>
          <cell r="E146" t="str">
            <v>锡膏</v>
          </cell>
          <cell r="F146" t="str">
            <v>净水超滤平台电控板</v>
          </cell>
          <cell r="G146">
            <v>3.8571428571428569E-2</v>
          </cell>
          <cell r="H146">
            <v>700</v>
          </cell>
          <cell r="I146">
            <v>27</v>
          </cell>
        </row>
        <row r="147">
          <cell r="A147">
            <v>10880014362</v>
          </cell>
          <cell r="B147" t="str">
            <v>693-C2038A-C 0190400113A</v>
          </cell>
          <cell r="C147" t="str">
            <v>10250025049/ 10250025048</v>
          </cell>
          <cell r="D147" t="str">
            <v>1*5</v>
          </cell>
          <cell r="E147" t="str">
            <v>锡膏</v>
          </cell>
          <cell r="F147" t="str">
            <v>净水云蹲600G控制板</v>
          </cell>
          <cell r="G147">
            <v>9.1111111111111115E-2</v>
          </cell>
          <cell r="H147">
            <v>450</v>
          </cell>
          <cell r="I147">
            <v>35</v>
          </cell>
        </row>
        <row r="148">
          <cell r="A148">
            <v>10880016525</v>
          </cell>
          <cell r="B148" t="str">
            <v xml:space="preserve">693-B2168A-C 0190400113F </v>
          </cell>
          <cell r="C148" t="str">
            <v>10250025049/ 10250025048</v>
          </cell>
          <cell r="D148" t="str">
            <v>1*5</v>
          </cell>
          <cell r="E148" t="str">
            <v>锡膏</v>
          </cell>
          <cell r="F148" t="str">
            <v>净水云蹲600G控制板</v>
          </cell>
          <cell r="G148">
            <v>9.1111111111111115E-2</v>
          </cell>
          <cell r="H148">
            <v>450</v>
          </cell>
          <cell r="I148">
            <v>35</v>
          </cell>
        </row>
        <row r="149">
          <cell r="A149">
            <v>10880016526</v>
          </cell>
          <cell r="B149" t="str">
            <v>693-B2168B-C 0190400113G</v>
          </cell>
          <cell r="C149" t="str">
            <v>10250025049/ 10250025048</v>
          </cell>
          <cell r="D149" t="str">
            <v>1*5</v>
          </cell>
          <cell r="E149" t="str">
            <v>锡膏</v>
          </cell>
          <cell r="F149" t="str">
            <v>净水器云鳟800G控制板</v>
          </cell>
          <cell r="G149">
            <v>9.1111111111111115E-2</v>
          </cell>
          <cell r="H149">
            <v>450</v>
          </cell>
          <cell r="I149">
            <v>35</v>
          </cell>
        </row>
        <row r="150">
          <cell r="A150">
            <v>10880016864</v>
          </cell>
          <cell r="B150" t="str">
            <v>693-C2177B-C 0190400113G 芯朋电源方案</v>
          </cell>
          <cell r="C150" t="str">
            <v>10250032826/10250032825</v>
          </cell>
          <cell r="D150" t="str">
            <v>1*5</v>
          </cell>
          <cell r="E150" t="str">
            <v>锡膏</v>
          </cell>
          <cell r="F150" t="str">
            <v>净水云鳟800G控制板</v>
          </cell>
          <cell r="G150">
            <v>9.1111111111111115E-2</v>
          </cell>
          <cell r="H150">
            <v>450</v>
          </cell>
          <cell r="I150">
            <v>35</v>
          </cell>
        </row>
        <row r="151">
          <cell r="A151">
            <v>10880016867</v>
          </cell>
          <cell r="B151" t="str">
            <v>693-C2177C-C 0190400113H</v>
          </cell>
          <cell r="C151" t="str">
            <v>10250029019/ 10250028935</v>
          </cell>
          <cell r="D151" t="str">
            <v>1*5</v>
          </cell>
          <cell r="E151" t="str">
            <v>锡膏</v>
          </cell>
          <cell r="F151" t="str">
            <v>净水云鳟晶钻紫控制板</v>
          </cell>
          <cell r="G151">
            <v>9.1111111111111115E-2</v>
          </cell>
          <cell r="H151">
            <v>450</v>
          </cell>
          <cell r="I151">
            <v>35</v>
          </cell>
        </row>
        <row r="152">
          <cell r="A152">
            <v>10880016862</v>
          </cell>
          <cell r="B152" t="str">
            <v>693-C2177A-C 0190400113F</v>
          </cell>
          <cell r="C152" t="str">
            <v>10250029019/ 10250028935</v>
          </cell>
          <cell r="D152" t="str">
            <v>1*5</v>
          </cell>
          <cell r="E152" t="str">
            <v>锡膏</v>
          </cell>
          <cell r="F152" t="str">
            <v>净水云鳟600G控制板</v>
          </cell>
          <cell r="G152">
            <v>9.1111111111111115E-2</v>
          </cell>
          <cell r="H152">
            <v>450</v>
          </cell>
          <cell r="I152">
            <v>35</v>
          </cell>
        </row>
        <row r="153">
          <cell r="A153">
            <v>10880021342</v>
          </cell>
          <cell r="B153" t="str">
            <v xml:space="preserve"> 693-C2177G-C 0190400113M</v>
          </cell>
          <cell r="C153" t="str">
            <v>10250032826/10250032825</v>
          </cell>
          <cell r="D153" t="str">
            <v>1*5</v>
          </cell>
          <cell r="E153" t="str">
            <v>锡膏</v>
          </cell>
          <cell r="F153" t="str">
            <v>净水云鳟800G控制板</v>
          </cell>
          <cell r="G153">
            <v>9.1111111111111115E-2</v>
          </cell>
          <cell r="H153">
            <v>450</v>
          </cell>
          <cell r="I153">
            <v>35</v>
          </cell>
        </row>
        <row r="154">
          <cell r="A154">
            <v>10880021341</v>
          </cell>
          <cell r="B154" t="str">
            <v>693-C2177F-C 0190400113L 芯朋电源方案</v>
          </cell>
          <cell r="C154" t="str">
            <v>10250032826/10250032825</v>
          </cell>
          <cell r="D154" t="str">
            <v>1*5</v>
          </cell>
          <cell r="E154" t="str">
            <v>锡膏</v>
          </cell>
          <cell r="F154" t="str">
            <v>净水云鳟600控制板</v>
          </cell>
          <cell r="G154">
            <v>9.1111111111111115E-2</v>
          </cell>
          <cell r="H154">
            <v>450</v>
          </cell>
          <cell r="I154">
            <v>35</v>
          </cell>
        </row>
        <row r="155">
          <cell r="A155">
            <v>10880021767</v>
          </cell>
          <cell r="B155" t="str">
            <v>693-C2265A-D 0190400207</v>
          </cell>
          <cell r="C155" t="str">
            <v>10250032897/ 10250032898</v>
          </cell>
          <cell r="D155" t="str">
            <v>1*8</v>
          </cell>
          <cell r="E155" t="str">
            <v>锡膏</v>
          </cell>
          <cell r="F155" t="str">
            <v>净水器显示板</v>
          </cell>
          <cell r="G155">
            <v>1.9444444444444445E-2</v>
          </cell>
          <cell r="H155">
            <v>720</v>
          </cell>
          <cell r="I155">
            <v>14</v>
          </cell>
        </row>
        <row r="156">
          <cell r="A156">
            <v>10880022406</v>
          </cell>
          <cell r="B156" t="str">
            <v>693-B2275A-PC 0031800386JL</v>
          </cell>
          <cell r="C156" t="str">
            <v>10250033645/ 10250033646</v>
          </cell>
          <cell r="D156" t="str">
            <v>1*2</v>
          </cell>
          <cell r="E156" t="str">
            <v>锡膏</v>
          </cell>
          <cell r="F156" t="str">
            <v>洗衣机386JL电控板</v>
          </cell>
          <cell r="G156">
            <v>0.1088888888888889</v>
          </cell>
          <cell r="H156">
            <v>420</v>
          </cell>
          <cell r="I156">
            <v>43</v>
          </cell>
        </row>
        <row r="157">
          <cell r="A157">
            <v>10880033855</v>
          </cell>
          <cell r="B157" t="str">
            <v>693-B2275A-PC 0031800386JL 重庆</v>
          </cell>
          <cell r="C157" t="str">
            <v>10250033645/ 10250033646</v>
          </cell>
          <cell r="D157" t="str">
            <v>1*2</v>
          </cell>
          <cell r="E157" t="str">
            <v>锡膏</v>
          </cell>
          <cell r="F157" t="str">
            <v>洗衣机386JL电控板</v>
          </cell>
          <cell r="G157">
            <v>0.1088888888888889</v>
          </cell>
          <cell r="H157">
            <v>420</v>
          </cell>
          <cell r="I157">
            <v>43</v>
          </cell>
        </row>
        <row r="158">
          <cell r="A158">
            <v>10880022405</v>
          </cell>
          <cell r="B158" t="str">
            <v>693-B2276A-PC 0031800004FH</v>
          </cell>
          <cell r="C158" t="str">
            <v xml:space="preserve"> 10250037262/ 10250037263</v>
          </cell>
          <cell r="D158" t="str">
            <v>1*2</v>
          </cell>
          <cell r="E158" t="str">
            <v>锡膏</v>
          </cell>
          <cell r="F158" t="str">
            <v>洗衣机04FH电控板</v>
          </cell>
          <cell r="G158">
            <v>0.1088888888888889</v>
          </cell>
          <cell r="H158">
            <v>420</v>
          </cell>
          <cell r="I158">
            <v>43</v>
          </cell>
        </row>
        <row r="159">
          <cell r="A159">
            <v>10880022501</v>
          </cell>
          <cell r="B159" t="str">
            <v>693-B2276B-PC 0031800004FP</v>
          </cell>
          <cell r="C159" t="str">
            <v xml:space="preserve"> 10250037262/ 10250037263</v>
          </cell>
          <cell r="D159" t="str">
            <v>1*2</v>
          </cell>
          <cell r="E159" t="str">
            <v>锡膏</v>
          </cell>
          <cell r="F159" t="str">
            <v>洗衣机04FP电控板</v>
          </cell>
          <cell r="G159">
            <v>0.1088888888888889</v>
          </cell>
          <cell r="H159">
            <v>420</v>
          </cell>
          <cell r="I159">
            <v>43</v>
          </cell>
        </row>
        <row r="160">
          <cell r="A160">
            <v>10880022443</v>
          </cell>
          <cell r="B160" t="str">
            <v xml:space="preserve">693-A2311A-PC 0151800561BBA  </v>
          </cell>
          <cell r="C160">
            <v>10250033566</v>
          </cell>
          <cell r="D160" t="str">
            <v>1*2</v>
          </cell>
          <cell r="E160" t="str">
            <v>锡膏</v>
          </cell>
          <cell r="F160" t="str">
            <v>空调电控板</v>
          </cell>
          <cell r="G160">
            <v>0.14333333333333331</v>
          </cell>
          <cell r="H160">
            <v>300</v>
          </cell>
          <cell r="I160">
            <v>43</v>
          </cell>
        </row>
        <row r="161">
          <cell r="A161">
            <v>10880022444</v>
          </cell>
          <cell r="B161" t="str">
            <v>693-A2311B-PC 0151800561BBB</v>
          </cell>
          <cell r="C161">
            <v>10250033566</v>
          </cell>
          <cell r="D161" t="str">
            <v>1*3</v>
          </cell>
          <cell r="E161" t="str">
            <v>锡膏</v>
          </cell>
          <cell r="F161" t="str">
            <v>空调电控板</v>
          </cell>
          <cell r="G161">
            <v>0.14333333333333331</v>
          </cell>
          <cell r="H161">
            <v>300</v>
          </cell>
          <cell r="I161">
            <v>43</v>
          </cell>
        </row>
        <row r="162">
          <cell r="A162">
            <v>10880014778</v>
          </cell>
          <cell r="B162" t="str">
            <v>693-A2036A-O1</v>
          </cell>
          <cell r="C162" t="str">
            <v>10250026689/10250026694</v>
          </cell>
          <cell r="D162" t="str">
            <v>1*20</v>
          </cell>
          <cell r="E162" t="str">
            <v>锡膏</v>
          </cell>
          <cell r="F162" t="str">
            <v>三根芯净水铜柱小板</v>
          </cell>
          <cell r="G162">
            <v>1.375E-2</v>
          </cell>
          <cell r="H162">
            <v>600</v>
          </cell>
          <cell r="I162">
            <v>11</v>
          </cell>
        </row>
        <row r="163">
          <cell r="A163" t="str">
            <v>10880014777 </v>
          </cell>
          <cell r="B163" t="str">
            <v xml:space="preserve"> 693-A2036A-O2 0190400127  </v>
          </cell>
          <cell r="C163" t="str">
            <v>10250026690/ 10250026692</v>
          </cell>
          <cell r="D163" t="str">
            <v>1*20</v>
          </cell>
          <cell r="E163" t="str">
            <v>锡膏</v>
          </cell>
          <cell r="F163" t="str">
            <v>三根芯净水铜柱小板</v>
          </cell>
          <cell r="G163">
            <v>1.375E-2</v>
          </cell>
          <cell r="H163">
            <v>600</v>
          </cell>
          <cell r="I163">
            <v>11</v>
          </cell>
        </row>
        <row r="164">
          <cell r="A164">
            <v>10880022442</v>
          </cell>
          <cell r="B164" t="str">
            <v>693-C2283A-PC 0011800923F  </v>
          </cell>
          <cell r="C164" t="str">
            <v>10250033695/10250033696</v>
          </cell>
          <cell r="D164" t="str">
            <v>1*3</v>
          </cell>
          <cell r="E164" t="str">
            <v>锡膏</v>
          </cell>
          <cell r="F164" t="str">
            <v>空调电控板</v>
          </cell>
          <cell r="G164">
            <v>9.6551724137931033E-2</v>
          </cell>
          <cell r="H164">
            <v>290</v>
          </cell>
          <cell r="I164">
            <v>28</v>
          </cell>
        </row>
        <row r="165">
          <cell r="A165">
            <v>10880028831</v>
          </cell>
          <cell r="B165" t="str">
            <v xml:space="preserve">693-C2349A-PC 0011800923G  </v>
          </cell>
          <cell r="C165" t="str">
            <v>10250033695/10250033696</v>
          </cell>
          <cell r="D165" t="str">
            <v>1*3</v>
          </cell>
          <cell r="E165" t="str">
            <v>锡膏</v>
          </cell>
          <cell r="F165" t="str">
            <v>空调电控板</v>
          </cell>
          <cell r="G165">
            <v>9.6551724137931033E-2</v>
          </cell>
          <cell r="H165">
            <v>290</v>
          </cell>
          <cell r="I165">
            <v>28</v>
          </cell>
        </row>
        <row r="166">
          <cell r="A166">
            <v>10880022434</v>
          </cell>
          <cell r="B166" t="str">
            <v>693-C2284A-PC 0011801522</v>
          </cell>
          <cell r="C166">
            <v>10250033697</v>
          </cell>
          <cell r="D166" t="str">
            <v>1*2</v>
          </cell>
          <cell r="E166" t="str">
            <v>锡膏</v>
          </cell>
          <cell r="F166" t="str">
            <v>空调电控板</v>
          </cell>
          <cell r="G166">
            <v>9.9999999999999992E-2</v>
          </cell>
          <cell r="H166">
            <v>360</v>
          </cell>
          <cell r="I166">
            <v>36</v>
          </cell>
        </row>
        <row r="167">
          <cell r="A167">
            <v>10880022435</v>
          </cell>
          <cell r="B167" t="str">
            <v>693-C2284B-PC 0011801522A</v>
          </cell>
          <cell r="C167">
            <v>10250033697</v>
          </cell>
          <cell r="D167" t="str">
            <v>1*2</v>
          </cell>
          <cell r="E167" t="str">
            <v>锡膏</v>
          </cell>
          <cell r="F167" t="str">
            <v>空调电控板</v>
          </cell>
          <cell r="G167">
            <v>9.9999999999999992E-2</v>
          </cell>
          <cell r="H167">
            <v>360</v>
          </cell>
          <cell r="I167">
            <v>36</v>
          </cell>
        </row>
        <row r="168">
          <cell r="A168">
            <v>10880022436</v>
          </cell>
          <cell r="B168" t="str">
            <v>693-C2284C-PC 0011801522B</v>
          </cell>
          <cell r="C168">
            <v>10250033697</v>
          </cell>
          <cell r="D168" t="str">
            <v>1*2</v>
          </cell>
          <cell r="E168" t="str">
            <v>锡膏</v>
          </cell>
          <cell r="F168" t="str">
            <v>空调电控板</v>
          </cell>
          <cell r="G168">
            <v>9.9999999999999992E-2</v>
          </cell>
          <cell r="H168">
            <v>360</v>
          </cell>
          <cell r="I168">
            <v>36</v>
          </cell>
        </row>
        <row r="169">
          <cell r="A169">
            <v>10880027988</v>
          </cell>
          <cell r="B169" t="str">
            <v>693-C2302A-PC 0011800879P</v>
          </cell>
          <cell r="C169">
            <v>10250033600</v>
          </cell>
          <cell r="D169" t="str">
            <v>1*1</v>
          </cell>
          <cell r="E169" t="str">
            <v>锡膏</v>
          </cell>
          <cell r="F169" t="str">
            <v>海尔空调电控板</v>
          </cell>
          <cell r="G169">
            <v>0.14545454545454545</v>
          </cell>
          <cell r="H169">
            <v>220</v>
          </cell>
          <cell r="I169">
            <v>35</v>
          </cell>
        </row>
        <row r="170">
          <cell r="A170">
            <v>10880027989</v>
          </cell>
          <cell r="B170" t="str">
            <v>693-C2302B-PC 0011800879N</v>
          </cell>
          <cell r="C170">
            <v>10250033600</v>
          </cell>
          <cell r="D170" t="str">
            <v>1*1</v>
          </cell>
          <cell r="E170" t="str">
            <v>锡膏</v>
          </cell>
          <cell r="F170" t="str">
            <v>海尔空调电控板</v>
          </cell>
          <cell r="G170">
            <v>0.14545454545454545</v>
          </cell>
          <cell r="H170">
            <v>220</v>
          </cell>
          <cell r="I170">
            <v>35</v>
          </cell>
        </row>
        <row r="171">
          <cell r="A171">
            <v>10880021983</v>
          </cell>
          <cell r="B171" t="str">
            <v>693-C2218A-PC 0190400359</v>
          </cell>
          <cell r="C171">
            <v>10250031876</v>
          </cell>
          <cell r="D171" t="str">
            <v>1*1</v>
          </cell>
          <cell r="E171" t="str">
            <v>锡膏</v>
          </cell>
          <cell r="F171" t="str">
            <v>海尔净水器电控板</v>
          </cell>
          <cell r="G171">
            <v>0.2</v>
          </cell>
          <cell r="H171">
            <v>300</v>
          </cell>
          <cell r="I171">
            <v>40</v>
          </cell>
        </row>
        <row r="172">
          <cell r="A172">
            <v>10880021985</v>
          </cell>
          <cell r="B172" t="str">
            <v>693-B2287A-PC 0190400359A</v>
          </cell>
          <cell r="C172">
            <v>10250031876</v>
          </cell>
          <cell r="D172" t="str">
            <v>1*1</v>
          </cell>
          <cell r="E172" t="str">
            <v>锡膏</v>
          </cell>
          <cell r="F172" t="str">
            <v>海尔净水器电控板</v>
          </cell>
          <cell r="G172">
            <v>0.2</v>
          </cell>
          <cell r="H172">
            <v>300</v>
          </cell>
          <cell r="I172">
            <v>40</v>
          </cell>
        </row>
        <row r="173">
          <cell r="A173">
            <v>10880028753</v>
          </cell>
          <cell r="B173" t="str">
            <v>693-B2287B-PC 0190400359B</v>
          </cell>
          <cell r="C173">
            <v>10250031876</v>
          </cell>
          <cell r="D173" t="str">
            <v>1*1</v>
          </cell>
          <cell r="E173" t="str">
            <v>锡膏</v>
          </cell>
          <cell r="F173" t="str">
            <v>海尔净水器电控板</v>
          </cell>
          <cell r="G173">
            <v>0.2</v>
          </cell>
          <cell r="H173">
            <v>300</v>
          </cell>
          <cell r="I173">
            <v>40</v>
          </cell>
        </row>
        <row r="174">
          <cell r="A174">
            <v>10880032298</v>
          </cell>
          <cell r="B174" t="str">
            <v>693-B2287C-PC 0190400359AA</v>
          </cell>
          <cell r="C174">
            <v>10250031876</v>
          </cell>
          <cell r="D174" t="str">
            <v>1*1</v>
          </cell>
          <cell r="E174" t="str">
            <v>锡膏</v>
          </cell>
          <cell r="F174" t="str">
            <v>净水主控板359AA电控板</v>
          </cell>
          <cell r="G174">
            <v>0.2</v>
          </cell>
          <cell r="H174">
            <v>300</v>
          </cell>
          <cell r="I174">
            <v>40</v>
          </cell>
        </row>
        <row r="175">
          <cell r="A175">
            <v>10880034554</v>
          </cell>
          <cell r="B175" t="str">
            <v>693-B2287D-PC 0190400359AB</v>
          </cell>
          <cell r="C175">
            <v>10250031876</v>
          </cell>
          <cell r="D175" t="str">
            <v>1*1</v>
          </cell>
          <cell r="E175" t="str">
            <v>锡膏</v>
          </cell>
          <cell r="F175" t="str">
            <v>净水主控板359AA电控板</v>
          </cell>
          <cell r="G175">
            <v>0.2</v>
          </cell>
          <cell r="H175">
            <v>300</v>
          </cell>
          <cell r="I175">
            <v>40</v>
          </cell>
        </row>
        <row r="176">
          <cell r="A176">
            <v>10880022441</v>
          </cell>
          <cell r="B176" t="str">
            <v>693-C2256C-PC 0011801123G</v>
          </cell>
          <cell r="C176">
            <v>10250034601</v>
          </cell>
          <cell r="D176" t="str">
            <v>1*2</v>
          </cell>
          <cell r="E176" t="str">
            <v>锡膏</v>
          </cell>
          <cell r="F176" t="str">
            <v>空调电控板</v>
          </cell>
          <cell r="G176">
            <v>0.06</v>
          </cell>
          <cell r="H176">
            <v>500</v>
          </cell>
          <cell r="I176">
            <v>30</v>
          </cell>
        </row>
        <row r="177">
          <cell r="A177">
            <v>10880028306</v>
          </cell>
          <cell r="B177" t="str">
            <v xml:space="preserve">693-C2256D-PC 0011801123H  </v>
          </cell>
          <cell r="C177">
            <v>10250034601</v>
          </cell>
          <cell r="D177" t="str">
            <v>1*2</v>
          </cell>
          <cell r="E177" t="str">
            <v>锡膏</v>
          </cell>
          <cell r="F177" t="str">
            <v>空调电控板</v>
          </cell>
          <cell r="G177">
            <v>0.06</v>
          </cell>
          <cell r="H177">
            <v>500</v>
          </cell>
          <cell r="I177">
            <v>30</v>
          </cell>
        </row>
        <row r="178">
          <cell r="A178">
            <v>10880028307</v>
          </cell>
          <cell r="B178" t="str">
            <v xml:space="preserve"> 693-C2256E-PC 0011801123J  </v>
          </cell>
          <cell r="C178">
            <v>10250034601</v>
          </cell>
          <cell r="D178" t="str">
            <v>1*2</v>
          </cell>
          <cell r="E178" t="str">
            <v>锡膏</v>
          </cell>
          <cell r="F178" t="str">
            <v>空调电控板</v>
          </cell>
          <cell r="G178">
            <v>0.06</v>
          </cell>
          <cell r="H178">
            <v>500</v>
          </cell>
          <cell r="I178">
            <v>30</v>
          </cell>
        </row>
        <row r="179">
          <cell r="A179">
            <v>10880030338</v>
          </cell>
          <cell r="B179" t="str">
            <v xml:space="preserve">693-C23A1A-PC 0011801123K  </v>
          </cell>
          <cell r="C179">
            <v>10250034601</v>
          </cell>
          <cell r="D179" t="str">
            <v>1*2</v>
          </cell>
          <cell r="E179" t="str">
            <v>锡膏</v>
          </cell>
          <cell r="F179" t="str">
            <v>空调电控板</v>
          </cell>
          <cell r="G179">
            <v>0.06</v>
          </cell>
          <cell r="H179">
            <v>500</v>
          </cell>
          <cell r="I179">
            <v>30</v>
          </cell>
        </row>
        <row r="180">
          <cell r="A180">
            <v>10880015879</v>
          </cell>
          <cell r="B180" t="str">
            <v>693-B2158A-L(0190400174A)</v>
          </cell>
          <cell r="C180">
            <v>10250027010</v>
          </cell>
          <cell r="D180" t="str">
            <v>1*4</v>
          </cell>
          <cell r="E180" t="str">
            <v>锡膏</v>
          </cell>
          <cell r="F180" t="str">
            <v>Mini7-400净水器灯板</v>
          </cell>
          <cell r="G180">
            <v>2.8000000000000001E-2</v>
          </cell>
          <cell r="H180">
            <v>500</v>
          </cell>
          <cell r="I180">
            <v>14</v>
          </cell>
        </row>
        <row r="181">
          <cell r="A181">
            <v>10880014812</v>
          </cell>
          <cell r="B181" t="str">
            <v>693-B2113A(0190400172)</v>
          </cell>
          <cell r="C181">
            <v>10250027025</v>
          </cell>
          <cell r="D181" t="str">
            <v>1*4</v>
          </cell>
          <cell r="E181" t="str">
            <v>锡膏</v>
          </cell>
          <cell r="F181" t="str">
            <v>海尔净水器主控板</v>
          </cell>
          <cell r="G181">
            <v>6.5000000000000002E-2</v>
          </cell>
          <cell r="H181">
            <v>400</v>
          </cell>
          <cell r="I181">
            <v>31</v>
          </cell>
        </row>
        <row r="182">
          <cell r="A182">
            <v>10880014815</v>
          </cell>
          <cell r="B182" t="str">
            <v>693-B2113D(0190400174)</v>
          </cell>
          <cell r="C182">
            <v>10250027010</v>
          </cell>
          <cell r="D182" t="str">
            <v>1*4</v>
          </cell>
          <cell r="E182" t="str">
            <v>锡膏</v>
          </cell>
          <cell r="F182" t="str">
            <v>净水器显示板</v>
          </cell>
          <cell r="G182">
            <v>3.4000000000000002E-2</v>
          </cell>
          <cell r="H182">
            <v>500</v>
          </cell>
          <cell r="I182">
            <v>17</v>
          </cell>
        </row>
        <row r="183">
          <cell r="A183">
            <v>10880016188</v>
          </cell>
          <cell r="B183" t="str">
            <v>693-C2161A-O2(0190400223)</v>
          </cell>
          <cell r="C183" t="str">
            <v> 10250028018/10250028019</v>
          </cell>
          <cell r="D183" t="str">
            <v>1*21</v>
          </cell>
          <cell r="E183" t="str">
            <v>锡膏</v>
          </cell>
          <cell r="F183" t="str">
            <v>MINI系列电源转接板</v>
          </cell>
          <cell r="G183">
            <v>2.1666666666666667E-2</v>
          </cell>
          <cell r="H183">
            <v>600</v>
          </cell>
          <cell r="I183">
            <v>13</v>
          </cell>
        </row>
        <row r="184">
          <cell r="A184">
            <v>10880021203</v>
          </cell>
          <cell r="B184" t="str">
            <v>693-C2215B-D 0190400112F</v>
          </cell>
          <cell r="C184" t="str">
            <v>10250031317/10250031318</v>
          </cell>
          <cell r="D184" t="str">
            <v>1*5</v>
          </cell>
          <cell r="E184" t="str">
            <v>锡膏</v>
          </cell>
          <cell r="F184" t="str">
            <v>净水云鳟空壳显示板</v>
          </cell>
          <cell r="G184">
            <v>5.4444444444444448E-2</v>
          </cell>
          <cell r="H184">
            <v>450</v>
          </cell>
          <cell r="I184">
            <v>27</v>
          </cell>
        </row>
        <row r="185">
          <cell r="A185">
            <v>10880028169</v>
          </cell>
          <cell r="B185" t="str">
            <v xml:space="preserve">693-C2303A-PC 0011801606  </v>
          </cell>
          <cell r="C185">
            <v>10250037961</v>
          </cell>
          <cell r="D185" t="str">
            <v>1*2</v>
          </cell>
          <cell r="E185" t="str">
            <v>锡膏</v>
          </cell>
          <cell r="F185" t="str">
            <v>海尔空调内机电控板</v>
          </cell>
          <cell r="G185">
            <v>0.10263157894736842</v>
          </cell>
          <cell r="H185">
            <v>380</v>
          </cell>
          <cell r="I185">
            <v>39</v>
          </cell>
        </row>
        <row r="186">
          <cell r="A186">
            <v>10880030838</v>
          </cell>
          <cell r="B186" t="str">
            <v>693-B2351D-PC 0011801606D</v>
          </cell>
          <cell r="C186">
            <v>10250037961</v>
          </cell>
          <cell r="D186" t="str">
            <v>1*2</v>
          </cell>
          <cell r="E186" t="str">
            <v>锡膏</v>
          </cell>
          <cell r="F186" t="str">
            <v>海尔空调内机电控板</v>
          </cell>
          <cell r="G186">
            <v>0.10263157894736842</v>
          </cell>
          <cell r="H186">
            <v>380</v>
          </cell>
          <cell r="I186">
            <v>39</v>
          </cell>
        </row>
        <row r="187">
          <cell r="A187">
            <v>10880030840</v>
          </cell>
          <cell r="B187" t="str">
            <v>693-B2351E-PC 0011801606E</v>
          </cell>
          <cell r="C187">
            <v>10250037961</v>
          </cell>
          <cell r="D187" t="str">
            <v>1*2</v>
          </cell>
          <cell r="E187" t="str">
            <v>锡膏</v>
          </cell>
          <cell r="F187" t="str">
            <v>海尔空调内机电控板</v>
          </cell>
          <cell r="G187">
            <v>0.10263157894736842</v>
          </cell>
          <cell r="H187">
            <v>380</v>
          </cell>
          <cell r="I187">
            <v>39</v>
          </cell>
        </row>
        <row r="188">
          <cell r="A188">
            <v>10880030841</v>
          </cell>
          <cell r="B188" t="str">
            <v>693-B2351F-PC 0011801606F</v>
          </cell>
          <cell r="C188" t="str">
            <v>10250037961/10250038605</v>
          </cell>
          <cell r="D188" t="str">
            <v>1*2</v>
          </cell>
          <cell r="E188" t="str">
            <v>锡膏</v>
          </cell>
          <cell r="F188" t="str">
            <v>海尔空调内机电控板</v>
          </cell>
          <cell r="G188">
            <v>0.10263157894736842</v>
          </cell>
          <cell r="H188">
            <v>380</v>
          </cell>
          <cell r="I188">
            <v>39</v>
          </cell>
        </row>
        <row r="189">
          <cell r="A189">
            <v>10880033723</v>
          </cell>
          <cell r="B189" t="str">
            <v>500323-C24I8B-PC 0011801606M</v>
          </cell>
          <cell r="C189" t="str">
            <v>10250037961/10250038605</v>
          </cell>
          <cell r="D189" t="str">
            <v>1*2</v>
          </cell>
          <cell r="E189" t="str">
            <v>锡膏</v>
          </cell>
          <cell r="F189" t="str">
            <v>海尔空调内机电控板</v>
          </cell>
          <cell r="G189">
            <v>0.10263157894736842</v>
          </cell>
          <cell r="H189">
            <v>380</v>
          </cell>
          <cell r="I189">
            <v>39</v>
          </cell>
        </row>
        <row r="190">
          <cell r="A190">
            <v>10880033722</v>
          </cell>
          <cell r="B190" t="str">
            <v>500323-C24I8A-PC 0011801606L</v>
          </cell>
          <cell r="C190" t="str">
            <v>10250037961/10250038605</v>
          </cell>
          <cell r="D190" t="str">
            <v>1*2</v>
          </cell>
          <cell r="E190" t="str">
            <v>锡膏</v>
          </cell>
          <cell r="F190" t="str">
            <v>海尔空调内机电控板</v>
          </cell>
          <cell r="G190">
            <v>0.10263157894736842</v>
          </cell>
          <cell r="H190">
            <v>380</v>
          </cell>
          <cell r="I190">
            <v>39</v>
          </cell>
        </row>
        <row r="191">
          <cell r="A191">
            <v>10880028344</v>
          </cell>
          <cell r="B191" t="str">
            <v>693-C2325A-D 0190400527</v>
          </cell>
          <cell r="C191" t="str">
            <v>10250035260/10250035259</v>
          </cell>
          <cell r="D191" t="str">
            <v>1*15</v>
          </cell>
          <cell r="E191" t="str">
            <v>锡膏</v>
          </cell>
          <cell r="F191" t="str">
            <v>海尔净水茶吧机显示板</v>
          </cell>
          <cell r="G191">
            <v>3.7500000000000006E-2</v>
          </cell>
          <cell r="H191">
            <v>800</v>
          </cell>
          <cell r="I191">
            <v>30</v>
          </cell>
        </row>
        <row r="192">
          <cell r="A192">
            <v>10880028345</v>
          </cell>
          <cell r="B192" t="str">
            <v>693-C2325B-D 0190400527A</v>
          </cell>
          <cell r="C192" t="str">
            <v>10250035260/10250035259</v>
          </cell>
          <cell r="D192" t="str">
            <v>1*15</v>
          </cell>
          <cell r="E192" t="str">
            <v>锡膏</v>
          </cell>
          <cell r="F192" t="str">
            <v>海尔净水茶吧机显示板</v>
          </cell>
          <cell r="G192">
            <v>3.7500000000000006E-2</v>
          </cell>
          <cell r="H192">
            <v>800</v>
          </cell>
          <cell r="I192">
            <v>30</v>
          </cell>
        </row>
        <row r="193">
          <cell r="A193">
            <v>10880031812</v>
          </cell>
          <cell r="B193" t="str">
            <v>693-C2325D-D 0190400527B</v>
          </cell>
          <cell r="C193" t="str">
            <v>10250035260/10250035259</v>
          </cell>
          <cell r="D193" t="str">
            <v>1*15</v>
          </cell>
          <cell r="E193" t="str">
            <v>锡膏</v>
          </cell>
          <cell r="F193" t="str">
            <v>净水527B显示板</v>
          </cell>
          <cell r="G193">
            <v>3.7500000000000006E-2</v>
          </cell>
          <cell r="H193">
            <v>800</v>
          </cell>
          <cell r="I193">
            <v>30</v>
          </cell>
        </row>
        <row r="194">
          <cell r="A194">
            <v>10880032609</v>
          </cell>
          <cell r="B194" t="str">
            <v>693-C2325E-D 0190400527D</v>
          </cell>
          <cell r="C194" t="str">
            <v>10250035260/10250035259</v>
          </cell>
          <cell r="D194" t="str">
            <v>1*15</v>
          </cell>
          <cell r="E194" t="str">
            <v>锡膏</v>
          </cell>
          <cell r="F194" t="str">
            <v>净水527D显示板</v>
          </cell>
          <cell r="G194">
            <v>3.7500000000000006E-2</v>
          </cell>
          <cell r="H194">
            <v>800</v>
          </cell>
          <cell r="I194">
            <v>30</v>
          </cell>
        </row>
        <row r="195">
          <cell r="A195">
            <v>10880028834</v>
          </cell>
          <cell r="B195" t="str">
            <v>1323-B2307A-D 0011801713</v>
          </cell>
          <cell r="C195" t="str">
            <v>10250035397/10250035398</v>
          </cell>
          <cell r="D195" t="str">
            <v>1*2</v>
          </cell>
          <cell r="E195" t="str">
            <v>锡膏</v>
          </cell>
          <cell r="F195" t="str">
            <v>海尔空调显示板</v>
          </cell>
          <cell r="G195">
            <v>4.2857142857142858E-2</v>
          </cell>
          <cell r="H195">
            <v>700</v>
          </cell>
          <cell r="I195">
            <v>30</v>
          </cell>
        </row>
        <row r="196">
          <cell r="A196">
            <v>10880033721</v>
          </cell>
          <cell r="B196" t="str">
            <v>500323-C24G9A-D 0011801713A</v>
          </cell>
          <cell r="C196" t="str">
            <v>10250035397/10250035398</v>
          </cell>
          <cell r="D196" t="str">
            <v>1*2</v>
          </cell>
          <cell r="E196" t="str">
            <v>锡膏</v>
          </cell>
          <cell r="F196" t="str">
            <v>海尔空调显示板</v>
          </cell>
          <cell r="G196">
            <v>4.2857142857142858E-2</v>
          </cell>
          <cell r="H196">
            <v>700</v>
          </cell>
          <cell r="I196">
            <v>30</v>
          </cell>
        </row>
        <row r="197">
          <cell r="A197">
            <v>10880029078</v>
          </cell>
          <cell r="B197" t="str">
            <v>693-B2363A-D 0011801125</v>
          </cell>
          <cell r="C197" t="str">
            <v>10250035070/10250035071</v>
          </cell>
          <cell r="D197" t="str">
            <v>1*12</v>
          </cell>
          <cell r="E197" t="str">
            <v>锡膏</v>
          </cell>
          <cell r="F197" t="str">
            <v>海尔空调挂机显示板</v>
          </cell>
          <cell r="G197">
            <v>0.01</v>
          </cell>
          <cell r="H197">
            <v>2500</v>
          </cell>
          <cell r="I197">
            <v>25</v>
          </cell>
        </row>
        <row r="198">
          <cell r="A198">
            <v>10880030023</v>
          </cell>
          <cell r="B198" t="str">
            <v xml:space="preserve">693-A2380A-D 0011801125A  </v>
          </cell>
          <cell r="C198" t="str">
            <v>10250035070/10250035071</v>
          </cell>
          <cell r="D198" t="str">
            <v>1*12</v>
          </cell>
          <cell r="E198" t="str">
            <v>锡膏</v>
          </cell>
          <cell r="F198" t="str">
            <v>海尔空调挂机显示板</v>
          </cell>
          <cell r="G198">
            <v>0.01</v>
          </cell>
          <cell r="H198">
            <v>2500</v>
          </cell>
          <cell r="I198">
            <v>25</v>
          </cell>
        </row>
        <row r="199">
          <cell r="A199">
            <v>10880021315</v>
          </cell>
          <cell r="B199" t="str">
            <v xml:space="preserve">693-C2221A-D 0190400415  </v>
          </cell>
          <cell r="C199">
            <v>10250032249</v>
          </cell>
          <cell r="D199" t="str">
            <v>1*4</v>
          </cell>
          <cell r="E199" t="str">
            <v>锡膏</v>
          </cell>
          <cell r="F199" t="str">
            <v>海尔净水器显示板</v>
          </cell>
          <cell r="G199">
            <v>6.6666666666666666E-2</v>
          </cell>
          <cell r="H199">
            <v>420</v>
          </cell>
          <cell r="I199">
            <v>28</v>
          </cell>
        </row>
        <row r="200">
          <cell r="A200">
            <v>10880021316</v>
          </cell>
          <cell r="B200" t="str">
            <v xml:space="preserve"> 693-C2221B-D 0190400415A  </v>
          </cell>
          <cell r="C200">
            <v>10250032249</v>
          </cell>
          <cell r="D200" t="str">
            <v>1*4</v>
          </cell>
          <cell r="E200" t="str">
            <v>锡膏</v>
          </cell>
          <cell r="F200" t="str">
            <v>海尔净水器显示板</v>
          </cell>
          <cell r="G200">
            <v>6.6666666666666666E-2</v>
          </cell>
          <cell r="H200">
            <v>420</v>
          </cell>
          <cell r="I200">
            <v>28</v>
          </cell>
        </row>
        <row r="201">
          <cell r="A201">
            <v>10880028393</v>
          </cell>
          <cell r="B201" t="str">
            <v xml:space="preserve">693-C2338A-PC 0190400415B  </v>
          </cell>
          <cell r="C201">
            <v>10250032249</v>
          </cell>
          <cell r="D201" t="str">
            <v>1*4</v>
          </cell>
          <cell r="E201" t="str">
            <v>锡膏</v>
          </cell>
          <cell r="F201" t="str">
            <v>净水显示板</v>
          </cell>
          <cell r="G201" t="e">
            <v>#VALUE!</v>
          </cell>
          <cell r="H201">
            <v>420</v>
          </cell>
          <cell r="I201">
            <v>28</v>
          </cell>
        </row>
        <row r="202">
          <cell r="A202">
            <v>10880033290</v>
          </cell>
          <cell r="B202" t="str">
            <v>500325-C2402A-D 888002201-415  </v>
          </cell>
          <cell r="C202" t="str">
            <v>10880033290 </v>
          </cell>
          <cell r="D202" t="str">
            <v>1*4</v>
          </cell>
          <cell r="E202" t="str">
            <v>锡膏</v>
          </cell>
          <cell r="F202" t="str">
            <v>净水显示板</v>
          </cell>
          <cell r="G202">
            <v>6.6666666666666666E-2</v>
          </cell>
          <cell r="H202">
            <v>420</v>
          </cell>
          <cell r="I202">
            <v>28</v>
          </cell>
        </row>
        <row r="203">
          <cell r="A203">
            <v>10880033291</v>
          </cell>
          <cell r="B203" t="str">
            <v>500325-C2402B-D 888002157-415A  </v>
          </cell>
          <cell r="C203" t="str">
            <v>10880033291 </v>
          </cell>
          <cell r="D203" t="str">
            <v>1*4</v>
          </cell>
          <cell r="E203" t="str">
            <v>锡膏</v>
          </cell>
          <cell r="F203" t="str">
            <v>净水显示板</v>
          </cell>
          <cell r="G203">
            <v>6.6666666666666666E-2</v>
          </cell>
          <cell r="H203">
            <v>420</v>
          </cell>
          <cell r="I203">
            <v>28</v>
          </cell>
        </row>
        <row r="204">
          <cell r="A204">
            <v>10880033293</v>
          </cell>
          <cell r="B204" t="str">
            <v>500325-C2402C-D 888002082-415B  </v>
          </cell>
          <cell r="C204" t="str">
            <v>10880033293 </v>
          </cell>
          <cell r="D204" t="str">
            <v>1*4</v>
          </cell>
          <cell r="E204" t="str">
            <v>锡膏</v>
          </cell>
          <cell r="F204" t="str">
            <v>净水显示板</v>
          </cell>
          <cell r="G204">
            <v>6.6666666666666666E-2</v>
          </cell>
          <cell r="H204">
            <v>420</v>
          </cell>
          <cell r="I204">
            <v>28</v>
          </cell>
        </row>
        <row r="205">
          <cell r="A205">
            <v>10880033296</v>
          </cell>
          <cell r="B205" t="str">
            <v>500325-C2402D-D 888001871-415C  </v>
          </cell>
          <cell r="C205" t="str">
            <v>10880033296 </v>
          </cell>
          <cell r="D205" t="str">
            <v>1*4</v>
          </cell>
          <cell r="E205" t="str">
            <v>锡膏</v>
          </cell>
          <cell r="F205" t="str">
            <v>净水显示板</v>
          </cell>
          <cell r="G205">
            <v>6.6666666666666666E-2</v>
          </cell>
          <cell r="H205">
            <v>420</v>
          </cell>
          <cell r="I205">
            <v>28</v>
          </cell>
        </row>
        <row r="206">
          <cell r="A206">
            <v>10880033297</v>
          </cell>
          <cell r="B206" t="str">
            <v>500325-C2402E-D 888001870-415D  </v>
          </cell>
          <cell r="C206" t="str">
            <v>10880033297 </v>
          </cell>
          <cell r="D206" t="str">
            <v>1*4</v>
          </cell>
          <cell r="E206" t="str">
            <v>锡膏</v>
          </cell>
          <cell r="F206" t="str">
            <v>净水显示板</v>
          </cell>
          <cell r="G206">
            <v>6.6666666666666666E-2</v>
          </cell>
          <cell r="H206">
            <v>420</v>
          </cell>
          <cell r="I206">
            <v>28</v>
          </cell>
        </row>
        <row r="207">
          <cell r="A207">
            <v>10880033298</v>
          </cell>
          <cell r="B207" t="str">
            <v>500325-C2402F-D 0190400415E  </v>
          </cell>
          <cell r="C207" t="str">
            <v>10880033298 </v>
          </cell>
          <cell r="D207" t="str">
            <v>1*4</v>
          </cell>
          <cell r="E207" t="str">
            <v>锡膏</v>
          </cell>
          <cell r="F207" t="str">
            <v>净水显示板</v>
          </cell>
          <cell r="G207">
            <v>6.6666666666666666E-2</v>
          </cell>
          <cell r="H207">
            <v>420</v>
          </cell>
          <cell r="I207">
            <v>28</v>
          </cell>
        </row>
        <row r="208">
          <cell r="A208">
            <v>10880034384</v>
          </cell>
          <cell r="B208" t="str">
            <v>500325-C2402G-D 888002542(415AA)  </v>
          </cell>
          <cell r="C208" t="str">
            <v>10880034384 </v>
          </cell>
          <cell r="D208" t="str">
            <v>1*4</v>
          </cell>
          <cell r="E208" t="str">
            <v>锡膏</v>
          </cell>
          <cell r="F208" t="str">
            <v>净水显示板</v>
          </cell>
          <cell r="G208">
            <v>6.6666666666666666E-2</v>
          </cell>
          <cell r="H208">
            <v>420</v>
          </cell>
          <cell r="I208">
            <v>28</v>
          </cell>
        </row>
        <row r="209">
          <cell r="A209">
            <v>10880034385</v>
          </cell>
          <cell r="B209" t="str">
            <v>500325-C2402H-D 888002452(415AB)  </v>
          </cell>
          <cell r="C209" t="str">
            <v>10880034385 </v>
          </cell>
          <cell r="D209" t="str">
            <v>1*4</v>
          </cell>
          <cell r="E209" t="str">
            <v>锡膏</v>
          </cell>
          <cell r="F209" t="str">
            <v>净水显示板</v>
          </cell>
          <cell r="G209">
            <v>6.6666666666666666E-2</v>
          </cell>
          <cell r="H209">
            <v>420</v>
          </cell>
          <cell r="I209">
            <v>28</v>
          </cell>
        </row>
        <row r="210">
          <cell r="A210">
            <v>10880030491</v>
          </cell>
          <cell r="B210" t="str">
            <v xml:space="preserve"> 693-B2379A-D 0011801716  </v>
          </cell>
          <cell r="C210" t="str">
            <v>10250036550/10250036551</v>
          </cell>
          <cell r="D210" t="str">
            <v>1*8</v>
          </cell>
          <cell r="E210" t="str">
            <v>锡膏</v>
          </cell>
          <cell r="F210" t="str">
            <v>海尔空调显示板</v>
          </cell>
          <cell r="G210">
            <v>1.6E-2</v>
          </cell>
          <cell r="H210">
            <v>1000</v>
          </cell>
          <cell r="I210">
            <v>16</v>
          </cell>
        </row>
        <row r="211">
          <cell r="A211">
            <v>10880030598</v>
          </cell>
          <cell r="B211" t="str">
            <v xml:space="preserve">693-C23C6A-PC 0011801119N  </v>
          </cell>
          <cell r="C211">
            <v>10250036242</v>
          </cell>
          <cell r="D211" t="str">
            <v>1*2</v>
          </cell>
          <cell r="E211" t="str">
            <v>锡膏</v>
          </cell>
          <cell r="F211" t="str">
            <v>家用空调电控板</v>
          </cell>
          <cell r="G211">
            <v>0.18000000000000002</v>
          </cell>
          <cell r="H211">
            <v>200</v>
          </cell>
          <cell r="I211">
            <v>36</v>
          </cell>
        </row>
        <row r="212">
          <cell r="A212">
            <v>10880030599</v>
          </cell>
          <cell r="B212" t="str">
            <v xml:space="preserve"> 693-C23C6B-PC 0011801119P  </v>
          </cell>
          <cell r="C212">
            <v>10250036242</v>
          </cell>
          <cell r="D212" t="str">
            <v>1*2</v>
          </cell>
          <cell r="E212" t="str">
            <v>锡膏</v>
          </cell>
          <cell r="F212" t="str">
            <v>家用空调电控板</v>
          </cell>
          <cell r="G212">
            <v>0.18000000000000002</v>
          </cell>
          <cell r="H212">
            <v>200</v>
          </cell>
          <cell r="I212">
            <v>36</v>
          </cell>
        </row>
        <row r="213">
          <cell r="A213">
            <v>10880031362</v>
          </cell>
          <cell r="B213" t="str">
            <v>693-C23C6C-PC 0011801119Q</v>
          </cell>
          <cell r="C213" t="str">
            <v>10250039906/10250039907</v>
          </cell>
          <cell r="D213" t="str">
            <v>1*2</v>
          </cell>
          <cell r="E213" t="str">
            <v>锡膏</v>
          </cell>
          <cell r="F213" t="str">
            <v>海尔空调1119Q电控板</v>
          </cell>
          <cell r="G213">
            <v>0.18000000000000002</v>
          </cell>
          <cell r="H213">
            <v>200</v>
          </cell>
          <cell r="I213">
            <v>36</v>
          </cell>
        </row>
        <row r="214">
          <cell r="A214">
            <v>10880028905</v>
          </cell>
          <cell r="B214" t="str">
            <v xml:space="preserve">693-C2336A-PC 0190400507  </v>
          </cell>
          <cell r="C214" t="str">
            <v>10250035956/10250035958</v>
          </cell>
          <cell r="D214" t="str">
            <v>1*2</v>
          </cell>
          <cell r="E214" t="str">
            <v>锡膏/灌胶</v>
          </cell>
          <cell r="F214" t="str">
            <v>净水主控板</v>
          </cell>
          <cell r="G214">
            <v>0.12583333333333332</v>
          </cell>
          <cell r="H214">
            <v>400</v>
          </cell>
          <cell r="I214">
            <v>45</v>
          </cell>
        </row>
        <row r="215">
          <cell r="A215">
            <v>10880030285</v>
          </cell>
          <cell r="B215" t="str">
            <v>693-C2336B-PC 0190400507A</v>
          </cell>
          <cell r="C215" t="str">
            <v>10250035956/10250035958</v>
          </cell>
          <cell r="D215" t="str">
            <v>1*2</v>
          </cell>
          <cell r="E215" t="str">
            <v>锡膏/灌胶</v>
          </cell>
          <cell r="F215" t="str">
            <v>净水主控板</v>
          </cell>
          <cell r="G215">
            <v>0.12583333333333332</v>
          </cell>
          <cell r="H215">
            <v>400</v>
          </cell>
          <cell r="I215">
            <v>45</v>
          </cell>
        </row>
        <row r="216">
          <cell r="A216">
            <v>10880030450</v>
          </cell>
          <cell r="B216" t="str">
            <v>693-C23E6A-X 0150410226  </v>
          </cell>
          <cell r="C216" t="str">
            <v xml:space="preserve"> 10250036451/ 10250036452</v>
          </cell>
          <cell r="D216" t="str">
            <v>1*3</v>
          </cell>
          <cell r="E216" t="str">
            <v>锡膏</v>
          </cell>
          <cell r="F216" t="str">
            <v>空调226电容板</v>
          </cell>
          <cell r="G216">
            <v>6.5000000000000002E-2</v>
          </cell>
          <cell r="H216">
            <v>400</v>
          </cell>
          <cell r="I216">
            <v>26</v>
          </cell>
        </row>
        <row r="217">
          <cell r="A217">
            <v>10880030620</v>
          </cell>
          <cell r="B217" t="str">
            <v xml:space="preserve">693-C23G6A-PC 0011801825  </v>
          </cell>
          <cell r="C217" t="str">
            <v>10250036205/10250036204</v>
          </cell>
          <cell r="D217" t="str">
            <v>1*2</v>
          </cell>
          <cell r="E217" t="str">
            <v>锡膏</v>
          </cell>
          <cell r="F217" t="str">
            <v>海尔空调1825电控板</v>
          </cell>
          <cell r="G217">
            <v>6.4444444444444443E-2</v>
          </cell>
          <cell r="H217">
            <v>450</v>
          </cell>
          <cell r="I217">
            <v>29</v>
          </cell>
        </row>
        <row r="218">
          <cell r="A218">
            <v>10880029958</v>
          </cell>
          <cell r="B218" t="str">
            <v xml:space="preserve"> 1323-C2305A-D 0011801659</v>
          </cell>
          <cell r="C218" t="str">
            <v>10250036669/10250036670</v>
          </cell>
          <cell r="D218" t="str">
            <v>1*2</v>
          </cell>
          <cell r="E218" t="str">
            <v>锡膏</v>
          </cell>
          <cell r="F218" t="str">
            <v>挂机显示板（日本）</v>
          </cell>
          <cell r="G218">
            <v>3.0000000000000002E-2</v>
          </cell>
          <cell r="H218">
            <v>600</v>
          </cell>
          <cell r="I218">
            <v>18</v>
          </cell>
        </row>
        <row r="219">
          <cell r="A219">
            <v>10880029957</v>
          </cell>
          <cell r="B219" t="str">
            <v xml:space="preserve">1323-C2306A-PC 0011801652  </v>
          </cell>
          <cell r="C219" t="str">
            <v>10250036077/10250036080</v>
          </cell>
          <cell r="D219" t="str">
            <v>1*2</v>
          </cell>
          <cell r="E219" t="str">
            <v>锡膏</v>
          </cell>
          <cell r="F219" t="str">
            <v>内机电控板（日本)</v>
          </cell>
          <cell r="G219">
            <v>6.9767441860465115E-2</v>
          </cell>
          <cell r="H219">
            <v>430</v>
          </cell>
          <cell r="I219">
            <v>30</v>
          </cell>
        </row>
        <row r="220">
          <cell r="A220">
            <v>10880030784</v>
          </cell>
          <cell r="B220" t="str">
            <v xml:space="preserve">693-C23I1A-PC 0011801652A  </v>
          </cell>
          <cell r="C220" t="str">
            <v>10250036077/10250036080</v>
          </cell>
          <cell r="D220" t="str">
            <v>1*2</v>
          </cell>
          <cell r="E220" t="str">
            <v>锡膏</v>
          </cell>
          <cell r="F220" t="str">
            <v>内机电控板</v>
          </cell>
          <cell r="G220">
            <v>6.9767441860465115E-2</v>
          </cell>
          <cell r="H220">
            <v>430</v>
          </cell>
          <cell r="I220">
            <v>30</v>
          </cell>
        </row>
        <row r="221">
          <cell r="A221">
            <v>10880030977</v>
          </cell>
          <cell r="B221" t="str">
            <v>693-C23I2A-PC 0011801657</v>
          </cell>
          <cell r="C221">
            <v>10250036636</v>
          </cell>
          <cell r="D221" t="str">
            <v>1*2</v>
          </cell>
          <cell r="E221" t="str">
            <v>锡膏</v>
          </cell>
          <cell r="F221" t="str">
            <v>日本空调1657电控板</v>
          </cell>
          <cell r="G221">
            <v>0.43333333333333329</v>
          </cell>
          <cell r="H221">
            <v>60</v>
          </cell>
          <cell r="I221">
            <v>26</v>
          </cell>
        </row>
        <row r="222">
          <cell r="A222">
            <v>10880033280</v>
          </cell>
          <cell r="B222" t="str">
            <v>500323-C2491B-PC 0011801657A</v>
          </cell>
          <cell r="C222">
            <v>10250040883</v>
          </cell>
          <cell r="D222" t="str">
            <v>1*2</v>
          </cell>
          <cell r="E222" t="str">
            <v>锡膏</v>
          </cell>
          <cell r="F222" t="str">
            <v>空调电控板</v>
          </cell>
          <cell r="G222">
            <v>0.43333333333333329</v>
          </cell>
          <cell r="H222">
            <v>60</v>
          </cell>
          <cell r="I222">
            <v>26</v>
          </cell>
        </row>
        <row r="223">
          <cell r="A223">
            <v>10880031182</v>
          </cell>
          <cell r="B223" t="str">
            <v>693-B23G2A-PC 0011801330G</v>
          </cell>
          <cell r="C223" t="str">
            <v>10250036810/10250036809</v>
          </cell>
          <cell r="D223" t="str">
            <v>1*2</v>
          </cell>
          <cell r="E223" t="str">
            <v>锡膏</v>
          </cell>
          <cell r="F223" t="str">
            <v>海尔空调1330C电控板</v>
          </cell>
          <cell r="G223">
            <v>7.9411764705882348E-2</v>
          </cell>
          <cell r="H223">
            <v>340</v>
          </cell>
          <cell r="I223">
            <v>27</v>
          </cell>
        </row>
        <row r="224">
          <cell r="A224">
            <v>10880031183</v>
          </cell>
          <cell r="B224" t="str">
            <v>693-B23G2B-PC 0011801330H</v>
          </cell>
          <cell r="C224" t="str">
            <v>10250036810/10250036809</v>
          </cell>
          <cell r="D224" t="str">
            <v>1*2</v>
          </cell>
          <cell r="E224" t="str">
            <v>锡膏</v>
          </cell>
          <cell r="F224" t="str">
            <v>海尔空调1330C电控板</v>
          </cell>
          <cell r="G224">
            <v>7.9411764705882348E-2</v>
          </cell>
          <cell r="H224">
            <v>340</v>
          </cell>
          <cell r="I224">
            <v>27</v>
          </cell>
        </row>
        <row r="225">
          <cell r="A225">
            <v>10880031184</v>
          </cell>
          <cell r="B225" t="str">
            <v>693-B23G2C-PC 0011801330J</v>
          </cell>
          <cell r="C225" t="str">
            <v>10250036810/10250036809</v>
          </cell>
          <cell r="D225" t="str">
            <v>1*2</v>
          </cell>
          <cell r="E225" t="str">
            <v>锡膏</v>
          </cell>
          <cell r="F225" t="str">
            <v>海尔空调1330C电控板</v>
          </cell>
          <cell r="G225">
            <v>7.9411764705882348E-2</v>
          </cell>
          <cell r="H225">
            <v>340</v>
          </cell>
          <cell r="I225">
            <v>27</v>
          </cell>
        </row>
        <row r="226">
          <cell r="A226">
            <v>10880031307</v>
          </cell>
          <cell r="B226" t="str">
            <v xml:space="preserve">693-B23G2D-PC 0011801330C  </v>
          </cell>
          <cell r="C226" t="str">
            <v>10250036810/10250036809</v>
          </cell>
          <cell r="D226" t="str">
            <v>1*2</v>
          </cell>
          <cell r="E226" t="str">
            <v>锡膏</v>
          </cell>
          <cell r="F226" t="str">
            <v>海尔空调1330C电控板</v>
          </cell>
          <cell r="G226">
            <v>7.9411764705882348E-2</v>
          </cell>
          <cell r="H226">
            <v>340</v>
          </cell>
          <cell r="I226">
            <v>27</v>
          </cell>
        </row>
        <row r="227">
          <cell r="A227">
            <v>10880037370</v>
          </cell>
          <cell r="B227" t="str">
            <v xml:space="preserve">600766-A2503A-PC G0044 0011801330MHR  </v>
          </cell>
          <cell r="C227" t="str">
            <v>10250037392/10250037393</v>
          </cell>
          <cell r="D227" t="str">
            <v>1*2</v>
          </cell>
          <cell r="E227" t="str">
            <v>锡膏</v>
          </cell>
          <cell r="F227" t="str">
            <v>空调电控板</v>
          </cell>
          <cell r="G227">
            <v>0.10807142857142858</v>
          </cell>
          <cell r="H227">
            <v>280</v>
          </cell>
          <cell r="I227">
            <v>29</v>
          </cell>
        </row>
        <row r="228">
          <cell r="H228">
            <v>2000</v>
          </cell>
          <cell r="I228">
            <v>9</v>
          </cell>
        </row>
        <row r="229">
          <cell r="A229">
            <v>10880037670</v>
          </cell>
          <cell r="B229" t="str">
            <v xml:space="preserve"> 693-B25D2A-PC G0044 0011801330AJ</v>
          </cell>
          <cell r="C229" t="str">
            <v>10250045627/10250045628</v>
          </cell>
          <cell r="D229" t="str">
            <v>1*2</v>
          </cell>
          <cell r="E229" t="str">
            <v>锡膏</v>
          </cell>
          <cell r="F229" t="str">
            <v>空调电控板</v>
          </cell>
          <cell r="G229">
            <v>8.3333333333333329E-2</v>
          </cell>
          <cell r="H229">
            <v>360</v>
          </cell>
          <cell r="I229">
            <v>30</v>
          </cell>
        </row>
        <row r="230">
          <cell r="A230">
            <v>10880037671</v>
          </cell>
          <cell r="B230" t="str">
            <v>693-B25D2B-PC G0044 0011801330AK</v>
          </cell>
          <cell r="C230" t="str">
            <v>10250045627/10250045628</v>
          </cell>
          <cell r="D230" t="str">
            <v>1*2</v>
          </cell>
          <cell r="E230" t="str">
            <v>锡膏</v>
          </cell>
          <cell r="F230" t="str">
            <v>空调电控板</v>
          </cell>
          <cell r="G230">
            <v>8.3333333333333329E-2</v>
          </cell>
          <cell r="H230">
            <v>360</v>
          </cell>
          <cell r="I230">
            <v>30</v>
          </cell>
        </row>
        <row r="231">
          <cell r="A231">
            <v>10880028832</v>
          </cell>
          <cell r="B231" t="str">
            <v xml:space="preserve">693-C2344A-PC 0011801738  </v>
          </cell>
          <cell r="C231" t="str">
            <v>10250036424/10250036425</v>
          </cell>
          <cell r="D231" t="str">
            <v>1*2</v>
          </cell>
          <cell r="E231" t="str">
            <v>锡膏</v>
          </cell>
          <cell r="F231" t="str">
            <v>海尔空调电控板</v>
          </cell>
          <cell r="G231">
            <v>0.12333333333333332</v>
          </cell>
          <cell r="H231">
            <v>300</v>
          </cell>
          <cell r="I231">
            <v>37</v>
          </cell>
        </row>
        <row r="232">
          <cell r="A232">
            <v>10880031015</v>
          </cell>
          <cell r="B232" t="str">
            <v xml:space="preserve"> 693-C2393A-PC 0011801640</v>
          </cell>
          <cell r="C232">
            <v>10250036616</v>
          </cell>
          <cell r="D232" t="str">
            <v>1*2</v>
          </cell>
          <cell r="E232" t="str">
            <v>锡膏</v>
          </cell>
          <cell r="F232" t="str">
            <v>海尔空调变频电控板</v>
          </cell>
          <cell r="G232">
            <v>0.15500000000000003</v>
          </cell>
          <cell r="H232">
            <v>200</v>
          </cell>
          <cell r="I232">
            <v>31</v>
          </cell>
        </row>
        <row r="233">
          <cell r="A233">
            <v>10880036868</v>
          </cell>
          <cell r="B233" t="str">
            <v xml:space="preserve">1911-C2302E-PC G0044 0011801640 泰国  </v>
          </cell>
          <cell r="C233">
            <v>10250036616</v>
          </cell>
          <cell r="D233" t="str">
            <v>1*2</v>
          </cell>
          <cell r="E233" t="str">
            <v>锡膏</v>
          </cell>
          <cell r="F233" t="str">
            <v>海尔空调变频电控板</v>
          </cell>
          <cell r="G233">
            <v>0.15500000000000003</v>
          </cell>
          <cell r="H233">
            <v>200</v>
          </cell>
          <cell r="I233">
            <v>31</v>
          </cell>
        </row>
        <row r="234">
          <cell r="A234">
            <v>10880030299</v>
          </cell>
          <cell r="B234" t="str">
            <v>693-C2335A-PC 0211800001</v>
          </cell>
          <cell r="C234" t="str">
            <v>10250035934/10250035935</v>
          </cell>
          <cell r="D234" t="str">
            <v>1*4</v>
          </cell>
          <cell r="E234" t="str">
            <v>锡膏</v>
          </cell>
          <cell r="F234" t="str">
            <v>晾衣架电控板</v>
          </cell>
          <cell r="G234">
            <v>0.10555555555555554</v>
          </cell>
          <cell r="H234">
            <v>360</v>
          </cell>
          <cell r="I234">
            <v>38</v>
          </cell>
        </row>
        <row r="235">
          <cell r="A235">
            <v>10880030607</v>
          </cell>
          <cell r="B235" t="str">
            <v xml:space="preserve">693-B23G7A-PC  0011801048AE  </v>
          </cell>
          <cell r="C235" t="str">
            <v>10250031564/10250031565</v>
          </cell>
          <cell r="D235" t="str">
            <v>1*1</v>
          </cell>
          <cell r="E235" t="str">
            <v>锡膏</v>
          </cell>
          <cell r="F235" t="str">
            <v>海尔空调电控板</v>
          </cell>
          <cell r="G235">
            <v>0.12666666666666665</v>
          </cell>
          <cell r="H235">
            <v>300</v>
          </cell>
          <cell r="I235">
            <v>38</v>
          </cell>
        </row>
        <row r="236">
          <cell r="A236">
            <v>10880030608</v>
          </cell>
          <cell r="B236" t="str">
            <v xml:space="preserve">693-B23G7B-PC  0011801048AF  </v>
          </cell>
          <cell r="C236">
            <v>10250036995</v>
          </cell>
          <cell r="D236" t="str">
            <v>1*1</v>
          </cell>
          <cell r="E236" t="str">
            <v>锡膏</v>
          </cell>
          <cell r="F236" t="str">
            <v>海尔空调电控板</v>
          </cell>
          <cell r="G236">
            <v>0.12666666666666668</v>
          </cell>
          <cell r="H236">
            <v>300</v>
          </cell>
          <cell r="I236">
            <v>38</v>
          </cell>
        </row>
        <row r="237">
          <cell r="A237">
            <v>10880031139</v>
          </cell>
          <cell r="B237" t="str">
            <v>693-B23G7D-PC  0011801048AH</v>
          </cell>
          <cell r="C237">
            <v>10250036995</v>
          </cell>
          <cell r="D237" t="str">
            <v>1*1</v>
          </cell>
          <cell r="E237" t="str">
            <v>锡膏</v>
          </cell>
          <cell r="F237" t="str">
            <v>海尔空调电控板</v>
          </cell>
          <cell r="G237">
            <v>0.12666666666666668</v>
          </cell>
          <cell r="H237">
            <v>300</v>
          </cell>
          <cell r="I237">
            <v>38</v>
          </cell>
        </row>
        <row r="238">
          <cell r="A238">
            <v>10880031138</v>
          </cell>
          <cell r="B238" t="str">
            <v>693-B23G7C-PC  0011801048AG</v>
          </cell>
          <cell r="C238">
            <v>10250036995</v>
          </cell>
          <cell r="D238" t="str">
            <v>1*1</v>
          </cell>
          <cell r="E238" t="str">
            <v>锡膏</v>
          </cell>
          <cell r="F238" t="str">
            <v>海尔空调电控板</v>
          </cell>
          <cell r="G238">
            <v>0.12666666666666668</v>
          </cell>
          <cell r="H238">
            <v>300</v>
          </cell>
          <cell r="I238">
            <v>38</v>
          </cell>
        </row>
        <row r="239">
          <cell r="A239">
            <v>10880020694</v>
          </cell>
          <cell r="B239" t="str">
            <v>693-C2248B-PC  0011801048A</v>
          </cell>
          <cell r="C239" t="str">
            <v xml:space="preserve"> 10250031564/ 10250031565</v>
          </cell>
          <cell r="D239" t="str">
            <v>1*1</v>
          </cell>
          <cell r="E239" t="str">
            <v>锡膏</v>
          </cell>
          <cell r="F239" t="str">
            <v>海尔空调电控板</v>
          </cell>
          <cell r="G239">
            <v>0.12666666666666668</v>
          </cell>
          <cell r="H239">
            <v>300</v>
          </cell>
          <cell r="I239">
            <v>38</v>
          </cell>
        </row>
        <row r="240">
          <cell r="A240">
            <v>10880030493</v>
          </cell>
          <cell r="B240" t="str">
            <v xml:space="preserve">693-C23B2A-PC 0151800648D  </v>
          </cell>
          <cell r="C240" t="str">
            <v>10250036082/10250036083</v>
          </cell>
          <cell r="D240" t="str">
            <v>1*2</v>
          </cell>
          <cell r="E240" t="str">
            <v>锡膏</v>
          </cell>
          <cell r="F240" t="str">
            <v>海尔空调648D电控板</v>
          </cell>
          <cell r="G240">
            <v>0.14333333333333331</v>
          </cell>
          <cell r="H240">
            <v>300</v>
          </cell>
          <cell r="I240">
            <v>43</v>
          </cell>
        </row>
        <row r="241">
          <cell r="A241">
            <v>10880031304</v>
          </cell>
          <cell r="B241" t="str">
            <v xml:space="preserve">693-B23K2A-PC 0011801482 </v>
          </cell>
          <cell r="C241" t="str">
            <v>10250037354/10250037355</v>
          </cell>
          <cell r="D241" t="str">
            <v>1*2</v>
          </cell>
          <cell r="E241" t="str">
            <v>锡膏</v>
          </cell>
          <cell r="F241" t="str">
            <v>空调主控1482电控板</v>
          </cell>
          <cell r="G241">
            <v>5.7999999999999996E-2</v>
          </cell>
          <cell r="H241">
            <v>500</v>
          </cell>
          <cell r="I241">
            <v>29</v>
          </cell>
        </row>
        <row r="242">
          <cell r="A242">
            <v>10880033217</v>
          </cell>
          <cell r="B242" t="str">
            <v>500323-C2488A-PC 0011801482A</v>
          </cell>
          <cell r="C242" t="str">
            <v>10250037354/10250037355</v>
          </cell>
          <cell r="D242" t="str">
            <v>1*2</v>
          </cell>
          <cell r="E242" t="str">
            <v>锡膏</v>
          </cell>
          <cell r="F242" t="str">
            <v>空调主控1482电控板</v>
          </cell>
          <cell r="G242">
            <v>5.7999999999999996E-2</v>
          </cell>
          <cell r="H242">
            <v>500</v>
          </cell>
          <cell r="I242">
            <v>29</v>
          </cell>
        </row>
        <row r="243">
          <cell r="A243">
            <v>10880027854</v>
          </cell>
          <cell r="B243" t="str">
            <v xml:space="preserve">693-C2310A-PC  0190400340  </v>
          </cell>
          <cell r="C243">
            <v>10250034953</v>
          </cell>
          <cell r="D243" t="str">
            <v>1*3</v>
          </cell>
          <cell r="E243" t="str">
            <v>锡膏</v>
          </cell>
          <cell r="F243" t="str">
            <v>净水主控板电控板</v>
          </cell>
          <cell r="G243">
            <v>0.11749999999999999</v>
          </cell>
          <cell r="H243">
            <v>400</v>
          </cell>
          <cell r="I243">
            <v>35</v>
          </cell>
        </row>
        <row r="244">
          <cell r="A244">
            <v>10880031164</v>
          </cell>
          <cell r="B244" t="str">
            <v xml:space="preserve">693-C2310B-PC 0190400340A  </v>
          </cell>
          <cell r="C244">
            <v>10250034953</v>
          </cell>
          <cell r="D244" t="str">
            <v>1*3</v>
          </cell>
          <cell r="E244" t="str">
            <v>锡膏</v>
          </cell>
          <cell r="F244" t="str">
            <v>净水主控板电控板</v>
          </cell>
          <cell r="G244">
            <v>0.11749999999999999</v>
          </cell>
          <cell r="H244">
            <v>400</v>
          </cell>
          <cell r="I244">
            <v>35</v>
          </cell>
        </row>
        <row r="245">
          <cell r="A245">
            <v>10880033130</v>
          </cell>
          <cell r="B245" t="str">
            <v>500323-C24A1A-PC 0190400340BA</v>
          </cell>
          <cell r="C245">
            <v>10250034953</v>
          </cell>
          <cell r="D245" t="str">
            <v>1*3</v>
          </cell>
          <cell r="E245" t="str">
            <v>锡膏</v>
          </cell>
          <cell r="F245" t="str">
            <v>净水主控板电控板</v>
          </cell>
          <cell r="G245">
            <v>0.11749999999999999</v>
          </cell>
          <cell r="H245">
            <v>400</v>
          </cell>
          <cell r="I245">
            <v>35</v>
          </cell>
        </row>
        <row r="246">
          <cell r="A246">
            <v>10880033663</v>
          </cell>
          <cell r="B246" t="str">
            <v xml:space="preserve">500323-C24A1B-PC 0190400340CA </v>
          </cell>
          <cell r="C246" t="str">
            <v>10250040674/10250041081</v>
          </cell>
          <cell r="D246" t="str">
            <v>1*3</v>
          </cell>
          <cell r="E246" t="str">
            <v>锡膏</v>
          </cell>
          <cell r="F246" t="str">
            <v>净水主控板电控板</v>
          </cell>
          <cell r="G246">
            <v>0.11749999999999999</v>
          </cell>
          <cell r="H246">
            <v>400</v>
          </cell>
          <cell r="I246">
            <v>35</v>
          </cell>
        </row>
        <row r="247">
          <cell r="A247">
            <v>10880028328</v>
          </cell>
          <cell r="B247" t="str">
            <v>693-C2328A-PC 0190400534</v>
          </cell>
          <cell r="C247" t="str">
            <v>10250036052/10250036053</v>
          </cell>
          <cell r="D247" t="str">
            <v>1*3</v>
          </cell>
          <cell r="E247" t="str">
            <v>锡膏</v>
          </cell>
          <cell r="F247" t="str">
            <v>净水主变一体板电控板</v>
          </cell>
          <cell r="G247">
            <v>0.11499999999999999</v>
          </cell>
          <cell r="H247">
            <v>400</v>
          </cell>
          <cell r="I247">
            <v>34</v>
          </cell>
        </row>
        <row r="248">
          <cell r="A248">
            <v>10880030932</v>
          </cell>
          <cell r="B248" t="str">
            <v>693-C2328B-PC 0190400534A</v>
          </cell>
          <cell r="C248" t="str">
            <v>10250036052/10250036053</v>
          </cell>
          <cell r="D248" t="str">
            <v>1*3</v>
          </cell>
          <cell r="E248" t="str">
            <v>锡膏</v>
          </cell>
          <cell r="F248" t="str">
            <v>净水主变一体板电控板</v>
          </cell>
          <cell r="G248">
            <v>0.11499999999999999</v>
          </cell>
          <cell r="H248">
            <v>400</v>
          </cell>
          <cell r="I248">
            <v>34</v>
          </cell>
        </row>
        <row r="249">
          <cell r="A249">
            <v>10880032024</v>
          </cell>
          <cell r="B249" t="str">
            <v>693-C2328C-PC 0190400534B</v>
          </cell>
          <cell r="C249" t="str">
            <v>10250036052/10250036053</v>
          </cell>
          <cell r="D249" t="str">
            <v>1*3</v>
          </cell>
          <cell r="E249" t="str">
            <v>锡膏</v>
          </cell>
          <cell r="F249" t="str">
            <v>净水主变一体板电控板</v>
          </cell>
          <cell r="G249">
            <v>0.11499999999999999</v>
          </cell>
          <cell r="H249">
            <v>400</v>
          </cell>
          <cell r="I249">
            <v>34</v>
          </cell>
        </row>
        <row r="250">
          <cell r="A250">
            <v>10880032322</v>
          </cell>
          <cell r="B250" t="str">
            <v>693-C2328D-PC 0190400534D</v>
          </cell>
          <cell r="C250" t="str">
            <v>10250036052/10250036053</v>
          </cell>
          <cell r="D250" t="str">
            <v>1*3</v>
          </cell>
          <cell r="E250" t="str">
            <v>锡膏</v>
          </cell>
          <cell r="F250" t="str">
            <v>净水主控板534D电控板</v>
          </cell>
          <cell r="G250">
            <v>0.11499999999999999</v>
          </cell>
          <cell r="H250">
            <v>400</v>
          </cell>
          <cell r="I250">
            <v>34</v>
          </cell>
        </row>
        <row r="251">
          <cell r="A251">
            <v>10880029999</v>
          </cell>
          <cell r="B251" t="str">
            <v xml:space="preserve">693-C2389A-D 0021800615  </v>
          </cell>
          <cell r="C251" t="str">
            <v>10250035560/10250035561</v>
          </cell>
          <cell r="D251" t="str">
            <v>1*5</v>
          </cell>
          <cell r="E251" t="str">
            <v>锡膏</v>
          </cell>
          <cell r="F251" t="str">
            <v>洗衣机615显示板</v>
          </cell>
          <cell r="G251">
            <v>0.13666666666666669</v>
          </cell>
          <cell r="H251">
            <v>300</v>
          </cell>
          <cell r="I251">
            <v>41</v>
          </cell>
        </row>
        <row r="252">
          <cell r="A252" t="str">
            <v>10880034411 </v>
          </cell>
          <cell r="B252" t="str">
            <v>693-C2404A-D 0021800615A(国内)  </v>
          </cell>
          <cell r="C252" t="str">
            <v>10250035560/10250035561</v>
          </cell>
          <cell r="D252" t="str">
            <v>1*5</v>
          </cell>
          <cell r="E252" t="str">
            <v>锡膏</v>
          </cell>
          <cell r="F252" t="str">
            <v>洗衣机615A显示板</v>
          </cell>
          <cell r="G252">
            <v>0.13666666666666669</v>
          </cell>
          <cell r="H252">
            <v>300</v>
          </cell>
          <cell r="I252">
            <v>41</v>
          </cell>
        </row>
        <row r="253">
          <cell r="A253">
            <v>10880031570</v>
          </cell>
          <cell r="B253" t="str">
            <v>693-C2404A-D 0021800615A(俄罗斯)</v>
          </cell>
          <cell r="C253" t="str">
            <v>10250035560/10250035561</v>
          </cell>
          <cell r="D253" t="str">
            <v>1*5</v>
          </cell>
          <cell r="E253" t="str">
            <v>锡膏</v>
          </cell>
          <cell r="F253" t="str">
            <v>洗衣机615A显示板</v>
          </cell>
          <cell r="G253">
            <v>0.13666666666666669</v>
          </cell>
          <cell r="H253">
            <v>300</v>
          </cell>
          <cell r="I253">
            <v>42</v>
          </cell>
        </row>
        <row r="254">
          <cell r="A254">
            <v>10880033965</v>
          </cell>
          <cell r="B254" t="str">
            <v>600208-C2404A-D 70051649</v>
          </cell>
          <cell r="C254" t="str">
            <v>10250035560/10250035561</v>
          </cell>
          <cell r="D254" t="str">
            <v>1*5</v>
          </cell>
          <cell r="E254" t="str">
            <v>锡膏</v>
          </cell>
          <cell r="F254" t="str">
            <v>洗衣机615A显示板</v>
          </cell>
          <cell r="G254">
            <v>0.14000000000000001</v>
          </cell>
          <cell r="H254">
            <v>300</v>
          </cell>
          <cell r="I254">
            <v>41</v>
          </cell>
        </row>
        <row r="255">
          <cell r="A255">
            <v>10880033400</v>
          </cell>
          <cell r="B255" t="str">
            <v>500323-C24F5A-D 0021800615B</v>
          </cell>
          <cell r="C255" t="str">
            <v>10250035560/10250035561</v>
          </cell>
          <cell r="D255" t="str">
            <v>1*5</v>
          </cell>
          <cell r="E255" t="str">
            <v>锡膏</v>
          </cell>
          <cell r="F255" t="str">
            <v>洗衣机615B显示板</v>
          </cell>
          <cell r="G255">
            <v>0.13666666666666669</v>
          </cell>
          <cell r="H255">
            <v>300</v>
          </cell>
          <cell r="I255">
            <v>41</v>
          </cell>
        </row>
        <row r="256">
          <cell r="A256">
            <v>10880033916</v>
          </cell>
          <cell r="B256" t="str">
            <v>500323-C24F5B-D 0021800615C</v>
          </cell>
          <cell r="C256" t="str">
            <v>10250035560/10250035561</v>
          </cell>
          <cell r="D256" t="str">
            <v>1*5</v>
          </cell>
          <cell r="E256" t="str">
            <v>锡膏</v>
          </cell>
          <cell r="F256" t="str">
            <v>洗衣机615C显示板</v>
          </cell>
          <cell r="G256">
            <v>0.13666666666666669</v>
          </cell>
          <cell r="H256">
            <v>300</v>
          </cell>
          <cell r="I256">
            <v>41</v>
          </cell>
        </row>
        <row r="257">
          <cell r="A257">
            <v>10880035989</v>
          </cell>
          <cell r="B257" t="str">
            <v>500323-C24F5B-D 0021800615C</v>
          </cell>
          <cell r="C257" t="str">
            <v>10250035560/10250035561</v>
          </cell>
          <cell r="D257" t="str">
            <v>1*5</v>
          </cell>
          <cell r="E257" t="str">
            <v>锡膏</v>
          </cell>
          <cell r="F257" t="str">
            <v>洗衣机615D显示板</v>
          </cell>
          <cell r="G257">
            <v>0.13666666666666669</v>
          </cell>
          <cell r="H257">
            <v>300</v>
          </cell>
          <cell r="I257">
            <v>41</v>
          </cell>
        </row>
        <row r="258">
          <cell r="A258" t="str">
            <v>10880035407 </v>
          </cell>
          <cell r="B258" t="str">
            <v>500323-C24F5C-D G0044 0021800615G  </v>
          </cell>
          <cell r="C258" t="str">
            <v>10250035560/10250035561</v>
          </cell>
          <cell r="D258" t="str">
            <v>1*5</v>
          </cell>
          <cell r="E258" t="str">
            <v>锡膏</v>
          </cell>
          <cell r="F258" t="str">
            <v>洗衣机615G显示板</v>
          </cell>
          <cell r="G258">
            <v>0.13552660152008686</v>
          </cell>
          <cell r="H258">
            <v>300</v>
          </cell>
          <cell r="I258">
            <v>41</v>
          </cell>
        </row>
        <row r="259">
          <cell r="A259">
            <v>10880030004</v>
          </cell>
          <cell r="B259" t="str">
            <v xml:space="preserve">693-C2390A-D 0021800616  </v>
          </cell>
          <cell r="C259" t="str">
            <v>10250035562/10250035563</v>
          </cell>
          <cell r="D259" t="str">
            <v>1*5</v>
          </cell>
          <cell r="E259" t="str">
            <v>锡膏</v>
          </cell>
          <cell r="F259" t="str">
            <v>洗衣机616显示板</v>
          </cell>
          <cell r="G259">
            <v>0.14000000000000001</v>
          </cell>
          <cell r="H259">
            <v>300</v>
          </cell>
          <cell r="I259">
            <v>42</v>
          </cell>
        </row>
        <row r="260">
          <cell r="A260">
            <v>10880034251</v>
          </cell>
          <cell r="B260" t="str">
            <v>500323-C24D2C-D 0021800616A</v>
          </cell>
          <cell r="C260" t="str">
            <v>10250035562/10250035563</v>
          </cell>
          <cell r="D260" t="str">
            <v>1*5</v>
          </cell>
          <cell r="E260" t="str">
            <v>锡膏</v>
          </cell>
          <cell r="F260" t="str">
            <v>洗衣机显示板</v>
          </cell>
          <cell r="G260">
            <v>0.14000000000000001</v>
          </cell>
          <cell r="H260">
            <v>300</v>
          </cell>
          <cell r="I260">
            <v>42</v>
          </cell>
        </row>
        <row r="261">
          <cell r="A261">
            <v>10880033325</v>
          </cell>
          <cell r="B261" t="str">
            <v>500323-C24D2A-D 0021800616B</v>
          </cell>
          <cell r="C261" t="str">
            <v>10250035562/10250035563</v>
          </cell>
          <cell r="D261" t="str">
            <v>1*5</v>
          </cell>
          <cell r="E261" t="str">
            <v>锡膏</v>
          </cell>
          <cell r="F261" t="str">
            <v>洗衣机显示板</v>
          </cell>
          <cell r="G261">
            <v>0.14000000000000001</v>
          </cell>
          <cell r="H261">
            <v>300</v>
          </cell>
          <cell r="I261">
            <v>42</v>
          </cell>
        </row>
        <row r="262">
          <cell r="A262">
            <v>10880033785</v>
          </cell>
          <cell r="B262" t="str">
            <v>500323-C24D2B-D 0021800616C</v>
          </cell>
          <cell r="C262" t="str">
            <v>10250035562/10250035563</v>
          </cell>
          <cell r="D262" t="str">
            <v>1*5</v>
          </cell>
          <cell r="E262" t="str">
            <v>锡膏</v>
          </cell>
          <cell r="F262" t="str">
            <v>洗衣机显示板</v>
          </cell>
          <cell r="G262">
            <v>0.14000000000000001</v>
          </cell>
          <cell r="H262">
            <v>300</v>
          </cell>
          <cell r="I262">
            <v>42</v>
          </cell>
        </row>
        <row r="263">
          <cell r="A263" t="str">
            <v>10880034995 </v>
          </cell>
          <cell r="B263" t="str">
            <v>500323-C24D2D-D 0021800616D  </v>
          </cell>
          <cell r="C263" t="str">
            <v>10250035562/10250035563</v>
          </cell>
          <cell r="D263" t="str">
            <v>1*5</v>
          </cell>
          <cell r="E263" t="str">
            <v>锡膏</v>
          </cell>
          <cell r="F263" t="str">
            <v>洗衣机显示板</v>
          </cell>
          <cell r="G263">
            <v>0.14000000000000001</v>
          </cell>
          <cell r="H263">
            <v>300</v>
          </cell>
          <cell r="I263">
            <v>42</v>
          </cell>
        </row>
        <row r="264">
          <cell r="A264" t="str">
            <v>10880035543 </v>
          </cell>
          <cell r="B264" t="str">
            <v>500323-C24D2F-D G0044 0021800616E</v>
          </cell>
          <cell r="C264" t="str">
            <v>10250035562/10250035563</v>
          </cell>
          <cell r="D264" t="str">
            <v>1*5</v>
          </cell>
          <cell r="E264" t="str">
            <v>锡膏</v>
          </cell>
          <cell r="F264" t="str">
            <v>洗衣机显示板</v>
          </cell>
          <cell r="G264">
            <v>0.14000000000000001</v>
          </cell>
          <cell r="H264">
            <v>300</v>
          </cell>
          <cell r="I264">
            <v>42</v>
          </cell>
        </row>
        <row r="265">
          <cell r="A265" t="str">
            <v>10880037268 </v>
          </cell>
          <cell r="B265" t="str">
            <v>500323-C24D2I-D G0044 0021800616H  </v>
          </cell>
          <cell r="C265" t="str">
            <v>10250035562/10250035563</v>
          </cell>
          <cell r="D265" t="str">
            <v>1*5</v>
          </cell>
          <cell r="E265" t="str">
            <v>锡膏</v>
          </cell>
          <cell r="F265" t="str">
            <v>洗衣机显示板</v>
          </cell>
          <cell r="G265">
            <v>0.14000000000000001</v>
          </cell>
          <cell r="H265">
            <v>300</v>
          </cell>
          <cell r="I265">
            <v>42</v>
          </cell>
        </row>
        <row r="266">
          <cell r="A266" t="str">
            <v>10880035409 </v>
          </cell>
          <cell r="B266" t="str">
            <v>500323-C24D2E-D G0044 0021800616G  </v>
          </cell>
          <cell r="C266" t="str">
            <v>10250035562/10250035563</v>
          </cell>
          <cell r="D266" t="str">
            <v>1*5</v>
          </cell>
          <cell r="E266" t="str">
            <v>锡膏</v>
          </cell>
          <cell r="F266" t="str">
            <v>洗衣机显示板</v>
          </cell>
          <cell r="G266">
            <v>0.15666666666666668</v>
          </cell>
          <cell r="H266">
            <v>300</v>
          </cell>
          <cell r="I266">
            <v>45</v>
          </cell>
        </row>
        <row r="267">
          <cell r="A267">
            <v>10880037164</v>
          </cell>
          <cell r="B267" t="str">
            <v>500323-C24D2H-D G0044 0021800616GA  </v>
          </cell>
          <cell r="C267" t="str">
            <v>10250035562/10250035563</v>
          </cell>
          <cell r="D267" t="str">
            <v>1*5</v>
          </cell>
          <cell r="E267" t="str">
            <v>锡膏</v>
          </cell>
          <cell r="F267" t="str">
            <v>洗衣机显示板</v>
          </cell>
          <cell r="G267">
            <v>0.15666666666666668</v>
          </cell>
          <cell r="H267">
            <v>300</v>
          </cell>
          <cell r="I267">
            <v>45</v>
          </cell>
        </row>
        <row r="268">
          <cell r="A268">
            <v>10880037503</v>
          </cell>
          <cell r="B268" t="str">
            <v xml:space="preserve">500323-C24D2J-D G0044 0021800616J </v>
          </cell>
          <cell r="C268" t="str">
            <v>10250035562/10250035563</v>
          </cell>
          <cell r="D268" t="str">
            <v>1*5</v>
          </cell>
          <cell r="E268" t="str">
            <v>锡膏</v>
          </cell>
          <cell r="F268" t="str">
            <v>洗衣机显示板</v>
          </cell>
          <cell r="G268">
            <v>0.14000000000000001</v>
          </cell>
          <cell r="H268">
            <v>300</v>
          </cell>
          <cell r="I268">
            <v>42</v>
          </cell>
        </row>
        <row r="269">
          <cell r="A269">
            <v>10880030132</v>
          </cell>
          <cell r="B269" t="str">
            <v xml:space="preserve"> 693-C2394A-PC 0011801423AB  </v>
          </cell>
          <cell r="C269">
            <v>10250037817</v>
          </cell>
          <cell r="D269" t="str">
            <v>1*1</v>
          </cell>
          <cell r="E269" t="str">
            <v>锡膏</v>
          </cell>
          <cell r="F269" t="str">
            <v>海尔空调控制板</v>
          </cell>
          <cell r="G269">
            <v>0.12666666666666665</v>
          </cell>
          <cell r="H269">
            <v>300</v>
          </cell>
          <cell r="I269">
            <v>38</v>
          </cell>
        </row>
        <row r="270">
          <cell r="A270">
            <v>10880033312</v>
          </cell>
          <cell r="B270" t="str">
            <v>500323-C2496A-PC 0011801423AS</v>
          </cell>
          <cell r="C270">
            <v>10250037817</v>
          </cell>
          <cell r="D270" t="str">
            <v>1*1</v>
          </cell>
          <cell r="E270" t="str">
            <v>锡膏</v>
          </cell>
          <cell r="F270" t="str">
            <v>海尔空调控制板</v>
          </cell>
          <cell r="G270">
            <v>0.12666666666666665</v>
          </cell>
          <cell r="H270">
            <v>300</v>
          </cell>
          <cell r="I270">
            <v>38</v>
          </cell>
        </row>
        <row r="271">
          <cell r="A271">
            <v>10880033566</v>
          </cell>
          <cell r="B271" t="str">
            <v>500323-C2496E-PC 0011801423AC</v>
          </cell>
          <cell r="C271">
            <v>10250037817</v>
          </cell>
          <cell r="D271" t="str">
            <v>1*1</v>
          </cell>
          <cell r="E271" t="str">
            <v>锡膏</v>
          </cell>
          <cell r="F271" t="str">
            <v>海尔空调控制板</v>
          </cell>
          <cell r="G271">
            <v>0.12666666666666665</v>
          </cell>
          <cell r="H271">
            <v>300</v>
          </cell>
          <cell r="I271">
            <v>38</v>
          </cell>
        </row>
        <row r="272">
          <cell r="A272">
            <v>10880033567</v>
          </cell>
          <cell r="B272" t="str">
            <v>500323-C2496F-PC 0011801423T</v>
          </cell>
          <cell r="C272">
            <v>10250037817</v>
          </cell>
          <cell r="D272" t="str">
            <v>1*1</v>
          </cell>
          <cell r="E272" t="str">
            <v>锡膏</v>
          </cell>
          <cell r="F272" t="str">
            <v>海尔空调控制板</v>
          </cell>
          <cell r="G272">
            <v>0.12666666666666665</v>
          </cell>
          <cell r="H272">
            <v>300</v>
          </cell>
          <cell r="I272">
            <v>38</v>
          </cell>
        </row>
        <row r="273">
          <cell r="A273">
            <v>10880033560</v>
          </cell>
          <cell r="B273" t="str">
            <v>500323-C2496C-PC 0011801423AP</v>
          </cell>
          <cell r="C273">
            <v>10250037817</v>
          </cell>
          <cell r="D273" t="str">
            <v>1*1</v>
          </cell>
          <cell r="E273" t="str">
            <v>锡膏</v>
          </cell>
          <cell r="F273" t="str">
            <v>海尔空调控制板</v>
          </cell>
          <cell r="G273">
            <v>0.12666666666666665</v>
          </cell>
          <cell r="H273">
            <v>300</v>
          </cell>
          <cell r="I273">
            <v>38</v>
          </cell>
        </row>
        <row r="274">
          <cell r="A274">
            <v>10880033564</v>
          </cell>
          <cell r="B274" t="str">
            <v>500323-C2496D-PC 0011801423AQ</v>
          </cell>
          <cell r="C274">
            <v>10250037817</v>
          </cell>
          <cell r="D274" t="str">
            <v>1*1</v>
          </cell>
          <cell r="E274" t="str">
            <v>锡膏</v>
          </cell>
          <cell r="F274" t="str">
            <v>海尔空调控制板</v>
          </cell>
          <cell r="G274">
            <v>0.12666666666666665</v>
          </cell>
          <cell r="H274">
            <v>300</v>
          </cell>
          <cell r="I274">
            <v>38</v>
          </cell>
        </row>
        <row r="275">
          <cell r="A275">
            <v>10880033605</v>
          </cell>
          <cell r="B275" t="str">
            <v>500323-C2496G-PC 0011801423AV</v>
          </cell>
          <cell r="C275">
            <v>10250037817</v>
          </cell>
          <cell r="D275" t="str">
            <v>1*1</v>
          </cell>
          <cell r="E275" t="str">
            <v>锡膏</v>
          </cell>
          <cell r="F275" t="str">
            <v>海尔空调控制板</v>
          </cell>
          <cell r="G275">
            <v>0.12666666666666665</v>
          </cell>
          <cell r="H275">
            <v>300</v>
          </cell>
          <cell r="I275">
            <v>38</v>
          </cell>
        </row>
        <row r="276">
          <cell r="A276">
            <v>10880034562</v>
          </cell>
          <cell r="B276" t="str">
            <v>500323-C2496K-PC 0011801423AX</v>
          </cell>
          <cell r="C276">
            <v>10250037817</v>
          </cell>
          <cell r="D276" t="str">
            <v>1*1</v>
          </cell>
          <cell r="E276" t="str">
            <v>锡膏</v>
          </cell>
          <cell r="F276" t="str">
            <v>海尔空调控制板</v>
          </cell>
          <cell r="G276">
            <v>0.12666666666666665</v>
          </cell>
          <cell r="H276">
            <v>300</v>
          </cell>
          <cell r="I276">
            <v>38</v>
          </cell>
        </row>
        <row r="277">
          <cell r="A277">
            <v>10880034563</v>
          </cell>
          <cell r="B277" t="str">
            <v>500323-C2496L-PC 0011801423AL</v>
          </cell>
          <cell r="C277">
            <v>10250037817</v>
          </cell>
          <cell r="D277" t="str">
            <v>1*1</v>
          </cell>
          <cell r="E277" t="str">
            <v>锡膏</v>
          </cell>
          <cell r="F277" t="str">
            <v>海尔空调控制板</v>
          </cell>
          <cell r="G277">
            <v>0.12666666666666665</v>
          </cell>
          <cell r="H277">
            <v>300</v>
          </cell>
          <cell r="I277">
            <v>38</v>
          </cell>
        </row>
        <row r="278">
          <cell r="A278">
            <v>10880034564</v>
          </cell>
          <cell r="B278" t="str">
            <v>500323-C2496M-PC 0011801423AJ</v>
          </cell>
          <cell r="C278">
            <v>10250037817</v>
          </cell>
          <cell r="D278" t="str">
            <v>1*1</v>
          </cell>
          <cell r="E278" t="str">
            <v>锡膏</v>
          </cell>
          <cell r="F278" t="str">
            <v>海尔空调控制板</v>
          </cell>
          <cell r="G278">
            <v>0.12666666666666665</v>
          </cell>
          <cell r="H278">
            <v>300</v>
          </cell>
          <cell r="I278">
            <v>38</v>
          </cell>
        </row>
        <row r="279">
          <cell r="A279">
            <v>10880033460</v>
          </cell>
          <cell r="B279" t="str">
            <v xml:space="preserve">500323-C2496B-PC 0011801423AT  </v>
          </cell>
          <cell r="C279">
            <v>10250037817</v>
          </cell>
          <cell r="D279" t="str">
            <v>1*1</v>
          </cell>
          <cell r="E279" t="str">
            <v>锡膏</v>
          </cell>
          <cell r="F279" t="str">
            <v>海尔空调控制板</v>
          </cell>
          <cell r="G279">
            <v>0.12666666666666665</v>
          </cell>
          <cell r="H279">
            <v>300</v>
          </cell>
          <cell r="I279">
            <v>38</v>
          </cell>
        </row>
        <row r="280">
          <cell r="A280">
            <v>10880033606</v>
          </cell>
          <cell r="B280" t="str">
            <v xml:space="preserve">500323-C2496H-PC 0011801423AW  </v>
          </cell>
          <cell r="C280">
            <v>10250037817</v>
          </cell>
          <cell r="D280" t="str">
            <v>1*1</v>
          </cell>
          <cell r="E280" t="str">
            <v>锡膏</v>
          </cell>
          <cell r="F280" t="str">
            <v>海尔空调控制板</v>
          </cell>
          <cell r="G280">
            <v>0.12666666666666665</v>
          </cell>
          <cell r="H280">
            <v>300</v>
          </cell>
          <cell r="I280">
            <v>38</v>
          </cell>
        </row>
        <row r="281">
          <cell r="A281">
            <v>10880030976</v>
          </cell>
          <cell r="B281" t="str">
            <v xml:space="preserve"> 693-C23I3A-PC 0011801656  </v>
          </cell>
          <cell r="C281">
            <v>10250038139</v>
          </cell>
          <cell r="D281" t="str">
            <v>1*2</v>
          </cell>
          <cell r="E281" t="str">
            <v>锡膏</v>
          </cell>
          <cell r="F281" t="str">
            <v>日本空调1656电控板</v>
          </cell>
          <cell r="G281">
            <v>0.12333333333333334</v>
          </cell>
          <cell r="H281">
            <v>300</v>
          </cell>
          <cell r="I281">
            <v>37</v>
          </cell>
        </row>
        <row r="282">
          <cell r="A282">
            <v>10880033279</v>
          </cell>
          <cell r="B282" t="str">
            <v>500323-C2491A-PC 0011801656A</v>
          </cell>
          <cell r="C282">
            <v>10250040887</v>
          </cell>
          <cell r="D282" t="str">
            <v>1*2</v>
          </cell>
          <cell r="E282" t="str">
            <v>锡膏</v>
          </cell>
          <cell r="F282" t="str">
            <v>日本空调1656电控板</v>
          </cell>
          <cell r="G282">
            <v>0.12333333333333334</v>
          </cell>
          <cell r="H282">
            <v>300</v>
          </cell>
          <cell r="I282">
            <v>37</v>
          </cell>
        </row>
        <row r="283">
          <cell r="A283">
            <v>10880038290</v>
          </cell>
          <cell r="B283" t="str">
            <v>693-C2608A-PC G0044 0011801656C</v>
          </cell>
          <cell r="C283">
            <v>10250040887</v>
          </cell>
          <cell r="D283" t="str">
            <v>1*2</v>
          </cell>
          <cell r="E283" t="str">
            <v>锡膏</v>
          </cell>
          <cell r="F283" t="str">
            <v>日本空调1656电控板</v>
          </cell>
          <cell r="G283">
            <v>0.12333333333333334</v>
          </cell>
          <cell r="H283">
            <v>300</v>
          </cell>
          <cell r="I283">
            <v>37</v>
          </cell>
        </row>
        <row r="284">
          <cell r="A284">
            <v>10880038446</v>
          </cell>
          <cell r="B284" t="str">
            <v>693-C2608B-PC G0044 0011801656D</v>
          </cell>
          <cell r="C284">
            <v>10250040888</v>
          </cell>
          <cell r="D284" t="str">
            <v>1*2</v>
          </cell>
          <cell r="E284" t="str">
            <v>锡膏</v>
          </cell>
          <cell r="F284" t="str">
            <v>日本空调1656电控板</v>
          </cell>
          <cell r="G284">
            <v>0.12333333333333334</v>
          </cell>
          <cell r="H284">
            <v>300</v>
          </cell>
          <cell r="I284">
            <v>37</v>
          </cell>
        </row>
        <row r="285">
          <cell r="A285">
            <v>10880038782</v>
          </cell>
          <cell r="B285" t="str">
            <v xml:space="preserve"> 500323-C2491D-PC G0044 0011801656B</v>
          </cell>
          <cell r="C285">
            <v>10250040889</v>
          </cell>
          <cell r="D285" t="str">
            <v>1*2</v>
          </cell>
          <cell r="E285" t="str">
            <v>锡膏</v>
          </cell>
          <cell r="F285" t="str">
            <v>日本空调1656电控板</v>
          </cell>
          <cell r="G285">
            <v>0.12333333333333334</v>
          </cell>
          <cell r="H285">
            <v>300</v>
          </cell>
          <cell r="I285">
            <v>37</v>
          </cell>
        </row>
        <row r="286">
          <cell r="A286">
            <v>10880031018</v>
          </cell>
          <cell r="B286" t="str">
            <v xml:space="preserve"> 693-C2377A-PC 0011801303  </v>
          </cell>
          <cell r="C286" t="str">
            <v>10250036907/10250036908</v>
          </cell>
          <cell r="D286" t="str">
            <v>1*3</v>
          </cell>
          <cell r="E286" t="str">
            <v>锡膏</v>
          </cell>
          <cell r="F286" t="str">
            <v>空调1303电控板</v>
          </cell>
          <cell r="G286">
            <v>0.18888888888888888</v>
          </cell>
          <cell r="H286">
            <v>120</v>
          </cell>
          <cell r="I286">
            <v>30</v>
          </cell>
        </row>
        <row r="287">
          <cell r="A287">
            <v>10880031185</v>
          </cell>
          <cell r="B287" t="str">
            <v xml:space="preserve">693-C23I5A-PC 0011801071E  </v>
          </cell>
          <cell r="C287" t="str">
            <v>10250036811/10250036812</v>
          </cell>
          <cell r="D287" t="str">
            <v>1*2</v>
          </cell>
          <cell r="E287" t="str">
            <v>锡膏</v>
          </cell>
          <cell r="F287" t="str">
            <v>空调1071E电控板</v>
          </cell>
          <cell r="G287">
            <v>6.6666666666666666E-2</v>
          </cell>
          <cell r="H287">
            <v>450</v>
          </cell>
          <cell r="I287">
            <v>30</v>
          </cell>
        </row>
        <row r="288">
          <cell r="A288">
            <v>10880035169</v>
          </cell>
          <cell r="B288" t="str">
            <v xml:space="preserve"> 693-C23I5B-PC 0011801071K  </v>
          </cell>
          <cell r="C288" t="str">
            <v>10250036811/10250036812</v>
          </cell>
          <cell r="D288" t="str">
            <v>1*2</v>
          </cell>
          <cell r="E288" t="str">
            <v>锡膏</v>
          </cell>
          <cell r="F288" t="str">
            <v>空调1071E电控板</v>
          </cell>
          <cell r="G288">
            <v>6.6666666666666666E-2</v>
          </cell>
          <cell r="H288">
            <v>450</v>
          </cell>
          <cell r="I288">
            <v>30</v>
          </cell>
        </row>
        <row r="289">
          <cell r="A289">
            <v>10880014415</v>
          </cell>
          <cell r="B289" t="str">
            <v xml:space="preserve">693-A2036A-O3 0190400164  </v>
          </cell>
          <cell r="C289" t="str">
            <v>10250026681/10250026688</v>
          </cell>
          <cell r="D289" t="str">
            <v>1*7</v>
          </cell>
          <cell r="E289" t="str">
            <v>锡膏</v>
          </cell>
          <cell r="F289" t="str">
            <v>三根芯净水器电解板</v>
          </cell>
          <cell r="G289">
            <v>9.4722222222222222E-2</v>
          </cell>
          <cell r="H289">
            <v>400</v>
          </cell>
          <cell r="I289">
            <v>33</v>
          </cell>
        </row>
        <row r="290">
          <cell r="A290">
            <v>10880020558</v>
          </cell>
          <cell r="B290" t="str">
            <v xml:space="preserve">693-C2246A-PC 0011801172AG  </v>
          </cell>
          <cell r="C290">
            <v>10250034036</v>
          </cell>
          <cell r="D290" t="str">
            <v>1*1</v>
          </cell>
          <cell r="E290" t="str">
            <v>锡膏</v>
          </cell>
          <cell r="F290" t="str">
            <v>海尔空调电控板</v>
          </cell>
          <cell r="G290">
            <v>0.13333333333333333</v>
          </cell>
          <cell r="H290">
            <v>300</v>
          </cell>
          <cell r="I290">
            <v>40</v>
          </cell>
        </row>
        <row r="291">
          <cell r="A291">
            <v>10880020800</v>
          </cell>
          <cell r="B291" t="str">
            <v>693-C2246AA-PC 0011801172BA</v>
          </cell>
          <cell r="C291" t="str">
            <v>10250034036/10250031949</v>
          </cell>
          <cell r="D291" t="str">
            <v>1*1</v>
          </cell>
          <cell r="E291" t="str">
            <v>锡膏</v>
          </cell>
          <cell r="F291" t="str">
            <v>海尔空调电控板</v>
          </cell>
          <cell r="G291">
            <v>0.13333333333333333</v>
          </cell>
          <cell r="H291">
            <v>300</v>
          </cell>
          <cell r="I291">
            <v>40</v>
          </cell>
        </row>
        <row r="292">
          <cell r="A292">
            <v>10880020802</v>
          </cell>
          <cell r="B292" t="str">
            <v>693-C2246AC-PC 0011801172BD</v>
          </cell>
          <cell r="C292" t="str">
            <v>10250034036/10250031949</v>
          </cell>
          <cell r="D292" t="str">
            <v>1*1</v>
          </cell>
          <cell r="E292" t="str">
            <v>锡膏</v>
          </cell>
          <cell r="F292" t="str">
            <v>海尔空调电控板</v>
          </cell>
          <cell r="G292">
            <v>0.13333333333333333</v>
          </cell>
          <cell r="H292">
            <v>300</v>
          </cell>
          <cell r="I292">
            <v>40</v>
          </cell>
        </row>
        <row r="293">
          <cell r="A293">
            <v>10880022010</v>
          </cell>
          <cell r="B293" t="str">
            <v>693-C2246AH-PC 0011801172BR</v>
          </cell>
          <cell r="C293">
            <v>10250034036</v>
          </cell>
          <cell r="D293" t="str">
            <v>1*1</v>
          </cell>
          <cell r="E293" t="str">
            <v>锡膏</v>
          </cell>
          <cell r="F293" t="str">
            <v>空调电控板</v>
          </cell>
          <cell r="G293">
            <v>0.13333333333333333</v>
          </cell>
          <cell r="H293">
            <v>300</v>
          </cell>
          <cell r="I293">
            <v>40</v>
          </cell>
        </row>
        <row r="294">
          <cell r="A294">
            <v>10880028469</v>
          </cell>
          <cell r="B294" t="str">
            <v>693-C2339A-PC 0011801172CJ</v>
          </cell>
          <cell r="C294">
            <v>10250034036</v>
          </cell>
          <cell r="D294" t="str">
            <v>1*1</v>
          </cell>
          <cell r="E294" t="str">
            <v>锡膏</v>
          </cell>
          <cell r="F294" t="str">
            <v>空调电控板</v>
          </cell>
          <cell r="G294">
            <v>0.13333333333333333</v>
          </cell>
          <cell r="H294">
            <v>300</v>
          </cell>
          <cell r="I294">
            <v>40</v>
          </cell>
        </row>
        <row r="295">
          <cell r="A295">
            <v>10880021269</v>
          </cell>
          <cell r="B295" t="str">
            <v>693-C2246AF-PC 0011801172AV</v>
          </cell>
          <cell r="C295">
            <v>10250034036</v>
          </cell>
          <cell r="D295" t="str">
            <v>1*1</v>
          </cell>
          <cell r="E295" t="str">
            <v>锡膏</v>
          </cell>
          <cell r="F295" t="str">
            <v>空调电控板</v>
          </cell>
          <cell r="G295">
            <v>0.13333333333333333</v>
          </cell>
          <cell r="H295">
            <v>300</v>
          </cell>
          <cell r="I295">
            <v>40</v>
          </cell>
        </row>
        <row r="296">
          <cell r="A296">
            <v>10880030433</v>
          </cell>
          <cell r="B296" t="str">
            <v>693-C23C2A-PC 0011801172CR</v>
          </cell>
          <cell r="C296">
            <v>10250034036</v>
          </cell>
          <cell r="D296" t="str">
            <v>1*1</v>
          </cell>
          <cell r="E296" t="str">
            <v>锡膏</v>
          </cell>
          <cell r="F296" t="str">
            <v>空调电控板</v>
          </cell>
          <cell r="G296">
            <v>0.13333333333333333</v>
          </cell>
          <cell r="H296">
            <v>300</v>
          </cell>
          <cell r="I296">
            <v>40</v>
          </cell>
        </row>
        <row r="297">
          <cell r="A297">
            <v>10880021476</v>
          </cell>
          <cell r="B297" t="str">
            <v>693-C2246AG-PC 0011801172CH</v>
          </cell>
          <cell r="C297">
            <v>10250034036</v>
          </cell>
          <cell r="D297" t="str">
            <v>1*1</v>
          </cell>
          <cell r="E297" t="str">
            <v>锡膏</v>
          </cell>
          <cell r="F297" t="str">
            <v>空调电控板</v>
          </cell>
          <cell r="G297">
            <v>0.13333333333333333</v>
          </cell>
          <cell r="H297">
            <v>300</v>
          </cell>
          <cell r="I297">
            <v>40</v>
          </cell>
        </row>
        <row r="298">
          <cell r="A298">
            <v>10880031097</v>
          </cell>
          <cell r="B298" t="str">
            <v>693-C23G3A-PC 0011801172CW</v>
          </cell>
          <cell r="C298">
            <v>10250034036</v>
          </cell>
          <cell r="D298" t="str">
            <v>1*1</v>
          </cell>
          <cell r="E298" t="str">
            <v>锡膏</v>
          </cell>
          <cell r="F298" t="str">
            <v>空调电控板</v>
          </cell>
          <cell r="G298">
            <v>0.13333333333333333</v>
          </cell>
          <cell r="H298">
            <v>300</v>
          </cell>
          <cell r="I298">
            <v>40</v>
          </cell>
        </row>
        <row r="299">
          <cell r="A299">
            <v>10880031186</v>
          </cell>
          <cell r="B299" t="str">
            <v>693-C23J4B-PC 0011801172CU</v>
          </cell>
          <cell r="C299" t="str">
            <v>10250034036/10250040471/10250040474</v>
          </cell>
          <cell r="D299" t="str">
            <v>1*1</v>
          </cell>
          <cell r="E299" t="str">
            <v>锡膏</v>
          </cell>
          <cell r="F299" t="str">
            <v>空调电控板</v>
          </cell>
          <cell r="G299">
            <v>0.13333333333333333</v>
          </cell>
          <cell r="H299">
            <v>300</v>
          </cell>
          <cell r="I299">
            <v>40</v>
          </cell>
        </row>
        <row r="300">
          <cell r="A300">
            <v>10880034056</v>
          </cell>
          <cell r="B300" t="str">
            <v xml:space="preserve"> 500323-C24L6B-PC 0011801172FD </v>
          </cell>
          <cell r="C300">
            <v>10250042186</v>
          </cell>
          <cell r="D300" t="str">
            <v>1*1</v>
          </cell>
          <cell r="E300" t="str">
            <v>锡膏</v>
          </cell>
          <cell r="F300" t="str">
            <v>空调电控板</v>
          </cell>
          <cell r="G300">
            <v>0.13333333333333333</v>
          </cell>
          <cell r="H300">
            <v>300</v>
          </cell>
          <cell r="I300">
            <v>40</v>
          </cell>
        </row>
        <row r="301">
          <cell r="A301">
            <v>10880035441</v>
          </cell>
          <cell r="B301" t="str">
            <v>693-C2246A-PC G0044 0011801172AG  小批验证用</v>
          </cell>
          <cell r="C301">
            <v>10250043613</v>
          </cell>
          <cell r="D301" t="str">
            <v>1*1</v>
          </cell>
          <cell r="E301" t="str">
            <v>锡膏</v>
          </cell>
          <cell r="F301" t="str">
            <v>空调电控板</v>
          </cell>
          <cell r="G301">
            <v>0.13333333333333333</v>
          </cell>
          <cell r="H301">
            <v>300</v>
          </cell>
          <cell r="I301">
            <v>40</v>
          </cell>
        </row>
        <row r="302">
          <cell r="A302">
            <v>10880035981</v>
          </cell>
          <cell r="B302" t="str">
            <v xml:space="preserve">500323-C24L6G-PC G0044 0011801172DM  </v>
          </cell>
          <cell r="C302" t="str">
            <v>10250044366/10250043613</v>
          </cell>
          <cell r="D302" t="str">
            <v>1*1</v>
          </cell>
          <cell r="E302" t="str">
            <v>锡膏</v>
          </cell>
          <cell r="F302" t="str">
            <v>空调电控板</v>
          </cell>
          <cell r="G302">
            <v>0.13333333333333333</v>
          </cell>
          <cell r="H302">
            <v>300</v>
          </cell>
          <cell r="I302">
            <v>40</v>
          </cell>
        </row>
        <row r="303">
          <cell r="A303">
            <v>10880035982</v>
          </cell>
          <cell r="B303" t="str">
            <v xml:space="preserve">500323-C24L6H-PC G0044 0011801172DL  </v>
          </cell>
          <cell r="C303" t="str">
            <v>10250044366/10250043613</v>
          </cell>
          <cell r="D303" t="str">
            <v>1*1</v>
          </cell>
          <cell r="E303" t="str">
            <v>锡膏</v>
          </cell>
          <cell r="F303" t="str">
            <v>空调电控板</v>
          </cell>
          <cell r="G303">
            <v>0.13333333333333333</v>
          </cell>
          <cell r="H303">
            <v>300</v>
          </cell>
          <cell r="I303">
            <v>40</v>
          </cell>
        </row>
        <row r="304">
          <cell r="A304">
            <v>10880035979</v>
          </cell>
          <cell r="B304" t="str">
            <v>500323-C24L6E-PC G0044 0011801172DK</v>
          </cell>
          <cell r="C304" t="str">
            <v>10250044366/10250043613</v>
          </cell>
          <cell r="D304" t="str">
            <v>1*1</v>
          </cell>
          <cell r="E304" t="str">
            <v>锡膏</v>
          </cell>
          <cell r="F304" t="str">
            <v>空调电控板</v>
          </cell>
          <cell r="G304">
            <v>0.13333333333333333</v>
          </cell>
          <cell r="H304">
            <v>300</v>
          </cell>
          <cell r="I304">
            <v>40</v>
          </cell>
        </row>
        <row r="305">
          <cell r="A305">
            <v>10880034565</v>
          </cell>
          <cell r="B305" t="str">
            <v>500323-C24L6C-PC 0011801172DG</v>
          </cell>
          <cell r="C305" t="str">
            <v>10250044366/10250043613</v>
          </cell>
          <cell r="D305" t="str">
            <v>1*1</v>
          </cell>
          <cell r="E305" t="str">
            <v>锡膏</v>
          </cell>
          <cell r="F305" t="str">
            <v>空调电控板</v>
          </cell>
          <cell r="G305">
            <v>0.13333333333333333</v>
          </cell>
          <cell r="H305">
            <v>300</v>
          </cell>
          <cell r="I305">
            <v>40</v>
          </cell>
        </row>
        <row r="306">
          <cell r="A306">
            <v>10880021612</v>
          </cell>
          <cell r="B306" t="str">
            <v>693-C2270A-PC 0011801583A</v>
          </cell>
          <cell r="C306" t="str">
            <v xml:space="preserve"> 10250035776/10250035778</v>
          </cell>
          <cell r="D306" t="str">
            <v>1*2</v>
          </cell>
          <cell r="E306" t="str">
            <v>红胶</v>
          </cell>
          <cell r="F306" t="str">
            <v>海尔空调内机电控板</v>
          </cell>
          <cell r="G306">
            <v>0.06</v>
          </cell>
          <cell r="H306">
            <v>500</v>
          </cell>
          <cell r="I306">
            <v>30</v>
          </cell>
        </row>
        <row r="307">
          <cell r="A307">
            <v>10880029053</v>
          </cell>
          <cell r="B307" t="str">
            <v>693-B2359A-PC 0011800691AN</v>
          </cell>
          <cell r="C307" t="str">
            <v xml:space="preserve"> 10250035776/10250035778</v>
          </cell>
          <cell r="D307" t="str">
            <v>1*2</v>
          </cell>
          <cell r="E307" t="str">
            <v>红胶</v>
          </cell>
          <cell r="F307" t="str">
            <v>海尔空调内机电控板</v>
          </cell>
          <cell r="G307">
            <v>0.06</v>
          </cell>
          <cell r="H307">
            <v>500</v>
          </cell>
          <cell r="I307">
            <v>30</v>
          </cell>
        </row>
        <row r="308">
          <cell r="A308">
            <v>10880030265</v>
          </cell>
          <cell r="B308" t="str">
            <v xml:space="preserve">693-A2383A-PC 0011800691AH  </v>
          </cell>
          <cell r="C308" t="str">
            <v xml:space="preserve"> 10250035776/10250035778</v>
          </cell>
          <cell r="D308" t="str">
            <v>1*2</v>
          </cell>
          <cell r="E308" t="str">
            <v>红胶</v>
          </cell>
          <cell r="F308" t="str">
            <v>海尔空调内机电控板</v>
          </cell>
          <cell r="G308">
            <v>0.1</v>
          </cell>
          <cell r="H308">
            <v>300</v>
          </cell>
          <cell r="I308">
            <v>30</v>
          </cell>
        </row>
        <row r="309">
          <cell r="A309">
            <v>10880032479</v>
          </cell>
          <cell r="B309" t="str">
            <v xml:space="preserve">693-C2441A-PC  0011801583A    锡膏工艺  </v>
          </cell>
          <cell r="C309" t="str">
            <v>10250038676/10250038677</v>
          </cell>
          <cell r="D309" t="str">
            <v>1*2</v>
          </cell>
          <cell r="E309" t="str">
            <v>锡膏</v>
          </cell>
          <cell r="F309" t="str">
            <v>海尔空调内机电控板</v>
          </cell>
          <cell r="G309">
            <v>6.8888888888888888E-2</v>
          </cell>
          <cell r="H309">
            <v>450</v>
          </cell>
          <cell r="I309">
            <v>31</v>
          </cell>
        </row>
        <row r="310">
          <cell r="A310">
            <v>10880030843</v>
          </cell>
          <cell r="B310" t="str">
            <v>693-B23E9A-PC 0011801583K</v>
          </cell>
          <cell r="C310" t="str">
            <v>10250036448/10250036449/10250038452/10250038453</v>
          </cell>
          <cell r="D310" t="str">
            <v>1*2</v>
          </cell>
          <cell r="E310" t="str">
            <v>锡膏</v>
          </cell>
          <cell r="F310" t="str">
            <v>海尔空调内机电控板</v>
          </cell>
          <cell r="G310">
            <v>5.5999999999999994E-2</v>
          </cell>
          <cell r="H310">
            <v>500</v>
          </cell>
          <cell r="I310">
            <v>28</v>
          </cell>
        </row>
        <row r="311">
          <cell r="A311">
            <v>10880033301</v>
          </cell>
          <cell r="B311" t="str">
            <v xml:space="preserve">500323-C24A5A-PC 0011801583P  </v>
          </cell>
          <cell r="C311" t="str">
            <v>10250038452/10250038453</v>
          </cell>
          <cell r="D311" t="str">
            <v>1*2</v>
          </cell>
          <cell r="E311" t="str">
            <v>锡膏</v>
          </cell>
          <cell r="F311" t="str">
            <v>空调电控板</v>
          </cell>
          <cell r="G311">
            <v>5.5999999999999994E-2</v>
          </cell>
          <cell r="H311">
            <v>500</v>
          </cell>
          <cell r="I311">
            <v>28</v>
          </cell>
        </row>
        <row r="312">
          <cell r="A312">
            <v>10880033523</v>
          </cell>
          <cell r="B312" t="str">
            <v xml:space="preserve">500323-C24A5B-PC 0011801583X  </v>
          </cell>
          <cell r="C312" t="str">
            <v>10250038452/10250038453</v>
          </cell>
          <cell r="D312" t="str">
            <v>1*2</v>
          </cell>
          <cell r="E312" t="str">
            <v>锡膏</v>
          </cell>
          <cell r="F312" t="str">
            <v>空调电控板</v>
          </cell>
          <cell r="G312">
            <v>5.5999999999999994E-2</v>
          </cell>
          <cell r="H312">
            <v>500</v>
          </cell>
          <cell r="I312">
            <v>28</v>
          </cell>
        </row>
        <row r="313">
          <cell r="A313">
            <v>10880034932</v>
          </cell>
          <cell r="B313" t="str">
            <v>500323-C24A5D-PC 0011801583AD</v>
          </cell>
          <cell r="C313" t="str">
            <v>10250038452/10250038453</v>
          </cell>
          <cell r="D313" t="str">
            <v>1*2</v>
          </cell>
          <cell r="E313" t="str">
            <v>锡膏</v>
          </cell>
          <cell r="F313" t="str">
            <v>空调电控板</v>
          </cell>
          <cell r="G313">
            <v>5.5999999999999994E-2</v>
          </cell>
          <cell r="H313">
            <v>500</v>
          </cell>
          <cell r="I313">
            <v>28</v>
          </cell>
        </row>
        <row r="314">
          <cell r="A314">
            <v>10880035119</v>
          </cell>
          <cell r="B314" t="str">
            <v>500323-C24A5F-PC 0011801583AE</v>
          </cell>
          <cell r="C314" t="str">
            <v>10250038452/10250038453</v>
          </cell>
          <cell r="D314" t="str">
            <v>1*2</v>
          </cell>
          <cell r="E314" t="str">
            <v>锡膏</v>
          </cell>
          <cell r="F314" t="str">
            <v>空调电控板</v>
          </cell>
          <cell r="G314">
            <v>5.5999999999999994E-2</v>
          </cell>
          <cell r="H314">
            <v>500</v>
          </cell>
          <cell r="I314">
            <v>28</v>
          </cell>
        </row>
        <row r="315">
          <cell r="A315">
            <v>10880035532</v>
          </cell>
          <cell r="B315" t="str">
            <v xml:space="preserve"> 500323-C24A5G-PC G0044 0011801583AF </v>
          </cell>
          <cell r="C315" t="str">
            <v>10250038452/10250038453</v>
          </cell>
          <cell r="D315" t="str">
            <v>1*2</v>
          </cell>
          <cell r="E315" t="str">
            <v>锡膏</v>
          </cell>
          <cell r="F315" t="str">
            <v>空调电控板</v>
          </cell>
          <cell r="G315">
            <v>5.5999999999999994E-2</v>
          </cell>
          <cell r="H315">
            <v>500</v>
          </cell>
          <cell r="I315">
            <v>28</v>
          </cell>
        </row>
        <row r="316">
          <cell r="A316">
            <v>10880036422</v>
          </cell>
          <cell r="B316" t="str">
            <v xml:space="preserve">500323-C24A5H-PC 0011801583YA  </v>
          </cell>
          <cell r="C316" t="str">
            <v>10250038452/10250038453</v>
          </cell>
          <cell r="D316" t="str">
            <v>1*2</v>
          </cell>
          <cell r="E316" t="str">
            <v>锡膏</v>
          </cell>
          <cell r="F316" t="str">
            <v>空调电控板</v>
          </cell>
          <cell r="G316">
            <v>5.5999999999999994E-2</v>
          </cell>
          <cell r="H316">
            <v>500</v>
          </cell>
          <cell r="I316">
            <v>28</v>
          </cell>
        </row>
        <row r="317">
          <cell r="A317">
            <v>10880033367</v>
          </cell>
          <cell r="B317" t="str">
            <v>500323-C2493A-PC 0011801583R</v>
          </cell>
          <cell r="C317" t="str">
            <v>10250038676/10250038677</v>
          </cell>
          <cell r="D317" t="str">
            <v>1*2</v>
          </cell>
          <cell r="E317" t="str">
            <v>锡膏</v>
          </cell>
          <cell r="F317" t="str">
            <v>海尔空调内机电控板</v>
          </cell>
          <cell r="G317">
            <v>5.5999999999999994E-2</v>
          </cell>
          <cell r="H317">
            <v>500</v>
          </cell>
          <cell r="I317">
            <v>28</v>
          </cell>
        </row>
        <row r="318">
          <cell r="A318">
            <v>10880014363</v>
          </cell>
          <cell r="B318" t="str">
            <v>693-C2038A-D 0190400112A</v>
          </cell>
          <cell r="C318">
            <v>10250024835</v>
          </cell>
          <cell r="D318" t="str">
            <v>1*5</v>
          </cell>
          <cell r="E318" t="str">
            <v>锡膏</v>
          </cell>
          <cell r="F318" t="str">
            <v>净水云蹲600G显示板</v>
          </cell>
          <cell r="G318">
            <v>9.4722222222222222E-2</v>
          </cell>
          <cell r="H318">
            <v>400</v>
          </cell>
          <cell r="I318">
            <v>33</v>
          </cell>
        </row>
        <row r="319">
          <cell r="A319">
            <v>10880014414</v>
          </cell>
          <cell r="B319" t="str">
            <v>693-C2038C-D 0190400112B</v>
          </cell>
          <cell r="C319">
            <v>10250024835</v>
          </cell>
          <cell r="D319" t="str">
            <v>1*5</v>
          </cell>
          <cell r="E319" t="str">
            <v>锡膏</v>
          </cell>
          <cell r="F319" t="str">
            <v>净水云鳟800G显示板</v>
          </cell>
          <cell r="G319">
            <v>9.4722222222222222E-2</v>
          </cell>
          <cell r="H319">
            <v>400</v>
          </cell>
          <cell r="I319">
            <v>33</v>
          </cell>
        </row>
        <row r="320">
          <cell r="A320">
            <v>10880030244</v>
          </cell>
          <cell r="B320" t="str">
            <v>693-C2385A-PC 0190400556</v>
          </cell>
          <cell r="C320" t="str">
            <v xml:space="preserve"> 10250036512/10250036514</v>
          </cell>
          <cell r="D320" t="str">
            <v>1*3</v>
          </cell>
          <cell r="E320" t="str">
            <v>锡膏</v>
          </cell>
          <cell r="F320" t="str">
            <v>净水器556电控板</v>
          </cell>
          <cell r="G320">
            <v>9.722222222222221E-2</v>
          </cell>
          <cell r="H320">
            <v>360</v>
          </cell>
          <cell r="I320">
            <v>35</v>
          </cell>
        </row>
        <row r="321">
          <cell r="A321">
            <v>10880033191</v>
          </cell>
          <cell r="B321" t="str">
            <v>500323-C2497A-PC 0190400556B</v>
          </cell>
          <cell r="C321" t="str">
            <v xml:space="preserve"> 10250036512/10250036514</v>
          </cell>
          <cell r="D321" t="str">
            <v>1*3</v>
          </cell>
          <cell r="E321" t="str">
            <v>锡膏</v>
          </cell>
          <cell r="F321" t="str">
            <v>净水器556电控板</v>
          </cell>
          <cell r="G321">
            <v>9.722222222222221E-2</v>
          </cell>
          <cell r="H321">
            <v>360</v>
          </cell>
          <cell r="I321">
            <v>35</v>
          </cell>
        </row>
        <row r="322">
          <cell r="A322">
            <v>10880031072</v>
          </cell>
          <cell r="B322" t="str">
            <v>2006-C2301A-PC 888000908</v>
          </cell>
          <cell r="C322" t="str">
            <v>10250037559/10250037560/ 10250037561</v>
          </cell>
          <cell r="D322" t="str">
            <v>1*10</v>
          </cell>
          <cell r="E322" t="str">
            <v>锡膏</v>
          </cell>
          <cell r="F322" t="str">
            <v>净水908电控板</v>
          </cell>
          <cell r="G322">
            <v>5.7111111111111112E-2</v>
          </cell>
          <cell r="H322">
            <v>360</v>
          </cell>
          <cell r="I322">
            <v>27</v>
          </cell>
        </row>
        <row r="323">
          <cell r="A323">
            <v>10880018524</v>
          </cell>
          <cell r="B323" t="str">
            <v xml:space="preserve"> 693-A2190A-D 0011800387D  </v>
          </cell>
          <cell r="C323" t="str">
            <v>10250029104/10250029115/10250029116</v>
          </cell>
          <cell r="D323" t="str">
            <v>1*10</v>
          </cell>
          <cell r="E323" t="str">
            <v>锡膏</v>
          </cell>
          <cell r="F323" t="str">
            <v>空调显示板</v>
          </cell>
          <cell r="G323">
            <v>9.1999999999999998E-3</v>
          </cell>
          <cell r="H323">
            <v>2500</v>
          </cell>
          <cell r="I323">
            <v>23</v>
          </cell>
        </row>
        <row r="324">
          <cell r="A324">
            <v>10880029033</v>
          </cell>
          <cell r="B324" t="str">
            <v>693-C2375A-D 0011800387D 合肥专用</v>
          </cell>
          <cell r="C324" t="str">
            <v>10250029104/10250029115/10250029116</v>
          </cell>
          <cell r="D324" t="str">
            <v>1*10</v>
          </cell>
          <cell r="E324" t="str">
            <v>锡膏</v>
          </cell>
          <cell r="F324" t="str">
            <v>空调显示板</v>
          </cell>
          <cell r="G324">
            <v>9.1999999999999998E-3</v>
          </cell>
          <cell r="H324">
            <v>2500</v>
          </cell>
          <cell r="I324">
            <v>23</v>
          </cell>
        </row>
        <row r="325">
          <cell r="A325">
            <v>10880037374</v>
          </cell>
          <cell r="B325" t="str">
            <v xml:space="preserve">600766-A2501A-D G0044 0011800387DHR </v>
          </cell>
          <cell r="C325" t="str">
            <v>10250029104/10250029115/10250029116</v>
          </cell>
          <cell r="D325" t="str">
            <v>1*10</v>
          </cell>
          <cell r="E325" t="str">
            <v>锡膏</v>
          </cell>
          <cell r="F325" t="str">
            <v>空调显示板</v>
          </cell>
          <cell r="G325">
            <v>1.5555555555555557E-2</v>
          </cell>
          <cell r="H325">
            <v>1800</v>
          </cell>
          <cell r="I325">
            <v>28</v>
          </cell>
        </row>
        <row r="326">
          <cell r="A326">
            <v>10880021289</v>
          </cell>
          <cell r="B326" t="str">
            <v>693-B2190F-D 0011800387A</v>
          </cell>
          <cell r="C326" t="str">
            <v>10250032633/10250032635</v>
          </cell>
          <cell r="D326" t="str">
            <v>1*10</v>
          </cell>
          <cell r="E326" t="str">
            <v>红胶</v>
          </cell>
          <cell r="F326" t="str">
            <v>海尔空调显示板</v>
          </cell>
          <cell r="G326">
            <v>2.5000000000000001E-2</v>
          </cell>
          <cell r="H326">
            <v>1000</v>
          </cell>
          <cell r="I326">
            <v>25</v>
          </cell>
        </row>
        <row r="327">
          <cell r="A327">
            <v>10880021105</v>
          </cell>
          <cell r="B327" t="str">
            <v>693-C2216E-D 0011800324</v>
          </cell>
          <cell r="C327" t="str">
            <v xml:space="preserve"> 10250032158/ 10250032159/  10250039938/  10250039939</v>
          </cell>
          <cell r="D327" t="str">
            <v>1*16</v>
          </cell>
          <cell r="E327" t="str">
            <v>红胶</v>
          </cell>
          <cell r="F327" t="str">
            <v>海尔空调显示板</v>
          </cell>
          <cell r="G327">
            <v>2.6000000000000002E-2</v>
          </cell>
          <cell r="H327">
            <v>1000</v>
          </cell>
          <cell r="I327">
            <v>26</v>
          </cell>
        </row>
        <row r="328">
          <cell r="A328">
            <v>10880020637</v>
          </cell>
          <cell r="B328" t="str">
            <v>693-C2216A-D 0011800324S</v>
          </cell>
          <cell r="C328" t="str">
            <v>10250031590/10250031591</v>
          </cell>
          <cell r="D328" t="str">
            <v>1*9</v>
          </cell>
          <cell r="E328" t="str">
            <v>红胶</v>
          </cell>
          <cell r="F328" t="str">
            <v>海尔空调显示板</v>
          </cell>
          <cell r="G328">
            <v>2.7000000000000003E-2</v>
          </cell>
          <cell r="H328">
            <v>1000</v>
          </cell>
          <cell r="I328">
            <v>27</v>
          </cell>
        </row>
        <row r="329">
          <cell r="A329">
            <v>10880031113</v>
          </cell>
          <cell r="B329" t="str">
            <v>693-C23K1A-PC 0011801720</v>
          </cell>
          <cell r="C329">
            <v>10250038070</v>
          </cell>
          <cell r="D329" t="str">
            <v>1*2</v>
          </cell>
          <cell r="E329" t="str">
            <v>锡膏</v>
          </cell>
          <cell r="F329" t="str">
            <v>空调内机1720电控板</v>
          </cell>
          <cell r="G329">
            <v>5.6000000000000008E-2</v>
          </cell>
          <cell r="H329">
            <v>500</v>
          </cell>
          <cell r="I329">
            <v>28</v>
          </cell>
        </row>
        <row r="330">
          <cell r="A330">
            <v>10880031114</v>
          </cell>
          <cell r="B330" t="str">
            <v>693-C23K1B-PC 0011801720A</v>
          </cell>
          <cell r="C330">
            <v>10250038070</v>
          </cell>
          <cell r="D330" t="str">
            <v>1*2</v>
          </cell>
          <cell r="E330" t="str">
            <v>锡膏</v>
          </cell>
          <cell r="F330" t="str">
            <v>空调内机1720A电控板</v>
          </cell>
          <cell r="G330">
            <v>5.6000000000000008E-2</v>
          </cell>
          <cell r="H330">
            <v>500</v>
          </cell>
          <cell r="I330">
            <v>28</v>
          </cell>
        </row>
        <row r="331">
          <cell r="A331">
            <v>10880031115</v>
          </cell>
          <cell r="B331" t="str">
            <v xml:space="preserve">693-C23K1C-PC 0011801720B  </v>
          </cell>
          <cell r="C331">
            <v>10250038070</v>
          </cell>
          <cell r="D331" t="str">
            <v>1*2</v>
          </cell>
          <cell r="E331" t="str">
            <v>锡膏</v>
          </cell>
          <cell r="F331" t="str">
            <v>空调内机1720B电控板</v>
          </cell>
          <cell r="G331">
            <v>5.6000000000000008E-2</v>
          </cell>
          <cell r="H331">
            <v>500</v>
          </cell>
          <cell r="I331">
            <v>28</v>
          </cell>
        </row>
        <row r="332">
          <cell r="A332">
            <v>10880021796</v>
          </cell>
          <cell r="B332" t="str">
            <v>693-B2272A-D 0031800374</v>
          </cell>
          <cell r="C332" t="str">
            <v>10250032833/ 10250033709/10250033758</v>
          </cell>
          <cell r="D332" t="str">
            <v>1*4</v>
          </cell>
          <cell r="E332" t="str">
            <v>锡膏</v>
          </cell>
          <cell r="F332" t="str">
            <v>海尔洗衣机显示板</v>
          </cell>
          <cell r="G332">
            <v>0.22777777777777777</v>
          </cell>
          <cell r="H332">
            <v>360</v>
          </cell>
          <cell r="I332">
            <v>42</v>
          </cell>
        </row>
        <row r="333">
          <cell r="A333">
            <v>10880020031</v>
          </cell>
          <cell r="B333" t="str">
            <v>693-C2238A-PC 0011800977K</v>
          </cell>
          <cell r="C333">
            <v>10250033505</v>
          </cell>
          <cell r="D333" t="str">
            <v>1*2</v>
          </cell>
          <cell r="E333" t="str">
            <v>锡膏</v>
          </cell>
          <cell r="F333" t="str">
            <v>空调电控板</v>
          </cell>
          <cell r="G333">
            <v>5.6888888888888892E-2</v>
          </cell>
          <cell r="H333">
            <v>500</v>
          </cell>
          <cell r="I333">
            <v>28</v>
          </cell>
        </row>
        <row r="334">
          <cell r="A334">
            <v>10880030203</v>
          </cell>
          <cell r="B334" t="str">
            <v>693-C23C8A-PC 0011800977T</v>
          </cell>
          <cell r="C334">
            <v>10250033505</v>
          </cell>
          <cell r="D334" t="str">
            <v>1*2</v>
          </cell>
          <cell r="E334" t="str">
            <v>锡膏</v>
          </cell>
          <cell r="F334" t="str">
            <v>空调电控板</v>
          </cell>
          <cell r="G334">
            <v>5.6888888888888892E-2</v>
          </cell>
          <cell r="H334">
            <v>500</v>
          </cell>
          <cell r="I334">
            <v>28</v>
          </cell>
        </row>
        <row r="335">
          <cell r="A335">
            <v>10880027924</v>
          </cell>
          <cell r="B335" t="str">
            <v>693-C2317A-PC 0011800977P</v>
          </cell>
          <cell r="C335">
            <v>10250032822</v>
          </cell>
          <cell r="D335" t="str">
            <v>1*2</v>
          </cell>
          <cell r="E335" t="str">
            <v>锡膏</v>
          </cell>
          <cell r="F335" t="str">
            <v>海尔空调电控板</v>
          </cell>
          <cell r="G335">
            <v>5.6888888888888892E-2</v>
          </cell>
          <cell r="H335">
            <v>500</v>
          </cell>
          <cell r="I335">
            <v>28</v>
          </cell>
        </row>
        <row r="336">
          <cell r="A336">
            <v>10880027925</v>
          </cell>
          <cell r="B336" t="str">
            <v>693-C2317B-PC 0011800977R</v>
          </cell>
          <cell r="C336">
            <v>10250032822</v>
          </cell>
          <cell r="D336" t="str">
            <v>1*2</v>
          </cell>
          <cell r="E336" t="str">
            <v>锡膏</v>
          </cell>
          <cell r="F336" t="str">
            <v>海尔空调电控板</v>
          </cell>
          <cell r="G336">
            <v>5.6888888888888892E-2</v>
          </cell>
          <cell r="H336">
            <v>500</v>
          </cell>
          <cell r="I336">
            <v>28</v>
          </cell>
        </row>
        <row r="337">
          <cell r="A337">
            <v>10880021545</v>
          </cell>
          <cell r="B337" t="str">
            <v>693-C2238B-PC 0011800977S</v>
          </cell>
          <cell r="C337">
            <v>10250032822</v>
          </cell>
          <cell r="D337" t="str">
            <v>1*2</v>
          </cell>
          <cell r="E337" t="str">
            <v>锡膏</v>
          </cell>
          <cell r="F337" t="str">
            <v>海尔空调电控板</v>
          </cell>
          <cell r="G337">
            <v>5.6888888888888892E-2</v>
          </cell>
          <cell r="H337">
            <v>500</v>
          </cell>
          <cell r="I337">
            <v>28</v>
          </cell>
        </row>
        <row r="338">
          <cell r="A338">
            <v>10880028881</v>
          </cell>
          <cell r="B338" t="str">
            <v>693-C2357A-PC 0011800980K</v>
          </cell>
          <cell r="C338">
            <v>10250033320</v>
          </cell>
          <cell r="D338" t="str">
            <v>1*2</v>
          </cell>
          <cell r="E338" t="str">
            <v>锡膏</v>
          </cell>
          <cell r="F338" t="str">
            <v>海尔空调内机电控板</v>
          </cell>
          <cell r="G338">
            <v>8.5714285714285715E-2</v>
          </cell>
          <cell r="H338">
            <v>350</v>
          </cell>
          <cell r="I338">
            <v>30</v>
          </cell>
        </row>
        <row r="339">
          <cell r="A339">
            <v>10880022472</v>
          </cell>
          <cell r="B339" t="str">
            <v>693-C2304A-PC 0011800980D</v>
          </cell>
          <cell r="C339" t="str">
            <v xml:space="preserve">10250033320/10250033321 </v>
          </cell>
          <cell r="D339" t="str">
            <v>1*2</v>
          </cell>
          <cell r="E339" t="str">
            <v>锡膏</v>
          </cell>
          <cell r="F339" t="str">
            <v>海尔空调内机电控板</v>
          </cell>
          <cell r="G339">
            <v>8.5714285714285715E-2</v>
          </cell>
          <cell r="H339">
            <v>350</v>
          </cell>
          <cell r="I339">
            <v>30</v>
          </cell>
        </row>
        <row r="340">
          <cell r="A340">
            <v>10880029054</v>
          </cell>
          <cell r="B340" t="str">
            <v>693-C2373A-PC  0011800980E</v>
          </cell>
          <cell r="C340">
            <v>10250033320</v>
          </cell>
          <cell r="D340" t="str">
            <v>1*2</v>
          </cell>
          <cell r="E340" t="str">
            <v>锡膏</v>
          </cell>
          <cell r="F340" t="str">
            <v>海尔空调内机电控板</v>
          </cell>
          <cell r="G340">
            <v>8.5714285714285715E-2</v>
          </cell>
          <cell r="H340">
            <v>350</v>
          </cell>
          <cell r="I340">
            <v>30</v>
          </cell>
        </row>
        <row r="341">
          <cell r="A341">
            <v>10880029055</v>
          </cell>
          <cell r="B341" t="str">
            <v>693-C2373B-PC  0011800980F</v>
          </cell>
          <cell r="C341">
            <v>10250033320</v>
          </cell>
          <cell r="D341" t="str">
            <v>1*2</v>
          </cell>
          <cell r="E341" t="str">
            <v>锡膏</v>
          </cell>
          <cell r="F341" t="str">
            <v>海尔空调内机电控板</v>
          </cell>
          <cell r="G341">
            <v>8.5714285714285715E-2</v>
          </cell>
          <cell r="H341">
            <v>350</v>
          </cell>
          <cell r="I341">
            <v>30</v>
          </cell>
        </row>
        <row r="342">
          <cell r="A342">
            <v>10880020556</v>
          </cell>
          <cell r="B342" t="str">
            <v>693-C2250A-PC 0011800980J</v>
          </cell>
          <cell r="C342" t="str">
            <v xml:space="preserve">10250033320/10250033321 </v>
          </cell>
          <cell r="D342" t="str">
            <v>1*2</v>
          </cell>
          <cell r="E342" t="str">
            <v>锡膏</v>
          </cell>
          <cell r="F342" t="str">
            <v>海尔空调电控板</v>
          </cell>
          <cell r="G342">
            <v>8.5714285714285715E-2</v>
          </cell>
          <cell r="H342">
            <v>350</v>
          </cell>
          <cell r="I342">
            <v>30</v>
          </cell>
        </row>
        <row r="343">
          <cell r="A343">
            <v>10880030123</v>
          </cell>
          <cell r="B343" t="str">
            <v>693-C2343A-D 0011801736</v>
          </cell>
          <cell r="C343" t="str">
            <v>10250036419/10250036420</v>
          </cell>
          <cell r="D343" t="str">
            <v>1*3</v>
          </cell>
          <cell r="E343" t="str">
            <v>锡膏</v>
          </cell>
          <cell r="F343" t="str">
            <v>海尔空调显示板</v>
          </cell>
          <cell r="G343">
            <v>4.1794871794871798E-2</v>
          </cell>
          <cell r="H343">
            <v>650</v>
          </cell>
          <cell r="I343">
            <v>27</v>
          </cell>
        </row>
        <row r="344">
          <cell r="A344">
            <v>10880030124</v>
          </cell>
          <cell r="B344" t="str">
            <v>693-C2378A-D 0011801737</v>
          </cell>
          <cell r="C344" t="str">
            <v>10250035660/10250035661</v>
          </cell>
          <cell r="D344" t="str">
            <v>1*3</v>
          </cell>
          <cell r="E344" t="str">
            <v>锡膏</v>
          </cell>
          <cell r="F344" t="str">
            <v>海尔空调显示板</v>
          </cell>
          <cell r="G344">
            <v>5.1025641025641028E-2</v>
          </cell>
          <cell r="H344">
            <v>650</v>
          </cell>
          <cell r="I344">
            <v>33</v>
          </cell>
        </row>
        <row r="345">
          <cell r="A345">
            <v>10880030188</v>
          </cell>
          <cell r="B345" t="str">
            <v>693-C2344C-PC 0011801737A</v>
          </cell>
          <cell r="C345" t="str">
            <v>10250035660/10250035661</v>
          </cell>
          <cell r="D345" t="str">
            <v>1*3</v>
          </cell>
          <cell r="E345" t="str">
            <v>锡膏</v>
          </cell>
          <cell r="F345" t="str">
            <v>海尔空调电控板</v>
          </cell>
          <cell r="G345">
            <v>5.1025641025641028E-2</v>
          </cell>
          <cell r="H345">
            <v>650</v>
          </cell>
          <cell r="I345">
            <v>33</v>
          </cell>
        </row>
        <row r="346">
          <cell r="A346">
            <v>10880033456</v>
          </cell>
          <cell r="B346" t="str">
            <v>500323-C24B2A-D 0011801737B</v>
          </cell>
          <cell r="C346" t="str">
            <v>10250040371/10250040426</v>
          </cell>
          <cell r="D346" t="str">
            <v>1*3</v>
          </cell>
          <cell r="E346" t="str">
            <v>锡膏</v>
          </cell>
          <cell r="F346" t="str">
            <v>海尔空调电控板</v>
          </cell>
          <cell r="G346">
            <v>5.1025641025641028E-2</v>
          </cell>
          <cell r="H346">
            <v>650</v>
          </cell>
          <cell r="I346">
            <v>33</v>
          </cell>
        </row>
        <row r="347">
          <cell r="A347">
            <v>10880029106</v>
          </cell>
          <cell r="B347" t="str">
            <v>693-C2360A-D 0011800495Z</v>
          </cell>
          <cell r="C347" t="str">
            <v>10250034870/10250034871</v>
          </cell>
          <cell r="D347" t="str">
            <v>1*2</v>
          </cell>
          <cell r="E347" t="str">
            <v>红胶</v>
          </cell>
          <cell r="F347" t="str">
            <v>海尔空调显示板</v>
          </cell>
          <cell r="G347">
            <v>5.7999999999999996E-2</v>
          </cell>
          <cell r="H347">
            <v>500</v>
          </cell>
          <cell r="I347">
            <v>29</v>
          </cell>
        </row>
        <row r="348">
          <cell r="A348">
            <v>10880030934</v>
          </cell>
          <cell r="B348" t="str">
            <v>693-C2371A-D 0190400377</v>
          </cell>
          <cell r="C348" t="str">
            <v>10250037181/10250037182</v>
          </cell>
          <cell r="D348" t="str">
            <v>1*4</v>
          </cell>
          <cell r="E348" t="str">
            <v>锡膏</v>
          </cell>
          <cell r="F348" t="str">
            <v>净水377A显示板</v>
          </cell>
          <cell r="G348">
            <v>4.6666666666666669E-2</v>
          </cell>
          <cell r="H348">
            <v>600</v>
          </cell>
          <cell r="I348">
            <v>28</v>
          </cell>
        </row>
        <row r="349">
          <cell r="A349">
            <v>10880030936</v>
          </cell>
          <cell r="B349" t="str">
            <v>693-C2371B-D 0190400377A</v>
          </cell>
          <cell r="C349" t="str">
            <v>10250037181/10250037182</v>
          </cell>
          <cell r="D349" t="str">
            <v>1*4</v>
          </cell>
          <cell r="E349" t="str">
            <v>锡膏</v>
          </cell>
          <cell r="F349" t="str">
            <v>净水377A显示板</v>
          </cell>
          <cell r="G349">
            <v>4.6666666666666669E-2</v>
          </cell>
          <cell r="H349">
            <v>600</v>
          </cell>
          <cell r="I349">
            <v>28</v>
          </cell>
        </row>
        <row r="350">
          <cell r="A350">
            <v>10880012796</v>
          </cell>
          <cell r="B350" t="str">
            <v xml:space="preserve"> 693-C20018B-PC 0011800933S </v>
          </cell>
          <cell r="C350" t="str">
            <v>10250024366/10250024367</v>
          </cell>
          <cell r="D350" t="str">
            <v>1*1</v>
          </cell>
          <cell r="E350" t="str">
            <v>锡膏</v>
          </cell>
          <cell r="F350" t="str">
            <v>空调933S变频电控板</v>
          </cell>
          <cell r="G350">
            <v>0.12173913043478261</v>
          </cell>
          <cell r="H350">
            <v>230</v>
          </cell>
          <cell r="I350">
            <v>28</v>
          </cell>
        </row>
        <row r="351">
          <cell r="A351">
            <v>10880012795</v>
          </cell>
          <cell r="B351" t="str">
            <v>693-C20018A-PC 0011800933Y</v>
          </cell>
          <cell r="C351" t="str">
            <v>10250024366/10250024367</v>
          </cell>
          <cell r="D351" t="str">
            <v>1*1</v>
          </cell>
          <cell r="E351" t="str">
            <v>锡膏</v>
          </cell>
          <cell r="F351" t="str">
            <v>空调933Y变频电控板</v>
          </cell>
          <cell r="G351">
            <v>0.12173913043478261</v>
          </cell>
          <cell r="H351">
            <v>230</v>
          </cell>
          <cell r="I351">
            <v>28</v>
          </cell>
        </row>
        <row r="352">
          <cell r="A352">
            <v>10880031599</v>
          </cell>
          <cell r="B352" t="str">
            <v xml:space="preserve">693-C2413A-PC 0181800103  </v>
          </cell>
          <cell r="C352" t="str">
            <v>10250037440/10250037441/10250037442</v>
          </cell>
          <cell r="D352" t="str">
            <v>1*6</v>
          </cell>
          <cell r="E352" t="str">
            <v>锡膏</v>
          </cell>
          <cell r="F352" t="str">
            <v>海尔干衣机103电控板</v>
          </cell>
          <cell r="G352">
            <v>7.3333333333333334E-2</v>
          </cell>
          <cell r="H352">
            <v>450</v>
          </cell>
          <cell r="I352">
            <v>33</v>
          </cell>
        </row>
        <row r="353">
          <cell r="A353">
            <v>10880034669</v>
          </cell>
          <cell r="B353" t="str">
            <v>693-C2413A-PC 0181800103 加水泥电阻</v>
          </cell>
          <cell r="C353" t="str">
            <v>10250037440/10250037441/10250037442</v>
          </cell>
          <cell r="D353" t="str">
            <v>1*6</v>
          </cell>
          <cell r="E353" t="str">
            <v>锡膏</v>
          </cell>
          <cell r="F353" t="str">
            <v>海尔干衣机103电控板</v>
          </cell>
          <cell r="G353">
            <v>5.7777777777777782E-2</v>
          </cell>
          <cell r="H353">
            <v>800</v>
          </cell>
          <cell r="I353">
            <v>43</v>
          </cell>
        </row>
        <row r="354">
          <cell r="A354">
            <v>10880022471</v>
          </cell>
          <cell r="B354" t="str">
            <v xml:space="preserve">1323-C2302A-PC 0011801644  </v>
          </cell>
          <cell r="C354" t="str">
            <v>10250039168/10250039169</v>
          </cell>
          <cell r="D354" t="str">
            <v>1*2</v>
          </cell>
          <cell r="E354" t="str">
            <v>锡膏</v>
          </cell>
          <cell r="F354" t="str">
            <v>海尔空调窗机电控板</v>
          </cell>
          <cell r="G354">
            <v>0.11785714285714287</v>
          </cell>
          <cell r="H354">
            <v>280</v>
          </cell>
          <cell r="I354">
            <v>33</v>
          </cell>
        </row>
        <row r="355">
          <cell r="A355">
            <v>10880020048</v>
          </cell>
          <cell r="B355" t="str">
            <v>693-C2203A-PC 0011801327</v>
          </cell>
          <cell r="C355" t="str">
            <v>10250031453/10250031454</v>
          </cell>
          <cell r="D355" t="str">
            <v>1*4</v>
          </cell>
          <cell r="E355" t="str">
            <v>锡膏</v>
          </cell>
          <cell r="F355" t="str">
            <v>海尔空调电控板</v>
          </cell>
          <cell r="G355">
            <v>8.5000000000000006E-2</v>
          </cell>
          <cell r="H355">
            <v>400</v>
          </cell>
          <cell r="I355">
            <v>34</v>
          </cell>
        </row>
        <row r="356">
          <cell r="A356">
            <v>10880031871</v>
          </cell>
          <cell r="B356" t="str">
            <v>693-C2412A-PC 0041801687</v>
          </cell>
          <cell r="C356">
            <v>10250039370</v>
          </cell>
          <cell r="D356" t="str">
            <v>1*3</v>
          </cell>
          <cell r="E356" t="str">
            <v>锡膏</v>
          </cell>
          <cell r="F356" t="str">
            <v>海尔太阳能热水器电控板</v>
          </cell>
          <cell r="G356">
            <v>0.15500000000000003</v>
          </cell>
          <cell r="H356">
            <v>200</v>
          </cell>
          <cell r="I356">
            <v>31</v>
          </cell>
        </row>
        <row r="357">
          <cell r="A357">
            <v>10880029079</v>
          </cell>
          <cell r="B357" t="str">
            <v>693-C2362A-D 0011801100</v>
          </cell>
          <cell r="C357" t="str">
            <v>10250035728/10250035729</v>
          </cell>
          <cell r="D357" t="str">
            <v>1*12</v>
          </cell>
          <cell r="E357" t="str">
            <v>锡膏</v>
          </cell>
          <cell r="F357" t="str">
            <v>海尔空调挂机显示板</v>
          </cell>
          <cell r="G357">
            <v>7.4999999999999997E-3</v>
          </cell>
          <cell r="H357">
            <v>2000</v>
          </cell>
          <cell r="I357">
            <v>15</v>
          </cell>
        </row>
        <row r="358">
          <cell r="A358">
            <v>10880022470</v>
          </cell>
          <cell r="B358" t="str">
            <v xml:space="preserve">693-B2301A-PC  0041801545  </v>
          </cell>
          <cell r="C358">
            <v>10250035770</v>
          </cell>
          <cell r="D358" t="str">
            <v>1*1</v>
          </cell>
          <cell r="E358" t="str">
            <v>锡膏</v>
          </cell>
          <cell r="F358" t="str">
            <v>净水主变一体板电控板</v>
          </cell>
          <cell r="G358">
            <v>0.21000000000000002</v>
          </cell>
          <cell r="H358">
            <v>200</v>
          </cell>
          <cell r="I358">
            <v>42</v>
          </cell>
        </row>
        <row r="359">
          <cell r="A359">
            <v>10880031461</v>
          </cell>
          <cell r="B359" t="str">
            <v xml:space="preserve">693-B2301B-PC 0041801545D  </v>
          </cell>
          <cell r="C359">
            <v>10250035770</v>
          </cell>
          <cell r="D359" t="str">
            <v>1*1</v>
          </cell>
          <cell r="E359" t="str">
            <v>锡膏</v>
          </cell>
          <cell r="F359" t="str">
            <v>净水主变一体板电控板</v>
          </cell>
          <cell r="G359">
            <v>0.20500000000000002</v>
          </cell>
          <cell r="H359">
            <v>200</v>
          </cell>
          <cell r="I359">
            <v>41</v>
          </cell>
        </row>
        <row r="360">
          <cell r="A360">
            <v>10880031869</v>
          </cell>
          <cell r="B360" t="str">
            <v xml:space="preserve"> 693-B2301C-PC 0041801545A  </v>
          </cell>
          <cell r="C360">
            <v>10250035770</v>
          </cell>
          <cell r="D360" t="str">
            <v>1*1</v>
          </cell>
          <cell r="E360" t="str">
            <v>锡膏</v>
          </cell>
          <cell r="F360" t="str">
            <v>净水主变一体板电控板</v>
          </cell>
          <cell r="G360">
            <v>0.21000000000000002</v>
          </cell>
          <cell r="H360">
            <v>200</v>
          </cell>
          <cell r="I360">
            <v>42</v>
          </cell>
        </row>
        <row r="361">
          <cell r="A361">
            <v>10880031870</v>
          </cell>
          <cell r="B361" t="str">
            <v xml:space="preserve">693-B2301D-PC 0041801545C  </v>
          </cell>
          <cell r="C361">
            <v>10250035770</v>
          </cell>
          <cell r="D361" t="str">
            <v>1*1</v>
          </cell>
          <cell r="E361" t="str">
            <v>锡膏</v>
          </cell>
          <cell r="F361" t="str">
            <v>净水主变一体板电控板</v>
          </cell>
          <cell r="G361">
            <v>0.21000000000000002</v>
          </cell>
          <cell r="H361">
            <v>200</v>
          </cell>
          <cell r="I361">
            <v>42</v>
          </cell>
        </row>
        <row r="362">
          <cell r="A362">
            <v>10880030334</v>
          </cell>
          <cell r="B362" t="str">
            <v>693-C23B7A-PC 0151800228CA</v>
          </cell>
          <cell r="C362">
            <v>10250039933</v>
          </cell>
          <cell r="D362" t="str">
            <v>1*2</v>
          </cell>
          <cell r="E362" t="str">
            <v>锡膏</v>
          </cell>
          <cell r="F362" t="str">
            <v>空调228CA电控板</v>
          </cell>
          <cell r="G362">
            <v>0.15769230769230769</v>
          </cell>
          <cell r="H362">
            <v>260</v>
          </cell>
          <cell r="I362">
            <v>41</v>
          </cell>
        </row>
        <row r="363">
          <cell r="A363">
            <v>10880033745</v>
          </cell>
          <cell r="B363" t="str">
            <v>693-C2328F-PC 0190400534AA</v>
          </cell>
          <cell r="C363" t="str">
            <v>10250036052/10250036053</v>
          </cell>
          <cell r="D363" t="str">
            <v>1*3</v>
          </cell>
          <cell r="E363" t="str">
            <v>锡膏</v>
          </cell>
          <cell r="F363" t="str">
            <v>净水主变一体板电控板</v>
          </cell>
          <cell r="G363">
            <v>0.11499999999999999</v>
          </cell>
          <cell r="H363">
            <v>400</v>
          </cell>
          <cell r="I363">
            <v>34</v>
          </cell>
        </row>
        <row r="364">
          <cell r="A364">
            <v>10880032885</v>
          </cell>
          <cell r="B364" t="str">
            <v>693-C2434A-PC 0031800138R</v>
          </cell>
          <cell r="C364" t="str">
            <v>10250040113/ 10250040114</v>
          </cell>
          <cell r="D364" t="str">
            <v>1*1</v>
          </cell>
          <cell r="E364" t="str">
            <v>锡膏</v>
          </cell>
          <cell r="F364" t="str">
            <v>洗衣机电控板</v>
          </cell>
          <cell r="G364">
            <v>0.14166666666666666</v>
          </cell>
          <cell r="H364">
            <v>120</v>
          </cell>
          <cell r="I364">
            <v>34</v>
          </cell>
        </row>
        <row r="365">
          <cell r="A365">
            <v>10880030335</v>
          </cell>
          <cell r="B365" t="str">
            <v>693-C23B8A-PC 0151800561CA</v>
          </cell>
          <cell r="C365">
            <v>10250033566</v>
          </cell>
          <cell r="D365" t="str">
            <v>1*2</v>
          </cell>
          <cell r="E365" t="str">
            <v>锡膏</v>
          </cell>
          <cell r="F365" t="str">
            <v>空调电控板</v>
          </cell>
          <cell r="G365">
            <v>0.14333333333333331</v>
          </cell>
          <cell r="H365">
            <v>300</v>
          </cell>
          <cell r="I365">
            <v>43</v>
          </cell>
        </row>
        <row r="366">
          <cell r="A366">
            <v>10880029108</v>
          </cell>
          <cell r="B366" t="str">
            <v>693-B2364A-D 0011801112H</v>
          </cell>
          <cell r="C366" t="str">
            <v>10250034872/10250034873</v>
          </cell>
          <cell r="D366" t="str">
            <v>1*3</v>
          </cell>
          <cell r="E366" t="str">
            <v>锡膏</v>
          </cell>
          <cell r="F366" t="str">
            <v>海尔空调显示板</v>
          </cell>
          <cell r="G366">
            <v>5.1666666666666666E-2</v>
          </cell>
          <cell r="H366">
            <v>600</v>
          </cell>
          <cell r="I366">
            <v>31</v>
          </cell>
        </row>
        <row r="367">
          <cell r="A367">
            <v>10880033329</v>
          </cell>
          <cell r="B367" t="str">
            <v>500323-C24A9A-PC 0011801490S</v>
          </cell>
          <cell r="C367" t="str">
            <v>10250039662/10250039694/10250039695</v>
          </cell>
          <cell r="D367" t="str">
            <v>1*2</v>
          </cell>
          <cell r="E367" t="str">
            <v>锡膏</v>
          </cell>
          <cell r="F367" t="str">
            <v>空调电控板</v>
          </cell>
          <cell r="G367">
            <v>9.4285714285714292E-2</v>
          </cell>
          <cell r="H367">
            <v>350</v>
          </cell>
          <cell r="I367">
            <v>33</v>
          </cell>
        </row>
        <row r="368">
          <cell r="A368">
            <v>10880033136</v>
          </cell>
          <cell r="B368" t="str">
            <v>500323-B24A6C-PC 0011801490E</v>
          </cell>
          <cell r="C368" t="str">
            <v>10250039662/10250039694</v>
          </cell>
          <cell r="D368" t="str">
            <v>1*2</v>
          </cell>
          <cell r="E368" t="str">
            <v>锡膏</v>
          </cell>
          <cell r="F368" t="str">
            <v>空调电控板</v>
          </cell>
          <cell r="G368">
            <v>9.4285714285714292E-2</v>
          </cell>
          <cell r="H368">
            <v>350</v>
          </cell>
          <cell r="I368">
            <v>33</v>
          </cell>
        </row>
        <row r="369">
          <cell r="A369">
            <v>10880033137</v>
          </cell>
          <cell r="B369" t="str">
            <v>500323-B24A6D-PC 0011801490F</v>
          </cell>
          <cell r="C369" t="str">
            <v>10250039694/10250039695</v>
          </cell>
          <cell r="D369" t="str">
            <v>1*2</v>
          </cell>
          <cell r="E369" t="str">
            <v>锡膏</v>
          </cell>
          <cell r="F369" t="str">
            <v>空调电控板</v>
          </cell>
          <cell r="G369">
            <v>9.4285714285714292E-2</v>
          </cell>
          <cell r="H369">
            <v>350</v>
          </cell>
          <cell r="I369">
            <v>33</v>
          </cell>
        </row>
        <row r="370">
          <cell r="A370">
            <v>10880033134</v>
          </cell>
          <cell r="B370" t="str">
            <v>500323-B24A6A-PC 0011801490B</v>
          </cell>
          <cell r="C370">
            <v>10250039662</v>
          </cell>
          <cell r="D370" t="str">
            <v>1*2</v>
          </cell>
          <cell r="E370" t="str">
            <v>锡膏</v>
          </cell>
          <cell r="F370" t="str">
            <v>空调电控板</v>
          </cell>
          <cell r="G370">
            <v>9.4285714285714292E-2</v>
          </cell>
          <cell r="H370">
            <v>350</v>
          </cell>
          <cell r="I370">
            <v>33</v>
          </cell>
        </row>
        <row r="371">
          <cell r="A371">
            <v>10880033135</v>
          </cell>
          <cell r="B371" t="str">
            <v xml:space="preserve">500323-B24A6B-PC 0011801490D  </v>
          </cell>
          <cell r="C371">
            <v>10250039695</v>
          </cell>
          <cell r="D371" t="str">
            <v>1*2</v>
          </cell>
          <cell r="E371" t="str">
            <v>锡膏</v>
          </cell>
          <cell r="F371" t="str">
            <v>空调电控板</v>
          </cell>
          <cell r="G371">
            <v>9.4285714285714292E-2</v>
          </cell>
          <cell r="H371">
            <v>350</v>
          </cell>
          <cell r="I371">
            <v>33</v>
          </cell>
        </row>
        <row r="372">
          <cell r="A372">
            <v>10880033585</v>
          </cell>
          <cell r="B372" t="str">
            <v>500323-B24A6H-PC 0011801490Y</v>
          </cell>
          <cell r="C372" t="str">
            <v>10250041119/10250040068/10250040069</v>
          </cell>
          <cell r="D372" t="str">
            <v>1*2</v>
          </cell>
          <cell r="E372" t="str">
            <v>锡膏</v>
          </cell>
          <cell r="F372" t="str">
            <v>空调电控板</v>
          </cell>
          <cell r="G372">
            <v>9.4285714285714292E-2</v>
          </cell>
          <cell r="H372">
            <v>350</v>
          </cell>
          <cell r="I372">
            <v>33</v>
          </cell>
        </row>
        <row r="373">
          <cell r="A373">
            <v>10880034573</v>
          </cell>
          <cell r="B373" t="str">
            <v>500323-C24N9D-PC 0011801490Z</v>
          </cell>
          <cell r="C373" t="str">
            <v>10250039662/10250039694/10250039695/10250041125</v>
          </cell>
          <cell r="D373" t="str">
            <v>1*2</v>
          </cell>
          <cell r="E373" t="str">
            <v>锡膏</v>
          </cell>
          <cell r="F373" t="str">
            <v>空调电控板</v>
          </cell>
          <cell r="G373">
            <v>9.4285714285714292E-2</v>
          </cell>
          <cell r="H373">
            <v>350</v>
          </cell>
          <cell r="I373">
            <v>33</v>
          </cell>
        </row>
        <row r="374">
          <cell r="A374">
            <v>10880034956</v>
          </cell>
          <cell r="B374" t="str">
            <v xml:space="preserve">500323-C24N9G-PC 0011801490AV  </v>
          </cell>
          <cell r="C374">
            <v>10250041125</v>
          </cell>
          <cell r="D374" t="str">
            <v>1*2</v>
          </cell>
          <cell r="E374" t="str">
            <v>锡膏</v>
          </cell>
          <cell r="F374" t="str">
            <v>空调电控板</v>
          </cell>
          <cell r="G374">
            <v>9.4285714285714292E-2</v>
          </cell>
          <cell r="H374">
            <v>350</v>
          </cell>
          <cell r="I374">
            <v>33</v>
          </cell>
        </row>
        <row r="375">
          <cell r="A375">
            <v>10880034957</v>
          </cell>
          <cell r="B375" t="str">
            <v>500323-C24N9H-PC 0011801490AZ</v>
          </cell>
          <cell r="C375">
            <v>10250041125</v>
          </cell>
          <cell r="D375" t="str">
            <v>1*2</v>
          </cell>
          <cell r="E375" t="str">
            <v>锡膏</v>
          </cell>
          <cell r="F375" t="str">
            <v>空调电控板</v>
          </cell>
          <cell r="G375">
            <v>9.4285714285714292E-2</v>
          </cell>
          <cell r="H375">
            <v>350</v>
          </cell>
          <cell r="I375">
            <v>33</v>
          </cell>
        </row>
        <row r="376">
          <cell r="A376">
            <v>10880034958</v>
          </cell>
          <cell r="B376" t="str">
            <v xml:space="preserve">500323-C24N9I-PC 0011801490AP  </v>
          </cell>
          <cell r="C376">
            <v>10250041125</v>
          </cell>
          <cell r="D376" t="str">
            <v>1*2</v>
          </cell>
          <cell r="E376" t="str">
            <v>锡膏</v>
          </cell>
          <cell r="F376" t="str">
            <v>空调电控板</v>
          </cell>
          <cell r="G376">
            <v>9.4285714285714292E-2</v>
          </cell>
          <cell r="H376">
            <v>350</v>
          </cell>
          <cell r="I376">
            <v>33</v>
          </cell>
        </row>
        <row r="377">
          <cell r="A377">
            <v>10880035196</v>
          </cell>
          <cell r="B377" t="str">
            <v xml:space="preserve">500323-C24N9M-PC 0011801490BP  </v>
          </cell>
          <cell r="C377">
            <v>10250041125</v>
          </cell>
          <cell r="D377" t="str">
            <v>1*2</v>
          </cell>
          <cell r="E377" t="str">
            <v>锡膏</v>
          </cell>
          <cell r="F377" t="str">
            <v>空调电控板</v>
          </cell>
          <cell r="G377">
            <v>9.4285714285714292E-2</v>
          </cell>
          <cell r="H377">
            <v>350</v>
          </cell>
          <cell r="I377">
            <v>33</v>
          </cell>
        </row>
        <row r="378">
          <cell r="A378">
            <v>10880037377</v>
          </cell>
          <cell r="B378" t="str">
            <v xml:space="preserve">600766-A2504A-PC G0044 0011801490M  </v>
          </cell>
          <cell r="C378">
            <v>10250043967</v>
          </cell>
          <cell r="D378" t="str">
            <v>1*2</v>
          </cell>
          <cell r="E378" t="str">
            <v>锡膏</v>
          </cell>
          <cell r="F378" t="str">
            <v>空调电控板</v>
          </cell>
          <cell r="G378">
            <v>9.4285714285714292E-2</v>
          </cell>
          <cell r="H378">
            <v>350</v>
          </cell>
          <cell r="I378">
            <v>33</v>
          </cell>
        </row>
        <row r="379">
          <cell r="A379">
            <v>10880035266</v>
          </cell>
          <cell r="B379" t="str">
            <v xml:space="preserve">500323-B2515A-PC 0011801490AW  </v>
          </cell>
          <cell r="C379">
            <v>10250043935</v>
          </cell>
          <cell r="D379" t="str">
            <v>1*2</v>
          </cell>
          <cell r="E379" t="str">
            <v>锡膏</v>
          </cell>
          <cell r="F379" t="str">
            <v>空调电控板</v>
          </cell>
          <cell r="G379">
            <v>9.0000000000000011E-2</v>
          </cell>
          <cell r="H379">
            <v>400</v>
          </cell>
          <cell r="I379">
            <v>36</v>
          </cell>
        </row>
        <row r="380">
          <cell r="A380">
            <v>10880036346</v>
          </cell>
          <cell r="B380" t="str">
            <v>500323-B2515E-PC G0044 0011801490BY</v>
          </cell>
          <cell r="C380">
            <v>10250043869</v>
          </cell>
          <cell r="D380" t="str">
            <v>1*2</v>
          </cell>
          <cell r="E380" t="str">
            <v>锡膏</v>
          </cell>
          <cell r="F380" t="str">
            <v>空调电控板</v>
          </cell>
          <cell r="G380">
            <v>9.0000000000000011E-2</v>
          </cell>
          <cell r="H380">
            <v>400</v>
          </cell>
          <cell r="I380">
            <v>36</v>
          </cell>
        </row>
        <row r="381">
          <cell r="A381">
            <v>10880035265</v>
          </cell>
          <cell r="B381" t="str">
            <v xml:space="preserve">500323-B2515B-PC 0011801490JZ </v>
          </cell>
          <cell r="C381" t="str">
            <v>10250043614/10250043935</v>
          </cell>
          <cell r="D381" t="str">
            <v>1*2</v>
          </cell>
          <cell r="E381" t="str">
            <v>锡膏</v>
          </cell>
          <cell r="F381" t="str">
            <v>空调电控板</v>
          </cell>
          <cell r="G381">
            <v>9.0000000000000011E-2</v>
          </cell>
          <cell r="H381">
            <v>400</v>
          </cell>
          <cell r="I381">
            <v>36</v>
          </cell>
        </row>
        <row r="382">
          <cell r="A382">
            <v>10880036361</v>
          </cell>
          <cell r="B382" t="str">
            <v>693-C2576A-PC G0044 0011801490BT</v>
          </cell>
          <cell r="C382">
            <v>10250044582</v>
          </cell>
          <cell r="D382" t="str">
            <v>1*2</v>
          </cell>
          <cell r="E382" t="str">
            <v>锡膏</v>
          </cell>
          <cell r="F382" t="str">
            <v>空调电控板</v>
          </cell>
          <cell r="G382">
            <v>9.7222222222222224E-2</v>
          </cell>
          <cell r="H382">
            <v>360</v>
          </cell>
          <cell r="I382">
            <v>35</v>
          </cell>
        </row>
        <row r="383">
          <cell r="A383">
            <v>10880033251</v>
          </cell>
          <cell r="B383" t="str">
            <v>500323-C24A3A-PC 0011801850</v>
          </cell>
          <cell r="C383" t="str">
            <v>10250040483/10250040481</v>
          </cell>
          <cell r="D383" t="str">
            <v>1*2</v>
          </cell>
          <cell r="E383" t="str">
            <v>锡膏</v>
          </cell>
          <cell r="F383" t="str">
            <v>空调电控板</v>
          </cell>
          <cell r="G383">
            <v>0.12</v>
          </cell>
          <cell r="H383">
            <v>200</v>
          </cell>
          <cell r="I383">
            <v>24</v>
          </cell>
        </row>
        <row r="384">
          <cell r="A384">
            <v>10880033252</v>
          </cell>
          <cell r="B384" t="str">
            <v>500323-C24A3B-PC 0011801850A</v>
          </cell>
          <cell r="C384" t="str">
            <v>10250040483/10250040481</v>
          </cell>
          <cell r="D384" t="str">
            <v>1*2</v>
          </cell>
          <cell r="E384" t="str">
            <v>锡膏</v>
          </cell>
          <cell r="F384" t="str">
            <v>空调电控板</v>
          </cell>
          <cell r="G384">
            <v>0.12</v>
          </cell>
          <cell r="H384">
            <v>200</v>
          </cell>
          <cell r="I384">
            <v>24</v>
          </cell>
        </row>
        <row r="385">
          <cell r="A385">
            <v>10880037969</v>
          </cell>
          <cell r="B385" t="str">
            <v>500323-C24A3C-PC G0044 0011801850B</v>
          </cell>
          <cell r="C385" t="str">
            <v>10250040483/10250040481</v>
          </cell>
          <cell r="D385" t="str">
            <v>1*2</v>
          </cell>
          <cell r="E385" t="str">
            <v>锡膏</v>
          </cell>
          <cell r="F385" t="str">
            <v>空调电控板</v>
          </cell>
          <cell r="G385">
            <v>0.12</v>
          </cell>
          <cell r="H385">
            <v>200</v>
          </cell>
          <cell r="I385">
            <v>24</v>
          </cell>
        </row>
        <row r="386">
          <cell r="A386">
            <v>10880037971</v>
          </cell>
          <cell r="B386" t="str">
            <v>500323-C24A3D-PC G0044 0011801850AA</v>
          </cell>
          <cell r="C386" t="str">
            <v>10250040483/10250040481</v>
          </cell>
          <cell r="D386" t="str">
            <v>1*2</v>
          </cell>
          <cell r="E386" t="str">
            <v>锡膏</v>
          </cell>
          <cell r="F386" t="str">
            <v>空调电控板</v>
          </cell>
          <cell r="G386">
            <v>0.12</v>
          </cell>
          <cell r="H386">
            <v>200</v>
          </cell>
          <cell r="I386">
            <v>24</v>
          </cell>
        </row>
        <row r="387">
          <cell r="A387">
            <v>10880033695</v>
          </cell>
          <cell r="B387" t="str">
            <v>500323-C24I2A-D 0011801917</v>
          </cell>
          <cell r="C387" t="str">
            <v>10250040880/10250040881</v>
          </cell>
          <cell r="D387" t="str">
            <v>1*3</v>
          </cell>
          <cell r="E387" t="str">
            <v>锡膏</v>
          </cell>
          <cell r="F387" t="str">
            <v>空调显示板</v>
          </cell>
          <cell r="G387">
            <v>6.3461538461538458E-2</v>
          </cell>
          <cell r="H387">
            <v>520</v>
          </cell>
          <cell r="I387">
            <v>33</v>
          </cell>
        </row>
        <row r="388">
          <cell r="A388">
            <v>10880033717</v>
          </cell>
          <cell r="B388" t="str">
            <v>500323-C24I2B-D 0011801917A</v>
          </cell>
          <cell r="C388" t="str">
            <v>10250040880/10250040881</v>
          </cell>
          <cell r="D388" t="str">
            <v>1*3</v>
          </cell>
          <cell r="E388" t="str">
            <v>锡膏</v>
          </cell>
          <cell r="F388" t="str">
            <v>空调显示板</v>
          </cell>
          <cell r="G388">
            <v>6.3461538461538458E-2</v>
          </cell>
          <cell r="H388">
            <v>520</v>
          </cell>
          <cell r="I388">
            <v>33</v>
          </cell>
        </row>
        <row r="389">
          <cell r="A389">
            <v>10880033720</v>
          </cell>
          <cell r="B389" t="str">
            <v>500323-C24I2C-D 0011801917C</v>
          </cell>
          <cell r="C389" t="str">
            <v>10250040880/10250040881</v>
          </cell>
          <cell r="D389" t="str">
            <v>1*3</v>
          </cell>
          <cell r="E389" t="str">
            <v>锡膏</v>
          </cell>
          <cell r="F389" t="str">
            <v>空调显示板</v>
          </cell>
          <cell r="G389">
            <v>6.3461538461538458E-2</v>
          </cell>
          <cell r="H389">
            <v>520</v>
          </cell>
          <cell r="I389">
            <v>33</v>
          </cell>
        </row>
        <row r="390">
          <cell r="A390">
            <v>10880034417</v>
          </cell>
          <cell r="B390" t="str">
            <v xml:space="preserve">500323-C24I2D-D 0011801917D  </v>
          </cell>
          <cell r="C390" t="str">
            <v>10250040880/10250040881</v>
          </cell>
          <cell r="D390" t="str">
            <v>1*3</v>
          </cell>
          <cell r="E390" t="str">
            <v>锡膏</v>
          </cell>
          <cell r="F390" t="str">
            <v>空调显示板</v>
          </cell>
          <cell r="G390">
            <v>6.3461538461538458E-2</v>
          </cell>
          <cell r="H390">
            <v>520</v>
          </cell>
          <cell r="I390">
            <v>33</v>
          </cell>
        </row>
        <row r="391">
          <cell r="A391">
            <v>10880034518</v>
          </cell>
          <cell r="B391" t="str">
            <v>500323-C24I2E-D 0011801917E</v>
          </cell>
          <cell r="C391" t="str">
            <v>10250040880/10250040881</v>
          </cell>
          <cell r="D391" t="str">
            <v>1*3</v>
          </cell>
          <cell r="E391" t="str">
            <v>锡膏</v>
          </cell>
          <cell r="F391" t="str">
            <v>空调显示板</v>
          </cell>
          <cell r="G391">
            <v>6.3461538461538458E-2</v>
          </cell>
          <cell r="H391">
            <v>520</v>
          </cell>
          <cell r="I391">
            <v>33</v>
          </cell>
        </row>
        <row r="392">
          <cell r="A392">
            <v>10880033689</v>
          </cell>
          <cell r="B392" t="str">
            <v>500323-C24H8A-PC 0011801903A</v>
          </cell>
          <cell r="C392">
            <v>10250040876</v>
          </cell>
          <cell r="D392" t="str">
            <v>1*2</v>
          </cell>
          <cell r="E392" t="str">
            <v>锡膏</v>
          </cell>
          <cell r="F392" t="str">
            <v>空调电控板</v>
          </cell>
          <cell r="G392">
            <v>7.5555555555555556E-2</v>
          </cell>
          <cell r="H392">
            <v>450</v>
          </cell>
          <cell r="I392">
            <v>34</v>
          </cell>
        </row>
        <row r="393">
          <cell r="A393">
            <v>10880033690</v>
          </cell>
          <cell r="B393" t="str">
            <v>500323-C24H8B-PC 0011801903B</v>
          </cell>
          <cell r="C393">
            <v>10250040876</v>
          </cell>
          <cell r="D393" t="str">
            <v>1*2</v>
          </cell>
          <cell r="E393" t="str">
            <v>锡膏</v>
          </cell>
          <cell r="F393" t="str">
            <v>空调电控板</v>
          </cell>
          <cell r="G393">
            <v>7.5555555555555556E-2</v>
          </cell>
          <cell r="H393">
            <v>450</v>
          </cell>
          <cell r="I393">
            <v>34</v>
          </cell>
        </row>
        <row r="394">
          <cell r="A394">
            <v>10880033692</v>
          </cell>
          <cell r="B394" t="str">
            <v>500323-C24H8C-PC 0011801903C</v>
          </cell>
          <cell r="C394">
            <v>10250040876</v>
          </cell>
          <cell r="D394" t="str">
            <v>1*2</v>
          </cell>
          <cell r="E394" t="str">
            <v>锡膏</v>
          </cell>
          <cell r="F394" t="str">
            <v>空调电控板</v>
          </cell>
          <cell r="G394">
            <v>7.5555555555555556E-2</v>
          </cell>
          <cell r="H394">
            <v>450</v>
          </cell>
          <cell r="I394">
            <v>34</v>
          </cell>
        </row>
        <row r="395">
          <cell r="A395">
            <v>10880035126</v>
          </cell>
          <cell r="B395" t="str">
            <v>500323-C24H8D-PC 0011801903D</v>
          </cell>
          <cell r="C395">
            <v>10250040876</v>
          </cell>
          <cell r="D395" t="str">
            <v>1*2</v>
          </cell>
          <cell r="E395" t="str">
            <v>锡膏</v>
          </cell>
          <cell r="F395" t="str">
            <v>空调电控板</v>
          </cell>
          <cell r="G395">
            <v>7.5555555555555556E-2</v>
          </cell>
          <cell r="H395">
            <v>450</v>
          </cell>
          <cell r="I395">
            <v>34</v>
          </cell>
        </row>
        <row r="396">
          <cell r="A396">
            <v>10880033661</v>
          </cell>
          <cell r="B396" t="str">
            <v>500323-C24F9A-PC 0011801710H</v>
          </cell>
          <cell r="C396" t="str">
            <v>10250040316/10250040315</v>
          </cell>
          <cell r="D396" t="str">
            <v>1*2</v>
          </cell>
          <cell r="E396" t="str">
            <v>锡膏</v>
          </cell>
          <cell r="F396" t="str">
            <v>空调电控板</v>
          </cell>
          <cell r="G396">
            <v>8.2500000000000004E-2</v>
          </cell>
          <cell r="H396">
            <v>400</v>
          </cell>
          <cell r="I396">
            <v>33</v>
          </cell>
        </row>
        <row r="397">
          <cell r="A397">
            <v>10880033654</v>
          </cell>
          <cell r="B397" t="str">
            <v>500323-C24G5A-D 0011801911</v>
          </cell>
          <cell r="C397" t="str">
            <v>10250041357/10250041358</v>
          </cell>
          <cell r="D397" t="str">
            <v>1*6</v>
          </cell>
          <cell r="E397" t="str">
            <v>锡膏</v>
          </cell>
          <cell r="F397" t="str">
            <v>空调显示板</v>
          </cell>
          <cell r="G397">
            <v>8.6363636363636365E-3</v>
          </cell>
          <cell r="H397">
            <v>2200</v>
          </cell>
          <cell r="I397">
            <v>19</v>
          </cell>
        </row>
        <row r="398">
          <cell r="A398">
            <v>10880033655</v>
          </cell>
          <cell r="B398" t="str">
            <v>500323-C24G5B-D 0011801911A</v>
          </cell>
          <cell r="C398" t="str">
            <v>10250041357/10250041358</v>
          </cell>
          <cell r="D398" t="str">
            <v>1*6</v>
          </cell>
          <cell r="E398" t="str">
            <v>锡膏</v>
          </cell>
          <cell r="F398" t="str">
            <v>空调显示板</v>
          </cell>
          <cell r="G398">
            <v>8.6363636363636365E-3</v>
          </cell>
          <cell r="H398">
            <v>2200</v>
          </cell>
          <cell r="I398">
            <v>19</v>
          </cell>
        </row>
        <row r="399">
          <cell r="A399">
            <v>10880035754</v>
          </cell>
          <cell r="B399" t="str">
            <v>500323-C24G5A-D G0044 0011801911 新</v>
          </cell>
          <cell r="C399" t="str">
            <v>10250042811/ 10250043410</v>
          </cell>
          <cell r="D399" t="str">
            <v>1*6</v>
          </cell>
          <cell r="E399" t="str">
            <v>锡膏</v>
          </cell>
          <cell r="F399" t="str">
            <v>空调显示板</v>
          </cell>
          <cell r="G399">
            <v>8.6363636363636365E-3</v>
          </cell>
          <cell r="H399">
            <v>2200</v>
          </cell>
          <cell r="I399">
            <v>19</v>
          </cell>
        </row>
        <row r="400">
          <cell r="A400">
            <v>10880031160</v>
          </cell>
          <cell r="B400" t="str">
            <v xml:space="preserve">693-C2331D-PC 0011801593C  </v>
          </cell>
          <cell r="C400" t="str">
            <v>10250039858/10250039859</v>
          </cell>
          <cell r="D400" t="str">
            <v>1*2</v>
          </cell>
          <cell r="E400" t="str">
            <v>锡膏</v>
          </cell>
          <cell r="F400" t="str">
            <v>海尔空调内机电控板</v>
          </cell>
          <cell r="G400">
            <v>0.15416666666666667</v>
          </cell>
          <cell r="H400">
            <v>240</v>
          </cell>
          <cell r="I400">
            <v>37</v>
          </cell>
        </row>
        <row r="401">
          <cell r="A401">
            <v>10880030320</v>
          </cell>
          <cell r="B401" t="str">
            <v xml:space="preserve">693-C23D4A-PC 0011801593  </v>
          </cell>
          <cell r="C401" t="str">
            <v>10250039858/10250039859</v>
          </cell>
          <cell r="D401" t="str">
            <v>1*2</v>
          </cell>
          <cell r="E401" t="str">
            <v>锡膏</v>
          </cell>
          <cell r="F401" t="str">
            <v>海尔空调内机电控板</v>
          </cell>
          <cell r="G401">
            <v>0.15966666666666668</v>
          </cell>
          <cell r="H401">
            <v>240</v>
          </cell>
          <cell r="I401">
            <v>37</v>
          </cell>
        </row>
        <row r="402">
          <cell r="H402">
            <v>2000</v>
          </cell>
          <cell r="I402">
            <v>11</v>
          </cell>
        </row>
        <row r="403">
          <cell r="A403">
            <v>10880031157</v>
          </cell>
          <cell r="B403" t="str">
            <v xml:space="preserve">693-C2331B-PC 0011801593A  </v>
          </cell>
          <cell r="C403" t="str">
            <v>10250039858/10250039859</v>
          </cell>
          <cell r="D403" t="str">
            <v>1*2</v>
          </cell>
          <cell r="E403" t="str">
            <v>锡膏</v>
          </cell>
          <cell r="F403" t="str">
            <v>海尔空调内机电控板</v>
          </cell>
          <cell r="G403">
            <v>0.15966666666666668</v>
          </cell>
          <cell r="H403">
            <v>240</v>
          </cell>
          <cell r="I403">
            <v>37</v>
          </cell>
        </row>
        <row r="404">
          <cell r="H404">
            <v>2000</v>
          </cell>
          <cell r="I404">
            <v>11</v>
          </cell>
        </row>
        <row r="405">
          <cell r="A405">
            <v>10880031159</v>
          </cell>
          <cell r="B405" t="str">
            <v xml:space="preserve">693-C2331C-PC 0011801593B  </v>
          </cell>
          <cell r="C405" t="str">
            <v>10250039858/10250039859</v>
          </cell>
          <cell r="D405" t="str">
            <v>1*2</v>
          </cell>
          <cell r="E405" t="str">
            <v>锡膏</v>
          </cell>
          <cell r="F405" t="str">
            <v>海尔空调内机电控板</v>
          </cell>
          <cell r="G405">
            <v>0.15966666666666668</v>
          </cell>
          <cell r="H405">
            <v>240</v>
          </cell>
          <cell r="I405">
            <v>37</v>
          </cell>
        </row>
        <row r="406">
          <cell r="H406">
            <v>2000</v>
          </cell>
          <cell r="I406">
            <v>11</v>
          </cell>
        </row>
        <row r="407">
          <cell r="A407">
            <v>10880031161</v>
          </cell>
          <cell r="B407" t="str">
            <v xml:space="preserve">693-C2331E-PC 0011801593D  </v>
          </cell>
          <cell r="C407" t="str">
            <v>10250039858/10250039859</v>
          </cell>
          <cell r="D407" t="str">
            <v>1*2</v>
          </cell>
          <cell r="E407" t="str">
            <v>锡膏</v>
          </cell>
          <cell r="F407" t="str">
            <v>海尔空调内机电控板</v>
          </cell>
          <cell r="G407">
            <v>0.15966666666666668</v>
          </cell>
          <cell r="H407">
            <v>240</v>
          </cell>
          <cell r="I407">
            <v>37</v>
          </cell>
        </row>
        <row r="408">
          <cell r="H408">
            <v>2000</v>
          </cell>
          <cell r="I408">
            <v>11</v>
          </cell>
        </row>
        <row r="409">
          <cell r="A409">
            <v>10880031440</v>
          </cell>
          <cell r="B409" t="str">
            <v xml:space="preserve"> 693-C23K4A-PC 0011800997TD  </v>
          </cell>
          <cell r="C409">
            <v>10250037947</v>
          </cell>
          <cell r="D409" t="str">
            <v>1*2</v>
          </cell>
          <cell r="E409" t="str">
            <v>锡膏</v>
          </cell>
          <cell r="F409" t="str">
            <v>海尔空调外机电控板</v>
          </cell>
          <cell r="G409">
            <v>0.11666666666666667</v>
          </cell>
          <cell r="H409">
            <v>300</v>
          </cell>
          <cell r="I409">
            <v>35</v>
          </cell>
        </row>
        <row r="410">
          <cell r="A410">
            <v>10880033311</v>
          </cell>
          <cell r="B410" t="str">
            <v xml:space="preserve">500323-C2494B-PC 0011800997BZ  </v>
          </cell>
          <cell r="C410">
            <v>10250039864</v>
          </cell>
          <cell r="D410" t="str">
            <v>1*2</v>
          </cell>
          <cell r="E410" t="str">
            <v>锡膏</v>
          </cell>
          <cell r="F410" t="str">
            <v>空调电控板</v>
          </cell>
          <cell r="G410">
            <v>0.11666666666666667</v>
          </cell>
          <cell r="H410">
            <v>300</v>
          </cell>
          <cell r="I410">
            <v>35</v>
          </cell>
        </row>
        <row r="411">
          <cell r="A411">
            <v>10880030596</v>
          </cell>
          <cell r="B411" t="str">
            <v>693-C2352A-PC 0011801516</v>
          </cell>
          <cell r="C411" t="str">
            <v>10250041096/10250041094/10250041418</v>
          </cell>
          <cell r="D411" t="str">
            <v>1*1</v>
          </cell>
          <cell r="E411" t="str">
            <v>锡膏</v>
          </cell>
          <cell r="F411" t="str">
            <v>海尔空调电控板</v>
          </cell>
          <cell r="G411">
            <v>0.31888888888888894</v>
          </cell>
          <cell r="H411">
            <v>180</v>
          </cell>
          <cell r="I411">
            <v>39</v>
          </cell>
        </row>
        <row r="412">
          <cell r="A412">
            <v>10880031846</v>
          </cell>
          <cell r="B412" t="str">
            <v>693-C2352B-PC 0011801516C</v>
          </cell>
          <cell r="C412" t="str">
            <v>10250041096/10250041094/10250041418</v>
          </cell>
          <cell r="D412" t="str">
            <v>1*1</v>
          </cell>
          <cell r="E412" t="str">
            <v>锡膏</v>
          </cell>
          <cell r="F412" t="str">
            <v>海尔空调电控板</v>
          </cell>
          <cell r="G412">
            <v>0.31888888888888894</v>
          </cell>
          <cell r="H412">
            <v>180</v>
          </cell>
          <cell r="I412">
            <v>39</v>
          </cell>
        </row>
        <row r="413">
          <cell r="A413">
            <v>10880031847</v>
          </cell>
          <cell r="B413" t="str">
            <v>693-C2352C-PC 0011801516D</v>
          </cell>
          <cell r="C413" t="str">
            <v>10250041096/10250041094/10250041418</v>
          </cell>
          <cell r="D413" t="str">
            <v>1*1</v>
          </cell>
          <cell r="E413" t="str">
            <v>锡膏</v>
          </cell>
          <cell r="F413" t="str">
            <v>海尔空调电控板</v>
          </cell>
          <cell r="G413">
            <v>0.31888888888888894</v>
          </cell>
          <cell r="H413">
            <v>180</v>
          </cell>
          <cell r="I413">
            <v>39</v>
          </cell>
        </row>
        <row r="414">
          <cell r="A414">
            <v>10880031856</v>
          </cell>
          <cell r="B414" t="str">
            <v xml:space="preserve">693-C2352D-PC 0011801516E  </v>
          </cell>
          <cell r="C414" t="str">
            <v>10250041096/10250041094/10250041418</v>
          </cell>
          <cell r="D414" t="str">
            <v>1*1</v>
          </cell>
          <cell r="E414" t="str">
            <v>锡膏</v>
          </cell>
          <cell r="F414" t="str">
            <v>海尔空调电控板</v>
          </cell>
          <cell r="G414">
            <v>0.31888888888888894</v>
          </cell>
          <cell r="H414">
            <v>180</v>
          </cell>
          <cell r="I414">
            <v>39</v>
          </cell>
        </row>
        <row r="415">
          <cell r="A415">
            <v>10880034575</v>
          </cell>
          <cell r="B415" t="str">
            <v>500323-C24P7A-PC 0011801973</v>
          </cell>
          <cell r="C415" t="str">
            <v>10250041738/10250041739</v>
          </cell>
          <cell r="D415" t="str">
            <v>1*2</v>
          </cell>
          <cell r="E415" t="str">
            <v>锡膏</v>
          </cell>
          <cell r="F415" t="str">
            <v>空调电控板</v>
          </cell>
          <cell r="G415">
            <v>6.6000000000000003E-2</v>
          </cell>
          <cell r="H415">
            <v>500</v>
          </cell>
          <cell r="I415">
            <v>33</v>
          </cell>
        </row>
        <row r="416">
          <cell r="A416">
            <v>10880034576</v>
          </cell>
          <cell r="B416" t="str">
            <v>500323-C24P7B-PC 0011801973A</v>
          </cell>
          <cell r="C416" t="str">
            <v>10250041738/10250041739</v>
          </cell>
          <cell r="D416" t="str">
            <v>1*2</v>
          </cell>
          <cell r="E416" t="str">
            <v>锡膏</v>
          </cell>
          <cell r="F416" t="str">
            <v>空调电控板</v>
          </cell>
          <cell r="G416">
            <v>6.6000000000000003E-2</v>
          </cell>
          <cell r="H416">
            <v>500</v>
          </cell>
          <cell r="I416">
            <v>33</v>
          </cell>
        </row>
        <row r="417">
          <cell r="A417">
            <v>10880036421</v>
          </cell>
          <cell r="B417" t="str">
            <v>500323-C24P7G-PC G0044 0011801973L</v>
          </cell>
          <cell r="C417" t="str">
            <v>10250042279/10250042280</v>
          </cell>
          <cell r="D417" t="str">
            <v>1*2</v>
          </cell>
          <cell r="E417" t="str">
            <v>锡膏</v>
          </cell>
          <cell r="F417" t="str">
            <v>空调电控板</v>
          </cell>
          <cell r="G417">
            <v>6.6000000000000003E-2</v>
          </cell>
          <cell r="H417">
            <v>500</v>
          </cell>
          <cell r="I417">
            <v>33</v>
          </cell>
        </row>
        <row r="418">
          <cell r="A418">
            <v>10880036490</v>
          </cell>
          <cell r="B418" t="str">
            <v xml:space="preserve">693-C2571A-PC G0044 0011801973E  </v>
          </cell>
          <cell r="C418">
            <v>10250044530</v>
          </cell>
          <cell r="D418" t="str">
            <v>1*2</v>
          </cell>
          <cell r="E418" t="str">
            <v>锡膏</v>
          </cell>
          <cell r="F418" t="str">
            <v>空调电控板</v>
          </cell>
          <cell r="G418">
            <v>8.3333333333333329E-2</v>
          </cell>
          <cell r="H418">
            <v>420</v>
          </cell>
          <cell r="I418">
            <v>35</v>
          </cell>
        </row>
        <row r="419">
          <cell r="A419">
            <v>10880036489</v>
          </cell>
          <cell r="B419" t="str">
            <v xml:space="preserve"> 693-C2571B-PC G0044 0011801973G  </v>
          </cell>
          <cell r="C419">
            <v>10250044530</v>
          </cell>
          <cell r="D419" t="str">
            <v>1*2</v>
          </cell>
          <cell r="E419" t="str">
            <v>锡膏</v>
          </cell>
          <cell r="F419" t="str">
            <v>空调电控板</v>
          </cell>
          <cell r="G419">
            <v>8.3333333333333329E-2</v>
          </cell>
          <cell r="H419">
            <v>420</v>
          </cell>
          <cell r="I419">
            <v>35</v>
          </cell>
        </row>
        <row r="420">
          <cell r="A420">
            <v>10880033584</v>
          </cell>
          <cell r="B420" t="str">
            <v>500323-C24F8A-PC 0011801852</v>
          </cell>
          <cell r="C420" t="str">
            <v>10250041884/10250041885</v>
          </cell>
          <cell r="D420" t="str">
            <v>1*2</v>
          </cell>
          <cell r="E420" t="str">
            <v>锡膏</v>
          </cell>
          <cell r="F420" t="str">
            <v>空调电控板</v>
          </cell>
          <cell r="G420">
            <v>8.2500000000000004E-2</v>
          </cell>
          <cell r="H420">
            <v>400</v>
          </cell>
          <cell r="I420">
            <v>33</v>
          </cell>
        </row>
        <row r="421">
          <cell r="A421">
            <v>10880034142</v>
          </cell>
          <cell r="B421" t="str">
            <v>500323-C24F8B-PC 0011801852A</v>
          </cell>
          <cell r="C421" t="str">
            <v>10250041884/10250041885</v>
          </cell>
          <cell r="D421" t="str">
            <v>1*2</v>
          </cell>
          <cell r="E421" t="str">
            <v>锡膏</v>
          </cell>
          <cell r="F421" t="str">
            <v>空调电控板</v>
          </cell>
          <cell r="G421">
            <v>8.2500000000000004E-2</v>
          </cell>
          <cell r="H421">
            <v>400</v>
          </cell>
          <cell r="I421">
            <v>33</v>
          </cell>
        </row>
        <row r="422">
          <cell r="A422">
            <v>10880035186</v>
          </cell>
          <cell r="B422" t="str">
            <v xml:space="preserve">500323-C24F8C-PC 0011801852D  </v>
          </cell>
          <cell r="C422" t="str">
            <v>10250041884/10250041885</v>
          </cell>
          <cell r="D422" t="str">
            <v>1*2</v>
          </cell>
          <cell r="E422" t="str">
            <v>锡膏</v>
          </cell>
          <cell r="F422" t="str">
            <v>空调电控板</v>
          </cell>
          <cell r="G422">
            <v>8.2500000000000004E-2</v>
          </cell>
          <cell r="H422">
            <v>400</v>
          </cell>
          <cell r="I422">
            <v>33</v>
          </cell>
        </row>
        <row r="423">
          <cell r="A423">
            <v>10880013146</v>
          </cell>
          <cell r="B423" t="str">
            <v>693-C20031A-PC 0011800827Y</v>
          </cell>
          <cell r="C423" t="str">
            <v xml:space="preserve"> 10300010078/ 10300010079/ 10300010080/ 10300010081</v>
          </cell>
          <cell r="D423" t="str">
            <v>1*1</v>
          </cell>
          <cell r="E423" t="str">
            <v>锡膏</v>
          </cell>
          <cell r="F423" t="str">
            <v>空调827Y变频电控板</v>
          </cell>
          <cell r="G423">
            <v>0.2392857142857143</v>
          </cell>
          <cell r="H423">
            <v>280</v>
          </cell>
          <cell r="I423">
            <v>28</v>
          </cell>
        </row>
        <row r="424">
          <cell r="A424">
            <v>10880033911</v>
          </cell>
          <cell r="B424" t="str">
            <v>500323-C24F3A-D 0011801685</v>
          </cell>
          <cell r="C424" t="str">
            <v>10250040459/10250040460</v>
          </cell>
          <cell r="D424" t="str">
            <v>1*2</v>
          </cell>
          <cell r="E424" t="str">
            <v>锡膏</v>
          </cell>
          <cell r="F424" t="str">
            <v>空调显示板</v>
          </cell>
          <cell r="G424">
            <v>3.5499999999999997E-2</v>
          </cell>
          <cell r="H424">
            <v>500</v>
          </cell>
          <cell r="I424">
            <v>15</v>
          </cell>
        </row>
        <row r="425">
          <cell r="H425">
            <v>2000</v>
          </cell>
          <cell r="I425">
            <v>11</v>
          </cell>
        </row>
        <row r="426">
          <cell r="A426" t="str">
            <v>10880032647 </v>
          </cell>
          <cell r="B426" t="str">
            <v>693-C23D5A-PC 0151801031待老化  </v>
          </cell>
          <cell r="C426">
            <v>10250040107</v>
          </cell>
          <cell r="D426" t="str">
            <v>1*1</v>
          </cell>
          <cell r="E426" t="str">
            <v>锡膏</v>
          </cell>
          <cell r="F426" t="str">
            <v>空调电控板</v>
          </cell>
          <cell r="G426">
            <v>0.64666666666666672</v>
          </cell>
          <cell r="H426">
            <v>200</v>
          </cell>
          <cell r="I426">
            <v>50</v>
          </cell>
        </row>
        <row r="427">
          <cell r="A427" t="str">
            <v>10880032648 </v>
          </cell>
          <cell r="B427" t="str">
            <v>693-C23D5B-PC 0151801031A待老化  </v>
          </cell>
          <cell r="C427">
            <v>10250040107</v>
          </cell>
          <cell r="D427" t="str">
            <v>1*1</v>
          </cell>
          <cell r="E427" t="str">
            <v>锡膏</v>
          </cell>
          <cell r="F427" t="str">
            <v>空调电控板</v>
          </cell>
          <cell r="G427">
            <v>0.64666666666666672</v>
          </cell>
          <cell r="H427">
            <v>200</v>
          </cell>
          <cell r="I427">
            <v>50</v>
          </cell>
        </row>
        <row r="428">
          <cell r="A428" t="str">
            <v>10880034523 </v>
          </cell>
          <cell r="B428" t="str">
            <v>500323-C24N5A-PC 0151801031C 待老化  </v>
          </cell>
          <cell r="C428">
            <v>10250040107</v>
          </cell>
          <cell r="D428" t="str">
            <v>1*1</v>
          </cell>
          <cell r="E428" t="str">
            <v>锡膏</v>
          </cell>
          <cell r="F428" t="str">
            <v>空调电控板</v>
          </cell>
          <cell r="G428">
            <v>0.64666666666666672</v>
          </cell>
          <cell r="H428">
            <v>200</v>
          </cell>
          <cell r="I428">
            <v>50</v>
          </cell>
        </row>
        <row r="429">
          <cell r="A429" t="str">
            <v>10880034524 </v>
          </cell>
          <cell r="B429" t="str">
            <v>500323-C24N5B-PC 0151801031D 待老化  </v>
          </cell>
          <cell r="C429">
            <v>10250040107</v>
          </cell>
          <cell r="D429" t="str">
            <v>1*1</v>
          </cell>
          <cell r="E429" t="str">
            <v>锡膏</v>
          </cell>
          <cell r="F429" t="str">
            <v>空调电控板</v>
          </cell>
          <cell r="G429">
            <v>0.64666666666666672</v>
          </cell>
          <cell r="H429">
            <v>200</v>
          </cell>
          <cell r="I429">
            <v>50</v>
          </cell>
        </row>
        <row r="430">
          <cell r="A430" t="str">
            <v>10880034525 </v>
          </cell>
          <cell r="B430" t="str">
            <v>500323-C24N5C-PC 0151801031E 待老化</v>
          </cell>
          <cell r="C430">
            <v>10250040107</v>
          </cell>
          <cell r="D430" t="str">
            <v>1*1</v>
          </cell>
          <cell r="E430" t="str">
            <v>锡膏</v>
          </cell>
          <cell r="F430" t="str">
            <v>空调电控板</v>
          </cell>
          <cell r="G430">
            <v>0.64666666666666672</v>
          </cell>
          <cell r="H430">
            <v>200</v>
          </cell>
          <cell r="I430">
            <v>50</v>
          </cell>
        </row>
        <row r="431">
          <cell r="A431">
            <v>10880035166</v>
          </cell>
          <cell r="B431" t="str">
            <v>500323-C24N5D-PC 0151801031F</v>
          </cell>
          <cell r="C431">
            <v>10250044032</v>
          </cell>
          <cell r="D431" t="str">
            <v>1*1</v>
          </cell>
          <cell r="E431" t="str">
            <v>锡膏</v>
          </cell>
          <cell r="F431" t="str">
            <v>空调电控板</v>
          </cell>
          <cell r="G431">
            <v>0.64666666666666672</v>
          </cell>
          <cell r="H431">
            <v>60</v>
          </cell>
          <cell r="I431">
            <v>50</v>
          </cell>
        </row>
        <row r="432">
          <cell r="A432">
            <v>10880030519</v>
          </cell>
          <cell r="B432" t="str">
            <v>693-C23D5A-PC 0151801031</v>
          </cell>
          <cell r="C432">
            <v>10250040107</v>
          </cell>
          <cell r="D432" t="str">
            <v>1*1</v>
          </cell>
          <cell r="E432" t="str">
            <v>锡膏</v>
          </cell>
          <cell r="F432" t="str">
            <v>空调电控板</v>
          </cell>
          <cell r="G432">
            <v>0.64666666666666672</v>
          </cell>
          <cell r="H432">
            <v>60</v>
          </cell>
          <cell r="I432">
            <v>50</v>
          </cell>
        </row>
        <row r="433">
          <cell r="A433">
            <v>10880030520</v>
          </cell>
          <cell r="B433" t="str">
            <v>693-C23D5B-PC 0151801031A</v>
          </cell>
          <cell r="C433">
            <v>10250040107</v>
          </cell>
          <cell r="D433" t="str">
            <v>1*1</v>
          </cell>
          <cell r="E433" t="str">
            <v>锡膏</v>
          </cell>
          <cell r="F433" t="str">
            <v>空调电控板</v>
          </cell>
          <cell r="G433">
            <v>0.64666666666666672</v>
          </cell>
          <cell r="H433">
            <v>60</v>
          </cell>
          <cell r="I433">
            <v>50</v>
          </cell>
        </row>
        <row r="434">
          <cell r="A434">
            <v>10880034195</v>
          </cell>
          <cell r="B434" t="str">
            <v>500323-C24N5A-PC 0151801031C   </v>
          </cell>
          <cell r="C434">
            <v>10250040107</v>
          </cell>
          <cell r="D434" t="str">
            <v>1*1</v>
          </cell>
          <cell r="E434" t="str">
            <v>锡膏</v>
          </cell>
          <cell r="F434" t="str">
            <v>空调电控板</v>
          </cell>
          <cell r="G434">
            <v>0.89666666666666672</v>
          </cell>
          <cell r="H434">
            <v>60</v>
          </cell>
          <cell r="I434">
            <v>50</v>
          </cell>
        </row>
        <row r="435">
          <cell r="A435">
            <v>10880034196</v>
          </cell>
          <cell r="B435" t="str">
            <v>500323-C24N5B-PC 0151801031D   </v>
          </cell>
          <cell r="C435">
            <v>10250040107</v>
          </cell>
          <cell r="D435" t="str">
            <v>1*1</v>
          </cell>
          <cell r="E435" t="str">
            <v>锡膏</v>
          </cell>
          <cell r="F435" t="str">
            <v>空调电控板</v>
          </cell>
          <cell r="H435">
            <v>60</v>
          </cell>
          <cell r="I435">
            <v>50</v>
          </cell>
        </row>
        <row r="436">
          <cell r="A436">
            <v>10880034197</v>
          </cell>
          <cell r="B436" t="str">
            <v xml:space="preserve">500323-C24N5C-PC 0151801031E </v>
          </cell>
          <cell r="C436">
            <v>10250040107</v>
          </cell>
          <cell r="D436" t="str">
            <v>1*1</v>
          </cell>
          <cell r="E436" t="str">
            <v>锡膏</v>
          </cell>
          <cell r="F436" t="str">
            <v>空调电控板</v>
          </cell>
          <cell r="G436">
            <v>0.64666666666666672</v>
          </cell>
          <cell r="H436">
            <v>60</v>
          </cell>
          <cell r="I436">
            <v>50</v>
          </cell>
        </row>
        <row r="437">
          <cell r="A437" t="str">
            <v>10880032646 </v>
          </cell>
          <cell r="B437" t="str">
            <v>693-C2398A-PC 0151801003A待老化  </v>
          </cell>
          <cell r="C437">
            <v>10250039633</v>
          </cell>
          <cell r="D437" t="str">
            <v>1*1</v>
          </cell>
          <cell r="E437" t="str">
            <v>锡膏</v>
          </cell>
          <cell r="F437" t="str">
            <v>空调电控板</v>
          </cell>
          <cell r="G437">
            <v>0.27666666666666667</v>
          </cell>
          <cell r="H437">
            <v>200</v>
          </cell>
          <cell r="I437">
            <v>40</v>
          </cell>
        </row>
        <row r="438">
          <cell r="A438" t="str">
            <v>10880033604 </v>
          </cell>
          <cell r="B438" t="str">
            <v>500323-C24F7A-PC 0151801003 待转吸塑  </v>
          </cell>
          <cell r="C438">
            <v>10250039633</v>
          </cell>
          <cell r="D438" t="str">
            <v>1*1</v>
          </cell>
          <cell r="E438" t="str">
            <v>锡膏</v>
          </cell>
          <cell r="F438" t="str">
            <v>空调电控板</v>
          </cell>
          <cell r="G438">
            <v>0.27666666666666667</v>
          </cell>
          <cell r="H438">
            <v>200</v>
          </cell>
          <cell r="I438">
            <v>40</v>
          </cell>
        </row>
        <row r="439">
          <cell r="A439" t="str">
            <v>10880034526 </v>
          </cell>
          <cell r="B439" t="str">
            <v>500323-C24F7B-PC 0151801003C 待转吸塑  </v>
          </cell>
          <cell r="C439">
            <v>10250039633</v>
          </cell>
          <cell r="D439" t="str">
            <v>1*1</v>
          </cell>
          <cell r="E439" t="str">
            <v>锡膏</v>
          </cell>
          <cell r="F439" t="str">
            <v>空调电控板</v>
          </cell>
          <cell r="G439">
            <v>0.27666666666666667</v>
          </cell>
          <cell r="H439">
            <v>200</v>
          </cell>
          <cell r="I439">
            <v>40</v>
          </cell>
        </row>
        <row r="440">
          <cell r="A440">
            <v>10880030187</v>
          </cell>
          <cell r="B440" t="str">
            <v>693-C2398A-PC 0151801003A</v>
          </cell>
          <cell r="C440">
            <v>10250039633</v>
          </cell>
          <cell r="D440" t="str">
            <v>1*1</v>
          </cell>
          <cell r="E440" t="str">
            <v>锡膏</v>
          </cell>
          <cell r="F440" t="str">
            <v>空调电控板</v>
          </cell>
          <cell r="G440">
            <v>0.23499999999999999</v>
          </cell>
          <cell r="H440">
            <v>120</v>
          </cell>
          <cell r="I440">
            <v>35</v>
          </cell>
        </row>
        <row r="441">
          <cell r="A441">
            <v>10880033602</v>
          </cell>
          <cell r="B441" t="str">
            <v>500323-C24F7A-PC 0151801003   </v>
          </cell>
          <cell r="C441">
            <v>10250039633</v>
          </cell>
          <cell r="D441" t="str">
            <v>1*1</v>
          </cell>
          <cell r="E441" t="str">
            <v>锡膏</v>
          </cell>
          <cell r="F441" t="str">
            <v>空调电控板</v>
          </cell>
          <cell r="G441">
            <v>0.23499999999999999</v>
          </cell>
          <cell r="H441">
            <v>120</v>
          </cell>
          <cell r="I441">
            <v>35</v>
          </cell>
        </row>
        <row r="442">
          <cell r="A442">
            <v>10880034194</v>
          </cell>
          <cell r="B442" t="str">
            <v>500323-C24F7B-PC 0151801003C   </v>
          </cell>
          <cell r="C442">
            <v>10250039633</v>
          </cell>
          <cell r="D442" t="str">
            <v>1*1</v>
          </cell>
          <cell r="E442" t="str">
            <v>锡膏</v>
          </cell>
          <cell r="F442" t="str">
            <v>空调电控板</v>
          </cell>
          <cell r="G442">
            <v>0.23499999999999999</v>
          </cell>
          <cell r="H442">
            <v>120</v>
          </cell>
          <cell r="I442">
            <v>35</v>
          </cell>
        </row>
        <row r="443">
          <cell r="A443">
            <v>10880030178</v>
          </cell>
          <cell r="B443" t="str">
            <v>693-C23B6E-PC 0041801136D</v>
          </cell>
          <cell r="C443" t="str">
            <v>10250040021/10250040022/10250040023</v>
          </cell>
          <cell r="D443" t="str">
            <v>1*2</v>
          </cell>
          <cell r="E443" t="str">
            <v>锡膏</v>
          </cell>
          <cell r="F443" t="str">
            <v>空调电控板</v>
          </cell>
          <cell r="G443">
            <v>7.0000000000000007E-2</v>
          </cell>
          <cell r="H443">
            <v>400</v>
          </cell>
          <cell r="I443">
            <v>28</v>
          </cell>
        </row>
        <row r="444">
          <cell r="A444">
            <v>10880012987</v>
          </cell>
          <cell r="B444" t="str">
            <v>693-C20023D-C 0190400002C</v>
          </cell>
          <cell r="C444" t="str">
            <v>10250024268/10250024269</v>
          </cell>
          <cell r="D444" t="str">
            <v>1*4</v>
          </cell>
          <cell r="E444" t="str">
            <v>锡膏</v>
          </cell>
          <cell r="F444" t="str">
            <v>空调电控板</v>
          </cell>
          <cell r="G444">
            <v>9.2499999999999999E-2</v>
          </cell>
          <cell r="H444">
            <v>400</v>
          </cell>
          <cell r="I444">
            <v>33</v>
          </cell>
        </row>
        <row r="445">
          <cell r="A445">
            <v>10880014775</v>
          </cell>
          <cell r="B445" t="str">
            <v>693-A2036A-PC 0190400102</v>
          </cell>
          <cell r="C445" t="str">
            <v>10250027121/10250027122</v>
          </cell>
          <cell r="D445" t="str">
            <v>1*4</v>
          </cell>
          <cell r="E445" t="str">
            <v>锡膏</v>
          </cell>
          <cell r="F445" t="str">
            <v>空调电控板</v>
          </cell>
          <cell r="G445">
            <v>8.7499999999999994E-2</v>
          </cell>
          <cell r="H445">
            <v>400</v>
          </cell>
          <cell r="I445">
            <v>22</v>
          </cell>
        </row>
        <row r="446">
          <cell r="A446">
            <v>10880033368</v>
          </cell>
          <cell r="B446" t="str">
            <v>500323-C24F2A-D 0121800104WD</v>
          </cell>
          <cell r="C446" t="str">
            <v>10250036910/10250036911</v>
          </cell>
          <cell r="D446" t="str">
            <v>1*5</v>
          </cell>
          <cell r="E446" t="str">
            <v>锡膏</v>
          </cell>
          <cell r="F446" t="str">
            <v>空调电控板</v>
          </cell>
          <cell r="G446">
            <v>0.37500000000000006</v>
          </cell>
          <cell r="H446">
            <v>80</v>
          </cell>
          <cell r="I446">
            <v>30</v>
          </cell>
        </row>
        <row r="447">
          <cell r="A447">
            <v>10880031249</v>
          </cell>
          <cell r="B447" t="str">
            <v>693-C23H5A-D G0044 0121800104W  </v>
          </cell>
          <cell r="C447" t="str">
            <v>10250036910/10250036911</v>
          </cell>
          <cell r="D447" t="str">
            <v>1*5</v>
          </cell>
          <cell r="E447" t="str">
            <v>锡膏</v>
          </cell>
          <cell r="F447" t="str">
            <v>空调电控板</v>
          </cell>
          <cell r="G447">
            <v>0.37500000000000006</v>
          </cell>
          <cell r="H447">
            <v>80</v>
          </cell>
          <cell r="I447">
            <v>30</v>
          </cell>
        </row>
        <row r="448">
          <cell r="A448">
            <v>10880031660</v>
          </cell>
          <cell r="B448" t="str">
            <v>693-C23H5B-D 0121800104WA  </v>
          </cell>
          <cell r="C448" t="str">
            <v>10250036910/10250036911</v>
          </cell>
          <cell r="D448" t="str">
            <v>1*5</v>
          </cell>
          <cell r="E448" t="str">
            <v>锡膏</v>
          </cell>
          <cell r="F448" t="str">
            <v>空调电控板</v>
          </cell>
          <cell r="G448">
            <v>0.37500000000000006</v>
          </cell>
          <cell r="H448">
            <v>80</v>
          </cell>
          <cell r="I448">
            <v>30</v>
          </cell>
        </row>
        <row r="449">
          <cell r="A449">
            <v>10880035903</v>
          </cell>
          <cell r="B449" t="str">
            <v>500323-C24F2B G0044 0121800104WE  </v>
          </cell>
          <cell r="C449" t="str">
            <v>10250036910/10250036911</v>
          </cell>
          <cell r="D449" t="str">
            <v>1*5</v>
          </cell>
          <cell r="E449" t="str">
            <v>锡膏</v>
          </cell>
          <cell r="F449" t="str">
            <v>空调电控板</v>
          </cell>
          <cell r="G449">
            <v>0.37500000000000006</v>
          </cell>
          <cell r="H449">
            <v>80</v>
          </cell>
          <cell r="I449">
            <v>30</v>
          </cell>
        </row>
        <row r="450">
          <cell r="A450">
            <v>10880036929</v>
          </cell>
          <cell r="B450" t="str">
            <v>693-C2591A G0044 0121800104WG  </v>
          </cell>
          <cell r="C450" t="str">
            <v>10250036910/10250036911</v>
          </cell>
          <cell r="D450" t="str">
            <v>1*5</v>
          </cell>
          <cell r="E450" t="str">
            <v>锡膏</v>
          </cell>
          <cell r="F450" t="str">
            <v>空调电控板</v>
          </cell>
          <cell r="G450">
            <v>0.37500000000000006</v>
          </cell>
          <cell r="H450">
            <v>80</v>
          </cell>
          <cell r="I450">
            <v>30</v>
          </cell>
        </row>
        <row r="451">
          <cell r="A451">
            <v>10880036932</v>
          </cell>
          <cell r="B451" t="str">
            <v>693-C2598A G0044 0121800104WF</v>
          </cell>
          <cell r="C451" t="str">
            <v>10250036910/10250036911</v>
          </cell>
          <cell r="D451" t="str">
            <v>1*5</v>
          </cell>
          <cell r="E451" t="str">
            <v>锡膏</v>
          </cell>
          <cell r="F451" t="str">
            <v>空调电控板</v>
          </cell>
          <cell r="G451">
            <v>0.37500000000000006</v>
          </cell>
          <cell r="H451">
            <v>80</v>
          </cell>
          <cell r="I451">
            <v>30</v>
          </cell>
        </row>
        <row r="452">
          <cell r="A452">
            <v>10880032774</v>
          </cell>
          <cell r="B452" t="str">
            <v>693-C2433A-PC 0151800695 海尔空调695电控板</v>
          </cell>
          <cell r="C452" t="str">
            <v>10250040992/10250040993</v>
          </cell>
          <cell r="D452" t="str">
            <v>1*4</v>
          </cell>
          <cell r="E452" t="str">
            <v>锡膏</v>
          </cell>
          <cell r="F452" t="str">
            <v>空调电控板</v>
          </cell>
          <cell r="G452">
            <v>0.255</v>
          </cell>
          <cell r="H452">
            <v>400</v>
          </cell>
          <cell r="I452">
            <v>26</v>
          </cell>
        </row>
        <row r="453">
          <cell r="A453">
            <v>10880033487</v>
          </cell>
          <cell r="B453" t="str">
            <v>500323-C24F6A-PC 0041801140</v>
          </cell>
          <cell r="C453">
            <v>10250040204</v>
          </cell>
          <cell r="D453" t="str">
            <v>1*3</v>
          </cell>
          <cell r="E453" t="str">
            <v>锡膏</v>
          </cell>
          <cell r="F453" t="str">
            <v>空调电控板</v>
          </cell>
          <cell r="G453">
            <v>0.37555555555555553</v>
          </cell>
          <cell r="H453">
            <v>360</v>
          </cell>
          <cell r="I453">
            <v>36</v>
          </cell>
        </row>
        <row r="454">
          <cell r="A454">
            <v>10880033488</v>
          </cell>
          <cell r="B454" t="str">
            <v>500323-C24F6B-PC 0041801140A</v>
          </cell>
          <cell r="C454">
            <v>10250040255</v>
          </cell>
          <cell r="D454" t="str">
            <v>1*3</v>
          </cell>
          <cell r="E454" t="str">
            <v>锡膏</v>
          </cell>
          <cell r="F454" t="str">
            <v>空调电控板</v>
          </cell>
          <cell r="G454">
            <v>0.37555555555555553</v>
          </cell>
          <cell r="H454">
            <v>360</v>
          </cell>
          <cell r="I454">
            <v>36</v>
          </cell>
        </row>
        <row r="455">
          <cell r="A455">
            <v>10880030931</v>
          </cell>
          <cell r="B455" t="str">
            <v>693-C23J5A-PC 0011801826</v>
          </cell>
          <cell r="C455">
            <v>10250036640</v>
          </cell>
          <cell r="D455" t="str">
            <v>1*2</v>
          </cell>
          <cell r="E455" t="str">
            <v>锡膏</v>
          </cell>
          <cell r="F455" t="str">
            <v>空调1826电控板</v>
          </cell>
          <cell r="G455">
            <v>0.24444444444444446</v>
          </cell>
          <cell r="H455">
            <v>90</v>
          </cell>
          <cell r="I455">
            <v>22</v>
          </cell>
        </row>
        <row r="456">
          <cell r="A456">
            <v>10880033974</v>
          </cell>
          <cell r="B456" t="str">
            <v xml:space="preserve">500323-C24A2A-PC 0011801675A  </v>
          </cell>
          <cell r="C456" t="str">
            <v>10250040958/10250040960</v>
          </cell>
          <cell r="D456" t="str">
            <v>1*2</v>
          </cell>
          <cell r="E456" t="str">
            <v>锡膏</v>
          </cell>
          <cell r="F456" t="str">
            <v>空调电控板</v>
          </cell>
          <cell r="G456">
            <v>0.10714285714285715</v>
          </cell>
          <cell r="H456">
            <v>280</v>
          </cell>
          <cell r="I456">
            <v>30</v>
          </cell>
        </row>
        <row r="457">
          <cell r="A457">
            <v>10880033976</v>
          </cell>
          <cell r="B457" t="str">
            <v xml:space="preserve">500323-C24A2B-PC 0011801675B  </v>
          </cell>
          <cell r="C457" t="str">
            <v>10250041558/10250041559</v>
          </cell>
          <cell r="D457" t="str">
            <v>1*2</v>
          </cell>
          <cell r="E457" t="str">
            <v>锡膏</v>
          </cell>
          <cell r="F457" t="str">
            <v>空调电控板</v>
          </cell>
          <cell r="G457">
            <v>0.10714285714285715</v>
          </cell>
          <cell r="H457">
            <v>280</v>
          </cell>
          <cell r="I457">
            <v>30</v>
          </cell>
        </row>
        <row r="458">
          <cell r="A458">
            <v>10880034933</v>
          </cell>
          <cell r="B458" t="str">
            <v xml:space="preserve"> 500323-C24A2E-PC 0011801675C  </v>
          </cell>
          <cell r="C458" t="str">
            <v>10250040958/10250040960</v>
          </cell>
          <cell r="D458" t="str">
            <v>1*2</v>
          </cell>
          <cell r="E458" t="str">
            <v>锡膏</v>
          </cell>
          <cell r="F458" t="str">
            <v>空调电控板</v>
          </cell>
          <cell r="G458">
            <v>0.10714285714285715</v>
          </cell>
          <cell r="H458">
            <v>280</v>
          </cell>
          <cell r="I458">
            <v>30</v>
          </cell>
        </row>
        <row r="459">
          <cell r="A459">
            <v>10880035788</v>
          </cell>
          <cell r="B459" t="str">
            <v>693-C2516E-PC G0044 0011801675AF</v>
          </cell>
          <cell r="C459" t="str">
            <v>10250043628/10250043629</v>
          </cell>
          <cell r="D459" t="str">
            <v>1*2</v>
          </cell>
          <cell r="E459" t="str">
            <v>锡膏</v>
          </cell>
          <cell r="F459" t="str">
            <v>空调电控板</v>
          </cell>
          <cell r="G459">
            <v>0.10714285714285715</v>
          </cell>
          <cell r="H459">
            <v>280</v>
          </cell>
          <cell r="I459">
            <v>30</v>
          </cell>
        </row>
        <row r="460">
          <cell r="A460">
            <v>10880035232</v>
          </cell>
          <cell r="B460" t="str">
            <v xml:space="preserve">500323-C24A2F-PC 0011801675G  </v>
          </cell>
          <cell r="C460" t="str">
            <v>10250040958/10250040960</v>
          </cell>
          <cell r="D460" t="str">
            <v>1*2</v>
          </cell>
          <cell r="E460" t="str">
            <v>锡膏</v>
          </cell>
          <cell r="F460" t="str">
            <v>空调电控板</v>
          </cell>
          <cell r="G460">
            <v>0.10714285714285715</v>
          </cell>
          <cell r="H460">
            <v>280</v>
          </cell>
          <cell r="I460">
            <v>30</v>
          </cell>
        </row>
        <row r="461">
          <cell r="A461">
            <v>10880035512</v>
          </cell>
          <cell r="B461" t="str">
            <v xml:space="preserve">693-C2516A-PC G0044 0011801675H  </v>
          </cell>
          <cell r="C461" t="str">
            <v>10250043437/10250043438</v>
          </cell>
          <cell r="D461" t="str">
            <v>1*2</v>
          </cell>
          <cell r="E461" t="str">
            <v>锡膏</v>
          </cell>
          <cell r="F461" t="str">
            <v>空调电控板</v>
          </cell>
          <cell r="G461">
            <v>0.10714285714285715</v>
          </cell>
          <cell r="H461">
            <v>280</v>
          </cell>
          <cell r="I461">
            <v>30</v>
          </cell>
        </row>
        <row r="462">
          <cell r="A462">
            <v>10880036761</v>
          </cell>
          <cell r="B462" t="str">
            <v xml:space="preserve">500323-C24A2E-PC G0044 0011801675C 新  </v>
          </cell>
          <cell r="C462" t="str">
            <v>10250043551/10250043552</v>
          </cell>
          <cell r="D462" t="str">
            <v>1*2</v>
          </cell>
          <cell r="E462" t="str">
            <v>锡膏</v>
          </cell>
          <cell r="F462" t="str">
            <v>空调电控板</v>
          </cell>
          <cell r="G462">
            <v>0.10714285714285715</v>
          </cell>
          <cell r="H462">
            <v>280</v>
          </cell>
          <cell r="I462">
            <v>30</v>
          </cell>
        </row>
        <row r="463">
          <cell r="A463">
            <v>10880036325</v>
          </cell>
          <cell r="B463" t="str">
            <v>693-C2516F-PC G0044 0011801675AE</v>
          </cell>
          <cell r="C463" t="str">
            <v>10250043551/10250043552</v>
          </cell>
          <cell r="D463" t="str">
            <v>1*2</v>
          </cell>
          <cell r="E463" t="str">
            <v>锡膏</v>
          </cell>
          <cell r="F463" t="str">
            <v>空调电控板</v>
          </cell>
          <cell r="G463">
            <v>0.10714285714285715</v>
          </cell>
          <cell r="H463">
            <v>280</v>
          </cell>
          <cell r="I463">
            <v>30</v>
          </cell>
        </row>
        <row r="464">
          <cell r="A464">
            <v>10880036348</v>
          </cell>
          <cell r="B464" t="str">
            <v>693-C2516G-PC G0044 0011801675J</v>
          </cell>
          <cell r="C464" t="str">
            <v>10250043551/10250043552</v>
          </cell>
          <cell r="D464" t="str">
            <v>1*2</v>
          </cell>
          <cell r="E464" t="str">
            <v>锡膏</v>
          </cell>
          <cell r="F464" t="str">
            <v>空调电控板</v>
          </cell>
          <cell r="G464">
            <v>0.10714285714285715</v>
          </cell>
          <cell r="H464">
            <v>280</v>
          </cell>
          <cell r="I464">
            <v>30</v>
          </cell>
        </row>
        <row r="465">
          <cell r="A465">
            <v>10880036349</v>
          </cell>
          <cell r="B465" t="str">
            <v>693-C2516H-PC G0044 0011801675K</v>
          </cell>
          <cell r="C465" t="str">
            <v>10250043551/10250043552</v>
          </cell>
          <cell r="D465" t="str">
            <v>1*2</v>
          </cell>
          <cell r="E465" t="str">
            <v>锡膏</v>
          </cell>
          <cell r="F465" t="str">
            <v>空调电控板</v>
          </cell>
          <cell r="G465">
            <v>0.10714285714285715</v>
          </cell>
          <cell r="H465">
            <v>280</v>
          </cell>
          <cell r="I465">
            <v>30</v>
          </cell>
        </row>
        <row r="466">
          <cell r="A466">
            <v>10880036760</v>
          </cell>
          <cell r="B466" t="str">
            <v>500323-C24A2B-PC G0044 0011801675B 新</v>
          </cell>
          <cell r="C466" t="str">
            <v>10250043628/10250043629</v>
          </cell>
          <cell r="D466" t="str">
            <v>1*2</v>
          </cell>
          <cell r="E466" t="str">
            <v>锡膏</v>
          </cell>
          <cell r="F466" t="str">
            <v>空调电控板</v>
          </cell>
          <cell r="G466">
            <v>0.10714285714285715</v>
          </cell>
          <cell r="H466">
            <v>280</v>
          </cell>
          <cell r="I466">
            <v>30</v>
          </cell>
        </row>
        <row r="467">
          <cell r="A467">
            <v>10880035167</v>
          </cell>
          <cell r="B467" t="str">
            <v xml:space="preserve">500323-C2508A-PC 0011801824  </v>
          </cell>
          <cell r="C467" t="str">
            <v xml:space="preserve"> 10250042647/ 10250042648</v>
          </cell>
          <cell r="D467" t="str">
            <v>1*2</v>
          </cell>
          <cell r="E467" t="str">
            <v>锡膏</v>
          </cell>
          <cell r="F467" t="str">
            <v>空调电控板</v>
          </cell>
          <cell r="G467">
            <v>5.6250000000000001E-2</v>
          </cell>
          <cell r="H467">
            <v>480</v>
          </cell>
          <cell r="I467">
            <v>27</v>
          </cell>
        </row>
        <row r="468">
          <cell r="A468">
            <v>10880035721</v>
          </cell>
          <cell r="B468" t="str">
            <v xml:space="preserve">500323-C2508C-PC G0044 0011801824B  </v>
          </cell>
          <cell r="C468" t="str">
            <v xml:space="preserve"> 10250042647/ 10250042648</v>
          </cell>
          <cell r="D468" t="str">
            <v>1*2</v>
          </cell>
          <cell r="E468" t="str">
            <v>锡膏</v>
          </cell>
          <cell r="F468" t="str">
            <v>空调电控板</v>
          </cell>
          <cell r="G468">
            <v>6.25E-2</v>
          </cell>
          <cell r="H468">
            <v>400</v>
          </cell>
          <cell r="I468">
            <v>28</v>
          </cell>
        </row>
        <row r="469">
          <cell r="A469">
            <v>10880034608</v>
          </cell>
          <cell r="B469" t="str">
            <v>501649-B2401A-BMS 一级从控</v>
          </cell>
          <cell r="C469" t="str">
            <v>10300015621/10300015622</v>
          </cell>
          <cell r="D469" t="str">
            <v>1*2</v>
          </cell>
          <cell r="E469" t="str">
            <v>锡膏</v>
          </cell>
          <cell r="F469" t="str">
            <v>一体机储能系统BMS板</v>
          </cell>
          <cell r="G469">
            <v>7.9999999999999988E-2</v>
          </cell>
          <cell r="H469">
            <v>200</v>
          </cell>
          <cell r="I469">
            <v>16</v>
          </cell>
        </row>
        <row r="470">
          <cell r="A470">
            <v>10880034609</v>
          </cell>
          <cell r="B470" t="str">
            <v xml:space="preserve"> 501649-B2401B-BMS 二级主控</v>
          </cell>
          <cell r="C470">
            <v>10300015622</v>
          </cell>
          <cell r="D470" t="str">
            <v>1*2</v>
          </cell>
          <cell r="E470" t="str">
            <v>锡膏</v>
          </cell>
          <cell r="F470" t="str">
            <v>一体机储能系统BMS板</v>
          </cell>
          <cell r="G470">
            <v>0.39179487179487182</v>
          </cell>
          <cell r="H470">
            <v>200</v>
          </cell>
          <cell r="I470">
            <v>19</v>
          </cell>
        </row>
        <row r="471">
          <cell r="A471">
            <v>10880034610</v>
          </cell>
          <cell r="B471" t="str">
            <v>501649-B2401C-BMS 三级总控</v>
          </cell>
          <cell r="C471">
            <v>10300015623</v>
          </cell>
          <cell r="D471" t="str">
            <v>1*2</v>
          </cell>
          <cell r="E471" t="str">
            <v>锡膏</v>
          </cell>
          <cell r="F471" t="str">
            <v>一体机储能系统BMS板</v>
          </cell>
          <cell r="G471">
            <v>9.5833333333333326E-2</v>
          </cell>
          <cell r="H471">
            <v>240</v>
          </cell>
          <cell r="I471">
            <v>23</v>
          </cell>
        </row>
        <row r="472">
          <cell r="A472">
            <v>10880034471</v>
          </cell>
          <cell r="B472" t="str">
            <v>500323-C2490D-PC 0011801859F</v>
          </cell>
          <cell r="C472" t="str">
            <v>10250041662/10250041663</v>
          </cell>
          <cell r="D472" t="str">
            <v>1*2</v>
          </cell>
          <cell r="E472" t="str">
            <v>锡膏</v>
          </cell>
          <cell r="F472" t="str">
            <v>空调电控板</v>
          </cell>
          <cell r="G472">
            <v>6.4000000000000001E-2</v>
          </cell>
          <cell r="H472">
            <v>500</v>
          </cell>
          <cell r="I472">
            <v>32</v>
          </cell>
        </row>
        <row r="473">
          <cell r="A473">
            <v>10880033805</v>
          </cell>
          <cell r="B473" t="str">
            <v xml:space="preserve"> 500323-C24J3A-PC 0011801890 </v>
          </cell>
          <cell r="C473" t="str">
            <v>10250041110/10250041111</v>
          </cell>
          <cell r="D473" t="str">
            <v>1*2</v>
          </cell>
          <cell r="E473" t="str">
            <v>锡膏</v>
          </cell>
          <cell r="F473" t="str">
            <v>空调电控板</v>
          </cell>
          <cell r="G473">
            <v>8.0952380952380956E-2</v>
          </cell>
          <cell r="H473">
            <v>420</v>
          </cell>
          <cell r="I473">
            <v>34</v>
          </cell>
        </row>
        <row r="474">
          <cell r="A474">
            <v>10880036350</v>
          </cell>
          <cell r="B474" t="str">
            <v xml:space="preserve">500323-C24J3B-PC G0044 0011801890C  </v>
          </cell>
          <cell r="C474" t="str">
            <v>10250041110/10250041111</v>
          </cell>
          <cell r="D474" t="str">
            <v>1*2</v>
          </cell>
          <cell r="E474" t="str">
            <v>锡膏</v>
          </cell>
          <cell r="F474" t="str">
            <v>空调电控板</v>
          </cell>
          <cell r="G474">
            <v>7.857142857142857E-2</v>
          </cell>
          <cell r="H474">
            <v>420</v>
          </cell>
          <cell r="I474">
            <v>33</v>
          </cell>
        </row>
        <row r="475">
          <cell r="A475">
            <v>10880034629</v>
          </cell>
          <cell r="B475" t="str">
            <v xml:space="preserve">500323-C24P8A-PC 0011800697AC  </v>
          </cell>
          <cell r="C475" t="str">
            <v>10250041668/10250041669</v>
          </cell>
          <cell r="D475" t="str">
            <v>1*2</v>
          </cell>
          <cell r="E475" t="str">
            <v>锡膏</v>
          </cell>
          <cell r="F475" t="str">
            <v>空调电控板</v>
          </cell>
          <cell r="G475">
            <v>6.6666666666666666E-2</v>
          </cell>
          <cell r="H475">
            <v>420</v>
          </cell>
          <cell r="I475">
            <v>28</v>
          </cell>
        </row>
        <row r="476">
          <cell r="A476">
            <v>10880036299</v>
          </cell>
          <cell r="B476" t="str">
            <v>693-C2556A-D G0044 0031800517</v>
          </cell>
          <cell r="C476" t="str">
            <v>10250043860/10250043861/10250043862</v>
          </cell>
          <cell r="D476" t="str">
            <v>1*5</v>
          </cell>
          <cell r="E476" t="str">
            <v>锡膏</v>
          </cell>
          <cell r="F476" t="str">
            <v>洗衣机显示板</v>
          </cell>
          <cell r="G476">
            <v>0.28000000000000003</v>
          </cell>
          <cell r="H476">
            <v>100</v>
          </cell>
          <cell r="I476">
            <v>28</v>
          </cell>
        </row>
        <row r="477">
          <cell r="A477">
            <v>10880031242</v>
          </cell>
          <cell r="B477" t="str">
            <v>693-B23I7A-PC 0011801039AM</v>
          </cell>
          <cell r="C477">
            <v>10250037433</v>
          </cell>
          <cell r="D477" t="str">
            <v>1*1</v>
          </cell>
          <cell r="E477" t="str">
            <v>锡膏</v>
          </cell>
          <cell r="F477" t="str">
            <v>空调外机1039AM电控板</v>
          </cell>
          <cell r="G477">
            <v>0.2</v>
          </cell>
          <cell r="H477">
            <v>150</v>
          </cell>
          <cell r="I477">
            <v>30</v>
          </cell>
        </row>
        <row r="478">
          <cell r="A478">
            <v>10880031243</v>
          </cell>
          <cell r="B478" t="str">
            <v>693-B23I7B-PC 0011801039AN</v>
          </cell>
          <cell r="C478">
            <v>10250037433</v>
          </cell>
          <cell r="D478" t="str">
            <v>1*1</v>
          </cell>
          <cell r="E478" t="str">
            <v>锡膏</v>
          </cell>
          <cell r="F478" t="str">
            <v>空调外机1039AN电控板</v>
          </cell>
          <cell r="G478">
            <v>0.2</v>
          </cell>
          <cell r="H478">
            <v>150</v>
          </cell>
          <cell r="I478">
            <v>30</v>
          </cell>
        </row>
        <row r="479">
          <cell r="A479">
            <v>10880020672</v>
          </cell>
          <cell r="B479" t="str">
            <v>693-C2247A-PC 0011801039</v>
          </cell>
          <cell r="C479" t="str">
            <v>10250031562/10250031563</v>
          </cell>
          <cell r="D479" t="str">
            <v>1*1</v>
          </cell>
          <cell r="E479" t="str">
            <v>锡膏</v>
          </cell>
          <cell r="F479" t="str">
            <v>空调外机1039AN电控板</v>
          </cell>
          <cell r="G479">
            <v>0.2</v>
          </cell>
          <cell r="H479">
            <v>150</v>
          </cell>
          <cell r="I479">
            <v>30</v>
          </cell>
        </row>
        <row r="480">
          <cell r="A480">
            <v>10880035722</v>
          </cell>
          <cell r="B480" t="str">
            <v>693-C2536A-D G0044 0011802040</v>
          </cell>
          <cell r="C480" t="str">
            <v>10250043553/10250043554</v>
          </cell>
          <cell r="D480" t="str">
            <v>1*3</v>
          </cell>
          <cell r="E480" t="str">
            <v>锡膏</v>
          </cell>
          <cell r="F480" t="str">
            <v>空调显示板</v>
          </cell>
          <cell r="G480">
            <v>6.6666666666666666E-2</v>
          </cell>
          <cell r="H480">
            <v>450</v>
          </cell>
          <cell r="I480">
            <v>30</v>
          </cell>
        </row>
        <row r="481">
          <cell r="A481">
            <v>10880036515</v>
          </cell>
          <cell r="B481" t="str">
            <v xml:space="preserve"> 693-C2536B-D G0044 0011802040A  </v>
          </cell>
          <cell r="C481" t="str">
            <v>10250043553/10250043554</v>
          </cell>
          <cell r="D481" t="str">
            <v>1*3</v>
          </cell>
          <cell r="E481" t="str">
            <v>锡膏</v>
          </cell>
          <cell r="F481" t="str">
            <v>空调显示板</v>
          </cell>
          <cell r="G481">
            <v>6.8333333333333329E-2</v>
          </cell>
          <cell r="H481">
            <v>450</v>
          </cell>
          <cell r="I481">
            <v>29</v>
          </cell>
        </row>
        <row r="482">
          <cell r="A482">
            <v>10880035653</v>
          </cell>
          <cell r="B482" t="str">
            <v>693-C2534F-PC G0044 0011801843X</v>
          </cell>
          <cell r="C482">
            <v>10250043450</v>
          </cell>
          <cell r="D482" t="str">
            <v>1*2</v>
          </cell>
          <cell r="E482" t="str">
            <v>锡膏</v>
          </cell>
          <cell r="F482" t="str">
            <v>空调电控板</v>
          </cell>
          <cell r="G482">
            <v>0.1125</v>
          </cell>
          <cell r="H482">
            <v>320</v>
          </cell>
          <cell r="I482">
            <v>36</v>
          </cell>
        </row>
        <row r="483">
          <cell r="A483">
            <v>10880035661</v>
          </cell>
          <cell r="B483" t="str">
            <v>693-C2534G-PC G0044 0011801843Y</v>
          </cell>
          <cell r="C483">
            <v>10250046176</v>
          </cell>
          <cell r="D483" t="str">
            <v>1*2</v>
          </cell>
          <cell r="E483" t="str">
            <v>锡膏</v>
          </cell>
          <cell r="F483" t="str">
            <v>空调电控板</v>
          </cell>
          <cell r="G483">
            <v>0.1125</v>
          </cell>
          <cell r="H483">
            <v>320</v>
          </cell>
          <cell r="I483">
            <v>36</v>
          </cell>
        </row>
        <row r="484">
          <cell r="A484">
            <v>10880034946</v>
          </cell>
          <cell r="B484" t="str">
            <v xml:space="preserve">500323-C2501A-PC 0011801843D  </v>
          </cell>
          <cell r="C484">
            <v>10250042480</v>
          </cell>
          <cell r="D484" t="str">
            <v>1*2</v>
          </cell>
          <cell r="E484" t="str">
            <v>锡膏</v>
          </cell>
          <cell r="F484" t="str">
            <v>空调电控板</v>
          </cell>
          <cell r="G484">
            <v>0.1125</v>
          </cell>
          <cell r="H484">
            <v>320</v>
          </cell>
          <cell r="I484">
            <v>36</v>
          </cell>
        </row>
        <row r="485">
          <cell r="A485">
            <v>10880036498</v>
          </cell>
          <cell r="B485" t="str">
            <v>693-C2534K-PC G0044 0011801843AH</v>
          </cell>
          <cell r="C485" t="str">
            <v>10250043449/10250043450</v>
          </cell>
          <cell r="D485" t="str">
            <v>1*2</v>
          </cell>
          <cell r="E485" t="str">
            <v>锡膏</v>
          </cell>
          <cell r="F485" t="str">
            <v>空调电控板</v>
          </cell>
          <cell r="G485">
            <v>0.1125</v>
          </cell>
          <cell r="H485">
            <v>320</v>
          </cell>
          <cell r="I485">
            <v>36</v>
          </cell>
        </row>
        <row r="486">
          <cell r="A486">
            <v>10880037379</v>
          </cell>
          <cell r="B486" t="str">
            <v>600766-A2505A-PC G0044 0011801843B</v>
          </cell>
          <cell r="C486" t="str">
            <v>10250043449/10250043450</v>
          </cell>
          <cell r="D486" t="str">
            <v>1*2</v>
          </cell>
          <cell r="E486" t="str">
            <v>锡膏</v>
          </cell>
          <cell r="F486" t="str">
            <v>空调电控板</v>
          </cell>
          <cell r="G486">
            <v>0.11562500000000001</v>
          </cell>
          <cell r="H486">
            <v>320</v>
          </cell>
          <cell r="I486">
            <v>37</v>
          </cell>
        </row>
        <row r="487">
          <cell r="A487">
            <v>10880037382</v>
          </cell>
          <cell r="B487" t="str">
            <v xml:space="preserve"> 600766-A2505D-PC G0044 0011801843K</v>
          </cell>
          <cell r="C487" t="str">
            <v>10250043449/10250043450</v>
          </cell>
          <cell r="D487" t="str">
            <v>1*2</v>
          </cell>
          <cell r="E487" t="str">
            <v>锡膏</v>
          </cell>
          <cell r="F487" t="str">
            <v>空调电控板</v>
          </cell>
          <cell r="G487">
            <v>0.11562500000000001</v>
          </cell>
          <cell r="H487">
            <v>320</v>
          </cell>
          <cell r="I487">
            <v>37</v>
          </cell>
        </row>
        <row r="488">
          <cell r="A488">
            <v>10880037380</v>
          </cell>
          <cell r="B488" t="str">
            <v>600766-A2505B-PC G0044 0011801843G</v>
          </cell>
          <cell r="C488" t="str">
            <v>10250043449/10250043450</v>
          </cell>
          <cell r="D488" t="str">
            <v>1*2</v>
          </cell>
          <cell r="E488" t="str">
            <v>锡膏</v>
          </cell>
          <cell r="F488" t="str">
            <v>空调电控板</v>
          </cell>
          <cell r="G488">
            <v>0.11562500000000001</v>
          </cell>
          <cell r="H488">
            <v>320</v>
          </cell>
          <cell r="I488">
            <v>37</v>
          </cell>
        </row>
        <row r="489">
          <cell r="A489">
            <v>10880037426</v>
          </cell>
          <cell r="B489" t="str">
            <v>600766-A2505E-PC G0044 0011801843JCHHR</v>
          </cell>
          <cell r="C489" t="str">
            <v>10250043449/10250043450</v>
          </cell>
          <cell r="D489" t="str">
            <v>1*2</v>
          </cell>
          <cell r="E489" t="str">
            <v>锡膏</v>
          </cell>
          <cell r="F489" t="str">
            <v>空调电控板</v>
          </cell>
          <cell r="G489">
            <v>0.11562500000000001</v>
          </cell>
          <cell r="H489">
            <v>320</v>
          </cell>
          <cell r="I489">
            <v>37</v>
          </cell>
        </row>
        <row r="490">
          <cell r="A490">
            <v>10880036423</v>
          </cell>
          <cell r="B490" t="str">
            <v xml:space="preserve">693-C2532B-PC G0044 0011802020A  </v>
          </cell>
          <cell r="C490">
            <v>10250043958</v>
          </cell>
          <cell r="D490" t="str">
            <v>1*2</v>
          </cell>
          <cell r="E490" t="str">
            <v>锡膏</v>
          </cell>
          <cell r="F490" t="str">
            <v>空调电控板</v>
          </cell>
          <cell r="G490">
            <v>6.222222222222222E-2</v>
          </cell>
          <cell r="H490">
            <v>450</v>
          </cell>
          <cell r="I490">
            <v>28</v>
          </cell>
        </row>
        <row r="491">
          <cell r="A491">
            <v>10880036424</v>
          </cell>
          <cell r="B491" t="str">
            <v xml:space="preserve">693-C2532C-PC G0044 0011802020B  </v>
          </cell>
          <cell r="C491">
            <v>10250043958</v>
          </cell>
          <cell r="D491" t="str">
            <v>1*2</v>
          </cell>
          <cell r="E491" t="str">
            <v>锡膏</v>
          </cell>
          <cell r="F491" t="str">
            <v>空调电控板</v>
          </cell>
          <cell r="G491">
            <v>6.222222222222222E-2</v>
          </cell>
          <cell r="H491">
            <v>450</v>
          </cell>
          <cell r="I491">
            <v>28</v>
          </cell>
        </row>
        <row r="492">
          <cell r="A492">
            <v>10880036704</v>
          </cell>
          <cell r="B492" t="str">
            <v xml:space="preserve">693-C24Q3C-PC G0044 0011801977E  </v>
          </cell>
          <cell r="C492" t="str">
            <v>10250044616/10250044617</v>
          </cell>
          <cell r="D492" t="str">
            <v>1*2</v>
          </cell>
          <cell r="E492" t="str">
            <v>锡膏</v>
          </cell>
          <cell r="F492" t="str">
            <v>空调电控板</v>
          </cell>
          <cell r="G492">
            <v>0.13666666666666666</v>
          </cell>
          <cell r="H492">
            <v>300</v>
          </cell>
          <cell r="I492">
            <v>28</v>
          </cell>
        </row>
        <row r="493">
          <cell r="A493">
            <v>10880036706</v>
          </cell>
          <cell r="B493" t="str">
            <v>693-C24Q3B-PC G0044 0011801977F</v>
          </cell>
          <cell r="C493" t="str">
            <v>10250044616/10250044617</v>
          </cell>
          <cell r="D493" t="str">
            <v>1*2</v>
          </cell>
          <cell r="E493" t="str">
            <v>锡膏</v>
          </cell>
          <cell r="F493" t="str">
            <v>空调电控板</v>
          </cell>
          <cell r="G493">
            <v>0.13666666666666666</v>
          </cell>
          <cell r="H493">
            <v>300</v>
          </cell>
          <cell r="I493">
            <v>28</v>
          </cell>
        </row>
        <row r="494">
          <cell r="A494">
            <v>10880036432</v>
          </cell>
          <cell r="B494" t="str">
            <v xml:space="preserve">693-B2548A-PC G0044 0011801922  </v>
          </cell>
          <cell r="C494" t="str">
            <v>10250044763/10250044764</v>
          </cell>
          <cell r="D494" t="str">
            <v>1*2</v>
          </cell>
          <cell r="E494" t="str">
            <v>锡膏</v>
          </cell>
          <cell r="F494" t="str">
            <v>空调电控板</v>
          </cell>
          <cell r="G494">
            <v>0.08</v>
          </cell>
          <cell r="H494">
            <v>400</v>
          </cell>
          <cell r="I494">
            <v>32</v>
          </cell>
        </row>
        <row r="495">
          <cell r="A495">
            <v>10880038124</v>
          </cell>
          <cell r="B495" t="str">
            <v>693-B2548G-PC G0044 0011801922H</v>
          </cell>
          <cell r="C495" t="str">
            <v>10250044763/10250044764</v>
          </cell>
          <cell r="D495" t="str">
            <v>1*2</v>
          </cell>
          <cell r="E495" t="str">
            <v>锡膏</v>
          </cell>
          <cell r="F495" t="str">
            <v>空调电控板</v>
          </cell>
          <cell r="G495">
            <v>0.08</v>
          </cell>
          <cell r="H495">
            <v>400</v>
          </cell>
          <cell r="I495">
            <v>32</v>
          </cell>
        </row>
        <row r="496">
          <cell r="A496">
            <v>10880038125</v>
          </cell>
          <cell r="B496" t="str">
            <v>693-B2548H-PC G0044 0011801922J</v>
          </cell>
          <cell r="C496" t="str">
            <v>10250044763/10250044764</v>
          </cell>
          <cell r="D496" t="str">
            <v>1*2</v>
          </cell>
          <cell r="E496" t="str">
            <v>锡膏</v>
          </cell>
          <cell r="F496" t="str">
            <v>空调电控板</v>
          </cell>
          <cell r="G496">
            <v>0.08</v>
          </cell>
          <cell r="H496">
            <v>400</v>
          </cell>
          <cell r="I496">
            <v>32</v>
          </cell>
        </row>
        <row r="497">
          <cell r="A497">
            <v>10880038122</v>
          </cell>
          <cell r="B497" t="str">
            <v>693-B2548E-PC G0044 0011801922F</v>
          </cell>
          <cell r="C497" t="str">
            <v>10250044763/10250044764</v>
          </cell>
          <cell r="D497" t="str">
            <v>1*2</v>
          </cell>
          <cell r="E497" t="str">
            <v>锡膏</v>
          </cell>
          <cell r="F497" t="str">
            <v>空调电控板</v>
          </cell>
          <cell r="G497">
            <v>0.08</v>
          </cell>
          <cell r="H497">
            <v>400</v>
          </cell>
          <cell r="I497">
            <v>32</v>
          </cell>
        </row>
        <row r="498">
          <cell r="A498">
            <v>10880038123</v>
          </cell>
          <cell r="B498" t="str">
            <v>693-B2548F-PC G0044 0011801922G</v>
          </cell>
          <cell r="C498" t="str">
            <v>10250044763/10250044764</v>
          </cell>
          <cell r="D498" t="str">
            <v>1*2</v>
          </cell>
          <cell r="E498" t="str">
            <v>锡膏</v>
          </cell>
          <cell r="F498" t="str">
            <v>空调电控板</v>
          </cell>
          <cell r="G498">
            <v>0.08</v>
          </cell>
          <cell r="H498">
            <v>400</v>
          </cell>
          <cell r="I498">
            <v>32</v>
          </cell>
        </row>
        <row r="499">
          <cell r="A499">
            <v>10880035302</v>
          </cell>
          <cell r="B499" t="str">
            <v>501650-C2401F-PC 1R017064LC</v>
          </cell>
          <cell r="C499" t="str">
            <v>10250041180/10250041170</v>
          </cell>
          <cell r="D499" t="str">
            <v>1*24</v>
          </cell>
          <cell r="E499" t="str">
            <v>锡膏</v>
          </cell>
          <cell r="F499" t="str">
            <v>车内外视频监视电控板</v>
          </cell>
          <cell r="G499">
            <v>8.5714285714285719E-3</v>
          </cell>
          <cell r="H499">
            <v>700</v>
          </cell>
          <cell r="I499">
            <v>6</v>
          </cell>
        </row>
        <row r="500">
          <cell r="A500">
            <v>10880034198</v>
          </cell>
          <cell r="B500" t="str">
            <v>500323-C24L2A-PC 0011801889</v>
          </cell>
          <cell r="C500">
            <v>10250044660</v>
          </cell>
          <cell r="D500" t="str">
            <v>1*2</v>
          </cell>
          <cell r="E500" t="str">
            <v>锡膏</v>
          </cell>
          <cell r="F500" t="str">
            <v>空调电控板</v>
          </cell>
          <cell r="G500">
            <v>0.17500000000000002</v>
          </cell>
          <cell r="H500">
            <v>200</v>
          </cell>
          <cell r="I500">
            <v>35</v>
          </cell>
        </row>
        <row r="501">
          <cell r="A501">
            <v>40880000587</v>
          </cell>
          <cell r="B501" t="str">
            <v>500323-C24R1A G0044</v>
          </cell>
          <cell r="C501" t="str">
            <v>10250044718/10250044720</v>
          </cell>
          <cell r="D501" t="str">
            <v>1*6</v>
          </cell>
          <cell r="E501" t="str">
            <v>OSP
T/锡膏</v>
          </cell>
          <cell r="F501" t="str">
            <v>海尔洗衣机售后检测仪</v>
          </cell>
          <cell r="G501">
            <v>1.4143333333333332</v>
          </cell>
          <cell r="H501">
            <v>15</v>
          </cell>
          <cell r="I501">
            <v>43</v>
          </cell>
        </row>
        <row r="502">
          <cell r="A502">
            <v>40880000587</v>
          </cell>
          <cell r="B502" t="str">
            <v>500323-C24R1A G0044</v>
          </cell>
          <cell r="D502" t="str">
            <v>1*2</v>
          </cell>
        </row>
        <row r="503">
          <cell r="A503">
            <v>40880000587</v>
          </cell>
          <cell r="B503" t="str">
            <v>500323-C24R1A G0044</v>
          </cell>
        </row>
        <row r="504">
          <cell r="A504">
            <v>10880036964</v>
          </cell>
          <cell r="B504" t="str">
            <v>693-C2540A-PC G0044 0041801952</v>
          </cell>
          <cell r="C504" t="str">
            <v>10250045451/10250045452</v>
          </cell>
          <cell r="D504" t="str">
            <v>1*1</v>
          </cell>
          <cell r="E504" t="str">
            <v>锡膏</v>
          </cell>
          <cell r="F504" t="str">
            <v>热水器电控板</v>
          </cell>
          <cell r="G504">
            <v>0.33333333333333331</v>
          </cell>
          <cell r="H504">
            <v>120</v>
          </cell>
          <cell r="I504">
            <v>40</v>
          </cell>
        </row>
        <row r="505">
          <cell r="A505">
            <v>10880037165</v>
          </cell>
          <cell r="B505" t="str">
            <v xml:space="preserve">693-C2574C-C G0044 0021800839B </v>
          </cell>
          <cell r="C505" t="str">
            <v>10250044962/10250044965/ 10250044966</v>
          </cell>
          <cell r="D505" t="str">
            <v>1*5</v>
          </cell>
          <cell r="E505" t="str">
            <v>锡膏</v>
          </cell>
          <cell r="F505" t="str">
            <v>洗衣机控制板</v>
          </cell>
          <cell r="G505">
            <v>0.1</v>
          </cell>
          <cell r="H505">
            <v>250</v>
          </cell>
          <cell r="I505">
            <v>25</v>
          </cell>
        </row>
        <row r="506">
          <cell r="A506">
            <v>10880037002</v>
          </cell>
          <cell r="B506" t="str">
            <v>693-C2596A-D G0044 0041801949</v>
          </cell>
          <cell r="C506" t="str">
            <v>10250045889/10250045705</v>
          </cell>
          <cell r="D506" t="str">
            <v>1*4</v>
          </cell>
          <cell r="E506" t="str">
            <v>锡膏</v>
          </cell>
          <cell r="F506" t="str">
            <v>电热水器显示板</v>
          </cell>
          <cell r="G506">
            <v>0.05</v>
          </cell>
          <cell r="H506">
            <v>400</v>
          </cell>
          <cell r="I506">
            <v>20</v>
          </cell>
        </row>
        <row r="507">
          <cell r="A507">
            <v>10880037616</v>
          </cell>
          <cell r="B507" t="str">
            <v xml:space="preserve">693-C25A8A-PC G0044 0151801031B </v>
          </cell>
          <cell r="C507">
            <v>10250046412</v>
          </cell>
          <cell r="D507" t="str">
            <v>1*1</v>
          </cell>
          <cell r="E507" t="str">
            <v>锡膏</v>
          </cell>
          <cell r="F507" t="str">
            <v>商用空调电控板</v>
          </cell>
          <cell r="G507">
            <v>0.91166666666666663</v>
          </cell>
          <cell r="H507">
            <v>40</v>
          </cell>
          <cell r="I507">
            <v>53</v>
          </cell>
        </row>
        <row r="508">
          <cell r="A508">
            <v>10880037615</v>
          </cell>
          <cell r="B508" t="str">
            <v xml:space="preserve">693-C25A7A-PC G0044 0151801031AA </v>
          </cell>
          <cell r="C508" t="str">
            <v>10250045817/10250045818</v>
          </cell>
          <cell r="D508" t="str">
            <v>1*1</v>
          </cell>
          <cell r="E508" t="str">
            <v>锡膏</v>
          </cell>
          <cell r="F508" t="str">
            <v>商用空调电控板</v>
          </cell>
          <cell r="G508">
            <v>0.66166666666666663</v>
          </cell>
          <cell r="H508">
            <v>60</v>
          </cell>
          <cell r="I508">
            <v>53</v>
          </cell>
        </row>
        <row r="509">
          <cell r="A509">
            <v>10880036513</v>
          </cell>
          <cell r="B509" t="str">
            <v>693-C2568A-PC G0044 0011800722GCH</v>
          </cell>
          <cell r="C509" t="str">
            <v>10250044618/10250044619</v>
          </cell>
          <cell r="D509" t="str">
            <v>1*2</v>
          </cell>
          <cell r="E509" t="str">
            <v>锡膏</v>
          </cell>
          <cell r="F509" t="str">
            <v>空调电控板</v>
          </cell>
          <cell r="G509">
            <v>7.3333333333333334E-2</v>
          </cell>
          <cell r="H509">
            <v>300</v>
          </cell>
          <cell r="I509">
            <v>22</v>
          </cell>
        </row>
        <row r="510">
          <cell r="A510">
            <v>10880036514</v>
          </cell>
          <cell r="B510" t="str">
            <v>693-C2568B-PC G0044 0011800722GCHA</v>
          </cell>
          <cell r="C510" t="str">
            <v>10250044618/10250044619</v>
          </cell>
          <cell r="D510" t="str">
            <v>1*2</v>
          </cell>
          <cell r="E510" t="str">
            <v>锡膏</v>
          </cell>
          <cell r="F510" t="str">
            <v>空调电控板</v>
          </cell>
          <cell r="G510">
            <v>7.3333333333333334E-2</v>
          </cell>
          <cell r="H510">
            <v>300</v>
          </cell>
          <cell r="I510">
            <v>22</v>
          </cell>
        </row>
        <row r="511">
          <cell r="A511">
            <v>10880037059</v>
          </cell>
          <cell r="B511" t="str">
            <v>693-C2595A-D G0044 0021800866</v>
          </cell>
          <cell r="C511" t="str">
            <v>10250045479/10250045480/10250045481</v>
          </cell>
          <cell r="D511" t="str">
            <v>1*3</v>
          </cell>
          <cell r="E511" t="str">
            <v>锡膏</v>
          </cell>
          <cell r="F511" t="str">
            <v>洗衣机显示板</v>
          </cell>
          <cell r="G511">
            <v>0.11</v>
          </cell>
          <cell r="H511">
            <v>300</v>
          </cell>
          <cell r="I511">
            <v>33</v>
          </cell>
        </row>
        <row r="512">
          <cell r="A512">
            <v>10880037490</v>
          </cell>
          <cell r="B512" t="str">
            <v>693-C2595B-D G0044 0021800866G</v>
          </cell>
          <cell r="C512" t="str">
            <v>10250045479/10250045480/10250045481</v>
          </cell>
          <cell r="D512" t="str">
            <v>1*3</v>
          </cell>
          <cell r="E512" t="str">
            <v>锡膏</v>
          </cell>
          <cell r="F512" t="str">
            <v>洗衣机显示板</v>
          </cell>
          <cell r="G512">
            <v>0.10666666666666667</v>
          </cell>
          <cell r="H512">
            <v>200</v>
          </cell>
          <cell r="I512">
            <v>28</v>
          </cell>
        </row>
        <row r="513">
          <cell r="A513">
            <v>10880037781</v>
          </cell>
          <cell r="B513" t="str">
            <v>693-C2595C-D G0044 0021800866GA</v>
          </cell>
          <cell r="C513" t="str">
            <v>10250045479/10250045480/10250045481</v>
          </cell>
          <cell r="D513" t="str">
            <v>1*3</v>
          </cell>
          <cell r="E513" t="str">
            <v>锡膏</v>
          </cell>
          <cell r="F513" t="str">
            <v>洗衣机显示板</v>
          </cell>
          <cell r="G513">
            <v>0.10666666666666667</v>
          </cell>
          <cell r="H513">
            <v>200</v>
          </cell>
          <cell r="I513">
            <v>28</v>
          </cell>
        </row>
        <row r="514">
          <cell r="A514">
            <v>10880037724</v>
          </cell>
          <cell r="B514" t="str">
            <v xml:space="preserve"> 501851-A2513A-D 612101020027</v>
          </cell>
          <cell r="C514" t="str">
            <v>10250046599/10250046600</v>
          </cell>
          <cell r="D514" t="str">
            <v>1*9</v>
          </cell>
          <cell r="E514" t="str">
            <v>锡膏</v>
          </cell>
          <cell r="F514" t="str">
            <v>冰箱显示板</v>
          </cell>
          <cell r="G514">
            <v>7.0000000000000007E-2</v>
          </cell>
          <cell r="H514">
            <v>400</v>
          </cell>
          <cell r="I514">
            <v>28</v>
          </cell>
        </row>
        <row r="515">
          <cell r="A515">
            <v>10880037725</v>
          </cell>
          <cell r="B515" t="str">
            <v xml:space="preserve"> 501851-A2514A-D 612101020026</v>
          </cell>
          <cell r="C515" t="str">
            <v>10250046598/0250046603</v>
          </cell>
          <cell r="D515" t="str">
            <v>1*9</v>
          </cell>
          <cell r="E515" t="str">
            <v>锡膏</v>
          </cell>
          <cell r="F515" t="str">
            <v>冰箱显示板</v>
          </cell>
          <cell r="G515">
            <v>7.2500000000000009E-2</v>
          </cell>
          <cell r="H515">
            <v>400</v>
          </cell>
          <cell r="I515">
            <v>29</v>
          </cell>
        </row>
        <row r="516">
          <cell r="A516">
            <v>10880037003</v>
          </cell>
          <cell r="B516" t="str">
            <v>693-C2596B-D G0044 0041801949A</v>
          </cell>
          <cell r="C516" t="str">
            <v>10250045889/10250045705</v>
          </cell>
          <cell r="D516" t="str">
            <v>1*4</v>
          </cell>
          <cell r="E516" t="str">
            <v>锡膏</v>
          </cell>
          <cell r="F516" t="str">
            <v>电热水器显示板</v>
          </cell>
          <cell r="G516">
            <v>5.7500000000000002E-2</v>
          </cell>
          <cell r="H516">
            <v>400</v>
          </cell>
          <cell r="I516">
            <v>23</v>
          </cell>
        </row>
        <row r="517">
          <cell r="A517">
            <v>10880037303</v>
          </cell>
          <cell r="B517" t="str">
            <v xml:space="preserve">693-C2596C-D G0044 0041801949AA  </v>
          </cell>
          <cell r="C517" t="str">
            <v>10250045889/10250045705</v>
          </cell>
          <cell r="D517" t="str">
            <v>1*4</v>
          </cell>
          <cell r="E517" t="str">
            <v>锡膏</v>
          </cell>
          <cell r="F517" t="str">
            <v>电热水器显示板</v>
          </cell>
          <cell r="G517">
            <v>5.2499999999999998E-2</v>
          </cell>
          <cell r="H517">
            <v>400</v>
          </cell>
          <cell r="I517">
            <v>21</v>
          </cell>
        </row>
        <row r="518">
          <cell r="A518">
            <v>10880037304</v>
          </cell>
          <cell r="B518" t="str">
            <v xml:space="preserve">693-C2596D-D G0044 0041801949AC </v>
          </cell>
          <cell r="C518" t="str">
            <v>10250045889/10250045705</v>
          </cell>
          <cell r="D518" t="str">
            <v>1*4</v>
          </cell>
          <cell r="E518" t="str">
            <v>锡膏</v>
          </cell>
          <cell r="F518" t="str">
            <v>电热水器显示板</v>
          </cell>
          <cell r="G518">
            <v>5.2499999999999998E-2</v>
          </cell>
          <cell r="H518">
            <v>400</v>
          </cell>
          <cell r="I518">
            <v>21</v>
          </cell>
        </row>
        <row r="519">
          <cell r="A519">
            <v>10880038040</v>
          </cell>
          <cell r="B519" t="str">
            <v xml:space="preserve">693-C2596E-D G0044 0041801949AB  </v>
          </cell>
          <cell r="C519" t="str">
            <v>10250045889/10250045705</v>
          </cell>
          <cell r="D519" t="str">
            <v>1*4</v>
          </cell>
          <cell r="E519" t="str">
            <v>锡膏</v>
          </cell>
          <cell r="F519" t="str">
            <v>电热水器显示板</v>
          </cell>
          <cell r="G519">
            <v>5.2499999999999998E-2</v>
          </cell>
          <cell r="H519">
            <v>400</v>
          </cell>
          <cell r="I519">
            <v>20</v>
          </cell>
        </row>
        <row r="520">
          <cell r="A520">
            <v>10880036453</v>
          </cell>
          <cell r="B520" t="str">
            <v xml:space="preserve">693-C2574A-C G0044 0021800839  </v>
          </cell>
          <cell r="C520" t="str">
            <v>10250044962/10250044965/ 10250044966</v>
          </cell>
          <cell r="D520" t="str">
            <v>1*5</v>
          </cell>
          <cell r="E520" t="str">
            <v>锡膏</v>
          </cell>
          <cell r="F520" t="str">
            <v>洗衣机控制板</v>
          </cell>
          <cell r="G520">
            <v>0.1</v>
          </cell>
          <cell r="H520">
            <v>250</v>
          </cell>
          <cell r="I520">
            <v>25</v>
          </cell>
        </row>
        <row r="521">
          <cell r="A521">
            <v>10880038537</v>
          </cell>
          <cell r="B521" t="str">
            <v>693-C2622A G0044 0121800104WP</v>
          </cell>
          <cell r="C521" t="str">
            <v>10250036910/10250036911</v>
          </cell>
          <cell r="D521" t="str">
            <v>1*5</v>
          </cell>
          <cell r="E521" t="str">
            <v>锡膏</v>
          </cell>
          <cell r="F521" t="str">
            <v>空调电控板</v>
          </cell>
          <cell r="G521">
            <v>0.375</v>
          </cell>
          <cell r="H521">
            <v>80</v>
          </cell>
          <cell r="I521">
            <v>30</v>
          </cell>
        </row>
        <row r="522">
          <cell r="A522">
            <v>10880038536</v>
          </cell>
          <cell r="B522" t="str">
            <v xml:space="preserve">	693-C2621A G0044 0121800104WC</v>
          </cell>
          <cell r="C522" t="str">
            <v>10250036910/10250036911</v>
          </cell>
          <cell r="D522" t="str">
            <v>1*5</v>
          </cell>
          <cell r="E522" t="str">
            <v>锡膏</v>
          </cell>
          <cell r="F522" t="str">
            <v>空调电控板</v>
          </cell>
          <cell r="G522">
            <v>0.375</v>
          </cell>
          <cell r="H522">
            <v>80</v>
          </cell>
          <cell r="I522">
            <v>30</v>
          </cell>
        </row>
        <row r="523">
          <cell r="A523">
            <v>10880038473</v>
          </cell>
          <cell r="B523" t="str">
            <v>501851-A2513B-D G0384 622101210018</v>
          </cell>
          <cell r="C523" t="str">
            <v>10250046599/10250046600</v>
          </cell>
          <cell r="D523" t="str">
            <v>1*9</v>
          </cell>
          <cell r="E523" t="str">
            <v>锡膏</v>
          </cell>
          <cell r="F523" t="str">
            <v>冰箱显示板</v>
          </cell>
          <cell r="G523">
            <v>7.0000000000000007E-2</v>
          </cell>
          <cell r="H523">
            <v>400</v>
          </cell>
          <cell r="I523">
            <v>28</v>
          </cell>
        </row>
        <row r="524">
          <cell r="A524">
            <v>10880036919</v>
          </cell>
          <cell r="B524" t="str">
            <v>693-C2574B-C G0044 0021800839A</v>
          </cell>
          <cell r="C524" t="str">
            <v>10250044962/10250044965/ 10250044966</v>
          </cell>
          <cell r="D524" t="str">
            <v>1*5</v>
          </cell>
          <cell r="E524" t="str">
            <v>锡膏</v>
          </cell>
          <cell r="F524" t="str">
            <v>洗衣机控制板</v>
          </cell>
          <cell r="G524">
            <v>0.1</v>
          </cell>
          <cell r="H524">
            <v>250</v>
          </cell>
          <cell r="I524">
            <v>25</v>
          </cell>
        </row>
        <row r="525">
          <cell r="A525">
            <v>10880036767</v>
          </cell>
          <cell r="B525" t="str">
            <v>693-C2588A-PC G0044 0151801031G</v>
          </cell>
          <cell r="C525" t="str">
            <v>10250045837/10250045838</v>
          </cell>
          <cell r="D525" t="str">
            <v>1*1</v>
          </cell>
          <cell r="E525" t="str">
            <v>锡膏</v>
          </cell>
          <cell r="F525" t="str">
            <v>商用空调电控板</v>
          </cell>
          <cell r="G525">
            <v>1.6466666666666669</v>
          </cell>
          <cell r="H525">
            <v>20</v>
          </cell>
          <cell r="I525">
            <v>50</v>
          </cell>
        </row>
        <row r="526">
          <cell r="A526">
            <v>10880037263</v>
          </cell>
          <cell r="B526" t="str">
            <v xml:space="preserve">	693-C25A1A-PC G0044 0151801031FA  </v>
          </cell>
          <cell r="C526" t="str">
            <v>10250045839/10250045840</v>
          </cell>
          <cell r="D526" t="str">
            <v>1*1</v>
          </cell>
          <cell r="E526" t="str">
            <v>锡膏</v>
          </cell>
          <cell r="F526" t="str">
            <v>商用空调电控板</v>
          </cell>
          <cell r="G526">
            <v>0.64666666666666661</v>
          </cell>
          <cell r="H526">
            <v>60</v>
          </cell>
          <cell r="I526">
            <v>50</v>
          </cell>
        </row>
        <row r="527">
          <cell r="A527">
            <v>10880037918</v>
          </cell>
          <cell r="B527" t="str">
            <v xml:space="preserve">693-C2595D-D G0044 0021800866A  </v>
          </cell>
          <cell r="C527" t="str">
            <v>10250045479/10250045480/10250045481</v>
          </cell>
          <cell r="D527" t="str">
            <v>1*3</v>
          </cell>
          <cell r="E527" t="str">
            <v>锡膏</v>
          </cell>
          <cell r="F527" t="str">
            <v>洗衣机显示板</v>
          </cell>
          <cell r="G527">
            <v>0.11</v>
          </cell>
          <cell r="H527">
            <v>300</v>
          </cell>
          <cell r="I527">
            <v>33</v>
          </cell>
        </row>
        <row r="528">
          <cell r="A528">
            <v>10880038579</v>
          </cell>
          <cell r="B528" t="str">
            <v>693-C2595E-D G0044 0021800866B</v>
          </cell>
          <cell r="C528" t="str">
            <v>10250045479/10250045480/10250045481</v>
          </cell>
          <cell r="D528" t="str">
            <v>1*3</v>
          </cell>
          <cell r="E528" t="str">
            <v>锡膏</v>
          </cell>
          <cell r="F528" t="str">
            <v>洗衣机显示板</v>
          </cell>
          <cell r="G528">
            <v>0.11</v>
          </cell>
          <cell r="H528">
            <v>300</v>
          </cell>
          <cell r="I528">
            <v>33</v>
          </cell>
        </row>
        <row r="529">
          <cell r="A529">
            <v>10880016827</v>
          </cell>
          <cell r="B529" t="str">
            <v xml:space="preserve"> 201-A2182A-PC  </v>
          </cell>
          <cell r="C529">
            <v>10300011487</v>
          </cell>
          <cell r="D529">
            <v>1</v>
          </cell>
          <cell r="E529" t="str">
            <v>OSP
T/锡膏
B/红胶</v>
          </cell>
          <cell r="F529" t="str">
            <v>变频空调室外电控板</v>
          </cell>
          <cell r="G529">
            <v>0.57999999999999996</v>
          </cell>
          <cell r="H529">
            <v>100</v>
          </cell>
          <cell r="I529">
            <v>58</v>
          </cell>
        </row>
        <row r="530">
          <cell r="A530">
            <v>10880019265</v>
          </cell>
          <cell r="B530" t="str">
            <v>201-A2182B-PC 1146511</v>
          </cell>
          <cell r="C530">
            <v>10300011487</v>
          </cell>
          <cell r="D530">
            <v>1</v>
          </cell>
          <cell r="E530" t="str">
            <v>OSP
T/锡膏
B/红胶</v>
          </cell>
          <cell r="F530" t="str">
            <v>变频空调室外电控板</v>
          </cell>
          <cell r="G530">
            <v>0.57999999999999996</v>
          </cell>
          <cell r="H530">
            <v>100</v>
          </cell>
          <cell r="I530">
            <v>58</v>
          </cell>
        </row>
        <row r="531">
          <cell r="A531">
            <v>10880019266</v>
          </cell>
          <cell r="B531" t="str">
            <v>201-A2182C-PC 1097658</v>
          </cell>
          <cell r="C531">
            <v>10300011487</v>
          </cell>
          <cell r="D531">
            <v>1</v>
          </cell>
          <cell r="E531" t="str">
            <v>OSP
T/锡膏
B/红胶</v>
          </cell>
          <cell r="F531" t="str">
            <v>变频空调室外电控板</v>
          </cell>
          <cell r="G531">
            <v>0.57999999999999996</v>
          </cell>
          <cell r="H531">
            <v>100</v>
          </cell>
          <cell r="I531">
            <v>58</v>
          </cell>
        </row>
        <row r="532">
          <cell r="A532">
            <v>10880019920</v>
          </cell>
          <cell r="B532" t="str">
            <v>201-A2182D-PC 1111442</v>
          </cell>
          <cell r="C532">
            <v>10300011487</v>
          </cell>
          <cell r="D532">
            <v>1</v>
          </cell>
          <cell r="E532" t="str">
            <v>OSP
T/锡膏
B/红胶</v>
          </cell>
          <cell r="F532" t="str">
            <v>变频空调室外电控板</v>
          </cell>
          <cell r="G532">
            <v>0.57999999999999996</v>
          </cell>
          <cell r="H532">
            <v>100</v>
          </cell>
          <cell r="I532">
            <v>58</v>
          </cell>
        </row>
        <row r="533">
          <cell r="A533">
            <v>10880019921</v>
          </cell>
          <cell r="B533" t="str">
            <v>201-A2182E-PC 1111443</v>
          </cell>
          <cell r="C533">
            <v>10300011487</v>
          </cell>
          <cell r="D533">
            <v>1</v>
          </cell>
          <cell r="E533" t="str">
            <v>OSP
T/锡膏
B/红胶</v>
          </cell>
          <cell r="F533" t="str">
            <v>变频空调室外电控板</v>
          </cell>
          <cell r="G533">
            <v>0.57999999999999996</v>
          </cell>
          <cell r="H533">
            <v>100</v>
          </cell>
          <cell r="I533">
            <v>58</v>
          </cell>
        </row>
        <row r="534">
          <cell r="A534">
            <v>10880019922</v>
          </cell>
          <cell r="B534" t="str">
            <v xml:space="preserve">201-A2182F-PC 1136612 </v>
          </cell>
          <cell r="C534">
            <v>10300011487</v>
          </cell>
          <cell r="D534">
            <v>1</v>
          </cell>
          <cell r="E534" t="str">
            <v>OSP
T/锡膏
B/红胶</v>
          </cell>
          <cell r="F534" t="str">
            <v>变频空调室外电控板</v>
          </cell>
          <cell r="G534">
            <v>0.57999999999999996</v>
          </cell>
          <cell r="H534">
            <v>100</v>
          </cell>
          <cell r="I534">
            <v>58</v>
          </cell>
        </row>
        <row r="535">
          <cell r="A535">
            <v>10880019923</v>
          </cell>
          <cell r="B535" t="str">
            <v xml:space="preserve"> 201-A2182G-PC 1146576</v>
          </cell>
          <cell r="C535">
            <v>10300011487</v>
          </cell>
          <cell r="D535">
            <v>1</v>
          </cell>
          <cell r="E535" t="str">
            <v>OSP
T/锡膏
B/红胶</v>
          </cell>
          <cell r="F535" t="str">
            <v>变频空调室外电控板</v>
          </cell>
          <cell r="G535">
            <v>0.57999999999999996</v>
          </cell>
          <cell r="H535">
            <v>100</v>
          </cell>
          <cell r="I535">
            <v>58</v>
          </cell>
        </row>
        <row r="536">
          <cell r="A536" t="str">
            <v>10880019924 </v>
          </cell>
          <cell r="B536" t="str">
            <v xml:space="preserve"> 201-A2182H-PC 1167607</v>
          </cell>
          <cell r="C536">
            <v>10300011487</v>
          </cell>
          <cell r="D536">
            <v>1</v>
          </cell>
          <cell r="E536" t="str">
            <v>OSP
T/锡膏
B/红胶</v>
          </cell>
          <cell r="F536" t="str">
            <v>变频空调室外电控板</v>
          </cell>
          <cell r="G536">
            <v>0.57999999999999996</v>
          </cell>
          <cell r="H536">
            <v>100</v>
          </cell>
          <cell r="I536">
            <v>58</v>
          </cell>
        </row>
        <row r="537">
          <cell r="A537">
            <v>10880021129</v>
          </cell>
          <cell r="B537" t="str">
            <v xml:space="preserve">201-A2182I-PC 1167732  </v>
          </cell>
          <cell r="C537">
            <v>10300011487</v>
          </cell>
          <cell r="D537">
            <v>1</v>
          </cell>
          <cell r="E537" t="str">
            <v>OSP
T/锡膏
B/红胶</v>
          </cell>
          <cell r="F537" t="str">
            <v>变频空调室外电控板</v>
          </cell>
          <cell r="G537">
            <v>0.57999999999999996</v>
          </cell>
          <cell r="H537">
            <v>100</v>
          </cell>
          <cell r="I537">
            <v>58</v>
          </cell>
        </row>
        <row r="538">
          <cell r="A538">
            <v>10880020203</v>
          </cell>
          <cell r="B538" t="str">
            <v xml:space="preserve">201-A2245A-PC PV033平台 1110602  </v>
          </cell>
          <cell r="C538">
            <v>10300012230</v>
          </cell>
          <cell r="D538">
            <v>1</v>
          </cell>
          <cell r="E538" t="str">
            <v>OSP
T/锡膏
B/红胶</v>
          </cell>
          <cell r="F538" t="str">
            <v>变频空调室外电控板</v>
          </cell>
          <cell r="G538">
            <v>0.57999999999999996</v>
          </cell>
          <cell r="H538">
            <v>100</v>
          </cell>
          <cell r="I538">
            <v>58</v>
          </cell>
        </row>
        <row r="539">
          <cell r="A539">
            <v>10880020697</v>
          </cell>
          <cell r="B539" t="str">
            <v xml:space="preserve">201-A2245B-PC PV033平台 1116785  </v>
          </cell>
          <cell r="C539">
            <v>10300012230</v>
          </cell>
          <cell r="D539">
            <v>1</v>
          </cell>
          <cell r="E539" t="str">
            <v>OSP
T/锡膏
B/红胶</v>
          </cell>
          <cell r="F539" t="str">
            <v>变频空调室外电控板</v>
          </cell>
          <cell r="G539">
            <v>0.57999999999999996</v>
          </cell>
          <cell r="H539">
            <v>100</v>
          </cell>
          <cell r="I539">
            <v>58</v>
          </cell>
        </row>
        <row r="540">
          <cell r="A540">
            <v>10880020728</v>
          </cell>
          <cell r="B540" t="str">
            <v xml:space="preserve"> 201-A2245C-PC PV033平台 1123848 </v>
          </cell>
          <cell r="C540">
            <v>10300012230</v>
          </cell>
          <cell r="D540">
            <v>1</v>
          </cell>
          <cell r="E540" t="str">
            <v>OSP
T/锡膏
B/红胶</v>
          </cell>
          <cell r="F540" t="str">
            <v>变频空调室外电控板</v>
          </cell>
          <cell r="G540">
            <v>0.57999999999999996</v>
          </cell>
          <cell r="H540">
            <v>100</v>
          </cell>
          <cell r="I540">
            <v>58</v>
          </cell>
        </row>
        <row r="541">
          <cell r="A541">
            <v>10880020729</v>
          </cell>
          <cell r="B541" t="str">
            <v xml:space="preserve">201-A2245D-PC PV033平台 1125642 </v>
          </cell>
          <cell r="C541">
            <v>10300012230</v>
          </cell>
          <cell r="D541">
            <v>1</v>
          </cell>
          <cell r="E541" t="str">
            <v>OSP
T/锡膏
B/红胶</v>
          </cell>
          <cell r="F541" t="str">
            <v>变频空调室外电控板</v>
          </cell>
          <cell r="G541">
            <v>0.57999999999999996</v>
          </cell>
          <cell r="H541">
            <v>100</v>
          </cell>
          <cell r="I541">
            <v>58</v>
          </cell>
        </row>
        <row r="542">
          <cell r="A542">
            <v>10880030021</v>
          </cell>
          <cell r="B542" t="str">
            <v xml:space="preserve">201-A20019E-PC H7A04482W-D  </v>
          </cell>
          <cell r="C542">
            <v>10300007548</v>
          </cell>
          <cell r="D542">
            <v>1</v>
          </cell>
          <cell r="E542" t="str">
            <v>OSP
T/锡膏
B/红胶</v>
          </cell>
          <cell r="F542" t="str">
            <v>变频空调室外电控板</v>
          </cell>
          <cell r="G542">
            <v>0.62</v>
          </cell>
          <cell r="H542">
            <v>100</v>
          </cell>
          <cell r="I542">
            <v>62</v>
          </cell>
        </row>
        <row r="543">
          <cell r="A543">
            <v>10880030431</v>
          </cell>
          <cell r="B543" t="str">
            <v xml:space="preserve">201-A2370A-PC 1196680  </v>
          </cell>
          <cell r="C543">
            <v>10300014314</v>
          </cell>
          <cell r="D543">
            <v>1</v>
          </cell>
          <cell r="E543" t="str">
            <v>OSP
T/锡膏</v>
          </cell>
          <cell r="F543" t="str">
            <v>变频空调室外电控板</v>
          </cell>
          <cell r="G543">
            <v>0.39</v>
          </cell>
          <cell r="H543">
            <v>100</v>
          </cell>
          <cell r="I543">
            <v>45</v>
          </cell>
        </row>
        <row r="544">
          <cell r="A544">
            <v>10880032045</v>
          </cell>
          <cell r="B544" t="str">
            <v>201-A2370B-PC H7B11345A PV2205Q</v>
          </cell>
          <cell r="C544">
            <v>10300014314</v>
          </cell>
          <cell r="D544">
            <v>1</v>
          </cell>
          <cell r="E544" t="str">
            <v>OSP
T/锡膏</v>
          </cell>
          <cell r="F544" t="str">
            <v>变频空调室外电控板</v>
          </cell>
          <cell r="G544">
            <v>0.39</v>
          </cell>
          <cell r="H544">
            <v>100</v>
          </cell>
          <cell r="I544">
            <v>45</v>
          </cell>
        </row>
        <row r="545">
          <cell r="A545">
            <v>10880031563</v>
          </cell>
          <cell r="B545" t="str">
            <v>201-A2402A-PC 1203875_H7B11803A-D/PV2205H</v>
          </cell>
          <cell r="C545">
            <v>10300014532</v>
          </cell>
          <cell r="D545">
            <v>1</v>
          </cell>
          <cell r="E545" t="str">
            <v>OSP
T/锡膏</v>
          </cell>
          <cell r="F545" t="str">
            <v>变频空调室外电控板</v>
          </cell>
          <cell r="G545">
            <v>0.39</v>
          </cell>
          <cell r="H545">
            <v>100</v>
          </cell>
          <cell r="I545">
            <v>45</v>
          </cell>
        </row>
        <row r="546">
          <cell r="A546">
            <v>10880031600</v>
          </cell>
          <cell r="B546" t="str">
            <v xml:space="preserve">201-A2402B-PC PV2205H B01  </v>
          </cell>
          <cell r="C546">
            <v>10300014532</v>
          </cell>
          <cell r="D546">
            <v>1</v>
          </cell>
          <cell r="E546" t="str">
            <v>OSP
T/锡膏</v>
          </cell>
          <cell r="F546" t="str">
            <v>变频空调室外电控板</v>
          </cell>
          <cell r="G546">
            <v>0.39</v>
          </cell>
          <cell r="H546">
            <v>100</v>
          </cell>
          <cell r="I546">
            <v>45</v>
          </cell>
        </row>
        <row r="547">
          <cell r="A547">
            <v>10880032035</v>
          </cell>
          <cell r="B547" t="str">
            <v>201-A2402C-PC H7B11803C PV2205H B01</v>
          </cell>
          <cell r="C547">
            <v>10300014532</v>
          </cell>
          <cell r="D547">
            <v>1</v>
          </cell>
          <cell r="E547" t="str">
            <v>OSP
T/锡膏</v>
          </cell>
          <cell r="F547" t="str">
            <v>变频空调室外电控板</v>
          </cell>
          <cell r="G547">
            <v>0.39</v>
          </cell>
          <cell r="H547">
            <v>100</v>
          </cell>
          <cell r="I547">
            <v>45</v>
          </cell>
        </row>
        <row r="548">
          <cell r="A548">
            <v>10880032036</v>
          </cell>
          <cell r="B548" t="str">
            <v>201-A2402D-PC 1206579_H7B11803D-D/PV2205H</v>
          </cell>
          <cell r="C548">
            <v>10300014532</v>
          </cell>
          <cell r="D548">
            <v>1</v>
          </cell>
          <cell r="E548" t="str">
            <v>OSP
T/锡膏</v>
          </cell>
          <cell r="F548" t="str">
            <v>变频空调室外电控板</v>
          </cell>
          <cell r="G548">
            <v>0.39</v>
          </cell>
          <cell r="H548">
            <v>100</v>
          </cell>
          <cell r="I548">
            <v>45</v>
          </cell>
        </row>
        <row r="549">
          <cell r="A549">
            <v>10880032488</v>
          </cell>
          <cell r="B549" t="str">
            <v>201-A2417A-PC_1204346 H7B11851A-D PV2205Y</v>
          </cell>
          <cell r="C549">
            <v>10300014839</v>
          </cell>
          <cell r="D549">
            <v>1</v>
          </cell>
          <cell r="E549" t="str">
            <v>OSP
T/锡膏</v>
          </cell>
          <cell r="F549" t="str">
            <v>变频空调室外电控板</v>
          </cell>
          <cell r="G549">
            <v>0.39</v>
          </cell>
          <cell r="H549">
            <v>100</v>
          </cell>
          <cell r="I549">
            <v>45</v>
          </cell>
        </row>
        <row r="550">
          <cell r="A550">
            <v>10880032496</v>
          </cell>
          <cell r="B550" t="str">
            <v>201-A2417B-PC_1204347 H7B11851B-D PV2205Y</v>
          </cell>
          <cell r="C550">
            <v>10300014839</v>
          </cell>
          <cell r="D550">
            <v>1</v>
          </cell>
          <cell r="E550" t="str">
            <v>OSP
T/锡膏</v>
          </cell>
          <cell r="F550" t="str">
            <v>变频空调室外电控板</v>
          </cell>
          <cell r="G550">
            <v>0.39</v>
          </cell>
          <cell r="H550">
            <v>100</v>
          </cell>
          <cell r="I550">
            <v>45</v>
          </cell>
        </row>
        <row r="551">
          <cell r="A551">
            <v>10880032499</v>
          </cell>
          <cell r="B551" t="str">
            <v>201-A2417C-PC_1215560 H7B11851C-D PV2205Y</v>
          </cell>
          <cell r="C551">
            <v>10300014839</v>
          </cell>
          <cell r="D551">
            <v>1</v>
          </cell>
          <cell r="E551" t="str">
            <v>OSP
T/锡膏</v>
          </cell>
          <cell r="F551" t="str">
            <v>变频空调室外电控板</v>
          </cell>
          <cell r="G551">
            <v>0.39</v>
          </cell>
          <cell r="H551">
            <v>100</v>
          </cell>
          <cell r="I551">
            <v>45</v>
          </cell>
        </row>
        <row r="552">
          <cell r="A552">
            <v>10880032501</v>
          </cell>
          <cell r="B552" t="str">
            <v>201-A2417D-PC_1215568 H7B11851D-D PV2205Y</v>
          </cell>
          <cell r="C552">
            <v>10300014839</v>
          </cell>
          <cell r="D552">
            <v>1</v>
          </cell>
          <cell r="E552" t="str">
            <v>OSP
T/锡膏</v>
          </cell>
          <cell r="F552" t="str">
            <v>变频空调室外电控板</v>
          </cell>
          <cell r="G552">
            <v>0.39</v>
          </cell>
          <cell r="H552">
            <v>100</v>
          </cell>
          <cell r="I552">
            <v>45</v>
          </cell>
        </row>
        <row r="553">
          <cell r="A553">
            <v>10880030432</v>
          </cell>
          <cell r="B553" t="str">
            <v xml:space="preserve">201-A2371A-PC 1196682  </v>
          </cell>
          <cell r="C553">
            <v>10300014312</v>
          </cell>
          <cell r="D553">
            <v>1</v>
          </cell>
          <cell r="E553" t="str">
            <v>OSP
T/锡膏</v>
          </cell>
          <cell r="F553" t="str">
            <v>变频空调室外电控板</v>
          </cell>
          <cell r="G553">
            <v>0.26250000000000001</v>
          </cell>
          <cell r="H553">
            <v>200</v>
          </cell>
          <cell r="I553">
            <v>48</v>
          </cell>
        </row>
        <row r="554">
          <cell r="A554">
            <v>10880032046</v>
          </cell>
          <cell r="B554" t="str">
            <v>201-A2371B-PC 1196681_H7B11346A-D/PV2206Q</v>
          </cell>
          <cell r="C554">
            <v>10300014312</v>
          </cell>
          <cell r="D554">
            <v>1</v>
          </cell>
          <cell r="E554" t="str">
            <v>OSP
T/锡膏</v>
          </cell>
          <cell r="F554" t="str">
            <v>变频空调室外电控板</v>
          </cell>
          <cell r="G554">
            <v>0.26250000000000001</v>
          </cell>
          <cell r="H554">
            <v>200</v>
          </cell>
          <cell r="I554">
            <v>48</v>
          </cell>
        </row>
        <row r="555">
          <cell r="A555">
            <v>10880031525</v>
          </cell>
          <cell r="B555" t="str">
            <v>201-A2401A-PC 1203877_H7B11804A-D/PV2206H</v>
          </cell>
          <cell r="C555">
            <v>10300014495</v>
          </cell>
          <cell r="D555">
            <v>1</v>
          </cell>
          <cell r="E555" t="str">
            <v>OSP
T/锡膏</v>
          </cell>
          <cell r="F555" t="str">
            <v>变频空调室外电控板</v>
          </cell>
          <cell r="G555">
            <v>0.26250000000000001</v>
          </cell>
          <cell r="H555">
            <v>200</v>
          </cell>
          <cell r="I555">
            <v>48</v>
          </cell>
        </row>
        <row r="556">
          <cell r="A556">
            <v>10880031560</v>
          </cell>
          <cell r="B556" t="str">
            <v xml:space="preserve"> 201-A2401B-PC PV2206H B01  </v>
          </cell>
          <cell r="C556">
            <v>10300014495</v>
          </cell>
          <cell r="D556">
            <v>1</v>
          </cell>
          <cell r="E556" t="str">
            <v>OSP
T/锡膏</v>
          </cell>
          <cell r="F556" t="str">
            <v>变频空调室外电控板</v>
          </cell>
          <cell r="G556">
            <v>0.26250000000000001</v>
          </cell>
          <cell r="H556">
            <v>200</v>
          </cell>
          <cell r="I556">
            <v>48</v>
          </cell>
        </row>
        <row r="557">
          <cell r="A557">
            <v>10880032042</v>
          </cell>
          <cell r="B557" t="str">
            <v>201-A2401C-PC 1206582_H7B11804C-D/PV2206H</v>
          </cell>
          <cell r="C557">
            <v>10300014495</v>
          </cell>
          <cell r="D557">
            <v>1</v>
          </cell>
          <cell r="E557" t="str">
            <v>OSP
T/锡膏</v>
          </cell>
          <cell r="F557" t="str">
            <v>变频空调室外电控板</v>
          </cell>
          <cell r="G557">
            <v>0.26250000000000001</v>
          </cell>
          <cell r="H557">
            <v>200</v>
          </cell>
          <cell r="I557">
            <v>48</v>
          </cell>
        </row>
        <row r="558">
          <cell r="A558">
            <v>10880032043</v>
          </cell>
          <cell r="B558" t="str">
            <v>201-A2401D-PC H7B11804D PV2206H B01</v>
          </cell>
          <cell r="C558">
            <v>10300014495</v>
          </cell>
          <cell r="D558">
            <v>1</v>
          </cell>
          <cell r="E558" t="str">
            <v>OSP
T/锡膏</v>
          </cell>
          <cell r="F558" t="str">
            <v>变频空调室外电控板</v>
          </cell>
          <cell r="G558">
            <v>0.26250000000000001</v>
          </cell>
          <cell r="H558">
            <v>200</v>
          </cell>
          <cell r="I558">
            <v>48</v>
          </cell>
        </row>
        <row r="559">
          <cell r="A559">
            <v>10880032548</v>
          </cell>
          <cell r="B559" t="str">
            <v xml:space="preserve">201-A2423A-PC_1204349 H7B11853A-D PV2206Y  </v>
          </cell>
          <cell r="C559">
            <v>10300014855</v>
          </cell>
          <cell r="D559">
            <v>1</v>
          </cell>
          <cell r="E559" t="str">
            <v>OSP
T/锡膏</v>
          </cell>
          <cell r="F559" t="str">
            <v>变频空调室外电控板</v>
          </cell>
          <cell r="G559">
            <v>0.26250000000000001</v>
          </cell>
          <cell r="H559">
            <v>200</v>
          </cell>
          <cell r="I559">
            <v>48</v>
          </cell>
        </row>
        <row r="560">
          <cell r="A560">
            <v>10880032573</v>
          </cell>
          <cell r="B560" t="str">
            <v>201-A2423B-PC 1204350 H7B11853B-D PV2206</v>
          </cell>
          <cell r="C560">
            <v>10300014855</v>
          </cell>
          <cell r="D560">
            <v>1</v>
          </cell>
          <cell r="E560" t="str">
            <v>OSP
T/锡膏</v>
          </cell>
          <cell r="F560" t="str">
            <v>变频空调室外电控板</v>
          </cell>
          <cell r="G560">
            <v>0.26250000000000001</v>
          </cell>
          <cell r="H560">
            <v>200</v>
          </cell>
          <cell r="I560">
            <v>48</v>
          </cell>
        </row>
        <row r="561">
          <cell r="A561">
            <v>10880032574</v>
          </cell>
          <cell r="B561" t="str">
            <v>201-A2423C-PC 1215569 H7B11853C-D PV2206</v>
          </cell>
          <cell r="C561">
            <v>10300014855</v>
          </cell>
          <cell r="D561">
            <v>1</v>
          </cell>
          <cell r="E561" t="str">
            <v>OSP
T/锡膏</v>
          </cell>
          <cell r="F561" t="str">
            <v>变频空调室外电控板</v>
          </cell>
          <cell r="G561">
            <v>0.26250000000000001</v>
          </cell>
          <cell r="H561">
            <v>200</v>
          </cell>
          <cell r="I561">
            <v>48</v>
          </cell>
        </row>
        <row r="562">
          <cell r="A562" t="str">
            <v>10880035325 </v>
          </cell>
          <cell r="B562" t="str">
            <v>500268-B2502A-DRV G0020 1223171 H7B12568C-D/PV2206H C01  </v>
          </cell>
          <cell r="C562">
            <v>10250042170</v>
          </cell>
          <cell r="D562">
            <v>1</v>
          </cell>
          <cell r="E562" t="str">
            <v>OSP
T/锡膏</v>
          </cell>
          <cell r="F562" t="str">
            <v>变频空调室外电控板</v>
          </cell>
          <cell r="G562">
            <v>0.26250000000000001</v>
          </cell>
          <cell r="H562">
            <v>200</v>
          </cell>
          <cell r="I562">
            <v>48</v>
          </cell>
        </row>
        <row r="563">
          <cell r="A563">
            <v>10880030551</v>
          </cell>
          <cell r="B563" t="str">
            <v>201-A2381A-O 2348569 干衣机面板(天青墨)</v>
          </cell>
          <cell r="C563" t="str">
            <v>10250037028&amp;10250036563</v>
          </cell>
          <cell r="D563" t="str">
            <v>通用板:1*4
按键旋钮板:1*3</v>
          </cell>
          <cell r="E563" t="str">
            <v>OSP
T/锡膏</v>
          </cell>
          <cell r="F563" t="str">
            <v>干衣机面板</v>
          </cell>
          <cell r="G563">
            <v>0.25666666666666671</v>
          </cell>
          <cell r="H563">
            <v>60</v>
          </cell>
          <cell r="I563">
            <v>46</v>
          </cell>
        </row>
        <row r="566">
          <cell r="A566">
            <v>10880031011</v>
          </cell>
          <cell r="B566" t="str">
            <v xml:space="preserve">201-A2381B-X 2348588 冼衣机面板(天青墨)  </v>
          </cell>
          <cell r="C566" t="str">
            <v>10250037028/10250036563</v>
          </cell>
          <cell r="D566" t="str">
            <v>通用板:1*4
按键旋钮板:1*3</v>
          </cell>
          <cell r="E566" t="str">
            <v>OSP
T/锡膏</v>
          </cell>
          <cell r="F566" t="str">
            <v>冼衣机面板</v>
          </cell>
          <cell r="G566">
            <v>0.25666666666666671</v>
          </cell>
          <cell r="H566">
            <v>60</v>
          </cell>
          <cell r="I566">
            <v>46</v>
          </cell>
        </row>
        <row r="569">
          <cell r="A569">
            <v>10880031760</v>
          </cell>
          <cell r="B569" t="str">
            <v>201-A2381C-X 2297595 冼衣机面板(全球白)</v>
          </cell>
          <cell r="C569" t="str">
            <v>10250037028/10250036563</v>
          </cell>
          <cell r="D569" t="str">
            <v>通用板:1*4
按键旋钮板:1*3</v>
          </cell>
          <cell r="E569" t="str">
            <v>OSP
T/锡膏</v>
          </cell>
          <cell r="F569" t="str">
            <v>冼衣机面板</v>
          </cell>
          <cell r="G569">
            <v>0.25666666666666671</v>
          </cell>
          <cell r="H569">
            <v>60</v>
          </cell>
          <cell r="I569">
            <v>46</v>
          </cell>
        </row>
        <row r="572">
          <cell r="A572">
            <v>10880031766</v>
          </cell>
          <cell r="B572" t="str">
            <v>201-A2381D-X 2320393 干衣机面板(全球白)</v>
          </cell>
          <cell r="C572" t="str">
            <v>10250037028/10250036563</v>
          </cell>
          <cell r="D572" t="str">
            <v>通用板:1*4
按键旋钮板:1*3</v>
          </cell>
          <cell r="E572" t="str">
            <v>OSP
T/锡膏</v>
          </cell>
          <cell r="F572" t="str">
            <v>干衣机面板</v>
          </cell>
          <cell r="G572">
            <v>0.25666666666666671</v>
          </cell>
          <cell r="H572">
            <v>60</v>
          </cell>
          <cell r="I572">
            <v>46</v>
          </cell>
        </row>
        <row r="575">
          <cell r="A575">
            <v>10880032697</v>
          </cell>
          <cell r="B575" t="str">
            <v>201-A2381E-X 2379455 7S古洛尼白</v>
          </cell>
          <cell r="C575" t="str">
            <v>10250037028/ 10250036563</v>
          </cell>
          <cell r="D575" t="str">
            <v>通用板:1*4
按键旋钮板:1*3</v>
          </cell>
          <cell r="E575" t="str">
            <v>OSP
T/锡膏</v>
          </cell>
          <cell r="F575" t="str">
            <v>洗衣机面板</v>
          </cell>
          <cell r="G575">
            <v>0.25666666666666671</v>
          </cell>
          <cell r="H575">
            <v>60</v>
          </cell>
          <cell r="I575">
            <v>46</v>
          </cell>
        </row>
        <row r="578">
          <cell r="A578">
            <v>10880032698</v>
          </cell>
          <cell r="B578" t="str">
            <v>201-A2381F 2376777 7S古洛尼白</v>
          </cell>
          <cell r="C578" t="str">
            <v>10250037028/ 10250036563</v>
          </cell>
          <cell r="D578" t="str">
            <v>通用板:1*4
按键旋钮板:1*3</v>
          </cell>
          <cell r="E578" t="str">
            <v>OSP
T/锡膏</v>
          </cell>
          <cell r="F578" t="str">
            <v>干衣机面板</v>
          </cell>
          <cell r="G578">
            <v>0.25666666666666671</v>
          </cell>
          <cell r="H578">
            <v>60</v>
          </cell>
          <cell r="I578">
            <v>46</v>
          </cell>
        </row>
        <row r="581">
          <cell r="A581">
            <v>10880034619</v>
          </cell>
          <cell r="B581" t="str">
            <v>500269-C2405A-X 2446112 天青墨</v>
          </cell>
          <cell r="C581">
            <v>10250037028</v>
          </cell>
          <cell r="D581" t="str">
            <v>通用板:1*4
按键旋钮板:1*3</v>
          </cell>
          <cell r="E581" t="str">
            <v>OSP
T/锡膏</v>
          </cell>
          <cell r="F581" t="str">
            <v>洗衣机面板</v>
          </cell>
          <cell r="G581">
            <v>0.25666666666666671</v>
          </cell>
          <cell r="H581">
            <v>60</v>
          </cell>
          <cell r="I581">
            <v>46</v>
          </cell>
        </row>
        <row r="584">
          <cell r="A584">
            <v>10880034621</v>
          </cell>
          <cell r="B584" t="str">
            <v>500269-C2408A-X 2447564 全球白 新欧标</v>
          </cell>
          <cell r="C584">
            <v>10250037028</v>
          </cell>
          <cell r="D584" t="str">
            <v>通用板:1*4
按键旋钮板:1*3</v>
          </cell>
          <cell r="E584" t="str">
            <v>OSP
T/锡膏</v>
          </cell>
          <cell r="F584" t="str">
            <v>干衣机面板</v>
          </cell>
          <cell r="G584">
            <v>0.25666666666666671</v>
          </cell>
          <cell r="H584">
            <v>60</v>
          </cell>
          <cell r="I584">
            <v>46</v>
          </cell>
        </row>
        <row r="587">
          <cell r="A587">
            <v>10880033610</v>
          </cell>
          <cell r="B587" t="str">
            <v>500269-C2401A-X 2399506 天青墨</v>
          </cell>
          <cell r="C587">
            <v>10250037028</v>
          </cell>
          <cell r="D587" t="str">
            <v>通用板:1*4
按键旋钮板:1*3</v>
          </cell>
          <cell r="E587" t="str">
            <v>OSP
T/锡膏</v>
          </cell>
          <cell r="F587" t="str">
            <v>洗衣机面板</v>
          </cell>
          <cell r="G587">
            <v>0.25666666666666671</v>
          </cell>
          <cell r="H587">
            <v>60</v>
          </cell>
          <cell r="I587">
            <v>46</v>
          </cell>
        </row>
        <row r="590">
          <cell r="A590">
            <v>10880035448</v>
          </cell>
          <cell r="B590" t="str">
            <v>500269-C2401C-X G0020 2444226 天青墨</v>
          </cell>
          <cell r="C590">
            <v>10250037028</v>
          </cell>
          <cell r="D590" t="str">
            <v>通用板:1*4
按键旋钮板:1*3</v>
          </cell>
          <cell r="E590" t="str">
            <v>OSP
T/锡膏</v>
          </cell>
          <cell r="F590" t="str">
            <v>洗衣机面板</v>
          </cell>
          <cell r="G590">
            <v>0.25666666666666671</v>
          </cell>
          <cell r="H590">
            <v>60</v>
          </cell>
          <cell r="I590">
            <v>46</v>
          </cell>
        </row>
        <row r="593">
          <cell r="A593">
            <v>10880032683</v>
          </cell>
          <cell r="B593" t="str">
            <v xml:space="preserve">2189-B2401A-PC 2389091  </v>
          </cell>
          <cell r="C593" t="str">
            <v>10250039344/10250039345/10250039346</v>
          </cell>
          <cell r="D593">
            <v>2</v>
          </cell>
          <cell r="E593" t="str">
            <v>OSP
T/锡膏</v>
          </cell>
          <cell r="F593" t="str">
            <v>海信洗衣机091电控板</v>
          </cell>
          <cell r="G593">
            <v>9.7500000000000003E-2</v>
          </cell>
          <cell r="H593">
            <v>400</v>
          </cell>
          <cell r="I593">
            <v>39</v>
          </cell>
        </row>
        <row r="594">
          <cell r="A594">
            <v>10880032933</v>
          </cell>
          <cell r="B594" t="str">
            <v>2189-B2401B-PC 2397243</v>
          </cell>
          <cell r="C594" t="str">
            <v>10250039344/10250039345/10250039346</v>
          </cell>
          <cell r="D594">
            <v>2</v>
          </cell>
          <cell r="E594" t="str">
            <v>OSP
T/锡膏</v>
          </cell>
          <cell r="F594" t="str">
            <v>海信洗衣机091电控板</v>
          </cell>
          <cell r="G594">
            <v>9.7500000000000003E-2</v>
          </cell>
          <cell r="H594">
            <v>400</v>
          </cell>
          <cell r="I594">
            <v>39</v>
          </cell>
        </row>
        <row r="595">
          <cell r="A595">
            <v>10880032937</v>
          </cell>
          <cell r="B595" t="str">
            <v>2189-B2401E-PC 2397246</v>
          </cell>
          <cell r="C595" t="str">
            <v>10250039344/10250039345/10250039346</v>
          </cell>
          <cell r="D595">
            <v>2</v>
          </cell>
          <cell r="E595" t="str">
            <v>OSP
T/锡膏</v>
          </cell>
          <cell r="F595" t="str">
            <v>海信洗衣机091电控板</v>
          </cell>
          <cell r="G595">
            <v>9.7500000000000003E-2</v>
          </cell>
          <cell r="H595">
            <v>400</v>
          </cell>
          <cell r="I595">
            <v>39</v>
          </cell>
        </row>
        <row r="596">
          <cell r="A596">
            <v>10880032942</v>
          </cell>
          <cell r="B596" t="str">
            <v>2189-B2401F-PC 2397248</v>
          </cell>
          <cell r="C596" t="str">
            <v>10250039344/10250039345/10250039346</v>
          </cell>
          <cell r="D596">
            <v>2</v>
          </cell>
          <cell r="E596" t="str">
            <v>OSP
T/锡膏</v>
          </cell>
          <cell r="F596" t="str">
            <v>海信洗衣机091电控板</v>
          </cell>
          <cell r="G596">
            <v>9.7500000000000003E-2</v>
          </cell>
          <cell r="H596">
            <v>400</v>
          </cell>
          <cell r="I596">
            <v>39</v>
          </cell>
        </row>
        <row r="597">
          <cell r="A597">
            <v>10880032943</v>
          </cell>
          <cell r="B597" t="str">
            <v>2189-B2401D-PC 2397172</v>
          </cell>
          <cell r="C597" t="str">
            <v>10250039344/10250039345/10250039346</v>
          </cell>
          <cell r="D597">
            <v>2</v>
          </cell>
          <cell r="E597" t="str">
            <v>OSP
T/锡膏</v>
          </cell>
          <cell r="F597" t="str">
            <v>海信洗衣机091电控板</v>
          </cell>
          <cell r="G597">
            <v>9.7500000000000003E-2</v>
          </cell>
          <cell r="H597">
            <v>400</v>
          </cell>
          <cell r="I597">
            <v>39</v>
          </cell>
        </row>
        <row r="598">
          <cell r="A598">
            <v>10880032945</v>
          </cell>
          <cell r="B598" t="str">
            <v>2189-B2401C-PC 2397168</v>
          </cell>
          <cell r="C598" t="str">
            <v>10250039344/10250039345/10250039346</v>
          </cell>
          <cell r="D598">
            <v>2</v>
          </cell>
          <cell r="E598" t="str">
            <v>OSP
T/锡膏</v>
          </cell>
          <cell r="F598" t="str">
            <v>海信洗衣机091电控板</v>
          </cell>
          <cell r="G598">
            <v>9.7500000000000003E-2</v>
          </cell>
          <cell r="H598">
            <v>400</v>
          </cell>
          <cell r="I598">
            <v>39</v>
          </cell>
        </row>
        <row r="599">
          <cell r="A599">
            <v>10880035234</v>
          </cell>
          <cell r="B599" t="str">
            <v>2189-B2401L-PC 2471982</v>
          </cell>
          <cell r="C599" t="str">
            <v>10250039344/10250039345/10250039346</v>
          </cell>
          <cell r="D599">
            <v>2</v>
          </cell>
          <cell r="E599" t="str">
            <v>OSP
T/锡膏</v>
          </cell>
          <cell r="F599" t="str">
            <v>海信洗衣机091电控板</v>
          </cell>
          <cell r="G599">
            <v>9.7500000000000003E-2</v>
          </cell>
          <cell r="H599">
            <v>400</v>
          </cell>
          <cell r="I599">
            <v>39</v>
          </cell>
        </row>
        <row r="600">
          <cell r="A600">
            <v>10880032939</v>
          </cell>
          <cell r="B600" t="str">
            <v>2189-B2401G-PC 2397250</v>
          </cell>
          <cell r="C600" t="str">
            <v>10250039344/10250039345/10250039346</v>
          </cell>
          <cell r="D600">
            <v>2</v>
          </cell>
          <cell r="E600" t="str">
            <v>OSP
T/锡膏</v>
          </cell>
          <cell r="F600" t="str">
            <v>海信洗衣机091电控板</v>
          </cell>
          <cell r="G600">
            <v>9.7500000000000003E-2</v>
          </cell>
          <cell r="H600">
            <v>400</v>
          </cell>
          <cell r="I600">
            <v>39</v>
          </cell>
        </row>
        <row r="601">
          <cell r="A601">
            <v>10880032941</v>
          </cell>
          <cell r="B601" t="str">
            <v>2189-B2401H-PC 2397254  </v>
          </cell>
          <cell r="C601" t="str">
            <v>10250039344/10250039345/10250039346</v>
          </cell>
          <cell r="D601">
            <v>2</v>
          </cell>
          <cell r="E601" t="str">
            <v>OSP
T/锡膏</v>
          </cell>
          <cell r="F601" t="str">
            <v>海信洗衣机091电控板</v>
          </cell>
          <cell r="G601">
            <v>9.7500000000000003E-2</v>
          </cell>
          <cell r="H601">
            <v>400</v>
          </cell>
          <cell r="I601">
            <v>39</v>
          </cell>
        </row>
        <row r="602">
          <cell r="A602">
            <v>10880032944</v>
          </cell>
          <cell r="B602" t="str">
            <v>2189-B2401I-PC 2397245</v>
          </cell>
          <cell r="C602" t="str">
            <v>10250039344/10250039345/10250039346</v>
          </cell>
          <cell r="D602">
            <v>2</v>
          </cell>
          <cell r="E602" t="str">
            <v>OSP
T/锡膏</v>
          </cell>
          <cell r="F602" t="str">
            <v>海信洗衣机091电控板</v>
          </cell>
          <cell r="G602">
            <v>9.7500000000000003E-2</v>
          </cell>
          <cell r="H602">
            <v>400</v>
          </cell>
          <cell r="I602">
            <v>39</v>
          </cell>
        </row>
        <row r="603">
          <cell r="A603">
            <v>10880032935</v>
          </cell>
          <cell r="B603" t="str">
            <v>2189-B2401J-PC 2397202  </v>
          </cell>
          <cell r="C603" t="str">
            <v>10250039344/10250039345/10250039346</v>
          </cell>
          <cell r="D603">
            <v>2</v>
          </cell>
          <cell r="E603" t="str">
            <v>OSP
T/锡膏</v>
          </cell>
          <cell r="F603" t="str">
            <v>海信洗衣机091电控板</v>
          </cell>
          <cell r="G603">
            <v>9.7500000000000003E-2</v>
          </cell>
          <cell r="H603">
            <v>400</v>
          </cell>
          <cell r="I603">
            <v>39</v>
          </cell>
        </row>
        <row r="604">
          <cell r="A604">
            <v>10880032999</v>
          </cell>
          <cell r="B604" t="str">
            <v>2189-B2401K-PC 2397244</v>
          </cell>
          <cell r="C604" t="str">
            <v>10250039344/10250039345/10250039346</v>
          </cell>
          <cell r="D604">
            <v>2</v>
          </cell>
          <cell r="E604" t="str">
            <v>OSP
T/锡膏</v>
          </cell>
          <cell r="F604" t="str">
            <v>海信洗衣机091电控板</v>
          </cell>
          <cell r="G604">
            <v>9.7500000000000003E-2</v>
          </cell>
          <cell r="H604">
            <v>400</v>
          </cell>
          <cell r="I604">
            <v>39</v>
          </cell>
        </row>
        <row r="605">
          <cell r="A605">
            <v>10880035234</v>
          </cell>
          <cell r="B605" t="str">
            <v>2189-B2401L-PC 2471982  </v>
          </cell>
          <cell r="C605" t="str">
            <v>10250039344/10250039345/10250039346</v>
          </cell>
          <cell r="D605">
            <v>2</v>
          </cell>
          <cell r="E605" t="str">
            <v>OSP
T/锡膏</v>
          </cell>
          <cell r="F605" t="str">
            <v>海信洗衣机091电控板</v>
          </cell>
          <cell r="G605">
            <v>0.11749999999999999</v>
          </cell>
          <cell r="H605">
            <v>400</v>
          </cell>
          <cell r="I605">
            <v>33</v>
          </cell>
        </row>
        <row r="606">
          <cell r="A606">
            <v>10880037198</v>
          </cell>
          <cell r="B606" t="str">
            <v>2189-B2401M-PC G0020 2416131  </v>
          </cell>
          <cell r="C606" t="str">
            <v>10250039344/10250039345/10250039346</v>
          </cell>
          <cell r="D606">
            <v>2</v>
          </cell>
          <cell r="E606" t="str">
            <v>OSP
T/锡膏</v>
          </cell>
          <cell r="F606" t="str">
            <v>海信洗衣机091电控板</v>
          </cell>
          <cell r="G606">
            <v>0.11749999999999999</v>
          </cell>
          <cell r="H606">
            <v>400</v>
          </cell>
          <cell r="I606">
            <v>33</v>
          </cell>
        </row>
        <row r="607">
          <cell r="A607">
            <v>10880037199</v>
          </cell>
          <cell r="B607" t="str">
            <v>2189-B2401N-PC G0020 2417150  </v>
          </cell>
          <cell r="C607" t="str">
            <v>10250039344/10250039345/10250039346</v>
          </cell>
          <cell r="D607">
            <v>2</v>
          </cell>
          <cell r="E607" t="str">
            <v>OSP
T/锡膏</v>
          </cell>
          <cell r="F607" t="str">
            <v>海信洗衣机091电控板</v>
          </cell>
          <cell r="G607">
            <v>0.11749999999999999</v>
          </cell>
          <cell r="H607">
            <v>400</v>
          </cell>
          <cell r="I607">
            <v>33</v>
          </cell>
        </row>
        <row r="608">
          <cell r="A608">
            <v>10880037200</v>
          </cell>
          <cell r="B608" t="str">
            <v>2189-B2401O-PC G0020 2417151  </v>
          </cell>
          <cell r="C608" t="str">
            <v>10250039344/10250039345/10250039346</v>
          </cell>
          <cell r="D608">
            <v>2</v>
          </cell>
          <cell r="E608" t="str">
            <v>OSP
T/锡膏</v>
          </cell>
          <cell r="F608" t="str">
            <v>海信洗衣机091电控板</v>
          </cell>
          <cell r="G608">
            <v>0.11749999999999999</v>
          </cell>
          <cell r="H608">
            <v>400</v>
          </cell>
          <cell r="I608">
            <v>33</v>
          </cell>
        </row>
        <row r="609">
          <cell r="A609">
            <v>10880037201</v>
          </cell>
          <cell r="B609" t="str">
            <v>2189-B2401P-PC G0020 2419357  </v>
          </cell>
          <cell r="C609" t="str">
            <v>10250039344/10250039345/10250039346</v>
          </cell>
          <cell r="D609">
            <v>2</v>
          </cell>
          <cell r="E609" t="str">
            <v>OSP
T/锡膏</v>
          </cell>
          <cell r="F609" t="str">
            <v>海信洗衣机091电控板</v>
          </cell>
          <cell r="G609">
            <v>0.11749999999999999</v>
          </cell>
          <cell r="H609">
            <v>400</v>
          </cell>
          <cell r="I609">
            <v>33</v>
          </cell>
        </row>
        <row r="610">
          <cell r="A610">
            <v>10880037202</v>
          </cell>
          <cell r="B610" t="str">
            <v>2189-B2401Q-PC G0020 2421473  </v>
          </cell>
          <cell r="C610" t="str">
            <v>10250039344/10250039345/10250039346</v>
          </cell>
          <cell r="D610">
            <v>2</v>
          </cell>
          <cell r="E610" t="str">
            <v>OSP
T/锡膏</v>
          </cell>
          <cell r="F610" t="str">
            <v>海信洗衣机091电控板</v>
          </cell>
          <cell r="G610">
            <v>0.11749999999999999</v>
          </cell>
          <cell r="H610">
            <v>400</v>
          </cell>
          <cell r="I610">
            <v>33</v>
          </cell>
        </row>
        <row r="611">
          <cell r="A611">
            <v>10880037203</v>
          </cell>
          <cell r="B611" t="str">
            <v>2189-B2401R-PC G0020 2478109  </v>
          </cell>
          <cell r="C611" t="str">
            <v>10250039344/10250039345/10250039346</v>
          </cell>
          <cell r="D611">
            <v>2</v>
          </cell>
          <cell r="E611" t="str">
            <v>OSP
T/锡膏</v>
          </cell>
          <cell r="F611" t="str">
            <v>海信洗衣机091电控板</v>
          </cell>
          <cell r="G611">
            <v>0.11749999999999999</v>
          </cell>
          <cell r="H611">
            <v>400</v>
          </cell>
          <cell r="I611">
            <v>33</v>
          </cell>
        </row>
        <row r="612">
          <cell r="A612">
            <v>10880037204</v>
          </cell>
          <cell r="B612" t="str">
            <v>2189-B2401S-PC G0020 2416141  </v>
          </cell>
          <cell r="C612" t="str">
            <v>10250039344/10250039345/10250039346</v>
          </cell>
          <cell r="D612">
            <v>2</v>
          </cell>
          <cell r="E612" t="str">
            <v>OSP
T/锡膏</v>
          </cell>
          <cell r="F612" t="str">
            <v>海信洗衣机091电控板</v>
          </cell>
          <cell r="G612">
            <v>0.11749999999999999</v>
          </cell>
          <cell r="H612">
            <v>400</v>
          </cell>
          <cell r="I612">
            <v>33</v>
          </cell>
        </row>
        <row r="613">
          <cell r="A613">
            <v>10880037205</v>
          </cell>
          <cell r="B613" t="str">
            <v>2189-B2401T-PC G0020 2416216  </v>
          </cell>
          <cell r="C613" t="str">
            <v>10250039344/10250039345/10250039346</v>
          </cell>
          <cell r="D613">
            <v>2</v>
          </cell>
          <cell r="E613" t="str">
            <v>OSP
T/锡膏</v>
          </cell>
          <cell r="F613" t="str">
            <v>海信洗衣机091电控板</v>
          </cell>
          <cell r="G613">
            <v>0.11749999999999999</v>
          </cell>
          <cell r="H613">
            <v>400</v>
          </cell>
          <cell r="I613">
            <v>33</v>
          </cell>
        </row>
        <row r="614">
          <cell r="A614">
            <v>10880033534</v>
          </cell>
          <cell r="B614" t="str">
            <v xml:space="preserve">500493-B2402D-D 2418236 </v>
          </cell>
          <cell r="C614" t="str">
            <v xml:space="preserve"> 10250040507/ 10250040508</v>
          </cell>
          <cell r="D614">
            <v>2</v>
          </cell>
          <cell r="E614" t="str">
            <v>红胶</v>
          </cell>
          <cell r="F614" t="str">
            <v>洗衣机显示板</v>
          </cell>
          <cell r="G614">
            <v>0.11</v>
          </cell>
          <cell r="H614">
            <v>400</v>
          </cell>
          <cell r="I614">
            <v>29</v>
          </cell>
        </row>
        <row r="615">
          <cell r="A615">
            <v>10880033535</v>
          </cell>
          <cell r="B615" t="str">
            <v>500493-B2402E-D 2418237</v>
          </cell>
          <cell r="C615" t="str">
            <v xml:space="preserve"> 10250040507/ 10250040508</v>
          </cell>
          <cell r="D615">
            <v>2</v>
          </cell>
          <cell r="E615" t="str">
            <v>红胶</v>
          </cell>
          <cell r="F615" t="str">
            <v>洗衣机显示板</v>
          </cell>
          <cell r="G615">
            <v>0.11</v>
          </cell>
          <cell r="H615">
            <v>400</v>
          </cell>
          <cell r="I615">
            <v>29</v>
          </cell>
        </row>
        <row r="616">
          <cell r="A616">
            <v>10880033178</v>
          </cell>
          <cell r="B616" t="str">
            <v>500493-B2402A-D 2417971</v>
          </cell>
          <cell r="C616" t="str">
            <v xml:space="preserve"> 10250040507/ 10250040508</v>
          </cell>
          <cell r="D616">
            <v>2</v>
          </cell>
          <cell r="E616" t="str">
            <v>红胶</v>
          </cell>
          <cell r="F616" t="str">
            <v>洗衣机显示板</v>
          </cell>
          <cell r="G616">
            <v>0.11</v>
          </cell>
          <cell r="H616">
            <v>400</v>
          </cell>
          <cell r="I616">
            <v>29</v>
          </cell>
        </row>
        <row r="617">
          <cell r="A617">
            <v>10880033531</v>
          </cell>
          <cell r="B617" t="str">
            <v>500493-B2402B-D 2417972  </v>
          </cell>
          <cell r="C617" t="str">
            <v xml:space="preserve"> 10250040507/ 10250040508</v>
          </cell>
          <cell r="D617">
            <v>2</v>
          </cell>
          <cell r="E617" t="str">
            <v>红胶</v>
          </cell>
          <cell r="F617" t="str">
            <v>洗衣机显示板</v>
          </cell>
          <cell r="G617">
            <v>0.11</v>
          </cell>
          <cell r="H617">
            <v>400</v>
          </cell>
          <cell r="I617">
            <v>29</v>
          </cell>
        </row>
        <row r="618">
          <cell r="A618">
            <v>10880033533</v>
          </cell>
          <cell r="B618" t="str">
            <v>500493-B2402C-D 2417973  </v>
          </cell>
          <cell r="C618" t="str">
            <v xml:space="preserve"> 10250040507/ 10250040508</v>
          </cell>
          <cell r="D618">
            <v>2</v>
          </cell>
          <cell r="E618" t="str">
            <v>红胶</v>
          </cell>
          <cell r="F618" t="str">
            <v>洗衣机显示板</v>
          </cell>
          <cell r="G618">
            <v>0.11</v>
          </cell>
          <cell r="H618">
            <v>400</v>
          </cell>
          <cell r="I618">
            <v>29</v>
          </cell>
        </row>
        <row r="619">
          <cell r="A619">
            <v>10880035236</v>
          </cell>
          <cell r="B619" t="str">
            <v>500493-B2402F-D 2466931  </v>
          </cell>
          <cell r="C619" t="str">
            <v xml:space="preserve"> 10250040507/ 10250040508</v>
          </cell>
          <cell r="D619">
            <v>2</v>
          </cell>
          <cell r="E619" t="str">
            <v>红胶</v>
          </cell>
          <cell r="F619" t="str">
            <v>洗衣机显示板</v>
          </cell>
          <cell r="G619">
            <v>0.11</v>
          </cell>
          <cell r="H619">
            <v>400</v>
          </cell>
          <cell r="I619">
            <v>29</v>
          </cell>
        </row>
        <row r="620">
          <cell r="A620">
            <v>10880036326</v>
          </cell>
          <cell r="B620" t="str">
            <v>500493-B2402G-D G0020 2477384</v>
          </cell>
          <cell r="C620" t="str">
            <v xml:space="preserve"> 10250040507/ 10250040508</v>
          </cell>
          <cell r="D620">
            <v>2</v>
          </cell>
          <cell r="E620" t="str">
            <v>红胶</v>
          </cell>
          <cell r="F620" t="str">
            <v>洗衣机显示板</v>
          </cell>
          <cell r="G620">
            <v>0.11</v>
          </cell>
          <cell r="H620">
            <v>400</v>
          </cell>
          <cell r="I620">
            <v>29</v>
          </cell>
        </row>
        <row r="621">
          <cell r="A621">
            <v>10880036327</v>
          </cell>
          <cell r="B621" t="str">
            <v>500493-B2402H-D G0020 2499362</v>
          </cell>
          <cell r="C621" t="str">
            <v xml:space="preserve"> 10250040507/ 10250040508</v>
          </cell>
          <cell r="D621">
            <v>2</v>
          </cell>
          <cell r="E621" t="str">
            <v>红胶</v>
          </cell>
          <cell r="F621" t="str">
            <v>洗衣机显示板</v>
          </cell>
          <cell r="G621">
            <v>0.11</v>
          </cell>
          <cell r="H621">
            <v>400</v>
          </cell>
          <cell r="I621">
            <v>29</v>
          </cell>
        </row>
        <row r="622">
          <cell r="A622">
            <v>10880037181</v>
          </cell>
          <cell r="B622" t="str">
            <v>500493-B2402I-D G0020 2475417</v>
          </cell>
          <cell r="C622" t="str">
            <v xml:space="preserve"> 10250040507/ 10250040508</v>
          </cell>
          <cell r="D622">
            <v>2</v>
          </cell>
          <cell r="E622" t="str">
            <v>红胶</v>
          </cell>
          <cell r="F622" t="str">
            <v>洗衣机显示板</v>
          </cell>
          <cell r="G622">
            <v>0.11</v>
          </cell>
          <cell r="H622">
            <v>400</v>
          </cell>
          <cell r="I622">
            <v>29</v>
          </cell>
        </row>
        <row r="623">
          <cell r="A623">
            <v>10880033996</v>
          </cell>
          <cell r="B623" t="str">
            <v>500493-B2407A-D 2436207</v>
          </cell>
          <cell r="C623">
            <v>10250043076</v>
          </cell>
          <cell r="D623">
            <v>2</v>
          </cell>
          <cell r="E623" t="str">
            <v>锡膏</v>
          </cell>
          <cell r="F623" t="str">
            <v>洗衣机显示板</v>
          </cell>
          <cell r="G623">
            <v>7.2222222222222215E-2</v>
          </cell>
          <cell r="H623">
            <v>360</v>
          </cell>
          <cell r="I623">
            <v>26</v>
          </cell>
        </row>
        <row r="624">
          <cell r="A624">
            <v>10880035983</v>
          </cell>
          <cell r="B624" t="str">
            <v>500493-B2407B-D G0020 2480423  </v>
          </cell>
          <cell r="C624">
            <v>10250043363</v>
          </cell>
          <cell r="D624">
            <v>2</v>
          </cell>
          <cell r="E624" t="str">
            <v>锡膏</v>
          </cell>
          <cell r="F624" t="str">
            <v>洗衣机显示板</v>
          </cell>
          <cell r="G624">
            <v>7.2222222222222215E-2</v>
          </cell>
          <cell r="H624">
            <v>360</v>
          </cell>
          <cell r="I624">
            <v>26</v>
          </cell>
        </row>
        <row r="625">
          <cell r="A625">
            <v>10880035984</v>
          </cell>
          <cell r="B625" t="str">
            <v>500493-B2407C-D G0020 2488431  </v>
          </cell>
          <cell r="C625">
            <v>10250043363</v>
          </cell>
          <cell r="D625">
            <v>2</v>
          </cell>
          <cell r="E625" t="str">
            <v>锡膏</v>
          </cell>
          <cell r="F625" t="str">
            <v>洗衣机显示板</v>
          </cell>
          <cell r="G625">
            <v>7.2222222222222215E-2</v>
          </cell>
          <cell r="H625">
            <v>360</v>
          </cell>
          <cell r="I625">
            <v>26</v>
          </cell>
        </row>
        <row r="626">
          <cell r="A626">
            <v>10880035985</v>
          </cell>
          <cell r="B626" t="str">
            <v>500493-B2407D-D G0020 2491645  </v>
          </cell>
          <cell r="C626">
            <v>10250043363</v>
          </cell>
          <cell r="D626">
            <v>2</v>
          </cell>
          <cell r="E626" t="str">
            <v>锡膏</v>
          </cell>
          <cell r="F626" t="str">
            <v>洗衣机显示板</v>
          </cell>
          <cell r="G626">
            <v>7.2222222222222215E-2</v>
          </cell>
          <cell r="H626">
            <v>360</v>
          </cell>
          <cell r="I626">
            <v>26</v>
          </cell>
        </row>
        <row r="627">
          <cell r="A627">
            <v>10880035986</v>
          </cell>
          <cell r="B627" t="str">
            <v>500493-B2407E-D G0020 2491646  </v>
          </cell>
          <cell r="C627">
            <v>10250043363</v>
          </cell>
          <cell r="D627">
            <v>2</v>
          </cell>
          <cell r="E627" t="str">
            <v>锡膏</v>
          </cell>
          <cell r="F627" t="str">
            <v>洗衣机显示板</v>
          </cell>
          <cell r="G627">
            <v>7.2222222222222215E-2</v>
          </cell>
          <cell r="H627">
            <v>360</v>
          </cell>
          <cell r="I627">
            <v>26</v>
          </cell>
        </row>
        <row r="628">
          <cell r="A628">
            <v>10880037036</v>
          </cell>
          <cell r="B628" t="str">
            <v>500493-B2407F-D G0020 20111697  </v>
          </cell>
          <cell r="C628">
            <v>10250043363</v>
          </cell>
          <cell r="D628">
            <v>2</v>
          </cell>
          <cell r="E628" t="str">
            <v>锡膏</v>
          </cell>
          <cell r="F628" t="str">
            <v>洗衣机显示板</v>
          </cell>
          <cell r="G628">
            <v>7.2222222222222215E-2</v>
          </cell>
          <cell r="H628">
            <v>360</v>
          </cell>
          <cell r="I628">
            <v>26</v>
          </cell>
        </row>
        <row r="629">
          <cell r="A629">
            <v>10880037046</v>
          </cell>
          <cell r="B629" t="str">
            <v>500493-B2407G-D G0020 2493878</v>
          </cell>
          <cell r="C629">
            <v>10250043363</v>
          </cell>
          <cell r="D629">
            <v>2</v>
          </cell>
          <cell r="E629" t="str">
            <v>锡膏</v>
          </cell>
          <cell r="F629" t="str">
            <v>洗衣机显示板</v>
          </cell>
          <cell r="G629">
            <v>7.2222222222222215E-2</v>
          </cell>
          <cell r="H629">
            <v>360</v>
          </cell>
          <cell r="I629">
            <v>26</v>
          </cell>
        </row>
        <row r="630">
          <cell r="A630">
            <v>10880037047</v>
          </cell>
          <cell r="B630" t="str">
            <v>500493-B2407H-D G0020 20114667</v>
          </cell>
          <cell r="C630">
            <v>10250043363</v>
          </cell>
          <cell r="D630">
            <v>2</v>
          </cell>
          <cell r="E630" t="str">
            <v>锡膏</v>
          </cell>
          <cell r="F630" t="str">
            <v>洗衣机显示板</v>
          </cell>
          <cell r="G630">
            <v>7.2222222222222215E-2</v>
          </cell>
          <cell r="H630">
            <v>360</v>
          </cell>
          <cell r="I630">
            <v>26</v>
          </cell>
        </row>
        <row r="631">
          <cell r="A631">
            <v>10880037178</v>
          </cell>
          <cell r="B631" t="str">
            <v>500493-B2407I-D G0020 20114666</v>
          </cell>
          <cell r="C631">
            <v>10250043363</v>
          </cell>
          <cell r="D631">
            <v>2</v>
          </cell>
          <cell r="E631" t="str">
            <v>锡膏</v>
          </cell>
          <cell r="F631" t="str">
            <v>洗衣机显示板</v>
          </cell>
          <cell r="G631">
            <v>7.2222222222222215E-2</v>
          </cell>
          <cell r="H631">
            <v>360</v>
          </cell>
          <cell r="I631">
            <v>26</v>
          </cell>
        </row>
        <row r="632">
          <cell r="A632">
            <v>10880037179</v>
          </cell>
          <cell r="B632" t="str">
            <v>500493-B2407J-D G0020 20107934</v>
          </cell>
          <cell r="C632">
            <v>10250043363</v>
          </cell>
          <cell r="D632">
            <v>2</v>
          </cell>
          <cell r="E632" t="str">
            <v>锡膏</v>
          </cell>
          <cell r="F632" t="str">
            <v>洗衣机显示板</v>
          </cell>
          <cell r="G632">
            <v>7.2222222222222215E-2</v>
          </cell>
          <cell r="H632">
            <v>360</v>
          </cell>
          <cell r="I632">
            <v>26</v>
          </cell>
        </row>
        <row r="633">
          <cell r="A633">
            <v>10880038126</v>
          </cell>
          <cell r="B633" t="str">
            <v>500493-B2407K-D G0020 20181300</v>
          </cell>
          <cell r="C633">
            <v>10250043363</v>
          </cell>
          <cell r="D633">
            <v>2</v>
          </cell>
          <cell r="E633" t="str">
            <v>锡膏</v>
          </cell>
          <cell r="F633" t="str">
            <v>洗衣机显示板</v>
          </cell>
          <cell r="G633">
            <v>7.2222222222222215E-2</v>
          </cell>
          <cell r="H633">
            <v>360</v>
          </cell>
          <cell r="I633">
            <v>26</v>
          </cell>
        </row>
        <row r="634">
          <cell r="A634">
            <v>10880034980</v>
          </cell>
          <cell r="B634" t="str">
            <v>500268-C2501A 1239964 H7A10566B-D/PV2229Y  </v>
          </cell>
          <cell r="C634">
            <v>10250041833</v>
          </cell>
          <cell r="D634">
            <v>1</v>
          </cell>
          <cell r="E634" t="str">
            <v>OSP
T/锡膏</v>
          </cell>
          <cell r="F634" t="str">
            <v>新一代侧出风驱动板</v>
          </cell>
          <cell r="G634">
            <v>0.68888888888888888</v>
          </cell>
          <cell r="H634">
            <v>90</v>
          </cell>
          <cell r="I634">
            <v>62</v>
          </cell>
        </row>
        <row r="635">
          <cell r="A635">
            <v>10880036499</v>
          </cell>
          <cell r="B635" t="str">
            <v>500268-C2501B G0020 1250711 H7A10566H-D/PV2229Y  </v>
          </cell>
          <cell r="C635">
            <v>10250041833</v>
          </cell>
          <cell r="D635">
            <v>1</v>
          </cell>
          <cell r="E635" t="str">
            <v>OSP
T/锡膏</v>
          </cell>
          <cell r="F635" t="str">
            <v>新一代侧出风驱动板</v>
          </cell>
          <cell r="G635">
            <v>0.68888888888888888</v>
          </cell>
          <cell r="H635">
            <v>90</v>
          </cell>
          <cell r="I635">
            <v>62</v>
          </cell>
        </row>
        <row r="636">
          <cell r="A636">
            <v>10880036500</v>
          </cell>
          <cell r="B636" t="str">
            <v>500268-C2501C G0020 1242655 H7A10566D-D/PV2229Y  </v>
          </cell>
          <cell r="C636">
            <v>10250041833</v>
          </cell>
          <cell r="D636">
            <v>1</v>
          </cell>
          <cell r="E636" t="str">
            <v>OSP
T/锡膏</v>
          </cell>
          <cell r="F636" t="str">
            <v>新一代侧出风驱动板</v>
          </cell>
          <cell r="G636">
            <v>0.68888888888888888</v>
          </cell>
          <cell r="H636">
            <v>90</v>
          </cell>
          <cell r="I636">
            <v>62</v>
          </cell>
        </row>
        <row r="637">
          <cell r="A637">
            <v>10880036502</v>
          </cell>
          <cell r="B637" t="str">
            <v>500268-C2501D G0020 1250712 H7A10566J-D/PV2229Y  </v>
          </cell>
          <cell r="C637">
            <v>10250041833</v>
          </cell>
          <cell r="D637">
            <v>1</v>
          </cell>
          <cell r="E637" t="str">
            <v>OSP
T/锡膏</v>
          </cell>
          <cell r="F637" t="str">
            <v>新一代侧出风驱动板</v>
          </cell>
          <cell r="G637">
            <v>0.68888888888888888</v>
          </cell>
          <cell r="H637">
            <v>90</v>
          </cell>
          <cell r="I637">
            <v>62</v>
          </cell>
        </row>
        <row r="638">
          <cell r="A638" t="str">
            <v>10880036503 </v>
          </cell>
          <cell r="B638" t="str">
            <v>500268-C2501E G0020 1242656 H7A10566E-D/PV2229Y  </v>
          </cell>
          <cell r="C638">
            <v>10250041833</v>
          </cell>
          <cell r="D638">
            <v>1</v>
          </cell>
          <cell r="E638" t="str">
            <v>OSP
T/锡膏</v>
          </cell>
          <cell r="F638" t="str">
            <v>新一代侧出风驱动板</v>
          </cell>
          <cell r="G638">
            <v>0.68888888888888888</v>
          </cell>
          <cell r="H638">
            <v>90</v>
          </cell>
          <cell r="I638">
            <v>62</v>
          </cell>
        </row>
        <row r="639">
          <cell r="A639">
            <v>10880036504</v>
          </cell>
          <cell r="B639" t="str">
            <v>500268-C2501F G0020 1242657 H7A10566F-D/PV2229Y  </v>
          </cell>
          <cell r="C639">
            <v>10250041833</v>
          </cell>
          <cell r="D639">
            <v>1</v>
          </cell>
          <cell r="E639" t="str">
            <v>OSP
T/锡膏</v>
          </cell>
          <cell r="F639" t="str">
            <v>新一代侧出风驱动板</v>
          </cell>
          <cell r="G639">
            <v>0.68888888888888888</v>
          </cell>
          <cell r="H639">
            <v>90</v>
          </cell>
          <cell r="I639">
            <v>62</v>
          </cell>
        </row>
        <row r="640">
          <cell r="A640">
            <v>10880036505</v>
          </cell>
          <cell r="B640" t="str">
            <v>500268-C2501G G0020 1242654 H7A10566C-D/PV2229Y  </v>
          </cell>
          <cell r="C640">
            <v>10250041833</v>
          </cell>
          <cell r="D640">
            <v>1</v>
          </cell>
          <cell r="E640" t="str">
            <v>OSP
T/锡膏</v>
          </cell>
          <cell r="F640" t="str">
            <v>新一代侧出风驱动板</v>
          </cell>
          <cell r="G640">
            <v>0.68888888888888888</v>
          </cell>
          <cell r="H640">
            <v>90</v>
          </cell>
          <cell r="I640">
            <v>62</v>
          </cell>
        </row>
        <row r="641">
          <cell r="A641">
            <v>10880036506</v>
          </cell>
          <cell r="B641" t="str">
            <v>500268-C2501H G0020 1250710 H7A10566G-D/PV2229Y  </v>
          </cell>
          <cell r="C641">
            <v>10250041833</v>
          </cell>
          <cell r="D641">
            <v>1</v>
          </cell>
          <cell r="E641" t="str">
            <v>OSP
T/锡膏</v>
          </cell>
          <cell r="F641" t="str">
            <v>新一代侧出风驱动板</v>
          </cell>
          <cell r="G641">
            <v>0.68888888888888888</v>
          </cell>
          <cell r="H641">
            <v>90</v>
          </cell>
          <cell r="I641">
            <v>62</v>
          </cell>
        </row>
        <row r="642">
          <cell r="A642">
            <v>10880036852</v>
          </cell>
          <cell r="B642" t="str">
            <v>500268-C2501I G0020 1239934 H7A10566A-D/PV2229Y  </v>
          </cell>
          <cell r="C642">
            <v>10250041833</v>
          </cell>
          <cell r="D642">
            <v>1</v>
          </cell>
          <cell r="E642" t="str">
            <v>OSP
T/锡膏</v>
          </cell>
          <cell r="F642" t="str">
            <v>新一代侧出风驱动板</v>
          </cell>
          <cell r="G642">
            <v>0.68888888888888888</v>
          </cell>
          <cell r="H642">
            <v>90</v>
          </cell>
          <cell r="I642">
            <v>62</v>
          </cell>
        </row>
        <row r="643">
          <cell r="A643">
            <v>10880036134</v>
          </cell>
          <cell r="B643" t="str">
            <v>697-C2503A G0020 1240104 H7A09529E/PV2229Q  </v>
          </cell>
          <cell r="C643">
            <v>10250043347</v>
          </cell>
          <cell r="D643">
            <v>1</v>
          </cell>
          <cell r="E643" t="str">
            <v>OSP
T/锡膏</v>
          </cell>
          <cell r="F643" t="str">
            <v>新一代侧出风驱动板</v>
          </cell>
          <cell r="G643">
            <v>0.68888888888888888</v>
          </cell>
          <cell r="H643">
            <v>90</v>
          </cell>
          <cell r="I643">
            <v>62</v>
          </cell>
        </row>
        <row r="644">
          <cell r="A644">
            <v>10880036204</v>
          </cell>
          <cell r="B644" t="str">
            <v>697-C2503B G0020 1240105 H7A09529F/PV2229Q  </v>
          </cell>
          <cell r="C644">
            <v>10250043347</v>
          </cell>
          <cell r="D644">
            <v>1</v>
          </cell>
          <cell r="E644" t="str">
            <v>OSP
T/锡膏</v>
          </cell>
          <cell r="F644" t="str">
            <v>新一代侧出风驱动板</v>
          </cell>
          <cell r="G644">
            <v>0.68888888888888888</v>
          </cell>
          <cell r="H644">
            <v>90</v>
          </cell>
          <cell r="I644">
            <v>62</v>
          </cell>
        </row>
        <row r="645">
          <cell r="A645">
            <v>10880036205</v>
          </cell>
          <cell r="B645" t="str">
            <v>697-C2503C G0020 1235823 H7A09529D/PV2229Q  </v>
          </cell>
          <cell r="C645">
            <v>10250043347</v>
          </cell>
          <cell r="D645">
            <v>1</v>
          </cell>
          <cell r="E645" t="str">
            <v>OSP
T/锡膏</v>
          </cell>
          <cell r="F645" t="str">
            <v>新一代侧出风驱动板</v>
          </cell>
          <cell r="G645">
            <v>0.68888888888888888</v>
          </cell>
          <cell r="H645">
            <v>90</v>
          </cell>
          <cell r="I645">
            <v>62</v>
          </cell>
        </row>
        <row r="646">
          <cell r="A646">
            <v>10880036206</v>
          </cell>
          <cell r="B646" t="str">
            <v>697-C2503D G0020 1220211 H7A09529A/PV2229Q  </v>
          </cell>
          <cell r="C646">
            <v>10250043347</v>
          </cell>
          <cell r="D646">
            <v>1</v>
          </cell>
          <cell r="E646" t="str">
            <v>OSP
T/锡膏</v>
          </cell>
          <cell r="F646" t="str">
            <v>新一代侧出风驱动板</v>
          </cell>
          <cell r="G646">
            <v>0.68888888888888888</v>
          </cell>
          <cell r="H646">
            <v>90</v>
          </cell>
          <cell r="I646">
            <v>62</v>
          </cell>
        </row>
        <row r="647">
          <cell r="A647">
            <v>10880036493</v>
          </cell>
          <cell r="B647" t="str">
            <v>697-C2503E G0020 1220212 H7A09529B/PV2229Q  </v>
          </cell>
          <cell r="C647">
            <v>10250043347</v>
          </cell>
          <cell r="D647">
            <v>1</v>
          </cell>
          <cell r="E647" t="str">
            <v>OSP
T/锡膏</v>
          </cell>
          <cell r="F647" t="str">
            <v>新一代侧出风驱动板</v>
          </cell>
          <cell r="G647">
            <v>0.68888888888888888</v>
          </cell>
          <cell r="H647">
            <v>90</v>
          </cell>
          <cell r="I647">
            <v>62</v>
          </cell>
        </row>
        <row r="648">
          <cell r="A648">
            <v>10880036494</v>
          </cell>
          <cell r="B648" t="str">
            <v>697-C2503F G0020 1221341 H7A09529C/PV2229Q  </v>
          </cell>
          <cell r="C648">
            <v>10250043347</v>
          </cell>
          <cell r="D648">
            <v>1</v>
          </cell>
          <cell r="E648" t="str">
            <v>OSP
T/锡膏</v>
          </cell>
          <cell r="F648" t="str">
            <v>新一代侧出风驱动板</v>
          </cell>
          <cell r="G648">
            <v>0.68888888888888888</v>
          </cell>
          <cell r="H648">
            <v>90</v>
          </cell>
          <cell r="I648">
            <v>62</v>
          </cell>
        </row>
        <row r="649">
          <cell r="A649">
            <v>10880036135</v>
          </cell>
          <cell r="B649" t="str">
            <v>697-C2504A G0020 1235820 H7A09158D/PV2229H  </v>
          </cell>
          <cell r="C649">
            <v>10250043349</v>
          </cell>
          <cell r="D649">
            <v>1</v>
          </cell>
          <cell r="E649" t="str">
            <v>OSP
T/锡膏</v>
          </cell>
          <cell r="F649" t="str">
            <v>新一代侧出风驱动板</v>
          </cell>
          <cell r="G649">
            <v>0.68888888888888888</v>
          </cell>
          <cell r="H649">
            <v>90</v>
          </cell>
          <cell r="I649">
            <v>62</v>
          </cell>
        </row>
        <row r="650">
          <cell r="A650">
            <v>10880036207</v>
          </cell>
          <cell r="B650" t="str">
            <v>697-C2504B G0020 1201684 H7A09158A/PV2229H  </v>
          </cell>
          <cell r="C650">
            <v>10250043349</v>
          </cell>
          <cell r="D650">
            <v>1</v>
          </cell>
          <cell r="E650" t="str">
            <v>OSP
T/锡膏</v>
          </cell>
          <cell r="F650" t="str">
            <v>新一代侧出风驱动板</v>
          </cell>
          <cell r="G650">
            <v>0.68888888888888888</v>
          </cell>
          <cell r="H650">
            <v>90</v>
          </cell>
          <cell r="I650">
            <v>62</v>
          </cell>
        </row>
        <row r="651">
          <cell r="A651">
            <v>10880036479</v>
          </cell>
          <cell r="B651" t="str">
            <v>697-C2504C G0020 1201685 H7A09158B/PV2229H  </v>
          </cell>
          <cell r="C651">
            <v>10250043349</v>
          </cell>
          <cell r="D651">
            <v>1</v>
          </cell>
          <cell r="E651" t="str">
            <v>OSP
T/锡膏</v>
          </cell>
          <cell r="F651" t="str">
            <v>新一代侧出风驱动板</v>
          </cell>
          <cell r="G651">
            <v>0.68888888888888888</v>
          </cell>
          <cell r="H651">
            <v>90</v>
          </cell>
          <cell r="I651">
            <v>62</v>
          </cell>
        </row>
        <row r="652">
          <cell r="A652">
            <v>10880036481</v>
          </cell>
          <cell r="B652" t="str">
            <v>697-C2504D G0020 1239203 H7A09158E/PV2229H  </v>
          </cell>
          <cell r="C652">
            <v>10250043349</v>
          </cell>
          <cell r="D652">
            <v>1</v>
          </cell>
          <cell r="E652" t="str">
            <v>OSP
T/锡膏</v>
          </cell>
          <cell r="F652" t="str">
            <v>新一代侧出风驱动板</v>
          </cell>
          <cell r="G652">
            <v>0.68888888888888888</v>
          </cell>
          <cell r="H652">
            <v>90</v>
          </cell>
          <cell r="I652">
            <v>62</v>
          </cell>
        </row>
        <row r="653">
          <cell r="A653">
            <v>10880036495</v>
          </cell>
          <cell r="B653" t="str">
            <v>697-C2504E G0020 1221254 H7A09158C/PV2229H  </v>
          </cell>
          <cell r="C653">
            <v>10250043349</v>
          </cell>
          <cell r="D653">
            <v>1</v>
          </cell>
          <cell r="E653" t="str">
            <v>OSP
T/锡膏</v>
          </cell>
          <cell r="F653" t="str">
            <v>新一代侧出风驱动板</v>
          </cell>
          <cell r="G653">
            <v>0.68888888888888888</v>
          </cell>
          <cell r="H653">
            <v>90</v>
          </cell>
          <cell r="I653">
            <v>62</v>
          </cell>
        </row>
        <row r="654">
          <cell r="A654">
            <v>10880036497</v>
          </cell>
          <cell r="B654" t="str">
            <v>697-C2504F G0020 1239204 H7A09158F/PV2229H  </v>
          </cell>
          <cell r="C654">
            <v>10250043349</v>
          </cell>
          <cell r="D654">
            <v>1</v>
          </cell>
          <cell r="E654" t="str">
            <v>OSP
T/锡膏</v>
          </cell>
          <cell r="F654" t="str">
            <v>新一代侧出风驱动板</v>
          </cell>
          <cell r="G654">
            <v>0.68888888888888888</v>
          </cell>
          <cell r="H654">
            <v>90</v>
          </cell>
          <cell r="I654">
            <v>62</v>
          </cell>
        </row>
        <row r="655">
          <cell r="A655">
            <v>10880032386</v>
          </cell>
          <cell r="B655" t="str">
            <v>201-A2413A-X G0020 3677802 BCD-600W 屏显组件</v>
          </cell>
          <cell r="C655">
            <v>10250042097</v>
          </cell>
          <cell r="D655">
            <v>4</v>
          </cell>
          <cell r="E655" t="str">
            <v>OSP
T/锡膏</v>
          </cell>
          <cell r="F655" t="str">
            <v>冰箱通用板</v>
          </cell>
          <cell r="G655">
            <v>0.45</v>
          </cell>
          <cell r="H655">
            <v>60</v>
          </cell>
          <cell r="I655">
            <v>27</v>
          </cell>
        </row>
        <row r="656">
          <cell r="A656">
            <v>10880036786</v>
          </cell>
          <cell r="B656" t="str">
            <v>1886-C2515A-X G0020 3677802 BCD-600W 屏显组件</v>
          </cell>
          <cell r="C656">
            <v>10250042097</v>
          </cell>
          <cell r="D656">
            <v>4</v>
          </cell>
          <cell r="E656" t="str">
            <v>OSP
T/锡膏</v>
          </cell>
          <cell r="F656" t="str">
            <v>冰箱通用板</v>
          </cell>
          <cell r="G656">
            <v>0.45</v>
          </cell>
          <cell r="H656">
            <v>60</v>
          </cell>
          <cell r="I656">
            <v>27</v>
          </cell>
        </row>
        <row r="657">
          <cell r="A657">
            <v>10880037605</v>
          </cell>
          <cell r="B657" t="str">
            <v>1886-C2515B-X G0020 BCD-640W-屏显组件</v>
          </cell>
          <cell r="C657">
            <v>10250042097</v>
          </cell>
          <cell r="D657">
            <v>4</v>
          </cell>
          <cell r="E657" t="str">
            <v>OSP
T/锡膏</v>
          </cell>
          <cell r="F657" t="str">
            <v>冰箱通用板</v>
          </cell>
          <cell r="G657">
            <v>0.45</v>
          </cell>
          <cell r="H657">
            <v>60</v>
          </cell>
          <cell r="I657">
            <v>27</v>
          </cell>
        </row>
        <row r="658">
          <cell r="A658">
            <v>10880032383</v>
          </cell>
          <cell r="B658" t="str">
            <v>201-A2412A-X G0020 3677805 BCD-600W MIC组件</v>
          </cell>
          <cell r="C658">
            <v>10250042148</v>
          </cell>
          <cell r="D658">
            <v>30</v>
          </cell>
          <cell r="E658" t="str">
            <v>OSP
T/锡膏</v>
          </cell>
          <cell r="F658" t="str">
            <v>冰箱远场拾音板</v>
          </cell>
          <cell r="G658">
            <v>0.14000000000000001</v>
          </cell>
          <cell r="H658">
            <v>100</v>
          </cell>
          <cell r="I658">
            <v>14</v>
          </cell>
        </row>
        <row r="659">
          <cell r="A659">
            <v>10880036799</v>
          </cell>
          <cell r="B659" t="str">
            <v>1886-C2516A-X G0020 3678741 BCD-600W MI组件</v>
          </cell>
          <cell r="C659">
            <v>10250042148</v>
          </cell>
          <cell r="D659">
            <v>30</v>
          </cell>
          <cell r="E659" t="str">
            <v>OSP
T/锡膏</v>
          </cell>
          <cell r="F659" t="str">
            <v>冰箱远场拾音板</v>
          </cell>
          <cell r="G659">
            <v>0.14000000000000001</v>
          </cell>
          <cell r="H659">
            <v>100</v>
          </cell>
          <cell r="I659">
            <v>14</v>
          </cell>
        </row>
        <row r="660">
          <cell r="A660">
            <v>10880037582</v>
          </cell>
          <cell r="B660" t="str">
            <v>1886-C2516B-X G0020 BCD-640W-MIC组件</v>
          </cell>
          <cell r="C660">
            <v>10250042148</v>
          </cell>
          <cell r="D660">
            <v>30</v>
          </cell>
          <cell r="E660" t="str">
            <v>OSP
T/锡膏</v>
          </cell>
          <cell r="F660" t="str">
            <v>冰箱远场拾音板</v>
          </cell>
          <cell r="G660">
            <v>0.14000000000000001</v>
          </cell>
          <cell r="H660">
            <v>100</v>
          </cell>
          <cell r="I660">
            <v>14</v>
          </cell>
        </row>
        <row r="661">
          <cell r="A661">
            <v>10880035235</v>
          </cell>
          <cell r="B661" t="str">
            <v xml:space="preserve">500493-C2504A-CB 2468085 </v>
          </cell>
          <cell r="C661" t="str">
            <v>10250042357/10250042358</v>
          </cell>
          <cell r="D661" t="str">
            <v>1*56</v>
          </cell>
          <cell r="E661" t="str">
            <v>锡膏</v>
          </cell>
          <cell r="F661" t="str">
            <v>洗衣机通讯板</v>
          </cell>
          <cell r="G661">
            <v>4.6944444444444448E-2</v>
          </cell>
          <cell r="H661">
            <v>360</v>
          </cell>
          <cell r="I661">
            <v>21</v>
          </cell>
        </row>
        <row r="662">
          <cell r="A662">
            <v>10412012190</v>
          </cell>
          <cell r="B662" t="str">
            <v>2189-B2505A-KN 2489739</v>
          </cell>
          <cell r="C662">
            <v>10250045420</v>
          </cell>
          <cell r="D662" t="str">
            <v>1*20</v>
          </cell>
          <cell r="E662" t="str">
            <v>OSP
T/锡膏</v>
          </cell>
          <cell r="F662" t="str">
            <v>洗衣机旋钮板</v>
          </cell>
          <cell r="G662">
            <v>6.0000000000000001E-3</v>
          </cell>
          <cell r="H662">
            <v>2000</v>
          </cell>
          <cell r="I662">
            <v>12</v>
          </cell>
        </row>
        <row r="663">
          <cell r="A663">
            <v>10880036058</v>
          </cell>
          <cell r="B663" t="str">
            <v>2189-B2505A G0020 2489739</v>
          </cell>
          <cell r="C663">
            <v>10250045395</v>
          </cell>
          <cell r="D663" t="str">
            <v>1*3</v>
          </cell>
          <cell r="E663" t="str">
            <v>OSP
T/锡膏</v>
          </cell>
          <cell r="F663" t="str">
            <v>洗衣机显示板</v>
          </cell>
          <cell r="G663">
            <v>9.558333333333334E-2</v>
          </cell>
          <cell r="H663">
            <v>480</v>
          </cell>
          <cell r="I663">
            <v>43</v>
          </cell>
        </row>
        <row r="664">
          <cell r="A664">
            <v>10880036364</v>
          </cell>
          <cell r="B664" t="str">
            <v>2189-B2505B G0020 2504028</v>
          </cell>
          <cell r="C664">
            <v>10250045395</v>
          </cell>
          <cell r="D664" t="str">
            <v>1*3</v>
          </cell>
          <cell r="E664" t="str">
            <v>OSP
T/锡膏</v>
          </cell>
          <cell r="F664" t="str">
            <v>洗衣机显示板</v>
          </cell>
          <cell r="G664">
            <v>9.558333333333334E-2</v>
          </cell>
          <cell r="H664">
            <v>480</v>
          </cell>
          <cell r="I664">
            <v>43</v>
          </cell>
        </row>
        <row r="665">
          <cell r="A665">
            <v>10880036366</v>
          </cell>
          <cell r="B665" t="str">
            <v>2189-B2505C G0020 2504029</v>
          </cell>
          <cell r="C665">
            <v>10250045395</v>
          </cell>
          <cell r="D665" t="str">
            <v>1*3</v>
          </cell>
          <cell r="E665" t="str">
            <v>OSP
T/锡膏</v>
          </cell>
          <cell r="F665" t="str">
            <v>洗衣机显示板</v>
          </cell>
          <cell r="G665">
            <v>9.558333333333334E-2</v>
          </cell>
          <cell r="H665">
            <v>480</v>
          </cell>
          <cell r="I665">
            <v>43</v>
          </cell>
        </row>
        <row r="666">
          <cell r="A666">
            <v>10880036367</v>
          </cell>
          <cell r="B666" t="str">
            <v>2189-B2505D G0020 2504040</v>
          </cell>
          <cell r="C666">
            <v>10250045395</v>
          </cell>
          <cell r="D666" t="str">
            <v>1*3</v>
          </cell>
          <cell r="E666" t="str">
            <v>OSP
T/锡膏</v>
          </cell>
          <cell r="F666" t="str">
            <v>洗衣机显示板</v>
          </cell>
          <cell r="G666">
            <v>9.558333333333334E-2</v>
          </cell>
          <cell r="H666">
            <v>480</v>
          </cell>
          <cell r="I666">
            <v>43</v>
          </cell>
        </row>
        <row r="667">
          <cell r="A667">
            <v>10880036458</v>
          </cell>
          <cell r="B667" t="str">
            <v>2189-B2505E G0020 2506399</v>
          </cell>
          <cell r="C667">
            <v>10250045395</v>
          </cell>
          <cell r="D667" t="str">
            <v>1*3</v>
          </cell>
          <cell r="E667" t="str">
            <v>OSP
T/锡膏</v>
          </cell>
          <cell r="F667" t="str">
            <v>洗衣机显示板</v>
          </cell>
          <cell r="G667">
            <v>9.558333333333334E-2</v>
          </cell>
          <cell r="H667">
            <v>480</v>
          </cell>
          <cell r="I667">
            <v>43</v>
          </cell>
        </row>
        <row r="668">
          <cell r="A668">
            <v>10880037022</v>
          </cell>
          <cell r="B668" t="str">
            <v>2189-B2505F G0020 20107993</v>
          </cell>
          <cell r="C668">
            <v>10250045395</v>
          </cell>
          <cell r="D668" t="str">
            <v>1*3</v>
          </cell>
          <cell r="E668" t="str">
            <v>OSP
T/锡膏</v>
          </cell>
          <cell r="F668" t="str">
            <v>洗衣机显示板</v>
          </cell>
          <cell r="G668">
            <v>9.558333333333334E-2</v>
          </cell>
          <cell r="H668">
            <v>480</v>
          </cell>
          <cell r="I668">
            <v>43</v>
          </cell>
        </row>
        <row r="669">
          <cell r="A669">
            <v>10880037023</v>
          </cell>
          <cell r="B669" t="str">
            <v>2189-B2505G G0020 20112794</v>
          </cell>
          <cell r="C669">
            <v>10250045395</v>
          </cell>
          <cell r="D669" t="str">
            <v>1*3</v>
          </cell>
          <cell r="E669" t="str">
            <v>OSP
T/锡膏</v>
          </cell>
          <cell r="F669" t="str">
            <v>洗衣机显示板</v>
          </cell>
          <cell r="G669">
            <v>9.558333333333334E-2</v>
          </cell>
          <cell r="H669">
            <v>480</v>
          </cell>
          <cell r="I669">
            <v>43</v>
          </cell>
        </row>
        <row r="670">
          <cell r="A670">
            <v>10880037295</v>
          </cell>
          <cell r="B670" t="str">
            <v>2189-B2505H G0020 20120031</v>
          </cell>
          <cell r="C670">
            <v>10250045395</v>
          </cell>
          <cell r="D670" t="str">
            <v>1*3</v>
          </cell>
          <cell r="E670" t="str">
            <v>OSP
T/锡膏</v>
          </cell>
          <cell r="F670" t="str">
            <v>洗衣机显示板</v>
          </cell>
          <cell r="G670">
            <v>9.558333333333334E-2</v>
          </cell>
          <cell r="H670">
            <v>480</v>
          </cell>
          <cell r="I670">
            <v>43</v>
          </cell>
        </row>
        <row r="671">
          <cell r="A671">
            <v>10880037297</v>
          </cell>
          <cell r="B671" t="str">
            <v>2189-B2505I G0020 20126172</v>
          </cell>
          <cell r="C671">
            <v>10250045395</v>
          </cell>
          <cell r="D671" t="str">
            <v>1*3</v>
          </cell>
          <cell r="E671" t="str">
            <v>OSP
T/锡膏</v>
          </cell>
          <cell r="F671" t="str">
            <v>洗衣机显示板</v>
          </cell>
          <cell r="G671">
            <v>9.558333333333334E-2</v>
          </cell>
          <cell r="H671">
            <v>480</v>
          </cell>
          <cell r="I671">
            <v>43</v>
          </cell>
        </row>
        <row r="672">
          <cell r="A672">
            <v>10880037414</v>
          </cell>
          <cell r="B672" t="str">
            <v>2189-B2505J G0020 20140244</v>
          </cell>
          <cell r="C672">
            <v>10250045395</v>
          </cell>
          <cell r="D672" t="str">
            <v>1*3</v>
          </cell>
          <cell r="E672" t="str">
            <v>OSP
T/锡膏</v>
          </cell>
          <cell r="F672" t="str">
            <v>洗衣机显示板</v>
          </cell>
          <cell r="G672">
            <v>9.558333333333334E-2</v>
          </cell>
          <cell r="H672">
            <v>480</v>
          </cell>
          <cell r="I672">
            <v>43</v>
          </cell>
        </row>
        <row r="673">
          <cell r="A673">
            <v>10880037415</v>
          </cell>
          <cell r="B673" t="str">
            <v>2189-B2505K G0020 20140245</v>
          </cell>
          <cell r="C673">
            <v>10250045395</v>
          </cell>
          <cell r="D673" t="str">
            <v>1*3</v>
          </cell>
          <cell r="E673" t="str">
            <v>OSP
T/锡膏</v>
          </cell>
          <cell r="F673" t="str">
            <v>洗衣机显示板</v>
          </cell>
          <cell r="G673">
            <v>9.558333333333334E-2</v>
          </cell>
          <cell r="H673">
            <v>480</v>
          </cell>
          <cell r="I673">
            <v>43</v>
          </cell>
        </row>
        <row r="674">
          <cell r="A674">
            <v>10880037659</v>
          </cell>
          <cell r="B674" t="str">
            <v>2189-B2505L G0020 20159285</v>
          </cell>
          <cell r="C674">
            <v>10250045395</v>
          </cell>
          <cell r="D674" t="str">
            <v>1*3</v>
          </cell>
          <cell r="E674" t="str">
            <v>OSP
T/锡膏</v>
          </cell>
          <cell r="F674" t="str">
            <v>洗衣机显示板</v>
          </cell>
          <cell r="G674">
            <v>9.558333333333334E-2</v>
          </cell>
          <cell r="H674">
            <v>480</v>
          </cell>
          <cell r="I674">
            <v>43</v>
          </cell>
        </row>
        <row r="675">
          <cell r="A675">
            <v>10880037661</v>
          </cell>
          <cell r="B675" t="str">
            <v>2189-B2505M G0020 20159286</v>
          </cell>
          <cell r="C675">
            <v>10250045395</v>
          </cell>
          <cell r="D675" t="str">
            <v>1*3</v>
          </cell>
          <cell r="E675" t="str">
            <v>OSP
T/锡膏</v>
          </cell>
          <cell r="F675" t="str">
            <v>洗衣机显示板</v>
          </cell>
          <cell r="G675">
            <v>9.558333333333334E-2</v>
          </cell>
          <cell r="H675">
            <v>480</v>
          </cell>
          <cell r="I675">
            <v>43</v>
          </cell>
        </row>
        <row r="676">
          <cell r="A676">
            <v>10880038221</v>
          </cell>
          <cell r="B676" t="str">
            <v>2189-B2505N G0020 20120053</v>
          </cell>
          <cell r="C676">
            <v>10250045395</v>
          </cell>
          <cell r="D676" t="str">
            <v>1*3</v>
          </cell>
          <cell r="E676" t="str">
            <v>OSP
T/锡膏</v>
          </cell>
          <cell r="F676" t="str">
            <v>洗衣机显示板</v>
          </cell>
          <cell r="G676">
            <v>9.558333333333334E-2</v>
          </cell>
          <cell r="H676">
            <v>480</v>
          </cell>
          <cell r="I676">
            <v>43</v>
          </cell>
        </row>
        <row r="677">
          <cell r="A677">
            <v>10880038224</v>
          </cell>
          <cell r="B677" t="str">
            <v>2189-B2505O G0020 20112793</v>
          </cell>
          <cell r="C677">
            <v>10250045395</v>
          </cell>
          <cell r="D677" t="str">
            <v>1*3</v>
          </cell>
          <cell r="E677" t="str">
            <v>OSP
T/锡膏</v>
          </cell>
          <cell r="F677" t="str">
            <v>洗衣机显示板</v>
          </cell>
          <cell r="G677">
            <v>0.14350000000000002</v>
          </cell>
          <cell r="H677">
            <v>240</v>
          </cell>
          <cell r="I677">
            <v>33</v>
          </cell>
        </row>
        <row r="678">
          <cell r="A678">
            <v>10880038225</v>
          </cell>
          <cell r="B678" t="str">
            <v>2189-B2505P G0020 20112792</v>
          </cell>
          <cell r="C678">
            <v>10250045395</v>
          </cell>
          <cell r="D678" t="str">
            <v>1*3</v>
          </cell>
          <cell r="E678" t="str">
            <v>OSP
T/锡膏</v>
          </cell>
          <cell r="F678" t="str">
            <v>洗衣机显示板</v>
          </cell>
          <cell r="G678">
            <v>0.14350000000000002</v>
          </cell>
          <cell r="H678">
            <v>240</v>
          </cell>
          <cell r="I678">
            <v>33</v>
          </cell>
        </row>
        <row r="679">
          <cell r="A679">
            <v>10880038226</v>
          </cell>
          <cell r="B679" t="str">
            <v>2189-B2505Q G0020 20187289</v>
          </cell>
          <cell r="C679">
            <v>10250045395</v>
          </cell>
          <cell r="D679" t="str">
            <v>1*3</v>
          </cell>
          <cell r="E679" t="str">
            <v>OSP
T/锡膏</v>
          </cell>
          <cell r="F679" t="str">
            <v>洗衣机显示板</v>
          </cell>
          <cell r="G679">
            <v>0.14350000000000002</v>
          </cell>
          <cell r="H679">
            <v>240</v>
          </cell>
          <cell r="I679">
            <v>33</v>
          </cell>
        </row>
        <row r="680">
          <cell r="A680">
            <v>10880038229</v>
          </cell>
          <cell r="B680" t="str">
            <v>2189-B2505R G0020 20187291</v>
          </cell>
          <cell r="C680">
            <v>10250045395</v>
          </cell>
          <cell r="D680" t="str">
            <v>1*3</v>
          </cell>
          <cell r="E680" t="str">
            <v>OSP
T/锡膏</v>
          </cell>
          <cell r="F680" t="str">
            <v>洗衣机显示板</v>
          </cell>
          <cell r="G680">
            <v>9.558333333333334E-2</v>
          </cell>
          <cell r="H680">
            <v>480</v>
          </cell>
          <cell r="I680">
            <v>43</v>
          </cell>
        </row>
        <row r="681">
          <cell r="A681">
            <v>10880038230</v>
          </cell>
          <cell r="B681" t="str">
            <v>2189-B2505S G0020 20193051</v>
          </cell>
          <cell r="C681">
            <v>10250045395</v>
          </cell>
          <cell r="D681" t="str">
            <v>1*3</v>
          </cell>
          <cell r="E681" t="str">
            <v>OSP
T/锡膏</v>
          </cell>
          <cell r="F681" t="str">
            <v>洗衣机显示板</v>
          </cell>
          <cell r="G681">
            <v>9.558333333333334E-2</v>
          </cell>
          <cell r="H681">
            <v>480</v>
          </cell>
          <cell r="I681">
            <v>43</v>
          </cell>
        </row>
        <row r="682">
          <cell r="A682">
            <v>10880038231</v>
          </cell>
          <cell r="B682" t="str">
            <v>2189-B2505T G0020 20204129</v>
          </cell>
          <cell r="C682">
            <v>10250045395</v>
          </cell>
          <cell r="D682" t="str">
            <v>1*3</v>
          </cell>
          <cell r="E682" t="str">
            <v>OSP
T/锡膏</v>
          </cell>
          <cell r="F682" t="str">
            <v>洗衣机显示板</v>
          </cell>
          <cell r="G682">
            <v>9.558333333333334E-2</v>
          </cell>
          <cell r="H682">
            <v>480</v>
          </cell>
          <cell r="I682">
            <v>43</v>
          </cell>
        </row>
        <row r="683">
          <cell r="A683">
            <v>10880038232</v>
          </cell>
          <cell r="B683" t="str">
            <v>2189-B2505U G0020 20204792</v>
          </cell>
          <cell r="C683">
            <v>10250045395</v>
          </cell>
          <cell r="D683" t="str">
            <v>1*3</v>
          </cell>
          <cell r="E683" t="str">
            <v>OSP
T/锡膏</v>
          </cell>
          <cell r="F683" t="str">
            <v>洗衣机显示板</v>
          </cell>
          <cell r="G683">
            <v>0.14350000000000002</v>
          </cell>
          <cell r="H683">
            <v>240</v>
          </cell>
          <cell r="I683">
            <v>33</v>
          </cell>
        </row>
        <row r="684">
          <cell r="A684">
            <v>10880038233</v>
          </cell>
          <cell r="B684" t="str">
            <v>2189-B2505V G0020 20204793</v>
          </cell>
          <cell r="C684">
            <v>10250045395</v>
          </cell>
          <cell r="D684" t="str">
            <v>1*3</v>
          </cell>
          <cell r="E684" t="str">
            <v>OSP
T/锡膏</v>
          </cell>
          <cell r="F684" t="str">
            <v>洗衣机显示板</v>
          </cell>
          <cell r="G684">
            <v>9.558333333333334E-2</v>
          </cell>
          <cell r="H684">
            <v>480</v>
          </cell>
          <cell r="I684">
            <v>43</v>
          </cell>
        </row>
        <row r="685">
          <cell r="A685">
            <v>10880038234</v>
          </cell>
          <cell r="B685" t="str">
            <v>2189-B2505W G0020 20204794</v>
          </cell>
          <cell r="C685">
            <v>10250045395</v>
          </cell>
          <cell r="D685" t="str">
            <v>1*3</v>
          </cell>
          <cell r="E685" t="str">
            <v>OSP
T/锡膏</v>
          </cell>
          <cell r="F685" t="str">
            <v>洗衣机显示板</v>
          </cell>
          <cell r="G685">
            <v>9.558333333333334E-2</v>
          </cell>
          <cell r="H685">
            <v>480</v>
          </cell>
          <cell r="I685">
            <v>43</v>
          </cell>
        </row>
        <row r="686">
          <cell r="A686">
            <v>10880038235</v>
          </cell>
          <cell r="B686" t="str">
            <v>2189-B2505X G0020 20204795</v>
          </cell>
          <cell r="C686">
            <v>10250045395</v>
          </cell>
          <cell r="D686" t="str">
            <v>1*3</v>
          </cell>
          <cell r="E686" t="str">
            <v>OSP
T/锡膏</v>
          </cell>
          <cell r="F686" t="str">
            <v>洗衣机显示板</v>
          </cell>
          <cell r="G686">
            <v>0.14350000000000002</v>
          </cell>
          <cell r="H686">
            <v>240</v>
          </cell>
          <cell r="I686">
            <v>33</v>
          </cell>
        </row>
        <row r="687">
          <cell r="A687">
            <v>10880038236</v>
          </cell>
          <cell r="B687" t="str">
            <v>2189-B2505Y G0020 20217726</v>
          </cell>
          <cell r="C687">
            <v>10250045395</v>
          </cell>
          <cell r="D687" t="str">
            <v>1*3</v>
          </cell>
          <cell r="E687" t="str">
            <v>OSP
T/锡膏</v>
          </cell>
          <cell r="F687" t="str">
            <v>洗衣机显示板</v>
          </cell>
          <cell r="G687">
            <v>9.558333333333334E-2</v>
          </cell>
          <cell r="H687">
            <v>480</v>
          </cell>
          <cell r="I687">
            <v>43</v>
          </cell>
        </row>
        <row r="688">
          <cell r="A688">
            <v>10880038237</v>
          </cell>
          <cell r="B688" t="str">
            <v>2189-B2505Z G0020 20217734</v>
          </cell>
          <cell r="C688">
            <v>10250045395</v>
          </cell>
          <cell r="D688" t="str">
            <v>1*3</v>
          </cell>
          <cell r="E688" t="str">
            <v>OSP
T/锡膏</v>
          </cell>
          <cell r="F688" t="str">
            <v>洗衣机显示板</v>
          </cell>
          <cell r="G688">
            <v>9.558333333333334E-2</v>
          </cell>
          <cell r="H688">
            <v>480</v>
          </cell>
          <cell r="I688">
            <v>43</v>
          </cell>
        </row>
        <row r="689">
          <cell r="A689">
            <v>10880038454</v>
          </cell>
          <cell r="B689" t="str">
            <v>2189-B2505AA G0020 20228384</v>
          </cell>
          <cell r="C689">
            <v>10250045395</v>
          </cell>
          <cell r="D689" t="str">
            <v>1*3</v>
          </cell>
          <cell r="E689" t="str">
            <v>OSP
T/锡膏</v>
          </cell>
          <cell r="F689" t="str">
            <v>洗衣机显示板</v>
          </cell>
          <cell r="G689">
            <v>9.558333333333334E-2</v>
          </cell>
          <cell r="H689">
            <v>480</v>
          </cell>
          <cell r="I689">
            <v>43</v>
          </cell>
        </row>
        <row r="690">
          <cell r="A690">
            <v>10880038459</v>
          </cell>
          <cell r="B690" t="str">
            <v>2189-B2505AB G0020 20228385</v>
          </cell>
          <cell r="C690">
            <v>10250045395</v>
          </cell>
          <cell r="D690" t="str">
            <v>1*3</v>
          </cell>
          <cell r="E690" t="str">
            <v>OSP
T/锡膏</v>
          </cell>
          <cell r="F690" t="str">
            <v>洗衣机显示板</v>
          </cell>
          <cell r="G690">
            <v>0.14350000000000002</v>
          </cell>
          <cell r="H690">
            <v>240</v>
          </cell>
          <cell r="I690">
            <v>33</v>
          </cell>
        </row>
        <row r="691">
          <cell r="A691">
            <v>10880038460</v>
          </cell>
          <cell r="B691" t="str">
            <v>2189-B2505AC G0020 20211134</v>
          </cell>
          <cell r="C691">
            <v>10250045395</v>
          </cell>
          <cell r="D691" t="str">
            <v>1*3</v>
          </cell>
          <cell r="E691" t="str">
            <v>OSP
T/锡膏</v>
          </cell>
          <cell r="F691" t="str">
            <v>洗衣机显示板</v>
          </cell>
          <cell r="G691">
            <v>0.14350000000000002</v>
          </cell>
          <cell r="H691">
            <v>240</v>
          </cell>
          <cell r="I691">
            <v>33</v>
          </cell>
        </row>
        <row r="692">
          <cell r="A692">
            <v>10880038610</v>
          </cell>
          <cell r="B692" t="str">
            <v>2189-B2505AD G0020 20126173</v>
          </cell>
          <cell r="C692">
            <v>10250045395</v>
          </cell>
          <cell r="D692" t="str">
            <v>1*3</v>
          </cell>
          <cell r="E692" t="str">
            <v>OSP
T/锡膏</v>
          </cell>
          <cell r="F692" t="str">
            <v>洗衣机显示板</v>
          </cell>
          <cell r="G692">
            <v>9.558333333333334E-2</v>
          </cell>
          <cell r="H692">
            <v>480</v>
          </cell>
          <cell r="I692">
            <v>43</v>
          </cell>
        </row>
        <row r="693">
          <cell r="A693">
            <v>10880038611</v>
          </cell>
          <cell r="B693" t="str">
            <v>2189-B2505AE G0020 20242971</v>
          </cell>
          <cell r="C693">
            <v>10250045395</v>
          </cell>
          <cell r="D693" t="str">
            <v>1*3</v>
          </cell>
          <cell r="E693" t="str">
            <v>OSP
T/锡膏</v>
          </cell>
          <cell r="F693" t="str">
            <v>洗衣机显示板</v>
          </cell>
          <cell r="G693">
            <v>0.14350000000000002</v>
          </cell>
          <cell r="H693">
            <v>240</v>
          </cell>
          <cell r="I693">
            <v>33</v>
          </cell>
        </row>
        <row r="694">
          <cell r="A694">
            <v>10880038612</v>
          </cell>
          <cell r="B694" t="str">
            <v>2189-B2505AF G0020 20239304</v>
          </cell>
          <cell r="C694">
            <v>10250045395</v>
          </cell>
          <cell r="D694" t="str">
            <v>1*3</v>
          </cell>
          <cell r="E694" t="str">
            <v>OSP
T/锡膏</v>
          </cell>
          <cell r="F694" t="str">
            <v>洗衣机显示板</v>
          </cell>
          <cell r="G694">
            <v>0.156</v>
          </cell>
          <cell r="H694">
            <v>200</v>
          </cell>
          <cell r="I694">
            <v>30</v>
          </cell>
        </row>
        <row r="695">
          <cell r="A695">
            <v>10880038614</v>
          </cell>
          <cell r="B695" t="str">
            <v>2189-B2505AG G0020 20239305</v>
          </cell>
          <cell r="C695">
            <v>10250045395</v>
          </cell>
          <cell r="D695" t="str">
            <v>1*3</v>
          </cell>
          <cell r="E695" t="str">
            <v>OSP
T/锡膏</v>
          </cell>
          <cell r="F695" t="str">
            <v>洗衣机显示板</v>
          </cell>
          <cell r="G695">
            <v>0.156</v>
          </cell>
          <cell r="H695">
            <v>200</v>
          </cell>
          <cell r="I695">
            <v>30</v>
          </cell>
        </row>
        <row r="696">
          <cell r="A696">
            <v>10880038598</v>
          </cell>
          <cell r="B696" t="str">
            <v>2189-B2505AH G0020 2504046</v>
          </cell>
          <cell r="C696">
            <v>10250045395</v>
          </cell>
          <cell r="D696" t="str">
            <v>1*3</v>
          </cell>
          <cell r="E696" t="str">
            <v>OSP
T/锡膏</v>
          </cell>
          <cell r="F696" t="str">
            <v>洗衣机显示板</v>
          </cell>
          <cell r="G696">
            <v>0.14350000000000002</v>
          </cell>
          <cell r="H696">
            <v>240</v>
          </cell>
          <cell r="I696">
            <v>33</v>
          </cell>
        </row>
        <row r="697">
          <cell r="A697">
            <v>10880038600</v>
          </cell>
          <cell r="B697" t="str">
            <v>2189-B2505AI G0020 2504047</v>
          </cell>
          <cell r="C697">
            <v>10250045395</v>
          </cell>
          <cell r="D697" t="str">
            <v>1*3</v>
          </cell>
          <cell r="E697" t="str">
            <v>OSP
T/锡膏</v>
          </cell>
          <cell r="F697" t="str">
            <v>洗衣机显示板</v>
          </cell>
          <cell r="G697">
            <v>0.14350000000000002</v>
          </cell>
          <cell r="H697">
            <v>240</v>
          </cell>
          <cell r="I697">
            <v>33</v>
          </cell>
        </row>
        <row r="698">
          <cell r="A698">
            <v>10880038601</v>
          </cell>
          <cell r="B698" t="str">
            <v>2189-B2505AJ G0020 2504049</v>
          </cell>
          <cell r="C698">
            <v>10250045395</v>
          </cell>
          <cell r="D698" t="str">
            <v>1*3</v>
          </cell>
          <cell r="E698" t="str">
            <v>OSP
T/锡膏</v>
          </cell>
          <cell r="F698" t="str">
            <v>洗衣机显示板</v>
          </cell>
          <cell r="G698">
            <v>0.14350000000000002</v>
          </cell>
          <cell r="H698">
            <v>240</v>
          </cell>
          <cell r="I698">
            <v>33</v>
          </cell>
        </row>
        <row r="699">
          <cell r="A699">
            <v>10880038602</v>
          </cell>
          <cell r="B699" t="str">
            <v>2189-B2505AK G0020 20246774</v>
          </cell>
          <cell r="C699">
            <v>10250045395</v>
          </cell>
          <cell r="D699" t="str">
            <v>1*3</v>
          </cell>
          <cell r="E699" t="str">
            <v>OSP
T/锡膏</v>
          </cell>
          <cell r="F699" t="str">
            <v>洗衣机显示板</v>
          </cell>
          <cell r="G699">
            <v>9.558333333333334E-2</v>
          </cell>
          <cell r="H699">
            <v>480</v>
          </cell>
          <cell r="I699">
            <v>43</v>
          </cell>
        </row>
        <row r="700">
          <cell r="A700">
            <v>10880038833</v>
          </cell>
          <cell r="B700" t="str">
            <v>2189-B2505AL G0020 20120049</v>
          </cell>
          <cell r="C700">
            <v>10250045395</v>
          </cell>
          <cell r="D700" t="str">
            <v>1*3</v>
          </cell>
          <cell r="E700" t="str">
            <v>OSP
T/锡膏</v>
          </cell>
          <cell r="F700" t="str">
            <v>洗衣机显示板</v>
          </cell>
          <cell r="G700">
            <v>0.156</v>
          </cell>
          <cell r="H700">
            <v>200</v>
          </cell>
          <cell r="I700">
            <v>30</v>
          </cell>
        </row>
        <row r="701">
          <cell r="A701">
            <v>10880038832</v>
          </cell>
          <cell r="B701" t="str">
            <v>2189-B2505AM G0020 20120050</v>
          </cell>
          <cell r="C701">
            <v>10250045395</v>
          </cell>
          <cell r="D701" t="str">
            <v>1*3</v>
          </cell>
          <cell r="E701" t="str">
            <v>OSP
T/锡膏</v>
          </cell>
          <cell r="F701" t="str">
            <v>洗衣机显示板</v>
          </cell>
          <cell r="G701">
            <v>0.156</v>
          </cell>
          <cell r="H701">
            <v>200</v>
          </cell>
          <cell r="I701">
            <v>30</v>
          </cell>
        </row>
        <row r="702">
          <cell r="A702">
            <v>10880038794</v>
          </cell>
          <cell r="B702" t="str">
            <v>2189-B2505AN G0020 20153401</v>
          </cell>
          <cell r="C702">
            <v>10250045395</v>
          </cell>
          <cell r="D702" t="str">
            <v>1*3</v>
          </cell>
          <cell r="E702" t="str">
            <v>OSP
T/锡膏</v>
          </cell>
          <cell r="F702" t="str">
            <v>洗衣机显示板</v>
          </cell>
          <cell r="G702">
            <v>0.156</v>
          </cell>
          <cell r="H702">
            <v>200</v>
          </cell>
          <cell r="I702">
            <v>30</v>
          </cell>
        </row>
        <row r="703">
          <cell r="A703">
            <v>10880038795</v>
          </cell>
          <cell r="B703" t="str">
            <v>2189-B2505AO G0020 20159287</v>
          </cell>
          <cell r="C703">
            <v>10250045395</v>
          </cell>
          <cell r="D703" t="str">
            <v>1*3</v>
          </cell>
          <cell r="E703" t="str">
            <v>OSP
T/锡膏</v>
          </cell>
          <cell r="F703" t="str">
            <v>洗衣机显示板</v>
          </cell>
          <cell r="G703">
            <v>0.156</v>
          </cell>
          <cell r="H703">
            <v>200</v>
          </cell>
          <cell r="I703">
            <v>30</v>
          </cell>
        </row>
        <row r="704">
          <cell r="A704">
            <v>10880038797</v>
          </cell>
          <cell r="B704" t="str">
            <v>2189-B2505AP G0020 20246773</v>
          </cell>
          <cell r="C704">
            <v>10250045395</v>
          </cell>
          <cell r="D704" t="str">
            <v>1*3</v>
          </cell>
          <cell r="E704" t="str">
            <v>OSP
T/锡膏</v>
          </cell>
          <cell r="F704" t="str">
            <v>洗衣机显示板</v>
          </cell>
          <cell r="G704">
            <v>0.14350000000000002</v>
          </cell>
          <cell r="H704">
            <v>240</v>
          </cell>
          <cell r="I704">
            <v>33</v>
          </cell>
        </row>
        <row r="705">
          <cell r="A705">
            <v>10880036191</v>
          </cell>
          <cell r="B705" t="str">
            <v>501764-B2501C-D G1417 NTD10-REF</v>
          </cell>
          <cell r="C705" t="str">
            <v>10250043993/10250044012</v>
          </cell>
          <cell r="D705" t="str">
            <v>1*4</v>
          </cell>
          <cell r="E705" t="str">
            <v>锡膏</v>
          </cell>
          <cell r="F705" t="str">
            <v>稳莱冰箱显示板</v>
          </cell>
          <cell r="G705">
            <v>6.0000000000000005E-2</v>
          </cell>
          <cell r="H705">
            <v>600</v>
          </cell>
          <cell r="I705">
            <v>28</v>
          </cell>
        </row>
        <row r="706">
          <cell r="A706">
            <v>10880036190</v>
          </cell>
          <cell r="B706" t="str">
            <v>501764-B2501B-PC G1417 NTD10-REF</v>
          </cell>
          <cell r="C706">
            <v>10250043913</v>
          </cell>
          <cell r="D706" t="str">
            <v>1*2</v>
          </cell>
          <cell r="E706" t="str">
            <v>锡膏</v>
          </cell>
          <cell r="F706" t="str">
            <v>稳莱冰箱电控板</v>
          </cell>
          <cell r="G706">
            <v>7.5555555555555556E-2</v>
          </cell>
          <cell r="H706">
            <v>450</v>
          </cell>
          <cell r="I706">
            <v>34</v>
          </cell>
        </row>
        <row r="707">
          <cell r="A707">
            <v>10880036189</v>
          </cell>
          <cell r="B707" t="str">
            <v>501764-B2501A-PC G1417 NTD10-FRZ</v>
          </cell>
          <cell r="C707">
            <v>10250043913</v>
          </cell>
          <cell r="D707" t="str">
            <v>1*2</v>
          </cell>
          <cell r="E707" t="str">
            <v>锡膏</v>
          </cell>
          <cell r="F707" t="str">
            <v>稳莱冰箱电控板</v>
          </cell>
          <cell r="G707">
            <v>7.5555555555555556E-2</v>
          </cell>
          <cell r="H707">
            <v>450</v>
          </cell>
          <cell r="I707">
            <v>34</v>
          </cell>
        </row>
        <row r="708">
          <cell r="A708">
            <v>10880035045</v>
          </cell>
          <cell r="B708" t="str">
            <v>500493-C2501A G0020 20105971</v>
          </cell>
          <cell r="C708" t="str">
            <v>10250042984
10250042981</v>
          </cell>
          <cell r="D708" t="str">
            <v>1*4
1*2</v>
          </cell>
          <cell r="E708" t="str">
            <v>OSP
T/锡膏</v>
          </cell>
          <cell r="F708" t="str">
            <v>洗衣机控制器</v>
          </cell>
          <cell r="G708">
            <v>0.4</v>
          </cell>
          <cell r="H708">
            <v>100</v>
          </cell>
          <cell r="I708">
            <v>40</v>
          </cell>
        </row>
        <row r="709">
          <cell r="A709">
            <v>10880037662</v>
          </cell>
          <cell r="B709" t="str">
            <v>2189-B2507A G0020 20127550  </v>
          </cell>
          <cell r="C709">
            <v>10250045395</v>
          </cell>
          <cell r="D709" t="str">
            <v>1*3</v>
          </cell>
          <cell r="E709" t="str">
            <v>OSP
T/锡膏</v>
          </cell>
          <cell r="F709" t="str">
            <v>洗衣机显示板</v>
          </cell>
          <cell r="G709">
            <v>9.558333333333334E-2</v>
          </cell>
          <cell r="H709">
            <v>480</v>
          </cell>
          <cell r="I709">
            <v>43</v>
          </cell>
        </row>
        <row r="710">
          <cell r="A710">
            <v>10880037687</v>
          </cell>
          <cell r="B710" t="str">
            <v>2189-B2507B G0020 20126720  </v>
          </cell>
          <cell r="C710">
            <v>10250045395</v>
          </cell>
          <cell r="D710" t="str">
            <v>1*3</v>
          </cell>
          <cell r="E710" t="str">
            <v>OSP
T/锡膏</v>
          </cell>
          <cell r="F710" t="str">
            <v>洗衣机显示板</v>
          </cell>
          <cell r="G710">
            <v>9.558333333333334E-2</v>
          </cell>
          <cell r="H710">
            <v>480</v>
          </cell>
          <cell r="I710">
            <v>43</v>
          </cell>
        </row>
        <row r="711">
          <cell r="A711">
            <v>10880037688</v>
          </cell>
          <cell r="B711" t="str">
            <v>2189-B2507C G0020 20135510  </v>
          </cell>
          <cell r="C711">
            <v>10250045395</v>
          </cell>
          <cell r="D711" t="str">
            <v>1*3</v>
          </cell>
          <cell r="E711" t="str">
            <v>OSP
T/锡膏</v>
          </cell>
          <cell r="F711" t="str">
            <v>洗衣机显示板</v>
          </cell>
          <cell r="G711">
            <v>9.558333333333334E-2</v>
          </cell>
          <cell r="H711">
            <v>480</v>
          </cell>
          <cell r="I711">
            <v>43</v>
          </cell>
        </row>
        <row r="712">
          <cell r="A712">
            <v>10880037696</v>
          </cell>
          <cell r="B712" t="str">
            <v>2189-B2507D G0020 20159303  </v>
          </cell>
          <cell r="C712">
            <v>10250045395</v>
          </cell>
          <cell r="D712" t="str">
            <v>1*3</v>
          </cell>
          <cell r="E712" t="str">
            <v>OSP
T/锡膏</v>
          </cell>
          <cell r="F712" t="str">
            <v>洗衣机显示板</v>
          </cell>
          <cell r="G712">
            <v>9.558333333333334E-2</v>
          </cell>
          <cell r="H712">
            <v>480</v>
          </cell>
          <cell r="I712">
            <v>43</v>
          </cell>
        </row>
        <row r="713">
          <cell r="A713">
            <v>10880038239</v>
          </cell>
          <cell r="B713" t="str">
            <v>2189-B2507E G0020 20206798  </v>
          </cell>
          <cell r="C713">
            <v>10250045395</v>
          </cell>
          <cell r="D713" t="str">
            <v>1*3</v>
          </cell>
          <cell r="E713" t="str">
            <v>OSP
T/锡膏</v>
          </cell>
          <cell r="F713" t="str">
            <v>洗衣机显示板</v>
          </cell>
          <cell r="G713">
            <v>9.558333333333334E-2</v>
          </cell>
          <cell r="H713">
            <v>480</v>
          </cell>
          <cell r="I713">
            <v>43</v>
          </cell>
        </row>
        <row r="714">
          <cell r="A714">
            <v>10880038445</v>
          </cell>
          <cell r="B714" t="str">
            <v>2189-B2507F G0020 20224797  </v>
          </cell>
          <cell r="C714">
            <v>10250045395</v>
          </cell>
          <cell r="D714" t="str">
            <v>1*3</v>
          </cell>
          <cell r="E714" t="str">
            <v>OSP
T/锡膏</v>
          </cell>
          <cell r="F714" t="str">
            <v>洗衣机显示板</v>
          </cell>
          <cell r="G714">
            <v>9.558333333333334E-2</v>
          </cell>
          <cell r="H714">
            <v>480</v>
          </cell>
          <cell r="I714">
            <v>43</v>
          </cell>
        </row>
        <row r="715">
          <cell r="A715">
            <v>10880038441</v>
          </cell>
          <cell r="B715" t="str">
            <v>2189-B2507G G0020 20224798  </v>
          </cell>
          <cell r="C715">
            <v>10250045395</v>
          </cell>
          <cell r="D715" t="str">
            <v>1*3</v>
          </cell>
          <cell r="E715" t="str">
            <v>OSP
T/锡膏</v>
          </cell>
          <cell r="F715" t="str">
            <v>洗衣机显示板</v>
          </cell>
          <cell r="G715">
            <v>9.558333333333334E-2</v>
          </cell>
          <cell r="H715">
            <v>480</v>
          </cell>
          <cell r="I715">
            <v>43</v>
          </cell>
        </row>
        <row r="716">
          <cell r="A716">
            <v>10880038442</v>
          </cell>
          <cell r="B716" t="str">
            <v>2189-B2507H G0020 20224799  </v>
          </cell>
          <cell r="C716">
            <v>10250045395</v>
          </cell>
          <cell r="D716" t="str">
            <v>1*3</v>
          </cell>
          <cell r="E716" t="str">
            <v>OSP
T/锡膏</v>
          </cell>
          <cell r="F716" t="str">
            <v>洗衣机显示板</v>
          </cell>
          <cell r="G716">
            <v>9.558333333333334E-2</v>
          </cell>
          <cell r="H716">
            <v>480</v>
          </cell>
          <cell r="I716">
            <v>43</v>
          </cell>
        </row>
        <row r="717">
          <cell r="A717">
            <v>10880038443</v>
          </cell>
          <cell r="B717" t="str">
            <v>2189-B2507I G0020 20224800  </v>
          </cell>
          <cell r="C717">
            <v>10250045395</v>
          </cell>
          <cell r="D717" t="str">
            <v>1*3</v>
          </cell>
          <cell r="E717" t="str">
            <v>OSP
T/锡膏</v>
          </cell>
          <cell r="F717" t="str">
            <v>洗衣机显示板</v>
          </cell>
          <cell r="G717">
            <v>9.558333333333334E-2</v>
          </cell>
          <cell r="H717">
            <v>480</v>
          </cell>
          <cell r="I717">
            <v>43</v>
          </cell>
        </row>
        <row r="718">
          <cell r="A718">
            <v>10880038444</v>
          </cell>
          <cell r="B718" t="str">
            <v>2189-B2507J G0020 20224801  </v>
          </cell>
          <cell r="C718">
            <v>10250045395</v>
          </cell>
          <cell r="D718" t="str">
            <v>1*3</v>
          </cell>
          <cell r="E718" t="str">
            <v>OSP
T/锡膏</v>
          </cell>
          <cell r="F718" t="str">
            <v>洗衣机显示板</v>
          </cell>
          <cell r="G718">
            <v>9.558333333333334E-2</v>
          </cell>
          <cell r="H718">
            <v>480</v>
          </cell>
          <cell r="I718">
            <v>43</v>
          </cell>
        </row>
        <row r="719">
          <cell r="A719">
            <v>10880038679</v>
          </cell>
          <cell r="B719" t="str">
            <v>2189-B2507K G0020 20239306</v>
          </cell>
          <cell r="C719">
            <v>10250045395</v>
          </cell>
          <cell r="D719" t="str">
            <v>1*3</v>
          </cell>
          <cell r="E719" t="str">
            <v>OSP
T/锡膏</v>
          </cell>
          <cell r="F719" t="str">
            <v>洗衣机显示板</v>
          </cell>
          <cell r="G719">
            <v>0.156</v>
          </cell>
          <cell r="H719">
            <v>200</v>
          </cell>
          <cell r="I719">
            <v>30</v>
          </cell>
        </row>
        <row r="720">
          <cell r="A720">
            <v>10880038680</v>
          </cell>
          <cell r="B720" t="str">
            <v>2189-B2507L G0020 20239307</v>
          </cell>
          <cell r="C720">
            <v>10250045395</v>
          </cell>
          <cell r="D720" t="str">
            <v>1*3</v>
          </cell>
          <cell r="E720" t="str">
            <v>OSP
T/锡膏</v>
          </cell>
          <cell r="F720" t="str">
            <v>洗衣机显示板</v>
          </cell>
          <cell r="G720">
            <v>0.156</v>
          </cell>
          <cell r="H720">
            <v>200</v>
          </cell>
          <cell r="I720">
            <v>30</v>
          </cell>
        </row>
        <row r="721">
          <cell r="A721">
            <v>10880038682</v>
          </cell>
          <cell r="B721" t="str">
            <v>2189-B2507M G0020 20239308</v>
          </cell>
          <cell r="C721">
            <v>10250045395</v>
          </cell>
          <cell r="D721" t="str">
            <v>1*3</v>
          </cell>
          <cell r="E721" t="str">
            <v>OSP
T/锡膏</v>
          </cell>
          <cell r="F721" t="str">
            <v>洗衣机显示板</v>
          </cell>
          <cell r="G721">
            <v>0.156</v>
          </cell>
          <cell r="H721">
            <v>200</v>
          </cell>
          <cell r="I721">
            <v>30</v>
          </cell>
        </row>
        <row r="722">
          <cell r="A722">
            <v>10880038683</v>
          </cell>
          <cell r="B722" t="str">
            <v>2189-B2507N G0020 20239309</v>
          </cell>
          <cell r="C722">
            <v>10250045395</v>
          </cell>
          <cell r="D722" t="str">
            <v>1*3</v>
          </cell>
          <cell r="E722" t="str">
            <v>OSP
T/锡膏</v>
          </cell>
          <cell r="F722" t="str">
            <v>洗衣机显示板</v>
          </cell>
          <cell r="G722">
            <v>0.156</v>
          </cell>
          <cell r="H722">
            <v>200</v>
          </cell>
          <cell r="I722">
            <v>30</v>
          </cell>
        </row>
        <row r="723">
          <cell r="A723">
            <v>10880038724</v>
          </cell>
          <cell r="B723" t="str">
            <v>2189-B2507O G0020 20141243</v>
          </cell>
          <cell r="C723">
            <v>10250045395</v>
          </cell>
          <cell r="D723" t="str">
            <v>1*3</v>
          </cell>
          <cell r="E723" t="str">
            <v>OSP
T/锡膏</v>
          </cell>
          <cell r="F723" t="str">
            <v>洗衣机显示板</v>
          </cell>
          <cell r="G723">
            <v>0.156</v>
          </cell>
          <cell r="H723">
            <v>200</v>
          </cell>
          <cell r="I723">
            <v>30</v>
          </cell>
        </row>
        <row r="724">
          <cell r="A724">
            <v>10880038725</v>
          </cell>
          <cell r="B724" t="str">
            <v>2189-B2507P G0020 20159305</v>
          </cell>
          <cell r="C724">
            <v>10250045395</v>
          </cell>
          <cell r="D724" t="str">
            <v>1*3</v>
          </cell>
          <cell r="E724" t="str">
            <v>OSP
T/锡膏</v>
          </cell>
          <cell r="F724" t="str">
            <v>洗衣机显示板</v>
          </cell>
          <cell r="G724">
            <v>0.156</v>
          </cell>
          <cell r="H724">
            <v>200</v>
          </cell>
          <cell r="I724">
            <v>30</v>
          </cell>
        </row>
        <row r="725">
          <cell r="A725">
            <v>10880038726</v>
          </cell>
          <cell r="B725" t="str">
            <v>2189-B2507Q G0020 20159304</v>
          </cell>
          <cell r="C725">
            <v>10250045395</v>
          </cell>
          <cell r="D725" t="str">
            <v>1*3</v>
          </cell>
          <cell r="E725" t="str">
            <v>OSP
T/锡膏</v>
          </cell>
          <cell r="F725" t="str">
            <v>洗衣机显示板</v>
          </cell>
          <cell r="G725">
            <v>0.156</v>
          </cell>
          <cell r="H725">
            <v>200</v>
          </cell>
          <cell r="I725">
            <v>30</v>
          </cell>
        </row>
        <row r="726">
          <cell r="A726">
            <v>10880038727</v>
          </cell>
          <cell r="B726" t="str">
            <v>2189-B2507R G0020 20127549</v>
          </cell>
          <cell r="C726">
            <v>10250045395</v>
          </cell>
          <cell r="D726" t="str">
            <v>1*3</v>
          </cell>
          <cell r="E726" t="str">
            <v>OSP
T/锡膏</v>
          </cell>
          <cell r="F726" t="str">
            <v>洗衣机显示板</v>
          </cell>
          <cell r="G726">
            <v>9.558333333333334E-2</v>
          </cell>
          <cell r="H726">
            <v>480</v>
          </cell>
          <cell r="I726">
            <v>43</v>
          </cell>
        </row>
        <row r="727">
          <cell r="A727">
            <v>10880038728</v>
          </cell>
          <cell r="B727" t="str">
            <v>2189-B2507S G0020 20244767</v>
          </cell>
          <cell r="C727">
            <v>10250045395</v>
          </cell>
          <cell r="D727" t="str">
            <v>1*3</v>
          </cell>
          <cell r="E727" t="str">
            <v>OSP
T/锡膏</v>
          </cell>
          <cell r="F727" t="str">
            <v>洗衣机显示板</v>
          </cell>
          <cell r="G727">
            <v>9.558333333333334E-2</v>
          </cell>
          <cell r="H727">
            <v>480</v>
          </cell>
          <cell r="I727">
            <v>43</v>
          </cell>
        </row>
        <row r="728">
          <cell r="A728">
            <v>10880035795</v>
          </cell>
          <cell r="B728" t="str">
            <v>1886-C2512A G0020 20116662 7i干衣机面板</v>
          </cell>
          <cell r="C728">
            <v>10250045333</v>
          </cell>
          <cell r="D728" t="str">
            <v>通用板:1*2
旋钮板:1*10
MIC板1*30</v>
          </cell>
          <cell r="E728" t="str">
            <v>OSP
T/锡膏</v>
          </cell>
          <cell r="F728" t="str">
            <v>干衣机面板</v>
          </cell>
          <cell r="G728">
            <v>0.32666666666666666</v>
          </cell>
          <cell r="H728">
            <v>60</v>
          </cell>
          <cell r="I728">
            <v>58</v>
          </cell>
        </row>
        <row r="729">
          <cell r="A729">
            <v>10880035795</v>
          </cell>
          <cell r="B729" t="str">
            <v>1886-C2512A G0020 20116662 干衣机面板</v>
          </cell>
        </row>
        <row r="730">
          <cell r="A730">
            <v>10880035795</v>
          </cell>
          <cell r="B730" t="str">
            <v>1886-C2512A G0020 20116662 干衣机面板</v>
          </cell>
        </row>
        <row r="731">
          <cell r="A731">
            <v>10880036020</v>
          </cell>
          <cell r="B731" t="str">
            <v>1886-C2512B G0020 20117323 7i洗衣机面板</v>
          </cell>
          <cell r="C731">
            <v>10250045333</v>
          </cell>
          <cell r="D731" t="str">
            <v>通用板:1*2
旋钮板:1*10
MIC板1*30</v>
          </cell>
          <cell r="E731" t="str">
            <v>OSP
T/锡膏</v>
          </cell>
          <cell r="F731" t="str">
            <v>干衣机面板</v>
          </cell>
          <cell r="G731">
            <v>0.32666666666666666</v>
          </cell>
          <cell r="H731">
            <v>60</v>
          </cell>
          <cell r="I731">
            <v>58</v>
          </cell>
        </row>
        <row r="732">
          <cell r="A732">
            <v>10880036020</v>
          </cell>
          <cell r="B732" t="str">
            <v>1886-C2512B G0020 20117323 洗衣机面板</v>
          </cell>
        </row>
        <row r="733">
          <cell r="A733">
            <v>10880036020</v>
          </cell>
          <cell r="B733" t="str">
            <v>1886-C2512B G0020 20117323 洗衣机面板</v>
          </cell>
        </row>
        <row r="734">
          <cell r="A734">
            <v>10880038251</v>
          </cell>
          <cell r="B734" t="str">
            <v>1886-C2512C G0020 20116663 7i干衣机面板 天青墨</v>
          </cell>
          <cell r="C734">
            <v>10250045333</v>
          </cell>
          <cell r="D734" t="str">
            <v>通用板:1*2
旋钮板:1*10
MIC板1*30</v>
          </cell>
          <cell r="E734" t="str">
            <v>OSP
T/锡膏</v>
          </cell>
          <cell r="F734" t="str">
            <v>干衣机面板</v>
          </cell>
          <cell r="G734">
            <v>0.32666666666666666</v>
          </cell>
          <cell r="H734">
            <v>60</v>
          </cell>
          <cell r="I734">
            <v>58</v>
          </cell>
        </row>
        <row r="735">
          <cell r="A735">
            <v>10880035795</v>
          </cell>
          <cell r="B735" t="str">
            <v>1886-C2512A G0020 20116662 干衣机面板</v>
          </cell>
        </row>
        <row r="736">
          <cell r="A736">
            <v>10880035795</v>
          </cell>
          <cell r="B736" t="str">
            <v>1886-C2512A G0020 20116662 干衣机面板</v>
          </cell>
        </row>
        <row r="737">
          <cell r="A737">
            <v>10880038252</v>
          </cell>
          <cell r="B737" t="str">
            <v>1886-C2512D G0020 20170752 7i洗衣机面板 天青墨</v>
          </cell>
          <cell r="C737">
            <v>10250045333</v>
          </cell>
          <cell r="D737" t="str">
            <v>通用板:1*2
旋钮板:1*10
MIC板1*30</v>
          </cell>
          <cell r="E737" t="str">
            <v>OSP
T/锡膏</v>
          </cell>
          <cell r="F737" t="str">
            <v>干衣机面板</v>
          </cell>
          <cell r="G737">
            <v>0.32666666666666666</v>
          </cell>
          <cell r="H737">
            <v>60</v>
          </cell>
          <cell r="I737">
            <v>58</v>
          </cell>
        </row>
        <row r="738">
          <cell r="A738">
            <v>10880035795</v>
          </cell>
          <cell r="B738" t="str">
            <v>1886-C2512A G0020 20116662 干衣机面板</v>
          </cell>
        </row>
        <row r="739">
          <cell r="A739">
            <v>10880035795</v>
          </cell>
          <cell r="B739" t="str">
            <v>1886-C2512A G0020 20116662 干衣机面板</v>
          </cell>
        </row>
        <row r="740">
          <cell r="A740">
            <v>10880038809</v>
          </cell>
          <cell r="B740" t="str">
            <v>1886-C2512E G0020 20235808 7i干衣机面板 新能效全球白</v>
          </cell>
          <cell r="C740">
            <v>10250045333</v>
          </cell>
          <cell r="D740" t="str">
            <v>通用板:1*2
旋钮板:1*10
MIC板1*30</v>
          </cell>
          <cell r="E740" t="str">
            <v>OSP
T/锡膏</v>
          </cell>
          <cell r="F740" t="str">
            <v>干衣机面板</v>
          </cell>
          <cell r="G740">
            <v>0.32666666666666666</v>
          </cell>
          <cell r="H740">
            <v>60</v>
          </cell>
          <cell r="I740">
            <v>58</v>
          </cell>
        </row>
        <row r="741">
          <cell r="A741">
            <v>10880035795</v>
          </cell>
          <cell r="B741" t="str">
            <v>1886-C2512A G0020 20116662 干衣机面板</v>
          </cell>
        </row>
        <row r="742">
          <cell r="A742">
            <v>10880035795</v>
          </cell>
          <cell r="B742" t="str">
            <v>1886-C2512A G0020 20116662 干衣机面板</v>
          </cell>
        </row>
        <row r="743">
          <cell r="A743">
            <v>10880038810</v>
          </cell>
          <cell r="B743" t="str">
            <v>1886-C2512F G0020 20239594 7i干衣机面板 新能效天青墨</v>
          </cell>
          <cell r="C743">
            <v>10250045333</v>
          </cell>
          <cell r="D743" t="str">
            <v>通用板:1*2
旋钮板:1*10
MIC板1*30</v>
          </cell>
          <cell r="E743" t="str">
            <v>OSP
T/锡膏</v>
          </cell>
          <cell r="F743" t="str">
            <v>干衣机面板</v>
          </cell>
          <cell r="G743">
            <v>0.32666666666666666</v>
          </cell>
          <cell r="H743">
            <v>60</v>
          </cell>
          <cell r="I743">
            <v>58</v>
          </cell>
        </row>
        <row r="744">
          <cell r="A744">
            <v>10880035795</v>
          </cell>
          <cell r="B744" t="str">
            <v>1886-C2512A G0020 20116662 干衣机面板</v>
          </cell>
        </row>
        <row r="745">
          <cell r="A745">
            <v>10880035795</v>
          </cell>
          <cell r="B745" t="str">
            <v>1886-C2512A G0020 20116662 干衣机面板</v>
          </cell>
        </row>
        <row r="746">
          <cell r="A746">
            <v>10880035299</v>
          </cell>
          <cell r="B746" t="str">
            <v>500269-C2501A-X G0020 12990319 DW50CN 澳洲</v>
          </cell>
          <cell r="C746">
            <v>10250037028</v>
          </cell>
          <cell r="D746" t="str">
            <v>通用板:1*4
电源板+启动板板:1*（6+6）</v>
          </cell>
          <cell r="E746" t="str">
            <v>OSP
T/锡膏</v>
          </cell>
          <cell r="F746" t="str">
            <v>洗碗机面板</v>
          </cell>
          <cell r="G746">
            <v>0.37166666666666665</v>
          </cell>
          <cell r="H746">
            <v>60</v>
          </cell>
          <cell r="I746">
            <v>41</v>
          </cell>
        </row>
        <row r="747">
          <cell r="A747">
            <v>10880035299</v>
          </cell>
          <cell r="B747" t="str">
            <v>500269-C2501A-X G0020 12990319 DW50CN 澳洲</v>
          </cell>
        </row>
        <row r="748">
          <cell r="A748">
            <v>10880035299</v>
          </cell>
          <cell r="B748" t="str">
            <v>500269-C2501A-X G0020 12990319 DW50CN 澳洲</v>
          </cell>
        </row>
        <row r="749">
          <cell r="A749">
            <v>10880037392</v>
          </cell>
          <cell r="B749" t="str">
            <v>500269-C2501B-X G0020 20101789 DW50CN 中东非</v>
          </cell>
          <cell r="C749">
            <v>10250037028</v>
          </cell>
          <cell r="D749" t="str">
            <v>通用板:1*4
电源板+启动板板:1*（6+6）</v>
          </cell>
          <cell r="E749" t="str">
            <v>OSP
T/锡膏</v>
          </cell>
          <cell r="F749" t="str">
            <v>洗碗机面板</v>
          </cell>
          <cell r="G749">
            <v>0.37166666666666665</v>
          </cell>
          <cell r="H749">
            <v>60</v>
          </cell>
          <cell r="I749">
            <v>41</v>
          </cell>
        </row>
        <row r="750">
          <cell r="A750">
            <v>10880037392</v>
          </cell>
          <cell r="B750" t="str">
            <v>500269-C2501B-X G0020 20101789 DW50CN 中东非</v>
          </cell>
        </row>
        <row r="751">
          <cell r="A751">
            <v>10880037392</v>
          </cell>
          <cell r="B751" t="str">
            <v>500269-C2501B-X G0020 20101789 DW50CN 中东非</v>
          </cell>
        </row>
        <row r="752">
          <cell r="A752">
            <v>10880038469</v>
          </cell>
          <cell r="B752" t="str">
            <v>500269-C2501C-X G0020 20150940 DW50CN 欧洲</v>
          </cell>
          <cell r="C752">
            <v>10250037028</v>
          </cell>
          <cell r="D752" t="str">
            <v>通用板:1*4
电源板+启动板板:1*（6+6）</v>
          </cell>
          <cell r="E752" t="str">
            <v>OSP
T/锡膏</v>
          </cell>
          <cell r="F752" t="str">
            <v>洗碗机面板</v>
          </cell>
          <cell r="G752">
            <v>0.37166666666666665</v>
          </cell>
          <cell r="H752">
            <v>60</v>
          </cell>
          <cell r="I752">
            <v>41</v>
          </cell>
        </row>
        <row r="753">
          <cell r="A753">
            <v>10880038469</v>
          </cell>
          <cell r="B753" t="str">
            <v>500269-C2501C-X G0020 20150940 DW50CN 欧洲</v>
          </cell>
        </row>
        <row r="754">
          <cell r="A754">
            <v>10880038469</v>
          </cell>
          <cell r="B754" t="str">
            <v>500269-C2501C-X G0020 20150940 DW50CN 欧洲</v>
          </cell>
        </row>
        <row r="755">
          <cell r="A755">
            <v>10880037684</v>
          </cell>
          <cell r="B755" t="str">
            <v>1398-C2501A-DRV G0044 020300017 TEC-SC 200V级20W;屏蔽泵驱动板</v>
          </cell>
          <cell r="C755">
            <v>10250046894</v>
          </cell>
          <cell r="D755" t="str">
            <v>1*3</v>
          </cell>
          <cell r="E755" t="str">
            <v>锡膏</v>
          </cell>
          <cell r="F755" t="str">
            <v>屏蔽泵驱动板</v>
          </cell>
          <cell r="G755">
            <v>0.1</v>
          </cell>
          <cell r="H755">
            <v>240</v>
          </cell>
          <cell r="I755">
            <v>24</v>
          </cell>
        </row>
        <row r="756">
          <cell r="A756">
            <v>10880037875</v>
          </cell>
          <cell r="B756" t="str">
            <v>1398-C2501B-DRV G0044 020300017A TEC-SC 200V级40W;屏蔽泵驱动板</v>
          </cell>
          <cell r="C756">
            <v>10250046894</v>
          </cell>
          <cell r="D756" t="str">
            <v>1*3</v>
          </cell>
          <cell r="E756" t="str">
            <v>锡膏</v>
          </cell>
          <cell r="F756" t="str">
            <v>屏蔽泵驱动板</v>
          </cell>
          <cell r="G756">
            <v>0.1</v>
          </cell>
          <cell r="H756">
            <v>240</v>
          </cell>
          <cell r="I756">
            <v>24</v>
          </cell>
        </row>
        <row r="757">
          <cell r="A757">
            <v>10880037876</v>
          </cell>
          <cell r="B757" t="str">
            <v>1398-C2501C-DRV G0044 020300017B TEC-SC 200V级50W;屏蔽泵驱动板</v>
          </cell>
          <cell r="C757">
            <v>10250046894</v>
          </cell>
          <cell r="D757" t="str">
            <v>1*3</v>
          </cell>
          <cell r="E757" t="str">
            <v>锡膏</v>
          </cell>
          <cell r="F757" t="str">
            <v>屏蔽泵驱动板</v>
          </cell>
          <cell r="G757">
            <v>0.1</v>
          </cell>
          <cell r="H757">
            <v>240</v>
          </cell>
          <cell r="I757">
            <v>24</v>
          </cell>
        </row>
        <row r="758">
          <cell r="A758">
            <v>10880037877</v>
          </cell>
          <cell r="B758" t="str">
            <v>1398-C2501D-DRV G0044 020300017C TEC-SC 200V级75W;屏蔽泵驱动板</v>
          </cell>
          <cell r="C758">
            <v>10250046894</v>
          </cell>
          <cell r="D758" t="str">
            <v>1*3</v>
          </cell>
          <cell r="E758" t="str">
            <v>锡膏</v>
          </cell>
          <cell r="F758" t="str">
            <v>屏蔽泵驱动板</v>
          </cell>
          <cell r="G758">
            <v>0.1</v>
          </cell>
          <cell r="H758">
            <v>240</v>
          </cell>
          <cell r="I758">
            <v>24</v>
          </cell>
        </row>
        <row r="759">
          <cell r="A759">
            <v>10880037878</v>
          </cell>
          <cell r="B759" t="str">
            <v>1398-C2501E-DRV G0044 020300017D TEC-SC 200V级87W;屏蔽泵驱动板</v>
          </cell>
          <cell r="C759">
            <v>10250046894</v>
          </cell>
          <cell r="D759" t="str">
            <v>1*3</v>
          </cell>
          <cell r="E759" t="str">
            <v>锡膏</v>
          </cell>
          <cell r="F759" t="str">
            <v>屏蔽泵驱动板</v>
          </cell>
          <cell r="G759">
            <v>0.1</v>
          </cell>
          <cell r="H759">
            <v>240</v>
          </cell>
          <cell r="I759">
            <v>24</v>
          </cell>
        </row>
        <row r="760">
          <cell r="A760">
            <v>10880037685</v>
          </cell>
          <cell r="B760" t="str">
            <v>1398-C2505A-DRV G0044 020300020 INT-LIN 200V级20W;屏蔽泵驱动板</v>
          </cell>
          <cell r="C760">
            <v>10250046894</v>
          </cell>
          <cell r="D760" t="str">
            <v>1*3</v>
          </cell>
          <cell r="E760" t="str">
            <v>锡膏</v>
          </cell>
          <cell r="F760" t="str">
            <v>屏蔽泵驱动板</v>
          </cell>
          <cell r="G760">
            <v>0.12</v>
          </cell>
          <cell r="H760">
            <v>200</v>
          </cell>
          <cell r="I760">
            <v>24</v>
          </cell>
        </row>
        <row r="761">
          <cell r="A761">
            <v>10880037879</v>
          </cell>
          <cell r="B761" t="str">
            <v>1398-C2505B-DRV G0044 020300020A INT-LIN 200V级40W;屏蔽泵驱动板</v>
          </cell>
          <cell r="C761">
            <v>10250046894</v>
          </cell>
          <cell r="D761" t="str">
            <v>1*3</v>
          </cell>
          <cell r="E761" t="str">
            <v>锡膏</v>
          </cell>
          <cell r="F761" t="str">
            <v>屏蔽泵驱动板</v>
          </cell>
          <cell r="G761">
            <v>0.12</v>
          </cell>
          <cell r="H761">
            <v>200</v>
          </cell>
          <cell r="I761">
            <v>24</v>
          </cell>
        </row>
        <row r="762">
          <cell r="A762">
            <v>10880037880</v>
          </cell>
          <cell r="B762" t="str">
            <v>1398-C2505C-DRV G0044 020300020B INT-LIN 200V级50W;屏蔽泵驱动板</v>
          </cell>
          <cell r="C762">
            <v>10250046894</v>
          </cell>
          <cell r="D762" t="str">
            <v>1*3</v>
          </cell>
          <cell r="E762" t="str">
            <v>锡膏</v>
          </cell>
          <cell r="F762" t="str">
            <v>屏蔽泵驱动板</v>
          </cell>
          <cell r="G762">
            <v>0.12</v>
          </cell>
          <cell r="H762">
            <v>200</v>
          </cell>
          <cell r="I762">
            <v>24</v>
          </cell>
        </row>
        <row r="763">
          <cell r="A763">
            <v>10880037881</v>
          </cell>
          <cell r="B763" t="str">
            <v>1398-C2505D-DRV G0044 020300020C INT-LIN 200V级75W;屏蔽泵驱动板</v>
          </cell>
          <cell r="C763">
            <v>10250046894</v>
          </cell>
          <cell r="D763" t="str">
            <v>1*3</v>
          </cell>
          <cell r="E763" t="str">
            <v>锡膏</v>
          </cell>
          <cell r="F763" t="str">
            <v>屏蔽泵驱动板</v>
          </cell>
          <cell r="G763">
            <v>0.12</v>
          </cell>
          <cell r="H763">
            <v>200</v>
          </cell>
          <cell r="I763">
            <v>24</v>
          </cell>
        </row>
        <row r="764">
          <cell r="A764">
            <v>10880037882</v>
          </cell>
          <cell r="B764" t="str">
            <v>1398-C2505E-DRV G0044 020300020D INT-LIN 200V级87W;屏蔽泵驱动板</v>
          </cell>
          <cell r="C764">
            <v>10250046894</v>
          </cell>
          <cell r="D764" t="str">
            <v>1*3</v>
          </cell>
          <cell r="E764" t="str">
            <v>锡膏</v>
          </cell>
          <cell r="F764" t="str">
            <v>屏蔽泵驱动板</v>
          </cell>
          <cell r="G764">
            <v>0.12</v>
          </cell>
          <cell r="H764">
            <v>200</v>
          </cell>
          <cell r="I764">
            <v>24</v>
          </cell>
        </row>
        <row r="765">
          <cell r="A765">
            <v>10880037686</v>
          </cell>
          <cell r="B765" t="str">
            <v>1398-C2506A-DRV G0044 020300022 INT-PWM 200V级20W;屏蔽泵驱动板</v>
          </cell>
          <cell r="C765">
            <v>10250046894</v>
          </cell>
          <cell r="D765" t="str">
            <v>1*3</v>
          </cell>
          <cell r="E765" t="str">
            <v>锡膏</v>
          </cell>
          <cell r="F765" t="str">
            <v>屏蔽泵驱动板</v>
          </cell>
          <cell r="G765">
            <v>0.12</v>
          </cell>
          <cell r="H765">
            <v>200</v>
          </cell>
          <cell r="I765">
            <v>24</v>
          </cell>
        </row>
        <row r="766">
          <cell r="A766">
            <v>10880037883</v>
          </cell>
          <cell r="B766" t="str">
            <v>1398-C2506B-DRV G0044 020300022A INT-PWM 200V级40W;屏蔽泵驱动板</v>
          </cell>
          <cell r="C766">
            <v>10250046894</v>
          </cell>
          <cell r="D766" t="str">
            <v>1*3</v>
          </cell>
          <cell r="E766" t="str">
            <v>锡膏</v>
          </cell>
          <cell r="F766" t="str">
            <v>屏蔽泵驱动板</v>
          </cell>
          <cell r="G766">
            <v>0.12</v>
          </cell>
          <cell r="H766">
            <v>200</v>
          </cell>
          <cell r="I766">
            <v>24</v>
          </cell>
        </row>
        <row r="767">
          <cell r="A767">
            <v>10880037884</v>
          </cell>
          <cell r="B767" t="str">
            <v>1398-C2506C-DRV G0044 020300022B INT-PWM 200V级50W;屏蔽泵驱动板</v>
          </cell>
          <cell r="C767">
            <v>10250046894</v>
          </cell>
          <cell r="D767" t="str">
            <v>1*3</v>
          </cell>
          <cell r="E767" t="str">
            <v>锡膏</v>
          </cell>
          <cell r="F767" t="str">
            <v>屏蔽泵驱动板</v>
          </cell>
          <cell r="G767">
            <v>0.12</v>
          </cell>
          <cell r="H767">
            <v>200</v>
          </cell>
          <cell r="I767">
            <v>24</v>
          </cell>
        </row>
        <row r="768">
          <cell r="A768">
            <v>10880037885</v>
          </cell>
          <cell r="B768" t="str">
            <v>1398-C2506D-DRV G0044 020300022C INT-PWM 200V级75W;屏蔽泵驱动板</v>
          </cell>
          <cell r="C768">
            <v>10250046894</v>
          </cell>
          <cell r="D768" t="str">
            <v>1*3</v>
          </cell>
          <cell r="E768" t="str">
            <v>锡膏</v>
          </cell>
          <cell r="F768" t="str">
            <v>屏蔽泵驱动板</v>
          </cell>
          <cell r="G768">
            <v>0.12</v>
          </cell>
          <cell r="H768">
            <v>200</v>
          </cell>
          <cell r="I768">
            <v>24</v>
          </cell>
        </row>
        <row r="769">
          <cell r="A769">
            <v>10880037886</v>
          </cell>
          <cell r="B769" t="str">
            <v>1398-C2506E-DRV G0044 020300022D INT-PWM 200V级87W;屏蔽泵驱动板</v>
          </cell>
          <cell r="C769">
            <v>10250046894</v>
          </cell>
          <cell r="D769" t="str">
            <v>1*3</v>
          </cell>
          <cell r="E769" t="str">
            <v>锡膏</v>
          </cell>
          <cell r="F769" t="str">
            <v>屏蔽泵驱动板</v>
          </cell>
          <cell r="G769">
            <v>0.12</v>
          </cell>
          <cell r="H769">
            <v>200</v>
          </cell>
          <cell r="I769">
            <v>24</v>
          </cell>
        </row>
        <row r="770">
          <cell r="A770">
            <v>10880037678</v>
          </cell>
          <cell r="B770" t="str">
            <v>1398-C2503A-DRV G0044 Tec Plus-SC 128W 020300023</v>
          </cell>
          <cell r="C770">
            <v>10250046934</v>
          </cell>
          <cell r="D770" t="str">
            <v>1*4</v>
          </cell>
          <cell r="E770" t="str">
            <v>锡膏</v>
          </cell>
          <cell r="F770" t="str">
            <v>屏蔽泵驱动板</v>
          </cell>
          <cell r="G770">
            <v>0.1</v>
          </cell>
          <cell r="H770">
            <v>240</v>
          </cell>
          <cell r="I770">
            <v>24</v>
          </cell>
        </row>
        <row r="771">
          <cell r="A771">
            <v>10880037828</v>
          </cell>
          <cell r="B771" t="str">
            <v>1398-C2503B-DRV G0044 Tec Plus-SC 134W 020300023A</v>
          </cell>
          <cell r="C771">
            <v>10250046934</v>
          </cell>
          <cell r="D771" t="str">
            <v>1*4</v>
          </cell>
          <cell r="E771" t="str">
            <v>锡膏</v>
          </cell>
          <cell r="F771" t="str">
            <v>屏蔽泵驱动板</v>
          </cell>
          <cell r="G771">
            <v>0.1</v>
          </cell>
          <cell r="H771">
            <v>240</v>
          </cell>
          <cell r="I771">
            <v>24</v>
          </cell>
        </row>
        <row r="772">
          <cell r="A772">
            <v>10880037829</v>
          </cell>
          <cell r="B772" t="str">
            <v>1398-C2503C-DRV G0044 Tec Plus-SC 195W 020300023B</v>
          </cell>
          <cell r="C772">
            <v>10250046934</v>
          </cell>
          <cell r="D772" t="str">
            <v>1*4</v>
          </cell>
          <cell r="E772" t="str">
            <v>锡膏</v>
          </cell>
          <cell r="F772" t="str">
            <v>屏蔽泵驱动板</v>
          </cell>
          <cell r="G772">
            <v>0.1</v>
          </cell>
          <cell r="H772">
            <v>240</v>
          </cell>
          <cell r="I772">
            <v>24</v>
          </cell>
        </row>
        <row r="773">
          <cell r="A773">
            <v>10880037830</v>
          </cell>
          <cell r="B773" t="str">
            <v>1398-C2503D-DRV G0044 Tec Plus-SC 200W 020300023C</v>
          </cell>
          <cell r="C773">
            <v>10250046934</v>
          </cell>
          <cell r="D773" t="str">
            <v>1*4</v>
          </cell>
          <cell r="E773" t="str">
            <v>锡膏</v>
          </cell>
          <cell r="F773" t="str">
            <v>屏蔽泵驱动板</v>
          </cell>
          <cell r="G773">
            <v>0.1</v>
          </cell>
          <cell r="H773">
            <v>240</v>
          </cell>
          <cell r="I773">
            <v>24</v>
          </cell>
        </row>
        <row r="774">
          <cell r="A774">
            <v>10880037681</v>
          </cell>
          <cell r="B774" t="str">
            <v>1398-C2507A-DRV G0044 INT PLUS-LIN 128W 020300024</v>
          </cell>
          <cell r="C774">
            <v>10250046934</v>
          </cell>
          <cell r="D774" t="str">
            <v>1*4</v>
          </cell>
          <cell r="E774" t="str">
            <v>锡膏</v>
          </cell>
          <cell r="F774" t="str">
            <v>屏蔽泵驱动板</v>
          </cell>
          <cell r="G774">
            <v>0.12</v>
          </cell>
          <cell r="H774">
            <v>200</v>
          </cell>
          <cell r="I774">
            <v>24</v>
          </cell>
        </row>
        <row r="775">
          <cell r="A775">
            <v>10880037834</v>
          </cell>
          <cell r="B775" t="str">
            <v>1398-C2507B-DRV G0044 INT PLUS-LIN 134W 020300024A</v>
          </cell>
          <cell r="C775">
            <v>10250046934</v>
          </cell>
          <cell r="D775" t="str">
            <v>1*4</v>
          </cell>
          <cell r="E775" t="str">
            <v>锡膏</v>
          </cell>
          <cell r="F775" t="str">
            <v>屏蔽泵驱动板</v>
          </cell>
          <cell r="G775">
            <v>0.12</v>
          </cell>
          <cell r="H775">
            <v>200</v>
          </cell>
          <cell r="I775">
            <v>24</v>
          </cell>
        </row>
        <row r="776">
          <cell r="A776">
            <v>10880037835</v>
          </cell>
          <cell r="B776" t="str">
            <v>1398-C2507C-DRV G0044 INT PLUS-LIN 195W 020300024B</v>
          </cell>
          <cell r="C776">
            <v>10250046934</v>
          </cell>
          <cell r="D776" t="str">
            <v>1*4</v>
          </cell>
          <cell r="E776" t="str">
            <v>锡膏</v>
          </cell>
          <cell r="F776" t="str">
            <v>屏蔽泵驱动板</v>
          </cell>
          <cell r="G776">
            <v>0.12</v>
          </cell>
          <cell r="H776">
            <v>200</v>
          </cell>
          <cell r="I776">
            <v>24</v>
          </cell>
        </row>
        <row r="777">
          <cell r="A777">
            <v>10880037836</v>
          </cell>
          <cell r="B777" t="str">
            <v>1398-C2507D-DRV G0044 INT PLUS-LIN  200W 020300024C</v>
          </cell>
          <cell r="C777">
            <v>10250046934</v>
          </cell>
          <cell r="D777" t="str">
            <v>1*4</v>
          </cell>
          <cell r="E777" t="str">
            <v>锡膏</v>
          </cell>
          <cell r="F777" t="str">
            <v>屏蔽泵驱动板</v>
          </cell>
          <cell r="G777">
            <v>0.12</v>
          </cell>
          <cell r="H777">
            <v>200</v>
          </cell>
          <cell r="I777">
            <v>24</v>
          </cell>
        </row>
        <row r="778">
          <cell r="A778">
            <v>10880037679</v>
          </cell>
          <cell r="B778" t="str">
            <v>1398-C2508A-DRV G0044 IntPlus-PWM 128W 020300025</v>
          </cell>
          <cell r="C778">
            <v>10250046934</v>
          </cell>
          <cell r="D778" t="str">
            <v>1*4</v>
          </cell>
          <cell r="E778" t="str">
            <v>锡膏</v>
          </cell>
          <cell r="F778" t="str">
            <v>屏蔽泵驱动板</v>
          </cell>
          <cell r="G778">
            <v>0.12</v>
          </cell>
          <cell r="H778">
            <v>200</v>
          </cell>
          <cell r="I778">
            <v>24</v>
          </cell>
        </row>
        <row r="779">
          <cell r="A779">
            <v>10880037831</v>
          </cell>
          <cell r="B779" t="str">
            <v>1398-C2508B-DRV G0044 IntPlus-PWM 134W 020300025A</v>
          </cell>
          <cell r="C779">
            <v>10250046934</v>
          </cell>
          <cell r="D779" t="str">
            <v>1*4</v>
          </cell>
          <cell r="E779" t="str">
            <v>锡膏</v>
          </cell>
          <cell r="F779" t="str">
            <v>屏蔽泵驱动板</v>
          </cell>
          <cell r="G779">
            <v>0.12</v>
          </cell>
          <cell r="H779">
            <v>200</v>
          </cell>
          <cell r="I779">
            <v>24</v>
          </cell>
        </row>
        <row r="780">
          <cell r="A780">
            <v>10880037832</v>
          </cell>
          <cell r="B780" t="str">
            <v>1398-C2508C-DRV G0044 IntPlus-PWM 195W 020300025B</v>
          </cell>
          <cell r="C780">
            <v>10250046934</v>
          </cell>
          <cell r="D780" t="str">
            <v>1*4</v>
          </cell>
          <cell r="E780" t="str">
            <v>锡膏</v>
          </cell>
          <cell r="F780" t="str">
            <v>屏蔽泵驱动板</v>
          </cell>
          <cell r="G780">
            <v>0.12</v>
          </cell>
          <cell r="H780">
            <v>200</v>
          </cell>
          <cell r="I780">
            <v>24</v>
          </cell>
        </row>
        <row r="781">
          <cell r="A781">
            <v>10880037833</v>
          </cell>
          <cell r="B781" t="str">
            <v>1398-C2508D-DRV G0044 IntPlus-PWM 200W 020300025C</v>
          </cell>
          <cell r="C781">
            <v>10250046934</v>
          </cell>
          <cell r="D781" t="str">
            <v>1*4</v>
          </cell>
          <cell r="E781" t="str">
            <v>锡膏</v>
          </cell>
          <cell r="F781" t="str">
            <v>屏蔽泵驱动板</v>
          </cell>
          <cell r="G781">
            <v>0.12</v>
          </cell>
          <cell r="H781">
            <v>200</v>
          </cell>
          <cell r="I781">
            <v>24</v>
          </cell>
        </row>
        <row r="782">
          <cell r="A782">
            <v>10880037689</v>
          </cell>
          <cell r="B782" t="str">
            <v>1398-C2502A-D G0044 020200024 Int型;屏蔽泵面板</v>
          </cell>
          <cell r="C782">
            <v>10250046931</v>
          </cell>
          <cell r="D782" t="str">
            <v>1*8</v>
          </cell>
          <cell r="E782" t="str">
            <v>锡膏</v>
          </cell>
          <cell r="F782" t="str">
            <v>屏蔽泵显示板</v>
          </cell>
          <cell r="G782">
            <v>2.1666666666666667E-2</v>
          </cell>
          <cell r="H782">
            <v>600</v>
          </cell>
          <cell r="I782">
            <v>13</v>
          </cell>
        </row>
        <row r="783">
          <cell r="A783">
            <v>10880037691</v>
          </cell>
          <cell r="B783" t="str">
            <v>1398-C2504A-D G0044 020300026 Tec型;屏蔽泵面板</v>
          </cell>
          <cell r="C783">
            <v>10250046883</v>
          </cell>
          <cell r="D783" t="str">
            <v>1*8</v>
          </cell>
          <cell r="E783" t="str">
            <v>锡膏</v>
          </cell>
          <cell r="F783" t="str">
            <v>屏蔽泵显示板</v>
          </cell>
          <cell r="G783">
            <v>2.1666666666666667E-2</v>
          </cell>
          <cell r="H783">
            <v>600</v>
          </cell>
          <cell r="I783">
            <v>13</v>
          </cell>
        </row>
        <row r="784">
          <cell r="A784">
            <v>10880018842</v>
          </cell>
          <cell r="B784" t="str">
            <v>693-A2178A-PC 0011800612X</v>
          </cell>
          <cell r="C784">
            <v>10250035536</v>
          </cell>
          <cell r="D784" t="str">
            <v>1*2</v>
          </cell>
          <cell r="E784" t="str">
            <v>锡膏</v>
          </cell>
          <cell r="F784" t="str">
            <v>空调内机</v>
          </cell>
          <cell r="G784">
            <v>5.5999999999999994E-2</v>
          </cell>
          <cell r="H784">
            <v>500</v>
          </cell>
          <cell r="I784">
            <v>28</v>
          </cell>
        </row>
        <row r="785">
          <cell r="A785">
            <v>10880018845</v>
          </cell>
          <cell r="B785" t="str">
            <v>693-A2178C-PC 0011800612Z</v>
          </cell>
          <cell r="C785">
            <v>10250035536</v>
          </cell>
          <cell r="D785" t="str">
            <v>1*2</v>
          </cell>
          <cell r="E785" t="str">
            <v>锡膏</v>
          </cell>
          <cell r="F785" t="str">
            <v>空调内机</v>
          </cell>
          <cell r="G785">
            <v>5.5999999999999994E-2</v>
          </cell>
          <cell r="H785">
            <v>500</v>
          </cell>
          <cell r="I785">
            <v>28</v>
          </cell>
        </row>
        <row r="786">
          <cell r="A786">
            <v>10880018848</v>
          </cell>
          <cell r="B786" t="str">
            <v>693-A2178G-PC 0011800612L</v>
          </cell>
          <cell r="C786">
            <v>10250035536</v>
          </cell>
          <cell r="D786" t="str">
            <v>1*2</v>
          </cell>
          <cell r="E786" t="str">
            <v>锡膏</v>
          </cell>
          <cell r="F786" t="str">
            <v>空调内机</v>
          </cell>
          <cell r="G786">
            <v>5.5999999999999994E-2</v>
          </cell>
          <cell r="H786">
            <v>500</v>
          </cell>
          <cell r="I786">
            <v>28</v>
          </cell>
        </row>
        <row r="787">
          <cell r="A787">
            <v>10880018849</v>
          </cell>
          <cell r="B787" t="str">
            <v>693-A2178H-PC 0011800612AB</v>
          </cell>
          <cell r="C787">
            <v>10250035536</v>
          </cell>
          <cell r="D787" t="str">
            <v>1*2</v>
          </cell>
          <cell r="E787" t="str">
            <v>锡膏</v>
          </cell>
          <cell r="F787" t="str">
            <v>空调内机</v>
          </cell>
          <cell r="G787">
            <v>5.5999999999999994E-2</v>
          </cell>
          <cell r="H787">
            <v>500</v>
          </cell>
          <cell r="I787">
            <v>28</v>
          </cell>
        </row>
        <row r="788">
          <cell r="A788">
            <v>10880018853</v>
          </cell>
          <cell r="B788" t="str">
            <v>693-A2178P-PC 0011800612Y</v>
          </cell>
          <cell r="C788">
            <v>10250035536</v>
          </cell>
          <cell r="D788" t="str">
            <v>1*2</v>
          </cell>
          <cell r="E788" t="str">
            <v>锡膏</v>
          </cell>
          <cell r="F788" t="str">
            <v>空调内机</v>
          </cell>
          <cell r="G788">
            <v>5.5999999999999994E-2</v>
          </cell>
          <cell r="H788">
            <v>500</v>
          </cell>
          <cell r="I788">
            <v>28</v>
          </cell>
        </row>
        <row r="789">
          <cell r="A789">
            <v>10880020281</v>
          </cell>
          <cell r="B789" t="str">
            <v>693-A2178K-PC 0011800612AC</v>
          </cell>
          <cell r="C789">
            <v>10250035536</v>
          </cell>
          <cell r="D789" t="str">
            <v>1*2</v>
          </cell>
          <cell r="E789" t="str">
            <v>锡膏</v>
          </cell>
          <cell r="F789" t="str">
            <v>空调内机</v>
          </cell>
          <cell r="G789">
            <v>5.5999999999999994E-2</v>
          </cell>
          <cell r="H789">
            <v>500</v>
          </cell>
          <cell r="I789">
            <v>28</v>
          </cell>
        </row>
        <row r="790">
          <cell r="A790">
            <v>10880020274</v>
          </cell>
          <cell r="B790" t="str">
            <v>693-A2178O-PC 0011800612C</v>
          </cell>
          <cell r="C790">
            <v>10250031442</v>
          </cell>
          <cell r="D790" t="str">
            <v>1*2</v>
          </cell>
          <cell r="E790" t="str">
            <v>红胶</v>
          </cell>
          <cell r="F790" t="str">
            <v>空调内机</v>
          </cell>
          <cell r="G790">
            <v>5.5999999999999994E-2</v>
          </cell>
          <cell r="H790">
            <v>500</v>
          </cell>
          <cell r="I790">
            <v>28</v>
          </cell>
        </row>
        <row r="791">
          <cell r="A791">
            <v>10880020277</v>
          </cell>
          <cell r="B791" t="str">
            <v>693-A2178Q-PC 0011800612P</v>
          </cell>
          <cell r="C791">
            <v>10250031442</v>
          </cell>
          <cell r="D791" t="str">
            <v>1*2</v>
          </cell>
          <cell r="E791" t="str">
            <v>红胶</v>
          </cell>
          <cell r="F791" t="str">
            <v>空调内机</v>
          </cell>
          <cell r="G791">
            <v>5.5999999999999994E-2</v>
          </cell>
          <cell r="H791">
            <v>500</v>
          </cell>
          <cell r="I791">
            <v>28</v>
          </cell>
        </row>
        <row r="792">
          <cell r="A792">
            <v>10880020278</v>
          </cell>
          <cell r="B792" t="str">
            <v>693-A2178R-PC 0011800612Q</v>
          </cell>
          <cell r="C792">
            <v>10250031442</v>
          </cell>
          <cell r="D792" t="str">
            <v>1*2</v>
          </cell>
          <cell r="E792" t="str">
            <v>红胶</v>
          </cell>
          <cell r="F792" t="str">
            <v>空调内机</v>
          </cell>
          <cell r="G792">
            <v>5.5999999999999994E-2</v>
          </cell>
          <cell r="H792">
            <v>500</v>
          </cell>
          <cell r="I792">
            <v>28</v>
          </cell>
        </row>
        <row r="793">
          <cell r="A793">
            <v>10880018843</v>
          </cell>
          <cell r="B793" t="str">
            <v>693-A2178B-PC 0011800612D</v>
          </cell>
          <cell r="C793">
            <v>10250033759</v>
          </cell>
          <cell r="D793" t="str">
            <v>1*2</v>
          </cell>
          <cell r="E793" t="str">
            <v>红胶</v>
          </cell>
          <cell r="F793" t="str">
            <v>空调内机</v>
          </cell>
          <cell r="G793">
            <v>5.5999999999999994E-2</v>
          </cell>
          <cell r="H793">
            <v>500</v>
          </cell>
          <cell r="I793">
            <v>28</v>
          </cell>
        </row>
        <row r="794">
          <cell r="A794">
            <v>10880018851</v>
          </cell>
          <cell r="B794" t="str">
            <v>693-A2178J-PC 0011800612M</v>
          </cell>
          <cell r="C794">
            <v>10250033759</v>
          </cell>
          <cell r="D794" t="str">
            <v>1*2</v>
          </cell>
          <cell r="E794" t="str">
            <v>红胶</v>
          </cell>
          <cell r="F794" t="str">
            <v>空调内机</v>
          </cell>
          <cell r="G794">
            <v>5.5999999999999994E-2</v>
          </cell>
          <cell r="H794">
            <v>500</v>
          </cell>
          <cell r="I794">
            <v>28</v>
          </cell>
        </row>
        <row r="795">
          <cell r="A795">
            <v>10880020276</v>
          </cell>
          <cell r="B795" t="str">
            <v>693-A2178N-PC 0011800612E</v>
          </cell>
          <cell r="C795">
            <v>10250033759</v>
          </cell>
          <cell r="D795" t="str">
            <v>1*2</v>
          </cell>
          <cell r="E795" t="str">
            <v>红胶</v>
          </cell>
          <cell r="F795" t="str">
            <v>空调内机</v>
          </cell>
          <cell r="G795">
            <v>5.5999999999999994E-2</v>
          </cell>
          <cell r="H795">
            <v>500</v>
          </cell>
          <cell r="I795">
            <v>28</v>
          </cell>
        </row>
        <row r="796">
          <cell r="A796">
            <v>10880018091</v>
          </cell>
          <cell r="B796" t="str">
            <v>693-A2178F-PC 0011800612F</v>
          </cell>
          <cell r="C796">
            <v>10250033759</v>
          </cell>
          <cell r="D796" t="str">
            <v>1*2</v>
          </cell>
          <cell r="E796" t="str">
            <v>红胶</v>
          </cell>
          <cell r="F796" t="str">
            <v>空调内机</v>
          </cell>
          <cell r="G796">
            <v>5.5999999999999994E-2</v>
          </cell>
          <cell r="H796">
            <v>500</v>
          </cell>
          <cell r="I796">
            <v>28</v>
          </cell>
        </row>
        <row r="797">
          <cell r="A797">
            <v>10880018846</v>
          </cell>
          <cell r="B797" t="str">
            <v>693-A2178D-PC 0011800612R</v>
          </cell>
          <cell r="C797" t="str">
            <v>10250035069/10250035076</v>
          </cell>
          <cell r="D797" t="str">
            <v>1*2</v>
          </cell>
          <cell r="E797" t="str">
            <v>锡膏</v>
          </cell>
          <cell r="F797" t="str">
            <v>空调内机</v>
          </cell>
          <cell r="G797">
            <v>5.5999999999999994E-2</v>
          </cell>
          <cell r="H797">
            <v>500</v>
          </cell>
          <cell r="I797">
            <v>28</v>
          </cell>
        </row>
        <row r="798">
          <cell r="A798">
            <v>10880018847</v>
          </cell>
          <cell r="B798" t="str">
            <v>693-A2178E-PC 0011800612H</v>
          </cell>
          <cell r="C798" t="str">
            <v>10250035069/10250035076</v>
          </cell>
          <cell r="D798" t="str">
            <v>1*2</v>
          </cell>
          <cell r="E798" t="str">
            <v>锡膏</v>
          </cell>
          <cell r="F798" t="str">
            <v>空调内机</v>
          </cell>
          <cell r="G798">
            <v>5.5999999999999994E-2</v>
          </cell>
          <cell r="H798">
            <v>500</v>
          </cell>
          <cell r="I798">
            <v>28</v>
          </cell>
        </row>
        <row r="799">
          <cell r="A799">
            <v>10880032745</v>
          </cell>
          <cell r="B799" t="str">
            <v xml:space="preserve">693-C2470C-PC 0011800612H(612Y版图贴片LED)  </v>
          </cell>
          <cell r="C799" t="str">
            <v>10250039129/10250039130</v>
          </cell>
          <cell r="D799" t="str">
            <v>1*2</v>
          </cell>
          <cell r="E799" t="str">
            <v>锡膏</v>
          </cell>
          <cell r="F799" t="str">
            <v>空调内机</v>
          </cell>
          <cell r="G799">
            <v>5.5999999999999994E-2</v>
          </cell>
          <cell r="H799">
            <v>500</v>
          </cell>
          <cell r="I799">
            <v>28</v>
          </cell>
        </row>
        <row r="800">
          <cell r="A800">
            <v>10880018850</v>
          </cell>
          <cell r="B800" t="str">
            <v>693-A2178I-PC 0011800612V</v>
          </cell>
          <cell r="C800" t="str">
            <v>10250035069/10250035076</v>
          </cell>
          <cell r="D800" t="str">
            <v>1*2</v>
          </cell>
          <cell r="E800" t="str">
            <v>锡膏</v>
          </cell>
          <cell r="F800" t="str">
            <v>空调内机</v>
          </cell>
          <cell r="G800">
            <v>5.5999999999999994E-2</v>
          </cell>
          <cell r="H800">
            <v>500</v>
          </cell>
          <cell r="I800">
            <v>28</v>
          </cell>
        </row>
        <row r="801">
          <cell r="A801">
            <v>10880020279</v>
          </cell>
          <cell r="B801" t="str">
            <v>693-A2178L-PC 0011800612T</v>
          </cell>
          <cell r="C801" t="str">
            <v>10250035069/10250035076</v>
          </cell>
          <cell r="D801" t="str">
            <v>1*2</v>
          </cell>
          <cell r="E801" t="str">
            <v>锡膏</v>
          </cell>
          <cell r="F801" t="str">
            <v>空调内机</v>
          </cell>
          <cell r="G801">
            <v>5.5999999999999994E-2</v>
          </cell>
          <cell r="H801">
            <v>500</v>
          </cell>
          <cell r="I801">
            <v>28</v>
          </cell>
        </row>
        <row r="802">
          <cell r="A802">
            <v>10880020280</v>
          </cell>
          <cell r="B802" t="str">
            <v>693-A2178M-PC 0011800612W</v>
          </cell>
          <cell r="C802" t="str">
            <v>10250035069/10250035076</v>
          </cell>
          <cell r="D802" t="str">
            <v>1*2</v>
          </cell>
          <cell r="E802" t="str">
            <v>锡膏</v>
          </cell>
          <cell r="F802" t="str">
            <v>空调内机</v>
          </cell>
          <cell r="G802">
            <v>5.5999999999999994E-2</v>
          </cell>
          <cell r="H802">
            <v>500</v>
          </cell>
          <cell r="I802">
            <v>28</v>
          </cell>
        </row>
        <row r="803">
          <cell r="A803">
            <v>10880017516</v>
          </cell>
          <cell r="B803" t="str">
            <v>693-A2179A-PC 0011800630K</v>
          </cell>
          <cell r="C803" t="str">
            <v>10250038428/10250038429</v>
          </cell>
          <cell r="D803" t="str">
            <v>1*2</v>
          </cell>
          <cell r="E803" t="str">
            <v>锡膏</v>
          </cell>
          <cell r="F803" t="str">
            <v>空调内机</v>
          </cell>
          <cell r="G803">
            <v>5.2000000000000005E-2</v>
          </cell>
          <cell r="H803">
            <v>500</v>
          </cell>
          <cell r="I803">
            <v>26</v>
          </cell>
        </row>
        <row r="804">
          <cell r="A804">
            <v>10880017524</v>
          </cell>
          <cell r="B804" t="str">
            <v>693-A2179B-PC 0011800630M</v>
          </cell>
          <cell r="C804" t="str">
            <v>10250038428/10250038429</v>
          </cell>
          <cell r="D804" t="str">
            <v>1*2</v>
          </cell>
          <cell r="E804" t="str">
            <v>锡膏</v>
          </cell>
          <cell r="F804" t="str">
            <v>空调内机</v>
          </cell>
          <cell r="G804">
            <v>5.7999999999999996E-2</v>
          </cell>
          <cell r="H804">
            <v>500</v>
          </cell>
          <cell r="I804">
            <v>29</v>
          </cell>
        </row>
        <row r="805">
          <cell r="A805">
            <v>10880017525</v>
          </cell>
          <cell r="B805" t="str">
            <v>693-A2179C-PC 0011800630L</v>
          </cell>
          <cell r="C805" t="str">
            <v>10250038428/10250038429</v>
          </cell>
          <cell r="D805" t="str">
            <v>1*2</v>
          </cell>
          <cell r="E805" t="str">
            <v>锡膏</v>
          </cell>
          <cell r="F805" t="str">
            <v>空调内机</v>
          </cell>
          <cell r="G805">
            <v>5.2000000000000005E-2</v>
          </cell>
          <cell r="H805">
            <v>500</v>
          </cell>
          <cell r="I805">
            <v>26</v>
          </cell>
        </row>
        <row r="806">
          <cell r="A806">
            <v>10880017526</v>
          </cell>
          <cell r="B806" t="str">
            <v>693-A2179D-PC 0011800630P</v>
          </cell>
          <cell r="C806" t="str">
            <v>10250038428/10250038429</v>
          </cell>
          <cell r="D806" t="str">
            <v>1*2</v>
          </cell>
          <cell r="E806" t="str">
            <v>锡膏</v>
          </cell>
          <cell r="F806" t="str">
            <v>空调内机</v>
          </cell>
          <cell r="G806">
            <v>5.5999999999999994E-2</v>
          </cell>
          <cell r="H806">
            <v>500</v>
          </cell>
          <cell r="I806">
            <v>28</v>
          </cell>
        </row>
        <row r="807">
          <cell r="A807">
            <v>10880017527</v>
          </cell>
          <cell r="B807" t="str">
            <v>693-A2179E-PC 0011800630J</v>
          </cell>
          <cell r="C807">
            <v>10250033346</v>
          </cell>
          <cell r="D807" t="str">
            <v>1*2</v>
          </cell>
          <cell r="E807" t="str">
            <v>锡膏</v>
          </cell>
          <cell r="F807" t="str">
            <v>空调内机</v>
          </cell>
          <cell r="G807">
            <v>6.2E-2</v>
          </cell>
          <cell r="H807">
            <v>500</v>
          </cell>
          <cell r="I807">
            <v>31</v>
          </cell>
        </row>
        <row r="808">
          <cell r="A808">
            <v>10880020217</v>
          </cell>
          <cell r="B808" t="str">
            <v>693-A2179F-PC 0011800630</v>
          </cell>
          <cell r="C808">
            <v>10250033344</v>
          </cell>
          <cell r="D808" t="str">
            <v>1*2</v>
          </cell>
          <cell r="E808" t="str">
            <v>红胶</v>
          </cell>
          <cell r="F808" t="str">
            <v>空调内机</v>
          </cell>
          <cell r="G808">
            <v>6.2E-2</v>
          </cell>
          <cell r="H808">
            <v>500</v>
          </cell>
          <cell r="I808">
            <v>31</v>
          </cell>
        </row>
        <row r="809">
          <cell r="A809">
            <v>10880020223</v>
          </cell>
          <cell r="B809" t="str">
            <v>693-A2179I-PC 0011800630E</v>
          </cell>
          <cell r="C809">
            <v>10250033344</v>
          </cell>
          <cell r="D809" t="str">
            <v>1*2</v>
          </cell>
          <cell r="E809" t="str">
            <v>红胶</v>
          </cell>
          <cell r="F809" t="str">
            <v>空调内机</v>
          </cell>
          <cell r="G809">
            <v>6.2E-2</v>
          </cell>
          <cell r="H809">
            <v>500</v>
          </cell>
          <cell r="I809">
            <v>31</v>
          </cell>
        </row>
        <row r="810">
          <cell r="A810">
            <v>10880020224</v>
          </cell>
          <cell r="B810" t="str">
            <v>693-A2179J-PC 0011800630Y--977B小板</v>
          </cell>
          <cell r="C810">
            <v>10250033344</v>
          </cell>
          <cell r="D810" t="str">
            <v>1*2</v>
          </cell>
          <cell r="E810" t="str">
            <v>红胶</v>
          </cell>
          <cell r="F810" t="str">
            <v>空调内机</v>
          </cell>
          <cell r="G810">
            <v>7.0500000000000007E-2</v>
          </cell>
          <cell r="H810">
            <v>500</v>
          </cell>
          <cell r="I810">
            <v>33</v>
          </cell>
        </row>
        <row r="811">
          <cell r="H811">
            <v>2000</v>
          </cell>
          <cell r="I811">
            <v>9</v>
          </cell>
        </row>
        <row r="812">
          <cell r="A812">
            <v>10880020225</v>
          </cell>
          <cell r="B812" t="str">
            <v>693-A2179K-PC 0011800630Z--977B小板</v>
          </cell>
          <cell r="C812">
            <v>10250033344</v>
          </cell>
          <cell r="D812" t="str">
            <v>1*2</v>
          </cell>
          <cell r="E812" t="str">
            <v>红胶</v>
          </cell>
          <cell r="F812" t="str">
            <v>空调内机</v>
          </cell>
          <cell r="G812">
            <v>7.0500000000000007E-2</v>
          </cell>
          <cell r="H812">
            <v>500</v>
          </cell>
          <cell r="I812">
            <v>33</v>
          </cell>
        </row>
        <row r="813">
          <cell r="H813">
            <v>2000</v>
          </cell>
          <cell r="I813">
            <v>9</v>
          </cell>
        </row>
        <row r="814">
          <cell r="A814">
            <v>10880020221</v>
          </cell>
          <cell r="B814" t="str">
            <v>693-A2179G-PC 0011800630R</v>
          </cell>
          <cell r="C814" t="str">
            <v>10250033742/10250033743</v>
          </cell>
          <cell r="D814" t="str">
            <v>1*2</v>
          </cell>
          <cell r="E814" t="str">
            <v>锡膏</v>
          </cell>
          <cell r="F814" t="str">
            <v>空调内机</v>
          </cell>
          <cell r="G814">
            <v>6.2E-2</v>
          </cell>
          <cell r="H814">
            <v>500</v>
          </cell>
          <cell r="I814">
            <v>31</v>
          </cell>
        </row>
        <row r="815">
          <cell r="A815">
            <v>10880020222</v>
          </cell>
          <cell r="B815" t="str">
            <v>693-A2179H-PC 0011800630S</v>
          </cell>
          <cell r="C815" t="str">
            <v>10250033742/10250033743</v>
          </cell>
          <cell r="D815" t="str">
            <v>1*2</v>
          </cell>
          <cell r="E815" t="str">
            <v>锡膏</v>
          </cell>
          <cell r="F815" t="str">
            <v>空调内机</v>
          </cell>
          <cell r="G815">
            <v>6.2E-2</v>
          </cell>
          <cell r="H815">
            <v>500</v>
          </cell>
          <cell r="I815">
            <v>31</v>
          </cell>
        </row>
        <row r="816">
          <cell r="A816">
            <v>10880017530</v>
          </cell>
          <cell r="B816" t="str">
            <v>693-A2180A-PC 0011800646A</v>
          </cell>
          <cell r="C816" t="str">
            <v>10250029660/10250029662</v>
          </cell>
          <cell r="D816" t="str">
            <v>1*3</v>
          </cell>
          <cell r="E816" t="str">
            <v>锡膏</v>
          </cell>
          <cell r="F816" t="str">
            <v>空调内机</v>
          </cell>
          <cell r="G816">
            <v>0.06</v>
          </cell>
          <cell r="H816">
            <v>500</v>
          </cell>
          <cell r="I816">
            <v>30</v>
          </cell>
        </row>
        <row r="817">
          <cell r="A817">
            <v>10880017531</v>
          </cell>
          <cell r="B817" t="str">
            <v>693-A2180B-PC 0011800646D</v>
          </cell>
          <cell r="C817" t="str">
            <v>10250029660/10250029662</v>
          </cell>
          <cell r="D817" t="str">
            <v>1*3</v>
          </cell>
          <cell r="E817" t="str">
            <v>锡膏</v>
          </cell>
          <cell r="F817" t="str">
            <v>空调内机</v>
          </cell>
          <cell r="G817">
            <v>5.5999999999999994E-2</v>
          </cell>
          <cell r="H817">
            <v>500</v>
          </cell>
          <cell r="I817">
            <v>30</v>
          </cell>
        </row>
        <row r="818">
          <cell r="A818">
            <v>10880017532</v>
          </cell>
          <cell r="B818" t="str">
            <v>693-A2180C-PC 0011800646F</v>
          </cell>
          <cell r="C818" t="str">
            <v>10250029660/10250029662</v>
          </cell>
          <cell r="D818" t="str">
            <v>1*3</v>
          </cell>
          <cell r="E818" t="str">
            <v>锡膏</v>
          </cell>
          <cell r="F818" t="str">
            <v>空调内机</v>
          </cell>
          <cell r="G818">
            <v>5.5999999999999994E-2</v>
          </cell>
          <cell r="H818">
            <v>500</v>
          </cell>
          <cell r="I818">
            <v>30</v>
          </cell>
        </row>
        <row r="819">
          <cell r="A819">
            <v>10880017533</v>
          </cell>
          <cell r="B819" t="str">
            <v>693-A2180D-PC 0011800646M</v>
          </cell>
          <cell r="C819" t="str">
            <v>10250029660/10250029662</v>
          </cell>
          <cell r="D819" t="str">
            <v>1*3</v>
          </cell>
          <cell r="E819" t="str">
            <v>锡膏</v>
          </cell>
          <cell r="F819" t="str">
            <v>空调内机</v>
          </cell>
          <cell r="G819">
            <v>5.5999999999999994E-2</v>
          </cell>
          <cell r="H819">
            <v>500</v>
          </cell>
          <cell r="I819">
            <v>30</v>
          </cell>
        </row>
        <row r="820">
          <cell r="A820">
            <v>10880017534</v>
          </cell>
          <cell r="B820" t="str">
            <v>693-A2180E-PC 0011800646</v>
          </cell>
          <cell r="C820" t="str">
            <v>10250029660/10250029662</v>
          </cell>
          <cell r="D820" t="str">
            <v>1*3</v>
          </cell>
          <cell r="E820" t="str">
            <v>锡膏</v>
          </cell>
          <cell r="F820" t="str">
            <v>空调内机</v>
          </cell>
          <cell r="G820">
            <v>5.5999999999999994E-2</v>
          </cell>
          <cell r="H820">
            <v>500</v>
          </cell>
          <cell r="I820">
            <v>30</v>
          </cell>
        </row>
        <row r="821">
          <cell r="A821">
            <v>10880017535</v>
          </cell>
          <cell r="B821" t="str">
            <v>693-A2180F-PC 0011800646C</v>
          </cell>
          <cell r="C821" t="str">
            <v>10250029660/10250029662</v>
          </cell>
          <cell r="D821" t="str">
            <v>1*3</v>
          </cell>
          <cell r="E821" t="str">
            <v>锡膏</v>
          </cell>
          <cell r="F821" t="str">
            <v>空调内机</v>
          </cell>
          <cell r="G821">
            <v>5.5999999999999994E-2</v>
          </cell>
          <cell r="H821">
            <v>500</v>
          </cell>
          <cell r="I821">
            <v>30</v>
          </cell>
        </row>
        <row r="822">
          <cell r="A822">
            <v>10880017536</v>
          </cell>
          <cell r="B822" t="str">
            <v>693-A2180G-PC 0011800646L</v>
          </cell>
          <cell r="C822" t="str">
            <v>10250029660/10250029662</v>
          </cell>
          <cell r="D822" t="str">
            <v>1*3</v>
          </cell>
          <cell r="E822" t="str">
            <v>锡膏</v>
          </cell>
          <cell r="F822" t="str">
            <v>空调内机</v>
          </cell>
          <cell r="G822">
            <v>5.5999999999999994E-2</v>
          </cell>
          <cell r="H822">
            <v>500</v>
          </cell>
          <cell r="I822">
            <v>30</v>
          </cell>
        </row>
        <row r="823">
          <cell r="A823">
            <v>10880017537</v>
          </cell>
          <cell r="B823" t="str">
            <v>693-A2180H-PC 0011800646B</v>
          </cell>
          <cell r="C823" t="str">
            <v>10250029660/10250029662</v>
          </cell>
          <cell r="D823" t="str">
            <v>1*3</v>
          </cell>
          <cell r="E823" t="str">
            <v>锡膏</v>
          </cell>
          <cell r="F823" t="str">
            <v>空调内机</v>
          </cell>
          <cell r="G823">
            <v>5.5999999999999994E-2</v>
          </cell>
          <cell r="H823">
            <v>500</v>
          </cell>
          <cell r="I823">
            <v>30</v>
          </cell>
        </row>
        <row r="824">
          <cell r="A824">
            <v>10880020226</v>
          </cell>
          <cell r="B824" t="str">
            <v>693-A2180I-PC 0011800646J</v>
          </cell>
          <cell r="C824" t="str">
            <v>10250029660/10250029662</v>
          </cell>
          <cell r="D824" t="str">
            <v>1*3</v>
          </cell>
          <cell r="E824" t="str">
            <v>锡膏</v>
          </cell>
          <cell r="F824" t="str">
            <v>空调内机</v>
          </cell>
          <cell r="G824">
            <v>5.5999999999999994E-2</v>
          </cell>
          <cell r="H824">
            <v>500</v>
          </cell>
          <cell r="I824">
            <v>30</v>
          </cell>
        </row>
        <row r="825">
          <cell r="A825">
            <v>10880020227</v>
          </cell>
          <cell r="B825" t="str">
            <v>693-A2180J-PC 0011800646K</v>
          </cell>
          <cell r="C825" t="str">
            <v>10250029660/10250029662</v>
          </cell>
          <cell r="D825" t="str">
            <v>1*3</v>
          </cell>
          <cell r="E825" t="str">
            <v>锡膏</v>
          </cell>
          <cell r="F825" t="str">
            <v>空调内机</v>
          </cell>
          <cell r="G825">
            <v>5.5999999999999994E-2</v>
          </cell>
          <cell r="H825">
            <v>500</v>
          </cell>
          <cell r="I825">
            <v>30</v>
          </cell>
        </row>
        <row r="826">
          <cell r="A826">
            <v>10880020229</v>
          </cell>
          <cell r="B826" t="str">
            <v>693-A2180K-PC 0011800646G</v>
          </cell>
          <cell r="C826" t="str">
            <v>10250029660/10250029662</v>
          </cell>
          <cell r="D826" t="str">
            <v>1*3</v>
          </cell>
          <cell r="E826" t="str">
            <v>锡膏</v>
          </cell>
          <cell r="F826" t="str">
            <v>空调内机</v>
          </cell>
          <cell r="G826">
            <v>5.5999999999999994E-2</v>
          </cell>
          <cell r="H826">
            <v>500</v>
          </cell>
          <cell r="I826">
            <v>30</v>
          </cell>
        </row>
        <row r="827">
          <cell r="A827">
            <v>10880017948</v>
          </cell>
          <cell r="B827" t="str">
            <v>693-A2181A-PC 0011800537</v>
          </cell>
          <cell r="C827" t="str">
            <v xml:space="preserve"> 10250033736/10250033737</v>
          </cell>
          <cell r="D827" t="str">
            <v>1*2</v>
          </cell>
          <cell r="E827" t="str">
            <v>红胶</v>
          </cell>
          <cell r="F827" t="str">
            <v>空调内机</v>
          </cell>
          <cell r="G827">
            <v>5.0909090909090911E-2</v>
          </cell>
          <cell r="H827">
            <v>550</v>
          </cell>
          <cell r="I827">
            <v>28</v>
          </cell>
        </row>
        <row r="828">
          <cell r="A828">
            <v>10880017950</v>
          </cell>
          <cell r="B828" t="str">
            <v>693-A2181C-PC 0011800537A</v>
          </cell>
          <cell r="C828" t="str">
            <v xml:space="preserve"> 10250033736/10250033737</v>
          </cell>
          <cell r="D828" t="str">
            <v>1*2</v>
          </cell>
          <cell r="E828" t="str">
            <v>红胶</v>
          </cell>
          <cell r="F828" t="str">
            <v>空调内机</v>
          </cell>
          <cell r="G828">
            <v>5.0909090909090911E-2</v>
          </cell>
          <cell r="H828">
            <v>550</v>
          </cell>
          <cell r="I828">
            <v>28</v>
          </cell>
        </row>
        <row r="829">
          <cell r="A829">
            <v>10880020216</v>
          </cell>
          <cell r="B829" t="str">
            <v>693-A2181D-PC 0011800537B</v>
          </cell>
          <cell r="C829" t="str">
            <v>10250033738/10250033739</v>
          </cell>
          <cell r="D829" t="str">
            <v>1*2</v>
          </cell>
          <cell r="E829" t="str">
            <v>红胶</v>
          </cell>
          <cell r="F829" t="str">
            <v>空调内机</v>
          </cell>
          <cell r="G829">
            <v>5.0909090909090911E-2</v>
          </cell>
          <cell r="H829">
            <v>550</v>
          </cell>
          <cell r="I829">
            <v>28</v>
          </cell>
        </row>
        <row r="830">
          <cell r="A830">
            <v>10880017949</v>
          </cell>
          <cell r="B830" t="str">
            <v>693-A2181B-PC 0011800537C</v>
          </cell>
          <cell r="C830" t="str">
            <v>10250033740/10250033741</v>
          </cell>
          <cell r="D830" t="str">
            <v>1*2</v>
          </cell>
          <cell r="E830" t="str">
            <v>红胶</v>
          </cell>
          <cell r="F830" t="str">
            <v>空调内机</v>
          </cell>
          <cell r="G830">
            <v>5.0909090909090911E-2</v>
          </cell>
          <cell r="H830">
            <v>550</v>
          </cell>
          <cell r="I830">
            <v>28</v>
          </cell>
        </row>
        <row r="831">
          <cell r="A831">
            <v>10880035531</v>
          </cell>
          <cell r="B831" t="str">
            <v xml:space="preserve">693-C2513B-PC G0044 0011800537K  </v>
          </cell>
          <cell r="C831" t="str">
            <v>10250042774/10250042775</v>
          </cell>
          <cell r="D831" t="str">
            <v>1*2</v>
          </cell>
          <cell r="E831" t="str">
            <v>红胶</v>
          </cell>
          <cell r="F831" t="str">
            <v>空调内机</v>
          </cell>
          <cell r="G831">
            <v>5.0909090909090911E-2</v>
          </cell>
          <cell r="H831">
            <v>550</v>
          </cell>
          <cell r="I831">
            <v>28</v>
          </cell>
        </row>
        <row r="832">
          <cell r="A832">
            <v>10880035513</v>
          </cell>
          <cell r="B832" t="str">
            <v xml:space="preserve">693-C2513A-PC G0044 0011800537F   </v>
          </cell>
          <cell r="C832" t="str">
            <v>10250042774/10250042775</v>
          </cell>
          <cell r="D832" t="str">
            <v>1*2</v>
          </cell>
          <cell r="E832" t="str">
            <v>红胶</v>
          </cell>
          <cell r="F832" t="str">
            <v>空调内机</v>
          </cell>
          <cell r="G832">
            <v>5.0909090909090911E-2</v>
          </cell>
          <cell r="H832">
            <v>550</v>
          </cell>
          <cell r="I832">
            <v>28</v>
          </cell>
        </row>
        <row r="833">
          <cell r="A833">
            <v>10880018093</v>
          </cell>
          <cell r="B833" t="str">
            <v>693-A2182A-PC 0011800807</v>
          </cell>
          <cell r="C833" t="str">
            <v>10250029758/10250029759</v>
          </cell>
          <cell r="D833" t="str">
            <v>1*3</v>
          </cell>
          <cell r="E833" t="str">
            <v>锡膏</v>
          </cell>
          <cell r="F833" t="str">
            <v>空调内机</v>
          </cell>
          <cell r="G833">
            <v>0.06</v>
          </cell>
          <cell r="H833">
            <v>500</v>
          </cell>
          <cell r="I833">
            <v>30</v>
          </cell>
        </row>
        <row r="834">
          <cell r="A834">
            <v>10880018096</v>
          </cell>
          <cell r="B834" t="str">
            <v>693-B2201A-PC 0011801424A</v>
          </cell>
          <cell r="C834">
            <v>10250034000</v>
          </cell>
          <cell r="D834" t="str">
            <v>1*2</v>
          </cell>
          <cell r="E834" t="str">
            <v>锡膏</v>
          </cell>
          <cell r="F834" t="str">
            <v>空调外机</v>
          </cell>
          <cell r="G834">
            <v>0.11212121212121212</v>
          </cell>
          <cell r="H834">
            <v>330</v>
          </cell>
          <cell r="I834">
            <v>37</v>
          </cell>
        </row>
        <row r="835">
          <cell r="A835">
            <v>10880018097</v>
          </cell>
          <cell r="B835" t="str">
            <v>693-B2201B-PC 0011801424B</v>
          </cell>
          <cell r="C835">
            <v>10250034000</v>
          </cell>
          <cell r="D835" t="str">
            <v>1*2</v>
          </cell>
          <cell r="E835" t="str">
            <v>锡膏</v>
          </cell>
          <cell r="F835" t="str">
            <v>空调外机</v>
          </cell>
          <cell r="G835">
            <v>0.11212121212121212</v>
          </cell>
          <cell r="H835">
            <v>330</v>
          </cell>
          <cell r="I835">
            <v>37</v>
          </cell>
        </row>
        <row r="836">
          <cell r="A836">
            <v>10880019036</v>
          </cell>
          <cell r="B836" t="str">
            <v>693-B2201C-PC 0011801424E</v>
          </cell>
          <cell r="C836">
            <v>10250034000</v>
          </cell>
          <cell r="D836" t="str">
            <v>1*2</v>
          </cell>
          <cell r="E836" t="str">
            <v>锡膏</v>
          </cell>
          <cell r="F836" t="str">
            <v>空调外机</v>
          </cell>
          <cell r="G836">
            <v>0.11212121212121212</v>
          </cell>
          <cell r="H836">
            <v>330</v>
          </cell>
          <cell r="I836">
            <v>37</v>
          </cell>
        </row>
        <row r="837">
          <cell r="A837">
            <v>10880019037</v>
          </cell>
          <cell r="B837" t="str">
            <v>693-B2201D-PC 0011801424F</v>
          </cell>
          <cell r="C837">
            <v>10250034000</v>
          </cell>
          <cell r="D837" t="str">
            <v>1*2</v>
          </cell>
          <cell r="E837" t="str">
            <v>锡膏</v>
          </cell>
          <cell r="F837" t="str">
            <v>空调外机</v>
          </cell>
          <cell r="G837">
            <v>0.11212121212121212</v>
          </cell>
          <cell r="H837">
            <v>330</v>
          </cell>
          <cell r="I837">
            <v>37</v>
          </cell>
        </row>
        <row r="838">
          <cell r="A838">
            <v>10880019038</v>
          </cell>
          <cell r="B838" t="str">
            <v>693-B2201E-PC 0011801424M</v>
          </cell>
          <cell r="C838">
            <v>10250034000</v>
          </cell>
          <cell r="D838" t="str">
            <v>1*2</v>
          </cell>
          <cell r="E838" t="str">
            <v>锡膏</v>
          </cell>
          <cell r="F838" t="str">
            <v>空调外机</v>
          </cell>
          <cell r="G838">
            <v>0.11212121212121212</v>
          </cell>
          <cell r="H838">
            <v>330</v>
          </cell>
          <cell r="I838">
            <v>37</v>
          </cell>
        </row>
        <row r="839">
          <cell r="A839">
            <v>10880019039</v>
          </cell>
          <cell r="B839" t="str">
            <v>693-B2201F-PC 0011801424H</v>
          </cell>
          <cell r="C839">
            <v>10250034000</v>
          </cell>
          <cell r="D839" t="str">
            <v>1*2</v>
          </cell>
          <cell r="E839" t="str">
            <v>锡膏</v>
          </cell>
          <cell r="F839" t="str">
            <v>空调外机</v>
          </cell>
          <cell r="G839">
            <v>0.11212121212121212</v>
          </cell>
          <cell r="H839">
            <v>330</v>
          </cell>
          <cell r="I839">
            <v>37</v>
          </cell>
        </row>
        <row r="840">
          <cell r="A840">
            <v>10880019040</v>
          </cell>
          <cell r="B840" t="str">
            <v>693-B2201G-PC 0011801424J</v>
          </cell>
          <cell r="C840">
            <v>10250034000</v>
          </cell>
          <cell r="D840" t="str">
            <v>1*2</v>
          </cell>
          <cell r="E840" t="str">
            <v>锡膏</v>
          </cell>
          <cell r="F840" t="str">
            <v>空调外机</v>
          </cell>
          <cell r="G840">
            <v>0.11212121212121212</v>
          </cell>
          <cell r="H840">
            <v>330</v>
          </cell>
          <cell r="I840">
            <v>37</v>
          </cell>
        </row>
        <row r="841">
          <cell r="A841">
            <v>10880019041</v>
          </cell>
          <cell r="B841" t="str">
            <v>693-B2201H-PC 0011801424V</v>
          </cell>
          <cell r="C841">
            <v>10250034000</v>
          </cell>
          <cell r="D841" t="str">
            <v>1*2</v>
          </cell>
          <cell r="E841" t="str">
            <v>锡膏</v>
          </cell>
          <cell r="F841" t="str">
            <v>空调外机</v>
          </cell>
          <cell r="G841">
            <v>0.11212121212121212</v>
          </cell>
          <cell r="H841">
            <v>330</v>
          </cell>
          <cell r="I841">
            <v>37</v>
          </cell>
        </row>
        <row r="842">
          <cell r="A842">
            <v>10880019240</v>
          </cell>
          <cell r="B842" t="str">
            <v>693-B2201J-PC 0011801424C</v>
          </cell>
          <cell r="C842">
            <v>10250034000</v>
          </cell>
          <cell r="D842" t="str">
            <v>1*2</v>
          </cell>
          <cell r="E842" t="str">
            <v>锡膏</v>
          </cell>
          <cell r="F842" t="str">
            <v>空调外机</v>
          </cell>
          <cell r="G842">
            <v>0.11212121212121212</v>
          </cell>
          <cell r="H842">
            <v>330</v>
          </cell>
          <cell r="I842">
            <v>37</v>
          </cell>
        </row>
        <row r="843">
          <cell r="A843">
            <v>10880019241</v>
          </cell>
          <cell r="B843" t="str">
            <v>693-B2201K-PC 0011801424D</v>
          </cell>
          <cell r="C843">
            <v>10250034000</v>
          </cell>
          <cell r="D843" t="str">
            <v>1*2</v>
          </cell>
          <cell r="E843" t="str">
            <v>锡膏</v>
          </cell>
          <cell r="F843" t="str">
            <v>空调外机</v>
          </cell>
          <cell r="G843">
            <v>0.11212121212121212</v>
          </cell>
          <cell r="H843">
            <v>330</v>
          </cell>
          <cell r="I843">
            <v>37</v>
          </cell>
        </row>
        <row r="844">
          <cell r="A844">
            <v>10880021895</v>
          </cell>
          <cell r="B844" t="str">
            <v>693-B2201V-PC 0011801424X</v>
          </cell>
          <cell r="C844">
            <v>10250034000</v>
          </cell>
          <cell r="D844" t="str">
            <v>1*2</v>
          </cell>
          <cell r="E844" t="str">
            <v>锡膏</v>
          </cell>
          <cell r="F844" t="str">
            <v>空调外机</v>
          </cell>
          <cell r="G844">
            <v>0.11212121212121212</v>
          </cell>
          <cell r="H844">
            <v>330</v>
          </cell>
          <cell r="I844">
            <v>37</v>
          </cell>
        </row>
        <row r="845">
          <cell r="A845">
            <v>10880020005</v>
          </cell>
          <cell r="B845" t="str">
            <v>693-B2201L-PC 0011801424Y</v>
          </cell>
          <cell r="C845">
            <v>10250034000</v>
          </cell>
          <cell r="D845" t="str">
            <v>1*2</v>
          </cell>
          <cell r="E845" t="str">
            <v>锡膏</v>
          </cell>
          <cell r="F845" t="str">
            <v>空调外机</v>
          </cell>
          <cell r="G845">
            <v>0.11212121212121212</v>
          </cell>
          <cell r="H845">
            <v>330</v>
          </cell>
          <cell r="I845">
            <v>37</v>
          </cell>
        </row>
        <row r="846">
          <cell r="A846">
            <v>10880020640</v>
          </cell>
          <cell r="B846" t="str">
            <v>693-B2201M-PC-0011801424Z</v>
          </cell>
          <cell r="C846">
            <v>10250034000</v>
          </cell>
          <cell r="D846" t="str">
            <v>1*2</v>
          </cell>
          <cell r="E846" t="str">
            <v>锡膏</v>
          </cell>
          <cell r="F846" t="str">
            <v>空调外机</v>
          </cell>
          <cell r="G846">
            <v>0.11212121212121212</v>
          </cell>
          <cell r="H846">
            <v>330</v>
          </cell>
          <cell r="I846">
            <v>37</v>
          </cell>
        </row>
        <row r="847">
          <cell r="A847">
            <v>10880021015</v>
          </cell>
          <cell r="B847" t="str">
            <v>693-B2201N-PC 0011801424AE</v>
          </cell>
          <cell r="C847">
            <v>10250034000</v>
          </cell>
          <cell r="D847" t="str">
            <v>1*2</v>
          </cell>
          <cell r="E847" t="str">
            <v>锡膏</v>
          </cell>
          <cell r="F847" t="str">
            <v>空调外机</v>
          </cell>
          <cell r="G847">
            <v>0.11212121212121212</v>
          </cell>
          <cell r="H847">
            <v>330</v>
          </cell>
          <cell r="I847">
            <v>37</v>
          </cell>
        </row>
        <row r="848">
          <cell r="A848">
            <v>10880021019</v>
          </cell>
          <cell r="B848" t="str">
            <v>693-B2201O-PC 0011801424AF</v>
          </cell>
          <cell r="C848">
            <v>10250034000</v>
          </cell>
          <cell r="D848" t="str">
            <v>1*2</v>
          </cell>
          <cell r="E848" t="str">
            <v>锡膏</v>
          </cell>
          <cell r="F848" t="str">
            <v>空调外机</v>
          </cell>
          <cell r="G848">
            <v>0.11212121212121212</v>
          </cell>
          <cell r="H848">
            <v>330</v>
          </cell>
          <cell r="I848">
            <v>37</v>
          </cell>
        </row>
        <row r="849">
          <cell r="A849">
            <v>10880019042</v>
          </cell>
          <cell r="B849" t="str">
            <v>693-B2201I-PC 0011801424W</v>
          </cell>
          <cell r="C849">
            <v>10250034000</v>
          </cell>
          <cell r="D849" t="str">
            <v>1*2</v>
          </cell>
          <cell r="E849" t="str">
            <v>锡膏</v>
          </cell>
          <cell r="F849" t="str">
            <v>空调外机</v>
          </cell>
          <cell r="G849">
            <v>0.11212121212121212</v>
          </cell>
          <cell r="H849">
            <v>330</v>
          </cell>
          <cell r="I849">
            <v>37</v>
          </cell>
        </row>
        <row r="850">
          <cell r="A850">
            <v>10880021175</v>
          </cell>
          <cell r="B850" t="str">
            <v>693-B2201P-PC 0011801424N</v>
          </cell>
          <cell r="C850">
            <v>10250034000</v>
          </cell>
          <cell r="D850" t="str">
            <v>1*2</v>
          </cell>
          <cell r="E850" t="str">
            <v>锡膏</v>
          </cell>
          <cell r="F850" t="str">
            <v>空调外机</v>
          </cell>
          <cell r="G850">
            <v>0.11212121212121212</v>
          </cell>
          <cell r="H850">
            <v>330</v>
          </cell>
          <cell r="I850">
            <v>37</v>
          </cell>
        </row>
        <row r="851">
          <cell r="A851">
            <v>10880021173</v>
          </cell>
          <cell r="B851" t="str">
            <v>693-B2201Q-PC 0011801424K</v>
          </cell>
          <cell r="C851">
            <v>10250034000</v>
          </cell>
          <cell r="D851" t="str">
            <v>1*2</v>
          </cell>
          <cell r="E851" t="str">
            <v>锡膏</v>
          </cell>
          <cell r="F851" t="str">
            <v>空调外机</v>
          </cell>
          <cell r="G851">
            <v>0.11212121212121212</v>
          </cell>
          <cell r="H851">
            <v>330</v>
          </cell>
          <cell r="I851">
            <v>37</v>
          </cell>
        </row>
        <row r="852">
          <cell r="A852">
            <v>10880021172</v>
          </cell>
          <cell r="B852" t="str">
            <v>693-B2201S-PC 0011801424G</v>
          </cell>
          <cell r="C852">
            <v>10250034000</v>
          </cell>
          <cell r="D852" t="str">
            <v>1*2</v>
          </cell>
          <cell r="E852" t="str">
            <v>锡膏</v>
          </cell>
          <cell r="F852" t="str">
            <v>空调外机</v>
          </cell>
          <cell r="G852">
            <v>0.11212121212121212</v>
          </cell>
          <cell r="H852">
            <v>330</v>
          </cell>
          <cell r="I852">
            <v>37</v>
          </cell>
        </row>
        <row r="853">
          <cell r="A853">
            <v>10880021174</v>
          </cell>
          <cell r="B853" t="str">
            <v>693-B2201R-PC 0011801424L</v>
          </cell>
          <cell r="C853">
            <v>10250034000</v>
          </cell>
          <cell r="D853" t="str">
            <v>1*2</v>
          </cell>
          <cell r="E853" t="str">
            <v>锡膏</v>
          </cell>
          <cell r="F853" t="str">
            <v>空调外机</v>
          </cell>
          <cell r="G853">
            <v>0.11212121212121212</v>
          </cell>
          <cell r="H853">
            <v>330</v>
          </cell>
          <cell r="I853">
            <v>37</v>
          </cell>
        </row>
        <row r="854">
          <cell r="A854">
            <v>10880029156</v>
          </cell>
          <cell r="B854" t="str">
            <v xml:space="preserve">693-C2386A-PC 0011801424AP  </v>
          </cell>
          <cell r="C854">
            <v>10250034000</v>
          </cell>
          <cell r="D854" t="str">
            <v>1*2</v>
          </cell>
          <cell r="E854" t="str">
            <v>锡膏</v>
          </cell>
          <cell r="F854" t="str">
            <v>空调电控板</v>
          </cell>
          <cell r="G854">
            <v>0.11212121212121212</v>
          </cell>
          <cell r="H854">
            <v>330</v>
          </cell>
          <cell r="I854">
            <v>37</v>
          </cell>
        </row>
        <row r="855">
          <cell r="A855">
            <v>10880021344</v>
          </cell>
          <cell r="B855" t="str">
            <v>693-B2201T-PC-0011801424AA  </v>
          </cell>
          <cell r="C855">
            <v>10250034000</v>
          </cell>
          <cell r="D855" t="str">
            <v>1*2</v>
          </cell>
          <cell r="E855" t="str">
            <v>锡膏</v>
          </cell>
          <cell r="F855" t="str">
            <v>空调电控板</v>
          </cell>
          <cell r="G855">
            <v>0.11212121212121212</v>
          </cell>
          <cell r="H855">
            <v>330</v>
          </cell>
          <cell r="I855">
            <v>37</v>
          </cell>
        </row>
        <row r="856">
          <cell r="A856">
            <v>10880021345</v>
          </cell>
          <cell r="B856" t="str">
            <v xml:space="preserve"> 693-B2201U-PC-0011801424AB  </v>
          </cell>
          <cell r="C856">
            <v>10250034000</v>
          </cell>
          <cell r="D856" t="str">
            <v>1*2</v>
          </cell>
          <cell r="E856" t="str">
            <v>锡膏</v>
          </cell>
          <cell r="F856" t="str">
            <v>空调电控板</v>
          </cell>
          <cell r="G856">
            <v>0.11212121212121212</v>
          </cell>
          <cell r="H856">
            <v>330</v>
          </cell>
          <cell r="I856">
            <v>37</v>
          </cell>
        </row>
        <row r="857">
          <cell r="A857">
            <v>10880030920</v>
          </cell>
          <cell r="B857" t="str">
            <v>693-B23G9A-PC 0011801424AT</v>
          </cell>
          <cell r="C857">
            <v>10250034000</v>
          </cell>
          <cell r="D857" t="str">
            <v>1*2</v>
          </cell>
          <cell r="E857" t="str">
            <v>锡膏</v>
          </cell>
          <cell r="F857" t="str">
            <v>空调电控板</v>
          </cell>
          <cell r="G857">
            <v>0.11212121212121212</v>
          </cell>
          <cell r="H857">
            <v>330</v>
          </cell>
          <cell r="I857">
            <v>37</v>
          </cell>
        </row>
        <row r="858">
          <cell r="A858">
            <v>10880030734</v>
          </cell>
          <cell r="B858" t="str">
            <v>693-C23H4A-PC 0011801424AW</v>
          </cell>
          <cell r="C858">
            <v>10250034000</v>
          </cell>
          <cell r="D858" t="str">
            <v>1*2</v>
          </cell>
          <cell r="E858" t="str">
            <v>锡膏</v>
          </cell>
          <cell r="F858" t="str">
            <v>空调电控板</v>
          </cell>
          <cell r="G858">
            <v>0.11212121212121212</v>
          </cell>
          <cell r="H858">
            <v>330</v>
          </cell>
          <cell r="I858">
            <v>37</v>
          </cell>
        </row>
        <row r="859">
          <cell r="A859">
            <v>10880030738</v>
          </cell>
          <cell r="B859" t="str">
            <v>693-C23H4B-PC  0011801424AZ</v>
          </cell>
          <cell r="C859">
            <v>10250034000</v>
          </cell>
          <cell r="D859" t="str">
            <v>1*2</v>
          </cell>
          <cell r="E859" t="str">
            <v>锡膏</v>
          </cell>
          <cell r="F859" t="str">
            <v>空调电控板</v>
          </cell>
          <cell r="G859">
            <v>0.11212121212121212</v>
          </cell>
          <cell r="H859">
            <v>330</v>
          </cell>
          <cell r="I859">
            <v>37</v>
          </cell>
        </row>
        <row r="860">
          <cell r="A860">
            <v>10880030742</v>
          </cell>
          <cell r="B860" t="str">
            <v>693-C23H4C-PC  0011801424AX</v>
          </cell>
          <cell r="C860">
            <v>10250034000</v>
          </cell>
          <cell r="D860" t="str">
            <v>1*2</v>
          </cell>
          <cell r="E860" t="str">
            <v>锡膏</v>
          </cell>
          <cell r="F860" t="str">
            <v>空调电控板</v>
          </cell>
          <cell r="G860">
            <v>0.11212121212121212</v>
          </cell>
          <cell r="H860">
            <v>330</v>
          </cell>
          <cell r="I860">
            <v>37</v>
          </cell>
        </row>
        <row r="861">
          <cell r="A861">
            <v>10880031135</v>
          </cell>
          <cell r="B861" t="str">
            <v xml:space="preserve">693-B23G9B-PC  0011801424AV  </v>
          </cell>
          <cell r="C861">
            <v>10250034000</v>
          </cell>
          <cell r="D861" t="str">
            <v>1*2</v>
          </cell>
          <cell r="E861" t="str">
            <v>锡膏</v>
          </cell>
          <cell r="F861" t="str">
            <v>空调电控板</v>
          </cell>
          <cell r="G861">
            <v>0.11212121212121212</v>
          </cell>
          <cell r="H861">
            <v>330</v>
          </cell>
          <cell r="I861">
            <v>37</v>
          </cell>
        </row>
        <row r="862">
          <cell r="A862">
            <v>10880031317</v>
          </cell>
          <cell r="B862" t="str">
            <v>693-C23H4D-PC  0011801424BA</v>
          </cell>
          <cell r="C862">
            <v>10250034000</v>
          </cell>
          <cell r="D862" t="str">
            <v>1*2</v>
          </cell>
          <cell r="E862" t="str">
            <v>锡膏</v>
          </cell>
          <cell r="F862" t="str">
            <v>空调电控板</v>
          </cell>
          <cell r="G862">
            <v>0.11212121212121212</v>
          </cell>
          <cell r="H862">
            <v>330</v>
          </cell>
          <cell r="I862">
            <v>37</v>
          </cell>
        </row>
        <row r="863">
          <cell r="A863">
            <v>10880033273</v>
          </cell>
          <cell r="B863" t="str">
            <v>500323-C2492A-PC 0011801424BG</v>
          </cell>
          <cell r="C863">
            <v>10250034000</v>
          </cell>
          <cell r="D863" t="str">
            <v>1*2</v>
          </cell>
          <cell r="E863" t="str">
            <v>锡膏</v>
          </cell>
          <cell r="F863" t="str">
            <v>空调电控板</v>
          </cell>
          <cell r="G863">
            <v>0.11212121212121212</v>
          </cell>
          <cell r="H863">
            <v>330</v>
          </cell>
          <cell r="I863">
            <v>37</v>
          </cell>
        </row>
        <row r="864">
          <cell r="A864">
            <v>10880031136</v>
          </cell>
          <cell r="B864" t="str">
            <v xml:space="preserve">693-B23G9C-PC  0011801424AY </v>
          </cell>
          <cell r="C864" t="str">
            <v>10250042240/10250042281</v>
          </cell>
          <cell r="D864" t="str">
            <v>1*2</v>
          </cell>
          <cell r="E864" t="str">
            <v>锡膏</v>
          </cell>
          <cell r="F864" t="str">
            <v>空调电控板</v>
          </cell>
          <cell r="G864">
            <v>0.11212121212121212</v>
          </cell>
          <cell r="H864">
            <v>330</v>
          </cell>
          <cell r="I864">
            <v>37</v>
          </cell>
        </row>
        <row r="865">
          <cell r="A865">
            <v>10880012825</v>
          </cell>
          <cell r="B865" t="str">
            <v>693-C20015A 0011800977B--977B小板</v>
          </cell>
          <cell r="C865" t="str">
            <v>10250031918/10250031917</v>
          </cell>
          <cell r="D865" t="str">
            <v>1*2</v>
          </cell>
          <cell r="E865" t="str">
            <v>锡膏</v>
          </cell>
          <cell r="F865" t="str">
            <v>空调内机</v>
          </cell>
          <cell r="G865">
            <v>6.4500000000000002E-2</v>
          </cell>
          <cell r="H865">
            <v>500</v>
          </cell>
          <cell r="I865">
            <v>30</v>
          </cell>
        </row>
        <row r="866">
          <cell r="H866">
            <v>2000</v>
          </cell>
          <cell r="I866">
            <v>9</v>
          </cell>
        </row>
        <row r="867">
          <cell r="A867">
            <v>10400014144</v>
          </cell>
          <cell r="B867" t="str">
            <v>693-C20015A-K</v>
          </cell>
          <cell r="C867">
            <v>10250024231</v>
          </cell>
          <cell r="D867" t="str">
            <v>1*50</v>
          </cell>
          <cell r="E867" t="str">
            <v>无SMT</v>
          </cell>
          <cell r="F867" t="str">
            <v>空调内机按键板</v>
          </cell>
          <cell r="G867">
            <v>4.4999999999999997E-3</v>
          </cell>
          <cell r="H867">
            <v>2000</v>
          </cell>
          <cell r="I867">
            <v>9</v>
          </cell>
        </row>
        <row r="868">
          <cell r="A868">
            <v>10880013354</v>
          </cell>
          <cell r="B868" t="str">
            <v>693-C20033A 0011800977C--977B小板</v>
          </cell>
          <cell r="C868" t="str">
            <v>10250031918/10250031917</v>
          </cell>
          <cell r="D868" t="str">
            <v>1*2</v>
          </cell>
          <cell r="E868" t="str">
            <v>锡膏</v>
          </cell>
          <cell r="F868" t="str">
            <v>空调内机</v>
          </cell>
          <cell r="G868">
            <v>6.4500000000000002E-2</v>
          </cell>
          <cell r="H868">
            <v>500</v>
          </cell>
          <cell r="I868">
            <v>30</v>
          </cell>
        </row>
        <row r="869">
          <cell r="H869">
            <v>2000</v>
          </cell>
          <cell r="I869">
            <v>9</v>
          </cell>
        </row>
        <row r="870">
          <cell r="A870">
            <v>10880037368</v>
          </cell>
          <cell r="B870" t="str">
            <v xml:space="preserve">600766-A2506A-PC G0044 0011800977HHR  </v>
          </cell>
          <cell r="C870" t="str">
            <v xml:space="preserve"> 10250042276/ 10250042277</v>
          </cell>
          <cell r="D870" t="str">
            <v>1*2</v>
          </cell>
          <cell r="E870" t="str">
            <v>锡膏</v>
          </cell>
          <cell r="F870" t="str">
            <v>空调内机</v>
          </cell>
          <cell r="G870">
            <v>6.8055555555555564E-2</v>
          </cell>
          <cell r="H870">
            <v>500</v>
          </cell>
          <cell r="I870">
            <v>31</v>
          </cell>
        </row>
        <row r="871">
          <cell r="H871">
            <v>2000</v>
          </cell>
          <cell r="I871">
            <v>9</v>
          </cell>
        </row>
        <row r="872">
          <cell r="A872">
            <v>10880037369</v>
          </cell>
          <cell r="B872" t="str">
            <v xml:space="preserve"> 600766-A2506B-PC G0044 0011800977JHR  </v>
          </cell>
          <cell r="C872" t="str">
            <v xml:space="preserve"> 10250042276/ 10250042277</v>
          </cell>
          <cell r="D872" t="str">
            <v>1*2</v>
          </cell>
          <cell r="E872" t="str">
            <v>锡膏</v>
          </cell>
          <cell r="F872" t="str">
            <v>空调内机</v>
          </cell>
          <cell r="G872">
            <v>6.8055555555555564E-2</v>
          </cell>
          <cell r="H872">
            <v>500</v>
          </cell>
          <cell r="I872">
            <v>31</v>
          </cell>
        </row>
        <row r="873">
          <cell r="H873">
            <v>2000</v>
          </cell>
          <cell r="I873">
            <v>9</v>
          </cell>
        </row>
        <row r="874">
          <cell r="A874">
            <v>10880034093</v>
          </cell>
          <cell r="B874" t="str">
            <v>500323-C24L7A-PC 0011800977AA</v>
          </cell>
          <cell r="C874" t="str">
            <v>10250042276/10250042277</v>
          </cell>
          <cell r="D874" t="str">
            <v>1*2</v>
          </cell>
          <cell r="E874" t="str">
            <v>锡膏</v>
          </cell>
          <cell r="F874" t="str">
            <v>空调内机</v>
          </cell>
          <cell r="G874">
            <v>6.4500000000000002E-2</v>
          </cell>
          <cell r="H874">
            <v>500</v>
          </cell>
          <cell r="I874">
            <v>30</v>
          </cell>
        </row>
        <row r="875">
          <cell r="H875">
            <v>2000</v>
          </cell>
          <cell r="I875">
            <v>9</v>
          </cell>
        </row>
        <row r="876">
          <cell r="A876">
            <v>10880028929</v>
          </cell>
          <cell r="B876" t="str">
            <v>693-C2358A-PC 0011800977J  --977B小板</v>
          </cell>
          <cell r="C876" t="str">
            <v>10250031918/10250031917</v>
          </cell>
          <cell r="D876" t="str">
            <v>1*2</v>
          </cell>
          <cell r="E876" t="str">
            <v>锡膏</v>
          </cell>
          <cell r="F876" t="str">
            <v>空调内机</v>
          </cell>
          <cell r="G876">
            <v>6.4500000000000002E-2</v>
          </cell>
          <cell r="H876">
            <v>500</v>
          </cell>
          <cell r="I876">
            <v>30</v>
          </cell>
        </row>
        <row r="877">
          <cell r="H877">
            <v>2000</v>
          </cell>
          <cell r="I877">
            <v>9</v>
          </cell>
        </row>
        <row r="878">
          <cell r="A878">
            <v>10880019434</v>
          </cell>
          <cell r="B878" t="str">
            <v>693-B2209A-PC-0011801425N</v>
          </cell>
          <cell r="C878" t="str">
            <v>10250032040/10250032036</v>
          </cell>
          <cell r="D878" t="str">
            <v>1*2</v>
          </cell>
          <cell r="E878" t="str">
            <v>锡膏</v>
          </cell>
          <cell r="F878" t="str">
            <v>空调外机</v>
          </cell>
          <cell r="G878">
            <v>0.10625</v>
          </cell>
          <cell r="H878">
            <v>320</v>
          </cell>
          <cell r="I878">
            <v>34</v>
          </cell>
        </row>
        <row r="879">
          <cell r="A879">
            <v>10880020192</v>
          </cell>
          <cell r="B879" t="str">
            <v>693-B2209L-PC-0011801425F</v>
          </cell>
          <cell r="C879" t="str">
            <v>10250032063/10250032040</v>
          </cell>
          <cell r="D879" t="str">
            <v>1*2</v>
          </cell>
          <cell r="E879" t="str">
            <v>锡膏</v>
          </cell>
          <cell r="F879" t="str">
            <v>空调外机</v>
          </cell>
          <cell r="G879">
            <v>0.10625</v>
          </cell>
          <cell r="H879">
            <v>320</v>
          </cell>
          <cell r="I879">
            <v>34</v>
          </cell>
        </row>
        <row r="880">
          <cell r="A880">
            <v>10880020187</v>
          </cell>
          <cell r="B880" t="str">
            <v>693-B2209J-PC-0011801425D</v>
          </cell>
          <cell r="C880" t="str">
            <v>10250032063/10250032040</v>
          </cell>
          <cell r="D880" t="str">
            <v>1*2</v>
          </cell>
          <cell r="E880" t="str">
            <v>锡膏</v>
          </cell>
          <cell r="F880" t="str">
            <v>空调外机</v>
          </cell>
          <cell r="G880">
            <v>0.10625</v>
          </cell>
          <cell r="H880">
            <v>320</v>
          </cell>
          <cell r="I880">
            <v>34</v>
          </cell>
        </row>
        <row r="881">
          <cell r="A881">
            <v>10880019205</v>
          </cell>
          <cell r="B881" t="str">
            <v>693-B2209B-PC-0011801425P</v>
          </cell>
          <cell r="C881" t="str">
            <v>10250032040/10250032036</v>
          </cell>
          <cell r="D881" t="str">
            <v>1*2</v>
          </cell>
          <cell r="E881" t="str">
            <v>锡膏</v>
          </cell>
          <cell r="F881" t="str">
            <v>空调外机</v>
          </cell>
          <cell r="G881">
            <v>0.10625</v>
          </cell>
          <cell r="H881">
            <v>320</v>
          </cell>
          <cell r="I881">
            <v>34</v>
          </cell>
        </row>
        <row r="882">
          <cell r="A882">
            <v>10880020157</v>
          </cell>
          <cell r="B882" t="str">
            <v>693-B2209I-PC-0011801425T</v>
          </cell>
          <cell r="C882" t="str">
            <v>10250032040/10250032036</v>
          </cell>
          <cell r="D882" t="str">
            <v>1*2</v>
          </cell>
          <cell r="E882" t="str">
            <v>锡膏</v>
          </cell>
          <cell r="F882" t="str">
            <v>空调外机</v>
          </cell>
          <cell r="G882">
            <v>0.10625</v>
          </cell>
          <cell r="H882">
            <v>320</v>
          </cell>
          <cell r="I882">
            <v>34</v>
          </cell>
        </row>
        <row r="883">
          <cell r="A883">
            <v>10880027957</v>
          </cell>
          <cell r="B883" t="str">
            <v xml:space="preserve">693-C2318A-PC 0011801425W  </v>
          </cell>
          <cell r="C883">
            <v>10250034005</v>
          </cell>
          <cell r="D883" t="str">
            <v>1*2</v>
          </cell>
          <cell r="E883" t="str">
            <v>锡膏</v>
          </cell>
          <cell r="F883" t="str">
            <v>空调电控板</v>
          </cell>
          <cell r="G883">
            <v>0.10625</v>
          </cell>
          <cell r="H883">
            <v>320</v>
          </cell>
          <cell r="I883">
            <v>34</v>
          </cell>
        </row>
        <row r="884">
          <cell r="A884">
            <v>10880027958</v>
          </cell>
          <cell r="B884" t="str">
            <v xml:space="preserve"> 693-C2318B-PC 0011801425X  </v>
          </cell>
          <cell r="C884">
            <v>10250034005</v>
          </cell>
          <cell r="D884" t="str">
            <v>1*2</v>
          </cell>
          <cell r="E884" t="str">
            <v>锡膏</v>
          </cell>
          <cell r="F884" t="str">
            <v>空调电控板</v>
          </cell>
          <cell r="G884">
            <v>0.10625</v>
          </cell>
          <cell r="H884">
            <v>320</v>
          </cell>
          <cell r="I884">
            <v>34</v>
          </cell>
        </row>
        <row r="885">
          <cell r="A885">
            <v>10880033216</v>
          </cell>
          <cell r="B885" t="str">
            <v>500323-C2489A-PC 0011801425AA</v>
          </cell>
          <cell r="C885">
            <v>10250034005</v>
          </cell>
          <cell r="D885" t="str">
            <v>1*2</v>
          </cell>
          <cell r="E885" t="str">
            <v>锡膏</v>
          </cell>
          <cell r="F885" t="str">
            <v>空调电控板</v>
          </cell>
          <cell r="G885">
            <v>0.10625</v>
          </cell>
          <cell r="H885">
            <v>320</v>
          </cell>
          <cell r="I885">
            <v>34</v>
          </cell>
        </row>
        <row r="886">
          <cell r="A886">
            <v>10880019918</v>
          </cell>
          <cell r="B886" t="str">
            <v xml:space="preserve"> 693-A2210A-PC 0011801372  </v>
          </cell>
          <cell r="C886" t="str">
            <v>10250032011/10250032012</v>
          </cell>
          <cell r="D886" t="str">
            <v>1*2</v>
          </cell>
          <cell r="E886" t="str">
            <v>锡膏</v>
          </cell>
          <cell r="F886" t="str">
            <v>空调外机</v>
          </cell>
          <cell r="G886">
            <v>0.1</v>
          </cell>
          <cell r="H886">
            <v>350</v>
          </cell>
          <cell r="I886">
            <v>35</v>
          </cell>
        </row>
        <row r="887">
          <cell r="A887">
            <v>10880020208</v>
          </cell>
          <cell r="B887" t="str">
            <v>693-A2210B-PC 0011801372A</v>
          </cell>
          <cell r="C887" t="str">
            <v>10250032011/10250032012</v>
          </cell>
          <cell r="D887" t="str">
            <v>1*2</v>
          </cell>
          <cell r="E887" t="str">
            <v>锡膏</v>
          </cell>
          <cell r="F887" t="str">
            <v>空调外机</v>
          </cell>
          <cell r="G887">
            <v>0.1</v>
          </cell>
          <cell r="H887">
            <v>350</v>
          </cell>
          <cell r="I887">
            <v>35</v>
          </cell>
        </row>
        <row r="888">
          <cell r="A888">
            <v>10880020209</v>
          </cell>
          <cell r="B888" t="str">
            <v>693-A2210C-PC 0011801372F</v>
          </cell>
          <cell r="C888" t="str">
            <v>10250032011/10250032012</v>
          </cell>
          <cell r="D888" t="str">
            <v>1*2</v>
          </cell>
          <cell r="E888" t="str">
            <v>锡膏</v>
          </cell>
          <cell r="F888" t="str">
            <v>空调外机</v>
          </cell>
          <cell r="G888">
            <v>0.1</v>
          </cell>
          <cell r="H888">
            <v>350</v>
          </cell>
          <cell r="I888">
            <v>35</v>
          </cell>
        </row>
        <row r="889">
          <cell r="A889">
            <v>10880020678</v>
          </cell>
          <cell r="B889" t="str">
            <v>693-A2210D-PC 0011801372C</v>
          </cell>
          <cell r="C889" t="str">
            <v>10250032011/10250032012</v>
          </cell>
          <cell r="D889" t="str">
            <v>1*2</v>
          </cell>
          <cell r="E889" t="str">
            <v>锡膏</v>
          </cell>
          <cell r="F889" t="str">
            <v>空调外机</v>
          </cell>
          <cell r="G889">
            <v>0.1</v>
          </cell>
          <cell r="H889">
            <v>350</v>
          </cell>
          <cell r="I889">
            <v>35</v>
          </cell>
        </row>
        <row r="890">
          <cell r="A890">
            <v>10880020677</v>
          </cell>
          <cell r="B890" t="str">
            <v>693-A2210E-PC 0011801372B</v>
          </cell>
          <cell r="C890" t="str">
            <v>10250032011/10250032012</v>
          </cell>
          <cell r="D890" t="str">
            <v>1*2</v>
          </cell>
          <cell r="E890" t="str">
            <v>锡膏</v>
          </cell>
          <cell r="F890" t="str">
            <v>空调外机</v>
          </cell>
          <cell r="G890">
            <v>0.1</v>
          </cell>
          <cell r="H890">
            <v>350</v>
          </cell>
          <cell r="I890">
            <v>35</v>
          </cell>
        </row>
        <row r="891">
          <cell r="A891">
            <v>10880020681</v>
          </cell>
          <cell r="B891" t="str">
            <v>693-A2210F-PC 0011801372D</v>
          </cell>
          <cell r="C891" t="str">
            <v>10250032011/10250032012</v>
          </cell>
          <cell r="D891" t="str">
            <v>1*2</v>
          </cell>
          <cell r="E891" t="str">
            <v>锡膏</v>
          </cell>
          <cell r="F891" t="str">
            <v>空调外机</v>
          </cell>
          <cell r="G891">
            <v>0.1</v>
          </cell>
          <cell r="H891">
            <v>350</v>
          </cell>
          <cell r="I891">
            <v>35</v>
          </cell>
        </row>
        <row r="892">
          <cell r="A892">
            <v>10880020940</v>
          </cell>
          <cell r="B892" t="str">
            <v>693-A2210G-PC 0011801372G</v>
          </cell>
          <cell r="C892" t="str">
            <v>10250032011/10250032012</v>
          </cell>
          <cell r="D892" t="str">
            <v>1*2</v>
          </cell>
          <cell r="E892" t="str">
            <v>锡膏</v>
          </cell>
          <cell r="F892" t="str">
            <v>空调外机</v>
          </cell>
          <cell r="G892">
            <v>0.1</v>
          </cell>
          <cell r="H892">
            <v>350</v>
          </cell>
          <cell r="I892">
            <v>35</v>
          </cell>
        </row>
        <row r="893">
          <cell r="A893">
            <v>10880021029</v>
          </cell>
          <cell r="B893" t="str">
            <v>693-C2260A-PC 0011801256B</v>
          </cell>
          <cell r="C893" t="str">
            <v>10250033444/10250033445</v>
          </cell>
          <cell r="D893" t="str">
            <v>1*2</v>
          </cell>
          <cell r="E893" t="str">
            <v>锡膏</v>
          </cell>
          <cell r="F893" t="str">
            <v>空调内机</v>
          </cell>
          <cell r="G893">
            <v>5.7999999999999996E-2</v>
          </cell>
          <cell r="H893">
            <v>500</v>
          </cell>
          <cell r="I893">
            <v>29</v>
          </cell>
        </row>
        <row r="894">
          <cell r="A894">
            <v>10880021311</v>
          </cell>
          <cell r="B894" t="str">
            <v>693-C2260B-PC 0011801256L</v>
          </cell>
          <cell r="C894" t="str">
            <v>10250033444/10250033445</v>
          </cell>
          <cell r="D894" t="str">
            <v>1*2</v>
          </cell>
          <cell r="E894" t="str">
            <v>锡膏</v>
          </cell>
          <cell r="F894" t="str">
            <v>空调内机</v>
          </cell>
          <cell r="G894">
            <v>5.7999999999999996E-2</v>
          </cell>
          <cell r="H894">
            <v>500</v>
          </cell>
          <cell r="I894">
            <v>29</v>
          </cell>
        </row>
        <row r="895">
          <cell r="A895">
            <v>10880021318</v>
          </cell>
          <cell r="B895" t="str">
            <v>693-C2260C-PC 0011801256M</v>
          </cell>
          <cell r="C895" t="str">
            <v>10250033444/10250033445</v>
          </cell>
          <cell r="D895" t="str">
            <v>1*2</v>
          </cell>
          <cell r="E895" t="str">
            <v>锡膏</v>
          </cell>
          <cell r="F895" t="str">
            <v>空调内机</v>
          </cell>
          <cell r="G895">
            <v>5.7999999999999996E-2</v>
          </cell>
          <cell r="H895">
            <v>500</v>
          </cell>
          <cell r="I895">
            <v>29</v>
          </cell>
        </row>
        <row r="896">
          <cell r="A896">
            <v>10880021416</v>
          </cell>
          <cell r="B896" t="str">
            <v>693-C2260D-PC 0011801256R</v>
          </cell>
          <cell r="C896" t="str">
            <v>10250034959/10250034958</v>
          </cell>
          <cell r="D896" t="str">
            <v>1*2</v>
          </cell>
          <cell r="E896" t="str">
            <v>锡膏</v>
          </cell>
          <cell r="F896" t="str">
            <v>空调电控板</v>
          </cell>
          <cell r="G896">
            <v>0.06</v>
          </cell>
          <cell r="H896">
            <v>500</v>
          </cell>
          <cell r="I896">
            <v>30</v>
          </cell>
        </row>
        <row r="897">
          <cell r="A897">
            <v>10880028346</v>
          </cell>
          <cell r="B897" t="str">
            <v xml:space="preserve">693-C2342A-PC 0011801256S  </v>
          </cell>
          <cell r="C897" t="str">
            <v>10250034959/10250034958</v>
          </cell>
          <cell r="D897" t="str">
            <v>1*2</v>
          </cell>
          <cell r="E897" t="str">
            <v>锡膏</v>
          </cell>
          <cell r="F897" t="str">
            <v>空调电控板</v>
          </cell>
          <cell r="G897">
            <v>0.06</v>
          </cell>
          <cell r="H897">
            <v>500</v>
          </cell>
          <cell r="I897">
            <v>30</v>
          </cell>
        </row>
        <row r="898">
          <cell r="A898">
            <v>10880018105</v>
          </cell>
          <cell r="B898" t="str">
            <v>693-A2169A-D 0021800442</v>
          </cell>
          <cell r="C898">
            <v>10250029331</v>
          </cell>
          <cell r="D898" t="str">
            <v>1*3</v>
          </cell>
          <cell r="E898" t="str">
            <v>锡膏</v>
          </cell>
          <cell r="F898" t="str">
            <v>442海尔滚筒洗衣机</v>
          </cell>
          <cell r="G898">
            <v>4.1333333333333333E-2</v>
          </cell>
          <cell r="H898">
            <v>750</v>
          </cell>
          <cell r="I898">
            <v>31</v>
          </cell>
        </row>
        <row r="899">
          <cell r="A899">
            <v>10880022044</v>
          </cell>
          <cell r="B899" t="str">
            <v xml:space="preserve">693-B2286A-D 0021800442G  </v>
          </cell>
          <cell r="C899">
            <v>10250029331</v>
          </cell>
          <cell r="D899" t="str">
            <v>1*3</v>
          </cell>
          <cell r="E899" t="str">
            <v>锡膏</v>
          </cell>
          <cell r="F899" t="str">
            <v>洗衣机442G显示板</v>
          </cell>
          <cell r="G899">
            <v>4.3999999999999997E-2</v>
          </cell>
          <cell r="H899">
            <v>750</v>
          </cell>
          <cell r="I899">
            <v>33</v>
          </cell>
        </row>
        <row r="900">
          <cell r="A900">
            <v>10880022123</v>
          </cell>
          <cell r="B900" t="str">
            <v xml:space="preserve">693-B2286B-D 0021800442A  </v>
          </cell>
          <cell r="C900">
            <v>10250029331</v>
          </cell>
          <cell r="D900" t="str">
            <v>1*3</v>
          </cell>
          <cell r="E900" t="str">
            <v>锡膏</v>
          </cell>
          <cell r="F900" t="str">
            <v>洗衣机442A显示板</v>
          </cell>
          <cell r="G900">
            <v>4.5333333333333337E-2</v>
          </cell>
          <cell r="H900">
            <v>750</v>
          </cell>
          <cell r="I900">
            <v>35</v>
          </cell>
        </row>
        <row r="901">
          <cell r="A901">
            <v>10880029837</v>
          </cell>
          <cell r="B901" t="str">
            <v xml:space="preserve">693-B2286C-D 0021800442GA  </v>
          </cell>
          <cell r="C901">
            <v>10250029331</v>
          </cell>
          <cell r="D901" t="str">
            <v>1*3</v>
          </cell>
          <cell r="E901" t="str">
            <v>锡膏</v>
          </cell>
          <cell r="F901" t="str">
            <v>干衣机442GA显示板</v>
          </cell>
          <cell r="G901">
            <v>4.5333333333333337E-2</v>
          </cell>
          <cell r="H901">
            <v>750</v>
          </cell>
          <cell r="I901">
            <v>34</v>
          </cell>
        </row>
        <row r="902">
          <cell r="A902">
            <v>10880030243</v>
          </cell>
          <cell r="B902" t="str">
            <v xml:space="preserve">693-B2286D-D 0021800442GB  </v>
          </cell>
          <cell r="C902">
            <v>10250029331</v>
          </cell>
          <cell r="D902" t="str">
            <v>1*3</v>
          </cell>
          <cell r="E902" t="str">
            <v>锡膏</v>
          </cell>
          <cell r="F902" t="str">
            <v>干衣机442GB显示板</v>
          </cell>
          <cell r="G902">
            <v>4.5333333333333337E-2</v>
          </cell>
          <cell r="H902">
            <v>750</v>
          </cell>
          <cell r="I902">
            <v>34</v>
          </cell>
        </row>
        <row r="903">
          <cell r="A903">
            <v>10400014723</v>
          </cell>
          <cell r="B903" t="str">
            <v>693-C20023A-O2</v>
          </cell>
          <cell r="C903" t="str">
            <v>10250023415/ 10250021023</v>
          </cell>
          <cell r="D903" t="str">
            <v>1*80</v>
          </cell>
          <cell r="E903" t="str">
            <v>锡膏</v>
          </cell>
          <cell r="F903" t="str">
            <v>控制转接板</v>
          </cell>
          <cell r="G903" t="e">
            <v>#VALUE!</v>
          </cell>
          <cell r="H903">
            <v>144</v>
          </cell>
          <cell r="I903" t="str">
            <v>NA</v>
          </cell>
        </row>
        <row r="904">
          <cell r="A904">
            <v>10400014716</v>
          </cell>
          <cell r="B904" t="str">
            <v>693-C20023A-O1</v>
          </cell>
          <cell r="C904" t="str">
            <v>10250014265/ 10250024267</v>
          </cell>
          <cell r="D904" t="str">
            <v>1*30</v>
          </cell>
          <cell r="E904" t="str">
            <v>锡膏</v>
          </cell>
          <cell r="F904" t="str">
            <v>显示转接板</v>
          </cell>
          <cell r="G904" t="e">
            <v>#VALUE!</v>
          </cell>
          <cell r="H904">
            <v>144</v>
          </cell>
          <cell r="I904" t="str">
            <v>NA</v>
          </cell>
        </row>
        <row r="905">
          <cell r="A905">
            <v>10880015829</v>
          </cell>
          <cell r="B905" t="str">
            <v>693-C2157B-D  0190400001H</v>
          </cell>
          <cell r="C905" t="str">
            <v>10250026201/ 10250026203</v>
          </cell>
          <cell r="D905" t="str">
            <v>1*4</v>
          </cell>
          <cell r="E905" t="str">
            <v>锡膏</v>
          </cell>
          <cell r="F905" t="str">
            <v>卡萨帝云鲸500G衍生品显示器</v>
          </cell>
          <cell r="G905">
            <v>8.666666666666667E-2</v>
          </cell>
          <cell r="H905">
            <v>300</v>
          </cell>
          <cell r="I905">
            <v>26</v>
          </cell>
        </row>
        <row r="906">
          <cell r="A906">
            <v>10880012988</v>
          </cell>
          <cell r="B906" t="str">
            <v>693-C20023D-D 0190400001C</v>
          </cell>
          <cell r="C906" t="str">
            <v>10250026201/10250026203</v>
          </cell>
          <cell r="D906" t="str">
            <v>1*4</v>
          </cell>
          <cell r="E906" t="str">
            <v>锡膏</v>
          </cell>
          <cell r="F906" t="str">
            <v>净水器600G显示器</v>
          </cell>
          <cell r="G906">
            <v>8.666666666666667E-2</v>
          </cell>
          <cell r="H906">
            <v>300</v>
          </cell>
          <cell r="I906">
            <v>26</v>
          </cell>
        </row>
        <row r="907">
          <cell r="A907">
            <v>10880015830</v>
          </cell>
          <cell r="B907" t="str">
            <v>693-C2157B-C  0190400002H</v>
          </cell>
          <cell r="C907" t="str">
            <v>10250024268/ 10250024269</v>
          </cell>
          <cell r="D907" t="str">
            <v>1*4</v>
          </cell>
          <cell r="E907" t="str">
            <v>锡膏</v>
          </cell>
          <cell r="F907" t="str">
            <v>卡萨帝云鲸500G衍生品控制器</v>
          </cell>
          <cell r="G907">
            <v>5.6388888888888884E-2</v>
          </cell>
          <cell r="H907">
            <v>600</v>
          </cell>
          <cell r="I907">
            <v>29</v>
          </cell>
        </row>
        <row r="908">
          <cell r="A908">
            <v>10880020557</v>
          </cell>
          <cell r="B908" t="str">
            <v>1323-B2207A-P 0011800951B</v>
          </cell>
          <cell r="C908" t="str">
            <v>10250031126 /10250031602</v>
          </cell>
          <cell r="D908" t="str">
            <v>1*3</v>
          </cell>
          <cell r="E908" t="str">
            <v>锡膏</v>
          </cell>
          <cell r="F908" t="str">
            <v>空调电源板</v>
          </cell>
          <cell r="G908">
            <v>4.1428571428571426E-2</v>
          </cell>
          <cell r="H908">
            <v>700</v>
          </cell>
          <cell r="I908">
            <v>29</v>
          </cell>
        </row>
        <row r="909">
          <cell r="A909">
            <v>10880020654</v>
          </cell>
          <cell r="B909" t="str">
            <v>1323-B2207A-L 0011800950G</v>
          </cell>
          <cell r="C909">
            <v>10250029130</v>
          </cell>
          <cell r="D909" t="str">
            <v>1*2</v>
          </cell>
          <cell r="E909" t="str">
            <v>锡膏</v>
          </cell>
          <cell r="F909" t="str">
            <v>海尔空调除湿显示板</v>
          </cell>
          <cell r="G909">
            <v>3.8666666666666669E-2</v>
          </cell>
          <cell r="H909">
            <v>750</v>
          </cell>
          <cell r="I909">
            <v>29</v>
          </cell>
        </row>
        <row r="910">
          <cell r="A910">
            <v>10880020555</v>
          </cell>
          <cell r="B910" t="str">
            <v>1323-B2207A-D 0011800950F</v>
          </cell>
          <cell r="C910">
            <v>10250029130</v>
          </cell>
          <cell r="D910" t="str">
            <v>1*2</v>
          </cell>
          <cell r="E910" t="str">
            <v>锡膏</v>
          </cell>
          <cell r="F910" t="str">
            <v>海尔空调除湿显示板</v>
          </cell>
          <cell r="G910">
            <v>3.8666666666666669E-2</v>
          </cell>
          <cell r="H910">
            <v>750</v>
          </cell>
          <cell r="I910">
            <v>29</v>
          </cell>
        </row>
        <row r="911">
          <cell r="A911">
            <v>10880035381</v>
          </cell>
          <cell r="B911" t="str">
            <v xml:space="preserve">1911-C2302D-PC G0044 0011800951B  </v>
          </cell>
          <cell r="C911" t="str">
            <v>10250031126 /10250031602</v>
          </cell>
          <cell r="D911" t="str">
            <v>1*3</v>
          </cell>
          <cell r="E911" t="str">
            <v>锡膏</v>
          </cell>
          <cell r="F911" t="str">
            <v>空调电源板</v>
          </cell>
          <cell r="G911">
            <v>3.8666666666666662E-2</v>
          </cell>
          <cell r="H911">
            <v>750</v>
          </cell>
          <cell r="I911">
            <v>29</v>
          </cell>
        </row>
        <row r="912">
          <cell r="A912">
            <v>10880035379</v>
          </cell>
          <cell r="B912" t="str">
            <v>1911-C2302C-D G0044 0011800950G</v>
          </cell>
          <cell r="C912">
            <v>10250029130</v>
          </cell>
          <cell r="D912" t="str">
            <v>1*2</v>
          </cell>
          <cell r="E912" t="str">
            <v>锡膏</v>
          </cell>
          <cell r="F912" t="str">
            <v>海尔空调除湿显示板</v>
          </cell>
          <cell r="G912">
            <v>3.8666666666666669E-2</v>
          </cell>
          <cell r="H912">
            <v>750</v>
          </cell>
          <cell r="I912">
            <v>29</v>
          </cell>
        </row>
        <row r="913">
          <cell r="A913">
            <v>10880035380</v>
          </cell>
          <cell r="B913" t="str">
            <v xml:space="preserve">1911-C2302B-D G0044 0011800950F  </v>
          </cell>
          <cell r="C913">
            <v>10250029130</v>
          </cell>
          <cell r="D913" t="str">
            <v>1*2</v>
          </cell>
          <cell r="E913" t="str">
            <v>锡膏</v>
          </cell>
          <cell r="F913" t="str">
            <v>海尔空调除湿显示板</v>
          </cell>
          <cell r="G913">
            <v>3.8666666666666669E-2</v>
          </cell>
          <cell r="H913">
            <v>750</v>
          </cell>
          <cell r="I913">
            <v>29</v>
          </cell>
        </row>
        <row r="914">
          <cell r="A914">
            <v>10880019777</v>
          </cell>
          <cell r="B914" t="str">
            <v>1323-C2206A-D 0011801037A</v>
          </cell>
          <cell r="C914" t="str">
            <v>10250031309/ 10250031461</v>
          </cell>
          <cell r="D914" t="str">
            <v>1*5</v>
          </cell>
          <cell r="E914" t="str">
            <v>锡膏</v>
          </cell>
          <cell r="F914" t="str">
            <v>空调显示板</v>
          </cell>
          <cell r="G914">
            <v>5.9807692307692312E-2</v>
          </cell>
          <cell r="H914">
            <v>800</v>
          </cell>
          <cell r="I914">
            <v>30</v>
          </cell>
        </row>
        <row r="915">
          <cell r="A915">
            <v>10880020275</v>
          </cell>
          <cell r="B915" t="str">
            <v>1323-C2209A-D 0011800607R</v>
          </cell>
          <cell r="C915" t="str">
            <v>10250031556/ 10250031557</v>
          </cell>
          <cell r="D915" t="str">
            <v>1*6</v>
          </cell>
          <cell r="E915" t="str">
            <v>锡膏</v>
          </cell>
          <cell r="F915" t="str">
            <v>海尔定频窗机显示板</v>
          </cell>
          <cell r="G915">
            <v>5.2631578947368418E-2</v>
          </cell>
          <cell r="H915">
            <v>570</v>
          </cell>
          <cell r="I915">
            <v>30</v>
          </cell>
        </row>
        <row r="916">
          <cell r="A916">
            <v>10880028394</v>
          </cell>
          <cell r="B916" t="str">
            <v xml:space="preserve">1323-C2209B-D 0011800607S  </v>
          </cell>
          <cell r="C916" t="str">
            <v>10250031556/ 10250031557</v>
          </cell>
          <cell r="D916" t="str">
            <v>1*6</v>
          </cell>
          <cell r="E916" t="str">
            <v>锡膏</v>
          </cell>
          <cell r="F916" t="str">
            <v>海尔空调显示板</v>
          </cell>
          <cell r="G916">
            <v>5.2631578947368418E-2</v>
          </cell>
          <cell r="H916">
            <v>570</v>
          </cell>
          <cell r="I916">
            <v>30</v>
          </cell>
        </row>
        <row r="917">
          <cell r="A917">
            <v>10880030447</v>
          </cell>
          <cell r="B917" t="str">
            <v>1911-C2302A-D 0011800607S(泰国)</v>
          </cell>
          <cell r="C917">
            <v>10250034322</v>
          </cell>
          <cell r="D917" t="str">
            <v>1*6</v>
          </cell>
          <cell r="E917" t="str">
            <v>锡膏</v>
          </cell>
          <cell r="F917" t="str">
            <v>海尔空调显示板</v>
          </cell>
          <cell r="G917">
            <v>5.2631578947368418E-2</v>
          </cell>
          <cell r="H917">
            <v>570</v>
          </cell>
          <cell r="I917">
            <v>30</v>
          </cell>
        </row>
        <row r="918">
          <cell r="A918">
            <v>10880028833</v>
          </cell>
          <cell r="B918" t="str">
            <v xml:space="preserve"> 693-C2355A-D 0011800607T  </v>
          </cell>
          <cell r="C918" t="str">
            <v>10250031556/ 10250031557</v>
          </cell>
          <cell r="D918" t="str">
            <v>1*6</v>
          </cell>
          <cell r="E918" t="str">
            <v>锡膏</v>
          </cell>
          <cell r="F918" t="str">
            <v>海尔定频窗机显示板</v>
          </cell>
          <cell r="G918">
            <v>5.2631578947368418E-2</v>
          </cell>
          <cell r="H918">
            <v>570</v>
          </cell>
          <cell r="I918">
            <v>30</v>
          </cell>
        </row>
        <row r="919">
          <cell r="A919">
            <v>10880030296</v>
          </cell>
          <cell r="B919" t="str">
            <v xml:space="preserve">1911-C2301A-D  0011800607T(泰国)  </v>
          </cell>
          <cell r="C919" t="str">
            <v>10250031556/ 10250031557</v>
          </cell>
          <cell r="D919" t="str">
            <v>1*6</v>
          </cell>
          <cell r="E919" t="str">
            <v>锡膏</v>
          </cell>
          <cell r="F919" t="str">
            <v>海尔定频窗机显示板</v>
          </cell>
          <cell r="G919">
            <v>5.2631578947368418E-2</v>
          </cell>
          <cell r="H919">
            <v>570</v>
          </cell>
          <cell r="I919">
            <v>30</v>
          </cell>
        </row>
        <row r="920">
          <cell r="A920">
            <v>10880019222</v>
          </cell>
          <cell r="B920" t="str">
            <v>1323-C2203A-PC 0011801036A</v>
          </cell>
          <cell r="C920" t="str">
            <v>10250028801/ 10250028803</v>
          </cell>
          <cell r="D920" t="str">
            <v>1*2</v>
          </cell>
          <cell r="E920" t="str">
            <v>锡膏</v>
          </cell>
          <cell r="F920" t="str">
            <v>海尔窗机变频电控板</v>
          </cell>
          <cell r="G920">
            <v>9.6875000000000017E-2</v>
          </cell>
          <cell r="H920">
            <v>320</v>
          </cell>
          <cell r="I920">
            <v>31</v>
          </cell>
        </row>
        <row r="921">
          <cell r="A921">
            <v>10880019773</v>
          </cell>
          <cell r="B921" t="str">
            <v xml:space="preserve">1323-C2205B-PC 0011801036B  </v>
          </cell>
          <cell r="C921" t="str">
            <v>10250031906/10250031907</v>
          </cell>
          <cell r="D921" t="str">
            <v>1*2</v>
          </cell>
          <cell r="E921" t="str">
            <v>锡膏</v>
          </cell>
          <cell r="F921" t="str">
            <v>海尔空调电控板</v>
          </cell>
          <cell r="G921">
            <v>0.11538461538461539</v>
          </cell>
          <cell r="H921">
            <v>260</v>
          </cell>
          <cell r="I921">
            <v>30</v>
          </cell>
        </row>
        <row r="922">
          <cell r="A922">
            <v>10880020647</v>
          </cell>
          <cell r="B922" t="str">
            <v xml:space="preserve">1323-C2205C-PC 0011801036C  </v>
          </cell>
          <cell r="C922" t="str">
            <v>10250031906/10250031907</v>
          </cell>
          <cell r="D922" t="str">
            <v>1*2</v>
          </cell>
          <cell r="E922" t="str">
            <v>锡膏</v>
          </cell>
          <cell r="F922" t="str">
            <v>海尔空调内机电控板</v>
          </cell>
          <cell r="G922">
            <v>0.11538461538461539</v>
          </cell>
          <cell r="H922">
            <v>260</v>
          </cell>
          <cell r="I922">
            <v>30</v>
          </cell>
        </row>
        <row r="923">
          <cell r="A923">
            <v>10880032759</v>
          </cell>
          <cell r="B923" t="str">
            <v xml:space="preserve">1911-C2401A-PC 0011801036C 海尔空调1036C电控板  </v>
          </cell>
          <cell r="C923" t="str">
            <v>10250031906/10250031907</v>
          </cell>
          <cell r="D923" t="str">
            <v>1*2</v>
          </cell>
          <cell r="E923" t="str">
            <v>锡膏</v>
          </cell>
          <cell r="F923" t="str">
            <v>海尔空调内机电控板</v>
          </cell>
          <cell r="G923">
            <v>0.11538461538461539</v>
          </cell>
          <cell r="H923">
            <v>260</v>
          </cell>
          <cell r="I923">
            <v>30</v>
          </cell>
        </row>
        <row r="924">
          <cell r="A924">
            <v>10880014776</v>
          </cell>
          <cell r="B924" t="str">
            <v>693-A2036A-D 0190400103</v>
          </cell>
          <cell r="C924" t="str">
            <v>10250026701/ 10250026700</v>
          </cell>
          <cell r="D924" t="str">
            <v>1*6</v>
          </cell>
          <cell r="E924" t="str">
            <v>锡膏</v>
          </cell>
          <cell r="F924" t="str">
            <v>三根芯净水器显示板</v>
          </cell>
          <cell r="G924">
            <v>0.05</v>
          </cell>
          <cell r="H924">
            <v>600</v>
          </cell>
          <cell r="I924">
            <v>30</v>
          </cell>
        </row>
        <row r="925">
          <cell r="A925">
            <v>10880019706</v>
          </cell>
          <cell r="B925" t="str">
            <v>693-C2202A-PC 0190400286</v>
          </cell>
          <cell r="C925" t="str">
            <v>10250031856/ 10250031857</v>
          </cell>
          <cell r="D925" t="str">
            <v>1*10</v>
          </cell>
          <cell r="E925" t="str">
            <v>锡膏</v>
          </cell>
          <cell r="F925" t="str">
            <v>净水前置过滤器电控板</v>
          </cell>
          <cell r="G925">
            <v>6.3111111111111104E-2</v>
          </cell>
          <cell r="H925">
            <v>360</v>
          </cell>
          <cell r="I925">
            <v>30</v>
          </cell>
        </row>
        <row r="926">
          <cell r="A926">
            <v>10880031096</v>
          </cell>
          <cell r="B926" t="str">
            <v xml:space="preserve">2006-C2301B-PC 888001414  </v>
          </cell>
          <cell r="C926" t="str">
            <v>10250037562/10250037563/10250037564</v>
          </cell>
          <cell r="D926" t="str">
            <v>1*10</v>
          </cell>
          <cell r="E926" t="str">
            <v>锡膏</v>
          </cell>
          <cell r="F926" t="str">
            <v>净水1414电控板</v>
          </cell>
          <cell r="G926">
            <v>6.3111111111111104E-2</v>
          </cell>
          <cell r="H926">
            <v>360</v>
          </cell>
          <cell r="I926">
            <v>30</v>
          </cell>
        </row>
        <row r="927">
          <cell r="A927">
            <v>10880035709</v>
          </cell>
          <cell r="B927" t="str">
            <v>501706-C2501A-PC G0044 1060171</v>
          </cell>
          <cell r="C927" t="str">
            <v>10250037562/10250037563/10250037564</v>
          </cell>
          <cell r="D927" t="str">
            <v>1*10</v>
          </cell>
          <cell r="E927" t="str">
            <v>锡膏</v>
          </cell>
          <cell r="F927" t="str">
            <v>净水1414电控板</v>
          </cell>
          <cell r="G927">
            <v>6.3111111111111104E-2</v>
          </cell>
          <cell r="H927">
            <v>360</v>
          </cell>
          <cell r="I927">
            <v>30</v>
          </cell>
        </row>
        <row r="928">
          <cell r="A928">
            <v>10880019682</v>
          </cell>
          <cell r="B928" t="str">
            <v>693-C2205A-PC 0190400348</v>
          </cell>
          <cell r="C928" t="str">
            <v>10250030298/ 10250030299</v>
          </cell>
          <cell r="D928" t="str">
            <v>1*16</v>
          </cell>
          <cell r="E928" t="str">
            <v>锡膏</v>
          </cell>
          <cell r="F928" t="str">
            <v>净水超滤平台电控板</v>
          </cell>
          <cell r="G928">
            <v>3.8571428571428569E-2</v>
          </cell>
          <cell r="H928">
            <v>700</v>
          </cell>
          <cell r="I928">
            <v>27</v>
          </cell>
        </row>
        <row r="929">
          <cell r="A929">
            <v>10880014362</v>
          </cell>
          <cell r="B929" t="str">
            <v>693-C2038A-C 0190400113A</v>
          </cell>
          <cell r="C929" t="str">
            <v>10250025049/ 10250025048</v>
          </cell>
          <cell r="D929" t="str">
            <v>1*5</v>
          </cell>
          <cell r="E929" t="str">
            <v>锡膏</v>
          </cell>
          <cell r="F929" t="str">
            <v>净水云蹲600G控制板</v>
          </cell>
          <cell r="G929">
            <v>9.1111111111111115E-2</v>
          </cell>
          <cell r="H929">
            <v>450</v>
          </cell>
          <cell r="I929">
            <v>35</v>
          </cell>
        </row>
        <row r="930">
          <cell r="A930">
            <v>10880016525</v>
          </cell>
          <cell r="B930" t="str">
            <v xml:space="preserve">693-B2168A-C 0190400113F </v>
          </cell>
          <cell r="C930" t="str">
            <v>10250025049/ 10250025048</v>
          </cell>
          <cell r="D930" t="str">
            <v>1*5</v>
          </cell>
          <cell r="E930" t="str">
            <v>锡膏</v>
          </cell>
          <cell r="F930" t="str">
            <v>净水云蹲600G控制板</v>
          </cell>
          <cell r="G930">
            <v>9.1111111111111115E-2</v>
          </cell>
          <cell r="H930">
            <v>450</v>
          </cell>
          <cell r="I930">
            <v>35</v>
          </cell>
        </row>
        <row r="931">
          <cell r="A931">
            <v>10880016526</v>
          </cell>
          <cell r="B931" t="str">
            <v>693-B2168B-C 0190400113G</v>
          </cell>
          <cell r="C931" t="str">
            <v>10250025049/ 10250025048</v>
          </cell>
          <cell r="D931" t="str">
            <v>1*5</v>
          </cell>
          <cell r="E931" t="str">
            <v>锡膏</v>
          </cell>
          <cell r="F931" t="str">
            <v>净水器云鳟800G控制板</v>
          </cell>
          <cell r="G931">
            <v>9.1111111111111115E-2</v>
          </cell>
          <cell r="H931">
            <v>450</v>
          </cell>
          <cell r="I931">
            <v>35</v>
          </cell>
        </row>
        <row r="932">
          <cell r="A932">
            <v>10880016864</v>
          </cell>
          <cell r="B932" t="str">
            <v>693-C2177B-C 0190400113G 芯朋电源方案</v>
          </cell>
          <cell r="C932" t="str">
            <v>10250032826/10250032825</v>
          </cell>
          <cell r="D932" t="str">
            <v>1*5</v>
          </cell>
          <cell r="E932" t="str">
            <v>锡膏</v>
          </cell>
          <cell r="F932" t="str">
            <v>净水云鳟800G控制板</v>
          </cell>
          <cell r="G932">
            <v>9.1111111111111115E-2</v>
          </cell>
          <cell r="H932">
            <v>450</v>
          </cell>
          <cell r="I932">
            <v>35</v>
          </cell>
        </row>
        <row r="933">
          <cell r="A933">
            <v>10880016867</v>
          </cell>
          <cell r="B933" t="str">
            <v>693-C2177C-C 0190400113H</v>
          </cell>
          <cell r="C933" t="str">
            <v>10250029019/ 10250028935</v>
          </cell>
          <cell r="D933" t="str">
            <v>1*5</v>
          </cell>
          <cell r="E933" t="str">
            <v>锡膏</v>
          </cell>
          <cell r="F933" t="str">
            <v>净水云鳟晶钻紫控制板</v>
          </cell>
          <cell r="G933">
            <v>9.1111111111111115E-2</v>
          </cell>
          <cell r="H933">
            <v>450</v>
          </cell>
          <cell r="I933">
            <v>35</v>
          </cell>
        </row>
        <row r="934">
          <cell r="A934">
            <v>10880016862</v>
          </cell>
          <cell r="B934" t="str">
            <v>693-C2177A-C 0190400113F</v>
          </cell>
          <cell r="C934" t="str">
            <v>10250029019/ 10250028935</v>
          </cell>
          <cell r="D934" t="str">
            <v>1*5</v>
          </cell>
          <cell r="E934" t="str">
            <v>锡膏</v>
          </cell>
          <cell r="F934" t="str">
            <v>净水云鳟600G控制板</v>
          </cell>
          <cell r="G934">
            <v>9.1111111111111115E-2</v>
          </cell>
          <cell r="H934">
            <v>450</v>
          </cell>
          <cell r="I934">
            <v>35</v>
          </cell>
        </row>
        <row r="935">
          <cell r="A935">
            <v>10880021342</v>
          </cell>
          <cell r="B935" t="str">
            <v xml:space="preserve"> 693-C2177G-C 0190400113M</v>
          </cell>
          <cell r="C935" t="str">
            <v>10250032826/10250032825</v>
          </cell>
          <cell r="D935" t="str">
            <v>1*5</v>
          </cell>
          <cell r="E935" t="str">
            <v>锡膏</v>
          </cell>
          <cell r="F935" t="str">
            <v>净水云鳟800G控制板</v>
          </cell>
          <cell r="G935">
            <v>9.1111111111111115E-2</v>
          </cell>
          <cell r="H935">
            <v>450</v>
          </cell>
          <cell r="I935">
            <v>35</v>
          </cell>
        </row>
        <row r="936">
          <cell r="A936">
            <v>10880021341</v>
          </cell>
          <cell r="B936" t="str">
            <v>693-C2177F-C 0190400113L 芯朋电源方案</v>
          </cell>
          <cell r="C936" t="str">
            <v>10250032826/10250032825</v>
          </cell>
          <cell r="D936" t="str">
            <v>1*5</v>
          </cell>
          <cell r="E936" t="str">
            <v>锡膏</v>
          </cell>
          <cell r="F936" t="str">
            <v>净水云鳟600控制板</v>
          </cell>
          <cell r="G936">
            <v>9.1111111111111115E-2</v>
          </cell>
          <cell r="H936">
            <v>450</v>
          </cell>
          <cell r="I936">
            <v>35</v>
          </cell>
        </row>
        <row r="937">
          <cell r="A937">
            <v>10880021767</v>
          </cell>
          <cell r="B937" t="str">
            <v>693-C2265A-D 0190400207</v>
          </cell>
          <cell r="C937" t="str">
            <v>10250032897/ 10250032898</v>
          </cell>
          <cell r="D937" t="str">
            <v>1*8</v>
          </cell>
          <cell r="E937" t="str">
            <v>锡膏</v>
          </cell>
          <cell r="F937" t="str">
            <v>净水器显示板</v>
          </cell>
          <cell r="G937">
            <v>1.9444444444444445E-2</v>
          </cell>
          <cell r="H937">
            <v>720</v>
          </cell>
          <cell r="I937">
            <v>14</v>
          </cell>
        </row>
        <row r="938">
          <cell r="A938">
            <v>10880022406</v>
          </cell>
          <cell r="B938" t="str">
            <v>693-B2275A-PC 0031800386JL</v>
          </cell>
          <cell r="C938" t="str">
            <v>10250033645/ 10250033646</v>
          </cell>
          <cell r="D938" t="str">
            <v>1*2</v>
          </cell>
          <cell r="E938" t="str">
            <v>锡膏</v>
          </cell>
          <cell r="F938" t="str">
            <v>洗衣机386JL电控板</v>
          </cell>
          <cell r="G938">
            <v>0.1088888888888889</v>
          </cell>
          <cell r="H938">
            <v>420</v>
          </cell>
          <cell r="I938">
            <v>43</v>
          </cell>
        </row>
        <row r="939">
          <cell r="A939">
            <v>10880033855</v>
          </cell>
          <cell r="B939" t="str">
            <v>693-B2275A-PC 0031800386JL 重庆</v>
          </cell>
          <cell r="C939" t="str">
            <v>10250033645/ 10250033646</v>
          </cell>
          <cell r="D939" t="str">
            <v>1*2</v>
          </cell>
          <cell r="E939" t="str">
            <v>锡膏</v>
          </cell>
          <cell r="F939" t="str">
            <v>洗衣机386JL电控板</v>
          </cell>
          <cell r="G939">
            <v>0.1088888888888889</v>
          </cell>
          <cell r="H939">
            <v>420</v>
          </cell>
          <cell r="I939">
            <v>43</v>
          </cell>
        </row>
        <row r="940">
          <cell r="A940">
            <v>10880022405</v>
          </cell>
          <cell r="B940" t="str">
            <v>693-B2276A-PC 0031800004FH</v>
          </cell>
          <cell r="C940" t="str">
            <v xml:space="preserve"> 10250037262/ 10250037263</v>
          </cell>
          <cell r="D940" t="str">
            <v>1*2</v>
          </cell>
          <cell r="E940" t="str">
            <v>锡膏</v>
          </cell>
          <cell r="F940" t="str">
            <v>洗衣机04FH电控板</v>
          </cell>
          <cell r="G940">
            <v>0.1088888888888889</v>
          </cell>
          <cell r="H940">
            <v>420</v>
          </cell>
          <cell r="I940">
            <v>43</v>
          </cell>
        </row>
        <row r="941">
          <cell r="A941">
            <v>10880022501</v>
          </cell>
          <cell r="B941" t="str">
            <v>693-B2276B-PC 0031800004FP</v>
          </cell>
          <cell r="C941" t="str">
            <v xml:space="preserve"> 10250037262/ 10250037263</v>
          </cell>
          <cell r="D941" t="str">
            <v>1*2</v>
          </cell>
          <cell r="E941" t="str">
            <v>锡膏</v>
          </cell>
          <cell r="F941" t="str">
            <v>洗衣机04FP电控板</v>
          </cell>
          <cell r="G941">
            <v>0.1088888888888889</v>
          </cell>
          <cell r="H941">
            <v>420</v>
          </cell>
          <cell r="I941">
            <v>43</v>
          </cell>
        </row>
        <row r="942">
          <cell r="A942">
            <v>10880022443</v>
          </cell>
          <cell r="B942" t="str">
            <v xml:space="preserve">693-A2311A-PC 0151800561BBA  </v>
          </cell>
          <cell r="C942">
            <v>10250033566</v>
          </cell>
          <cell r="D942" t="str">
            <v>1*2</v>
          </cell>
          <cell r="E942" t="str">
            <v>锡膏</v>
          </cell>
          <cell r="F942" t="str">
            <v>空调电控板</v>
          </cell>
          <cell r="G942">
            <v>0.14333333333333331</v>
          </cell>
          <cell r="H942">
            <v>300</v>
          </cell>
          <cell r="I942">
            <v>43</v>
          </cell>
        </row>
        <row r="943">
          <cell r="A943">
            <v>10880022444</v>
          </cell>
          <cell r="B943" t="str">
            <v>693-A2311B-PC 0151800561BBB</v>
          </cell>
          <cell r="C943">
            <v>10250033566</v>
          </cell>
          <cell r="D943" t="str">
            <v>1*3</v>
          </cell>
          <cell r="E943" t="str">
            <v>锡膏</v>
          </cell>
          <cell r="F943" t="str">
            <v>空调电控板</v>
          </cell>
          <cell r="G943">
            <v>0.14333333333333331</v>
          </cell>
          <cell r="H943">
            <v>300</v>
          </cell>
          <cell r="I943">
            <v>43</v>
          </cell>
        </row>
        <row r="944">
          <cell r="A944">
            <v>10880014778</v>
          </cell>
          <cell r="B944" t="str">
            <v>693-A2036A-O1</v>
          </cell>
          <cell r="C944" t="str">
            <v>10250026689/10250026694</v>
          </cell>
          <cell r="D944" t="str">
            <v>1*20</v>
          </cell>
          <cell r="E944" t="str">
            <v>锡膏</v>
          </cell>
          <cell r="F944" t="str">
            <v>三根芯净水铜柱小板</v>
          </cell>
          <cell r="G944">
            <v>1.375E-2</v>
          </cell>
          <cell r="H944">
            <v>600</v>
          </cell>
          <cell r="I944">
            <v>11</v>
          </cell>
        </row>
        <row r="945">
          <cell r="A945" t="str">
            <v>10880014777 </v>
          </cell>
          <cell r="B945" t="str">
            <v xml:space="preserve"> 693-A2036A-O2 0190400127  </v>
          </cell>
          <cell r="C945" t="str">
            <v>10250026690/ 10250026692</v>
          </cell>
          <cell r="D945" t="str">
            <v>1*20</v>
          </cell>
          <cell r="E945" t="str">
            <v>锡膏</v>
          </cell>
          <cell r="F945" t="str">
            <v>三根芯净水铜柱小板</v>
          </cell>
          <cell r="G945">
            <v>1.375E-2</v>
          </cell>
          <cell r="H945">
            <v>600</v>
          </cell>
          <cell r="I945">
            <v>11</v>
          </cell>
        </row>
        <row r="946">
          <cell r="A946">
            <v>10880022442</v>
          </cell>
          <cell r="B946" t="str">
            <v>693-C2283A-PC 0011800923F  </v>
          </cell>
          <cell r="C946" t="str">
            <v>10250033695/10250033696</v>
          </cell>
          <cell r="D946" t="str">
            <v>1*3</v>
          </cell>
          <cell r="E946" t="str">
            <v>锡膏</v>
          </cell>
          <cell r="F946" t="str">
            <v>空调电控板</v>
          </cell>
          <cell r="G946">
            <v>9.6551724137931033E-2</v>
          </cell>
          <cell r="H946">
            <v>290</v>
          </cell>
          <cell r="I946">
            <v>28</v>
          </cell>
        </row>
        <row r="947">
          <cell r="A947">
            <v>10880028831</v>
          </cell>
          <cell r="B947" t="str">
            <v xml:space="preserve">693-C2349A-PC 0011800923G  </v>
          </cell>
          <cell r="C947" t="str">
            <v>10250033695/10250033696</v>
          </cell>
          <cell r="D947" t="str">
            <v>1*3</v>
          </cell>
          <cell r="E947" t="str">
            <v>锡膏</v>
          </cell>
          <cell r="F947" t="str">
            <v>空调电控板</v>
          </cell>
          <cell r="G947">
            <v>9.6551724137931033E-2</v>
          </cell>
          <cell r="H947">
            <v>290</v>
          </cell>
          <cell r="I947">
            <v>28</v>
          </cell>
        </row>
        <row r="948">
          <cell r="A948">
            <v>10880022434</v>
          </cell>
          <cell r="B948" t="str">
            <v>693-C2284A-PC 0011801522</v>
          </cell>
          <cell r="C948">
            <v>10250033697</v>
          </cell>
          <cell r="D948" t="str">
            <v>1*2</v>
          </cell>
          <cell r="E948" t="str">
            <v>锡膏</v>
          </cell>
          <cell r="F948" t="str">
            <v>空调电控板</v>
          </cell>
          <cell r="G948">
            <v>9.9999999999999992E-2</v>
          </cell>
          <cell r="H948">
            <v>360</v>
          </cell>
          <cell r="I948">
            <v>36</v>
          </cell>
        </row>
        <row r="949">
          <cell r="A949">
            <v>10880022435</v>
          </cell>
          <cell r="B949" t="str">
            <v>693-C2284B-PC 0011801522A</v>
          </cell>
          <cell r="C949">
            <v>10250033697</v>
          </cell>
          <cell r="D949" t="str">
            <v>1*2</v>
          </cell>
          <cell r="E949" t="str">
            <v>锡膏</v>
          </cell>
          <cell r="F949" t="str">
            <v>空调电控板</v>
          </cell>
          <cell r="G949">
            <v>9.9999999999999992E-2</v>
          </cell>
          <cell r="H949">
            <v>360</v>
          </cell>
          <cell r="I949">
            <v>36</v>
          </cell>
        </row>
        <row r="950">
          <cell r="A950">
            <v>10880022436</v>
          </cell>
          <cell r="B950" t="str">
            <v>693-C2284C-PC 0011801522B</v>
          </cell>
          <cell r="C950">
            <v>10250033697</v>
          </cell>
          <cell r="D950" t="str">
            <v>1*2</v>
          </cell>
          <cell r="E950" t="str">
            <v>锡膏</v>
          </cell>
          <cell r="F950" t="str">
            <v>空调电控板</v>
          </cell>
          <cell r="G950">
            <v>9.9999999999999992E-2</v>
          </cell>
          <cell r="H950">
            <v>360</v>
          </cell>
          <cell r="I950">
            <v>36</v>
          </cell>
        </row>
        <row r="951">
          <cell r="A951">
            <v>10880027988</v>
          </cell>
          <cell r="B951" t="str">
            <v>693-C2302A-PC 0011800879P</v>
          </cell>
          <cell r="C951">
            <v>10250033600</v>
          </cell>
          <cell r="D951" t="str">
            <v>1*1</v>
          </cell>
          <cell r="E951" t="str">
            <v>锡膏</v>
          </cell>
          <cell r="F951" t="str">
            <v>海尔空调电控板</v>
          </cell>
          <cell r="G951">
            <v>0.14545454545454545</v>
          </cell>
          <cell r="H951">
            <v>220</v>
          </cell>
          <cell r="I951">
            <v>35</v>
          </cell>
        </row>
        <row r="952">
          <cell r="A952">
            <v>10880027989</v>
          </cell>
          <cell r="B952" t="str">
            <v>693-C2302B-PC 0011800879N</v>
          </cell>
          <cell r="C952">
            <v>10250033600</v>
          </cell>
          <cell r="D952" t="str">
            <v>1*1</v>
          </cell>
          <cell r="E952" t="str">
            <v>锡膏</v>
          </cell>
          <cell r="F952" t="str">
            <v>海尔空调电控板</v>
          </cell>
          <cell r="G952">
            <v>0.14545454545454545</v>
          </cell>
          <cell r="H952">
            <v>220</v>
          </cell>
          <cell r="I952">
            <v>35</v>
          </cell>
        </row>
        <row r="953">
          <cell r="A953">
            <v>10880021983</v>
          </cell>
          <cell r="B953" t="str">
            <v>693-C2218A-PC 0190400359</v>
          </cell>
          <cell r="C953">
            <v>10250031876</v>
          </cell>
          <cell r="D953" t="str">
            <v>1*1</v>
          </cell>
          <cell r="E953" t="str">
            <v>锡膏</v>
          </cell>
          <cell r="F953" t="str">
            <v>海尔净水器电控板</v>
          </cell>
          <cell r="G953">
            <v>0.2</v>
          </cell>
          <cell r="H953">
            <v>300</v>
          </cell>
          <cell r="I953">
            <v>40</v>
          </cell>
        </row>
        <row r="954">
          <cell r="A954">
            <v>10880021985</v>
          </cell>
          <cell r="B954" t="str">
            <v>693-B2287A-PC 0190400359A</v>
          </cell>
          <cell r="C954">
            <v>10250031876</v>
          </cell>
          <cell r="D954" t="str">
            <v>1*1</v>
          </cell>
          <cell r="E954" t="str">
            <v>锡膏</v>
          </cell>
          <cell r="F954" t="str">
            <v>海尔净水器电控板</v>
          </cell>
          <cell r="G954">
            <v>0.2</v>
          </cell>
          <cell r="H954">
            <v>300</v>
          </cell>
          <cell r="I954">
            <v>40</v>
          </cell>
        </row>
        <row r="955">
          <cell r="A955">
            <v>10880028753</v>
          </cell>
          <cell r="B955" t="str">
            <v>693-B2287B-PC 0190400359B</v>
          </cell>
          <cell r="C955">
            <v>10250031876</v>
          </cell>
          <cell r="D955" t="str">
            <v>1*1</v>
          </cell>
          <cell r="E955" t="str">
            <v>锡膏</v>
          </cell>
          <cell r="F955" t="str">
            <v>海尔净水器电控板</v>
          </cell>
          <cell r="G955">
            <v>0.2</v>
          </cell>
          <cell r="H955">
            <v>300</v>
          </cell>
          <cell r="I955">
            <v>40</v>
          </cell>
        </row>
        <row r="956">
          <cell r="A956">
            <v>10880032298</v>
          </cell>
          <cell r="B956" t="str">
            <v>693-B2287C-PC 0190400359AA</v>
          </cell>
          <cell r="C956">
            <v>10250031876</v>
          </cell>
          <cell r="D956" t="str">
            <v>1*1</v>
          </cell>
          <cell r="E956" t="str">
            <v>锡膏</v>
          </cell>
          <cell r="F956" t="str">
            <v>净水主控板359AA电控板</v>
          </cell>
          <cell r="G956">
            <v>0.2</v>
          </cell>
          <cell r="H956">
            <v>300</v>
          </cell>
          <cell r="I956">
            <v>40</v>
          </cell>
        </row>
        <row r="957">
          <cell r="A957">
            <v>10880034554</v>
          </cell>
          <cell r="B957" t="str">
            <v>693-B2287D-PC 0190400359AB</v>
          </cell>
          <cell r="C957">
            <v>10250031876</v>
          </cell>
          <cell r="D957" t="str">
            <v>1*1</v>
          </cell>
          <cell r="E957" t="str">
            <v>锡膏</v>
          </cell>
          <cell r="F957" t="str">
            <v>净水主控板359AA电控板</v>
          </cell>
          <cell r="G957">
            <v>0.2</v>
          </cell>
          <cell r="H957">
            <v>300</v>
          </cell>
          <cell r="I957">
            <v>40</v>
          </cell>
        </row>
        <row r="958">
          <cell r="A958">
            <v>10880022441</v>
          </cell>
          <cell r="B958" t="str">
            <v>693-C2256C-PC 0011801123G</v>
          </cell>
          <cell r="C958">
            <v>10250034601</v>
          </cell>
          <cell r="D958" t="str">
            <v>1*2</v>
          </cell>
          <cell r="E958" t="str">
            <v>锡膏</v>
          </cell>
          <cell r="F958" t="str">
            <v>空调电控板</v>
          </cell>
          <cell r="G958">
            <v>0.06</v>
          </cell>
          <cell r="H958">
            <v>500</v>
          </cell>
          <cell r="I958">
            <v>30</v>
          </cell>
        </row>
        <row r="959">
          <cell r="A959">
            <v>10880028306</v>
          </cell>
          <cell r="B959" t="str">
            <v xml:space="preserve">693-C2256D-PC 0011801123H  </v>
          </cell>
          <cell r="C959">
            <v>10250034601</v>
          </cell>
          <cell r="D959" t="str">
            <v>1*2</v>
          </cell>
          <cell r="E959" t="str">
            <v>锡膏</v>
          </cell>
          <cell r="F959" t="str">
            <v>空调电控板</v>
          </cell>
          <cell r="G959">
            <v>0.06</v>
          </cell>
          <cell r="H959">
            <v>500</v>
          </cell>
          <cell r="I959">
            <v>30</v>
          </cell>
        </row>
        <row r="960">
          <cell r="A960">
            <v>10880028307</v>
          </cell>
          <cell r="B960" t="str">
            <v xml:space="preserve"> 693-C2256E-PC 0011801123J  </v>
          </cell>
          <cell r="C960">
            <v>10250034601</v>
          </cell>
          <cell r="D960" t="str">
            <v>1*2</v>
          </cell>
          <cell r="E960" t="str">
            <v>锡膏</v>
          </cell>
          <cell r="F960" t="str">
            <v>空调电控板</v>
          </cell>
          <cell r="G960">
            <v>0.06</v>
          </cell>
          <cell r="H960">
            <v>500</v>
          </cell>
          <cell r="I960">
            <v>30</v>
          </cell>
        </row>
        <row r="961">
          <cell r="A961">
            <v>10880030338</v>
          </cell>
          <cell r="B961" t="str">
            <v xml:space="preserve">693-C23A1A-PC 0011801123K  </v>
          </cell>
          <cell r="C961">
            <v>10250034601</v>
          </cell>
          <cell r="D961" t="str">
            <v>1*2</v>
          </cell>
          <cell r="E961" t="str">
            <v>锡膏</v>
          </cell>
          <cell r="F961" t="str">
            <v>空调电控板</v>
          </cell>
          <cell r="G961">
            <v>0.06</v>
          </cell>
          <cell r="H961">
            <v>500</v>
          </cell>
          <cell r="I961">
            <v>30</v>
          </cell>
        </row>
        <row r="962">
          <cell r="A962">
            <v>10880015879</v>
          </cell>
          <cell r="B962" t="str">
            <v>693-B2158A-L(0190400174A)</v>
          </cell>
          <cell r="C962">
            <v>10250027010</v>
          </cell>
          <cell r="D962" t="str">
            <v>1*4</v>
          </cell>
          <cell r="E962" t="str">
            <v>锡膏</v>
          </cell>
          <cell r="F962" t="str">
            <v>Mini7-400净水器灯板</v>
          </cell>
          <cell r="G962">
            <v>2.8000000000000001E-2</v>
          </cell>
          <cell r="H962">
            <v>500</v>
          </cell>
          <cell r="I962">
            <v>14</v>
          </cell>
        </row>
        <row r="963">
          <cell r="A963">
            <v>10880014812</v>
          </cell>
          <cell r="B963" t="str">
            <v>693-B2113A(0190400172)</v>
          </cell>
          <cell r="C963">
            <v>10250027025</v>
          </cell>
          <cell r="D963" t="str">
            <v>1*4</v>
          </cell>
          <cell r="E963" t="str">
            <v>锡膏</v>
          </cell>
          <cell r="F963" t="str">
            <v>海尔净水器主控板</v>
          </cell>
          <cell r="G963">
            <v>6.5000000000000002E-2</v>
          </cell>
          <cell r="H963">
            <v>400</v>
          </cell>
          <cell r="I963">
            <v>31</v>
          </cell>
        </row>
        <row r="964">
          <cell r="A964">
            <v>10880014815</v>
          </cell>
          <cell r="B964" t="str">
            <v>693-B2113D(0190400174)</v>
          </cell>
          <cell r="C964">
            <v>10250027010</v>
          </cell>
          <cell r="D964" t="str">
            <v>1*4</v>
          </cell>
          <cell r="E964" t="str">
            <v>锡膏</v>
          </cell>
          <cell r="F964" t="str">
            <v>净水器显示板</v>
          </cell>
          <cell r="G964">
            <v>3.4000000000000002E-2</v>
          </cell>
          <cell r="H964">
            <v>500</v>
          </cell>
          <cell r="I964">
            <v>17</v>
          </cell>
        </row>
        <row r="965">
          <cell r="A965">
            <v>10880016188</v>
          </cell>
          <cell r="B965" t="str">
            <v>693-C2161A-O2(0190400223)</v>
          </cell>
          <cell r="C965" t="str">
            <v> 10250028018/10250028019</v>
          </cell>
          <cell r="D965" t="str">
            <v>1*21</v>
          </cell>
          <cell r="E965" t="str">
            <v>锡膏</v>
          </cell>
          <cell r="F965" t="str">
            <v>MINI系列电源转接板</v>
          </cell>
          <cell r="G965">
            <v>2.1666666666666667E-2</v>
          </cell>
          <cell r="H965">
            <v>600</v>
          </cell>
          <cell r="I965">
            <v>13</v>
          </cell>
        </row>
        <row r="966">
          <cell r="A966">
            <v>10880021203</v>
          </cell>
          <cell r="B966" t="str">
            <v>693-C2215B-D 0190400112F</v>
          </cell>
          <cell r="C966" t="str">
            <v>10250031317/10250031318</v>
          </cell>
          <cell r="D966" t="str">
            <v>1*5</v>
          </cell>
          <cell r="E966" t="str">
            <v>锡膏</v>
          </cell>
          <cell r="F966" t="str">
            <v>净水云鳟空壳显示板</v>
          </cell>
          <cell r="G966">
            <v>5.4444444444444448E-2</v>
          </cell>
          <cell r="H966">
            <v>450</v>
          </cell>
          <cell r="I966">
            <v>27</v>
          </cell>
        </row>
        <row r="967">
          <cell r="A967">
            <v>10880028169</v>
          </cell>
          <cell r="B967" t="str">
            <v xml:space="preserve">693-C2303A-PC 0011801606  </v>
          </cell>
          <cell r="C967">
            <v>10250037961</v>
          </cell>
          <cell r="D967" t="str">
            <v>1*2</v>
          </cell>
          <cell r="E967" t="str">
            <v>锡膏</v>
          </cell>
          <cell r="F967" t="str">
            <v>海尔空调内机电控板</v>
          </cell>
          <cell r="G967">
            <v>0.10263157894736842</v>
          </cell>
          <cell r="H967">
            <v>380</v>
          </cell>
          <cell r="I967">
            <v>39</v>
          </cell>
        </row>
        <row r="968">
          <cell r="A968">
            <v>10880030838</v>
          </cell>
          <cell r="B968" t="str">
            <v>693-B2351D-PC 0011801606D</v>
          </cell>
          <cell r="C968">
            <v>10250037961</v>
          </cell>
          <cell r="D968" t="str">
            <v>1*2</v>
          </cell>
          <cell r="E968" t="str">
            <v>锡膏</v>
          </cell>
          <cell r="F968" t="str">
            <v>海尔空调内机电控板</v>
          </cell>
          <cell r="G968">
            <v>0.10263157894736842</v>
          </cell>
          <cell r="H968">
            <v>380</v>
          </cell>
          <cell r="I968">
            <v>39</v>
          </cell>
        </row>
        <row r="969">
          <cell r="A969">
            <v>10880030840</v>
          </cell>
          <cell r="B969" t="str">
            <v>693-B2351E-PC 0011801606E</v>
          </cell>
          <cell r="C969">
            <v>10250037961</v>
          </cell>
          <cell r="D969" t="str">
            <v>1*2</v>
          </cell>
          <cell r="E969" t="str">
            <v>锡膏</v>
          </cell>
          <cell r="F969" t="str">
            <v>海尔空调内机电控板</v>
          </cell>
          <cell r="G969">
            <v>0.10263157894736842</v>
          </cell>
          <cell r="H969">
            <v>380</v>
          </cell>
          <cell r="I969">
            <v>39</v>
          </cell>
        </row>
        <row r="970">
          <cell r="A970">
            <v>10880030841</v>
          </cell>
          <cell r="B970" t="str">
            <v>693-B2351F-PC 0011801606F</v>
          </cell>
          <cell r="C970" t="str">
            <v>10250037961/10250038605</v>
          </cell>
          <cell r="D970" t="str">
            <v>1*2</v>
          </cell>
          <cell r="E970" t="str">
            <v>锡膏</v>
          </cell>
          <cell r="F970" t="str">
            <v>海尔空调内机电控板</v>
          </cell>
          <cell r="G970">
            <v>0.10263157894736842</v>
          </cell>
          <cell r="H970">
            <v>380</v>
          </cell>
          <cell r="I970">
            <v>39</v>
          </cell>
        </row>
        <row r="971">
          <cell r="A971">
            <v>10880033723</v>
          </cell>
          <cell r="B971" t="str">
            <v>500323-C24I8B-PC 0011801606M</v>
          </cell>
          <cell r="C971" t="str">
            <v>10250037961/10250038605</v>
          </cell>
          <cell r="D971" t="str">
            <v>1*2</v>
          </cell>
          <cell r="E971" t="str">
            <v>锡膏</v>
          </cell>
          <cell r="F971" t="str">
            <v>海尔空调内机电控板</v>
          </cell>
          <cell r="G971">
            <v>0.10263157894736842</v>
          </cell>
          <cell r="H971">
            <v>380</v>
          </cell>
          <cell r="I971">
            <v>39</v>
          </cell>
        </row>
        <row r="972">
          <cell r="A972">
            <v>10880033722</v>
          </cell>
          <cell r="B972" t="str">
            <v>500323-C24I8A-PC 0011801606L</v>
          </cell>
          <cell r="C972" t="str">
            <v>10250037961/10250038605</v>
          </cell>
          <cell r="D972" t="str">
            <v>1*2</v>
          </cell>
          <cell r="E972" t="str">
            <v>锡膏</v>
          </cell>
          <cell r="F972" t="str">
            <v>海尔空调内机电控板</v>
          </cell>
          <cell r="G972">
            <v>0.10263157894736842</v>
          </cell>
          <cell r="H972">
            <v>380</v>
          </cell>
          <cell r="I972">
            <v>39</v>
          </cell>
        </row>
        <row r="973">
          <cell r="A973">
            <v>10880028344</v>
          </cell>
          <cell r="B973" t="str">
            <v>693-C2325A-D 0190400527</v>
          </cell>
          <cell r="C973" t="str">
            <v>10250035260/10250035259</v>
          </cell>
          <cell r="D973" t="str">
            <v>1*15</v>
          </cell>
          <cell r="E973" t="str">
            <v>锡膏</v>
          </cell>
          <cell r="F973" t="str">
            <v>海尔净水茶吧机显示板</v>
          </cell>
          <cell r="G973">
            <v>3.7500000000000006E-2</v>
          </cell>
          <cell r="H973">
            <v>800</v>
          </cell>
          <cell r="I973">
            <v>30</v>
          </cell>
        </row>
        <row r="974">
          <cell r="A974">
            <v>10880028345</v>
          </cell>
          <cell r="B974" t="str">
            <v>693-C2325B-D 0190400527A</v>
          </cell>
          <cell r="C974" t="str">
            <v>10250035260/10250035259</v>
          </cell>
          <cell r="D974" t="str">
            <v>1*15</v>
          </cell>
          <cell r="E974" t="str">
            <v>锡膏</v>
          </cell>
          <cell r="F974" t="str">
            <v>海尔净水茶吧机显示板</v>
          </cell>
          <cell r="G974">
            <v>3.7500000000000006E-2</v>
          </cell>
          <cell r="H974">
            <v>800</v>
          </cell>
          <cell r="I974">
            <v>30</v>
          </cell>
        </row>
        <row r="975">
          <cell r="A975">
            <v>10880031812</v>
          </cell>
          <cell r="B975" t="str">
            <v>693-C2325D-D 0190400527B</v>
          </cell>
          <cell r="C975" t="str">
            <v>10250035260/10250035259</v>
          </cell>
          <cell r="D975" t="str">
            <v>1*15</v>
          </cell>
          <cell r="E975" t="str">
            <v>锡膏</v>
          </cell>
          <cell r="F975" t="str">
            <v>净水527B显示板</v>
          </cell>
          <cell r="G975">
            <v>3.7500000000000006E-2</v>
          </cell>
          <cell r="H975">
            <v>800</v>
          </cell>
          <cell r="I975">
            <v>30</v>
          </cell>
        </row>
        <row r="976">
          <cell r="A976">
            <v>10880032609</v>
          </cell>
          <cell r="B976" t="str">
            <v>693-C2325E-D 0190400527D</v>
          </cell>
          <cell r="C976" t="str">
            <v>10250035260/10250035259</v>
          </cell>
          <cell r="D976" t="str">
            <v>1*15</v>
          </cell>
          <cell r="E976" t="str">
            <v>锡膏</v>
          </cell>
          <cell r="F976" t="str">
            <v>净水527D显示板</v>
          </cell>
          <cell r="G976">
            <v>3.7500000000000006E-2</v>
          </cell>
          <cell r="H976">
            <v>800</v>
          </cell>
          <cell r="I976">
            <v>30</v>
          </cell>
        </row>
        <row r="977">
          <cell r="A977">
            <v>10880028834</v>
          </cell>
          <cell r="B977" t="str">
            <v>1323-B2307A-D 0011801713</v>
          </cell>
          <cell r="C977" t="str">
            <v>10250035397/10250035398</v>
          </cell>
          <cell r="D977" t="str">
            <v>1*2</v>
          </cell>
          <cell r="E977" t="str">
            <v>锡膏</v>
          </cell>
          <cell r="F977" t="str">
            <v>海尔空调显示板</v>
          </cell>
          <cell r="G977">
            <v>4.2857142857142858E-2</v>
          </cell>
          <cell r="H977">
            <v>700</v>
          </cell>
          <cell r="I977">
            <v>30</v>
          </cell>
        </row>
        <row r="978">
          <cell r="A978">
            <v>10880033721</v>
          </cell>
          <cell r="B978" t="str">
            <v>500323-C24G9A-D 0011801713A</v>
          </cell>
          <cell r="C978" t="str">
            <v>10250035397/10250035398</v>
          </cell>
          <cell r="D978" t="str">
            <v>1*2</v>
          </cell>
          <cell r="E978" t="str">
            <v>锡膏</v>
          </cell>
          <cell r="F978" t="str">
            <v>海尔空调显示板</v>
          </cell>
          <cell r="G978">
            <v>4.2857142857142858E-2</v>
          </cell>
          <cell r="H978">
            <v>700</v>
          </cell>
          <cell r="I978">
            <v>30</v>
          </cell>
        </row>
        <row r="979">
          <cell r="A979">
            <v>10880029078</v>
          </cell>
          <cell r="B979" t="str">
            <v>693-B2363A-D 0011801125</v>
          </cell>
          <cell r="C979" t="str">
            <v>10250035070/10250035071</v>
          </cell>
          <cell r="D979" t="str">
            <v>1*12</v>
          </cell>
          <cell r="E979" t="str">
            <v>锡膏</v>
          </cell>
          <cell r="F979" t="str">
            <v>海尔空调挂机显示板</v>
          </cell>
          <cell r="G979">
            <v>0.01</v>
          </cell>
          <cell r="H979">
            <v>2500</v>
          </cell>
          <cell r="I979">
            <v>25</v>
          </cell>
        </row>
        <row r="980">
          <cell r="A980">
            <v>10880030023</v>
          </cell>
          <cell r="B980" t="str">
            <v xml:space="preserve">693-A2380A-D 0011801125A  </v>
          </cell>
          <cell r="C980" t="str">
            <v>10250035070/10250035071</v>
          </cell>
          <cell r="D980" t="str">
            <v>1*12</v>
          </cell>
          <cell r="E980" t="str">
            <v>锡膏</v>
          </cell>
          <cell r="F980" t="str">
            <v>海尔空调挂机显示板</v>
          </cell>
          <cell r="G980">
            <v>0.01</v>
          </cell>
          <cell r="H980">
            <v>2500</v>
          </cell>
          <cell r="I980">
            <v>25</v>
          </cell>
        </row>
        <row r="981">
          <cell r="A981">
            <v>10880021315</v>
          </cell>
          <cell r="B981" t="str">
            <v xml:space="preserve">693-C2221A-D 0190400415  </v>
          </cell>
          <cell r="C981">
            <v>10250032249</v>
          </cell>
          <cell r="D981" t="str">
            <v>1*4</v>
          </cell>
          <cell r="E981" t="str">
            <v>锡膏</v>
          </cell>
          <cell r="F981" t="str">
            <v>海尔净水器显示板</v>
          </cell>
          <cell r="G981">
            <v>6.6666666666666666E-2</v>
          </cell>
          <cell r="H981">
            <v>420</v>
          </cell>
          <cell r="I981">
            <v>28</v>
          </cell>
        </row>
        <row r="982">
          <cell r="A982">
            <v>10880021316</v>
          </cell>
          <cell r="B982" t="str">
            <v xml:space="preserve"> 693-C2221B-D 0190400415A  </v>
          </cell>
          <cell r="C982">
            <v>10250032249</v>
          </cell>
          <cell r="D982" t="str">
            <v>1*4</v>
          </cell>
          <cell r="E982" t="str">
            <v>锡膏</v>
          </cell>
          <cell r="F982" t="str">
            <v>海尔净水器显示板</v>
          </cell>
          <cell r="G982">
            <v>6.6666666666666666E-2</v>
          </cell>
          <cell r="H982">
            <v>420</v>
          </cell>
          <cell r="I982">
            <v>28</v>
          </cell>
        </row>
        <row r="983">
          <cell r="A983">
            <v>10880028393</v>
          </cell>
          <cell r="B983" t="str">
            <v xml:space="preserve">693-C2338A-PC 0190400415B  </v>
          </cell>
          <cell r="C983">
            <v>10250032249</v>
          </cell>
          <cell r="D983" t="str">
            <v>1*4</v>
          </cell>
          <cell r="E983" t="str">
            <v>锡膏</v>
          </cell>
          <cell r="F983" t="str">
            <v>净水显示板</v>
          </cell>
          <cell r="G983" t="e">
            <v>#VALUE!</v>
          </cell>
          <cell r="H983">
            <v>420</v>
          </cell>
          <cell r="I983">
            <v>28</v>
          </cell>
        </row>
        <row r="984">
          <cell r="A984">
            <v>10880033290</v>
          </cell>
          <cell r="B984" t="str">
            <v>500325-C2402A-D 888002201-415  </v>
          </cell>
          <cell r="C984" t="str">
            <v>10880033290 </v>
          </cell>
          <cell r="D984" t="str">
            <v>1*4</v>
          </cell>
          <cell r="E984" t="str">
            <v>锡膏</v>
          </cell>
          <cell r="F984" t="str">
            <v>净水显示板</v>
          </cell>
          <cell r="G984">
            <v>6.6666666666666666E-2</v>
          </cell>
          <cell r="H984">
            <v>420</v>
          </cell>
          <cell r="I984">
            <v>28</v>
          </cell>
        </row>
        <row r="985">
          <cell r="A985">
            <v>10880033291</v>
          </cell>
          <cell r="B985" t="str">
            <v>500325-C2402B-D 888002157-415A  </v>
          </cell>
          <cell r="C985" t="str">
            <v>10880033291 </v>
          </cell>
          <cell r="D985" t="str">
            <v>1*4</v>
          </cell>
          <cell r="E985" t="str">
            <v>锡膏</v>
          </cell>
          <cell r="F985" t="str">
            <v>净水显示板</v>
          </cell>
          <cell r="G985">
            <v>6.6666666666666666E-2</v>
          </cell>
          <cell r="H985">
            <v>420</v>
          </cell>
          <cell r="I985">
            <v>28</v>
          </cell>
        </row>
        <row r="986">
          <cell r="A986">
            <v>10880033293</v>
          </cell>
          <cell r="B986" t="str">
            <v>500325-C2402C-D 888002082-415B  </v>
          </cell>
          <cell r="C986" t="str">
            <v>10880033293 </v>
          </cell>
          <cell r="D986" t="str">
            <v>1*4</v>
          </cell>
          <cell r="E986" t="str">
            <v>锡膏</v>
          </cell>
          <cell r="F986" t="str">
            <v>净水显示板</v>
          </cell>
          <cell r="G986">
            <v>6.6666666666666666E-2</v>
          </cell>
          <cell r="H986">
            <v>420</v>
          </cell>
          <cell r="I986">
            <v>28</v>
          </cell>
        </row>
        <row r="987">
          <cell r="A987">
            <v>10880033296</v>
          </cell>
          <cell r="B987" t="str">
            <v>500325-C2402D-D 888001871-415C  </v>
          </cell>
          <cell r="C987" t="str">
            <v>10880033296 </v>
          </cell>
          <cell r="D987" t="str">
            <v>1*4</v>
          </cell>
          <cell r="E987" t="str">
            <v>锡膏</v>
          </cell>
          <cell r="F987" t="str">
            <v>净水显示板</v>
          </cell>
          <cell r="G987">
            <v>6.6666666666666666E-2</v>
          </cell>
          <cell r="H987">
            <v>420</v>
          </cell>
          <cell r="I987">
            <v>28</v>
          </cell>
        </row>
        <row r="988">
          <cell r="A988">
            <v>10880033297</v>
          </cell>
          <cell r="B988" t="str">
            <v>500325-C2402E-D 888001870-415D  </v>
          </cell>
          <cell r="C988" t="str">
            <v>10880033297 </v>
          </cell>
          <cell r="D988" t="str">
            <v>1*4</v>
          </cell>
          <cell r="E988" t="str">
            <v>锡膏</v>
          </cell>
          <cell r="F988" t="str">
            <v>净水显示板</v>
          </cell>
          <cell r="G988">
            <v>6.6666666666666666E-2</v>
          </cell>
          <cell r="H988">
            <v>420</v>
          </cell>
          <cell r="I988">
            <v>28</v>
          </cell>
        </row>
        <row r="989">
          <cell r="A989">
            <v>10880033298</v>
          </cell>
          <cell r="B989" t="str">
            <v>500325-C2402F-D 0190400415E  </v>
          </cell>
          <cell r="C989" t="str">
            <v>10880033298 </v>
          </cell>
          <cell r="D989" t="str">
            <v>1*4</v>
          </cell>
          <cell r="E989" t="str">
            <v>锡膏</v>
          </cell>
          <cell r="F989" t="str">
            <v>净水显示板</v>
          </cell>
          <cell r="G989">
            <v>6.6666666666666666E-2</v>
          </cell>
          <cell r="H989">
            <v>420</v>
          </cell>
          <cell r="I989">
            <v>28</v>
          </cell>
        </row>
        <row r="990">
          <cell r="A990">
            <v>10880034384</v>
          </cell>
          <cell r="B990" t="str">
            <v>500325-C2402G-D 888002542(415AA)  </v>
          </cell>
          <cell r="C990" t="str">
            <v>10880034384 </v>
          </cell>
          <cell r="D990" t="str">
            <v>1*4</v>
          </cell>
          <cell r="E990" t="str">
            <v>锡膏</v>
          </cell>
          <cell r="F990" t="str">
            <v>净水显示板</v>
          </cell>
          <cell r="G990">
            <v>6.6666666666666666E-2</v>
          </cell>
          <cell r="H990">
            <v>420</v>
          </cell>
          <cell r="I990">
            <v>28</v>
          </cell>
        </row>
        <row r="991">
          <cell r="A991">
            <v>10880034385</v>
          </cell>
          <cell r="B991" t="str">
            <v>500325-C2402H-D 888002452(415AB)  </v>
          </cell>
          <cell r="C991" t="str">
            <v>10880034385 </v>
          </cell>
          <cell r="D991" t="str">
            <v>1*4</v>
          </cell>
          <cell r="E991" t="str">
            <v>锡膏</v>
          </cell>
          <cell r="F991" t="str">
            <v>净水显示板</v>
          </cell>
          <cell r="G991">
            <v>6.6666666666666666E-2</v>
          </cell>
          <cell r="H991">
            <v>420</v>
          </cell>
          <cell r="I991">
            <v>28</v>
          </cell>
        </row>
        <row r="992">
          <cell r="A992">
            <v>10880030491</v>
          </cell>
          <cell r="B992" t="str">
            <v xml:space="preserve"> 693-B2379A-D 0011801716  </v>
          </cell>
          <cell r="C992" t="str">
            <v>10250036550/10250036551</v>
          </cell>
          <cell r="D992" t="str">
            <v>1*8</v>
          </cell>
          <cell r="E992" t="str">
            <v>锡膏</v>
          </cell>
          <cell r="F992" t="str">
            <v>海尔空调显示板</v>
          </cell>
          <cell r="G992">
            <v>1.6E-2</v>
          </cell>
          <cell r="H992">
            <v>1000</v>
          </cell>
          <cell r="I992">
            <v>16</v>
          </cell>
        </row>
        <row r="993">
          <cell r="A993">
            <v>10880030598</v>
          </cell>
          <cell r="B993" t="str">
            <v xml:space="preserve">693-C23C6A-PC 0011801119N  </v>
          </cell>
          <cell r="C993">
            <v>10250036242</v>
          </cell>
          <cell r="D993" t="str">
            <v>1*2</v>
          </cell>
          <cell r="E993" t="str">
            <v>锡膏</v>
          </cell>
          <cell r="F993" t="str">
            <v>家用空调电控板</v>
          </cell>
          <cell r="G993">
            <v>0.185</v>
          </cell>
          <cell r="H993">
            <v>200</v>
          </cell>
          <cell r="I993">
            <v>37</v>
          </cell>
        </row>
        <row r="994">
          <cell r="A994">
            <v>10880030599</v>
          </cell>
          <cell r="B994" t="str">
            <v xml:space="preserve"> 693-C23C6B-PC 0011801119P  </v>
          </cell>
          <cell r="C994">
            <v>10250036242</v>
          </cell>
          <cell r="D994" t="str">
            <v>1*2</v>
          </cell>
          <cell r="E994" t="str">
            <v>锡膏</v>
          </cell>
          <cell r="F994" t="str">
            <v>家用空调电控板</v>
          </cell>
          <cell r="G994">
            <v>0.185</v>
          </cell>
          <cell r="H994">
            <v>200</v>
          </cell>
          <cell r="I994">
            <v>37</v>
          </cell>
        </row>
        <row r="995">
          <cell r="A995">
            <v>10880031362</v>
          </cell>
          <cell r="B995" t="str">
            <v>693-C23C6C-PC 0011801119Q</v>
          </cell>
          <cell r="C995" t="str">
            <v>10250039906/10250039907</v>
          </cell>
          <cell r="D995" t="str">
            <v>1*2</v>
          </cell>
          <cell r="E995" t="str">
            <v>锡膏</v>
          </cell>
          <cell r="F995" t="str">
            <v>海尔空调1119Q电控板</v>
          </cell>
          <cell r="G995">
            <v>0.185</v>
          </cell>
          <cell r="H995">
            <v>200</v>
          </cell>
          <cell r="I995">
            <v>37</v>
          </cell>
        </row>
        <row r="996">
          <cell r="A996">
            <v>10880028905</v>
          </cell>
          <cell r="B996" t="str">
            <v xml:space="preserve">693-C2336A-PC 0190400507  </v>
          </cell>
          <cell r="C996" t="str">
            <v>10250035956/10250035958</v>
          </cell>
          <cell r="D996" t="str">
            <v>1*2</v>
          </cell>
          <cell r="E996" t="str">
            <v>锡膏/灌胶</v>
          </cell>
          <cell r="F996" t="str">
            <v>净水主控板</v>
          </cell>
          <cell r="G996">
            <v>0.12583333333333332</v>
          </cell>
          <cell r="H996">
            <v>400</v>
          </cell>
          <cell r="I996">
            <v>45</v>
          </cell>
        </row>
        <row r="997">
          <cell r="A997">
            <v>10880030285</v>
          </cell>
          <cell r="B997" t="str">
            <v>693-C2336B-PC 0190400507A</v>
          </cell>
          <cell r="C997" t="str">
            <v>10250035956/10250035958</v>
          </cell>
          <cell r="D997" t="str">
            <v>1*2</v>
          </cell>
          <cell r="E997" t="str">
            <v>锡膏/灌胶</v>
          </cell>
          <cell r="F997" t="str">
            <v>净水主控板</v>
          </cell>
          <cell r="G997">
            <v>0.12583333333333332</v>
          </cell>
          <cell r="H997">
            <v>400</v>
          </cell>
          <cell r="I997">
            <v>45</v>
          </cell>
        </row>
        <row r="998">
          <cell r="A998">
            <v>10880030450</v>
          </cell>
          <cell r="B998" t="str">
            <v>693-C23E6A-X 0150410226  </v>
          </cell>
          <cell r="C998" t="str">
            <v xml:space="preserve"> 10250036451/ 10250036452</v>
          </cell>
          <cell r="D998" t="str">
            <v>1*3</v>
          </cell>
          <cell r="E998" t="str">
            <v>锡膏</v>
          </cell>
          <cell r="F998" t="str">
            <v>空调226电容板</v>
          </cell>
          <cell r="G998">
            <v>6.5000000000000002E-2</v>
          </cell>
          <cell r="H998">
            <v>400</v>
          </cell>
          <cell r="I998">
            <v>26</v>
          </cell>
        </row>
        <row r="999">
          <cell r="A999">
            <v>10880030620</v>
          </cell>
          <cell r="B999" t="str">
            <v xml:space="preserve">693-C23G6A-PC 0011801825  </v>
          </cell>
          <cell r="C999" t="str">
            <v>10250036205/10250036204</v>
          </cell>
          <cell r="D999" t="str">
            <v>1*2</v>
          </cell>
          <cell r="E999" t="str">
            <v>锡膏</v>
          </cell>
          <cell r="F999" t="str">
            <v>海尔空调1825电控板</v>
          </cell>
          <cell r="G999">
            <v>6.4444444444444443E-2</v>
          </cell>
          <cell r="H999">
            <v>450</v>
          </cell>
          <cell r="I999">
            <v>29</v>
          </cell>
        </row>
        <row r="1000">
          <cell r="A1000">
            <v>10880029958</v>
          </cell>
          <cell r="B1000" t="str">
            <v xml:space="preserve"> 1323-C2305A-D 0011801659  </v>
          </cell>
          <cell r="C1000" t="str">
            <v>10250036669/10250036670</v>
          </cell>
          <cell r="D1000" t="str">
            <v>1*2</v>
          </cell>
          <cell r="E1000" t="str">
            <v>锡膏</v>
          </cell>
          <cell r="F1000" t="str">
            <v>挂机显示板（日本）</v>
          </cell>
          <cell r="G1000">
            <v>3.0000000000000002E-2</v>
          </cell>
          <cell r="H1000">
            <v>600</v>
          </cell>
          <cell r="I1000">
            <v>18</v>
          </cell>
        </row>
        <row r="1001">
          <cell r="A1001">
            <v>10880029957</v>
          </cell>
          <cell r="B1001" t="str">
            <v xml:space="preserve">1323-C2306A-PC 0011801652  </v>
          </cell>
          <cell r="C1001" t="str">
            <v>10250036077/10250036080</v>
          </cell>
          <cell r="D1001" t="str">
            <v>1*2</v>
          </cell>
          <cell r="E1001" t="str">
            <v>锡膏</v>
          </cell>
          <cell r="F1001" t="str">
            <v>内机电控板（日本)</v>
          </cell>
          <cell r="G1001">
            <v>6.9767441860465115E-2</v>
          </cell>
          <cell r="H1001">
            <v>430</v>
          </cell>
          <cell r="I1001">
            <v>30</v>
          </cell>
        </row>
        <row r="1002">
          <cell r="A1002">
            <v>10880030784</v>
          </cell>
          <cell r="B1002" t="str">
            <v xml:space="preserve">693-C23I1A-PC 0011801652A  </v>
          </cell>
          <cell r="C1002" t="str">
            <v>10250036077/10250036080</v>
          </cell>
          <cell r="D1002" t="str">
            <v>1*2</v>
          </cell>
          <cell r="E1002" t="str">
            <v>锡膏</v>
          </cell>
          <cell r="F1002" t="str">
            <v>内机电控板</v>
          </cell>
          <cell r="G1002">
            <v>6.9767441860465115E-2</v>
          </cell>
          <cell r="H1002">
            <v>430</v>
          </cell>
          <cell r="I1002">
            <v>30</v>
          </cell>
        </row>
        <row r="1003">
          <cell r="A1003">
            <v>10880030977</v>
          </cell>
          <cell r="B1003" t="str">
            <v>693-C23I2A-PC 0011801657</v>
          </cell>
          <cell r="C1003">
            <v>10250036636</v>
          </cell>
          <cell r="D1003" t="str">
            <v>1*2</v>
          </cell>
          <cell r="E1003" t="str">
            <v>锡膏</v>
          </cell>
          <cell r="F1003" t="str">
            <v>日本空调1657电控板</v>
          </cell>
          <cell r="G1003">
            <v>0.16000000000000003</v>
          </cell>
          <cell r="H1003">
            <v>200</v>
          </cell>
          <cell r="I1003">
            <v>32</v>
          </cell>
        </row>
        <row r="1004">
          <cell r="A1004">
            <v>10880033280</v>
          </cell>
          <cell r="B1004" t="str">
            <v>500323-C2491B-PC 0011801657A</v>
          </cell>
          <cell r="C1004">
            <v>10250040883</v>
          </cell>
          <cell r="D1004" t="str">
            <v>1*2</v>
          </cell>
          <cell r="E1004" t="str">
            <v>锡膏</v>
          </cell>
          <cell r="F1004" t="str">
            <v>空调电控板</v>
          </cell>
          <cell r="G1004">
            <v>0.16000000000000003</v>
          </cell>
          <cell r="H1004">
            <v>200</v>
          </cell>
          <cell r="I1004">
            <v>32</v>
          </cell>
        </row>
        <row r="1005">
          <cell r="A1005">
            <v>10880031182</v>
          </cell>
          <cell r="B1005" t="str">
            <v>693-B23G2A-PC 0011801330G</v>
          </cell>
          <cell r="C1005" t="str">
            <v>10250036810/10250036809</v>
          </cell>
          <cell r="D1005" t="str">
            <v>1*2</v>
          </cell>
          <cell r="E1005" t="str">
            <v>锡膏</v>
          </cell>
          <cell r="F1005" t="str">
            <v>海尔空调1330C电控板</v>
          </cell>
          <cell r="G1005">
            <v>0.06</v>
          </cell>
          <cell r="H1005">
            <v>500</v>
          </cell>
          <cell r="I1005">
            <v>30</v>
          </cell>
        </row>
        <row r="1006">
          <cell r="A1006">
            <v>10880031183</v>
          </cell>
          <cell r="B1006" t="str">
            <v>693-B23G2B-PC 0011801330H</v>
          </cell>
          <cell r="C1006" t="str">
            <v>10250036810/10250036809</v>
          </cell>
          <cell r="D1006" t="str">
            <v>1*2</v>
          </cell>
          <cell r="E1006" t="str">
            <v>锡膏</v>
          </cell>
          <cell r="F1006" t="str">
            <v>海尔空调1330C电控板</v>
          </cell>
          <cell r="G1006">
            <v>0.06</v>
          </cell>
          <cell r="H1006">
            <v>500</v>
          </cell>
          <cell r="I1006">
            <v>30</v>
          </cell>
        </row>
        <row r="1007">
          <cell r="A1007">
            <v>10880031184</v>
          </cell>
          <cell r="B1007" t="str">
            <v>693-B23G2C-PC 0011801330J</v>
          </cell>
          <cell r="C1007" t="str">
            <v>10250036810/10250036809</v>
          </cell>
          <cell r="D1007" t="str">
            <v>1*2</v>
          </cell>
          <cell r="E1007" t="str">
            <v>锡膏</v>
          </cell>
          <cell r="F1007" t="str">
            <v>海尔空调1330C电控板</v>
          </cell>
          <cell r="G1007">
            <v>0.06</v>
          </cell>
          <cell r="H1007">
            <v>500</v>
          </cell>
          <cell r="I1007">
            <v>30</v>
          </cell>
        </row>
        <row r="1008">
          <cell r="A1008">
            <v>10880031307</v>
          </cell>
          <cell r="B1008" t="str">
            <v xml:space="preserve">693-B23G2D-PC 0011801330C  </v>
          </cell>
          <cell r="C1008" t="str">
            <v>10250036810/10250036809</v>
          </cell>
          <cell r="D1008" t="str">
            <v>1*2</v>
          </cell>
          <cell r="E1008" t="str">
            <v>锡膏</v>
          </cell>
          <cell r="F1008" t="str">
            <v>海尔空调1330C电控板</v>
          </cell>
          <cell r="G1008">
            <v>0.06</v>
          </cell>
          <cell r="H1008">
            <v>500</v>
          </cell>
          <cell r="I1008">
            <v>30</v>
          </cell>
        </row>
        <row r="1009">
          <cell r="A1009">
            <v>10880037370</v>
          </cell>
          <cell r="B1009" t="str">
            <v xml:space="preserve">600766-A2503A-PC G0044 0011801330MHR </v>
          </cell>
          <cell r="C1009" t="str">
            <v>10250037392/10250037393</v>
          </cell>
          <cell r="D1009" t="str">
            <v>1*2</v>
          </cell>
          <cell r="E1009" t="str">
            <v>锡膏</v>
          </cell>
          <cell r="F1009" t="str">
            <v>空调电控板</v>
          </cell>
          <cell r="G1009">
            <v>0.14585164835164835</v>
          </cell>
          <cell r="H1009">
            <v>140</v>
          </cell>
          <cell r="I1009">
            <v>36</v>
          </cell>
        </row>
        <row r="1010">
          <cell r="A1010">
            <v>10880028832</v>
          </cell>
          <cell r="B1010" t="str">
            <v xml:space="preserve">693-C2344A-PC 0011801738  </v>
          </cell>
          <cell r="C1010" t="str">
            <v>10250036424/10250036425</v>
          </cell>
          <cell r="D1010" t="str">
            <v>1*2</v>
          </cell>
          <cell r="E1010" t="str">
            <v>锡膏</v>
          </cell>
          <cell r="F1010" t="str">
            <v>海尔空调电控板</v>
          </cell>
          <cell r="G1010">
            <v>0.12333333333333332</v>
          </cell>
          <cell r="H1010">
            <v>300</v>
          </cell>
          <cell r="I1010">
            <v>37</v>
          </cell>
        </row>
        <row r="1011">
          <cell r="A1011">
            <v>10880031015</v>
          </cell>
          <cell r="B1011" t="str">
            <v xml:space="preserve"> 693-C2393A-PC 0011801640</v>
          </cell>
          <cell r="C1011">
            <v>10250036616</v>
          </cell>
          <cell r="D1011" t="str">
            <v>1*2</v>
          </cell>
          <cell r="E1011" t="str">
            <v>锡膏</v>
          </cell>
          <cell r="F1011" t="str">
            <v>海尔空调变频电控板</v>
          </cell>
          <cell r="G1011">
            <v>0.15500000000000003</v>
          </cell>
          <cell r="H1011">
            <v>200</v>
          </cell>
          <cell r="I1011">
            <v>31</v>
          </cell>
        </row>
        <row r="1012">
          <cell r="A1012">
            <v>10880036868</v>
          </cell>
          <cell r="B1012" t="str">
            <v xml:space="preserve">1911-C2302E-PC G0044 0011801640 泰国  </v>
          </cell>
          <cell r="C1012">
            <v>10250036616</v>
          </cell>
          <cell r="D1012" t="str">
            <v>1*2</v>
          </cell>
          <cell r="E1012" t="str">
            <v>锡膏</v>
          </cell>
          <cell r="F1012" t="str">
            <v>海尔空调变频电控板</v>
          </cell>
          <cell r="G1012">
            <v>0.15500000000000003</v>
          </cell>
          <cell r="H1012">
            <v>200</v>
          </cell>
          <cell r="I1012">
            <v>31</v>
          </cell>
        </row>
        <row r="1013">
          <cell r="A1013">
            <v>10880030299</v>
          </cell>
          <cell r="B1013" t="str">
            <v>693-C2335A-PC 0211800001</v>
          </cell>
          <cell r="C1013" t="str">
            <v>10250035934/10250035935</v>
          </cell>
          <cell r="D1013" t="str">
            <v>1*4</v>
          </cell>
          <cell r="E1013" t="str">
            <v>锡膏</v>
          </cell>
          <cell r="F1013" t="str">
            <v>晾衣架电控板</v>
          </cell>
          <cell r="G1013">
            <v>0.10555555555555554</v>
          </cell>
          <cell r="H1013">
            <v>360</v>
          </cell>
          <cell r="I1013">
            <v>38</v>
          </cell>
        </row>
        <row r="1014">
          <cell r="A1014">
            <v>10880030607</v>
          </cell>
          <cell r="B1014" t="str">
            <v xml:space="preserve">693-B23G7A-PC  0011801048AE  </v>
          </cell>
          <cell r="C1014" t="str">
            <v>10250031564/10250031565</v>
          </cell>
          <cell r="D1014" t="str">
            <v>1*1</v>
          </cell>
          <cell r="E1014" t="str">
            <v>锡膏</v>
          </cell>
          <cell r="F1014" t="str">
            <v>海尔空调电控板</v>
          </cell>
          <cell r="G1014">
            <v>0.1357142857142857</v>
          </cell>
          <cell r="H1014">
            <v>280</v>
          </cell>
          <cell r="I1014">
            <v>38</v>
          </cell>
        </row>
        <row r="1015">
          <cell r="A1015">
            <v>10880030608</v>
          </cell>
          <cell r="B1015" t="str">
            <v xml:space="preserve">693-B23G7B-PC  0011801048AF  </v>
          </cell>
          <cell r="C1015">
            <v>10250036995</v>
          </cell>
          <cell r="D1015" t="str">
            <v>1*1</v>
          </cell>
          <cell r="E1015" t="str">
            <v>锡膏</v>
          </cell>
          <cell r="F1015" t="str">
            <v>海尔空调电控板</v>
          </cell>
          <cell r="G1015">
            <v>0.1357142857142857</v>
          </cell>
          <cell r="H1015">
            <v>280</v>
          </cell>
          <cell r="I1015">
            <v>38</v>
          </cell>
        </row>
        <row r="1016">
          <cell r="A1016">
            <v>10880031139</v>
          </cell>
          <cell r="B1016" t="str">
            <v>693-B23G7D-PC  0011801048AH</v>
          </cell>
          <cell r="C1016">
            <v>10250036995</v>
          </cell>
          <cell r="D1016" t="str">
            <v>1*1</v>
          </cell>
          <cell r="E1016" t="str">
            <v>锡膏</v>
          </cell>
          <cell r="F1016" t="str">
            <v>海尔空调电控板</v>
          </cell>
          <cell r="G1016">
            <v>0.1357142857142857</v>
          </cell>
          <cell r="H1016">
            <v>280</v>
          </cell>
          <cell r="I1016">
            <v>38</v>
          </cell>
        </row>
        <row r="1017">
          <cell r="A1017">
            <v>10880031138</v>
          </cell>
          <cell r="B1017" t="str">
            <v>693-B23G7C-PC  0011801048AG</v>
          </cell>
          <cell r="C1017">
            <v>10250036995</v>
          </cell>
          <cell r="D1017" t="str">
            <v>1*1</v>
          </cell>
          <cell r="E1017" t="str">
            <v>锡膏</v>
          </cell>
          <cell r="F1017" t="str">
            <v>海尔空调电控板</v>
          </cell>
          <cell r="G1017">
            <v>0.1357142857142857</v>
          </cell>
          <cell r="H1017">
            <v>280</v>
          </cell>
          <cell r="I1017">
            <v>38</v>
          </cell>
        </row>
        <row r="1018">
          <cell r="A1018">
            <v>10880020694</v>
          </cell>
          <cell r="B1018" t="str">
            <v>693-C2248B-PC  0011801048A</v>
          </cell>
          <cell r="C1018" t="str">
            <v xml:space="preserve"> 10250031564/ 10250031565</v>
          </cell>
          <cell r="D1018" t="str">
            <v>1*1</v>
          </cell>
          <cell r="E1018" t="str">
            <v>锡膏</v>
          </cell>
          <cell r="F1018" t="str">
            <v>海尔空调电控板</v>
          </cell>
          <cell r="G1018">
            <v>0.1357142857142857</v>
          </cell>
          <cell r="H1018">
            <v>280</v>
          </cell>
          <cell r="I1018">
            <v>38</v>
          </cell>
        </row>
        <row r="1019">
          <cell r="A1019">
            <v>10880030493</v>
          </cell>
          <cell r="B1019" t="str">
            <v xml:space="preserve">693-C23B2A-PC 0151800648D  </v>
          </cell>
          <cell r="C1019" t="str">
            <v>10250036082/10250036083</v>
          </cell>
          <cell r="D1019" t="str">
            <v>1*2</v>
          </cell>
          <cell r="E1019" t="str">
            <v>锡膏</v>
          </cell>
          <cell r="F1019" t="str">
            <v>海尔空调648D电控板</v>
          </cell>
          <cell r="G1019">
            <v>0.14333333333333331</v>
          </cell>
          <cell r="H1019">
            <v>300</v>
          </cell>
          <cell r="I1019">
            <v>43</v>
          </cell>
        </row>
        <row r="1020">
          <cell r="A1020">
            <v>10880031304</v>
          </cell>
          <cell r="B1020" t="str">
            <v xml:space="preserve">693-B23K2A-PC 0011801482 </v>
          </cell>
          <cell r="C1020" t="str">
            <v>10250037354/10250037355</v>
          </cell>
          <cell r="D1020" t="str">
            <v>1*2</v>
          </cell>
          <cell r="E1020" t="str">
            <v>锡膏</v>
          </cell>
          <cell r="F1020" t="str">
            <v>空调主控1482电控板</v>
          </cell>
          <cell r="G1020">
            <v>5.7999999999999996E-2</v>
          </cell>
          <cell r="H1020">
            <v>500</v>
          </cell>
          <cell r="I1020">
            <v>29</v>
          </cell>
        </row>
        <row r="1021">
          <cell r="A1021">
            <v>10880033217</v>
          </cell>
          <cell r="B1021" t="str">
            <v>500323-C2488A-PC 0011801482A</v>
          </cell>
          <cell r="C1021" t="str">
            <v>10250037354/10250037355</v>
          </cell>
          <cell r="D1021" t="str">
            <v>1*2</v>
          </cell>
          <cell r="E1021" t="str">
            <v>锡膏</v>
          </cell>
          <cell r="F1021" t="str">
            <v>空调主控1482电控板</v>
          </cell>
          <cell r="G1021">
            <v>5.7999999999999996E-2</v>
          </cell>
          <cell r="H1021">
            <v>500</v>
          </cell>
          <cell r="I1021">
            <v>29</v>
          </cell>
        </row>
        <row r="1022">
          <cell r="A1022">
            <v>10880027854</v>
          </cell>
          <cell r="B1022" t="str">
            <v xml:space="preserve">693-C2310A-PC  0190400340  </v>
          </cell>
          <cell r="C1022">
            <v>10250034953</v>
          </cell>
          <cell r="D1022" t="str">
            <v>1*3</v>
          </cell>
          <cell r="E1022" t="str">
            <v>锡膏</v>
          </cell>
          <cell r="F1022" t="str">
            <v>净水主控板电控板</v>
          </cell>
          <cell r="G1022">
            <v>0.11749999999999999</v>
          </cell>
          <cell r="H1022">
            <v>400</v>
          </cell>
          <cell r="I1022">
            <v>35</v>
          </cell>
        </row>
        <row r="1023">
          <cell r="A1023">
            <v>10880031164</v>
          </cell>
          <cell r="B1023" t="str">
            <v xml:space="preserve">693-C2310B-PC 0190400340A  </v>
          </cell>
          <cell r="C1023">
            <v>10250034953</v>
          </cell>
          <cell r="D1023" t="str">
            <v>1*3</v>
          </cell>
          <cell r="E1023" t="str">
            <v>锡膏</v>
          </cell>
          <cell r="F1023" t="str">
            <v>净水主控板电控板</v>
          </cell>
          <cell r="G1023">
            <v>0.11749999999999999</v>
          </cell>
          <cell r="H1023">
            <v>400</v>
          </cell>
          <cell r="I1023">
            <v>35</v>
          </cell>
        </row>
        <row r="1024">
          <cell r="A1024">
            <v>10880033130</v>
          </cell>
          <cell r="B1024" t="str">
            <v>500323-C24A1A-PC 0190400340BA</v>
          </cell>
          <cell r="C1024">
            <v>10250034953</v>
          </cell>
          <cell r="D1024" t="str">
            <v>1*3</v>
          </cell>
          <cell r="E1024" t="str">
            <v>锡膏</v>
          </cell>
          <cell r="F1024" t="str">
            <v>净水主控板电控板</v>
          </cell>
          <cell r="G1024">
            <v>0.11749999999999999</v>
          </cell>
          <cell r="H1024">
            <v>400</v>
          </cell>
          <cell r="I1024">
            <v>35</v>
          </cell>
        </row>
        <row r="1025">
          <cell r="A1025">
            <v>10880033663</v>
          </cell>
          <cell r="B1025" t="str">
            <v xml:space="preserve">500323-C24A1B-PC 0190400340CA </v>
          </cell>
          <cell r="C1025" t="str">
            <v>10250040674/10250041081</v>
          </cell>
          <cell r="D1025" t="str">
            <v>1*3</v>
          </cell>
          <cell r="E1025" t="str">
            <v>锡膏</v>
          </cell>
          <cell r="F1025" t="str">
            <v>净水主控板电控板</v>
          </cell>
          <cell r="G1025">
            <v>0.11749999999999999</v>
          </cell>
          <cell r="H1025">
            <v>400</v>
          </cell>
          <cell r="I1025">
            <v>35</v>
          </cell>
        </row>
        <row r="1026">
          <cell r="A1026">
            <v>10880028328</v>
          </cell>
          <cell r="B1026" t="str">
            <v>693-C2328A-PC 0190400534</v>
          </cell>
          <cell r="C1026" t="str">
            <v>10250036052/10250036053</v>
          </cell>
          <cell r="D1026" t="str">
            <v>1*3</v>
          </cell>
          <cell r="E1026" t="str">
            <v>锡膏</v>
          </cell>
          <cell r="F1026" t="str">
            <v>净水主变一体板电控板</v>
          </cell>
          <cell r="G1026">
            <v>0.11499999999999999</v>
          </cell>
          <cell r="H1026">
            <v>400</v>
          </cell>
          <cell r="I1026">
            <v>34</v>
          </cell>
        </row>
        <row r="1027">
          <cell r="A1027">
            <v>10880030932</v>
          </cell>
          <cell r="B1027" t="str">
            <v>693-C2328B-PC 0190400534A</v>
          </cell>
          <cell r="C1027" t="str">
            <v>10250036052/10250036053</v>
          </cell>
          <cell r="D1027" t="str">
            <v>1*3</v>
          </cell>
          <cell r="E1027" t="str">
            <v>锡膏</v>
          </cell>
          <cell r="F1027" t="str">
            <v>净水主变一体板电控板</v>
          </cell>
          <cell r="G1027">
            <v>0.11499999999999999</v>
          </cell>
          <cell r="H1027">
            <v>400</v>
          </cell>
          <cell r="I1027">
            <v>34</v>
          </cell>
        </row>
        <row r="1028">
          <cell r="A1028">
            <v>10880032024</v>
          </cell>
          <cell r="B1028" t="str">
            <v>693-C2328C-PC 0190400534B</v>
          </cell>
          <cell r="C1028" t="str">
            <v>10250036052/10250036053</v>
          </cell>
          <cell r="D1028" t="str">
            <v>1*3</v>
          </cell>
          <cell r="E1028" t="str">
            <v>锡膏</v>
          </cell>
          <cell r="F1028" t="str">
            <v>净水主变一体板电控板</v>
          </cell>
          <cell r="G1028">
            <v>0.11499999999999999</v>
          </cell>
          <cell r="H1028">
            <v>400</v>
          </cell>
          <cell r="I1028">
            <v>34</v>
          </cell>
        </row>
        <row r="1029">
          <cell r="A1029">
            <v>10880032322</v>
          </cell>
          <cell r="B1029" t="str">
            <v>693-C2328D-PC 0190400534D</v>
          </cell>
          <cell r="C1029" t="str">
            <v>10250036052/10250036053</v>
          </cell>
          <cell r="D1029" t="str">
            <v>1*3</v>
          </cell>
          <cell r="E1029" t="str">
            <v>锡膏</v>
          </cell>
          <cell r="F1029" t="str">
            <v>净水主控板534D电控板</v>
          </cell>
          <cell r="G1029">
            <v>0.11499999999999999</v>
          </cell>
          <cell r="H1029">
            <v>400</v>
          </cell>
          <cell r="I1029">
            <v>34</v>
          </cell>
        </row>
        <row r="1030">
          <cell r="A1030">
            <v>10880029999</v>
          </cell>
          <cell r="B1030" t="str">
            <v xml:space="preserve">693-C2389A-D 0021800615  </v>
          </cell>
          <cell r="C1030" t="str">
            <v>10250035560/10250035561</v>
          </cell>
          <cell r="D1030" t="str">
            <v>1*5</v>
          </cell>
          <cell r="E1030" t="str">
            <v>锡膏</v>
          </cell>
          <cell r="F1030" t="str">
            <v>洗衣机615显示板</v>
          </cell>
          <cell r="G1030">
            <v>0.13666666666666669</v>
          </cell>
          <cell r="H1030">
            <v>300</v>
          </cell>
          <cell r="I1030">
            <v>41</v>
          </cell>
        </row>
        <row r="1031">
          <cell r="A1031" t="str">
            <v>10880034411 </v>
          </cell>
          <cell r="B1031" t="str">
            <v>693-C2404A-D 0021800615A(国内)  </v>
          </cell>
          <cell r="C1031">
            <v>0</v>
          </cell>
          <cell r="D1031" t="str">
            <v>1*5</v>
          </cell>
          <cell r="E1031" t="str">
            <v>锡膏</v>
          </cell>
          <cell r="F1031" t="str">
            <v>洗衣机615A显示板</v>
          </cell>
          <cell r="G1031">
            <v>0.13666666666666669</v>
          </cell>
          <cell r="H1031">
            <v>300</v>
          </cell>
          <cell r="I1031">
            <v>41</v>
          </cell>
        </row>
        <row r="1032">
          <cell r="A1032">
            <v>10880031570</v>
          </cell>
          <cell r="B1032" t="str">
            <v>693-C2404A-D 0021800615A(俄罗斯)</v>
          </cell>
          <cell r="C1032" t="str">
            <v>10250035560/10250035561</v>
          </cell>
          <cell r="D1032" t="str">
            <v>1*5</v>
          </cell>
          <cell r="E1032" t="str">
            <v>锡膏</v>
          </cell>
          <cell r="F1032" t="str">
            <v>洗衣机615A显示板</v>
          </cell>
          <cell r="G1032">
            <v>0.14000000000000001</v>
          </cell>
          <cell r="H1032">
            <v>300</v>
          </cell>
          <cell r="I1032">
            <v>42</v>
          </cell>
        </row>
        <row r="1033">
          <cell r="A1033">
            <v>10880033965</v>
          </cell>
          <cell r="B1033" t="str">
            <v>600208-C2404A-D 70051649</v>
          </cell>
          <cell r="C1033" t="str">
            <v>10250035560/10250035561</v>
          </cell>
          <cell r="D1033" t="str">
            <v>1*5</v>
          </cell>
          <cell r="E1033" t="str">
            <v>锡膏</v>
          </cell>
          <cell r="F1033" t="str">
            <v>洗衣机615A显示板</v>
          </cell>
          <cell r="G1033">
            <v>0.13666666666666669</v>
          </cell>
          <cell r="H1033">
            <v>300</v>
          </cell>
          <cell r="I1033">
            <v>41</v>
          </cell>
        </row>
        <row r="1034">
          <cell r="A1034">
            <v>10880033400</v>
          </cell>
          <cell r="B1034" t="str">
            <v>500323-C24F5A-D 0021800615B</v>
          </cell>
          <cell r="C1034" t="str">
            <v>10250035560/10250035561</v>
          </cell>
          <cell r="D1034" t="str">
            <v>1*5</v>
          </cell>
          <cell r="E1034" t="str">
            <v>锡膏</v>
          </cell>
          <cell r="F1034" t="str">
            <v>洗衣机615B显示板</v>
          </cell>
          <cell r="G1034">
            <v>0.13666666666666669</v>
          </cell>
          <cell r="H1034">
            <v>300</v>
          </cell>
          <cell r="I1034">
            <v>41</v>
          </cell>
        </row>
        <row r="1035">
          <cell r="A1035">
            <v>10880033916</v>
          </cell>
          <cell r="B1035" t="str">
            <v>500323-C24F5B-D 0021800615C</v>
          </cell>
          <cell r="C1035" t="str">
            <v>10250035560/10250035561</v>
          </cell>
          <cell r="D1035" t="str">
            <v>1*5</v>
          </cell>
          <cell r="E1035" t="str">
            <v>锡膏</v>
          </cell>
          <cell r="F1035" t="str">
            <v>洗衣机615C显示板</v>
          </cell>
          <cell r="G1035">
            <v>0.13666666666666669</v>
          </cell>
          <cell r="H1035">
            <v>300</v>
          </cell>
          <cell r="I1035">
            <v>41</v>
          </cell>
        </row>
        <row r="1036">
          <cell r="A1036">
            <v>10880035989</v>
          </cell>
          <cell r="B1036" t="str">
            <v>500323-C24F5D-D G0044 0021800615D</v>
          </cell>
          <cell r="C1036" t="str">
            <v>10250035560/10250035561</v>
          </cell>
          <cell r="D1036" t="str">
            <v>1*5</v>
          </cell>
          <cell r="E1036" t="str">
            <v>锡膏</v>
          </cell>
          <cell r="F1036" t="str">
            <v>洗衣机615D显示板</v>
          </cell>
          <cell r="G1036">
            <v>0.13666666666666669</v>
          </cell>
          <cell r="H1036">
            <v>300</v>
          </cell>
          <cell r="I1036">
            <v>41</v>
          </cell>
        </row>
        <row r="1037">
          <cell r="A1037" t="str">
            <v>10880035407 </v>
          </cell>
          <cell r="B1037" t="str">
            <v>500323-C24F5C-D G0044 0021800615G  </v>
          </cell>
          <cell r="C1037" t="str">
            <v>10250035560/10250035561</v>
          </cell>
          <cell r="D1037" t="str">
            <v>1*5</v>
          </cell>
          <cell r="E1037" t="str">
            <v>锡膏</v>
          </cell>
          <cell r="F1037" t="str">
            <v>洗衣机615G显示板</v>
          </cell>
          <cell r="G1037">
            <v>0.13552660152008686</v>
          </cell>
          <cell r="H1037">
            <v>300</v>
          </cell>
          <cell r="I1037">
            <v>41</v>
          </cell>
        </row>
        <row r="1038">
          <cell r="A1038">
            <v>10880030004</v>
          </cell>
          <cell r="B1038" t="str">
            <v xml:space="preserve">693-C2390A-D 0021800616  </v>
          </cell>
          <cell r="C1038" t="str">
            <v>10250035562/10250035563</v>
          </cell>
          <cell r="D1038" t="str">
            <v>1*5</v>
          </cell>
          <cell r="E1038" t="str">
            <v>锡膏</v>
          </cell>
          <cell r="F1038" t="str">
            <v>洗衣机616显示板</v>
          </cell>
          <cell r="G1038">
            <v>0.14000000000000001</v>
          </cell>
          <cell r="H1038">
            <v>300</v>
          </cell>
          <cell r="I1038">
            <v>42</v>
          </cell>
        </row>
        <row r="1039">
          <cell r="A1039">
            <v>10880034251</v>
          </cell>
          <cell r="B1039" t="str">
            <v>500323-C24D2C-D 0021800616A</v>
          </cell>
          <cell r="C1039" t="str">
            <v>10250035562/10250035563</v>
          </cell>
          <cell r="D1039" t="str">
            <v>1*5</v>
          </cell>
          <cell r="E1039" t="str">
            <v>锡膏</v>
          </cell>
          <cell r="F1039" t="str">
            <v>洗衣机显示板</v>
          </cell>
          <cell r="G1039">
            <v>0.14000000000000001</v>
          </cell>
          <cell r="H1039">
            <v>300</v>
          </cell>
          <cell r="I1039">
            <v>42</v>
          </cell>
        </row>
        <row r="1040">
          <cell r="A1040">
            <v>10880033325</v>
          </cell>
          <cell r="B1040" t="str">
            <v>500323-C24D2A-D 0021800616B</v>
          </cell>
          <cell r="C1040" t="str">
            <v>10250035562/10250035563</v>
          </cell>
          <cell r="D1040" t="str">
            <v>1*5</v>
          </cell>
          <cell r="E1040" t="str">
            <v>锡膏</v>
          </cell>
          <cell r="F1040" t="str">
            <v>洗衣机显示板</v>
          </cell>
          <cell r="G1040">
            <v>0.14000000000000001</v>
          </cell>
          <cell r="H1040">
            <v>300</v>
          </cell>
          <cell r="I1040">
            <v>42</v>
          </cell>
        </row>
        <row r="1041">
          <cell r="A1041">
            <v>10880033785</v>
          </cell>
          <cell r="B1041" t="str">
            <v>500323-C24D2B-D 0021800616C</v>
          </cell>
          <cell r="C1041" t="str">
            <v>10250035562/10250035563</v>
          </cell>
          <cell r="D1041" t="str">
            <v>1*5</v>
          </cell>
          <cell r="E1041" t="str">
            <v>锡膏</v>
          </cell>
          <cell r="F1041" t="str">
            <v>洗衣机显示板</v>
          </cell>
          <cell r="G1041">
            <v>0.14000000000000001</v>
          </cell>
          <cell r="H1041">
            <v>300</v>
          </cell>
          <cell r="I1041">
            <v>42</v>
          </cell>
        </row>
        <row r="1042">
          <cell r="A1042" t="str">
            <v>10880034995 </v>
          </cell>
          <cell r="B1042" t="str">
            <v>500323-C24D2D-D 0021800616D  </v>
          </cell>
          <cell r="C1042" t="str">
            <v>10250035562/10250035563</v>
          </cell>
          <cell r="D1042" t="str">
            <v>1*5</v>
          </cell>
          <cell r="E1042" t="str">
            <v>锡膏</v>
          </cell>
          <cell r="F1042" t="str">
            <v>洗衣机显示板</v>
          </cell>
          <cell r="G1042">
            <v>0.14000000000000001</v>
          </cell>
          <cell r="H1042">
            <v>300</v>
          </cell>
          <cell r="I1042">
            <v>42</v>
          </cell>
        </row>
        <row r="1043">
          <cell r="A1043" t="str">
            <v>10880035543 </v>
          </cell>
          <cell r="B1043" t="str">
            <v>500323-C24D2F-D G0044 0021800616E</v>
          </cell>
          <cell r="C1043" t="str">
            <v>10250035562/10250035563</v>
          </cell>
          <cell r="D1043" t="str">
            <v>1*5</v>
          </cell>
          <cell r="E1043" t="str">
            <v>锡膏</v>
          </cell>
          <cell r="F1043" t="str">
            <v>洗衣机显示板</v>
          </cell>
          <cell r="G1043">
            <v>0.14000000000000001</v>
          </cell>
          <cell r="H1043">
            <v>300</v>
          </cell>
          <cell r="I1043">
            <v>42</v>
          </cell>
        </row>
        <row r="1044">
          <cell r="A1044" t="str">
            <v>10880037268 </v>
          </cell>
          <cell r="B1044" t="str">
            <v>500323-C24D2I-D G0044 0021800616H  </v>
          </cell>
          <cell r="C1044" t="str">
            <v>10250035562/10250035563</v>
          </cell>
          <cell r="D1044" t="str">
            <v>1*5</v>
          </cell>
          <cell r="E1044" t="str">
            <v>锡膏</v>
          </cell>
          <cell r="F1044" t="str">
            <v>洗衣机显示板</v>
          </cell>
          <cell r="G1044">
            <v>0.14000000000000001</v>
          </cell>
          <cell r="H1044">
            <v>300</v>
          </cell>
          <cell r="I1044">
            <v>42</v>
          </cell>
        </row>
        <row r="1045">
          <cell r="A1045" t="str">
            <v>10880035409 </v>
          </cell>
          <cell r="B1045" t="str">
            <v>500323-C24D2E-D G0044 0021800616G  </v>
          </cell>
          <cell r="C1045" t="str">
            <v>10250035562/10250035563</v>
          </cell>
          <cell r="D1045" t="str">
            <v>1*5</v>
          </cell>
          <cell r="E1045" t="str">
            <v>锡膏</v>
          </cell>
          <cell r="F1045" t="str">
            <v>洗衣机显示板</v>
          </cell>
          <cell r="G1045">
            <v>0.15666666666666668</v>
          </cell>
          <cell r="H1045">
            <v>300</v>
          </cell>
          <cell r="I1045">
            <v>45</v>
          </cell>
        </row>
        <row r="1046">
          <cell r="A1046">
            <v>10880037164</v>
          </cell>
          <cell r="B1046" t="str">
            <v>500323-C24D2H-D G0044 0021800616GA  </v>
          </cell>
          <cell r="C1046" t="str">
            <v>10250035562/10250035563</v>
          </cell>
          <cell r="D1046" t="str">
            <v>1*5</v>
          </cell>
          <cell r="E1046" t="str">
            <v>锡膏</v>
          </cell>
          <cell r="F1046" t="str">
            <v>洗衣机显示板</v>
          </cell>
          <cell r="G1046">
            <v>0.15666666666666668</v>
          </cell>
          <cell r="H1046">
            <v>300</v>
          </cell>
          <cell r="I1046">
            <v>45</v>
          </cell>
        </row>
        <row r="1047">
          <cell r="A1047">
            <v>10880037503</v>
          </cell>
          <cell r="B1047" t="str">
            <v xml:space="preserve">500323-C24D2J-D G0044 0021800616J </v>
          </cell>
          <cell r="C1047" t="str">
            <v>10250035562/10250035563</v>
          </cell>
          <cell r="D1047" t="str">
            <v>1*5</v>
          </cell>
          <cell r="E1047" t="str">
            <v>锡膏</v>
          </cell>
          <cell r="F1047" t="str">
            <v>洗衣机显示板</v>
          </cell>
          <cell r="G1047">
            <v>0.14000000000000001</v>
          </cell>
          <cell r="H1047">
            <v>300</v>
          </cell>
          <cell r="I1047">
            <v>42</v>
          </cell>
        </row>
        <row r="1048">
          <cell r="A1048">
            <v>10880033566</v>
          </cell>
          <cell r="B1048" t="str">
            <v>500323-C2496E-PC 0011801423AC</v>
          </cell>
          <cell r="C1048">
            <v>10250037817</v>
          </cell>
          <cell r="D1048" t="str">
            <v>1*1</v>
          </cell>
          <cell r="E1048" t="str">
            <v>锡膏</v>
          </cell>
          <cell r="F1048" t="str">
            <v>海尔空调控制板</v>
          </cell>
          <cell r="G1048">
            <v>0.12333333333333334</v>
          </cell>
          <cell r="H1048">
            <v>300</v>
          </cell>
          <cell r="I1048">
            <v>37</v>
          </cell>
        </row>
        <row r="1049">
          <cell r="A1049">
            <v>10880033567</v>
          </cell>
          <cell r="B1049" t="str">
            <v>500323-C2496F-PC 0011801423T</v>
          </cell>
          <cell r="C1049">
            <v>10250037817</v>
          </cell>
          <cell r="D1049" t="str">
            <v>1*1</v>
          </cell>
          <cell r="E1049" t="str">
            <v>锡膏</v>
          </cell>
          <cell r="F1049" t="str">
            <v>海尔空调控制板</v>
          </cell>
          <cell r="G1049">
            <v>0.12333333333333334</v>
          </cell>
          <cell r="H1049">
            <v>300</v>
          </cell>
          <cell r="I1049">
            <v>37</v>
          </cell>
        </row>
        <row r="1050">
          <cell r="A1050">
            <v>10880033560</v>
          </cell>
          <cell r="B1050" t="str">
            <v>500323-C2496C-PC 0011801423AP</v>
          </cell>
          <cell r="C1050">
            <v>10250037817</v>
          </cell>
          <cell r="D1050" t="str">
            <v>1*1</v>
          </cell>
          <cell r="E1050" t="str">
            <v>锡膏</v>
          </cell>
          <cell r="F1050" t="str">
            <v>海尔空调控制板</v>
          </cell>
          <cell r="G1050">
            <v>0.13333333333333333</v>
          </cell>
          <cell r="H1050">
            <v>300</v>
          </cell>
          <cell r="I1050">
            <v>40</v>
          </cell>
        </row>
        <row r="1051">
          <cell r="A1051">
            <v>10880033564</v>
          </cell>
          <cell r="B1051" t="str">
            <v>500323-C2496D-PC 0011801423AQ</v>
          </cell>
          <cell r="C1051">
            <v>10250037817</v>
          </cell>
          <cell r="D1051" t="str">
            <v>1*1</v>
          </cell>
          <cell r="E1051" t="str">
            <v>锡膏</v>
          </cell>
          <cell r="F1051" t="str">
            <v>海尔空调控制板</v>
          </cell>
          <cell r="G1051">
            <v>0.13333333333333333</v>
          </cell>
          <cell r="H1051">
            <v>300</v>
          </cell>
          <cell r="I1051">
            <v>40</v>
          </cell>
        </row>
        <row r="1052">
          <cell r="A1052">
            <v>10880033605</v>
          </cell>
          <cell r="B1052" t="str">
            <v>500323-C2496G-PC 0011801423AV</v>
          </cell>
          <cell r="C1052">
            <v>10250037817</v>
          </cell>
          <cell r="D1052" t="str">
            <v>1*1</v>
          </cell>
          <cell r="E1052" t="str">
            <v>锡膏</v>
          </cell>
          <cell r="F1052" t="str">
            <v>海尔空调控制板</v>
          </cell>
          <cell r="G1052">
            <v>0.13333333333333333</v>
          </cell>
          <cell r="H1052">
            <v>300</v>
          </cell>
          <cell r="I1052">
            <v>40</v>
          </cell>
        </row>
        <row r="1053">
          <cell r="A1053">
            <v>10880034562</v>
          </cell>
          <cell r="B1053" t="str">
            <v>500323-C2496K-PC 0011801423AX</v>
          </cell>
          <cell r="C1053">
            <v>10250037817</v>
          </cell>
          <cell r="D1053" t="str">
            <v>1*1</v>
          </cell>
          <cell r="E1053" t="str">
            <v>锡膏</v>
          </cell>
          <cell r="F1053" t="str">
            <v>海尔空调控制板</v>
          </cell>
          <cell r="G1053">
            <v>0.13333333333333333</v>
          </cell>
          <cell r="H1053">
            <v>300</v>
          </cell>
          <cell r="I1053">
            <v>40</v>
          </cell>
        </row>
        <row r="1054">
          <cell r="A1054">
            <v>10880034563</v>
          </cell>
          <cell r="B1054" t="str">
            <v>500323-C2496L-PC 0011801423AL</v>
          </cell>
          <cell r="C1054">
            <v>10250037817</v>
          </cell>
          <cell r="D1054" t="str">
            <v>1*1</v>
          </cell>
          <cell r="E1054" t="str">
            <v>锡膏</v>
          </cell>
          <cell r="F1054" t="str">
            <v>海尔空调控制板</v>
          </cell>
          <cell r="G1054">
            <v>0.13333333333333333</v>
          </cell>
          <cell r="H1054">
            <v>300</v>
          </cell>
          <cell r="I1054">
            <v>40</v>
          </cell>
        </row>
        <row r="1055">
          <cell r="A1055">
            <v>10880034564</v>
          </cell>
          <cell r="B1055" t="str">
            <v>500323-C2496M-PC 0011801423AJ</v>
          </cell>
          <cell r="C1055">
            <v>10250037817</v>
          </cell>
          <cell r="D1055" t="str">
            <v>1*1</v>
          </cell>
          <cell r="E1055" t="str">
            <v>锡膏</v>
          </cell>
          <cell r="F1055" t="str">
            <v>海尔空调控制板</v>
          </cell>
          <cell r="G1055">
            <v>0.13333333333333333</v>
          </cell>
          <cell r="H1055">
            <v>300</v>
          </cell>
          <cell r="I1055">
            <v>40</v>
          </cell>
        </row>
        <row r="1056">
          <cell r="A1056">
            <v>10880033460</v>
          </cell>
          <cell r="B1056" t="str">
            <v xml:space="preserve">500323-C2496B-PC 0011801423AT  </v>
          </cell>
          <cell r="C1056">
            <v>10250037817</v>
          </cell>
          <cell r="D1056" t="str">
            <v>1*1</v>
          </cell>
          <cell r="E1056" t="str">
            <v>锡膏</v>
          </cell>
          <cell r="F1056" t="str">
            <v>海尔空调控制板</v>
          </cell>
          <cell r="G1056">
            <v>0.13333333333333333</v>
          </cell>
          <cell r="H1056">
            <v>300</v>
          </cell>
          <cell r="I1056">
            <v>40</v>
          </cell>
        </row>
        <row r="1057">
          <cell r="A1057">
            <v>10880033606</v>
          </cell>
          <cell r="B1057" t="str">
            <v xml:space="preserve">500323-C2496H-PC 0011801423AW  </v>
          </cell>
          <cell r="C1057">
            <v>10250037817</v>
          </cell>
          <cell r="D1057" t="str">
            <v>1*1</v>
          </cell>
          <cell r="E1057" t="str">
            <v>锡膏</v>
          </cell>
          <cell r="F1057" t="str">
            <v>海尔空调控制板</v>
          </cell>
          <cell r="G1057">
            <v>0.13333333333333333</v>
          </cell>
          <cell r="H1057">
            <v>300</v>
          </cell>
          <cell r="I1057">
            <v>40</v>
          </cell>
        </row>
        <row r="1058">
          <cell r="A1058">
            <v>10880030976</v>
          </cell>
          <cell r="B1058" t="str">
            <v xml:space="preserve"> 693-C23I3A-PC 0011801656  </v>
          </cell>
          <cell r="C1058">
            <v>10250036483</v>
          </cell>
          <cell r="D1058" t="str">
            <v>1*2</v>
          </cell>
          <cell r="E1058" t="str">
            <v>锡膏</v>
          </cell>
          <cell r="F1058" t="str">
            <v>日本空调1656电控板</v>
          </cell>
          <cell r="G1058">
            <v>0.15555555555555553</v>
          </cell>
          <cell r="H1058">
            <v>180</v>
          </cell>
          <cell r="I1058">
            <v>28</v>
          </cell>
        </row>
        <row r="1059">
          <cell r="A1059">
            <v>10880033279</v>
          </cell>
          <cell r="B1059" t="str">
            <v>500323-C2491A-PC 0011801656A</v>
          </cell>
          <cell r="C1059">
            <v>10250036483</v>
          </cell>
          <cell r="D1059" t="str">
            <v>1*2</v>
          </cell>
          <cell r="E1059" t="str">
            <v>锡膏</v>
          </cell>
          <cell r="F1059" t="str">
            <v>日本空调1656电控板</v>
          </cell>
          <cell r="G1059">
            <v>0.15555555555555553</v>
          </cell>
          <cell r="H1059">
            <v>180</v>
          </cell>
          <cell r="I1059">
            <v>28</v>
          </cell>
        </row>
        <row r="1060">
          <cell r="A1060">
            <v>10880031018</v>
          </cell>
          <cell r="B1060" t="str">
            <v xml:space="preserve"> 693-C2377A-PC 0011801303  </v>
          </cell>
          <cell r="C1060" t="str">
            <v>10250036907/10250036908</v>
          </cell>
          <cell r="D1060" t="str">
            <v>1*3</v>
          </cell>
          <cell r="E1060" t="str">
            <v>锡膏</v>
          </cell>
          <cell r="F1060" t="str">
            <v>空调1303电控板</v>
          </cell>
          <cell r="G1060">
            <v>0.18888888888888888</v>
          </cell>
          <cell r="H1060">
            <v>120</v>
          </cell>
          <cell r="I1060">
            <v>30</v>
          </cell>
        </row>
        <row r="1061">
          <cell r="A1061">
            <v>10880031185</v>
          </cell>
          <cell r="B1061" t="str">
            <v xml:space="preserve">693-C23I5A-PC 0011801071E  </v>
          </cell>
          <cell r="C1061" t="str">
            <v>10250036811/10250036812</v>
          </cell>
          <cell r="D1061" t="str">
            <v>1*2</v>
          </cell>
          <cell r="E1061" t="str">
            <v>锡膏</v>
          </cell>
          <cell r="F1061" t="str">
            <v>空调1071E电控板</v>
          </cell>
          <cell r="G1061">
            <v>6.6666666666666666E-2</v>
          </cell>
          <cell r="H1061">
            <v>450</v>
          </cell>
          <cell r="I1061">
            <v>30</v>
          </cell>
        </row>
        <row r="1062">
          <cell r="A1062">
            <v>10880035169</v>
          </cell>
          <cell r="B1062" t="str">
            <v xml:space="preserve"> 693-C23I5B-PC 0011801071K  </v>
          </cell>
          <cell r="C1062" t="str">
            <v>10250036811/10250036812</v>
          </cell>
          <cell r="D1062" t="str">
            <v>1*2</v>
          </cell>
          <cell r="E1062" t="str">
            <v>锡膏</v>
          </cell>
          <cell r="F1062" t="str">
            <v>空调1071E电控板</v>
          </cell>
          <cell r="G1062">
            <v>6.6666666666666666E-2</v>
          </cell>
          <cell r="H1062">
            <v>450</v>
          </cell>
          <cell r="I1062">
            <v>30</v>
          </cell>
        </row>
        <row r="1063">
          <cell r="A1063">
            <v>10880014415</v>
          </cell>
          <cell r="B1063" t="str">
            <v xml:space="preserve">693-A2036A-O3 0190400164  </v>
          </cell>
          <cell r="C1063" t="str">
            <v>10250026681/10250026688</v>
          </cell>
          <cell r="D1063" t="str">
            <v>1*7</v>
          </cell>
          <cell r="E1063" t="str">
            <v>锡膏</v>
          </cell>
          <cell r="F1063" t="str">
            <v>三根芯净水器电解板</v>
          </cell>
          <cell r="G1063">
            <v>9.4722222222222222E-2</v>
          </cell>
          <cell r="H1063">
            <v>400</v>
          </cell>
          <cell r="I1063">
            <v>33</v>
          </cell>
        </row>
        <row r="1064">
          <cell r="A1064">
            <v>10880020558</v>
          </cell>
          <cell r="B1064" t="str">
            <v xml:space="preserve">693-C2246A-PC 0011801172AG  </v>
          </cell>
          <cell r="C1064">
            <v>10250034036</v>
          </cell>
          <cell r="D1064" t="str">
            <v>1*1</v>
          </cell>
          <cell r="E1064" t="str">
            <v>锡膏</v>
          </cell>
          <cell r="F1064" t="str">
            <v>海尔空调电控板</v>
          </cell>
          <cell r="G1064">
            <v>0.11818181818181818</v>
          </cell>
          <cell r="H1064">
            <v>330</v>
          </cell>
          <cell r="I1064">
            <v>39</v>
          </cell>
        </row>
        <row r="1065">
          <cell r="A1065">
            <v>10880020800</v>
          </cell>
          <cell r="B1065" t="str">
            <v>693-C2246AA-PC 0011801172BA</v>
          </cell>
          <cell r="C1065" t="str">
            <v>10250034036/10250031949</v>
          </cell>
          <cell r="D1065" t="str">
            <v>1*1</v>
          </cell>
          <cell r="E1065" t="str">
            <v>锡膏</v>
          </cell>
          <cell r="F1065" t="str">
            <v>海尔空调电控板</v>
          </cell>
          <cell r="G1065">
            <v>0.11818181818181818</v>
          </cell>
          <cell r="H1065">
            <v>330</v>
          </cell>
          <cell r="I1065">
            <v>39</v>
          </cell>
        </row>
        <row r="1066">
          <cell r="A1066">
            <v>10880020802</v>
          </cell>
          <cell r="B1066" t="str">
            <v>693-C2246AC-PC 0011801172BD</v>
          </cell>
          <cell r="C1066" t="str">
            <v>10250034036/10250031949</v>
          </cell>
          <cell r="D1066" t="str">
            <v>1*1</v>
          </cell>
          <cell r="E1066" t="str">
            <v>锡膏</v>
          </cell>
          <cell r="F1066" t="str">
            <v>海尔空调电控板</v>
          </cell>
          <cell r="G1066">
            <v>0.11818181818181818</v>
          </cell>
          <cell r="H1066">
            <v>330</v>
          </cell>
          <cell r="I1066">
            <v>39</v>
          </cell>
        </row>
        <row r="1067">
          <cell r="A1067">
            <v>10880022010</v>
          </cell>
          <cell r="B1067" t="str">
            <v>693-C2246AH-PC 0011801172BR</v>
          </cell>
          <cell r="C1067">
            <v>10250034036</v>
          </cell>
          <cell r="D1067" t="str">
            <v>1*1</v>
          </cell>
          <cell r="E1067" t="str">
            <v>锡膏</v>
          </cell>
          <cell r="F1067" t="str">
            <v>空调电控板</v>
          </cell>
          <cell r="G1067">
            <v>0.11818181818181818</v>
          </cell>
          <cell r="H1067">
            <v>330</v>
          </cell>
          <cell r="I1067">
            <v>39</v>
          </cell>
        </row>
        <row r="1068">
          <cell r="A1068">
            <v>10880028469</v>
          </cell>
          <cell r="B1068" t="str">
            <v>693-C2339A-PC 0011801172CJ</v>
          </cell>
          <cell r="C1068">
            <v>10250034036</v>
          </cell>
          <cell r="D1068" t="str">
            <v>1*1</v>
          </cell>
          <cell r="E1068" t="str">
            <v>锡膏</v>
          </cell>
          <cell r="F1068" t="str">
            <v>空调电控板</v>
          </cell>
          <cell r="G1068">
            <v>0.11818181818181818</v>
          </cell>
          <cell r="H1068">
            <v>330</v>
          </cell>
          <cell r="I1068">
            <v>39</v>
          </cell>
        </row>
        <row r="1069">
          <cell r="A1069">
            <v>10880021269</v>
          </cell>
          <cell r="B1069" t="str">
            <v>693-C2246AF-PC 0011801172AV</v>
          </cell>
          <cell r="C1069">
            <v>10250034036</v>
          </cell>
          <cell r="D1069" t="str">
            <v>1*1</v>
          </cell>
          <cell r="E1069" t="str">
            <v>锡膏</v>
          </cell>
          <cell r="F1069" t="str">
            <v>空调电控板</v>
          </cell>
          <cell r="G1069">
            <v>0.11212121212121212</v>
          </cell>
          <cell r="H1069">
            <v>330</v>
          </cell>
          <cell r="I1069">
            <v>37</v>
          </cell>
        </row>
        <row r="1070">
          <cell r="A1070">
            <v>10880030433</v>
          </cell>
          <cell r="B1070" t="str">
            <v>693-C23C2A-PC 0011801172CR</v>
          </cell>
          <cell r="C1070">
            <v>10250034036</v>
          </cell>
          <cell r="D1070" t="str">
            <v>1*1</v>
          </cell>
          <cell r="E1070" t="str">
            <v>锡膏</v>
          </cell>
          <cell r="F1070" t="str">
            <v>空调电控板</v>
          </cell>
          <cell r="G1070">
            <v>0.11818181818181818</v>
          </cell>
          <cell r="H1070">
            <v>330</v>
          </cell>
          <cell r="I1070">
            <v>39</v>
          </cell>
        </row>
        <row r="1071">
          <cell r="A1071">
            <v>10880021476</v>
          </cell>
          <cell r="B1071" t="str">
            <v>693-C2246AG-PC 0011801172CH</v>
          </cell>
          <cell r="C1071">
            <v>10250034036</v>
          </cell>
          <cell r="D1071" t="str">
            <v>1*1</v>
          </cell>
          <cell r="E1071" t="str">
            <v>锡膏</v>
          </cell>
          <cell r="F1071" t="str">
            <v>空调电控板</v>
          </cell>
          <cell r="G1071">
            <v>0.11818181818181818</v>
          </cell>
          <cell r="H1071">
            <v>330</v>
          </cell>
          <cell r="I1071">
            <v>39</v>
          </cell>
        </row>
        <row r="1072">
          <cell r="A1072">
            <v>10880031097</v>
          </cell>
          <cell r="B1072" t="str">
            <v>693-C23G3A-PC 0011801172CW</v>
          </cell>
          <cell r="C1072">
            <v>10250034036</v>
          </cell>
          <cell r="D1072" t="str">
            <v>1*1</v>
          </cell>
          <cell r="E1072" t="str">
            <v>锡膏</v>
          </cell>
          <cell r="F1072" t="str">
            <v>空调电控板</v>
          </cell>
          <cell r="G1072">
            <v>0.11818181818181818</v>
          </cell>
          <cell r="H1072">
            <v>330</v>
          </cell>
          <cell r="I1072">
            <v>39</v>
          </cell>
        </row>
        <row r="1073">
          <cell r="A1073">
            <v>10880031186</v>
          </cell>
          <cell r="B1073" t="str">
            <v>693-C23J4B-PC 0011801172CU</v>
          </cell>
          <cell r="C1073" t="str">
            <v>10250034036/10250040471/10250040474</v>
          </cell>
          <cell r="D1073" t="str">
            <v>1*1</v>
          </cell>
          <cell r="E1073" t="str">
            <v>锡膏</v>
          </cell>
          <cell r="F1073" t="str">
            <v>空调电控板</v>
          </cell>
          <cell r="G1073">
            <v>0.11818181818181818</v>
          </cell>
          <cell r="H1073">
            <v>330</v>
          </cell>
          <cell r="I1073">
            <v>39</v>
          </cell>
        </row>
        <row r="1074">
          <cell r="A1074">
            <v>10880034056</v>
          </cell>
          <cell r="B1074" t="str">
            <v xml:space="preserve"> 500323-C24L6B-PC 0011801172FD </v>
          </cell>
          <cell r="C1074">
            <v>10250042186</v>
          </cell>
          <cell r="D1074" t="str">
            <v>1*1</v>
          </cell>
          <cell r="E1074" t="str">
            <v>锡膏</v>
          </cell>
          <cell r="F1074" t="str">
            <v>空调电控板</v>
          </cell>
          <cell r="G1074">
            <v>0.11818181818181818</v>
          </cell>
          <cell r="H1074">
            <v>330</v>
          </cell>
          <cell r="I1074">
            <v>39</v>
          </cell>
        </row>
        <row r="1075">
          <cell r="A1075">
            <v>10880035441</v>
          </cell>
          <cell r="B1075" t="str">
            <v>693-C2246A-PC G0044 0011801172AG  小批验证用</v>
          </cell>
          <cell r="C1075">
            <v>10250043613</v>
          </cell>
          <cell r="D1075" t="str">
            <v>1*1</v>
          </cell>
          <cell r="E1075" t="str">
            <v>锡膏</v>
          </cell>
          <cell r="F1075" t="str">
            <v>空调电控板</v>
          </cell>
          <cell r="G1075">
            <v>0.11818181818181818</v>
          </cell>
          <cell r="H1075">
            <v>330</v>
          </cell>
          <cell r="I1075">
            <v>39</v>
          </cell>
        </row>
        <row r="1076">
          <cell r="A1076">
            <v>10880035981</v>
          </cell>
          <cell r="B1076" t="str">
            <v xml:space="preserve">500323-C24L6G-PC G0044 0011801172DM  </v>
          </cell>
          <cell r="C1076" t="str">
            <v>10250044366/10250043613</v>
          </cell>
          <cell r="D1076" t="str">
            <v>1*1</v>
          </cell>
          <cell r="E1076" t="str">
            <v>锡膏</v>
          </cell>
          <cell r="F1076" t="str">
            <v>空调电控板</v>
          </cell>
          <cell r="G1076">
            <v>0.11818181818181818</v>
          </cell>
          <cell r="H1076">
            <v>330</v>
          </cell>
          <cell r="I1076">
            <v>39</v>
          </cell>
        </row>
        <row r="1077">
          <cell r="A1077">
            <v>10880035982</v>
          </cell>
          <cell r="B1077" t="str">
            <v xml:space="preserve">500323-C24L6H-PC G0044 0011801172DL  </v>
          </cell>
          <cell r="C1077" t="str">
            <v>10250044366/10250043613</v>
          </cell>
          <cell r="D1077" t="str">
            <v>1*1</v>
          </cell>
          <cell r="E1077" t="str">
            <v>锡膏</v>
          </cell>
          <cell r="F1077" t="str">
            <v>空调电控板</v>
          </cell>
          <cell r="G1077">
            <v>0.11818181818181818</v>
          </cell>
          <cell r="H1077">
            <v>330</v>
          </cell>
          <cell r="I1077">
            <v>39</v>
          </cell>
        </row>
        <row r="1078">
          <cell r="A1078">
            <v>10880035979</v>
          </cell>
          <cell r="B1078" t="str">
            <v>500323-C24L6E-PC G0044 0011801172DK</v>
          </cell>
          <cell r="C1078" t="str">
            <v>10250044366/10250043613</v>
          </cell>
          <cell r="D1078" t="str">
            <v>1*1</v>
          </cell>
          <cell r="E1078" t="str">
            <v>锡膏</v>
          </cell>
          <cell r="F1078" t="str">
            <v>空调电控板</v>
          </cell>
          <cell r="G1078">
            <v>0.11818181818181818</v>
          </cell>
          <cell r="H1078">
            <v>330</v>
          </cell>
          <cell r="I1078">
            <v>39</v>
          </cell>
        </row>
        <row r="1079">
          <cell r="A1079">
            <v>10880021612</v>
          </cell>
          <cell r="B1079" t="str">
            <v>693-C2270A-PC 0011801583A</v>
          </cell>
          <cell r="C1079" t="str">
            <v xml:space="preserve"> 10250035776/10250035778</v>
          </cell>
          <cell r="D1079" t="str">
            <v>1*2</v>
          </cell>
          <cell r="E1079" t="str">
            <v>红胶</v>
          </cell>
          <cell r="F1079" t="str">
            <v>海尔空调内机电控板</v>
          </cell>
          <cell r="G1079">
            <v>0.06</v>
          </cell>
          <cell r="H1079">
            <v>500</v>
          </cell>
          <cell r="I1079">
            <v>30</v>
          </cell>
        </row>
        <row r="1080">
          <cell r="A1080">
            <v>10880029053</v>
          </cell>
          <cell r="B1080" t="str">
            <v>693-B2359A-PC 0011800691AN</v>
          </cell>
          <cell r="C1080" t="str">
            <v xml:space="preserve"> 10250035776/10250035778</v>
          </cell>
          <cell r="D1080" t="str">
            <v>1*2</v>
          </cell>
          <cell r="E1080" t="str">
            <v>红胶</v>
          </cell>
          <cell r="F1080" t="str">
            <v>海尔空调内机电控板</v>
          </cell>
          <cell r="G1080">
            <v>0.06</v>
          </cell>
          <cell r="H1080">
            <v>500</v>
          </cell>
          <cell r="I1080">
            <v>30</v>
          </cell>
        </row>
        <row r="1081">
          <cell r="A1081">
            <v>10880030265</v>
          </cell>
          <cell r="B1081" t="str">
            <v xml:space="preserve">693-A2383A-PC 0011800691AH  </v>
          </cell>
          <cell r="C1081" t="str">
            <v xml:space="preserve"> 10250035776/10250035778</v>
          </cell>
          <cell r="D1081" t="str">
            <v>1*2</v>
          </cell>
          <cell r="E1081" t="str">
            <v>红胶</v>
          </cell>
          <cell r="F1081" t="str">
            <v>海尔空调内机电控板</v>
          </cell>
          <cell r="G1081">
            <v>0.1</v>
          </cell>
          <cell r="H1081">
            <v>300</v>
          </cell>
          <cell r="I1081">
            <v>30</v>
          </cell>
        </row>
        <row r="1082">
          <cell r="A1082">
            <v>10880032479</v>
          </cell>
          <cell r="B1082" t="str">
            <v xml:space="preserve">693-C2441A-PC  0011801583A    锡膏工艺  </v>
          </cell>
          <cell r="C1082" t="str">
            <v>10250038676/10250038677</v>
          </cell>
          <cell r="D1082" t="str">
            <v>1*2</v>
          </cell>
          <cell r="E1082" t="str">
            <v>锡膏</v>
          </cell>
          <cell r="F1082" t="str">
            <v>海尔空调内机电控板</v>
          </cell>
          <cell r="G1082">
            <v>6.8888888888888888E-2</v>
          </cell>
          <cell r="H1082">
            <v>450</v>
          </cell>
          <cell r="I1082">
            <v>31</v>
          </cell>
        </row>
        <row r="1083">
          <cell r="A1083">
            <v>10880030843</v>
          </cell>
          <cell r="B1083" t="str">
            <v>693-B23E9A-PC 0011801583K</v>
          </cell>
          <cell r="C1083" t="str">
            <v>10250036448/10250036449/10250038452/10250038453</v>
          </cell>
          <cell r="D1083" t="str">
            <v>1*2</v>
          </cell>
          <cell r="E1083" t="str">
            <v>锡膏</v>
          </cell>
          <cell r="F1083" t="str">
            <v>海尔空调内机电控板</v>
          </cell>
          <cell r="G1083">
            <v>5.5999999999999994E-2</v>
          </cell>
          <cell r="H1083">
            <v>500</v>
          </cell>
          <cell r="I1083">
            <v>28</v>
          </cell>
        </row>
        <row r="1084">
          <cell r="A1084">
            <v>10880033301</v>
          </cell>
          <cell r="B1084" t="str">
            <v xml:space="preserve">500323-C24A5A-PC 0011801583P  </v>
          </cell>
          <cell r="C1084" t="str">
            <v>10250038452/10250038453</v>
          </cell>
          <cell r="D1084" t="str">
            <v>1*2</v>
          </cell>
          <cell r="E1084" t="str">
            <v>锡膏</v>
          </cell>
          <cell r="F1084" t="str">
            <v>空调电控板</v>
          </cell>
          <cell r="G1084">
            <v>5.5999999999999994E-2</v>
          </cell>
          <cell r="H1084">
            <v>500</v>
          </cell>
          <cell r="I1084">
            <v>28</v>
          </cell>
        </row>
        <row r="1085">
          <cell r="A1085">
            <v>10880033523</v>
          </cell>
          <cell r="B1085" t="str">
            <v xml:space="preserve">500323-C24A5B-PC 0011801583X  </v>
          </cell>
          <cell r="C1085" t="str">
            <v>10250038452/10250038453</v>
          </cell>
          <cell r="D1085" t="str">
            <v>1*2</v>
          </cell>
          <cell r="E1085" t="str">
            <v>锡膏</v>
          </cell>
          <cell r="F1085" t="str">
            <v>空调电控板</v>
          </cell>
          <cell r="G1085">
            <v>5.5999999999999994E-2</v>
          </cell>
          <cell r="H1085">
            <v>500</v>
          </cell>
          <cell r="I1085">
            <v>28</v>
          </cell>
        </row>
        <row r="1086">
          <cell r="A1086">
            <v>10880034932</v>
          </cell>
          <cell r="B1086" t="str">
            <v>500323-C24A5D-PC 0011801583AD</v>
          </cell>
          <cell r="C1086" t="str">
            <v>10250038452/10250038453</v>
          </cell>
          <cell r="D1086" t="str">
            <v>1*2</v>
          </cell>
          <cell r="E1086" t="str">
            <v>锡膏</v>
          </cell>
          <cell r="F1086" t="str">
            <v>空调电控板</v>
          </cell>
          <cell r="G1086">
            <v>5.5999999999999994E-2</v>
          </cell>
          <cell r="H1086">
            <v>500</v>
          </cell>
          <cell r="I1086">
            <v>28</v>
          </cell>
        </row>
        <row r="1087">
          <cell r="A1087">
            <v>10880035119</v>
          </cell>
          <cell r="B1087" t="str">
            <v>500323-C24A5F-PC 0011801583AE</v>
          </cell>
          <cell r="C1087" t="str">
            <v>10250038452/10250038453</v>
          </cell>
          <cell r="D1087" t="str">
            <v>1*2</v>
          </cell>
          <cell r="E1087" t="str">
            <v>锡膏</v>
          </cell>
          <cell r="F1087" t="str">
            <v>空调电控板</v>
          </cell>
          <cell r="G1087">
            <v>5.5999999999999994E-2</v>
          </cell>
          <cell r="H1087">
            <v>500</v>
          </cell>
          <cell r="I1087">
            <v>28</v>
          </cell>
        </row>
        <row r="1088">
          <cell r="A1088">
            <v>10880035532</v>
          </cell>
          <cell r="B1088" t="str">
            <v xml:space="preserve"> 500323-C24A5G-PC G0044 0011801583AF </v>
          </cell>
          <cell r="C1088" t="str">
            <v>10250038452/10250038453</v>
          </cell>
          <cell r="D1088" t="str">
            <v>1*2</v>
          </cell>
          <cell r="E1088" t="str">
            <v>锡膏</v>
          </cell>
          <cell r="F1088" t="str">
            <v>空调电控板</v>
          </cell>
          <cell r="G1088">
            <v>5.5999999999999994E-2</v>
          </cell>
          <cell r="H1088">
            <v>500</v>
          </cell>
          <cell r="I1088">
            <v>28</v>
          </cell>
        </row>
        <row r="1089">
          <cell r="A1089">
            <v>10880036422</v>
          </cell>
          <cell r="B1089" t="str">
            <v xml:space="preserve">500323-C24A5H-PC 0011801583YA  </v>
          </cell>
          <cell r="C1089" t="str">
            <v>10250038452/10250038453</v>
          </cell>
          <cell r="D1089" t="str">
            <v>1*2</v>
          </cell>
          <cell r="E1089" t="str">
            <v>锡膏</v>
          </cell>
          <cell r="F1089" t="str">
            <v>空调电控板</v>
          </cell>
          <cell r="G1089">
            <v>5.5999999999999994E-2</v>
          </cell>
          <cell r="H1089">
            <v>500</v>
          </cell>
          <cell r="I1089">
            <v>28</v>
          </cell>
        </row>
        <row r="1090">
          <cell r="A1090">
            <v>10880033367</v>
          </cell>
          <cell r="B1090" t="str">
            <v>500323-C2493A-PC 0011801583R</v>
          </cell>
          <cell r="C1090" t="str">
            <v>10250038676/10250038677</v>
          </cell>
          <cell r="D1090" t="str">
            <v>1*2</v>
          </cell>
          <cell r="E1090" t="str">
            <v>锡膏</v>
          </cell>
          <cell r="F1090" t="str">
            <v>海尔空调内机电控板</v>
          </cell>
          <cell r="G1090">
            <v>5.5999999999999994E-2</v>
          </cell>
          <cell r="H1090">
            <v>500</v>
          </cell>
          <cell r="I1090">
            <v>28</v>
          </cell>
        </row>
        <row r="1091">
          <cell r="A1091">
            <v>10880014363</v>
          </cell>
          <cell r="B1091" t="str">
            <v>693-C2038A-D 0190400112A</v>
          </cell>
          <cell r="C1091">
            <v>10250024835</v>
          </cell>
          <cell r="D1091" t="str">
            <v>1*5</v>
          </cell>
          <cell r="E1091" t="str">
            <v>锡膏</v>
          </cell>
          <cell r="F1091" t="str">
            <v>净水云蹲600G显示板</v>
          </cell>
          <cell r="G1091">
            <v>9.4722222222222222E-2</v>
          </cell>
          <cell r="H1091">
            <v>400</v>
          </cell>
          <cell r="I1091">
            <v>33</v>
          </cell>
        </row>
        <row r="1092">
          <cell r="A1092">
            <v>10880014414</v>
          </cell>
          <cell r="B1092" t="str">
            <v>693-C2038C-D 0190400112B</v>
          </cell>
          <cell r="C1092">
            <v>10250024835</v>
          </cell>
          <cell r="D1092" t="str">
            <v>1*5</v>
          </cell>
          <cell r="E1092" t="str">
            <v>锡膏</v>
          </cell>
          <cell r="F1092" t="str">
            <v>净水云鳟800G显示板</v>
          </cell>
          <cell r="G1092">
            <v>9.4722222222222222E-2</v>
          </cell>
          <cell r="H1092">
            <v>400</v>
          </cell>
          <cell r="I1092">
            <v>33</v>
          </cell>
        </row>
        <row r="1093">
          <cell r="A1093">
            <v>10880030244</v>
          </cell>
          <cell r="B1093" t="str">
            <v>693-C2385A-PC 0190400556</v>
          </cell>
          <cell r="C1093" t="str">
            <v xml:space="preserve"> 10250036512/10250036514</v>
          </cell>
          <cell r="D1093" t="str">
            <v>1*3</v>
          </cell>
          <cell r="E1093" t="str">
            <v>锡膏</v>
          </cell>
          <cell r="F1093" t="str">
            <v>净水器556电控板</v>
          </cell>
          <cell r="G1093">
            <v>9.722222222222221E-2</v>
          </cell>
          <cell r="H1093">
            <v>360</v>
          </cell>
          <cell r="I1093">
            <v>35</v>
          </cell>
        </row>
        <row r="1094">
          <cell r="A1094">
            <v>10880033191</v>
          </cell>
          <cell r="B1094" t="str">
            <v>500323-C2497A-PC 0190400556B</v>
          </cell>
          <cell r="C1094" t="str">
            <v xml:space="preserve"> 10250036512/10250036514</v>
          </cell>
          <cell r="D1094" t="str">
            <v>1*3</v>
          </cell>
          <cell r="E1094" t="str">
            <v>锡膏</v>
          </cell>
          <cell r="F1094" t="str">
            <v>净水器556电控板</v>
          </cell>
          <cell r="G1094">
            <v>9.722222222222221E-2</v>
          </cell>
          <cell r="H1094">
            <v>360</v>
          </cell>
          <cell r="I1094">
            <v>35</v>
          </cell>
        </row>
        <row r="1095">
          <cell r="A1095">
            <v>10880031072</v>
          </cell>
          <cell r="B1095" t="str">
            <v>2006-C2301A-PC 888000908</v>
          </cell>
          <cell r="C1095" t="str">
            <v>10250037559/10250037560/ 10250037561</v>
          </cell>
          <cell r="D1095" t="str">
            <v>1*10</v>
          </cell>
          <cell r="E1095" t="str">
            <v>锡膏</v>
          </cell>
          <cell r="F1095" t="str">
            <v>净水908电控板</v>
          </cell>
          <cell r="G1095">
            <v>5.7111111111111112E-2</v>
          </cell>
          <cell r="H1095">
            <v>360</v>
          </cell>
          <cell r="I1095">
            <v>27</v>
          </cell>
        </row>
        <row r="1096">
          <cell r="A1096">
            <v>10880018524</v>
          </cell>
          <cell r="B1096" t="str">
            <v xml:space="preserve"> 693-A2190A-D 0011800387D  </v>
          </cell>
          <cell r="C1096" t="str">
            <v>10250029104/10250029115/10250029116</v>
          </cell>
          <cell r="D1096" t="str">
            <v>1*10</v>
          </cell>
          <cell r="E1096" t="str">
            <v>锡膏</v>
          </cell>
          <cell r="F1096" t="str">
            <v>空调显示板</v>
          </cell>
          <cell r="G1096">
            <v>9.1999999999999998E-3</v>
          </cell>
          <cell r="H1096">
            <v>2500</v>
          </cell>
          <cell r="I1096">
            <v>23</v>
          </cell>
        </row>
        <row r="1097">
          <cell r="A1097">
            <v>10880029033</v>
          </cell>
          <cell r="B1097" t="str">
            <v>693-C2375A-D 0011800387D 合肥专用</v>
          </cell>
          <cell r="C1097" t="str">
            <v>10250029104/10250029115/10250029116</v>
          </cell>
          <cell r="D1097" t="str">
            <v>1*10</v>
          </cell>
          <cell r="E1097" t="str">
            <v>锡膏</v>
          </cell>
          <cell r="F1097" t="str">
            <v>空调显示板</v>
          </cell>
          <cell r="G1097">
            <v>9.1999999999999998E-3</v>
          </cell>
          <cell r="H1097">
            <v>2500</v>
          </cell>
          <cell r="I1097">
            <v>23</v>
          </cell>
        </row>
        <row r="1098">
          <cell r="A1098">
            <v>10880037374</v>
          </cell>
          <cell r="B1098" t="str">
            <v xml:space="preserve">600766-A2501A-D G0044 0011800387DHR </v>
          </cell>
          <cell r="C1098" t="str">
            <v>10250029104/10250029115/10250029116</v>
          </cell>
          <cell r="D1098" t="str">
            <v>1*10</v>
          </cell>
          <cell r="E1098" t="str">
            <v>锡膏</v>
          </cell>
          <cell r="F1098" t="str">
            <v>空调显示板</v>
          </cell>
          <cell r="G1098">
            <v>1.5555555555555557E-2</v>
          </cell>
          <cell r="H1098">
            <v>1800</v>
          </cell>
          <cell r="I1098">
            <v>28</v>
          </cell>
        </row>
        <row r="1099">
          <cell r="A1099">
            <v>10880021289</v>
          </cell>
          <cell r="B1099" t="str">
            <v>693-B2190F-D 0011800387A</v>
          </cell>
          <cell r="C1099" t="str">
            <v>10250032633/10250032635</v>
          </cell>
          <cell r="D1099" t="str">
            <v>1*10</v>
          </cell>
          <cell r="E1099" t="str">
            <v>红胶</v>
          </cell>
          <cell r="F1099" t="str">
            <v>海尔空调显示板</v>
          </cell>
          <cell r="G1099">
            <v>2.5000000000000001E-2</v>
          </cell>
          <cell r="H1099">
            <v>1000</v>
          </cell>
          <cell r="I1099">
            <v>25</v>
          </cell>
        </row>
        <row r="1100">
          <cell r="A1100">
            <v>10880021105</v>
          </cell>
          <cell r="B1100" t="str">
            <v>693-C2216E-D 0011800324</v>
          </cell>
          <cell r="C1100" t="str">
            <v xml:space="preserve"> 10250032158/ 10250032159/  10250039938/  10250039939</v>
          </cell>
          <cell r="D1100" t="str">
            <v>1*16</v>
          </cell>
          <cell r="E1100" t="str">
            <v>红胶</v>
          </cell>
          <cell r="F1100" t="str">
            <v>海尔空调显示板</v>
          </cell>
          <cell r="G1100">
            <v>2.6000000000000002E-2</v>
          </cell>
          <cell r="H1100">
            <v>1000</v>
          </cell>
          <cell r="I1100">
            <v>26</v>
          </cell>
        </row>
        <row r="1101">
          <cell r="A1101">
            <v>10880020637</v>
          </cell>
          <cell r="B1101" t="str">
            <v>693-C2216A-D 0011800324S</v>
          </cell>
          <cell r="C1101" t="str">
            <v>10250031590/10250031591</v>
          </cell>
          <cell r="D1101" t="str">
            <v>1*9</v>
          </cell>
          <cell r="E1101" t="str">
            <v>红胶</v>
          </cell>
          <cell r="F1101" t="str">
            <v>海尔空调显示板</v>
          </cell>
          <cell r="G1101">
            <v>2.7000000000000003E-2</v>
          </cell>
          <cell r="H1101">
            <v>1000</v>
          </cell>
          <cell r="I1101">
            <v>27</v>
          </cell>
        </row>
        <row r="1102">
          <cell r="A1102">
            <v>10880031113</v>
          </cell>
          <cell r="B1102" t="str">
            <v>693-C23K1A-PC 0011801720</v>
          </cell>
          <cell r="C1102">
            <v>10250038070</v>
          </cell>
          <cell r="D1102" t="str">
            <v>1*2</v>
          </cell>
          <cell r="E1102" t="str">
            <v>锡膏</v>
          </cell>
          <cell r="F1102" t="str">
            <v>空调内机1720电控板</v>
          </cell>
          <cell r="G1102">
            <v>5.6000000000000008E-2</v>
          </cell>
          <cell r="H1102">
            <v>500</v>
          </cell>
          <cell r="I1102">
            <v>28</v>
          </cell>
        </row>
        <row r="1103">
          <cell r="A1103">
            <v>10880031114</v>
          </cell>
          <cell r="B1103" t="str">
            <v>693-C23K1B-PC 0011801720A</v>
          </cell>
          <cell r="C1103">
            <v>10250038070</v>
          </cell>
          <cell r="D1103" t="str">
            <v>1*2</v>
          </cell>
          <cell r="E1103" t="str">
            <v>锡膏</v>
          </cell>
          <cell r="F1103" t="str">
            <v>空调内机1720A电控板</v>
          </cell>
          <cell r="G1103">
            <v>5.6000000000000008E-2</v>
          </cell>
          <cell r="H1103">
            <v>500</v>
          </cell>
          <cell r="I1103">
            <v>28</v>
          </cell>
        </row>
        <row r="1104">
          <cell r="A1104">
            <v>10880031115</v>
          </cell>
          <cell r="B1104" t="str">
            <v xml:space="preserve">693-C23K1C-PC 0011801720B  </v>
          </cell>
          <cell r="C1104">
            <v>10250038070</v>
          </cell>
          <cell r="D1104" t="str">
            <v>1*2</v>
          </cell>
          <cell r="E1104" t="str">
            <v>锡膏</v>
          </cell>
          <cell r="F1104" t="str">
            <v>空调内机1720B电控板</v>
          </cell>
          <cell r="G1104">
            <v>5.6000000000000008E-2</v>
          </cell>
          <cell r="H1104">
            <v>500</v>
          </cell>
          <cell r="I1104">
            <v>28</v>
          </cell>
        </row>
        <row r="1105">
          <cell r="A1105">
            <v>10880021796</v>
          </cell>
          <cell r="B1105" t="str">
            <v>693-B2272A-D 0031800374</v>
          </cell>
          <cell r="C1105" t="str">
            <v>10250032833/ 10250033709/10250033758</v>
          </cell>
          <cell r="D1105" t="str">
            <v>1*4</v>
          </cell>
          <cell r="E1105" t="str">
            <v>锡膏</v>
          </cell>
          <cell r="F1105" t="str">
            <v>海尔洗衣机显示板</v>
          </cell>
          <cell r="G1105">
            <v>0.22777777777777777</v>
          </cell>
          <cell r="H1105">
            <v>360</v>
          </cell>
          <cell r="I1105">
            <v>42</v>
          </cell>
        </row>
        <row r="1106">
          <cell r="A1106">
            <v>10880020031</v>
          </cell>
          <cell r="B1106" t="str">
            <v>693-C2238A-PC 0011800977K</v>
          </cell>
          <cell r="C1106">
            <v>10250033505</v>
          </cell>
          <cell r="D1106" t="str">
            <v>1*2</v>
          </cell>
          <cell r="E1106" t="str">
            <v>锡膏</v>
          </cell>
          <cell r="F1106" t="str">
            <v>空调电控板</v>
          </cell>
          <cell r="G1106">
            <v>5.6888888888888892E-2</v>
          </cell>
          <cell r="H1106">
            <v>500</v>
          </cell>
          <cell r="I1106">
            <v>28</v>
          </cell>
        </row>
        <row r="1107">
          <cell r="A1107">
            <v>10880030203</v>
          </cell>
          <cell r="B1107" t="str">
            <v>693-C23C8A-PC 0011800977T</v>
          </cell>
          <cell r="C1107">
            <v>10250033505</v>
          </cell>
          <cell r="D1107" t="str">
            <v>1*2</v>
          </cell>
          <cell r="E1107" t="str">
            <v>锡膏</v>
          </cell>
          <cell r="F1107" t="str">
            <v>空调电控板</v>
          </cell>
          <cell r="G1107">
            <v>5.6888888888888892E-2</v>
          </cell>
          <cell r="H1107">
            <v>500</v>
          </cell>
          <cell r="I1107">
            <v>28</v>
          </cell>
        </row>
        <row r="1108">
          <cell r="A1108">
            <v>10880027924</v>
          </cell>
          <cell r="B1108" t="str">
            <v>693-C2317A-PC 0011800977P</v>
          </cell>
          <cell r="C1108">
            <v>10250032822</v>
          </cell>
          <cell r="D1108" t="str">
            <v>1*2</v>
          </cell>
          <cell r="E1108" t="str">
            <v>锡膏</v>
          </cell>
          <cell r="F1108" t="str">
            <v>海尔空调电控板</v>
          </cell>
          <cell r="G1108">
            <v>5.6888888888888892E-2</v>
          </cell>
          <cell r="H1108">
            <v>500</v>
          </cell>
          <cell r="I1108">
            <v>28</v>
          </cell>
        </row>
        <row r="1109">
          <cell r="A1109">
            <v>10880027925</v>
          </cell>
          <cell r="B1109" t="str">
            <v>693-C2317B-PC 0011800977R</v>
          </cell>
          <cell r="C1109">
            <v>10250032822</v>
          </cell>
          <cell r="D1109" t="str">
            <v>1*2</v>
          </cell>
          <cell r="E1109" t="str">
            <v>锡膏</v>
          </cell>
          <cell r="F1109" t="str">
            <v>海尔空调电控板</v>
          </cell>
          <cell r="G1109">
            <v>5.6888888888888892E-2</v>
          </cell>
          <cell r="H1109">
            <v>500</v>
          </cell>
          <cell r="I1109">
            <v>28</v>
          </cell>
        </row>
        <row r="1110">
          <cell r="A1110">
            <v>10880021545</v>
          </cell>
          <cell r="B1110" t="str">
            <v>693-C2238B-PC 0011800977S</v>
          </cell>
          <cell r="C1110">
            <v>10250032822</v>
          </cell>
          <cell r="D1110" t="str">
            <v>1*2</v>
          </cell>
          <cell r="E1110" t="str">
            <v>锡膏</v>
          </cell>
          <cell r="F1110" t="str">
            <v>海尔空调电控板</v>
          </cell>
          <cell r="G1110">
            <v>5.6888888888888892E-2</v>
          </cell>
          <cell r="H1110">
            <v>500</v>
          </cell>
          <cell r="I1110">
            <v>28</v>
          </cell>
        </row>
        <row r="1111">
          <cell r="A1111">
            <v>10880028881</v>
          </cell>
          <cell r="B1111" t="str">
            <v>693-C2357A-PC 0011800980K</v>
          </cell>
          <cell r="C1111">
            <v>10250033320</v>
          </cell>
          <cell r="D1111" t="str">
            <v>1*2</v>
          </cell>
          <cell r="E1111" t="str">
            <v>锡膏</v>
          </cell>
          <cell r="F1111" t="str">
            <v>海尔空调内机电控板</v>
          </cell>
          <cell r="G1111">
            <v>6.1999999999999993E-2</v>
          </cell>
          <cell r="H1111">
            <v>500</v>
          </cell>
          <cell r="I1111">
            <v>30</v>
          </cell>
        </row>
        <row r="1112">
          <cell r="A1112">
            <v>10880022472</v>
          </cell>
          <cell r="B1112" t="str">
            <v>693-C2304A-PC 0011800980D</v>
          </cell>
          <cell r="C1112" t="str">
            <v xml:space="preserve">10250033320/10250033321 </v>
          </cell>
          <cell r="D1112" t="str">
            <v>1*2</v>
          </cell>
          <cell r="E1112" t="str">
            <v>锡膏</v>
          </cell>
          <cell r="F1112" t="str">
            <v>海尔空调内机电控板</v>
          </cell>
          <cell r="G1112">
            <v>6.1999999999999993E-2</v>
          </cell>
          <cell r="H1112">
            <v>500</v>
          </cell>
          <cell r="I1112">
            <v>30</v>
          </cell>
        </row>
        <row r="1113">
          <cell r="A1113">
            <v>10880029054</v>
          </cell>
          <cell r="B1113" t="str">
            <v>693-C2373A-PC  0011800980E</v>
          </cell>
          <cell r="C1113">
            <v>10250033320</v>
          </cell>
          <cell r="D1113" t="str">
            <v>1*2</v>
          </cell>
          <cell r="E1113" t="str">
            <v>锡膏</v>
          </cell>
          <cell r="F1113" t="str">
            <v>海尔空调内机电控板</v>
          </cell>
          <cell r="G1113">
            <v>6.1999999999999993E-2</v>
          </cell>
          <cell r="H1113">
            <v>500</v>
          </cell>
          <cell r="I1113">
            <v>30</v>
          </cell>
        </row>
        <row r="1114">
          <cell r="A1114">
            <v>10880029055</v>
          </cell>
          <cell r="B1114" t="str">
            <v>693-C2373B-PC  0011800980F</v>
          </cell>
          <cell r="C1114">
            <v>10250033320</v>
          </cell>
          <cell r="D1114" t="str">
            <v>1*2</v>
          </cell>
          <cell r="E1114" t="str">
            <v>锡膏</v>
          </cell>
          <cell r="F1114" t="str">
            <v>海尔空调内机电控板</v>
          </cell>
          <cell r="G1114">
            <v>6.1999999999999993E-2</v>
          </cell>
          <cell r="H1114">
            <v>500</v>
          </cell>
          <cell r="I1114">
            <v>30</v>
          </cell>
        </row>
        <row r="1115">
          <cell r="A1115">
            <v>10880020556</v>
          </cell>
          <cell r="B1115" t="str">
            <v>693-C2250A-PC 0011800980J</v>
          </cell>
          <cell r="C1115" t="str">
            <v xml:space="preserve">10250033320/10250033321 </v>
          </cell>
          <cell r="D1115" t="str">
            <v>1*2</v>
          </cell>
          <cell r="E1115" t="str">
            <v>锡膏</v>
          </cell>
          <cell r="F1115" t="str">
            <v>海尔空调电控板</v>
          </cell>
          <cell r="G1115">
            <v>6.1999999999999993E-2</v>
          </cell>
          <cell r="H1115">
            <v>500</v>
          </cell>
          <cell r="I1115">
            <v>30</v>
          </cell>
        </row>
        <row r="1116">
          <cell r="A1116">
            <v>10880030123</v>
          </cell>
          <cell r="B1116" t="str">
            <v>693-C2343A-D 0011801736</v>
          </cell>
          <cell r="C1116" t="str">
            <v>10250036419/10250036420</v>
          </cell>
          <cell r="D1116" t="str">
            <v>1*3</v>
          </cell>
          <cell r="E1116" t="str">
            <v>锡膏</v>
          </cell>
          <cell r="F1116" t="str">
            <v>海尔空调显示板</v>
          </cell>
          <cell r="G1116">
            <v>4.1794871794871798E-2</v>
          </cell>
          <cell r="H1116">
            <v>650</v>
          </cell>
          <cell r="I1116">
            <v>27</v>
          </cell>
        </row>
        <row r="1117">
          <cell r="A1117">
            <v>10880030124</v>
          </cell>
          <cell r="B1117" t="str">
            <v>693-C2378A-D 0011801737</v>
          </cell>
          <cell r="C1117" t="str">
            <v>10250035660/10250035661</v>
          </cell>
          <cell r="D1117" t="str">
            <v>1*3</v>
          </cell>
          <cell r="E1117" t="str">
            <v>锡膏</v>
          </cell>
          <cell r="F1117" t="str">
            <v>海尔空调显示板</v>
          </cell>
          <cell r="G1117">
            <v>5.1025641025641028E-2</v>
          </cell>
          <cell r="H1117">
            <v>650</v>
          </cell>
          <cell r="I1117">
            <v>33</v>
          </cell>
        </row>
        <row r="1118">
          <cell r="A1118">
            <v>10880030188</v>
          </cell>
          <cell r="B1118" t="str">
            <v>693-C2344C-PC 0011801737A</v>
          </cell>
          <cell r="C1118" t="str">
            <v>10250035660/10250035661</v>
          </cell>
          <cell r="D1118" t="str">
            <v>1*3</v>
          </cell>
          <cell r="E1118" t="str">
            <v>锡膏</v>
          </cell>
          <cell r="F1118" t="str">
            <v>海尔空调电控板</v>
          </cell>
          <cell r="G1118">
            <v>5.1025641025641028E-2</v>
          </cell>
          <cell r="H1118">
            <v>650</v>
          </cell>
          <cell r="I1118">
            <v>33</v>
          </cell>
        </row>
        <row r="1119">
          <cell r="A1119">
            <v>10880033456</v>
          </cell>
          <cell r="B1119" t="str">
            <v>500323-C24B2A-D 0011801737B</v>
          </cell>
          <cell r="C1119" t="str">
            <v>10250040371/10250040426</v>
          </cell>
          <cell r="D1119" t="str">
            <v>1*3</v>
          </cell>
          <cell r="E1119" t="str">
            <v>锡膏</v>
          </cell>
          <cell r="F1119" t="str">
            <v>海尔空调电控板</v>
          </cell>
          <cell r="G1119">
            <v>5.1025641025641028E-2</v>
          </cell>
          <cell r="H1119">
            <v>650</v>
          </cell>
          <cell r="I1119">
            <v>33</v>
          </cell>
        </row>
        <row r="1120">
          <cell r="A1120">
            <v>10880029106</v>
          </cell>
          <cell r="B1120" t="str">
            <v>693-C2360A-D 0011800495Z</v>
          </cell>
          <cell r="C1120" t="str">
            <v>10250034870/10250034871</v>
          </cell>
          <cell r="D1120" t="str">
            <v>1*2</v>
          </cell>
          <cell r="E1120" t="str">
            <v>红胶</v>
          </cell>
          <cell r="F1120" t="str">
            <v>海尔空调显示板</v>
          </cell>
          <cell r="G1120">
            <v>5.7999999999999996E-2</v>
          </cell>
          <cell r="H1120">
            <v>500</v>
          </cell>
          <cell r="I1120">
            <v>29</v>
          </cell>
        </row>
        <row r="1121">
          <cell r="A1121">
            <v>10880030934</v>
          </cell>
          <cell r="B1121" t="str">
            <v>693-C2371A-D 0190400377</v>
          </cell>
          <cell r="C1121" t="str">
            <v>10250037181/10250037182</v>
          </cell>
          <cell r="D1121" t="str">
            <v>1*4</v>
          </cell>
          <cell r="E1121" t="str">
            <v>锡膏</v>
          </cell>
          <cell r="F1121" t="str">
            <v>净水377A显示板</v>
          </cell>
          <cell r="G1121">
            <v>4.6666666666666669E-2</v>
          </cell>
          <cell r="H1121">
            <v>600</v>
          </cell>
          <cell r="I1121">
            <v>28</v>
          </cell>
        </row>
        <row r="1122">
          <cell r="A1122">
            <v>10880030936</v>
          </cell>
          <cell r="B1122" t="str">
            <v>693-C2371B-D 0190400377A</v>
          </cell>
          <cell r="C1122" t="str">
            <v>10250037181/10250037182</v>
          </cell>
          <cell r="D1122" t="str">
            <v>1*4</v>
          </cell>
          <cell r="E1122" t="str">
            <v>锡膏</v>
          </cell>
          <cell r="F1122" t="str">
            <v>净水377A显示板</v>
          </cell>
          <cell r="G1122">
            <v>4.6666666666666669E-2</v>
          </cell>
          <cell r="H1122">
            <v>600</v>
          </cell>
          <cell r="I1122">
            <v>28</v>
          </cell>
        </row>
        <row r="1123">
          <cell r="A1123">
            <v>10880012796</v>
          </cell>
          <cell r="B1123" t="str">
            <v xml:space="preserve"> 693-C20018B-PC 0011800933S </v>
          </cell>
          <cell r="C1123" t="str">
            <v>10250024366/10250024367</v>
          </cell>
          <cell r="D1123" t="str">
            <v>1*1</v>
          </cell>
          <cell r="E1123" t="str">
            <v>锡膏</v>
          </cell>
          <cell r="F1123" t="str">
            <v>空调933S变频电控板</v>
          </cell>
          <cell r="G1123">
            <v>0.12173913043478261</v>
          </cell>
          <cell r="H1123">
            <v>230</v>
          </cell>
          <cell r="I1123">
            <v>28</v>
          </cell>
        </row>
        <row r="1124">
          <cell r="A1124">
            <v>10880012795</v>
          </cell>
          <cell r="B1124" t="str">
            <v>693-C20018A-PC 0011800933Y</v>
          </cell>
          <cell r="C1124" t="str">
            <v>10250024366/10250024367</v>
          </cell>
          <cell r="D1124" t="str">
            <v>1*1</v>
          </cell>
          <cell r="E1124" t="str">
            <v>锡膏</v>
          </cell>
          <cell r="F1124" t="str">
            <v>空调933Y变频电控板</v>
          </cell>
          <cell r="G1124">
            <v>0.12173913043478261</v>
          </cell>
          <cell r="H1124">
            <v>230</v>
          </cell>
          <cell r="I1124">
            <v>28</v>
          </cell>
        </row>
        <row r="1125">
          <cell r="A1125">
            <v>10880031599</v>
          </cell>
          <cell r="B1125" t="str">
            <v xml:space="preserve">693-C2413A-PC 0181800103  </v>
          </cell>
          <cell r="C1125" t="str">
            <v>10250037440/10250037441/10250037442</v>
          </cell>
          <cell r="D1125" t="str">
            <v>1*6</v>
          </cell>
          <cell r="E1125" t="str">
            <v>锡膏</v>
          </cell>
          <cell r="F1125" t="str">
            <v>海尔干衣机103电控板</v>
          </cell>
          <cell r="G1125">
            <v>7.3333333333333334E-2</v>
          </cell>
          <cell r="H1125">
            <v>450</v>
          </cell>
          <cell r="I1125">
            <v>33</v>
          </cell>
        </row>
        <row r="1126">
          <cell r="A1126">
            <v>10880034669</v>
          </cell>
          <cell r="B1126" t="str">
            <v>693-C2413A-PC 0181800103 加水泥电阻</v>
          </cell>
          <cell r="C1126" t="str">
            <v>10250037440/10250037441/10250037442</v>
          </cell>
          <cell r="D1126" t="str">
            <v>1*6</v>
          </cell>
          <cell r="E1126" t="str">
            <v>锡膏</v>
          </cell>
          <cell r="F1126" t="str">
            <v>海尔干衣机103电控板</v>
          </cell>
          <cell r="G1126">
            <v>5.7777777777777782E-2</v>
          </cell>
          <cell r="H1126">
            <v>800</v>
          </cell>
          <cell r="I1126">
            <v>43</v>
          </cell>
        </row>
        <row r="1127">
          <cell r="A1127">
            <v>10880022471</v>
          </cell>
          <cell r="B1127" t="str">
            <v xml:space="preserve">1323-C2302A-PC 0011801644  </v>
          </cell>
          <cell r="C1127" t="str">
            <v>10250039168/10250039169</v>
          </cell>
          <cell r="D1127" t="str">
            <v>1*2</v>
          </cell>
          <cell r="E1127" t="str">
            <v>锡膏</v>
          </cell>
          <cell r="F1127" t="str">
            <v>海尔空调窗机电控板</v>
          </cell>
          <cell r="G1127">
            <v>0.11785714285714287</v>
          </cell>
          <cell r="H1127">
            <v>280</v>
          </cell>
          <cell r="I1127">
            <v>33</v>
          </cell>
        </row>
        <row r="1128">
          <cell r="A1128">
            <v>10880020048</v>
          </cell>
          <cell r="B1128" t="str">
            <v>693-C2203A-PC 0011801327</v>
          </cell>
          <cell r="C1128" t="str">
            <v>10250031453/10250031454</v>
          </cell>
          <cell r="D1128" t="str">
            <v>1*4</v>
          </cell>
          <cell r="E1128" t="str">
            <v>锡膏</v>
          </cell>
          <cell r="F1128" t="str">
            <v>海尔空调电控板</v>
          </cell>
          <cell r="G1128">
            <v>8.5000000000000006E-2</v>
          </cell>
          <cell r="H1128">
            <v>400</v>
          </cell>
          <cell r="I1128">
            <v>34</v>
          </cell>
        </row>
        <row r="1129">
          <cell r="A1129">
            <v>10880031871</v>
          </cell>
          <cell r="B1129" t="str">
            <v>693-C2412A-PC 0041801687</v>
          </cell>
          <cell r="C1129">
            <v>10250039370</v>
          </cell>
          <cell r="D1129" t="str">
            <v>1*3</v>
          </cell>
          <cell r="E1129" t="str">
            <v>锡膏</v>
          </cell>
          <cell r="F1129" t="str">
            <v>海尔太阳能热水器电控板</v>
          </cell>
          <cell r="G1129">
            <v>0.15500000000000003</v>
          </cell>
          <cell r="H1129">
            <v>200</v>
          </cell>
          <cell r="I1129">
            <v>31</v>
          </cell>
        </row>
        <row r="1130">
          <cell r="A1130">
            <v>10880029079</v>
          </cell>
          <cell r="B1130" t="str">
            <v>693-C2362A-D 0011801100</v>
          </cell>
          <cell r="C1130" t="str">
            <v>10250035728/10250035729</v>
          </cell>
          <cell r="D1130" t="str">
            <v>1*12</v>
          </cell>
          <cell r="E1130" t="str">
            <v>锡膏</v>
          </cell>
          <cell r="F1130" t="str">
            <v>海尔空调挂机显示板</v>
          </cell>
          <cell r="G1130">
            <v>7.4999999999999997E-3</v>
          </cell>
          <cell r="H1130">
            <v>2000</v>
          </cell>
          <cell r="I1130">
            <v>15</v>
          </cell>
        </row>
        <row r="1131">
          <cell r="A1131">
            <v>10880022470</v>
          </cell>
          <cell r="B1131" t="str">
            <v xml:space="preserve">693-B2301A-PC  0041801545  </v>
          </cell>
          <cell r="C1131">
            <v>10250035770</v>
          </cell>
          <cell r="D1131" t="str">
            <v>1*1</v>
          </cell>
          <cell r="E1131" t="str">
            <v>锡膏</v>
          </cell>
          <cell r="F1131" t="str">
            <v>净水主变一体板电控板</v>
          </cell>
          <cell r="G1131">
            <v>0.21000000000000002</v>
          </cell>
          <cell r="H1131">
            <v>200</v>
          </cell>
          <cell r="I1131">
            <v>42</v>
          </cell>
        </row>
        <row r="1132">
          <cell r="A1132">
            <v>10880031461</v>
          </cell>
          <cell r="B1132" t="str">
            <v xml:space="preserve">693-B2301B-PC 0041801545D  </v>
          </cell>
          <cell r="C1132">
            <v>10250035770</v>
          </cell>
          <cell r="D1132" t="str">
            <v>1*1</v>
          </cell>
          <cell r="E1132" t="str">
            <v>锡膏</v>
          </cell>
          <cell r="F1132" t="str">
            <v>净水主变一体板电控板</v>
          </cell>
          <cell r="G1132">
            <v>0.20500000000000002</v>
          </cell>
          <cell r="H1132">
            <v>200</v>
          </cell>
          <cell r="I1132">
            <v>41</v>
          </cell>
        </row>
        <row r="1133">
          <cell r="A1133">
            <v>10880031869</v>
          </cell>
          <cell r="B1133" t="str">
            <v xml:space="preserve"> 693-B2301C-PC 0041801545A  </v>
          </cell>
          <cell r="C1133">
            <v>10250035770</v>
          </cell>
          <cell r="D1133" t="str">
            <v>1*1</v>
          </cell>
          <cell r="E1133" t="str">
            <v>锡膏</v>
          </cell>
          <cell r="F1133" t="str">
            <v>净水主变一体板电控板</v>
          </cell>
          <cell r="G1133">
            <v>0.21000000000000002</v>
          </cell>
          <cell r="H1133">
            <v>200</v>
          </cell>
          <cell r="I1133">
            <v>42</v>
          </cell>
        </row>
        <row r="1134">
          <cell r="A1134">
            <v>10880031870</v>
          </cell>
          <cell r="B1134" t="str">
            <v xml:space="preserve">693-B2301D-PC 0041801545C  </v>
          </cell>
          <cell r="C1134">
            <v>10250035770</v>
          </cell>
          <cell r="D1134" t="str">
            <v>1*1</v>
          </cell>
          <cell r="E1134" t="str">
            <v>锡膏</v>
          </cell>
          <cell r="F1134" t="str">
            <v>净水主变一体板电控板</v>
          </cell>
          <cell r="G1134">
            <v>0.21000000000000002</v>
          </cell>
          <cell r="H1134">
            <v>200</v>
          </cell>
          <cell r="I1134">
            <v>42</v>
          </cell>
        </row>
        <row r="1135">
          <cell r="A1135">
            <v>10880030334</v>
          </cell>
          <cell r="B1135" t="str">
            <v>693-C23B7A-PC 0151800228CA</v>
          </cell>
          <cell r="C1135">
            <v>10250039933</v>
          </cell>
          <cell r="D1135" t="str">
            <v>1*2</v>
          </cell>
          <cell r="E1135" t="str">
            <v>锡膏</v>
          </cell>
          <cell r="F1135" t="str">
            <v>空调228CA电控板</v>
          </cell>
          <cell r="G1135">
            <v>0.15769230769230769</v>
          </cell>
          <cell r="H1135">
            <v>260</v>
          </cell>
          <cell r="I1135">
            <v>41</v>
          </cell>
        </row>
        <row r="1136">
          <cell r="A1136">
            <v>10880033745</v>
          </cell>
          <cell r="B1136" t="str">
            <v>693-C2328F-PC 0190400534AA</v>
          </cell>
          <cell r="C1136" t="str">
            <v>10250036052/10250036053</v>
          </cell>
          <cell r="D1136" t="str">
            <v>1*3</v>
          </cell>
          <cell r="E1136" t="str">
            <v>锡膏</v>
          </cell>
          <cell r="F1136" t="str">
            <v>净水主变一体板电控板</v>
          </cell>
          <cell r="G1136">
            <v>0.11499999999999999</v>
          </cell>
          <cell r="H1136">
            <v>400</v>
          </cell>
          <cell r="I1136">
            <v>34</v>
          </cell>
        </row>
        <row r="1137">
          <cell r="A1137">
            <v>10880032885</v>
          </cell>
          <cell r="B1137" t="str">
            <v>693-C2434A-PC 0031800138R</v>
          </cell>
          <cell r="C1137" t="str">
            <v>10250040113/ 10250040114</v>
          </cell>
          <cell r="D1137" t="str">
            <v>1*1</v>
          </cell>
          <cell r="E1137" t="str">
            <v>锡膏</v>
          </cell>
          <cell r="F1137" t="str">
            <v>洗衣机电控板</v>
          </cell>
          <cell r="G1137">
            <v>0.14166666666666666</v>
          </cell>
          <cell r="H1137">
            <v>240</v>
          </cell>
          <cell r="I1137">
            <v>34</v>
          </cell>
        </row>
        <row r="1138">
          <cell r="A1138">
            <v>10880030335</v>
          </cell>
          <cell r="B1138" t="str">
            <v>693-C23B8A-PC 0151800561CA</v>
          </cell>
          <cell r="C1138">
            <v>10250033566</v>
          </cell>
          <cell r="D1138" t="str">
            <v>1*2</v>
          </cell>
          <cell r="E1138" t="str">
            <v>锡膏</v>
          </cell>
          <cell r="F1138" t="str">
            <v>空调电控板</v>
          </cell>
          <cell r="G1138">
            <v>0.14333333333333331</v>
          </cell>
          <cell r="H1138">
            <v>300</v>
          </cell>
          <cell r="I1138">
            <v>43</v>
          </cell>
        </row>
        <row r="1139">
          <cell r="A1139">
            <v>10880029108</v>
          </cell>
          <cell r="B1139" t="str">
            <v>693-B2364A-D 0011801112H</v>
          </cell>
          <cell r="C1139" t="str">
            <v>10250034872/10250034873</v>
          </cell>
          <cell r="D1139" t="str">
            <v>1*3</v>
          </cell>
          <cell r="E1139" t="str">
            <v>锡膏</v>
          </cell>
          <cell r="F1139" t="str">
            <v>海尔空调显示板</v>
          </cell>
          <cell r="G1139">
            <v>5.1666666666666666E-2</v>
          </cell>
          <cell r="H1139">
            <v>600</v>
          </cell>
          <cell r="I1139">
            <v>31</v>
          </cell>
        </row>
        <row r="1140">
          <cell r="A1140">
            <v>10880033329</v>
          </cell>
          <cell r="B1140" t="str">
            <v>500323-C24A9A-PC 0011801490S</v>
          </cell>
          <cell r="C1140" t="str">
            <v>10250039662/10250039694/10250039695</v>
          </cell>
          <cell r="D1140" t="str">
            <v>1*2</v>
          </cell>
          <cell r="E1140" t="str">
            <v>锡膏</v>
          </cell>
          <cell r="F1140" t="str">
            <v>空调电控板</v>
          </cell>
          <cell r="G1140">
            <v>0.1</v>
          </cell>
          <cell r="H1140">
            <v>320</v>
          </cell>
          <cell r="I1140">
            <v>32</v>
          </cell>
        </row>
        <row r="1141">
          <cell r="A1141">
            <v>10880033136</v>
          </cell>
          <cell r="B1141" t="str">
            <v>500323-B24A6C-PC 0011801490E</v>
          </cell>
          <cell r="C1141" t="str">
            <v>10250039662/10250039694</v>
          </cell>
          <cell r="D1141" t="str">
            <v>1*2</v>
          </cell>
          <cell r="E1141" t="str">
            <v>锡膏</v>
          </cell>
          <cell r="F1141" t="str">
            <v>空调电控板</v>
          </cell>
          <cell r="G1141">
            <v>0.1</v>
          </cell>
          <cell r="H1141">
            <v>320</v>
          </cell>
          <cell r="I1141">
            <v>32</v>
          </cell>
        </row>
        <row r="1142">
          <cell r="A1142">
            <v>10880033137</v>
          </cell>
          <cell r="B1142" t="str">
            <v>500323-B24A6D-PC 0011801490F</v>
          </cell>
          <cell r="C1142" t="str">
            <v>10250039694/10250039695</v>
          </cell>
          <cell r="D1142" t="str">
            <v>1*2</v>
          </cell>
          <cell r="E1142" t="str">
            <v>锡膏</v>
          </cell>
          <cell r="F1142" t="str">
            <v>空调电控板</v>
          </cell>
          <cell r="G1142">
            <v>0.1</v>
          </cell>
          <cell r="H1142">
            <v>320</v>
          </cell>
          <cell r="I1142">
            <v>32</v>
          </cell>
        </row>
        <row r="1143">
          <cell r="A1143">
            <v>10880033134</v>
          </cell>
          <cell r="B1143" t="str">
            <v>500323-B24A6A-PC 0011801490B</v>
          </cell>
          <cell r="C1143">
            <v>10250039662</v>
          </cell>
          <cell r="D1143" t="str">
            <v>1*2</v>
          </cell>
          <cell r="E1143" t="str">
            <v>锡膏</v>
          </cell>
          <cell r="F1143" t="str">
            <v>空调电控板</v>
          </cell>
          <cell r="G1143">
            <v>0.1</v>
          </cell>
          <cell r="H1143">
            <v>320</v>
          </cell>
          <cell r="I1143">
            <v>32</v>
          </cell>
        </row>
        <row r="1144">
          <cell r="A1144">
            <v>10880033135</v>
          </cell>
          <cell r="B1144" t="str">
            <v xml:space="preserve">500323-B24A6B-PC 0011801490D  </v>
          </cell>
          <cell r="C1144">
            <v>10250039695</v>
          </cell>
          <cell r="D1144" t="str">
            <v>1*2</v>
          </cell>
          <cell r="E1144" t="str">
            <v>锡膏</v>
          </cell>
          <cell r="F1144" t="str">
            <v>空调电控板</v>
          </cell>
          <cell r="G1144">
            <v>0.1</v>
          </cell>
          <cell r="H1144">
            <v>320</v>
          </cell>
          <cell r="I1144">
            <v>32</v>
          </cell>
        </row>
        <row r="1145">
          <cell r="A1145">
            <v>10880033585</v>
          </cell>
          <cell r="B1145" t="str">
            <v>500323-B24A6H-PC 0011801490Y</v>
          </cell>
          <cell r="C1145" t="str">
            <v>10250041119/10250040068/10250040069</v>
          </cell>
          <cell r="D1145" t="str">
            <v>1*2</v>
          </cell>
          <cell r="E1145" t="str">
            <v>锡膏</v>
          </cell>
          <cell r="F1145" t="str">
            <v>空调电控板</v>
          </cell>
          <cell r="G1145">
            <v>0.1</v>
          </cell>
          <cell r="H1145">
            <v>320</v>
          </cell>
          <cell r="I1145">
            <v>32</v>
          </cell>
        </row>
        <row r="1146">
          <cell r="A1146">
            <v>10880034573</v>
          </cell>
          <cell r="B1146" t="str">
            <v>500323-C24N9D-PC 0011801490Z</v>
          </cell>
          <cell r="C1146" t="str">
            <v>10250039662/10250039694/10250039695/10250041125</v>
          </cell>
          <cell r="D1146" t="str">
            <v>1*2</v>
          </cell>
          <cell r="E1146" t="str">
            <v>锡膏</v>
          </cell>
          <cell r="F1146" t="str">
            <v>空调电控板</v>
          </cell>
          <cell r="G1146">
            <v>0.1</v>
          </cell>
          <cell r="H1146">
            <v>320</v>
          </cell>
          <cell r="I1146">
            <v>32</v>
          </cell>
        </row>
        <row r="1147">
          <cell r="A1147">
            <v>10880034956</v>
          </cell>
          <cell r="B1147" t="str">
            <v xml:space="preserve">500323-C24N9G-PC 0011801490AV  </v>
          </cell>
          <cell r="C1147">
            <v>10250041125</v>
          </cell>
          <cell r="D1147" t="str">
            <v>1*2</v>
          </cell>
          <cell r="E1147" t="str">
            <v>锡膏</v>
          </cell>
          <cell r="F1147" t="str">
            <v>空调电控板</v>
          </cell>
          <cell r="G1147">
            <v>0.1</v>
          </cell>
          <cell r="H1147">
            <v>320</v>
          </cell>
          <cell r="I1147">
            <v>32</v>
          </cell>
        </row>
        <row r="1148">
          <cell r="A1148">
            <v>10880034957</v>
          </cell>
          <cell r="B1148" t="str">
            <v>500323-C24N9H-PC 0011801490AZ</v>
          </cell>
          <cell r="C1148">
            <v>10250041125</v>
          </cell>
          <cell r="D1148" t="str">
            <v>1*2</v>
          </cell>
          <cell r="E1148" t="str">
            <v>锡膏</v>
          </cell>
          <cell r="F1148" t="str">
            <v>空调电控板</v>
          </cell>
          <cell r="G1148">
            <v>0.1</v>
          </cell>
          <cell r="H1148">
            <v>320</v>
          </cell>
          <cell r="I1148">
            <v>32</v>
          </cell>
        </row>
        <row r="1149">
          <cell r="A1149">
            <v>10880034958</v>
          </cell>
          <cell r="B1149" t="str">
            <v xml:space="preserve">500323-C24N9I-PC 0011801490AP  </v>
          </cell>
          <cell r="C1149">
            <v>10250041125</v>
          </cell>
          <cell r="D1149" t="str">
            <v>1*2</v>
          </cell>
          <cell r="E1149" t="str">
            <v>锡膏</v>
          </cell>
          <cell r="F1149" t="str">
            <v>空调电控板</v>
          </cell>
          <cell r="G1149">
            <v>0.1</v>
          </cell>
          <cell r="H1149">
            <v>320</v>
          </cell>
          <cell r="I1149">
            <v>32</v>
          </cell>
        </row>
        <row r="1150">
          <cell r="A1150">
            <v>10880035196</v>
          </cell>
          <cell r="B1150" t="str">
            <v xml:space="preserve">500323-C24N9M-PC 0011801490BP  </v>
          </cell>
          <cell r="C1150">
            <v>10250041125</v>
          </cell>
          <cell r="D1150" t="str">
            <v>1*2</v>
          </cell>
          <cell r="E1150" t="str">
            <v>锡膏</v>
          </cell>
          <cell r="F1150" t="str">
            <v>空调电控板</v>
          </cell>
          <cell r="G1150">
            <v>0.1</v>
          </cell>
          <cell r="H1150">
            <v>320</v>
          </cell>
          <cell r="I1150">
            <v>32</v>
          </cell>
        </row>
        <row r="1151">
          <cell r="A1151">
            <v>10880037377</v>
          </cell>
          <cell r="B1151" t="str">
            <v xml:space="preserve">600766-A2504A-PC G0044 0011801490M  </v>
          </cell>
          <cell r="C1151">
            <v>10250043967</v>
          </cell>
          <cell r="D1151" t="str">
            <v>1*2</v>
          </cell>
          <cell r="E1151" t="str">
            <v>锡膏</v>
          </cell>
          <cell r="F1151" t="str">
            <v>空调电控板</v>
          </cell>
          <cell r="G1151">
            <v>0.10285714285714287</v>
          </cell>
          <cell r="H1151">
            <v>350</v>
          </cell>
          <cell r="I1151">
            <v>36</v>
          </cell>
        </row>
        <row r="1152">
          <cell r="A1152">
            <v>10880036346</v>
          </cell>
          <cell r="B1152" t="str">
            <v>500323-B2515E-PC G0044 0011801490BY</v>
          </cell>
          <cell r="C1152">
            <v>10250043869</v>
          </cell>
          <cell r="D1152" t="str">
            <v>1*2</v>
          </cell>
          <cell r="E1152" t="str">
            <v>锡膏</v>
          </cell>
          <cell r="F1152" t="str">
            <v>空调电控板</v>
          </cell>
          <cell r="G1152">
            <v>0.11666666666666665</v>
          </cell>
          <cell r="H1152">
            <v>300</v>
          </cell>
          <cell r="I1152">
            <v>35</v>
          </cell>
        </row>
        <row r="1153">
          <cell r="A1153">
            <v>10880035265</v>
          </cell>
          <cell r="B1153" t="str">
            <v xml:space="preserve">500323-B2515B-PC 0011801490JZ </v>
          </cell>
          <cell r="C1153" t="str">
            <v>10250043614/10250043935</v>
          </cell>
          <cell r="D1153" t="str">
            <v>1*2</v>
          </cell>
          <cell r="E1153" t="str">
            <v>锡膏</v>
          </cell>
          <cell r="F1153" t="str">
            <v>空调电控板</v>
          </cell>
          <cell r="G1153">
            <v>0.11666666666666665</v>
          </cell>
          <cell r="H1153">
            <v>300</v>
          </cell>
          <cell r="I1153">
            <v>35</v>
          </cell>
        </row>
        <row r="1154">
          <cell r="A1154">
            <v>10880033251</v>
          </cell>
          <cell r="B1154" t="str">
            <v>500323-C24A3A-PC 0011801850</v>
          </cell>
          <cell r="C1154" t="str">
            <v>10250040483/10250040481</v>
          </cell>
          <cell r="D1154" t="str">
            <v>1*2</v>
          </cell>
          <cell r="E1154" t="str">
            <v>锡膏</v>
          </cell>
          <cell r="F1154" t="str">
            <v>空调电控板</v>
          </cell>
          <cell r="G1154">
            <v>0.18114035087719296</v>
          </cell>
          <cell r="H1154">
            <v>380</v>
          </cell>
          <cell r="I1154">
            <v>32</v>
          </cell>
        </row>
        <row r="1155">
          <cell r="A1155">
            <v>10880033252</v>
          </cell>
          <cell r="B1155" t="str">
            <v>500323-C24A3B-PC 0011801850A</v>
          </cell>
          <cell r="C1155" t="str">
            <v>10250040483/10250040481</v>
          </cell>
          <cell r="D1155" t="str">
            <v>1*2</v>
          </cell>
          <cell r="E1155" t="str">
            <v>锡膏</v>
          </cell>
          <cell r="F1155" t="str">
            <v>空调电控板</v>
          </cell>
          <cell r="G1155">
            <v>0.18114035087719296</v>
          </cell>
          <cell r="H1155">
            <v>380</v>
          </cell>
          <cell r="I1155">
            <v>32</v>
          </cell>
        </row>
        <row r="1156">
          <cell r="A1156">
            <v>10880033695</v>
          </cell>
          <cell r="B1156" t="str">
            <v>500323-C24I2A-D 0011801917</v>
          </cell>
          <cell r="C1156" t="str">
            <v>10250040880/10250040881</v>
          </cell>
          <cell r="D1156" t="str">
            <v>1*3</v>
          </cell>
          <cell r="E1156" t="str">
            <v>锡膏</v>
          </cell>
          <cell r="F1156" t="str">
            <v>空调显示板</v>
          </cell>
          <cell r="G1156">
            <v>6.3461538461538458E-2</v>
          </cell>
          <cell r="H1156">
            <v>520</v>
          </cell>
          <cell r="I1156">
            <v>33</v>
          </cell>
        </row>
        <row r="1157">
          <cell r="A1157">
            <v>10880033717</v>
          </cell>
          <cell r="B1157" t="str">
            <v>500323-C24I2B-D 0011801917A</v>
          </cell>
          <cell r="C1157" t="str">
            <v>10250040880/10250040881</v>
          </cell>
          <cell r="D1157" t="str">
            <v>1*3</v>
          </cell>
          <cell r="E1157" t="str">
            <v>锡膏</v>
          </cell>
          <cell r="F1157" t="str">
            <v>空调显示板</v>
          </cell>
          <cell r="G1157">
            <v>6.3461538461538458E-2</v>
          </cell>
          <cell r="H1157">
            <v>520</v>
          </cell>
          <cell r="I1157">
            <v>33</v>
          </cell>
        </row>
        <row r="1158">
          <cell r="A1158">
            <v>10880033720</v>
          </cell>
          <cell r="B1158" t="str">
            <v>500323-C24I2C-D 0011801917C</v>
          </cell>
          <cell r="C1158" t="str">
            <v>10250040880/10250040881</v>
          </cell>
          <cell r="D1158" t="str">
            <v>1*3</v>
          </cell>
          <cell r="E1158" t="str">
            <v>锡膏</v>
          </cell>
          <cell r="F1158" t="str">
            <v>空调显示板</v>
          </cell>
          <cell r="G1158">
            <v>6.3461538461538458E-2</v>
          </cell>
          <cell r="H1158">
            <v>520</v>
          </cell>
          <cell r="I1158">
            <v>33</v>
          </cell>
        </row>
        <row r="1159">
          <cell r="A1159">
            <v>10880034417</v>
          </cell>
          <cell r="B1159" t="str">
            <v xml:space="preserve">500323-C24I2D-D 0011801917D  </v>
          </cell>
          <cell r="C1159" t="str">
            <v>10250040880/10250040881</v>
          </cell>
          <cell r="D1159" t="str">
            <v>1*3</v>
          </cell>
          <cell r="E1159" t="str">
            <v>锡膏</v>
          </cell>
          <cell r="F1159" t="str">
            <v>空调显示板</v>
          </cell>
          <cell r="G1159">
            <v>6.3461538461538458E-2</v>
          </cell>
          <cell r="H1159">
            <v>520</v>
          </cell>
          <cell r="I1159">
            <v>33</v>
          </cell>
        </row>
        <row r="1160">
          <cell r="A1160">
            <v>10880034518</v>
          </cell>
          <cell r="B1160" t="str">
            <v>500323-C24I2E-D 0011801917E</v>
          </cell>
          <cell r="C1160" t="str">
            <v>10250040880/10250040881</v>
          </cell>
          <cell r="D1160" t="str">
            <v>1*3</v>
          </cell>
          <cell r="E1160" t="str">
            <v>锡膏</v>
          </cell>
          <cell r="F1160" t="str">
            <v>空调显示板</v>
          </cell>
          <cell r="G1160">
            <v>6.3461538461538458E-2</v>
          </cell>
          <cell r="H1160">
            <v>520</v>
          </cell>
          <cell r="I1160">
            <v>33</v>
          </cell>
        </row>
        <row r="1161">
          <cell r="A1161">
            <v>10880033689</v>
          </cell>
          <cell r="B1161" t="str">
            <v>500323-C24H8A-PC 0011801903A</v>
          </cell>
          <cell r="C1161">
            <v>10250040876</v>
          </cell>
          <cell r="D1161" t="str">
            <v>1*2</v>
          </cell>
          <cell r="E1161" t="str">
            <v>锡膏</v>
          </cell>
          <cell r="F1161" t="str">
            <v>空调电控板</v>
          </cell>
          <cell r="G1161">
            <v>7.5555555555555556E-2</v>
          </cell>
          <cell r="H1161">
            <v>450</v>
          </cell>
          <cell r="I1161">
            <v>34</v>
          </cell>
        </row>
        <row r="1162">
          <cell r="A1162">
            <v>10880033690</v>
          </cell>
          <cell r="B1162" t="str">
            <v>500323-C24H8B-PC 0011801903B</v>
          </cell>
          <cell r="C1162">
            <v>10250040876</v>
          </cell>
          <cell r="D1162" t="str">
            <v>1*2</v>
          </cell>
          <cell r="E1162" t="str">
            <v>锡膏</v>
          </cell>
          <cell r="F1162" t="str">
            <v>空调电控板</v>
          </cell>
          <cell r="G1162">
            <v>7.5555555555555556E-2</v>
          </cell>
          <cell r="H1162">
            <v>450</v>
          </cell>
          <cell r="I1162">
            <v>34</v>
          </cell>
        </row>
        <row r="1163">
          <cell r="A1163">
            <v>10880033692</v>
          </cell>
          <cell r="B1163" t="str">
            <v>500323-C24H8C-PC 0011801903C</v>
          </cell>
          <cell r="C1163">
            <v>10250040876</v>
          </cell>
          <cell r="D1163" t="str">
            <v>1*2</v>
          </cell>
          <cell r="E1163" t="str">
            <v>锡膏</v>
          </cell>
          <cell r="F1163" t="str">
            <v>空调电控板</v>
          </cell>
          <cell r="G1163">
            <v>7.5555555555555556E-2</v>
          </cell>
          <cell r="H1163">
            <v>450</v>
          </cell>
          <cell r="I1163">
            <v>34</v>
          </cell>
        </row>
        <row r="1164">
          <cell r="A1164">
            <v>10880035126</v>
          </cell>
          <cell r="B1164" t="str">
            <v>500323-C24H8D-PC 0011801903D</v>
          </cell>
          <cell r="C1164">
            <v>10250040876</v>
          </cell>
          <cell r="D1164" t="str">
            <v>1*2</v>
          </cell>
          <cell r="E1164" t="str">
            <v>锡膏</v>
          </cell>
          <cell r="F1164" t="str">
            <v>空调电控板</v>
          </cell>
          <cell r="G1164">
            <v>7.5555555555555556E-2</v>
          </cell>
          <cell r="H1164">
            <v>450</v>
          </cell>
          <cell r="I1164">
            <v>34</v>
          </cell>
        </row>
        <row r="1165">
          <cell r="A1165">
            <v>10880033661</v>
          </cell>
          <cell r="B1165" t="str">
            <v>500323-C24F9A-PC 0011801710H</v>
          </cell>
          <cell r="C1165" t="str">
            <v>10250040316/10250040315</v>
          </cell>
          <cell r="D1165" t="str">
            <v>1*2</v>
          </cell>
          <cell r="E1165" t="str">
            <v>锡膏</v>
          </cell>
          <cell r="F1165" t="str">
            <v>空调电控板</v>
          </cell>
          <cell r="G1165">
            <v>8.2500000000000004E-2</v>
          </cell>
          <cell r="H1165">
            <v>400</v>
          </cell>
          <cell r="I1165">
            <v>33</v>
          </cell>
        </row>
        <row r="1166">
          <cell r="A1166">
            <v>10880033654</v>
          </cell>
          <cell r="B1166" t="str">
            <v>500323-C24G5A-D 0011801911</v>
          </cell>
          <cell r="C1166" t="str">
            <v>10250041357/10250041358</v>
          </cell>
          <cell r="D1166" t="str">
            <v>1*6</v>
          </cell>
          <cell r="E1166" t="str">
            <v>锡膏</v>
          </cell>
          <cell r="F1166" t="str">
            <v>空调显示板</v>
          </cell>
          <cell r="G1166">
            <v>6.333333333333334E-3</v>
          </cell>
          <cell r="H1166">
            <v>3000</v>
          </cell>
          <cell r="I1166">
            <v>19</v>
          </cell>
        </row>
        <row r="1167">
          <cell r="A1167">
            <v>10880033655</v>
          </cell>
          <cell r="B1167" t="str">
            <v>500323-C24G5B-D 0011801911A</v>
          </cell>
          <cell r="C1167" t="str">
            <v>10250041357/10250041358</v>
          </cell>
          <cell r="D1167" t="str">
            <v>1*6</v>
          </cell>
          <cell r="E1167" t="str">
            <v>锡膏</v>
          </cell>
          <cell r="F1167" t="str">
            <v>空调显示板</v>
          </cell>
          <cell r="G1167">
            <v>6.333333333333334E-3</v>
          </cell>
          <cell r="H1167">
            <v>3000</v>
          </cell>
          <cell r="I1167">
            <v>19</v>
          </cell>
        </row>
        <row r="1168">
          <cell r="A1168">
            <v>10880035754</v>
          </cell>
          <cell r="B1168" t="str">
            <v>500323-C24G5A-D G0044 0011801911 新</v>
          </cell>
          <cell r="C1168" t="str">
            <v>10250042811/ 10250043410</v>
          </cell>
          <cell r="D1168" t="str">
            <v>1*6</v>
          </cell>
          <cell r="E1168" t="str">
            <v>锡膏</v>
          </cell>
          <cell r="F1168" t="str">
            <v>空调显示板</v>
          </cell>
          <cell r="G1168">
            <v>6.333333333333334E-3</v>
          </cell>
          <cell r="H1168">
            <v>3000</v>
          </cell>
          <cell r="I1168">
            <v>19</v>
          </cell>
        </row>
        <row r="1169">
          <cell r="A1169">
            <v>10880031160</v>
          </cell>
          <cell r="B1169" t="str">
            <v xml:space="preserve">693-C2331D-PC 0011801593C  </v>
          </cell>
          <cell r="C1169" t="str">
            <v>10250039858/10250039859</v>
          </cell>
          <cell r="D1169" t="str">
            <v>1*2</v>
          </cell>
          <cell r="E1169" t="str">
            <v>锡膏</v>
          </cell>
          <cell r="F1169" t="str">
            <v>海尔空调内机电控板</v>
          </cell>
          <cell r="G1169">
            <v>0.15416666666666667</v>
          </cell>
          <cell r="H1169">
            <v>240</v>
          </cell>
          <cell r="I1169">
            <v>37</v>
          </cell>
        </row>
        <row r="1170">
          <cell r="A1170">
            <v>10880030320</v>
          </cell>
          <cell r="B1170" t="str">
            <v xml:space="preserve">693-C23D4A-PC 0011801593  </v>
          </cell>
          <cell r="C1170" t="str">
            <v>10250039858/10250039859</v>
          </cell>
          <cell r="D1170" t="str">
            <v>1*2</v>
          </cell>
          <cell r="E1170" t="str">
            <v>锡膏</v>
          </cell>
          <cell r="F1170" t="str">
            <v>海尔空调内机电控板</v>
          </cell>
          <cell r="G1170">
            <v>0.15966666666666668</v>
          </cell>
          <cell r="H1170">
            <v>240</v>
          </cell>
          <cell r="I1170">
            <v>37</v>
          </cell>
        </row>
        <row r="1171">
          <cell r="H1171">
            <v>2000</v>
          </cell>
          <cell r="I1171">
            <v>11</v>
          </cell>
        </row>
        <row r="1172">
          <cell r="A1172">
            <v>10880031157</v>
          </cell>
          <cell r="B1172" t="str">
            <v xml:space="preserve">693-C2331B-PC 0011801593A  </v>
          </cell>
          <cell r="C1172" t="str">
            <v>10250039858/10250039859</v>
          </cell>
          <cell r="D1172" t="str">
            <v>1*2</v>
          </cell>
          <cell r="E1172" t="str">
            <v>锡膏</v>
          </cell>
          <cell r="F1172" t="str">
            <v>海尔空调内机电控板</v>
          </cell>
          <cell r="G1172">
            <v>0.15966666666666668</v>
          </cell>
          <cell r="H1172">
            <v>240</v>
          </cell>
          <cell r="I1172">
            <v>37</v>
          </cell>
        </row>
        <row r="1173">
          <cell r="H1173">
            <v>2000</v>
          </cell>
          <cell r="I1173">
            <v>11</v>
          </cell>
        </row>
        <row r="1174">
          <cell r="A1174">
            <v>10880031159</v>
          </cell>
          <cell r="B1174" t="str">
            <v xml:space="preserve">693-C2331C-PC 0011801593B  </v>
          </cell>
          <cell r="C1174" t="str">
            <v>10250039858/10250039859</v>
          </cell>
          <cell r="D1174" t="str">
            <v>1*2</v>
          </cell>
          <cell r="E1174" t="str">
            <v>锡膏</v>
          </cell>
          <cell r="F1174" t="str">
            <v>海尔空调内机电控板</v>
          </cell>
          <cell r="G1174">
            <v>0.15966666666666668</v>
          </cell>
          <cell r="H1174">
            <v>240</v>
          </cell>
          <cell r="I1174">
            <v>37</v>
          </cell>
        </row>
        <row r="1175">
          <cell r="H1175">
            <v>2000</v>
          </cell>
          <cell r="I1175">
            <v>11</v>
          </cell>
        </row>
        <row r="1176">
          <cell r="A1176">
            <v>10880031161</v>
          </cell>
          <cell r="B1176" t="str">
            <v xml:space="preserve">693-C2331E-PC 0011801593D  </v>
          </cell>
          <cell r="C1176" t="str">
            <v>10250039858/10250039859</v>
          </cell>
          <cell r="D1176" t="str">
            <v>1*2</v>
          </cell>
          <cell r="E1176" t="str">
            <v>锡膏</v>
          </cell>
          <cell r="F1176" t="str">
            <v>海尔空调内机电控板</v>
          </cell>
          <cell r="G1176">
            <v>0.15966666666666668</v>
          </cell>
          <cell r="H1176">
            <v>240</v>
          </cell>
          <cell r="I1176">
            <v>37</v>
          </cell>
        </row>
        <row r="1177">
          <cell r="H1177">
            <v>2000</v>
          </cell>
          <cell r="I1177">
            <v>11</v>
          </cell>
        </row>
        <row r="1178">
          <cell r="A1178">
            <v>10880031440</v>
          </cell>
          <cell r="B1178" t="str">
            <v xml:space="preserve"> 693-C23K4A-PC 0011800997TD  </v>
          </cell>
          <cell r="C1178">
            <v>10250037947</v>
          </cell>
          <cell r="D1178" t="str">
            <v>1*2</v>
          </cell>
          <cell r="E1178" t="str">
            <v>锡膏</v>
          </cell>
          <cell r="F1178" t="str">
            <v>海尔空调外机电控板</v>
          </cell>
          <cell r="G1178">
            <v>0.12666666666666665</v>
          </cell>
          <cell r="H1178">
            <v>300</v>
          </cell>
          <cell r="I1178">
            <v>38</v>
          </cell>
        </row>
        <row r="1179">
          <cell r="A1179">
            <v>10880033311</v>
          </cell>
          <cell r="B1179" t="str">
            <v xml:space="preserve">500323-C2494B-PC 0011800997BZ  </v>
          </cell>
          <cell r="C1179">
            <v>10250039864</v>
          </cell>
          <cell r="D1179" t="str">
            <v>1*2</v>
          </cell>
          <cell r="E1179" t="str">
            <v>锡膏</v>
          </cell>
          <cell r="F1179" t="str">
            <v>空调电控板</v>
          </cell>
          <cell r="G1179">
            <v>0.12666666666666665</v>
          </cell>
          <cell r="H1179">
            <v>300</v>
          </cell>
          <cell r="I1179">
            <v>38</v>
          </cell>
        </row>
        <row r="1180">
          <cell r="A1180">
            <v>10880030596</v>
          </cell>
          <cell r="B1180" t="str">
            <v>693-C2352A-PC 0011801516</v>
          </cell>
          <cell r="C1180" t="str">
            <v>10250041096/10250041094/10250041418</v>
          </cell>
          <cell r="D1180" t="str">
            <v>1*1</v>
          </cell>
          <cell r="E1180" t="str">
            <v>锡膏</v>
          </cell>
          <cell r="F1180" t="str">
            <v>海尔空调电控板</v>
          </cell>
          <cell r="G1180">
            <v>0.31888888888888894</v>
          </cell>
          <cell r="H1180">
            <v>180</v>
          </cell>
          <cell r="I1180">
            <v>39</v>
          </cell>
        </row>
        <row r="1181">
          <cell r="A1181">
            <v>10880031846</v>
          </cell>
          <cell r="B1181" t="str">
            <v>693-C2352B-PC 0011801516C</v>
          </cell>
          <cell r="C1181" t="str">
            <v>10250041096/10250041094/10250041418</v>
          </cell>
          <cell r="D1181" t="str">
            <v>1*1</v>
          </cell>
          <cell r="E1181" t="str">
            <v>锡膏</v>
          </cell>
          <cell r="F1181" t="str">
            <v>海尔空调电控板</v>
          </cell>
          <cell r="G1181">
            <v>0.31888888888888894</v>
          </cell>
          <cell r="H1181">
            <v>180</v>
          </cell>
          <cell r="I1181">
            <v>39</v>
          </cell>
        </row>
        <row r="1182">
          <cell r="A1182">
            <v>10880031847</v>
          </cell>
          <cell r="B1182" t="str">
            <v>693-C2352C-PC 0011801516D</v>
          </cell>
          <cell r="C1182" t="str">
            <v>10250041096/10250041094/10250041418</v>
          </cell>
          <cell r="D1182" t="str">
            <v>1*1</v>
          </cell>
          <cell r="E1182" t="str">
            <v>锡膏</v>
          </cell>
          <cell r="F1182" t="str">
            <v>海尔空调电控板</v>
          </cell>
          <cell r="G1182">
            <v>0.31888888888888894</v>
          </cell>
          <cell r="H1182">
            <v>180</v>
          </cell>
          <cell r="I1182">
            <v>39</v>
          </cell>
        </row>
        <row r="1183">
          <cell r="A1183">
            <v>10880031856</v>
          </cell>
          <cell r="B1183" t="str">
            <v xml:space="preserve">693-C2352D-PC 0011801516E  </v>
          </cell>
          <cell r="C1183" t="str">
            <v>10250041096/10250041094/10250041418</v>
          </cell>
          <cell r="D1183" t="str">
            <v>1*1</v>
          </cell>
          <cell r="E1183" t="str">
            <v>锡膏</v>
          </cell>
          <cell r="F1183" t="str">
            <v>海尔空调电控板</v>
          </cell>
          <cell r="G1183">
            <v>0.31888888888888894</v>
          </cell>
          <cell r="H1183">
            <v>180</v>
          </cell>
          <cell r="I1183">
            <v>39</v>
          </cell>
        </row>
        <row r="1184">
          <cell r="A1184">
            <v>10880034575</v>
          </cell>
          <cell r="B1184" t="str">
            <v>500323-C24P7A-PC 0011801973</v>
          </cell>
          <cell r="C1184" t="str">
            <v>10250041738/10250041739</v>
          </cell>
          <cell r="D1184" t="str">
            <v>1*2</v>
          </cell>
          <cell r="E1184" t="str">
            <v>锡膏</v>
          </cell>
          <cell r="F1184" t="str">
            <v>空调电控板</v>
          </cell>
          <cell r="G1184">
            <v>6.6000000000000003E-2</v>
          </cell>
          <cell r="H1184">
            <v>500</v>
          </cell>
          <cell r="I1184">
            <v>33</v>
          </cell>
        </row>
        <row r="1185">
          <cell r="A1185">
            <v>10880034576</v>
          </cell>
          <cell r="B1185" t="str">
            <v>500323-C24P7B-PC 0011801973A</v>
          </cell>
          <cell r="C1185" t="str">
            <v>10250041738/10250041739</v>
          </cell>
          <cell r="D1185" t="str">
            <v>1*2</v>
          </cell>
          <cell r="E1185" t="str">
            <v>锡膏</v>
          </cell>
          <cell r="F1185" t="str">
            <v>空调电控板</v>
          </cell>
          <cell r="G1185">
            <v>6.6000000000000003E-2</v>
          </cell>
          <cell r="H1185">
            <v>500</v>
          </cell>
          <cell r="I1185">
            <v>33</v>
          </cell>
        </row>
        <row r="1186">
          <cell r="A1186">
            <v>10880036421</v>
          </cell>
          <cell r="B1186" t="str">
            <v>500323-C24P7G-PC G0044 0011801973L</v>
          </cell>
          <cell r="C1186" t="str">
            <v>10250042279/10250042280</v>
          </cell>
          <cell r="D1186" t="str">
            <v>1*2</v>
          </cell>
          <cell r="E1186" t="str">
            <v>锡膏</v>
          </cell>
          <cell r="F1186" t="str">
            <v>空调电控板</v>
          </cell>
          <cell r="G1186">
            <v>6.6000000000000003E-2</v>
          </cell>
          <cell r="H1186">
            <v>500</v>
          </cell>
          <cell r="I1186">
            <v>33</v>
          </cell>
        </row>
        <row r="1187">
          <cell r="A1187">
            <v>10880036490</v>
          </cell>
          <cell r="B1187" t="str">
            <v xml:space="preserve">693-C2571A-PC G0044 0011801973E  </v>
          </cell>
          <cell r="C1187">
            <v>10250044530</v>
          </cell>
          <cell r="D1187" t="str">
            <v>1*2</v>
          </cell>
          <cell r="E1187" t="str">
            <v>锡膏</v>
          </cell>
          <cell r="F1187" t="str">
            <v>空调电控板</v>
          </cell>
          <cell r="G1187">
            <v>8.3333333333333329E-2</v>
          </cell>
          <cell r="H1187">
            <v>420</v>
          </cell>
          <cell r="I1187">
            <v>35</v>
          </cell>
        </row>
        <row r="1188">
          <cell r="A1188">
            <v>10880036489</v>
          </cell>
          <cell r="B1188" t="str">
            <v xml:space="preserve"> 693-C2571B-PC G0044 0011801973G  </v>
          </cell>
          <cell r="C1188">
            <v>10250044530</v>
          </cell>
          <cell r="D1188" t="str">
            <v>1*2</v>
          </cell>
          <cell r="E1188" t="str">
            <v>锡膏</v>
          </cell>
          <cell r="F1188" t="str">
            <v>空调电控板</v>
          </cell>
          <cell r="G1188">
            <v>8.3333333333333329E-2</v>
          </cell>
          <cell r="H1188">
            <v>420</v>
          </cell>
          <cell r="I1188">
            <v>35</v>
          </cell>
        </row>
        <row r="1189">
          <cell r="A1189">
            <v>10880033584</v>
          </cell>
          <cell r="B1189" t="str">
            <v>500323-C24F8A-PC 0011801852</v>
          </cell>
          <cell r="C1189" t="str">
            <v>10250041884/10250041885</v>
          </cell>
          <cell r="D1189" t="str">
            <v>1*2</v>
          </cell>
          <cell r="E1189" t="str">
            <v>锡膏</v>
          </cell>
          <cell r="F1189" t="str">
            <v>空调电控板</v>
          </cell>
          <cell r="G1189">
            <v>8.2500000000000004E-2</v>
          </cell>
          <cell r="H1189">
            <v>400</v>
          </cell>
          <cell r="I1189">
            <v>33</v>
          </cell>
        </row>
        <row r="1190">
          <cell r="A1190">
            <v>10880034142</v>
          </cell>
          <cell r="B1190" t="str">
            <v>500323-C24F8B-PC 0011801852A</v>
          </cell>
          <cell r="C1190" t="str">
            <v>10250041884/10250041885</v>
          </cell>
          <cell r="D1190" t="str">
            <v>1*2</v>
          </cell>
          <cell r="E1190" t="str">
            <v>锡膏</v>
          </cell>
          <cell r="F1190" t="str">
            <v>空调电控板</v>
          </cell>
          <cell r="G1190">
            <v>8.2500000000000004E-2</v>
          </cell>
          <cell r="H1190">
            <v>400</v>
          </cell>
          <cell r="I1190">
            <v>33</v>
          </cell>
        </row>
        <row r="1191">
          <cell r="A1191">
            <v>10880035186</v>
          </cell>
          <cell r="B1191" t="str">
            <v xml:space="preserve">500323-C24F8C-PC 0011801852D  </v>
          </cell>
          <cell r="C1191" t="str">
            <v>10250041884/10250041885</v>
          </cell>
          <cell r="D1191" t="str">
            <v>1*2</v>
          </cell>
          <cell r="E1191" t="str">
            <v>锡膏</v>
          </cell>
          <cell r="F1191" t="str">
            <v>空调电控板</v>
          </cell>
          <cell r="G1191">
            <v>8.2500000000000004E-2</v>
          </cell>
          <cell r="H1191">
            <v>400</v>
          </cell>
          <cell r="I1191">
            <v>33</v>
          </cell>
        </row>
        <row r="1192">
          <cell r="A1192">
            <v>10880013146</v>
          </cell>
          <cell r="B1192" t="str">
            <v>693-C20031A-PC 0011800827Y</v>
          </cell>
          <cell r="C1192" t="str">
            <v xml:space="preserve"> 10300010078/ 10300010079/ 10300010080/ 10300010081</v>
          </cell>
          <cell r="D1192" t="str">
            <v>1*1</v>
          </cell>
          <cell r="E1192" t="str">
            <v>锡膏</v>
          </cell>
          <cell r="F1192" t="str">
            <v>空调827Y变频电控板</v>
          </cell>
          <cell r="G1192">
            <v>0.2392857142857143</v>
          </cell>
          <cell r="H1192">
            <v>280</v>
          </cell>
          <cell r="I1192">
            <v>28</v>
          </cell>
        </row>
        <row r="1193">
          <cell r="A1193">
            <v>10880033911</v>
          </cell>
          <cell r="B1193" t="str">
            <v>500323-C24F3A-D 0011801685</v>
          </cell>
          <cell r="C1193" t="str">
            <v>10250040459/10250040460</v>
          </cell>
          <cell r="D1193" t="str">
            <v>1*2</v>
          </cell>
          <cell r="E1193" t="str">
            <v>锡膏</v>
          </cell>
          <cell r="F1193" t="str">
            <v>空调显示板</v>
          </cell>
          <cell r="G1193">
            <v>3.5499999999999997E-2</v>
          </cell>
          <cell r="H1193">
            <v>500</v>
          </cell>
          <cell r="I1193">
            <v>15</v>
          </cell>
        </row>
        <row r="1194">
          <cell r="H1194">
            <v>2000</v>
          </cell>
          <cell r="I1194">
            <v>11</v>
          </cell>
        </row>
        <row r="1195">
          <cell r="A1195" t="str">
            <v>10880032647 </v>
          </cell>
          <cell r="B1195" t="str">
            <v>693-C23D5A-PC 0151801031待老化  </v>
          </cell>
          <cell r="C1195">
            <v>10250040107</v>
          </cell>
          <cell r="D1195" t="str">
            <v>1*1</v>
          </cell>
          <cell r="E1195" t="str">
            <v>锡膏</v>
          </cell>
          <cell r="F1195" t="str">
            <v>空调电控板</v>
          </cell>
          <cell r="G1195">
            <v>0.66166666666666663</v>
          </cell>
          <cell r="H1195">
            <v>200</v>
          </cell>
          <cell r="I1195">
            <v>53</v>
          </cell>
        </row>
        <row r="1196">
          <cell r="A1196" t="str">
            <v>10880032648 </v>
          </cell>
          <cell r="B1196" t="str">
            <v>693-C23D5B-PC 0151801031A待老化  </v>
          </cell>
          <cell r="C1196">
            <v>10250040107</v>
          </cell>
          <cell r="D1196" t="str">
            <v>1*1</v>
          </cell>
          <cell r="E1196" t="str">
            <v>锡膏</v>
          </cell>
          <cell r="F1196" t="str">
            <v>空调电控板</v>
          </cell>
          <cell r="G1196">
            <v>0.66166666666666663</v>
          </cell>
          <cell r="H1196">
            <v>200</v>
          </cell>
          <cell r="I1196">
            <v>53</v>
          </cell>
        </row>
        <row r="1197">
          <cell r="A1197" t="str">
            <v>10880034523 </v>
          </cell>
          <cell r="B1197" t="str">
            <v>500323-C24N5A-PC 0151801031C 待老化  </v>
          </cell>
          <cell r="C1197">
            <v>10250040107</v>
          </cell>
          <cell r="D1197" t="str">
            <v>1*1</v>
          </cell>
          <cell r="E1197" t="str">
            <v>锡膏</v>
          </cell>
          <cell r="F1197" t="str">
            <v>空调电控板</v>
          </cell>
          <cell r="G1197">
            <v>0.66166666666666663</v>
          </cell>
          <cell r="H1197">
            <v>200</v>
          </cell>
          <cell r="I1197">
            <v>53</v>
          </cell>
        </row>
        <row r="1198">
          <cell r="A1198" t="str">
            <v>10880034524 </v>
          </cell>
          <cell r="B1198" t="str">
            <v>500323-C24N5B-PC 0151801031D 待老化  </v>
          </cell>
          <cell r="C1198">
            <v>10250040107</v>
          </cell>
          <cell r="D1198" t="str">
            <v>1*1</v>
          </cell>
          <cell r="E1198" t="str">
            <v>锡膏</v>
          </cell>
          <cell r="F1198" t="str">
            <v>空调电控板</v>
          </cell>
          <cell r="G1198">
            <v>0.66166666666666663</v>
          </cell>
          <cell r="H1198">
            <v>200</v>
          </cell>
          <cell r="I1198">
            <v>53</v>
          </cell>
        </row>
        <row r="1199">
          <cell r="A1199" t="str">
            <v>10880034525 </v>
          </cell>
          <cell r="B1199" t="str">
            <v>500323-C24N5C-PC 0151801031E 待老化</v>
          </cell>
          <cell r="C1199">
            <v>10250040107</v>
          </cell>
          <cell r="D1199" t="str">
            <v>1*1</v>
          </cell>
          <cell r="E1199" t="str">
            <v>锡膏</v>
          </cell>
          <cell r="F1199" t="str">
            <v>空调电控板</v>
          </cell>
          <cell r="G1199">
            <v>0.66166666666666663</v>
          </cell>
          <cell r="H1199">
            <v>200</v>
          </cell>
          <cell r="I1199">
            <v>53</v>
          </cell>
        </row>
        <row r="1200">
          <cell r="A1200">
            <v>10880035166</v>
          </cell>
          <cell r="B1200" t="str">
            <v>500323-C24N5D-PC 0151801031F</v>
          </cell>
          <cell r="C1200">
            <v>10250044032</v>
          </cell>
          <cell r="D1200" t="str">
            <v>1*1</v>
          </cell>
          <cell r="E1200" t="str">
            <v>锡膏</v>
          </cell>
          <cell r="F1200" t="str">
            <v>空调电控板</v>
          </cell>
          <cell r="G1200">
            <v>0.8833333333333333</v>
          </cell>
          <cell r="H1200">
            <v>60</v>
          </cell>
          <cell r="I1200">
            <v>53</v>
          </cell>
        </row>
        <row r="1201">
          <cell r="A1201">
            <v>10880035166</v>
          </cell>
          <cell r="B1201" t="str">
            <v>500323-C24N5D-PC 0151801031F</v>
          </cell>
          <cell r="C1201">
            <v>10250044032</v>
          </cell>
          <cell r="D1201" t="str">
            <v>1*1</v>
          </cell>
          <cell r="E1201" t="str">
            <v>锡膏</v>
          </cell>
          <cell r="F1201" t="str">
            <v>空调电控板</v>
          </cell>
          <cell r="G1201">
            <v>0.73166666666666669</v>
          </cell>
          <cell r="H1201">
            <v>60</v>
          </cell>
          <cell r="I1201">
            <v>53</v>
          </cell>
        </row>
        <row r="1202">
          <cell r="A1202">
            <v>10880030519</v>
          </cell>
          <cell r="B1202" t="str">
            <v>693-C23D5A-PC 0151801031</v>
          </cell>
          <cell r="C1202">
            <v>10250040107</v>
          </cell>
          <cell r="D1202" t="str">
            <v>1*1</v>
          </cell>
          <cell r="E1202" t="str">
            <v>锡膏</v>
          </cell>
          <cell r="F1202" t="str">
            <v>空调电控板</v>
          </cell>
          <cell r="G1202">
            <v>0.66166666666666663</v>
          </cell>
          <cell r="H1202">
            <v>60</v>
          </cell>
          <cell r="I1202">
            <v>53</v>
          </cell>
        </row>
        <row r="1203">
          <cell r="A1203">
            <v>10880030520</v>
          </cell>
          <cell r="B1203" t="str">
            <v>693-C23D5B-PC 0151801031A</v>
          </cell>
          <cell r="C1203">
            <v>10250040107</v>
          </cell>
          <cell r="D1203" t="str">
            <v>1*1</v>
          </cell>
          <cell r="E1203" t="str">
            <v>锡膏</v>
          </cell>
          <cell r="F1203" t="str">
            <v>空调电控板</v>
          </cell>
          <cell r="G1203">
            <v>0.66166666666666663</v>
          </cell>
          <cell r="H1203">
            <v>60</v>
          </cell>
          <cell r="I1203">
            <v>53</v>
          </cell>
        </row>
        <row r="1204">
          <cell r="A1204">
            <v>10880034195</v>
          </cell>
          <cell r="B1204" t="str">
            <v>500323-C24N5A-PC 0151801031C   </v>
          </cell>
          <cell r="C1204">
            <v>10250040107</v>
          </cell>
          <cell r="D1204" t="str">
            <v>1*1</v>
          </cell>
          <cell r="E1204" t="str">
            <v>锡膏</v>
          </cell>
          <cell r="F1204" t="str">
            <v>空调电控板</v>
          </cell>
          <cell r="G1204">
            <v>0.66166666666666663</v>
          </cell>
          <cell r="H1204">
            <v>60</v>
          </cell>
          <cell r="I1204">
            <v>53</v>
          </cell>
        </row>
        <row r="1205">
          <cell r="A1205">
            <v>10880034196</v>
          </cell>
          <cell r="B1205" t="str">
            <v>500323-C24N5B-PC 0151801031D   </v>
          </cell>
          <cell r="C1205">
            <v>10250040107</v>
          </cell>
          <cell r="D1205" t="str">
            <v>1*1</v>
          </cell>
          <cell r="E1205" t="str">
            <v>锡膏</v>
          </cell>
          <cell r="F1205" t="str">
            <v>空调电控板</v>
          </cell>
          <cell r="G1205">
            <v>0.66166666666666663</v>
          </cell>
          <cell r="H1205">
            <v>60</v>
          </cell>
          <cell r="I1205">
            <v>53</v>
          </cell>
        </row>
        <row r="1206">
          <cell r="A1206">
            <v>10880034197</v>
          </cell>
          <cell r="B1206" t="str">
            <v xml:space="preserve">500323-C24N5C-PC 0151801031E </v>
          </cell>
          <cell r="C1206">
            <v>10250040107</v>
          </cell>
          <cell r="D1206" t="str">
            <v>1*1</v>
          </cell>
          <cell r="E1206" t="str">
            <v>锡膏</v>
          </cell>
          <cell r="F1206" t="str">
            <v>空调电控板</v>
          </cell>
          <cell r="G1206">
            <v>0.66166666666666663</v>
          </cell>
          <cell r="H1206">
            <v>60</v>
          </cell>
          <cell r="I1206">
            <v>53</v>
          </cell>
        </row>
        <row r="1207">
          <cell r="A1207" t="str">
            <v>10880032646 </v>
          </cell>
          <cell r="B1207" t="str">
            <v>693-C2398A-PC 0151801003A待老化  </v>
          </cell>
          <cell r="C1207">
            <v>10250039633</v>
          </cell>
          <cell r="D1207" t="str">
            <v>1*1</v>
          </cell>
          <cell r="E1207" t="str">
            <v>锡膏</v>
          </cell>
          <cell r="F1207" t="str">
            <v>空调电控板</v>
          </cell>
          <cell r="G1207">
            <v>0.27666666666666667</v>
          </cell>
          <cell r="H1207">
            <v>200</v>
          </cell>
          <cell r="I1207">
            <v>40</v>
          </cell>
        </row>
        <row r="1208">
          <cell r="A1208" t="str">
            <v>10880033604 </v>
          </cell>
          <cell r="B1208" t="str">
            <v>500323-C24F7A-PC 0151801003 待转吸塑  </v>
          </cell>
          <cell r="C1208">
            <v>10250039633</v>
          </cell>
          <cell r="D1208" t="str">
            <v>1*1</v>
          </cell>
          <cell r="E1208" t="str">
            <v>锡膏</v>
          </cell>
          <cell r="F1208" t="str">
            <v>空调电控板</v>
          </cell>
          <cell r="G1208">
            <v>0.27666666666666667</v>
          </cell>
          <cell r="H1208">
            <v>200</v>
          </cell>
          <cell r="I1208">
            <v>40</v>
          </cell>
        </row>
        <row r="1209">
          <cell r="A1209" t="str">
            <v>10880034526 </v>
          </cell>
          <cell r="B1209" t="str">
            <v>500323-C24F7B-PC 0151801003C 待转吸塑  </v>
          </cell>
          <cell r="C1209">
            <v>10250039633</v>
          </cell>
          <cell r="D1209" t="str">
            <v>1*1</v>
          </cell>
          <cell r="E1209" t="str">
            <v>锡膏</v>
          </cell>
          <cell r="F1209" t="str">
            <v>空调电控板</v>
          </cell>
          <cell r="G1209">
            <v>0.27666666666666667</v>
          </cell>
          <cell r="H1209">
            <v>200</v>
          </cell>
          <cell r="I1209">
            <v>40</v>
          </cell>
        </row>
        <row r="1210">
          <cell r="A1210">
            <v>10880030187</v>
          </cell>
          <cell r="B1210" t="str">
            <v>693-C2398A-PC 0151801003A</v>
          </cell>
          <cell r="C1210">
            <v>10250039633</v>
          </cell>
          <cell r="D1210" t="str">
            <v>1*1</v>
          </cell>
          <cell r="E1210" t="str">
            <v>锡膏</v>
          </cell>
          <cell r="F1210" t="str">
            <v>空调电控板</v>
          </cell>
          <cell r="G1210">
            <v>0.23499999999999999</v>
          </cell>
          <cell r="H1210">
            <v>120</v>
          </cell>
          <cell r="I1210">
            <v>35</v>
          </cell>
        </row>
        <row r="1211">
          <cell r="A1211">
            <v>10880033602</v>
          </cell>
          <cell r="B1211" t="str">
            <v>500323-C24F7A-PC 0151801003   </v>
          </cell>
          <cell r="C1211">
            <v>10250039633</v>
          </cell>
          <cell r="D1211" t="str">
            <v>1*1</v>
          </cell>
          <cell r="E1211" t="str">
            <v>锡膏</v>
          </cell>
          <cell r="F1211" t="str">
            <v>空调电控板</v>
          </cell>
          <cell r="G1211">
            <v>0.23499999999999999</v>
          </cell>
          <cell r="H1211">
            <v>120</v>
          </cell>
          <cell r="I1211">
            <v>35</v>
          </cell>
        </row>
        <row r="1212">
          <cell r="A1212">
            <v>10880034194</v>
          </cell>
          <cell r="B1212" t="str">
            <v>500323-C24F7B-PC 0151801003C   </v>
          </cell>
          <cell r="C1212">
            <v>10250039633</v>
          </cell>
          <cell r="D1212" t="str">
            <v>1*1</v>
          </cell>
          <cell r="E1212" t="str">
            <v>锡膏</v>
          </cell>
          <cell r="F1212" t="str">
            <v>空调电控板</v>
          </cell>
          <cell r="G1212">
            <v>0.23499999999999999</v>
          </cell>
          <cell r="H1212">
            <v>120</v>
          </cell>
          <cell r="I1212">
            <v>35</v>
          </cell>
        </row>
        <row r="1213">
          <cell r="A1213">
            <v>10880030178</v>
          </cell>
          <cell r="B1213" t="str">
            <v>693-C23B6E-PC 0041801136D</v>
          </cell>
          <cell r="C1213" t="str">
            <v>10250040021/10250040022/10250040023</v>
          </cell>
          <cell r="D1213" t="str">
            <v>1*2</v>
          </cell>
          <cell r="E1213" t="str">
            <v>锡膏</v>
          </cell>
          <cell r="F1213" t="str">
            <v>空调电控板</v>
          </cell>
          <cell r="G1213">
            <v>7.0000000000000007E-2</v>
          </cell>
          <cell r="H1213">
            <v>400</v>
          </cell>
          <cell r="I1213">
            <v>28</v>
          </cell>
        </row>
        <row r="1214">
          <cell r="A1214">
            <v>10880012987</v>
          </cell>
          <cell r="B1214" t="str">
            <v>693-C20023D-C 0190400002C</v>
          </cell>
          <cell r="C1214" t="str">
            <v>10250024268/10250024269</v>
          </cell>
          <cell r="D1214" t="str">
            <v>1*4</v>
          </cell>
          <cell r="E1214" t="str">
            <v>锡膏</v>
          </cell>
          <cell r="F1214" t="str">
            <v>空调电控板</v>
          </cell>
          <cell r="G1214">
            <v>9.2499999999999999E-2</v>
          </cell>
          <cell r="H1214">
            <v>400</v>
          </cell>
          <cell r="I1214">
            <v>33</v>
          </cell>
        </row>
        <row r="1215">
          <cell r="A1215">
            <v>10880014775</v>
          </cell>
          <cell r="B1215" t="str">
            <v>693-A2036A-PC 0190400102</v>
          </cell>
          <cell r="C1215" t="str">
            <v>10250027121/10250027122</v>
          </cell>
          <cell r="D1215" t="str">
            <v>1*4</v>
          </cell>
          <cell r="E1215" t="str">
            <v>锡膏</v>
          </cell>
          <cell r="F1215" t="str">
            <v>空调电控板</v>
          </cell>
          <cell r="G1215">
            <v>8.7499999999999994E-2</v>
          </cell>
          <cell r="H1215">
            <v>400</v>
          </cell>
          <cell r="I1215">
            <v>22</v>
          </cell>
        </row>
        <row r="1216">
          <cell r="A1216">
            <v>10880033368</v>
          </cell>
          <cell r="B1216" t="str">
            <v>500323-C24F2A-D 0121800104WD</v>
          </cell>
          <cell r="C1216" t="str">
            <v>10250036910/10250036911</v>
          </cell>
          <cell r="D1216" t="str">
            <v>1*5</v>
          </cell>
          <cell r="E1216" t="str">
            <v>锡膏</v>
          </cell>
          <cell r="F1216" t="str">
            <v>空调电控板</v>
          </cell>
          <cell r="G1216">
            <v>0.20571428571428571</v>
          </cell>
          <cell r="H1216">
            <v>700</v>
          </cell>
          <cell r="I1216">
            <v>40</v>
          </cell>
        </row>
        <row r="1217">
          <cell r="A1217">
            <v>10880032774</v>
          </cell>
          <cell r="B1217" t="str">
            <v>693-C2433A-PC 0151800695 海尔空调695电控板</v>
          </cell>
          <cell r="C1217" t="str">
            <v>10250040992/10250040993</v>
          </cell>
          <cell r="D1217" t="str">
            <v>1*4</v>
          </cell>
          <cell r="E1217" t="str">
            <v>锡膏</v>
          </cell>
          <cell r="F1217" t="str">
            <v>空调电控板</v>
          </cell>
          <cell r="G1217">
            <v>0.255</v>
          </cell>
          <cell r="H1217">
            <v>400</v>
          </cell>
          <cell r="I1217">
            <v>26</v>
          </cell>
        </row>
        <row r="1218">
          <cell r="A1218">
            <v>10880033487</v>
          </cell>
          <cell r="B1218" t="str">
            <v>500323-C24F6A-PC 0041801140</v>
          </cell>
          <cell r="C1218">
            <v>10250040204</v>
          </cell>
          <cell r="D1218" t="str">
            <v>1*3</v>
          </cell>
          <cell r="E1218" t="str">
            <v>锡膏</v>
          </cell>
          <cell r="F1218" t="str">
            <v>空调电控板</v>
          </cell>
          <cell r="G1218">
            <v>0.37555555555555553</v>
          </cell>
          <cell r="H1218">
            <v>360</v>
          </cell>
          <cell r="I1218">
            <v>36</v>
          </cell>
        </row>
        <row r="1219">
          <cell r="A1219">
            <v>10880033488</v>
          </cell>
          <cell r="B1219" t="str">
            <v>500323-C24F6B-PC 0041801140A</v>
          </cell>
          <cell r="C1219">
            <v>10250040255</v>
          </cell>
          <cell r="D1219" t="str">
            <v>1*3</v>
          </cell>
          <cell r="E1219" t="str">
            <v>锡膏</v>
          </cell>
          <cell r="F1219" t="str">
            <v>空调电控板</v>
          </cell>
          <cell r="G1219">
            <v>0.37555555555555553</v>
          </cell>
          <cell r="H1219">
            <v>360</v>
          </cell>
          <cell r="I1219">
            <v>36</v>
          </cell>
        </row>
        <row r="1220">
          <cell r="A1220">
            <v>10880030931</v>
          </cell>
          <cell r="B1220" t="str">
            <v>693-C23J5A-PC 0011801826</v>
          </cell>
          <cell r="C1220">
            <v>10250036640</v>
          </cell>
          <cell r="D1220" t="str">
            <v>1*2</v>
          </cell>
          <cell r="E1220" t="str">
            <v>锡膏</v>
          </cell>
          <cell r="F1220" t="str">
            <v>空调1826电控板</v>
          </cell>
          <cell r="G1220">
            <v>9.3333333333333338E-2</v>
          </cell>
          <cell r="H1220">
            <v>300</v>
          </cell>
          <cell r="I1220">
            <v>28</v>
          </cell>
        </row>
        <row r="1221">
          <cell r="A1221">
            <v>10880033974</v>
          </cell>
          <cell r="B1221" t="str">
            <v xml:space="preserve">500323-C24A2A-PC 0011801675A  </v>
          </cell>
          <cell r="C1221" t="str">
            <v>10250040958/10250040960</v>
          </cell>
          <cell r="D1221" t="str">
            <v>1*2</v>
          </cell>
          <cell r="E1221" t="str">
            <v>锡膏</v>
          </cell>
          <cell r="F1221" t="str">
            <v>空调电控板</v>
          </cell>
          <cell r="G1221">
            <v>7.5000000000000011E-2</v>
          </cell>
          <cell r="H1221">
            <v>400</v>
          </cell>
          <cell r="I1221">
            <v>30</v>
          </cell>
        </row>
        <row r="1222">
          <cell r="A1222">
            <v>10880033976</v>
          </cell>
          <cell r="B1222" t="str">
            <v xml:space="preserve">500323-C24A2B-PC 0011801675B  </v>
          </cell>
          <cell r="C1222" t="str">
            <v>10250041558/10250041559</v>
          </cell>
          <cell r="D1222" t="str">
            <v>1*2</v>
          </cell>
          <cell r="E1222" t="str">
            <v>锡膏</v>
          </cell>
          <cell r="F1222" t="str">
            <v>空调电控板</v>
          </cell>
          <cell r="G1222">
            <v>7.5000000000000011E-2</v>
          </cell>
          <cell r="H1222">
            <v>400</v>
          </cell>
          <cell r="I1222">
            <v>30</v>
          </cell>
        </row>
        <row r="1223">
          <cell r="A1223">
            <v>10880034933</v>
          </cell>
          <cell r="B1223" t="str">
            <v xml:space="preserve"> 500323-C24A2E-PC 0011801675C  </v>
          </cell>
          <cell r="C1223" t="str">
            <v>10250040958/10250040960</v>
          </cell>
          <cell r="D1223" t="str">
            <v>1*2</v>
          </cell>
          <cell r="E1223" t="str">
            <v>锡膏</v>
          </cell>
          <cell r="F1223" t="str">
            <v>空调电控板</v>
          </cell>
          <cell r="G1223">
            <v>7.5000000000000011E-2</v>
          </cell>
          <cell r="H1223">
            <v>400</v>
          </cell>
          <cell r="I1223">
            <v>30</v>
          </cell>
        </row>
        <row r="1224">
          <cell r="A1224">
            <v>10880035788</v>
          </cell>
          <cell r="B1224" t="str">
            <v>693-C2516E-PC G0044 0011801675AF</v>
          </cell>
          <cell r="C1224" t="str">
            <v>10250043628/10250043629</v>
          </cell>
          <cell r="D1224" t="str">
            <v>1*2</v>
          </cell>
          <cell r="E1224" t="str">
            <v>锡膏</v>
          </cell>
          <cell r="F1224" t="str">
            <v>空调电控板空调电控板</v>
          </cell>
          <cell r="G1224">
            <v>7.5000000000000011E-2</v>
          </cell>
          <cell r="H1224">
            <v>400</v>
          </cell>
          <cell r="I1224">
            <v>30</v>
          </cell>
        </row>
        <row r="1225">
          <cell r="A1225">
            <v>10880035232</v>
          </cell>
          <cell r="B1225" t="str">
            <v xml:space="preserve">500323-C24A2F-PC 0011801675G  </v>
          </cell>
          <cell r="C1225" t="str">
            <v>10250040958/10250040960</v>
          </cell>
          <cell r="D1225" t="str">
            <v>1*2</v>
          </cell>
          <cell r="E1225" t="str">
            <v>锡膏</v>
          </cell>
          <cell r="F1225" t="str">
            <v>空调电控板空调电控板</v>
          </cell>
          <cell r="G1225">
            <v>7.5000000000000011E-2</v>
          </cell>
          <cell r="H1225">
            <v>400</v>
          </cell>
          <cell r="I1225">
            <v>30</v>
          </cell>
        </row>
        <row r="1226">
          <cell r="A1226">
            <v>10880035512</v>
          </cell>
          <cell r="B1226" t="str">
            <v xml:space="preserve">693-C2516A-PC G0044 0011801675H  </v>
          </cell>
          <cell r="C1226" t="str">
            <v>10250043437/10250043438</v>
          </cell>
          <cell r="D1226" t="str">
            <v>1*2</v>
          </cell>
          <cell r="E1226" t="str">
            <v>锡膏</v>
          </cell>
          <cell r="F1226" t="str">
            <v>空调电控板空调电控板</v>
          </cell>
          <cell r="G1226">
            <v>7.5000000000000011E-2</v>
          </cell>
          <cell r="H1226">
            <v>400</v>
          </cell>
          <cell r="I1226">
            <v>30</v>
          </cell>
        </row>
        <row r="1227">
          <cell r="A1227">
            <v>10880036761</v>
          </cell>
          <cell r="B1227" t="str">
            <v xml:space="preserve">500323-C24A2E-PC G0044 0011801675C 新  </v>
          </cell>
          <cell r="C1227" t="str">
            <v>10250043551/10250043552</v>
          </cell>
          <cell r="D1227" t="str">
            <v>1*2</v>
          </cell>
          <cell r="E1227" t="str">
            <v>锡膏</v>
          </cell>
          <cell r="F1227" t="str">
            <v>空调电控板空调电控板</v>
          </cell>
          <cell r="G1227">
            <v>7.5000000000000011E-2</v>
          </cell>
          <cell r="H1227">
            <v>400</v>
          </cell>
          <cell r="I1227">
            <v>30</v>
          </cell>
        </row>
        <row r="1228">
          <cell r="A1228">
            <v>10880035167</v>
          </cell>
          <cell r="B1228" t="str">
            <v xml:space="preserve">500323-C2508A-PC 0011801824  </v>
          </cell>
          <cell r="C1228" t="str">
            <v xml:space="preserve"> 10250042647/ 10250042648</v>
          </cell>
          <cell r="D1228" t="str">
            <v>1*2</v>
          </cell>
          <cell r="E1228" t="str">
            <v>锡膏</v>
          </cell>
          <cell r="F1228" t="str">
            <v>空调电控板</v>
          </cell>
          <cell r="G1228">
            <v>4.4999999999999998E-2</v>
          </cell>
          <cell r="H1228">
            <v>600</v>
          </cell>
          <cell r="I1228">
            <v>27</v>
          </cell>
        </row>
        <row r="1229">
          <cell r="A1229">
            <v>10880035721</v>
          </cell>
          <cell r="B1229" t="str">
            <v xml:space="preserve">500323-C2508C-PC G0044 0011801824B  </v>
          </cell>
          <cell r="C1229" t="str">
            <v xml:space="preserve"> 10250042647/ 10250042648</v>
          </cell>
          <cell r="D1229" t="str">
            <v>1*2</v>
          </cell>
          <cell r="E1229" t="str">
            <v>锡膏</v>
          </cell>
          <cell r="F1229" t="str">
            <v>空调电控板</v>
          </cell>
          <cell r="G1229">
            <v>6.25E-2</v>
          </cell>
          <cell r="H1229">
            <v>500</v>
          </cell>
          <cell r="I1229">
            <v>28</v>
          </cell>
        </row>
        <row r="1230">
          <cell r="A1230">
            <v>10880034608</v>
          </cell>
          <cell r="B1230" t="str">
            <v>501649-B2401A-BMS 一级从控</v>
          </cell>
          <cell r="C1230" t="str">
            <v>10300015621/10300015622</v>
          </cell>
          <cell r="D1230" t="str">
            <v>1*2</v>
          </cell>
          <cell r="E1230" t="str">
            <v>锡膏</v>
          </cell>
          <cell r="F1230" t="str">
            <v>一体机储能系统BMS板</v>
          </cell>
          <cell r="G1230">
            <v>7.9999999999999988E-2</v>
          </cell>
          <cell r="H1230">
            <v>200</v>
          </cell>
          <cell r="I1230">
            <v>16</v>
          </cell>
        </row>
        <row r="1231">
          <cell r="A1231">
            <v>10880034609</v>
          </cell>
          <cell r="B1231" t="str">
            <v xml:space="preserve"> 501649-B2401B-BMS 二级主控</v>
          </cell>
          <cell r="C1231">
            <v>10300015622</v>
          </cell>
          <cell r="D1231" t="str">
            <v>1*2</v>
          </cell>
          <cell r="E1231" t="str">
            <v>锡膏</v>
          </cell>
          <cell r="F1231" t="str">
            <v>一体机储能系统BMS板</v>
          </cell>
          <cell r="G1231">
            <v>0.39179487179487182</v>
          </cell>
          <cell r="H1231">
            <v>200</v>
          </cell>
          <cell r="I1231">
            <v>19</v>
          </cell>
        </row>
        <row r="1232">
          <cell r="A1232">
            <v>10880034610</v>
          </cell>
          <cell r="B1232" t="str">
            <v>501649-B2401C-BMS 三级总控</v>
          </cell>
          <cell r="C1232">
            <v>10300015623</v>
          </cell>
          <cell r="D1232" t="str">
            <v>1*2</v>
          </cell>
          <cell r="E1232" t="str">
            <v>锡膏</v>
          </cell>
          <cell r="F1232" t="str">
            <v>一体机储能系统BMS板</v>
          </cell>
          <cell r="G1232">
            <v>9.5833333333333326E-2</v>
          </cell>
          <cell r="H1232">
            <v>240</v>
          </cell>
          <cell r="I1232">
            <v>23</v>
          </cell>
        </row>
        <row r="1233">
          <cell r="A1233">
            <v>10880034471</v>
          </cell>
          <cell r="B1233" t="str">
            <v>500323-C2490D-PC 0011801859F</v>
          </cell>
          <cell r="C1233" t="str">
            <v>10250041662/10250041663</v>
          </cell>
          <cell r="D1233" t="str">
            <v>1*2</v>
          </cell>
          <cell r="E1233" t="str">
            <v>锡膏</v>
          </cell>
          <cell r="F1233" t="str">
            <v>空调电控板</v>
          </cell>
          <cell r="G1233">
            <v>6.4000000000000001E-2</v>
          </cell>
          <cell r="H1233">
            <v>500</v>
          </cell>
          <cell r="I1233">
            <v>32</v>
          </cell>
        </row>
        <row r="1234">
          <cell r="A1234">
            <v>10880033805</v>
          </cell>
          <cell r="B1234" t="str">
            <v xml:space="preserve"> 500323-C24J3A-PC 0011801890 </v>
          </cell>
          <cell r="C1234" t="str">
            <v>10250041110/10250041111</v>
          </cell>
          <cell r="D1234" t="str">
            <v>1*2</v>
          </cell>
          <cell r="E1234" t="str">
            <v>锡膏</v>
          </cell>
          <cell r="F1234" t="str">
            <v>空调电控板</v>
          </cell>
          <cell r="G1234">
            <v>8.0952380952380956E-2</v>
          </cell>
          <cell r="H1234">
            <v>420</v>
          </cell>
          <cell r="I1234">
            <v>34</v>
          </cell>
        </row>
        <row r="1235">
          <cell r="A1235">
            <v>10880036350</v>
          </cell>
          <cell r="B1235" t="str">
            <v xml:space="preserve">500323-C24J3B-PC G0044 0011801890C  </v>
          </cell>
          <cell r="C1235" t="str">
            <v>10250041110/10250041111</v>
          </cell>
          <cell r="D1235" t="str">
            <v>1*2</v>
          </cell>
          <cell r="E1235" t="str">
            <v>锡膏</v>
          </cell>
          <cell r="F1235" t="str">
            <v>空调电控板</v>
          </cell>
          <cell r="G1235">
            <v>7.857142857142857E-2</v>
          </cell>
          <cell r="H1235">
            <v>420</v>
          </cell>
          <cell r="I1235">
            <v>33</v>
          </cell>
        </row>
        <row r="1236">
          <cell r="A1236">
            <v>10880034629</v>
          </cell>
          <cell r="B1236" t="str">
            <v xml:space="preserve">500323-C24P8A-PC 0011800697AC  </v>
          </cell>
          <cell r="C1236" t="str">
            <v>10250041668/10250041669</v>
          </cell>
          <cell r="D1236" t="str">
            <v>1*2</v>
          </cell>
          <cell r="E1236" t="str">
            <v>锡膏</v>
          </cell>
          <cell r="F1236" t="str">
            <v>空调电控板</v>
          </cell>
          <cell r="G1236">
            <v>6.6666666666666666E-2</v>
          </cell>
          <cell r="H1236">
            <v>420</v>
          </cell>
          <cell r="I1236">
            <v>28</v>
          </cell>
        </row>
        <row r="1237">
          <cell r="A1237">
            <v>10880036299</v>
          </cell>
          <cell r="B1237" t="str">
            <v>693-C2556A-D G0044 0031800517</v>
          </cell>
          <cell r="C1237" t="str">
            <v>10250043860/10250043861/10250043862</v>
          </cell>
          <cell r="D1237" t="str">
            <v>1*5</v>
          </cell>
          <cell r="E1237" t="str">
            <v>锡膏</v>
          </cell>
          <cell r="F1237" t="str">
            <v>洗衣机显示板</v>
          </cell>
          <cell r="G1237">
            <v>0.28000000000000003</v>
          </cell>
          <cell r="H1237">
            <v>100</v>
          </cell>
          <cell r="I1237">
            <v>28</v>
          </cell>
        </row>
        <row r="1238">
          <cell r="A1238">
            <v>10880031242</v>
          </cell>
          <cell r="B1238" t="str">
            <v>693-B23I7A-PC 0011801039AM</v>
          </cell>
          <cell r="C1238">
            <v>10250037433</v>
          </cell>
          <cell r="D1238" t="str">
            <v>1*1</v>
          </cell>
          <cell r="E1238" t="str">
            <v>锡膏</v>
          </cell>
          <cell r="F1238" t="str">
            <v>空调外机1039AM电控板</v>
          </cell>
          <cell r="G1238">
            <v>0.2</v>
          </cell>
          <cell r="H1238">
            <v>150</v>
          </cell>
          <cell r="I1238">
            <v>30</v>
          </cell>
        </row>
        <row r="1239">
          <cell r="A1239">
            <v>10880031243</v>
          </cell>
          <cell r="B1239" t="str">
            <v>693-B23I7B-PC 0011801039AN</v>
          </cell>
          <cell r="C1239">
            <v>10250037433</v>
          </cell>
          <cell r="D1239" t="str">
            <v>1*1</v>
          </cell>
          <cell r="E1239" t="str">
            <v>锡膏</v>
          </cell>
          <cell r="F1239" t="str">
            <v>空调外机1039AN电控板</v>
          </cell>
          <cell r="G1239">
            <v>0.2</v>
          </cell>
          <cell r="H1239">
            <v>150</v>
          </cell>
          <cell r="I1239">
            <v>30</v>
          </cell>
        </row>
        <row r="1240">
          <cell r="A1240">
            <v>10880020672</v>
          </cell>
          <cell r="B1240" t="str">
            <v>693-C2247A-PC 0011801039</v>
          </cell>
          <cell r="C1240" t="str">
            <v>10250031562/10250031563</v>
          </cell>
          <cell r="D1240" t="str">
            <v>1*1</v>
          </cell>
          <cell r="E1240" t="str">
            <v>锡膏</v>
          </cell>
          <cell r="F1240" t="str">
            <v>空调外机1039AN电控板</v>
          </cell>
          <cell r="G1240">
            <v>0.2</v>
          </cell>
          <cell r="H1240">
            <v>150</v>
          </cell>
          <cell r="I1240">
            <v>30</v>
          </cell>
        </row>
        <row r="1241">
          <cell r="A1241">
            <v>10880035722</v>
          </cell>
          <cell r="B1241" t="str">
            <v>693-C2536A-D G0044 0011802040</v>
          </cell>
          <cell r="C1241" t="str">
            <v>10250043553/10250043554</v>
          </cell>
          <cell r="D1241" t="str">
            <v>1*3</v>
          </cell>
          <cell r="E1241" t="str">
            <v>锡膏</v>
          </cell>
          <cell r="F1241" t="str">
            <v>空调显示板</v>
          </cell>
          <cell r="G1241">
            <v>6.6666666666666666E-2</v>
          </cell>
          <cell r="H1241">
            <v>450</v>
          </cell>
          <cell r="I1241">
            <v>30</v>
          </cell>
        </row>
        <row r="1242">
          <cell r="A1242">
            <v>10880036515</v>
          </cell>
          <cell r="B1242" t="str">
            <v xml:space="preserve"> 693-C2536B-D G0044 0011802040A  </v>
          </cell>
          <cell r="C1242" t="str">
            <v>10250043553/10250043554</v>
          </cell>
          <cell r="D1242" t="str">
            <v>1*3</v>
          </cell>
          <cell r="E1242" t="str">
            <v>锡膏</v>
          </cell>
          <cell r="F1242" t="str">
            <v>空调显示板</v>
          </cell>
          <cell r="G1242">
            <v>6.8333333333333329E-2</v>
          </cell>
          <cell r="H1242">
            <v>450</v>
          </cell>
          <cell r="I1242">
            <v>29</v>
          </cell>
        </row>
        <row r="1243">
          <cell r="A1243">
            <v>10880035235</v>
          </cell>
          <cell r="B1243" t="str">
            <v xml:space="preserve">500493-C2504A-CB 2468085 </v>
          </cell>
          <cell r="C1243" t="str">
            <v>10250042357/10250042358</v>
          </cell>
          <cell r="D1243" t="str">
            <v>1*56</v>
          </cell>
          <cell r="E1243" t="str">
            <v>锡膏</v>
          </cell>
          <cell r="F1243" t="str">
            <v>洗衣机通讯板</v>
          </cell>
          <cell r="G1243">
            <v>4.6944444444444448E-2</v>
          </cell>
          <cell r="H1243">
            <v>360</v>
          </cell>
          <cell r="I1243">
            <v>21</v>
          </cell>
        </row>
        <row r="1244">
          <cell r="A1244">
            <v>10880035653</v>
          </cell>
          <cell r="B1244" t="str">
            <v>693-C2534F-PC G0044 0011801843X</v>
          </cell>
          <cell r="C1244">
            <v>10250043450</v>
          </cell>
          <cell r="D1244" t="str">
            <v>1*2</v>
          </cell>
          <cell r="E1244" t="str">
            <v>锡膏</v>
          </cell>
          <cell r="F1244" t="str">
            <v>空调电控板</v>
          </cell>
          <cell r="G1244">
            <v>0.12857142857142856</v>
          </cell>
          <cell r="H1244">
            <v>280</v>
          </cell>
          <cell r="I1244">
            <v>36</v>
          </cell>
        </row>
        <row r="1245">
          <cell r="A1245">
            <v>10880035661</v>
          </cell>
          <cell r="B1245" t="str">
            <v>693-C2534G-PC G0044 0011801843Y</v>
          </cell>
          <cell r="C1245">
            <v>10250043450</v>
          </cell>
          <cell r="D1245" t="str">
            <v>1*2</v>
          </cell>
          <cell r="E1245" t="str">
            <v>锡膏</v>
          </cell>
          <cell r="F1245" t="str">
            <v>空调电控板</v>
          </cell>
          <cell r="G1245">
            <v>0.12857142857142856</v>
          </cell>
          <cell r="H1245">
            <v>280</v>
          </cell>
          <cell r="I1245">
            <v>36</v>
          </cell>
        </row>
        <row r="1246">
          <cell r="A1246">
            <v>10880034946</v>
          </cell>
          <cell r="B1246" t="str">
            <v xml:space="preserve">500323-C2501A-PC 0011801843D  </v>
          </cell>
          <cell r="C1246">
            <v>10250042480</v>
          </cell>
          <cell r="D1246" t="str">
            <v>1*2</v>
          </cell>
          <cell r="E1246" t="str">
            <v>锡膏</v>
          </cell>
          <cell r="F1246" t="str">
            <v>空调电控板</v>
          </cell>
          <cell r="G1246">
            <v>0.12857142857142856</v>
          </cell>
          <cell r="H1246">
            <v>280</v>
          </cell>
          <cell r="I1246">
            <v>36</v>
          </cell>
        </row>
        <row r="1247">
          <cell r="A1247">
            <v>10880036498</v>
          </cell>
          <cell r="B1247" t="str">
            <v>693-C2534K-PC G0044 0011801843AH</v>
          </cell>
          <cell r="C1247" t="str">
            <v>10250043449/10250043450</v>
          </cell>
          <cell r="D1247" t="str">
            <v>1*2</v>
          </cell>
          <cell r="E1247" t="str">
            <v>锡膏</v>
          </cell>
          <cell r="F1247" t="str">
            <v>空调电控板</v>
          </cell>
          <cell r="G1247">
            <v>0.12857142857142856</v>
          </cell>
          <cell r="H1247">
            <v>280</v>
          </cell>
          <cell r="I1247">
            <v>36</v>
          </cell>
        </row>
        <row r="1248">
          <cell r="A1248">
            <v>10880037379</v>
          </cell>
          <cell r="B1248" t="str">
            <v>600766-A2505A-PC G0044 0011801843B</v>
          </cell>
          <cell r="C1248" t="str">
            <v>10250043449/10250043450</v>
          </cell>
          <cell r="D1248" t="str">
            <v>1*2</v>
          </cell>
          <cell r="E1248" t="str">
            <v>锡膏</v>
          </cell>
          <cell r="F1248" t="str">
            <v>空调电控板</v>
          </cell>
          <cell r="G1248">
            <v>0.1357142857142857</v>
          </cell>
          <cell r="H1248">
            <v>280</v>
          </cell>
          <cell r="I1248">
            <v>38</v>
          </cell>
        </row>
        <row r="1249">
          <cell r="A1249">
            <v>10880037382</v>
          </cell>
          <cell r="B1249" t="str">
            <v xml:space="preserve"> 600766-A2505D-PC G0044 0011801843K</v>
          </cell>
          <cell r="C1249" t="str">
            <v>10250043449/10250043450</v>
          </cell>
          <cell r="D1249" t="str">
            <v>1*2</v>
          </cell>
          <cell r="E1249" t="str">
            <v>锡膏</v>
          </cell>
          <cell r="F1249" t="str">
            <v>空调电控板</v>
          </cell>
          <cell r="G1249">
            <v>0.1357142857142857</v>
          </cell>
          <cell r="H1249">
            <v>280</v>
          </cell>
          <cell r="I1249">
            <v>38</v>
          </cell>
        </row>
        <row r="1250">
          <cell r="A1250">
            <v>10880037380</v>
          </cell>
          <cell r="B1250" t="str">
            <v>600766-A2505B-PC G0044 0011801843G</v>
          </cell>
          <cell r="C1250" t="str">
            <v>10250043449/10250043450</v>
          </cell>
          <cell r="D1250" t="str">
            <v>1*2</v>
          </cell>
          <cell r="E1250" t="str">
            <v>锡膏</v>
          </cell>
          <cell r="F1250" t="str">
            <v>空调电控板</v>
          </cell>
          <cell r="G1250">
            <v>0.1357142857142857</v>
          </cell>
          <cell r="H1250">
            <v>280</v>
          </cell>
          <cell r="I1250">
            <v>38</v>
          </cell>
        </row>
        <row r="1251">
          <cell r="A1251">
            <v>10880037426</v>
          </cell>
          <cell r="B1251" t="str">
            <v>600766-A2505E-PC G0044 0011801843JCHHR</v>
          </cell>
          <cell r="C1251" t="str">
            <v>10250043449/10250043450</v>
          </cell>
          <cell r="D1251" t="str">
            <v>1*2</v>
          </cell>
          <cell r="E1251" t="str">
            <v>锡膏</v>
          </cell>
          <cell r="F1251" t="str">
            <v>空调电控板</v>
          </cell>
          <cell r="G1251">
            <v>0.1357142857142857</v>
          </cell>
          <cell r="H1251">
            <v>280</v>
          </cell>
          <cell r="I1251">
            <v>38</v>
          </cell>
        </row>
        <row r="1252">
          <cell r="A1252">
            <v>10880036423</v>
          </cell>
          <cell r="B1252" t="str">
            <v xml:space="preserve">693-C2532B-PC G0044 0011802020A  </v>
          </cell>
          <cell r="C1252">
            <v>10250043958</v>
          </cell>
          <cell r="D1252" t="str">
            <v>1*2</v>
          </cell>
          <cell r="E1252" t="str">
            <v>锡膏</v>
          </cell>
          <cell r="F1252" t="str">
            <v>空调电控板</v>
          </cell>
          <cell r="G1252">
            <v>7.3529411764705871E-2</v>
          </cell>
          <cell r="H1252">
            <v>340</v>
          </cell>
          <cell r="I1252">
            <v>25</v>
          </cell>
        </row>
        <row r="1253">
          <cell r="A1253">
            <v>10880036704</v>
          </cell>
          <cell r="B1253" t="str">
            <v xml:space="preserve">693-C24Q3C-PC G0044 0011801977E  </v>
          </cell>
          <cell r="C1253" t="str">
            <v>10250044616/10250044617</v>
          </cell>
          <cell r="D1253" t="str">
            <v>1*2</v>
          </cell>
          <cell r="E1253" t="str">
            <v>锡膏</v>
          </cell>
          <cell r="F1253" t="str">
            <v>空调电控板</v>
          </cell>
          <cell r="G1253">
            <v>0.13500000000000001</v>
          </cell>
          <cell r="H1253">
            <v>200</v>
          </cell>
          <cell r="I1253">
            <v>27</v>
          </cell>
        </row>
        <row r="1254">
          <cell r="A1254">
            <v>10880036706</v>
          </cell>
          <cell r="B1254" t="str">
            <v>693-C24Q3B-PC G0044 0011801977F</v>
          </cell>
          <cell r="C1254" t="str">
            <v>10250044616/10250044617</v>
          </cell>
          <cell r="D1254" t="str">
            <v>1*2</v>
          </cell>
          <cell r="E1254" t="str">
            <v>锡膏</v>
          </cell>
          <cell r="F1254" t="str">
            <v>空调电控板</v>
          </cell>
          <cell r="G1254">
            <v>0.13500000000000001</v>
          </cell>
          <cell r="H1254">
            <v>200</v>
          </cell>
          <cell r="I1254">
            <v>27</v>
          </cell>
        </row>
        <row r="1255">
          <cell r="A1255">
            <v>10880036432</v>
          </cell>
          <cell r="B1255" t="str">
            <v xml:space="preserve">693-B2548A-PC G0044 0011801922  </v>
          </cell>
          <cell r="C1255" t="str">
            <v>10250044763/10250044764</v>
          </cell>
          <cell r="D1255" t="str">
            <v>1*2</v>
          </cell>
          <cell r="E1255" t="str">
            <v>锡膏</v>
          </cell>
          <cell r="F1255" t="str">
            <v>空调电控板</v>
          </cell>
          <cell r="G1255">
            <v>0.10833333333333334</v>
          </cell>
          <cell r="H1255">
            <v>240</v>
          </cell>
          <cell r="I1255">
            <v>26</v>
          </cell>
        </row>
        <row r="1256">
          <cell r="A1256">
            <v>10880035302</v>
          </cell>
          <cell r="B1256" t="str">
            <v>501650-C2401F-PC 1R017064LC</v>
          </cell>
          <cell r="C1256" t="str">
            <v>10250041180/10250041170</v>
          </cell>
          <cell r="D1256" t="str">
            <v>1*24</v>
          </cell>
          <cell r="E1256" t="str">
            <v>锡膏</v>
          </cell>
          <cell r="F1256" t="str">
            <v>车内外视频监视电控板</v>
          </cell>
          <cell r="G1256">
            <v>8.5714285714285719E-3</v>
          </cell>
          <cell r="H1256">
            <v>700</v>
          </cell>
          <cell r="I1256">
            <v>6</v>
          </cell>
        </row>
        <row r="1257">
          <cell r="A1257">
            <v>10880034198</v>
          </cell>
          <cell r="B1257" t="str">
            <v>500323-C24L2A-PC 0011801889</v>
          </cell>
          <cell r="C1257">
            <v>10250044660</v>
          </cell>
          <cell r="D1257" t="str">
            <v>1*2</v>
          </cell>
          <cell r="E1257" t="str">
            <v>锡膏</v>
          </cell>
          <cell r="F1257" t="str">
            <v>空调电控板</v>
          </cell>
          <cell r="G1257">
            <v>0.17500000000000002</v>
          </cell>
          <cell r="H1257">
            <v>200</v>
          </cell>
          <cell r="I1257">
            <v>35</v>
          </cell>
        </row>
        <row r="1258">
          <cell r="A1258">
            <v>40880000587</v>
          </cell>
          <cell r="B1258" t="str">
            <v>500323-C24R1A G0044</v>
          </cell>
          <cell r="C1258" t="str">
            <v>10250044718/10250044720</v>
          </cell>
          <cell r="D1258" t="str">
            <v>1*6</v>
          </cell>
          <cell r="E1258" t="str">
            <v>OSP
T/锡膏</v>
          </cell>
          <cell r="F1258" t="str">
            <v>海尔洗衣机售后检测仪</v>
          </cell>
          <cell r="G1258">
            <v>1.4143333333333332</v>
          </cell>
          <cell r="H1258">
            <v>15</v>
          </cell>
          <cell r="I1258">
            <v>43</v>
          </cell>
        </row>
        <row r="1259">
          <cell r="A1259">
            <v>40880000587</v>
          </cell>
          <cell r="B1259" t="str">
            <v>500323-C24R1A G0044</v>
          </cell>
          <cell r="D1259" t="str">
            <v>1*2</v>
          </cell>
        </row>
        <row r="1260">
          <cell r="A1260">
            <v>40880000587</v>
          </cell>
          <cell r="B1260" t="str">
            <v>500323-C24R1A G0044</v>
          </cell>
        </row>
        <row r="1261">
          <cell r="A1261">
            <v>10880036964</v>
          </cell>
          <cell r="B1261" t="str">
            <v>693-C2540A-PC G0044 0041801952</v>
          </cell>
          <cell r="C1261" t="str">
            <v>10250045451/10250045452</v>
          </cell>
          <cell r="D1261" t="str">
            <v>1*1</v>
          </cell>
          <cell r="E1261" t="str">
            <v>锡膏</v>
          </cell>
          <cell r="F1261" t="str">
            <v>热水器电控板</v>
          </cell>
          <cell r="G1261">
            <v>0.375</v>
          </cell>
          <cell r="H1261">
            <v>120</v>
          </cell>
          <cell r="I1261">
            <v>45</v>
          </cell>
        </row>
        <row r="1262">
          <cell r="A1262">
            <v>10880035266</v>
          </cell>
          <cell r="B1262" t="str">
            <v xml:space="preserve">500323-B2515A-PC 0011801490AW  </v>
          </cell>
          <cell r="C1262">
            <v>10250043935</v>
          </cell>
          <cell r="D1262" t="str">
            <v>1*2</v>
          </cell>
          <cell r="E1262" t="str">
            <v>锡膏</v>
          </cell>
          <cell r="F1262" t="str">
            <v>空调电控板</v>
          </cell>
          <cell r="G1262">
            <v>8.7500000000000008E-2</v>
          </cell>
          <cell r="H1262">
            <v>400</v>
          </cell>
          <cell r="I1262">
            <v>35</v>
          </cell>
        </row>
        <row r="1263">
          <cell r="A1263">
            <v>10880036361</v>
          </cell>
          <cell r="B1263" t="str">
            <v>693-C2576A-PC G0044 0011801490BT</v>
          </cell>
          <cell r="C1263">
            <v>10250044582</v>
          </cell>
          <cell r="D1263" t="str">
            <v>1*2</v>
          </cell>
          <cell r="E1263" t="str">
            <v>锡膏</v>
          </cell>
          <cell r="F1263" t="str">
            <v>空调电控板</v>
          </cell>
          <cell r="G1263">
            <v>9.4444444444444456E-2</v>
          </cell>
          <cell r="H1263">
            <v>360</v>
          </cell>
          <cell r="I1263">
            <v>34</v>
          </cell>
        </row>
        <row r="1264">
          <cell r="A1264">
            <v>10880037969</v>
          </cell>
          <cell r="B1264" t="str">
            <v>500323-C24A3C-PC G0044 0011801850B</v>
          </cell>
          <cell r="C1264" t="str">
            <v>10250040483/10250040481</v>
          </cell>
          <cell r="D1264" t="str">
            <v>1*2</v>
          </cell>
          <cell r="E1264" t="str">
            <v>锡膏</v>
          </cell>
          <cell r="F1264" t="str">
            <v>空调电控板</v>
          </cell>
          <cell r="G1264">
            <v>0.12447368421052632</v>
          </cell>
          <cell r="H1264">
            <v>200</v>
          </cell>
          <cell r="I1264">
            <v>32</v>
          </cell>
        </row>
        <row r="1265">
          <cell r="A1265">
            <v>10880037971</v>
          </cell>
          <cell r="B1265" t="str">
            <v>500323-C24A3D-PC G0044 0011801850AA</v>
          </cell>
          <cell r="C1265" t="str">
            <v>10250040483/10250040481</v>
          </cell>
          <cell r="D1265" t="str">
            <v>1*2</v>
          </cell>
          <cell r="E1265" t="str">
            <v>锡膏</v>
          </cell>
          <cell r="F1265" t="str">
            <v>空调电控板</v>
          </cell>
          <cell r="G1265">
            <v>0.12447368421052632</v>
          </cell>
          <cell r="H1265">
            <v>200</v>
          </cell>
          <cell r="I1265">
            <v>32</v>
          </cell>
        </row>
        <row r="1266">
          <cell r="A1266">
            <v>10880037503</v>
          </cell>
          <cell r="B1266" t="str">
            <v xml:space="preserve">500323-C24D2J-D G0044 0021800616J </v>
          </cell>
          <cell r="C1266" t="str">
            <v>10250035562/10250035563</v>
          </cell>
          <cell r="D1266" t="str">
            <v>1*5</v>
          </cell>
          <cell r="E1266" t="str">
            <v>锡膏</v>
          </cell>
          <cell r="F1266" t="str">
            <v>洗衣机显示板</v>
          </cell>
          <cell r="G1266">
            <v>0.11750000000000001</v>
          </cell>
          <cell r="H1266">
            <v>400</v>
          </cell>
          <cell r="I1266">
            <v>47</v>
          </cell>
        </row>
        <row r="1267">
          <cell r="A1267">
            <v>10880031249</v>
          </cell>
          <cell r="B1267" t="str">
            <v>693-C23H5A-D G0044 0121800104W  </v>
          </cell>
          <cell r="C1267" t="str">
            <v>10250036910/10250036911</v>
          </cell>
          <cell r="D1267" t="str">
            <v>1*5</v>
          </cell>
          <cell r="E1267" t="str">
            <v>锡膏</v>
          </cell>
          <cell r="F1267" t="str">
            <v>空调电控板</v>
          </cell>
          <cell r="G1267">
            <v>0.20571428571428571</v>
          </cell>
          <cell r="H1267">
            <v>700</v>
          </cell>
          <cell r="I1267">
            <v>40</v>
          </cell>
        </row>
        <row r="1268">
          <cell r="A1268">
            <v>10880031660</v>
          </cell>
          <cell r="B1268" t="str">
            <v>693-C23H5B-D 0121800104WA  </v>
          </cell>
          <cell r="C1268" t="str">
            <v>10250036910/10250036911</v>
          </cell>
          <cell r="D1268" t="str">
            <v>1*5</v>
          </cell>
          <cell r="E1268" t="str">
            <v>锡膏</v>
          </cell>
          <cell r="F1268" t="str">
            <v>空调电控板</v>
          </cell>
          <cell r="G1268">
            <v>0.20571428571428571</v>
          </cell>
          <cell r="H1268">
            <v>700</v>
          </cell>
          <cell r="I1268">
            <v>40</v>
          </cell>
        </row>
        <row r="1269">
          <cell r="A1269">
            <v>10880035903</v>
          </cell>
          <cell r="B1269" t="str">
            <v>500323-C24F2B G0044 0121800104WE  </v>
          </cell>
          <cell r="C1269" t="str">
            <v>10250036910/10250036911</v>
          </cell>
          <cell r="D1269" t="str">
            <v>1*5</v>
          </cell>
          <cell r="E1269" t="str">
            <v>锡膏</v>
          </cell>
          <cell r="F1269" t="str">
            <v>空调电控板</v>
          </cell>
          <cell r="G1269">
            <v>0.20571428571428571</v>
          </cell>
          <cell r="H1269">
            <v>700</v>
          </cell>
          <cell r="I1269">
            <v>40</v>
          </cell>
        </row>
        <row r="1270">
          <cell r="A1270">
            <v>10880036929</v>
          </cell>
          <cell r="B1270" t="str">
            <v>693-C2591A G0044 0121800104WG  </v>
          </cell>
          <cell r="C1270" t="str">
            <v>10250036910/10250036911</v>
          </cell>
          <cell r="D1270" t="str">
            <v>1*5</v>
          </cell>
          <cell r="E1270" t="str">
            <v>锡膏</v>
          </cell>
          <cell r="F1270" t="str">
            <v>空调电控板</v>
          </cell>
          <cell r="G1270">
            <v>0.20571428571428571</v>
          </cell>
          <cell r="H1270">
            <v>700</v>
          </cell>
          <cell r="I1270">
            <v>40</v>
          </cell>
        </row>
        <row r="1271">
          <cell r="A1271">
            <v>10880036932</v>
          </cell>
          <cell r="B1271" t="str">
            <v>693-C2598A G0044 0121800104WF</v>
          </cell>
          <cell r="C1271" t="str">
            <v>10250036910/10250036911</v>
          </cell>
          <cell r="D1271" t="str">
            <v>1*5</v>
          </cell>
          <cell r="E1271" t="str">
            <v>锡膏</v>
          </cell>
          <cell r="F1271" t="str">
            <v>空调电控板</v>
          </cell>
          <cell r="G1271">
            <v>0.20571428571428571</v>
          </cell>
          <cell r="H1271">
            <v>700</v>
          </cell>
          <cell r="I1271">
            <v>40</v>
          </cell>
        </row>
        <row r="1272">
          <cell r="A1272">
            <v>10880037670</v>
          </cell>
          <cell r="B1272" t="str">
            <v xml:space="preserve"> 693-B25D2A-PC G0044 0011801330AJ</v>
          </cell>
          <cell r="C1272" t="str">
            <v>10250045627/10250045628</v>
          </cell>
          <cell r="D1272" t="str">
            <v>1*2</v>
          </cell>
          <cell r="E1272" t="str">
            <v>锡膏</v>
          </cell>
          <cell r="F1272" t="str">
            <v>空调电控板</v>
          </cell>
          <cell r="G1272">
            <v>8.3333333333333329E-2</v>
          </cell>
          <cell r="H1272">
            <v>360</v>
          </cell>
          <cell r="I1272">
            <v>30</v>
          </cell>
        </row>
        <row r="1273">
          <cell r="A1273">
            <v>10880037671</v>
          </cell>
          <cell r="B1273" t="str">
            <v>693-B25D2B-PC G0044 0011801330AK</v>
          </cell>
          <cell r="C1273" t="str">
            <v>10250045627/10250045628</v>
          </cell>
          <cell r="D1273" t="str">
            <v>1*2</v>
          </cell>
          <cell r="E1273" t="str">
            <v>锡膏</v>
          </cell>
          <cell r="F1273" t="str">
            <v>空调电控板</v>
          </cell>
          <cell r="G1273">
            <v>8.3333333333333329E-2</v>
          </cell>
          <cell r="H1273">
            <v>360</v>
          </cell>
          <cell r="I1273">
            <v>30</v>
          </cell>
        </row>
        <row r="1274">
          <cell r="A1274">
            <v>10880034565</v>
          </cell>
          <cell r="B1274" t="str">
            <v>500323-C24L6C-PC 0011801172DG</v>
          </cell>
          <cell r="C1274" t="str">
            <v>10250044366/10250043613</v>
          </cell>
          <cell r="D1274" t="str">
            <v>1*1</v>
          </cell>
          <cell r="E1274" t="str">
            <v>锡膏</v>
          </cell>
          <cell r="F1274" t="str">
            <v>空调电控板</v>
          </cell>
          <cell r="G1274">
            <v>0.13333333333333333</v>
          </cell>
          <cell r="H1274">
            <v>300</v>
          </cell>
          <cell r="I1274">
            <v>40</v>
          </cell>
        </row>
        <row r="1275">
          <cell r="A1275">
            <v>10880036325</v>
          </cell>
          <cell r="B1275" t="str">
            <v>693-C2516F-PC G0044 0011801675AE</v>
          </cell>
          <cell r="C1275" t="str">
            <v>10250043551/10250043552</v>
          </cell>
          <cell r="D1275" t="str">
            <v>1*2</v>
          </cell>
          <cell r="E1275" t="str">
            <v>锡膏</v>
          </cell>
          <cell r="F1275" t="str">
            <v>空调电控板</v>
          </cell>
          <cell r="G1275">
            <v>0.08</v>
          </cell>
          <cell r="H1275">
            <v>400</v>
          </cell>
          <cell r="I1275">
            <v>32</v>
          </cell>
        </row>
        <row r="1276">
          <cell r="A1276">
            <v>10880036348</v>
          </cell>
          <cell r="B1276" t="str">
            <v>693-C2516G-PC G0044 0011801675J</v>
          </cell>
          <cell r="C1276" t="str">
            <v>10250043551/10250043552</v>
          </cell>
          <cell r="D1276" t="str">
            <v>1*2</v>
          </cell>
          <cell r="E1276" t="str">
            <v>锡膏</v>
          </cell>
          <cell r="F1276" t="str">
            <v>空调电控板</v>
          </cell>
          <cell r="G1276">
            <v>0.08</v>
          </cell>
          <cell r="H1276">
            <v>400</v>
          </cell>
          <cell r="I1276">
            <v>32</v>
          </cell>
        </row>
        <row r="1277">
          <cell r="A1277">
            <v>10880036349</v>
          </cell>
          <cell r="B1277" t="str">
            <v>693-C2516H-PC G0044 0011801675K</v>
          </cell>
          <cell r="C1277" t="str">
            <v>10250043551/10250043552</v>
          </cell>
          <cell r="D1277" t="str">
            <v>1*2</v>
          </cell>
          <cell r="E1277" t="str">
            <v>锡膏</v>
          </cell>
          <cell r="F1277" t="str">
            <v>空调电控板</v>
          </cell>
          <cell r="G1277">
            <v>0.08</v>
          </cell>
          <cell r="H1277">
            <v>400</v>
          </cell>
          <cell r="I1277">
            <v>32</v>
          </cell>
        </row>
        <row r="1278">
          <cell r="A1278">
            <v>10880036760</v>
          </cell>
          <cell r="B1278" t="str">
            <v>500323-C24A2B-PC G0044 0011801675B 新</v>
          </cell>
          <cell r="C1278" t="str">
            <v>10250043628/10250043629</v>
          </cell>
          <cell r="D1278" t="str">
            <v>1*2</v>
          </cell>
          <cell r="E1278" t="str">
            <v>锡膏</v>
          </cell>
          <cell r="F1278" t="str">
            <v>空调电控板</v>
          </cell>
          <cell r="G1278">
            <v>0.08</v>
          </cell>
          <cell r="H1278">
            <v>400</v>
          </cell>
          <cell r="I1278">
            <v>32</v>
          </cell>
        </row>
        <row r="1279">
          <cell r="A1279" t="str">
            <v>10880037268 </v>
          </cell>
          <cell r="B1279" t="str">
            <v>500323-C24D2I-D G0044 0021800616H  </v>
          </cell>
          <cell r="C1279" t="str">
            <v>10250035562/10250035563</v>
          </cell>
          <cell r="D1279" t="str">
            <v>1*5</v>
          </cell>
          <cell r="E1279" t="str">
            <v>锡膏</v>
          </cell>
          <cell r="F1279" t="str">
            <v>洗衣机显示板</v>
          </cell>
          <cell r="G1279">
            <v>0.11750000000000001</v>
          </cell>
          <cell r="H1279">
            <v>400</v>
          </cell>
          <cell r="I1279">
            <v>47</v>
          </cell>
        </row>
        <row r="1280">
          <cell r="A1280">
            <v>10880037165</v>
          </cell>
          <cell r="B1280" t="str">
            <v xml:space="preserve">693-C2574C-C G0044 0021800839B </v>
          </cell>
          <cell r="C1280" t="str">
            <v>10250044962/10250044965/ 10250044966</v>
          </cell>
          <cell r="D1280" t="str">
            <v>1*5</v>
          </cell>
          <cell r="E1280" t="str">
            <v>锡膏</v>
          </cell>
          <cell r="F1280" t="str">
            <v>洗衣机控制板</v>
          </cell>
          <cell r="G1280">
            <v>0.1</v>
          </cell>
          <cell r="H1280">
            <v>250</v>
          </cell>
          <cell r="I1280">
            <v>25</v>
          </cell>
        </row>
        <row r="1281">
          <cell r="A1281">
            <v>10880037002</v>
          </cell>
          <cell r="B1281" t="str">
            <v>693-C2596A-D G0044 0041801949</v>
          </cell>
          <cell r="C1281" t="str">
            <v>10250045889/10250045705</v>
          </cell>
          <cell r="D1281" t="str">
            <v>1*4</v>
          </cell>
          <cell r="E1281" t="str">
            <v>锡膏</v>
          </cell>
          <cell r="F1281" t="str">
            <v>电热水器显示板</v>
          </cell>
          <cell r="G1281">
            <v>0.05</v>
          </cell>
          <cell r="H1281">
            <v>400</v>
          </cell>
          <cell r="I1281">
            <v>20</v>
          </cell>
        </row>
        <row r="1282">
          <cell r="A1282">
            <v>10880037616</v>
          </cell>
          <cell r="B1282" t="str">
            <v xml:space="preserve">693-C25A8A-PC G0044 0151801031B </v>
          </cell>
          <cell r="C1282">
            <v>10250046412</v>
          </cell>
          <cell r="D1282" t="str">
            <v>1*1</v>
          </cell>
          <cell r="E1282" t="str">
            <v>锡膏</v>
          </cell>
          <cell r="F1282" t="str">
            <v>商用空调电控板</v>
          </cell>
          <cell r="G1282">
            <v>1.325</v>
          </cell>
          <cell r="H1282">
            <v>40</v>
          </cell>
          <cell r="I1282">
            <v>53</v>
          </cell>
        </row>
        <row r="1283">
          <cell r="A1283">
            <v>10880037615</v>
          </cell>
          <cell r="B1283" t="str">
            <v xml:space="preserve">693-C25A7A-PC G0044 0151801031AA </v>
          </cell>
          <cell r="C1283" t="str">
            <v>10250045817/10250045818</v>
          </cell>
          <cell r="D1283" t="str">
            <v>1*1</v>
          </cell>
          <cell r="E1283" t="str">
            <v>锡膏</v>
          </cell>
          <cell r="F1283" t="str">
            <v>商用空调电控板</v>
          </cell>
          <cell r="G1283">
            <v>0.8833333333333333</v>
          </cell>
          <cell r="H1283">
            <v>60</v>
          </cell>
          <cell r="I1283">
            <v>53</v>
          </cell>
        </row>
        <row r="1284">
          <cell r="A1284">
            <v>10880036513</v>
          </cell>
          <cell r="B1284" t="str">
            <v>693-C2568A-PC G0044 0011800722GCH</v>
          </cell>
          <cell r="C1284" t="str">
            <v>10250044618/10250044619</v>
          </cell>
          <cell r="D1284" t="str">
            <v>1*2</v>
          </cell>
          <cell r="E1284" t="str">
            <v>锡膏</v>
          </cell>
          <cell r="F1284" t="str">
            <v>空调电控板</v>
          </cell>
        </row>
        <row r="1285">
          <cell r="A1285">
            <v>10880036514</v>
          </cell>
          <cell r="B1285" t="str">
            <v>693-C2568B-PC G0044 0011800722GCHA</v>
          </cell>
          <cell r="C1285" t="str">
            <v>10250044618/10250044619</v>
          </cell>
          <cell r="D1285" t="str">
            <v>1*2</v>
          </cell>
          <cell r="E1285" t="str">
            <v>锡膏</v>
          </cell>
          <cell r="F1285" t="str">
            <v>空调电控板</v>
          </cell>
        </row>
        <row r="1286">
          <cell r="A1286">
            <v>10880037059</v>
          </cell>
          <cell r="B1286" t="str">
            <v>693-C2595A-D G0044 0021800866</v>
          </cell>
          <cell r="C1286" t="str">
            <v>10250045479/10250045480/10250045481</v>
          </cell>
          <cell r="D1286" t="str">
            <v>1*3</v>
          </cell>
          <cell r="E1286" t="str">
            <v>锡膏</v>
          </cell>
          <cell r="F1286" t="str">
            <v>洗衣机显示板</v>
          </cell>
          <cell r="G1286">
            <v>0.11</v>
          </cell>
          <cell r="H1286">
            <v>300</v>
          </cell>
          <cell r="I1286">
            <v>33</v>
          </cell>
        </row>
        <row r="1287">
          <cell r="A1287">
            <v>10880037490</v>
          </cell>
          <cell r="B1287" t="str">
            <v>693-C2595B-D G0044 0021800866G</v>
          </cell>
          <cell r="C1287" t="str">
            <v>10250045479/10250045480/10250045481</v>
          </cell>
          <cell r="D1287" t="str">
            <v>1*3</v>
          </cell>
          <cell r="E1287" t="str">
            <v>锡膏</v>
          </cell>
          <cell r="F1287" t="str">
            <v>洗衣机显示板</v>
          </cell>
          <cell r="G1287">
            <v>0.10666666666666667</v>
          </cell>
          <cell r="H1287">
            <v>200</v>
          </cell>
          <cell r="I1287">
            <v>28</v>
          </cell>
        </row>
        <row r="1288">
          <cell r="A1288">
            <v>10880037781</v>
          </cell>
          <cell r="B1288" t="str">
            <v>693-C2595C-D G0044 0021800866GA</v>
          </cell>
          <cell r="C1288" t="str">
            <v>10250045479/10250045480/10250045481</v>
          </cell>
          <cell r="D1288" t="str">
            <v>1*3</v>
          </cell>
          <cell r="E1288" t="str">
            <v>锡膏</v>
          </cell>
          <cell r="F1288" t="str">
            <v>洗衣机显示板</v>
          </cell>
          <cell r="G1288">
            <v>0.10666666666666667</v>
          </cell>
          <cell r="H1288">
            <v>200</v>
          </cell>
          <cell r="I1288">
            <v>28</v>
          </cell>
        </row>
        <row r="1289">
          <cell r="A1289">
            <v>10880037724</v>
          </cell>
          <cell r="B1289" t="str">
            <v xml:space="preserve"> 501851-A2513A-D 612101020027</v>
          </cell>
          <cell r="C1289" t="str">
            <v>10250046599/10250046600</v>
          </cell>
          <cell r="D1289" t="str">
            <v>1*9</v>
          </cell>
          <cell r="E1289" t="str">
            <v>锡膏</v>
          </cell>
          <cell r="F1289" t="str">
            <v>冰箱显示板</v>
          </cell>
          <cell r="G1289">
            <v>7.0000000000000007E-2</v>
          </cell>
          <cell r="H1289">
            <v>400</v>
          </cell>
          <cell r="I1289">
            <v>28</v>
          </cell>
        </row>
        <row r="1290">
          <cell r="A1290">
            <v>10880037725</v>
          </cell>
          <cell r="B1290" t="str">
            <v xml:space="preserve"> 501851-A2514A-D 612101020026</v>
          </cell>
          <cell r="C1290" t="str">
            <v>10250046598/0250046603</v>
          </cell>
          <cell r="D1290" t="str">
            <v>1*9</v>
          </cell>
          <cell r="E1290" t="str">
            <v>锡膏</v>
          </cell>
          <cell r="F1290" t="str">
            <v>冰箱显示板</v>
          </cell>
          <cell r="G1290">
            <v>7.2500000000000009E-2</v>
          </cell>
          <cell r="H1290">
            <v>400</v>
          </cell>
          <cell r="I1290">
            <v>29</v>
          </cell>
        </row>
        <row r="1291">
          <cell r="A1291">
            <v>10880037003</v>
          </cell>
          <cell r="B1291" t="str">
            <v>693-C2596B-D G0044 0041801949A</v>
          </cell>
          <cell r="C1291" t="str">
            <v>10250045889/10250045705</v>
          </cell>
          <cell r="D1291" t="str">
            <v>1*4</v>
          </cell>
          <cell r="E1291" t="str">
            <v>锡膏</v>
          </cell>
          <cell r="F1291" t="str">
            <v>电热水器显示板</v>
          </cell>
          <cell r="G1291">
            <v>5.7500000000000002E-2</v>
          </cell>
          <cell r="H1291">
            <v>400</v>
          </cell>
          <cell r="I1291">
            <v>23</v>
          </cell>
        </row>
        <row r="1292">
          <cell r="A1292">
            <v>10880037303</v>
          </cell>
          <cell r="B1292" t="str">
            <v xml:space="preserve">693-C2596C-D G0044 0041801949AA  </v>
          </cell>
          <cell r="C1292" t="str">
            <v>10250045889/10250045705</v>
          </cell>
          <cell r="D1292" t="str">
            <v>1*4</v>
          </cell>
          <cell r="E1292" t="str">
            <v>锡膏</v>
          </cell>
          <cell r="F1292" t="str">
            <v>电热水器显示板</v>
          </cell>
          <cell r="G1292">
            <v>5.2499999999999998E-2</v>
          </cell>
          <cell r="H1292">
            <v>400</v>
          </cell>
          <cell r="I1292">
            <v>21</v>
          </cell>
        </row>
        <row r="1293">
          <cell r="A1293">
            <v>10880037304</v>
          </cell>
          <cell r="B1293" t="str">
            <v xml:space="preserve">693-C2596D-D G0044 0041801949AC </v>
          </cell>
          <cell r="C1293" t="str">
            <v>10250045889/10250045705</v>
          </cell>
          <cell r="D1293" t="str">
            <v>1*4</v>
          </cell>
          <cell r="E1293" t="str">
            <v>锡膏</v>
          </cell>
          <cell r="F1293" t="str">
            <v>电热水器显示板</v>
          </cell>
          <cell r="G1293">
            <v>5.2499999999999998E-2</v>
          </cell>
          <cell r="H1293">
            <v>400</v>
          </cell>
          <cell r="I1293">
            <v>21</v>
          </cell>
        </row>
        <row r="1294">
          <cell r="A1294">
            <v>10880038040</v>
          </cell>
          <cell r="B1294" t="str">
            <v xml:space="preserve">693-C2596E-D G0044 0041801949AB  </v>
          </cell>
          <cell r="C1294" t="str">
            <v>10250045889/10250045705</v>
          </cell>
          <cell r="D1294" t="str">
            <v>1*4</v>
          </cell>
          <cell r="E1294" t="str">
            <v>锡膏</v>
          </cell>
          <cell r="F1294" t="str">
            <v>电热水器显示板</v>
          </cell>
          <cell r="G1294">
            <v>5.2499999999999998E-2</v>
          </cell>
          <cell r="H1294">
            <v>400</v>
          </cell>
          <cell r="I1294">
            <v>20</v>
          </cell>
        </row>
        <row r="1295">
          <cell r="A1295">
            <v>10880036453</v>
          </cell>
          <cell r="B1295" t="str">
            <v xml:space="preserve">693-C2574A-C G0044 0021800839  </v>
          </cell>
          <cell r="C1295" t="str">
            <v>10250044962/10250044965/ 10250044966</v>
          </cell>
          <cell r="D1295" t="str">
            <v>1*5</v>
          </cell>
          <cell r="E1295" t="str">
            <v>锡膏</v>
          </cell>
          <cell r="F1295" t="str">
            <v>洗衣机控制板</v>
          </cell>
          <cell r="G1295">
            <v>0.1</v>
          </cell>
          <cell r="H1295">
            <v>250</v>
          </cell>
          <cell r="I1295">
            <v>25</v>
          </cell>
        </row>
        <row r="1296">
          <cell r="A1296">
            <v>10880038537</v>
          </cell>
          <cell r="B1296" t="str">
            <v>693-C2622A G0044 0121800104WP</v>
          </cell>
          <cell r="C1296" t="str">
            <v>10250036910/10250036911</v>
          </cell>
          <cell r="D1296" t="str">
            <v>1*5</v>
          </cell>
          <cell r="E1296" t="str">
            <v>锡膏</v>
          </cell>
          <cell r="F1296" t="str">
            <v>空调电控板</v>
          </cell>
          <cell r="G1296">
            <v>0.375</v>
          </cell>
          <cell r="H1296">
            <v>80</v>
          </cell>
          <cell r="I1296">
            <v>30</v>
          </cell>
        </row>
        <row r="1297">
          <cell r="A1297">
            <v>10880038536</v>
          </cell>
          <cell r="B1297" t="str">
            <v xml:space="preserve">	693-C2621A G0044 0121800104WC</v>
          </cell>
          <cell r="C1297" t="str">
            <v>10250036910/10250036911</v>
          </cell>
          <cell r="D1297" t="str">
            <v>1*5</v>
          </cell>
          <cell r="E1297" t="str">
            <v>锡膏</v>
          </cell>
          <cell r="F1297" t="str">
            <v>空调电控板</v>
          </cell>
          <cell r="G1297">
            <v>0.375</v>
          </cell>
          <cell r="H1297">
            <v>80</v>
          </cell>
          <cell r="I1297">
            <v>30</v>
          </cell>
        </row>
        <row r="1298">
          <cell r="A1298">
            <v>10880036513</v>
          </cell>
          <cell r="B1298" t="str">
            <v>693-C2568A-PC G0044 0011800722GCH</v>
          </cell>
          <cell r="C1298" t="str">
            <v>10250044618/10250044619</v>
          </cell>
          <cell r="D1298" t="str">
            <v>1*2</v>
          </cell>
          <cell r="E1298" t="str">
            <v>锡膏</v>
          </cell>
          <cell r="F1298" t="str">
            <v>空调电控板</v>
          </cell>
          <cell r="G1298">
            <v>8.3333333333333329E-2</v>
          </cell>
          <cell r="H1298">
            <v>300</v>
          </cell>
          <cell r="I1298">
            <v>25</v>
          </cell>
        </row>
        <row r="1299">
          <cell r="A1299">
            <v>10880036514</v>
          </cell>
          <cell r="B1299" t="str">
            <v>693-C2568B-PC G0044 0011800722GCHA</v>
          </cell>
          <cell r="C1299" t="str">
            <v>10250044618/10250044619</v>
          </cell>
          <cell r="D1299" t="str">
            <v>1*2</v>
          </cell>
          <cell r="E1299" t="str">
            <v>锡膏</v>
          </cell>
          <cell r="F1299" t="str">
            <v>空调电控板</v>
          </cell>
          <cell r="G1299">
            <v>8.3333333333333329E-2</v>
          </cell>
          <cell r="H1299">
            <v>300</v>
          </cell>
          <cell r="I1299">
            <v>25</v>
          </cell>
        </row>
        <row r="1300">
          <cell r="A1300">
            <v>10880038124</v>
          </cell>
          <cell r="B1300" t="str">
            <v>693-B2548G-PC G0044 0011801922H</v>
          </cell>
          <cell r="C1300" t="str">
            <v>10250044763/10250044764</v>
          </cell>
          <cell r="D1300" t="str">
            <v>1*2</v>
          </cell>
          <cell r="E1300" t="str">
            <v>锡膏</v>
          </cell>
          <cell r="F1300" t="str">
            <v>空调电控板</v>
          </cell>
          <cell r="G1300">
            <v>0.08</v>
          </cell>
          <cell r="H1300">
            <v>400</v>
          </cell>
          <cell r="I1300">
            <v>32</v>
          </cell>
        </row>
        <row r="1301">
          <cell r="A1301">
            <v>10880038125</v>
          </cell>
          <cell r="B1301" t="str">
            <v>693-B2548H-PC G0044 0011801922J</v>
          </cell>
          <cell r="C1301" t="str">
            <v>10250044763/10250044764</v>
          </cell>
          <cell r="D1301" t="str">
            <v>1*2</v>
          </cell>
          <cell r="E1301" t="str">
            <v>锡膏</v>
          </cell>
          <cell r="F1301" t="str">
            <v>空调电控板</v>
          </cell>
          <cell r="G1301">
            <v>0.08</v>
          </cell>
          <cell r="H1301">
            <v>400</v>
          </cell>
          <cell r="I1301">
            <v>32</v>
          </cell>
        </row>
        <row r="1302">
          <cell r="A1302">
            <v>10880038122</v>
          </cell>
          <cell r="B1302" t="str">
            <v>693-B2548E-PC G0044 0011801922F</v>
          </cell>
          <cell r="C1302" t="str">
            <v>10250044763/10250044764</v>
          </cell>
          <cell r="D1302" t="str">
            <v>1*2</v>
          </cell>
          <cell r="E1302" t="str">
            <v>锡膏</v>
          </cell>
          <cell r="F1302" t="str">
            <v>空调电控板</v>
          </cell>
          <cell r="G1302">
            <v>0.08</v>
          </cell>
          <cell r="H1302">
            <v>400</v>
          </cell>
          <cell r="I1302">
            <v>32</v>
          </cell>
        </row>
        <row r="1303">
          <cell r="A1303">
            <v>10880038123</v>
          </cell>
          <cell r="B1303" t="str">
            <v>693-B2548F-PC G0044 0011801922G</v>
          </cell>
          <cell r="C1303" t="str">
            <v>10250044763/10250044764</v>
          </cell>
          <cell r="D1303" t="str">
            <v>1*2</v>
          </cell>
          <cell r="E1303" t="str">
            <v>锡膏</v>
          </cell>
          <cell r="F1303" t="str">
            <v>空调电控板</v>
          </cell>
          <cell r="G1303">
            <v>0.08</v>
          </cell>
          <cell r="H1303">
            <v>400</v>
          </cell>
          <cell r="I1303">
            <v>32</v>
          </cell>
        </row>
        <row r="1304">
          <cell r="A1304">
            <v>10880038473</v>
          </cell>
          <cell r="B1304" t="str">
            <v>501851-A2513B-D G0384 622101210018</v>
          </cell>
          <cell r="C1304" t="str">
            <v>10250046599/10250046600</v>
          </cell>
          <cell r="D1304" t="str">
            <v>1*9</v>
          </cell>
          <cell r="E1304" t="str">
            <v>锡膏</v>
          </cell>
          <cell r="F1304" t="str">
            <v>冰箱显示板</v>
          </cell>
          <cell r="G1304">
            <v>7.0000000000000007E-2</v>
          </cell>
          <cell r="H1304">
            <v>400</v>
          </cell>
          <cell r="I1304">
            <v>28</v>
          </cell>
        </row>
        <row r="1305">
          <cell r="A1305">
            <v>10880036919</v>
          </cell>
          <cell r="B1305" t="str">
            <v>693-C2574B-C G0044 0021800839A</v>
          </cell>
          <cell r="C1305" t="str">
            <v>10250044962/10250044965/ 10250044966</v>
          </cell>
          <cell r="D1305" t="str">
            <v>1*5</v>
          </cell>
          <cell r="E1305" t="str">
            <v>锡膏</v>
          </cell>
          <cell r="F1305" t="str">
            <v>洗衣机控制板</v>
          </cell>
          <cell r="G1305">
            <v>0.1</v>
          </cell>
          <cell r="H1305">
            <v>250</v>
          </cell>
          <cell r="I1305">
            <v>25</v>
          </cell>
        </row>
        <row r="1306">
          <cell r="A1306">
            <v>10880036767</v>
          </cell>
          <cell r="B1306" t="str">
            <v>693-C2588A-PC G0044 0151801031G</v>
          </cell>
          <cell r="C1306" t="str">
            <v>10250045837/10250045838</v>
          </cell>
          <cell r="D1306" t="str">
            <v>1*1</v>
          </cell>
          <cell r="E1306" t="str">
            <v>锡膏</v>
          </cell>
          <cell r="F1306" t="str">
            <v>商用空调电控板</v>
          </cell>
          <cell r="G1306">
            <v>1.6466666666666669</v>
          </cell>
          <cell r="H1306">
            <v>20</v>
          </cell>
          <cell r="I1306">
            <v>50</v>
          </cell>
        </row>
        <row r="1307">
          <cell r="A1307">
            <v>10880037263</v>
          </cell>
          <cell r="B1307" t="str">
            <v xml:space="preserve">	693-C25A1A-PC G0044 0151801031FA  </v>
          </cell>
          <cell r="C1307" t="str">
            <v>10250045839/10250045840</v>
          </cell>
          <cell r="D1307" t="str">
            <v>1*1</v>
          </cell>
          <cell r="E1307" t="str">
            <v>锡膏</v>
          </cell>
          <cell r="F1307" t="str">
            <v>商用空调电控板</v>
          </cell>
          <cell r="G1307">
            <v>0.64666666666666661</v>
          </cell>
          <cell r="H1307">
            <v>60</v>
          </cell>
          <cell r="I1307">
            <v>50</v>
          </cell>
        </row>
        <row r="1308">
          <cell r="A1308">
            <v>10880037918</v>
          </cell>
          <cell r="B1308" t="str">
            <v xml:space="preserve">693-C2595D-D G0044 0021800866A  </v>
          </cell>
          <cell r="C1308" t="str">
            <v>10250045479/10250045480/10250045481</v>
          </cell>
          <cell r="D1308" t="str">
            <v>1*3</v>
          </cell>
          <cell r="E1308" t="str">
            <v>锡膏</v>
          </cell>
          <cell r="F1308" t="str">
            <v>洗衣机显示板</v>
          </cell>
          <cell r="G1308">
            <v>0.11</v>
          </cell>
          <cell r="H1308">
            <v>300</v>
          </cell>
          <cell r="I1308">
            <v>33</v>
          </cell>
        </row>
        <row r="1309">
          <cell r="A1309">
            <v>10880038579</v>
          </cell>
          <cell r="B1309" t="str">
            <v>693-C2595E-D G0044 0021800866B</v>
          </cell>
          <cell r="C1309" t="str">
            <v>10250045479/10250045480/10250045481</v>
          </cell>
          <cell r="D1309" t="str">
            <v>1*3</v>
          </cell>
          <cell r="E1309" t="str">
            <v>锡膏</v>
          </cell>
          <cell r="F1309" t="str">
            <v>洗衣机显示板</v>
          </cell>
          <cell r="G1309">
            <v>0.11</v>
          </cell>
          <cell r="H1309">
            <v>300</v>
          </cell>
          <cell r="I1309">
            <v>33</v>
          </cell>
        </row>
        <row r="1310">
          <cell r="A1310">
            <v>10880038290</v>
          </cell>
          <cell r="B1310" t="str">
            <v>693-C2608A-PC G0044 0011801656C</v>
          </cell>
          <cell r="C1310">
            <v>10250040887</v>
          </cell>
          <cell r="D1310" t="str">
            <v>1*2</v>
          </cell>
          <cell r="E1310" t="str">
            <v>锡膏</v>
          </cell>
          <cell r="F1310" t="str">
            <v>日本空调1656电控板</v>
          </cell>
          <cell r="G1310">
            <v>0.12333333333333334</v>
          </cell>
          <cell r="H1310">
            <v>300</v>
          </cell>
          <cell r="I1310">
            <v>37</v>
          </cell>
        </row>
        <row r="1311">
          <cell r="A1311">
            <v>10880038446</v>
          </cell>
          <cell r="B1311" t="str">
            <v>693-C2608B-PC G0044 0011801656D</v>
          </cell>
          <cell r="C1311">
            <v>10250040888</v>
          </cell>
          <cell r="D1311" t="str">
            <v>1*2</v>
          </cell>
          <cell r="E1311" t="str">
            <v>锡膏</v>
          </cell>
          <cell r="F1311" t="str">
            <v>日本空调1656电控板</v>
          </cell>
          <cell r="G1311">
            <v>0.12333333333333334</v>
          </cell>
          <cell r="H1311">
            <v>300</v>
          </cell>
          <cell r="I1311">
            <v>37</v>
          </cell>
        </row>
        <row r="1312">
          <cell r="A1312">
            <v>10880038782</v>
          </cell>
          <cell r="B1312" t="str">
            <v xml:space="preserve"> 500323-C2491D-PC G0044 0011801656B</v>
          </cell>
          <cell r="C1312">
            <v>10250040889</v>
          </cell>
          <cell r="D1312" t="str">
            <v>1*2</v>
          </cell>
          <cell r="E1312" t="str">
            <v>锡膏</v>
          </cell>
          <cell r="F1312" t="str">
            <v>日本空调1656电控板</v>
          </cell>
          <cell r="G1312">
            <v>0.12333333333333334</v>
          </cell>
          <cell r="H1312">
            <v>300</v>
          </cell>
          <cell r="I1312">
            <v>37</v>
          </cell>
        </row>
        <row r="1313">
          <cell r="A1313">
            <v>10880037370</v>
          </cell>
          <cell r="B1313" t="str">
            <v xml:space="preserve">600766-A2503A-PC G0044 0011801330MHR  </v>
          </cell>
          <cell r="C1313" t="str">
            <v>10250037392/10250037393</v>
          </cell>
          <cell r="D1313" t="str">
            <v>1*2</v>
          </cell>
          <cell r="E1313" t="str">
            <v>锡膏</v>
          </cell>
          <cell r="F1313" t="str">
            <v>空调电控板</v>
          </cell>
          <cell r="G1313">
            <v>0.10807142857142858</v>
          </cell>
          <cell r="H1313">
            <v>280</v>
          </cell>
          <cell r="I1313">
            <v>29</v>
          </cell>
        </row>
        <row r="1314">
          <cell r="A1314">
            <v>10880016827</v>
          </cell>
          <cell r="B1314" t="str">
            <v xml:space="preserve"> 201-A2182A-PC  </v>
          </cell>
          <cell r="C1314">
            <v>10300011487</v>
          </cell>
          <cell r="D1314">
            <v>1</v>
          </cell>
          <cell r="E1314" t="str">
            <v>OSP
T/锡膏
B/红胶</v>
          </cell>
          <cell r="F1314" t="str">
            <v>变频空调室外电控板</v>
          </cell>
          <cell r="G1314">
            <v>0.57999999999999996</v>
          </cell>
          <cell r="H1314">
            <v>100</v>
          </cell>
          <cell r="I1314">
            <v>58</v>
          </cell>
        </row>
        <row r="1315">
          <cell r="A1315">
            <v>10880019265</v>
          </cell>
          <cell r="B1315" t="str">
            <v>201-A2182B-PC 1146511</v>
          </cell>
          <cell r="C1315">
            <v>10300011487</v>
          </cell>
          <cell r="D1315">
            <v>1</v>
          </cell>
          <cell r="E1315" t="str">
            <v>OSP
T/锡膏
B/红胶</v>
          </cell>
          <cell r="F1315" t="str">
            <v>变频空调室外电控板</v>
          </cell>
          <cell r="G1315">
            <v>0.57999999999999996</v>
          </cell>
          <cell r="H1315">
            <v>100</v>
          </cell>
          <cell r="I1315">
            <v>58</v>
          </cell>
        </row>
        <row r="1316">
          <cell r="A1316">
            <v>10880019266</v>
          </cell>
          <cell r="B1316" t="str">
            <v>201-A2182C-PC 1097658</v>
          </cell>
          <cell r="C1316">
            <v>10300011487</v>
          </cell>
          <cell r="D1316">
            <v>1</v>
          </cell>
          <cell r="E1316" t="str">
            <v>OSP
T/锡膏
B/红胶</v>
          </cell>
          <cell r="F1316" t="str">
            <v>变频空调室外电控板</v>
          </cell>
          <cell r="G1316">
            <v>0.57999999999999996</v>
          </cell>
          <cell r="H1316">
            <v>100</v>
          </cell>
          <cell r="I1316">
            <v>58</v>
          </cell>
        </row>
        <row r="1317">
          <cell r="A1317">
            <v>10880019920</v>
          </cell>
          <cell r="B1317" t="str">
            <v>201-A2182D-PC 1111442</v>
          </cell>
          <cell r="C1317">
            <v>10300011487</v>
          </cell>
          <cell r="D1317">
            <v>1</v>
          </cell>
          <cell r="E1317" t="str">
            <v>OSP
T/锡膏
B/红胶</v>
          </cell>
          <cell r="F1317" t="str">
            <v>变频空调室外电控板</v>
          </cell>
          <cell r="G1317">
            <v>0.57999999999999996</v>
          </cell>
          <cell r="H1317">
            <v>100</v>
          </cell>
          <cell r="I1317">
            <v>58</v>
          </cell>
        </row>
        <row r="1318">
          <cell r="A1318">
            <v>10880019921</v>
          </cell>
          <cell r="B1318" t="str">
            <v>201-A2182E-PC 1111443</v>
          </cell>
          <cell r="C1318">
            <v>10300011487</v>
          </cell>
          <cell r="D1318">
            <v>1</v>
          </cell>
          <cell r="E1318" t="str">
            <v>OSP
T/锡膏
B/红胶</v>
          </cell>
          <cell r="F1318" t="str">
            <v>变频空调室外电控板</v>
          </cell>
          <cell r="G1318">
            <v>0.57999999999999996</v>
          </cell>
          <cell r="H1318">
            <v>100</v>
          </cell>
          <cell r="I1318">
            <v>58</v>
          </cell>
        </row>
        <row r="1319">
          <cell r="A1319">
            <v>10880019922</v>
          </cell>
          <cell r="B1319" t="str">
            <v xml:space="preserve">201-A2182F-PC 1136612 </v>
          </cell>
          <cell r="C1319">
            <v>10300011487</v>
          </cell>
          <cell r="D1319">
            <v>1</v>
          </cell>
          <cell r="E1319" t="str">
            <v>OSP
T/锡膏
B/红胶</v>
          </cell>
          <cell r="F1319" t="str">
            <v>变频空调室外电控板</v>
          </cell>
          <cell r="G1319">
            <v>0.57999999999999996</v>
          </cell>
          <cell r="H1319">
            <v>100</v>
          </cell>
          <cell r="I1319">
            <v>58</v>
          </cell>
        </row>
        <row r="1320">
          <cell r="A1320">
            <v>10880019923</v>
          </cell>
          <cell r="B1320" t="str">
            <v xml:space="preserve"> 201-A2182G-PC 1146576</v>
          </cell>
          <cell r="C1320">
            <v>10300011487</v>
          </cell>
          <cell r="D1320">
            <v>1</v>
          </cell>
          <cell r="E1320" t="str">
            <v>OSP
T/锡膏
B/红胶</v>
          </cell>
          <cell r="F1320" t="str">
            <v>变频空调室外电控板</v>
          </cell>
          <cell r="G1320">
            <v>0.57999999999999996</v>
          </cell>
          <cell r="H1320">
            <v>100</v>
          </cell>
          <cell r="I1320">
            <v>58</v>
          </cell>
        </row>
        <row r="1321">
          <cell r="A1321" t="str">
            <v>10880019924 </v>
          </cell>
          <cell r="B1321" t="str">
            <v xml:space="preserve"> 201-A2182H-PC 1167607</v>
          </cell>
          <cell r="C1321">
            <v>10300011487</v>
          </cell>
          <cell r="D1321">
            <v>1</v>
          </cell>
          <cell r="E1321" t="str">
            <v>OSP
T/锡膏
B/红胶</v>
          </cell>
          <cell r="F1321" t="str">
            <v>变频空调室外电控板</v>
          </cell>
          <cell r="G1321">
            <v>0.57999999999999996</v>
          </cell>
          <cell r="H1321">
            <v>100</v>
          </cell>
          <cell r="I1321">
            <v>58</v>
          </cell>
        </row>
        <row r="1322">
          <cell r="A1322">
            <v>10880021129</v>
          </cell>
          <cell r="B1322" t="str">
            <v xml:space="preserve">201-A2182I-PC 1167732  </v>
          </cell>
          <cell r="C1322">
            <v>10300011487</v>
          </cell>
          <cell r="D1322">
            <v>1</v>
          </cell>
          <cell r="E1322" t="str">
            <v>OSP
T/锡膏
B/红胶</v>
          </cell>
          <cell r="F1322" t="str">
            <v>变频空调室外电控板</v>
          </cell>
          <cell r="G1322">
            <v>0.57999999999999996</v>
          </cell>
          <cell r="H1322">
            <v>100</v>
          </cell>
          <cell r="I1322">
            <v>58</v>
          </cell>
        </row>
        <row r="1323">
          <cell r="A1323">
            <v>10880020203</v>
          </cell>
          <cell r="B1323" t="str">
            <v xml:space="preserve">201-A2245A-PC PV033平台 1110602  </v>
          </cell>
          <cell r="C1323">
            <v>10300012230</v>
          </cell>
          <cell r="D1323">
            <v>1</v>
          </cell>
          <cell r="E1323" t="str">
            <v>OSP
T/锡膏
B/红胶</v>
          </cell>
          <cell r="F1323" t="str">
            <v>变频空调室外电控板</v>
          </cell>
          <cell r="G1323">
            <v>0.57999999999999996</v>
          </cell>
          <cell r="H1323">
            <v>100</v>
          </cell>
          <cell r="I1323">
            <v>58</v>
          </cell>
        </row>
        <row r="1324">
          <cell r="A1324">
            <v>10880020697</v>
          </cell>
          <cell r="B1324" t="str">
            <v xml:space="preserve">201-A2245B-PC PV033平台 1116785  </v>
          </cell>
          <cell r="C1324">
            <v>10300012230</v>
          </cell>
          <cell r="D1324">
            <v>1</v>
          </cell>
          <cell r="E1324" t="str">
            <v>OSP
T/锡膏
B/红胶</v>
          </cell>
          <cell r="F1324" t="str">
            <v>变频空调室外电控板</v>
          </cell>
          <cell r="G1324">
            <v>0.57999999999999996</v>
          </cell>
          <cell r="H1324">
            <v>100</v>
          </cell>
          <cell r="I1324">
            <v>58</v>
          </cell>
        </row>
        <row r="1325">
          <cell r="A1325">
            <v>10880020728</v>
          </cell>
          <cell r="B1325" t="str">
            <v xml:space="preserve"> 201-A2245C-PC PV033平台 1123848 </v>
          </cell>
          <cell r="C1325">
            <v>10300012230</v>
          </cell>
          <cell r="D1325">
            <v>1</v>
          </cell>
          <cell r="E1325" t="str">
            <v>OSP
T/锡膏
B/红胶</v>
          </cell>
          <cell r="F1325" t="str">
            <v>变频空调室外电控板</v>
          </cell>
          <cell r="G1325">
            <v>0.57999999999999996</v>
          </cell>
          <cell r="H1325">
            <v>100</v>
          </cell>
          <cell r="I1325">
            <v>58</v>
          </cell>
        </row>
        <row r="1326">
          <cell r="A1326">
            <v>10880020729</v>
          </cell>
          <cell r="B1326" t="str">
            <v xml:space="preserve">201-A2245D-PC PV033平台 1125642 </v>
          </cell>
          <cell r="C1326">
            <v>10300012230</v>
          </cell>
          <cell r="D1326">
            <v>1</v>
          </cell>
          <cell r="E1326" t="str">
            <v>OSP
T/锡膏
B/红胶</v>
          </cell>
          <cell r="F1326" t="str">
            <v>变频空调室外电控板</v>
          </cell>
          <cell r="G1326">
            <v>0.57999999999999996</v>
          </cell>
          <cell r="H1326">
            <v>100</v>
          </cell>
          <cell r="I1326">
            <v>58</v>
          </cell>
        </row>
        <row r="1327">
          <cell r="A1327">
            <v>10880030021</v>
          </cell>
          <cell r="B1327" t="str">
            <v xml:space="preserve">201-A20019E-PC H7A04482W-D  </v>
          </cell>
          <cell r="C1327">
            <v>10300007548</v>
          </cell>
          <cell r="D1327">
            <v>1</v>
          </cell>
          <cell r="E1327" t="str">
            <v>OSP
T/锡膏
B/红胶</v>
          </cell>
          <cell r="F1327" t="str">
            <v>变频空调室外电控板</v>
          </cell>
          <cell r="G1327">
            <v>0.62</v>
          </cell>
          <cell r="H1327">
            <v>100</v>
          </cell>
          <cell r="I1327">
            <v>62</v>
          </cell>
        </row>
        <row r="1328">
          <cell r="A1328">
            <v>10880030431</v>
          </cell>
          <cell r="B1328" t="str">
            <v xml:space="preserve">201-A2370A-PC 1196680  </v>
          </cell>
          <cell r="C1328">
            <v>10300014314</v>
          </cell>
          <cell r="D1328">
            <v>1</v>
          </cell>
          <cell r="E1328" t="str">
            <v>OSP
T/锡膏</v>
          </cell>
          <cell r="F1328" t="str">
            <v>变频空调室外电控板</v>
          </cell>
          <cell r="G1328">
            <v>0.39</v>
          </cell>
          <cell r="H1328">
            <v>100</v>
          </cell>
          <cell r="I1328">
            <v>45</v>
          </cell>
        </row>
        <row r="1329">
          <cell r="A1329">
            <v>10880032045</v>
          </cell>
          <cell r="B1329" t="str">
            <v>201-A2370B-PC H7B11345A PV2205Q</v>
          </cell>
          <cell r="C1329">
            <v>10300014314</v>
          </cell>
          <cell r="D1329">
            <v>1</v>
          </cell>
          <cell r="E1329" t="str">
            <v>OSP
T/锡膏</v>
          </cell>
          <cell r="F1329" t="str">
            <v>变频空调室外电控板</v>
          </cell>
          <cell r="G1329">
            <v>0.39</v>
          </cell>
          <cell r="H1329">
            <v>100</v>
          </cell>
          <cell r="I1329">
            <v>45</v>
          </cell>
        </row>
        <row r="1330">
          <cell r="A1330">
            <v>10880031563</v>
          </cell>
          <cell r="B1330" t="str">
            <v>201-A2402A-PC 1203875_H7B11803A-D/PV2205H</v>
          </cell>
          <cell r="C1330">
            <v>10300014532</v>
          </cell>
          <cell r="D1330">
            <v>1</v>
          </cell>
          <cell r="E1330" t="str">
            <v>OSP
T/锡膏</v>
          </cell>
          <cell r="F1330" t="str">
            <v>变频空调室外电控板</v>
          </cell>
          <cell r="G1330">
            <v>0.39</v>
          </cell>
          <cell r="H1330">
            <v>100</v>
          </cell>
          <cell r="I1330">
            <v>45</v>
          </cell>
        </row>
        <row r="1331">
          <cell r="A1331">
            <v>10880031600</v>
          </cell>
          <cell r="B1331" t="str">
            <v xml:space="preserve">201-A2402B-PC PV2205H B01  </v>
          </cell>
          <cell r="C1331">
            <v>10300014532</v>
          </cell>
          <cell r="D1331">
            <v>1</v>
          </cell>
          <cell r="E1331" t="str">
            <v>OSP
T/锡膏</v>
          </cell>
          <cell r="F1331" t="str">
            <v>变频空调室外电控板</v>
          </cell>
          <cell r="G1331">
            <v>0.39</v>
          </cell>
          <cell r="H1331">
            <v>100</v>
          </cell>
          <cell r="I1331">
            <v>45</v>
          </cell>
        </row>
        <row r="1332">
          <cell r="A1332">
            <v>10880032035</v>
          </cell>
          <cell r="B1332" t="str">
            <v>201-A2402C-PC H7B11803C PV2205H B01</v>
          </cell>
          <cell r="C1332">
            <v>10300014532</v>
          </cell>
          <cell r="D1332">
            <v>1</v>
          </cell>
          <cell r="E1332" t="str">
            <v>OSP
T/锡膏</v>
          </cell>
          <cell r="F1332" t="str">
            <v>变频空调室外电控板</v>
          </cell>
          <cell r="G1332">
            <v>0.39</v>
          </cell>
          <cell r="H1332">
            <v>100</v>
          </cell>
          <cell r="I1332">
            <v>45</v>
          </cell>
        </row>
        <row r="1333">
          <cell r="A1333">
            <v>10880032036</v>
          </cell>
          <cell r="B1333" t="str">
            <v>201-A2402D-PC 1206579_H7B11803D-D/PV2205H</v>
          </cell>
          <cell r="C1333">
            <v>10300014532</v>
          </cell>
          <cell r="D1333">
            <v>1</v>
          </cell>
          <cell r="E1333" t="str">
            <v>OSP
T/锡膏</v>
          </cell>
          <cell r="F1333" t="str">
            <v>变频空调室外电控板</v>
          </cell>
          <cell r="G1333">
            <v>0.39</v>
          </cell>
          <cell r="H1333">
            <v>100</v>
          </cell>
          <cell r="I1333">
            <v>45</v>
          </cell>
        </row>
        <row r="1334">
          <cell r="A1334">
            <v>10880032488</v>
          </cell>
          <cell r="B1334" t="str">
            <v>201-A2417A-PC_1204346 H7B11851A-D PV2205Y</v>
          </cell>
          <cell r="C1334">
            <v>10300014839</v>
          </cell>
          <cell r="D1334">
            <v>1</v>
          </cell>
          <cell r="E1334" t="str">
            <v>OSP
T/锡膏</v>
          </cell>
          <cell r="F1334" t="str">
            <v>变频空调室外电控板</v>
          </cell>
          <cell r="G1334">
            <v>0.39</v>
          </cell>
          <cell r="H1334">
            <v>100</v>
          </cell>
          <cell r="I1334">
            <v>45</v>
          </cell>
        </row>
        <row r="1335">
          <cell r="A1335">
            <v>10880032496</v>
          </cell>
          <cell r="B1335" t="str">
            <v>201-A2417B-PC_1204347 H7B11851B-D PV2205Y</v>
          </cell>
          <cell r="C1335">
            <v>10300014839</v>
          </cell>
          <cell r="D1335">
            <v>1</v>
          </cell>
          <cell r="E1335" t="str">
            <v>OSP
T/锡膏</v>
          </cell>
          <cell r="F1335" t="str">
            <v>变频空调室外电控板</v>
          </cell>
          <cell r="G1335">
            <v>0.39</v>
          </cell>
          <cell r="H1335">
            <v>100</v>
          </cell>
          <cell r="I1335">
            <v>45</v>
          </cell>
        </row>
        <row r="1336">
          <cell r="A1336">
            <v>10880032499</v>
          </cell>
          <cell r="B1336" t="str">
            <v>201-A2417C-PC_1215560 H7B11851C-D PV2205Y</v>
          </cell>
          <cell r="C1336">
            <v>10300014839</v>
          </cell>
          <cell r="D1336">
            <v>1</v>
          </cell>
          <cell r="E1336" t="str">
            <v>OSP
T/锡膏</v>
          </cell>
          <cell r="F1336" t="str">
            <v>变频空调室外电控板</v>
          </cell>
          <cell r="G1336">
            <v>0.39</v>
          </cell>
          <cell r="H1336">
            <v>100</v>
          </cell>
          <cell r="I1336">
            <v>45</v>
          </cell>
        </row>
        <row r="1337">
          <cell r="A1337">
            <v>10880032501</v>
          </cell>
          <cell r="B1337" t="str">
            <v>201-A2417D-PC_1215568 H7B11851D-D PV2205Y</v>
          </cell>
          <cell r="C1337">
            <v>10300014839</v>
          </cell>
          <cell r="D1337">
            <v>1</v>
          </cell>
          <cell r="E1337" t="str">
            <v>OSP
T/锡膏</v>
          </cell>
          <cell r="F1337" t="str">
            <v>变频空调室外电控板</v>
          </cell>
          <cell r="G1337">
            <v>0.39</v>
          </cell>
          <cell r="H1337">
            <v>100</v>
          </cell>
          <cell r="I1337">
            <v>45</v>
          </cell>
        </row>
        <row r="1338">
          <cell r="A1338">
            <v>10880030432</v>
          </cell>
          <cell r="B1338" t="str">
            <v xml:space="preserve">201-A2371A-PC 1196682  </v>
          </cell>
          <cell r="C1338">
            <v>10300014312</v>
          </cell>
          <cell r="D1338">
            <v>1</v>
          </cell>
          <cell r="E1338" t="str">
            <v>OSP
T/锡膏</v>
          </cell>
          <cell r="F1338" t="str">
            <v>变频空调室外电控板</v>
          </cell>
          <cell r="G1338">
            <v>0.26250000000000001</v>
          </cell>
          <cell r="H1338">
            <v>200</v>
          </cell>
          <cell r="I1338">
            <v>48</v>
          </cell>
        </row>
        <row r="1339">
          <cell r="A1339">
            <v>10880032046</v>
          </cell>
          <cell r="B1339" t="str">
            <v>201-A2371B-PC 1196681_H7B11346A-D/PV2206Q</v>
          </cell>
          <cell r="C1339">
            <v>10300014312</v>
          </cell>
          <cell r="D1339">
            <v>1</v>
          </cell>
          <cell r="E1339" t="str">
            <v>OSP
T/锡膏</v>
          </cell>
          <cell r="F1339" t="str">
            <v>变频空调室外电控板</v>
          </cell>
          <cell r="G1339">
            <v>0.26250000000000001</v>
          </cell>
          <cell r="H1339">
            <v>200</v>
          </cell>
          <cell r="I1339">
            <v>48</v>
          </cell>
        </row>
        <row r="1340">
          <cell r="A1340">
            <v>10880031525</v>
          </cell>
          <cell r="B1340" t="str">
            <v>201-A2401A-PC 1203877_H7B11804A-D/PV2206H</v>
          </cell>
          <cell r="C1340">
            <v>10300014495</v>
          </cell>
          <cell r="D1340">
            <v>1</v>
          </cell>
          <cell r="E1340" t="str">
            <v>OSP
T/锡膏</v>
          </cell>
          <cell r="F1340" t="str">
            <v>变频空调室外电控板</v>
          </cell>
          <cell r="G1340">
            <v>0.26250000000000001</v>
          </cell>
          <cell r="H1340">
            <v>200</v>
          </cell>
          <cell r="I1340">
            <v>48</v>
          </cell>
        </row>
        <row r="1341">
          <cell r="A1341">
            <v>10880031560</v>
          </cell>
          <cell r="B1341" t="str">
            <v xml:space="preserve"> 201-A2401B-PC PV2206H B01  </v>
          </cell>
          <cell r="C1341">
            <v>10300014495</v>
          </cell>
          <cell r="D1341">
            <v>1</v>
          </cell>
          <cell r="E1341" t="str">
            <v>OSP
T/锡膏</v>
          </cell>
          <cell r="F1341" t="str">
            <v>变频空调室外电控板</v>
          </cell>
          <cell r="G1341">
            <v>0.26250000000000001</v>
          </cell>
          <cell r="H1341">
            <v>200</v>
          </cell>
          <cell r="I1341">
            <v>48</v>
          </cell>
        </row>
        <row r="1342">
          <cell r="A1342">
            <v>10880032042</v>
          </cell>
          <cell r="B1342" t="str">
            <v>201-A2401C-PC 1206582_H7B11804C-D/PV2206H</v>
          </cell>
          <cell r="C1342">
            <v>10300014495</v>
          </cell>
          <cell r="D1342">
            <v>1</v>
          </cell>
          <cell r="E1342" t="str">
            <v>OSP
T/锡膏</v>
          </cell>
          <cell r="F1342" t="str">
            <v>变频空调室外电控板</v>
          </cell>
          <cell r="G1342">
            <v>0.26250000000000001</v>
          </cell>
          <cell r="H1342">
            <v>200</v>
          </cell>
          <cell r="I1342">
            <v>48</v>
          </cell>
        </row>
        <row r="1343">
          <cell r="A1343">
            <v>10880032043</v>
          </cell>
          <cell r="B1343" t="str">
            <v>201-A2401D-PC H7B11804D PV2206H B01</v>
          </cell>
          <cell r="C1343">
            <v>10300014495</v>
          </cell>
          <cell r="D1343">
            <v>1</v>
          </cell>
          <cell r="E1343" t="str">
            <v>OSP
T/锡膏</v>
          </cell>
          <cell r="F1343" t="str">
            <v>变频空调室外电控板</v>
          </cell>
          <cell r="G1343">
            <v>0.26250000000000001</v>
          </cell>
          <cell r="H1343">
            <v>200</v>
          </cell>
          <cell r="I1343">
            <v>48</v>
          </cell>
        </row>
        <row r="1344">
          <cell r="A1344">
            <v>10880032548</v>
          </cell>
          <cell r="B1344" t="str">
            <v xml:space="preserve">201-A2423A-PC_1204349 H7B11853A-D PV2206Y  </v>
          </cell>
          <cell r="C1344">
            <v>10300014855</v>
          </cell>
          <cell r="D1344">
            <v>1</v>
          </cell>
          <cell r="E1344" t="str">
            <v>OSP
T/锡膏</v>
          </cell>
          <cell r="F1344" t="str">
            <v>变频空调室外电控板</v>
          </cell>
          <cell r="G1344">
            <v>0.26250000000000001</v>
          </cell>
          <cell r="H1344">
            <v>200</v>
          </cell>
          <cell r="I1344">
            <v>48</v>
          </cell>
        </row>
        <row r="1345">
          <cell r="A1345">
            <v>10880032573</v>
          </cell>
          <cell r="B1345" t="str">
            <v>201-A2423B-PC 1204350 H7B11853B-D PV2206</v>
          </cell>
          <cell r="C1345">
            <v>10300014855</v>
          </cell>
          <cell r="D1345">
            <v>1</v>
          </cell>
          <cell r="E1345" t="str">
            <v>OSP
T/锡膏</v>
          </cell>
          <cell r="F1345" t="str">
            <v>变频空调室外电控板</v>
          </cell>
          <cell r="G1345">
            <v>0.26250000000000001</v>
          </cell>
          <cell r="H1345">
            <v>200</v>
          </cell>
          <cell r="I1345">
            <v>48</v>
          </cell>
        </row>
        <row r="1346">
          <cell r="A1346">
            <v>10880032574</v>
          </cell>
          <cell r="B1346" t="str">
            <v>201-A2423C-PC 1215569 H7B11853C-D PV2206</v>
          </cell>
          <cell r="C1346">
            <v>10300014855</v>
          </cell>
          <cell r="D1346">
            <v>1</v>
          </cell>
          <cell r="E1346" t="str">
            <v>OSP
T/锡膏</v>
          </cell>
          <cell r="F1346" t="str">
            <v>变频空调室外电控板</v>
          </cell>
          <cell r="G1346">
            <v>0.26250000000000001</v>
          </cell>
          <cell r="H1346">
            <v>200</v>
          </cell>
          <cell r="I1346">
            <v>48</v>
          </cell>
        </row>
        <row r="1347">
          <cell r="A1347" t="str">
            <v>10880035325 </v>
          </cell>
          <cell r="B1347" t="str">
            <v>500268-B2502A-DRV G0020 1223171 H7B12568C-D/PV2206H C01  </v>
          </cell>
          <cell r="C1347">
            <v>10250042170</v>
          </cell>
          <cell r="D1347">
            <v>1</v>
          </cell>
          <cell r="E1347" t="str">
            <v>OSP
T/锡膏</v>
          </cell>
          <cell r="F1347" t="str">
            <v>变频空调室外电控板</v>
          </cell>
          <cell r="G1347">
            <v>0.26250000000000001</v>
          </cell>
          <cell r="H1347">
            <v>200</v>
          </cell>
          <cell r="I1347">
            <v>48</v>
          </cell>
        </row>
        <row r="1348">
          <cell r="A1348">
            <v>10880030551</v>
          </cell>
          <cell r="B1348" t="str">
            <v>201-A2381A-O 2348569 干衣机面板(天青墨)</v>
          </cell>
          <cell r="C1348" t="str">
            <v>10250037028&amp;10250036563</v>
          </cell>
          <cell r="D1348" t="str">
            <v>通用板:1*4
按键旋钮板:1*3</v>
          </cell>
          <cell r="E1348" t="str">
            <v>OSP
T/锡膏</v>
          </cell>
          <cell r="F1348" t="str">
            <v>干衣机面板</v>
          </cell>
          <cell r="G1348">
            <v>0.27333333333333332</v>
          </cell>
          <cell r="H1348">
            <v>60</v>
          </cell>
          <cell r="I1348">
            <v>47</v>
          </cell>
        </row>
        <row r="1351">
          <cell r="A1351">
            <v>10880031011</v>
          </cell>
          <cell r="B1351" t="str">
            <v xml:space="preserve">201-A2381B-X 2348588 冼衣机面板(天青墨)  </v>
          </cell>
          <cell r="C1351" t="str">
            <v>10250037028/10250036563</v>
          </cell>
          <cell r="D1351" t="str">
            <v>通用板:1*4
按键旋钮板:1*3</v>
          </cell>
          <cell r="E1351" t="str">
            <v>OSP
T/锡膏</v>
          </cell>
          <cell r="F1351" t="str">
            <v>冼衣机面板</v>
          </cell>
          <cell r="G1351">
            <v>0.27333333333333332</v>
          </cell>
          <cell r="H1351">
            <v>60</v>
          </cell>
          <cell r="I1351">
            <v>47</v>
          </cell>
        </row>
        <row r="1354">
          <cell r="A1354">
            <v>10880031760</v>
          </cell>
          <cell r="B1354" t="str">
            <v>201-A2381C-X 2297595 冼衣机面板(全球白)</v>
          </cell>
          <cell r="C1354" t="str">
            <v>10250037028/10250036563</v>
          </cell>
          <cell r="D1354" t="str">
            <v>通用板:1*4
按键旋钮板:1*3</v>
          </cell>
          <cell r="E1354" t="str">
            <v>OSP
T/锡膏</v>
          </cell>
          <cell r="F1354" t="str">
            <v>冼衣机面板</v>
          </cell>
          <cell r="G1354">
            <v>0.27333333333333332</v>
          </cell>
          <cell r="H1354">
            <v>60</v>
          </cell>
          <cell r="I1354">
            <v>47</v>
          </cell>
        </row>
        <row r="1357">
          <cell r="A1357">
            <v>10880031766</v>
          </cell>
          <cell r="B1357" t="str">
            <v>201-A2381D-X 2320393 干衣机面板(全球白)</v>
          </cell>
          <cell r="C1357" t="str">
            <v>10250037028/10250036563</v>
          </cell>
          <cell r="D1357" t="str">
            <v>通用板:1*4
按键旋钮板:1*3</v>
          </cell>
          <cell r="E1357" t="str">
            <v>OSP
T/锡膏</v>
          </cell>
          <cell r="F1357" t="str">
            <v>干衣机面板</v>
          </cell>
          <cell r="G1357">
            <v>0.27333333333333332</v>
          </cell>
          <cell r="H1357">
            <v>60</v>
          </cell>
          <cell r="I1357">
            <v>47</v>
          </cell>
        </row>
        <row r="1360">
          <cell r="A1360">
            <v>10880032697</v>
          </cell>
          <cell r="B1360" t="str">
            <v>201-A2381E-X 2379455 7S古洛尼白</v>
          </cell>
          <cell r="C1360" t="str">
            <v>10250037028/ 10250036563</v>
          </cell>
          <cell r="D1360" t="str">
            <v>通用板:1*4
按键旋钮板:1*3</v>
          </cell>
          <cell r="E1360" t="str">
            <v>OSP
T/锡膏</v>
          </cell>
          <cell r="F1360" t="str">
            <v>洗衣机面板</v>
          </cell>
          <cell r="G1360">
            <v>0.27333333333333332</v>
          </cell>
          <cell r="H1360">
            <v>60</v>
          </cell>
          <cell r="I1360">
            <v>47</v>
          </cell>
        </row>
        <row r="1363">
          <cell r="A1363">
            <v>10880032698</v>
          </cell>
          <cell r="B1363" t="str">
            <v>201-A2381F 2376777 7S古洛尼白</v>
          </cell>
          <cell r="C1363" t="str">
            <v>10250037028/ 10250036563</v>
          </cell>
          <cell r="D1363" t="str">
            <v>通用板:1*4
按键旋钮板:1*3</v>
          </cell>
          <cell r="E1363" t="str">
            <v>OSP
T/锡膏</v>
          </cell>
          <cell r="F1363" t="str">
            <v>干衣机面板</v>
          </cell>
          <cell r="G1363">
            <v>0.27333333333333332</v>
          </cell>
          <cell r="H1363">
            <v>60</v>
          </cell>
          <cell r="I1363">
            <v>47</v>
          </cell>
        </row>
        <row r="1366">
          <cell r="A1366">
            <v>10880034619</v>
          </cell>
          <cell r="B1366" t="str">
            <v>500269-C2405A-X 2446112 天青墨</v>
          </cell>
          <cell r="C1366">
            <v>10250037028</v>
          </cell>
          <cell r="D1366" t="str">
            <v>通用板:1*4
按键旋钮板:1*3</v>
          </cell>
          <cell r="E1366" t="str">
            <v>OSP
T/锡膏</v>
          </cell>
          <cell r="F1366" t="str">
            <v>洗衣机面板</v>
          </cell>
          <cell r="G1366">
            <v>0.27333333333333332</v>
          </cell>
          <cell r="H1366">
            <v>60</v>
          </cell>
          <cell r="I1366">
            <v>47</v>
          </cell>
        </row>
        <row r="1369">
          <cell r="A1369">
            <v>10880034621</v>
          </cell>
          <cell r="B1369" t="str">
            <v>500269-C2408A-X 2447564 全球白 新欧标</v>
          </cell>
          <cell r="C1369">
            <v>10250037028</v>
          </cell>
          <cell r="D1369" t="str">
            <v>通用板:1*4
按键旋钮板:1*3</v>
          </cell>
          <cell r="E1369" t="str">
            <v>OSP
T/锡膏</v>
          </cell>
          <cell r="F1369" t="str">
            <v>干衣机面板</v>
          </cell>
          <cell r="G1369">
            <v>0.27333333333333332</v>
          </cell>
          <cell r="H1369">
            <v>60</v>
          </cell>
          <cell r="I1369">
            <v>47</v>
          </cell>
        </row>
        <row r="1372">
          <cell r="A1372">
            <v>10880033610</v>
          </cell>
          <cell r="B1372" t="str">
            <v>500269-C2401A-X 2399506 天青墨</v>
          </cell>
          <cell r="C1372">
            <v>10250037028</v>
          </cell>
          <cell r="D1372" t="str">
            <v>通用板:1*4
按键旋钮板:1*3</v>
          </cell>
          <cell r="E1372" t="str">
            <v>OSP
T/锡膏</v>
          </cell>
          <cell r="F1372" t="str">
            <v>洗衣机面板</v>
          </cell>
          <cell r="G1372">
            <v>0.27333333333333332</v>
          </cell>
          <cell r="H1372">
            <v>60</v>
          </cell>
          <cell r="I1372">
            <v>47</v>
          </cell>
        </row>
        <row r="1375">
          <cell r="A1375">
            <v>10880035448</v>
          </cell>
          <cell r="B1375" t="str">
            <v>500269-C2401C-X G0020 2444226 天青墨</v>
          </cell>
          <cell r="C1375">
            <v>10250037028</v>
          </cell>
          <cell r="D1375" t="str">
            <v>通用板:1*4
按键旋钮板:1*3</v>
          </cell>
          <cell r="E1375" t="str">
            <v>OSP
T/锡膏</v>
          </cell>
          <cell r="F1375" t="str">
            <v>洗衣机面板</v>
          </cell>
          <cell r="G1375">
            <v>0.33666666666666667</v>
          </cell>
          <cell r="H1375">
            <v>60</v>
          </cell>
          <cell r="I1375">
            <v>54</v>
          </cell>
        </row>
        <row r="1378">
          <cell r="A1378">
            <v>10880032683</v>
          </cell>
          <cell r="B1378" t="str">
            <v xml:space="preserve">2189-B2401A-PC 2389091  </v>
          </cell>
          <cell r="C1378" t="str">
            <v>10250039344/10250039345/10250039346</v>
          </cell>
          <cell r="D1378">
            <v>2</v>
          </cell>
          <cell r="E1378" t="str">
            <v>OSP
T/锡膏</v>
          </cell>
          <cell r="F1378" t="str">
            <v>海信洗衣机091电控板</v>
          </cell>
          <cell r="G1378">
            <v>0.10249999999999999</v>
          </cell>
          <cell r="H1378">
            <v>400</v>
          </cell>
          <cell r="I1378">
            <v>41</v>
          </cell>
        </row>
        <row r="1379">
          <cell r="A1379">
            <v>10880032933</v>
          </cell>
          <cell r="B1379" t="str">
            <v>2189-B2401B-PC 2397243</v>
          </cell>
          <cell r="C1379" t="str">
            <v>10250039344/10250039345/10250039346</v>
          </cell>
          <cell r="D1379">
            <v>2</v>
          </cell>
          <cell r="E1379" t="str">
            <v>OSP
T/锡膏</v>
          </cell>
          <cell r="F1379" t="str">
            <v>海信洗衣机091电控板</v>
          </cell>
          <cell r="G1379">
            <v>0.10249999999999999</v>
          </cell>
          <cell r="H1379">
            <v>400</v>
          </cell>
          <cell r="I1379">
            <v>41</v>
          </cell>
        </row>
        <row r="1380">
          <cell r="A1380">
            <v>10880032937</v>
          </cell>
          <cell r="B1380" t="str">
            <v>2189-B2401E-PC 2397246</v>
          </cell>
          <cell r="C1380" t="str">
            <v>10250039344/10250039345/10250039346</v>
          </cell>
          <cell r="D1380">
            <v>2</v>
          </cell>
          <cell r="E1380" t="str">
            <v>OSP
T/锡膏</v>
          </cell>
          <cell r="F1380" t="str">
            <v>海信洗衣机091电控板</v>
          </cell>
          <cell r="G1380">
            <v>0.10249999999999999</v>
          </cell>
          <cell r="H1380">
            <v>400</v>
          </cell>
          <cell r="I1380">
            <v>41</v>
          </cell>
        </row>
        <row r="1381">
          <cell r="A1381">
            <v>10880032942</v>
          </cell>
          <cell r="B1381" t="str">
            <v>2189-B2401F-PC 2397248</v>
          </cell>
          <cell r="C1381" t="str">
            <v>10250039344/10250039345/10250039346</v>
          </cell>
          <cell r="D1381">
            <v>2</v>
          </cell>
          <cell r="E1381" t="str">
            <v>OSP
T/锡膏</v>
          </cell>
          <cell r="F1381" t="str">
            <v>海信洗衣机091电控板</v>
          </cell>
          <cell r="G1381">
            <v>0.10249999999999999</v>
          </cell>
          <cell r="H1381">
            <v>400</v>
          </cell>
          <cell r="I1381">
            <v>41</v>
          </cell>
        </row>
        <row r="1382">
          <cell r="A1382">
            <v>10880032943</v>
          </cell>
          <cell r="B1382" t="str">
            <v>2189-B2401D-PC 2397172</v>
          </cell>
          <cell r="C1382" t="str">
            <v>10250039344/10250039345/10250039346</v>
          </cell>
          <cell r="D1382">
            <v>2</v>
          </cell>
          <cell r="E1382" t="str">
            <v>OSP
T/锡膏</v>
          </cell>
          <cell r="F1382" t="str">
            <v>海信洗衣机091电控板</v>
          </cell>
          <cell r="G1382">
            <v>0.10249999999999999</v>
          </cell>
          <cell r="H1382">
            <v>400</v>
          </cell>
          <cell r="I1382">
            <v>41</v>
          </cell>
        </row>
        <row r="1383">
          <cell r="A1383">
            <v>10880032945</v>
          </cell>
          <cell r="B1383" t="str">
            <v>2189-B2401C-PC 2397168</v>
          </cell>
          <cell r="C1383" t="str">
            <v>10250039344/10250039345/10250039346</v>
          </cell>
          <cell r="D1383">
            <v>2</v>
          </cell>
          <cell r="E1383" t="str">
            <v>OSP
T/锡膏</v>
          </cell>
          <cell r="F1383" t="str">
            <v>海信洗衣机091电控板</v>
          </cell>
          <cell r="G1383">
            <v>0.10249999999999999</v>
          </cell>
          <cell r="H1383">
            <v>400</v>
          </cell>
          <cell r="I1383">
            <v>41</v>
          </cell>
        </row>
        <row r="1384">
          <cell r="A1384">
            <v>10880035234</v>
          </cell>
          <cell r="B1384" t="str">
            <v>2189-B2401L-PC 2471982</v>
          </cell>
          <cell r="C1384" t="str">
            <v>10250039344/10250039345/10250039346</v>
          </cell>
          <cell r="D1384">
            <v>2</v>
          </cell>
          <cell r="E1384" t="str">
            <v>OSP
T/锡膏</v>
          </cell>
          <cell r="F1384" t="str">
            <v>海信洗衣机091电控板</v>
          </cell>
          <cell r="G1384">
            <v>0.10249999999999999</v>
          </cell>
          <cell r="H1384">
            <v>400</v>
          </cell>
          <cell r="I1384">
            <v>41</v>
          </cell>
        </row>
        <row r="1385">
          <cell r="A1385">
            <v>10880032939</v>
          </cell>
          <cell r="B1385" t="str">
            <v>2189-B2401G-PC 2397250</v>
          </cell>
          <cell r="C1385" t="str">
            <v>10250039344/10250039345/10250039346</v>
          </cell>
          <cell r="D1385">
            <v>2</v>
          </cell>
          <cell r="E1385" t="str">
            <v>OSP
T/锡膏</v>
          </cell>
          <cell r="F1385" t="str">
            <v>海信洗衣机091电控板</v>
          </cell>
          <cell r="G1385">
            <v>0.10249999999999999</v>
          </cell>
          <cell r="H1385">
            <v>400</v>
          </cell>
          <cell r="I1385">
            <v>41</v>
          </cell>
        </row>
        <row r="1386">
          <cell r="A1386">
            <v>10880032941</v>
          </cell>
          <cell r="B1386" t="str">
            <v>2189-B2401H-PC 2397254  </v>
          </cell>
          <cell r="C1386" t="str">
            <v>10250039344/10250039345/10250039346</v>
          </cell>
          <cell r="D1386">
            <v>2</v>
          </cell>
          <cell r="E1386" t="str">
            <v>OSP
T/锡膏</v>
          </cell>
          <cell r="F1386" t="str">
            <v>海信洗衣机091电控板</v>
          </cell>
          <cell r="G1386">
            <v>0.10249999999999999</v>
          </cell>
          <cell r="H1386">
            <v>400</v>
          </cell>
          <cell r="I1386">
            <v>41</v>
          </cell>
        </row>
        <row r="1387">
          <cell r="A1387">
            <v>10880032944</v>
          </cell>
          <cell r="B1387" t="str">
            <v>2189-B2401I-PC 2397245</v>
          </cell>
          <cell r="C1387" t="str">
            <v>10250039344/10250039345/10250039346</v>
          </cell>
          <cell r="D1387">
            <v>2</v>
          </cell>
          <cell r="E1387" t="str">
            <v>OSP
T/锡膏</v>
          </cell>
          <cell r="F1387" t="str">
            <v>海信洗衣机091电控板</v>
          </cell>
          <cell r="G1387">
            <v>0.10249999999999999</v>
          </cell>
          <cell r="H1387">
            <v>400</v>
          </cell>
          <cell r="I1387">
            <v>41</v>
          </cell>
        </row>
        <row r="1388">
          <cell r="A1388">
            <v>10880032935</v>
          </cell>
          <cell r="B1388" t="str">
            <v>2189-B2401J-PC 2397202  </v>
          </cell>
          <cell r="C1388" t="str">
            <v>10250039344/10250039345/10250039346</v>
          </cell>
          <cell r="D1388">
            <v>2</v>
          </cell>
          <cell r="E1388" t="str">
            <v>OSP
T/锡膏</v>
          </cell>
          <cell r="F1388" t="str">
            <v>海信洗衣机091电控板</v>
          </cell>
          <cell r="G1388">
            <v>0.10249999999999999</v>
          </cell>
          <cell r="H1388">
            <v>400</v>
          </cell>
          <cell r="I1388">
            <v>41</v>
          </cell>
        </row>
        <row r="1389">
          <cell r="A1389">
            <v>10880032999</v>
          </cell>
          <cell r="B1389" t="str">
            <v>2189-B2401K-PC 2397244</v>
          </cell>
          <cell r="C1389" t="str">
            <v>10250039344/10250039345/10250039346</v>
          </cell>
          <cell r="D1389">
            <v>2</v>
          </cell>
          <cell r="E1389" t="str">
            <v>OSP
T/锡膏</v>
          </cell>
          <cell r="F1389" t="str">
            <v>海信洗衣机091电控板</v>
          </cell>
          <cell r="G1389">
            <v>0.10249999999999999</v>
          </cell>
          <cell r="H1389">
            <v>400</v>
          </cell>
          <cell r="I1389">
            <v>41</v>
          </cell>
        </row>
        <row r="1390">
          <cell r="A1390">
            <v>10880035234</v>
          </cell>
          <cell r="B1390" t="str">
            <v>2189-B2401L-PC 2471982  </v>
          </cell>
          <cell r="C1390" t="str">
            <v>10250039344/10250039345/10250039346</v>
          </cell>
          <cell r="E1390" t="str">
            <v>OSP
T/锡膏</v>
          </cell>
          <cell r="F1390" t="str">
            <v>海信洗衣机091电控板</v>
          </cell>
          <cell r="G1390">
            <v>0.11749999999999999</v>
          </cell>
          <cell r="H1390">
            <v>400</v>
          </cell>
          <cell r="I1390">
            <v>33</v>
          </cell>
        </row>
        <row r="1391">
          <cell r="A1391">
            <v>10880037198</v>
          </cell>
          <cell r="B1391" t="str">
            <v>2189-B2401M-PC G0020 2416131  </v>
          </cell>
          <cell r="C1391" t="str">
            <v>10250039344/10250039345/10250039346</v>
          </cell>
          <cell r="E1391" t="str">
            <v>OSP
T/锡膏</v>
          </cell>
          <cell r="F1391" t="str">
            <v>海信洗衣机091电控板</v>
          </cell>
          <cell r="G1391">
            <v>0.11749999999999999</v>
          </cell>
          <cell r="H1391">
            <v>400</v>
          </cell>
          <cell r="I1391">
            <v>33</v>
          </cell>
        </row>
        <row r="1392">
          <cell r="A1392">
            <v>10880037199</v>
          </cell>
          <cell r="B1392" t="str">
            <v>2189-B2401N-PC G0020 2417150  </v>
          </cell>
          <cell r="C1392" t="str">
            <v>10250039344/10250039345/10250039346</v>
          </cell>
          <cell r="E1392" t="str">
            <v>OSP
T/锡膏</v>
          </cell>
          <cell r="F1392" t="str">
            <v>海信洗衣机091电控板</v>
          </cell>
          <cell r="G1392">
            <v>0.11749999999999999</v>
          </cell>
          <cell r="H1392">
            <v>400</v>
          </cell>
          <cell r="I1392">
            <v>33</v>
          </cell>
        </row>
        <row r="1393">
          <cell r="A1393">
            <v>10880037200</v>
          </cell>
          <cell r="B1393" t="str">
            <v>2189-B2401O-PC G0020 2417151  </v>
          </cell>
          <cell r="C1393" t="str">
            <v>10250039344/10250039345/10250039346</v>
          </cell>
          <cell r="E1393" t="str">
            <v>OSP
T/锡膏</v>
          </cell>
          <cell r="F1393" t="str">
            <v>海信洗衣机091电控板</v>
          </cell>
          <cell r="G1393">
            <v>0.11749999999999999</v>
          </cell>
          <cell r="H1393">
            <v>400</v>
          </cell>
          <cell r="I1393">
            <v>33</v>
          </cell>
        </row>
        <row r="1394">
          <cell r="A1394">
            <v>10880037201</v>
          </cell>
          <cell r="B1394" t="str">
            <v>2189-B2401P-PC G0020 2419357  </v>
          </cell>
          <cell r="C1394" t="str">
            <v>10250039344/10250039345/10250039346</v>
          </cell>
          <cell r="E1394" t="str">
            <v>OSP
T/锡膏</v>
          </cell>
          <cell r="F1394" t="str">
            <v>海信洗衣机091电控板</v>
          </cell>
          <cell r="G1394">
            <v>0.11749999999999999</v>
          </cell>
          <cell r="H1394">
            <v>400</v>
          </cell>
          <cell r="I1394">
            <v>33</v>
          </cell>
        </row>
        <row r="1395">
          <cell r="A1395">
            <v>10880037202</v>
          </cell>
          <cell r="B1395" t="str">
            <v>2189-B2401Q-PC G0020 2421473  </v>
          </cell>
          <cell r="C1395" t="str">
            <v>10250039344/10250039345/10250039346</v>
          </cell>
          <cell r="E1395" t="str">
            <v>OSP
T/锡膏</v>
          </cell>
          <cell r="F1395" t="str">
            <v>海信洗衣机091电控板</v>
          </cell>
          <cell r="G1395">
            <v>0.11749999999999999</v>
          </cell>
          <cell r="H1395">
            <v>400</v>
          </cell>
          <cell r="I1395">
            <v>33</v>
          </cell>
        </row>
        <row r="1396">
          <cell r="A1396">
            <v>10880037203</v>
          </cell>
          <cell r="B1396" t="str">
            <v>2189-B2401R-PC G0020 2478109  </v>
          </cell>
          <cell r="C1396" t="str">
            <v>10250039344/10250039345/10250039346</v>
          </cell>
          <cell r="E1396" t="str">
            <v>OSP
T/锡膏</v>
          </cell>
          <cell r="F1396" t="str">
            <v>海信洗衣机091电控板</v>
          </cell>
          <cell r="G1396">
            <v>0.11749999999999999</v>
          </cell>
          <cell r="H1396">
            <v>400</v>
          </cell>
          <cell r="I1396">
            <v>33</v>
          </cell>
        </row>
        <row r="1397">
          <cell r="A1397">
            <v>10880037204</v>
          </cell>
          <cell r="B1397" t="str">
            <v>2189-B2401S-PC G0020 2416141  </v>
          </cell>
          <cell r="C1397" t="str">
            <v>10250039344/10250039345/10250039346</v>
          </cell>
          <cell r="E1397" t="str">
            <v>OSP
T/锡膏</v>
          </cell>
          <cell r="F1397" t="str">
            <v>海信洗衣机091电控板</v>
          </cell>
          <cell r="G1397">
            <v>0.11749999999999999</v>
          </cell>
          <cell r="H1397">
            <v>400</v>
          </cell>
          <cell r="I1397">
            <v>33</v>
          </cell>
        </row>
        <row r="1398">
          <cell r="A1398">
            <v>10880037205</v>
          </cell>
          <cell r="B1398" t="str">
            <v>2189-B2401T-PC G0020 2416216  </v>
          </cell>
          <cell r="C1398" t="str">
            <v>10250039344/10250039345/10250039346</v>
          </cell>
          <cell r="E1398" t="str">
            <v>OSP
T/锡膏</v>
          </cell>
          <cell r="F1398" t="str">
            <v>海信洗衣机091电控板</v>
          </cell>
          <cell r="G1398">
            <v>0.11749999999999999</v>
          </cell>
          <cell r="H1398">
            <v>400</v>
          </cell>
          <cell r="I1398">
            <v>33</v>
          </cell>
        </row>
        <row r="1399">
          <cell r="A1399">
            <v>10880033534</v>
          </cell>
          <cell r="B1399" t="str">
            <v xml:space="preserve">500493-B2402D-D 2418236 </v>
          </cell>
          <cell r="C1399" t="str">
            <v xml:space="preserve"> 10250040507/ 10250040508</v>
          </cell>
          <cell r="D1399">
            <v>2</v>
          </cell>
          <cell r="E1399" t="str">
            <v>红胶</v>
          </cell>
          <cell r="F1399" t="str">
            <v>洗衣机显示板</v>
          </cell>
          <cell r="G1399">
            <v>0.11</v>
          </cell>
          <cell r="H1399">
            <v>400</v>
          </cell>
          <cell r="I1399">
            <v>29</v>
          </cell>
        </row>
        <row r="1400">
          <cell r="A1400">
            <v>10880033535</v>
          </cell>
          <cell r="B1400" t="str">
            <v>500493-B2402E-D 2418237</v>
          </cell>
          <cell r="C1400" t="str">
            <v xml:space="preserve"> 10250040507/ 10250040508</v>
          </cell>
          <cell r="D1400">
            <v>2</v>
          </cell>
          <cell r="E1400" t="str">
            <v>红胶</v>
          </cell>
          <cell r="F1400" t="str">
            <v>洗衣机显示板</v>
          </cell>
          <cell r="G1400">
            <v>0.11</v>
          </cell>
          <cell r="H1400">
            <v>400</v>
          </cell>
          <cell r="I1400">
            <v>29</v>
          </cell>
        </row>
        <row r="1401">
          <cell r="A1401">
            <v>10880033178</v>
          </cell>
          <cell r="B1401" t="str">
            <v>500493-B2402A-D 2417971</v>
          </cell>
          <cell r="C1401" t="str">
            <v xml:space="preserve"> 10250040507/ 10250040508</v>
          </cell>
          <cell r="D1401">
            <v>2</v>
          </cell>
          <cell r="E1401" t="str">
            <v>红胶</v>
          </cell>
          <cell r="F1401" t="str">
            <v>洗衣机显示板</v>
          </cell>
          <cell r="G1401">
            <v>0.11</v>
          </cell>
          <cell r="H1401">
            <v>400</v>
          </cell>
          <cell r="I1401">
            <v>29</v>
          </cell>
        </row>
        <row r="1402">
          <cell r="A1402">
            <v>10880033531</v>
          </cell>
          <cell r="B1402" t="str">
            <v>500493-B2402B-D 2417972  </v>
          </cell>
          <cell r="C1402" t="str">
            <v xml:space="preserve"> 10250040507/ 10250040508</v>
          </cell>
          <cell r="D1402">
            <v>2</v>
          </cell>
          <cell r="E1402" t="str">
            <v>红胶</v>
          </cell>
          <cell r="F1402" t="str">
            <v>洗衣机显示板</v>
          </cell>
          <cell r="G1402">
            <v>0.11</v>
          </cell>
          <cell r="H1402">
            <v>400</v>
          </cell>
          <cell r="I1402">
            <v>29</v>
          </cell>
        </row>
        <row r="1403">
          <cell r="A1403">
            <v>10880033533</v>
          </cell>
          <cell r="B1403" t="str">
            <v>500493-B2402C-D 2417973  </v>
          </cell>
          <cell r="C1403" t="str">
            <v xml:space="preserve"> 10250040507/ 10250040508</v>
          </cell>
          <cell r="D1403">
            <v>2</v>
          </cell>
          <cell r="E1403" t="str">
            <v>红胶</v>
          </cell>
          <cell r="F1403" t="str">
            <v>洗衣机显示板</v>
          </cell>
          <cell r="G1403">
            <v>0.11</v>
          </cell>
          <cell r="H1403">
            <v>400</v>
          </cell>
          <cell r="I1403">
            <v>29</v>
          </cell>
        </row>
        <row r="1404">
          <cell r="A1404">
            <v>10880035236</v>
          </cell>
          <cell r="B1404" t="str">
            <v>500493-B2402F-D 2466931  </v>
          </cell>
          <cell r="C1404" t="str">
            <v xml:space="preserve"> 10250040507/ 10250040508</v>
          </cell>
          <cell r="D1404">
            <v>2</v>
          </cell>
          <cell r="E1404" t="str">
            <v>红胶</v>
          </cell>
          <cell r="F1404" t="str">
            <v>洗衣机显示板</v>
          </cell>
          <cell r="G1404">
            <v>0.11</v>
          </cell>
          <cell r="H1404">
            <v>400</v>
          </cell>
          <cell r="I1404">
            <v>29</v>
          </cell>
        </row>
        <row r="1405">
          <cell r="A1405">
            <v>10880036326</v>
          </cell>
          <cell r="B1405" t="str">
            <v>500493-B2402G-D G0020 2477384</v>
          </cell>
          <cell r="C1405" t="str">
            <v xml:space="preserve"> 10250040507/ 10250040508</v>
          </cell>
          <cell r="D1405">
            <v>2</v>
          </cell>
          <cell r="E1405" t="str">
            <v>红胶</v>
          </cell>
          <cell r="F1405" t="str">
            <v>洗衣机显示板</v>
          </cell>
          <cell r="G1405">
            <v>0.11</v>
          </cell>
          <cell r="H1405">
            <v>400</v>
          </cell>
          <cell r="I1405">
            <v>29</v>
          </cell>
        </row>
        <row r="1406">
          <cell r="A1406">
            <v>10880036327</v>
          </cell>
          <cell r="B1406" t="str">
            <v>500493-B2402H-D G0020 2499362</v>
          </cell>
          <cell r="C1406" t="str">
            <v xml:space="preserve"> 10250040507/ 10250040508</v>
          </cell>
          <cell r="D1406">
            <v>2</v>
          </cell>
          <cell r="E1406" t="str">
            <v>红胶</v>
          </cell>
          <cell r="F1406" t="str">
            <v>洗衣机显示板</v>
          </cell>
          <cell r="G1406">
            <v>0.11</v>
          </cell>
          <cell r="H1406">
            <v>400</v>
          </cell>
          <cell r="I1406">
            <v>29</v>
          </cell>
        </row>
        <row r="1407">
          <cell r="A1407">
            <v>10880037181</v>
          </cell>
          <cell r="B1407" t="str">
            <v>500493-B2402I-D G0020 2475417</v>
          </cell>
          <cell r="C1407" t="str">
            <v xml:space="preserve"> 10250040507/ 10250040508</v>
          </cell>
          <cell r="D1407">
            <v>2</v>
          </cell>
          <cell r="E1407" t="str">
            <v>红胶</v>
          </cell>
          <cell r="F1407" t="str">
            <v>洗衣机显示板</v>
          </cell>
          <cell r="G1407">
            <v>0.11</v>
          </cell>
          <cell r="H1407">
            <v>400</v>
          </cell>
          <cell r="I1407">
            <v>29</v>
          </cell>
        </row>
        <row r="1408">
          <cell r="A1408">
            <v>10880033996</v>
          </cell>
          <cell r="B1408" t="str">
            <v>500493-B2407A-D 2436207</v>
          </cell>
          <cell r="C1408">
            <v>10250043076</v>
          </cell>
          <cell r="D1408">
            <v>2</v>
          </cell>
          <cell r="E1408" t="str">
            <v>锡膏</v>
          </cell>
          <cell r="F1408" t="str">
            <v>洗衣机显示板</v>
          </cell>
          <cell r="G1408">
            <v>6.222222222222222E-2</v>
          </cell>
          <cell r="H1408">
            <v>450</v>
          </cell>
          <cell r="I1408">
            <v>28</v>
          </cell>
        </row>
        <row r="1409">
          <cell r="A1409">
            <v>10880035983</v>
          </cell>
          <cell r="B1409" t="str">
            <v>500493-B2407B-D G0020 2480423  </v>
          </cell>
          <cell r="C1409">
            <v>10250043363</v>
          </cell>
          <cell r="D1409">
            <v>2</v>
          </cell>
          <cell r="E1409" t="str">
            <v>锡膏</v>
          </cell>
          <cell r="F1409" t="str">
            <v>洗衣机显示板</v>
          </cell>
          <cell r="G1409">
            <v>6.222222222222222E-2</v>
          </cell>
          <cell r="H1409">
            <v>450</v>
          </cell>
          <cell r="I1409">
            <v>28</v>
          </cell>
        </row>
        <row r="1410">
          <cell r="A1410">
            <v>10880035984</v>
          </cell>
          <cell r="B1410" t="str">
            <v>500493-B2407C-D G0020 2488431  </v>
          </cell>
          <cell r="C1410">
            <v>10250043363</v>
          </cell>
          <cell r="D1410">
            <v>2</v>
          </cell>
          <cell r="E1410" t="str">
            <v>锡膏</v>
          </cell>
          <cell r="F1410" t="str">
            <v>洗衣机显示板</v>
          </cell>
          <cell r="G1410">
            <v>6.222222222222222E-2</v>
          </cell>
          <cell r="H1410">
            <v>450</v>
          </cell>
          <cell r="I1410">
            <v>28</v>
          </cell>
        </row>
        <row r="1411">
          <cell r="A1411">
            <v>10880035985</v>
          </cell>
          <cell r="B1411" t="str">
            <v>500493-B2407D-D G0020 2491645  </v>
          </cell>
          <cell r="C1411">
            <v>10250043363</v>
          </cell>
          <cell r="D1411">
            <v>2</v>
          </cell>
          <cell r="E1411" t="str">
            <v>锡膏</v>
          </cell>
          <cell r="F1411" t="str">
            <v>洗衣机显示板</v>
          </cell>
          <cell r="G1411">
            <v>6.0869565217391307E-2</v>
          </cell>
          <cell r="H1411">
            <v>460</v>
          </cell>
          <cell r="I1411">
            <v>28</v>
          </cell>
        </row>
        <row r="1412">
          <cell r="A1412">
            <v>10880035986</v>
          </cell>
          <cell r="B1412" t="str">
            <v>500493-B2407E-D G0020 2491646  </v>
          </cell>
          <cell r="C1412">
            <v>10250043363</v>
          </cell>
          <cell r="D1412">
            <v>2</v>
          </cell>
          <cell r="E1412" t="str">
            <v>锡膏</v>
          </cell>
          <cell r="F1412" t="str">
            <v>洗衣机显示板</v>
          </cell>
          <cell r="G1412">
            <v>6.0869565217391307E-2</v>
          </cell>
          <cell r="H1412">
            <v>460</v>
          </cell>
          <cell r="I1412">
            <v>28</v>
          </cell>
        </row>
        <row r="1413">
          <cell r="A1413">
            <v>10880037036</v>
          </cell>
          <cell r="B1413" t="str">
            <v>500493-B2407F-D G0020 20111697  </v>
          </cell>
          <cell r="C1413">
            <v>10250043363</v>
          </cell>
          <cell r="D1413">
            <v>2</v>
          </cell>
          <cell r="E1413" t="str">
            <v>锡膏</v>
          </cell>
          <cell r="F1413" t="str">
            <v>洗衣机显示板</v>
          </cell>
          <cell r="G1413">
            <v>6.222222222222222E-2</v>
          </cell>
          <cell r="H1413">
            <v>450</v>
          </cell>
          <cell r="I1413">
            <v>28</v>
          </cell>
        </row>
        <row r="1414">
          <cell r="A1414">
            <v>10880037046</v>
          </cell>
          <cell r="B1414" t="str">
            <v>500493-B2407G-D G0020 2493878</v>
          </cell>
          <cell r="C1414">
            <v>10250043363</v>
          </cell>
          <cell r="D1414">
            <v>2</v>
          </cell>
          <cell r="E1414" t="str">
            <v>锡膏</v>
          </cell>
          <cell r="F1414" t="str">
            <v>洗衣机显示板</v>
          </cell>
          <cell r="G1414">
            <v>7.2222222222222215E-2</v>
          </cell>
          <cell r="H1414">
            <v>360</v>
          </cell>
          <cell r="I1414">
            <v>26</v>
          </cell>
        </row>
        <row r="1415">
          <cell r="A1415">
            <v>10880037047</v>
          </cell>
          <cell r="B1415" t="str">
            <v>500493-B2407H-D G0020 20114667</v>
          </cell>
          <cell r="C1415">
            <v>10250043363</v>
          </cell>
          <cell r="D1415">
            <v>2</v>
          </cell>
          <cell r="E1415" t="str">
            <v>锡膏</v>
          </cell>
          <cell r="F1415" t="str">
            <v>洗衣机显示板</v>
          </cell>
          <cell r="G1415">
            <v>7.2222222222222215E-2</v>
          </cell>
          <cell r="H1415">
            <v>360</v>
          </cell>
          <cell r="I1415">
            <v>26</v>
          </cell>
        </row>
        <row r="1416">
          <cell r="A1416">
            <v>10880037178</v>
          </cell>
          <cell r="B1416" t="str">
            <v>500493-B2407I-D G0020 20114666</v>
          </cell>
          <cell r="C1416">
            <v>10250043363</v>
          </cell>
          <cell r="D1416">
            <v>2</v>
          </cell>
          <cell r="E1416" t="str">
            <v>锡膏</v>
          </cell>
          <cell r="F1416" t="str">
            <v>洗衣机显示板</v>
          </cell>
          <cell r="G1416">
            <v>7.2222222222222215E-2</v>
          </cell>
          <cell r="H1416">
            <v>360</v>
          </cell>
          <cell r="I1416">
            <v>26</v>
          </cell>
        </row>
        <row r="1417">
          <cell r="A1417">
            <v>10880037179</v>
          </cell>
          <cell r="B1417" t="str">
            <v>500493-B2407J-D G0020 20107934</v>
          </cell>
          <cell r="C1417">
            <v>10250043363</v>
          </cell>
          <cell r="D1417">
            <v>2</v>
          </cell>
          <cell r="E1417" t="str">
            <v>锡膏</v>
          </cell>
          <cell r="F1417" t="str">
            <v>洗衣机显示板</v>
          </cell>
          <cell r="G1417">
            <v>7.2222222222222215E-2</v>
          </cell>
          <cell r="H1417">
            <v>360</v>
          </cell>
          <cell r="I1417">
            <v>26</v>
          </cell>
        </row>
        <row r="1418">
          <cell r="A1418">
            <v>10880038126</v>
          </cell>
          <cell r="B1418" t="str">
            <v>500493-B2407K-D G0020 20181300</v>
          </cell>
          <cell r="C1418">
            <v>10250043363</v>
          </cell>
          <cell r="D1418">
            <v>2</v>
          </cell>
          <cell r="E1418" t="str">
            <v>锡膏</v>
          </cell>
          <cell r="F1418" t="str">
            <v>洗衣机显示板</v>
          </cell>
          <cell r="G1418">
            <v>7.2222222222222215E-2</v>
          </cell>
          <cell r="H1418">
            <v>360</v>
          </cell>
          <cell r="I1418">
            <v>26</v>
          </cell>
        </row>
        <row r="1419">
          <cell r="A1419">
            <v>10880034980</v>
          </cell>
          <cell r="B1419" t="str">
            <v>500268-C2501A 1239964 H7A10566B-D/PV2229Y  </v>
          </cell>
          <cell r="C1419">
            <v>10250041833</v>
          </cell>
          <cell r="D1419">
            <v>1</v>
          </cell>
          <cell r="E1419" t="str">
            <v>OSP
T/锡膏</v>
          </cell>
          <cell r="F1419" t="str">
            <v>新一代侧出风驱动板</v>
          </cell>
          <cell r="G1419">
            <v>0.77500000000000002</v>
          </cell>
          <cell r="H1419">
            <v>80</v>
          </cell>
          <cell r="I1419">
            <v>62</v>
          </cell>
        </row>
        <row r="1420">
          <cell r="A1420">
            <v>10880036499</v>
          </cell>
          <cell r="B1420" t="str">
            <v>500268-C2501B G0020 1250711 H7A10566H-D/PV2229Y  </v>
          </cell>
          <cell r="C1420">
            <v>10250041833</v>
          </cell>
          <cell r="D1420">
            <v>1</v>
          </cell>
          <cell r="E1420" t="str">
            <v>OSP
T/锡膏</v>
          </cell>
          <cell r="F1420" t="str">
            <v>新一代侧出风驱动板</v>
          </cell>
          <cell r="G1420">
            <v>0.77500000000000002</v>
          </cell>
          <cell r="H1420">
            <v>80</v>
          </cell>
          <cell r="I1420">
            <v>62</v>
          </cell>
        </row>
        <row r="1421">
          <cell r="A1421">
            <v>10880036500</v>
          </cell>
          <cell r="B1421" t="str">
            <v>500268-C2501C G0020 1242655 H7A10566D-D/PV2229Y  </v>
          </cell>
          <cell r="C1421">
            <v>10250041833</v>
          </cell>
          <cell r="D1421">
            <v>1</v>
          </cell>
          <cell r="E1421" t="str">
            <v>OSP
T/锡膏</v>
          </cell>
          <cell r="F1421" t="str">
            <v>新一代侧出风驱动板</v>
          </cell>
          <cell r="G1421">
            <v>0.77500000000000002</v>
          </cell>
          <cell r="H1421">
            <v>80</v>
          </cell>
          <cell r="I1421">
            <v>62</v>
          </cell>
        </row>
        <row r="1422">
          <cell r="A1422">
            <v>10880036502</v>
          </cell>
          <cell r="B1422" t="str">
            <v>500268-C2501D G0020 1250712 H7A10566J-D/PV2229Y  </v>
          </cell>
          <cell r="C1422">
            <v>10250041833</v>
          </cell>
          <cell r="D1422">
            <v>1</v>
          </cell>
          <cell r="E1422" t="str">
            <v>OSP
T/锡膏</v>
          </cell>
          <cell r="F1422" t="str">
            <v>新一代侧出风驱动板</v>
          </cell>
          <cell r="G1422">
            <v>0.77500000000000002</v>
          </cell>
          <cell r="H1422">
            <v>80</v>
          </cell>
          <cell r="I1422">
            <v>62</v>
          </cell>
        </row>
        <row r="1423">
          <cell r="A1423" t="str">
            <v>10880036503 </v>
          </cell>
          <cell r="B1423" t="str">
            <v>500268-C2501E G0020 1242656 H7A10566E-D/PV2229Y  </v>
          </cell>
          <cell r="C1423">
            <v>10250041833</v>
          </cell>
          <cell r="D1423">
            <v>1</v>
          </cell>
          <cell r="E1423" t="str">
            <v>OSP
T/锡膏</v>
          </cell>
          <cell r="F1423" t="str">
            <v>新一代侧出风驱动板</v>
          </cell>
          <cell r="G1423">
            <v>0.77500000000000002</v>
          </cell>
          <cell r="H1423">
            <v>80</v>
          </cell>
          <cell r="I1423">
            <v>62</v>
          </cell>
        </row>
        <row r="1424">
          <cell r="A1424">
            <v>10880036504</v>
          </cell>
          <cell r="B1424" t="str">
            <v>500268-C2501F G0020 1242657 H7A10566F-D/PV2229Y  </v>
          </cell>
          <cell r="C1424">
            <v>10250041833</v>
          </cell>
          <cell r="D1424">
            <v>1</v>
          </cell>
          <cell r="E1424" t="str">
            <v>OSP
T/锡膏</v>
          </cell>
          <cell r="F1424" t="str">
            <v>新一代侧出风驱动板</v>
          </cell>
          <cell r="G1424">
            <v>0.77500000000000002</v>
          </cell>
          <cell r="H1424">
            <v>80</v>
          </cell>
          <cell r="I1424">
            <v>62</v>
          </cell>
        </row>
        <row r="1425">
          <cell r="A1425">
            <v>10880036505</v>
          </cell>
          <cell r="B1425" t="str">
            <v>500268-C2501G G0020 1242654 H7A10566C-D/PV2229Y  </v>
          </cell>
          <cell r="C1425">
            <v>10250041833</v>
          </cell>
          <cell r="D1425">
            <v>1</v>
          </cell>
          <cell r="E1425" t="str">
            <v>OSP
T/锡膏</v>
          </cell>
          <cell r="F1425" t="str">
            <v>新一代侧出风驱动板</v>
          </cell>
          <cell r="G1425">
            <v>0.77500000000000002</v>
          </cell>
          <cell r="H1425">
            <v>80</v>
          </cell>
          <cell r="I1425">
            <v>62</v>
          </cell>
        </row>
        <row r="1426">
          <cell r="A1426">
            <v>10880036506</v>
          </cell>
          <cell r="B1426" t="str">
            <v>500268-C2501H G0020 1250710 H7A10566G-D/PV2229Y  </v>
          </cell>
          <cell r="C1426">
            <v>10250041833</v>
          </cell>
          <cell r="D1426">
            <v>1</v>
          </cell>
          <cell r="E1426" t="str">
            <v>OSP
T/锡膏</v>
          </cell>
          <cell r="F1426" t="str">
            <v>新一代侧出风驱动板</v>
          </cell>
          <cell r="G1426">
            <v>0.77500000000000002</v>
          </cell>
          <cell r="H1426">
            <v>80</v>
          </cell>
          <cell r="I1426">
            <v>62</v>
          </cell>
        </row>
        <row r="1427">
          <cell r="A1427">
            <v>10880036852</v>
          </cell>
          <cell r="B1427" t="str">
            <v>500268-C2501I G0020 1239934 H7A10566A-D/PV2229Y  </v>
          </cell>
          <cell r="C1427">
            <v>10250041833</v>
          </cell>
          <cell r="D1427">
            <v>1</v>
          </cell>
          <cell r="E1427" t="str">
            <v>OSP
T/锡膏</v>
          </cell>
          <cell r="F1427" t="str">
            <v>新一代侧出风驱动板</v>
          </cell>
          <cell r="G1427">
            <v>0.77500000000000002</v>
          </cell>
          <cell r="H1427">
            <v>80</v>
          </cell>
          <cell r="I1427">
            <v>62</v>
          </cell>
        </row>
        <row r="1428">
          <cell r="A1428">
            <v>10880036134</v>
          </cell>
          <cell r="B1428" t="str">
            <v>697-C2503A G0020 1240104 H7A09529E/PV2229Q  </v>
          </cell>
          <cell r="C1428">
            <v>10250043347</v>
          </cell>
          <cell r="D1428">
            <v>1</v>
          </cell>
          <cell r="E1428" t="str">
            <v>OSP
T/锡膏</v>
          </cell>
          <cell r="F1428" t="str">
            <v>新一代侧出风驱动板</v>
          </cell>
          <cell r="G1428">
            <v>0.77500000000000002</v>
          </cell>
          <cell r="H1428">
            <v>80</v>
          </cell>
          <cell r="I1428">
            <v>62</v>
          </cell>
        </row>
        <row r="1429">
          <cell r="A1429">
            <v>10880036204</v>
          </cell>
          <cell r="B1429" t="str">
            <v>697-C2503B G0020 1240105 H7A09529F/PV2229Q  </v>
          </cell>
          <cell r="C1429">
            <v>10250043347</v>
          </cell>
          <cell r="D1429">
            <v>1</v>
          </cell>
          <cell r="E1429" t="str">
            <v>OSP
T/锡膏</v>
          </cell>
          <cell r="F1429" t="str">
            <v>新一代侧出风驱动板</v>
          </cell>
          <cell r="G1429">
            <v>0.77500000000000002</v>
          </cell>
          <cell r="H1429">
            <v>80</v>
          </cell>
          <cell r="I1429">
            <v>62</v>
          </cell>
        </row>
        <row r="1430">
          <cell r="A1430">
            <v>10880036205</v>
          </cell>
          <cell r="B1430" t="str">
            <v>697-C2503C G0020 1235823 H7A09529D/PV2229Q  </v>
          </cell>
          <cell r="C1430">
            <v>10250043347</v>
          </cell>
          <cell r="D1430">
            <v>1</v>
          </cell>
          <cell r="E1430" t="str">
            <v>OSP
T/锡膏</v>
          </cell>
          <cell r="F1430" t="str">
            <v>新一代侧出风驱动板</v>
          </cell>
          <cell r="G1430">
            <v>0.77500000000000002</v>
          </cell>
          <cell r="H1430">
            <v>80</v>
          </cell>
          <cell r="I1430">
            <v>62</v>
          </cell>
        </row>
        <row r="1431">
          <cell r="A1431">
            <v>10880036206</v>
          </cell>
          <cell r="B1431" t="str">
            <v>697-C2503D G0020 1220211 H7A09529A/PV2229Q  </v>
          </cell>
          <cell r="C1431">
            <v>10250043347</v>
          </cell>
          <cell r="D1431">
            <v>1</v>
          </cell>
          <cell r="E1431" t="str">
            <v>OSP
T/锡膏</v>
          </cell>
          <cell r="F1431" t="str">
            <v>新一代侧出风驱动板</v>
          </cell>
          <cell r="G1431">
            <v>0.77500000000000002</v>
          </cell>
          <cell r="H1431">
            <v>80</v>
          </cell>
          <cell r="I1431">
            <v>62</v>
          </cell>
        </row>
        <row r="1432">
          <cell r="A1432">
            <v>10880036493</v>
          </cell>
          <cell r="B1432" t="str">
            <v>697-C2503E G0020 1220212 H7A09529B/PV2229Q  </v>
          </cell>
          <cell r="C1432">
            <v>10250043347</v>
          </cell>
          <cell r="D1432">
            <v>1</v>
          </cell>
          <cell r="E1432" t="str">
            <v>OSP
T/锡膏</v>
          </cell>
          <cell r="F1432" t="str">
            <v>新一代侧出风驱动板</v>
          </cell>
          <cell r="G1432">
            <v>0.77500000000000002</v>
          </cell>
          <cell r="H1432">
            <v>80</v>
          </cell>
          <cell r="I1432">
            <v>62</v>
          </cell>
        </row>
        <row r="1433">
          <cell r="A1433">
            <v>10880036494</v>
          </cell>
          <cell r="B1433" t="str">
            <v>697-C2503F G0020 1221341 H7A09529C/PV2229Q  </v>
          </cell>
          <cell r="C1433">
            <v>10250043347</v>
          </cell>
          <cell r="D1433">
            <v>1</v>
          </cell>
          <cell r="E1433" t="str">
            <v>OSP
T/锡膏</v>
          </cell>
          <cell r="F1433" t="str">
            <v>新一代侧出风驱动板</v>
          </cell>
          <cell r="G1433">
            <v>0.77500000000000002</v>
          </cell>
          <cell r="H1433">
            <v>80</v>
          </cell>
          <cell r="I1433">
            <v>62</v>
          </cell>
        </row>
        <row r="1434">
          <cell r="A1434">
            <v>10880036135</v>
          </cell>
          <cell r="B1434" t="str">
            <v>697-C2504A G0020 1235820 H7A09158D/PV2229H  </v>
          </cell>
          <cell r="C1434">
            <v>10250043349</v>
          </cell>
          <cell r="D1434">
            <v>1</v>
          </cell>
          <cell r="E1434" t="str">
            <v>OSP
T/锡膏</v>
          </cell>
          <cell r="F1434" t="str">
            <v>新一代侧出风驱动板</v>
          </cell>
          <cell r="G1434">
            <v>0.77500000000000002</v>
          </cell>
          <cell r="H1434">
            <v>80</v>
          </cell>
          <cell r="I1434">
            <v>62</v>
          </cell>
        </row>
        <row r="1435">
          <cell r="A1435">
            <v>10880036207</v>
          </cell>
          <cell r="B1435" t="str">
            <v>697-C2504B G0020 1201684 H7A09158A/PV2229H  </v>
          </cell>
          <cell r="C1435">
            <v>10250043349</v>
          </cell>
          <cell r="D1435">
            <v>1</v>
          </cell>
          <cell r="E1435" t="str">
            <v>OSP
T/锡膏</v>
          </cell>
          <cell r="F1435" t="str">
            <v>新一代侧出风驱动板</v>
          </cell>
          <cell r="G1435">
            <v>0.77500000000000002</v>
          </cell>
          <cell r="H1435">
            <v>80</v>
          </cell>
          <cell r="I1435">
            <v>62</v>
          </cell>
        </row>
        <row r="1436">
          <cell r="A1436">
            <v>10880036479</v>
          </cell>
          <cell r="B1436" t="str">
            <v>697-C2504C G0020 1201685 H7A09158B/PV2229H  </v>
          </cell>
          <cell r="C1436">
            <v>10250043349</v>
          </cell>
          <cell r="D1436">
            <v>1</v>
          </cell>
          <cell r="E1436" t="str">
            <v>OSP
T/锡膏</v>
          </cell>
          <cell r="F1436" t="str">
            <v>新一代侧出风驱动板</v>
          </cell>
          <cell r="G1436">
            <v>0.77500000000000002</v>
          </cell>
          <cell r="H1436">
            <v>80</v>
          </cell>
          <cell r="I1436">
            <v>62</v>
          </cell>
        </row>
        <row r="1437">
          <cell r="A1437">
            <v>10880036481</v>
          </cell>
          <cell r="B1437" t="str">
            <v>697-C2504D G0020 1239203 H7A09158E/PV2229H  </v>
          </cell>
          <cell r="C1437">
            <v>10250043349</v>
          </cell>
          <cell r="D1437">
            <v>1</v>
          </cell>
          <cell r="E1437" t="str">
            <v>OSP
T/锡膏</v>
          </cell>
          <cell r="F1437" t="str">
            <v>新一代侧出风驱动板</v>
          </cell>
          <cell r="G1437">
            <v>0.77500000000000002</v>
          </cell>
          <cell r="H1437">
            <v>80</v>
          </cell>
          <cell r="I1437">
            <v>62</v>
          </cell>
        </row>
        <row r="1438">
          <cell r="A1438">
            <v>10880036495</v>
          </cell>
          <cell r="B1438" t="str">
            <v>697-C2504E G0020 1221254 H7A09158C/PV2229H  </v>
          </cell>
          <cell r="C1438">
            <v>10250043349</v>
          </cell>
          <cell r="D1438">
            <v>1</v>
          </cell>
          <cell r="E1438" t="str">
            <v>OSP
T/锡膏</v>
          </cell>
          <cell r="F1438" t="str">
            <v>新一代侧出风驱动板</v>
          </cell>
          <cell r="G1438">
            <v>0.77500000000000002</v>
          </cell>
          <cell r="H1438">
            <v>80</v>
          </cell>
          <cell r="I1438">
            <v>62</v>
          </cell>
        </row>
        <row r="1439">
          <cell r="A1439">
            <v>10880036497</v>
          </cell>
          <cell r="B1439" t="str">
            <v>697-C2504F G0020 1239204 H7A09158F/PV2229H  </v>
          </cell>
          <cell r="C1439">
            <v>10250043349</v>
          </cell>
          <cell r="D1439">
            <v>1</v>
          </cell>
          <cell r="E1439" t="str">
            <v>OSP
T/锡膏</v>
          </cell>
          <cell r="F1439" t="str">
            <v>新一代侧出风驱动板</v>
          </cell>
          <cell r="G1439">
            <v>0.77500000000000002</v>
          </cell>
          <cell r="H1439">
            <v>80</v>
          </cell>
          <cell r="I1439">
            <v>62</v>
          </cell>
        </row>
        <row r="1440">
          <cell r="A1440">
            <v>10880032386</v>
          </cell>
          <cell r="B1440" t="str">
            <v>201-A2413A-X G0020 3677802 BCD-600W 屏显组件</v>
          </cell>
          <cell r="C1440">
            <v>10250042097</v>
          </cell>
          <cell r="D1440">
            <v>4</v>
          </cell>
          <cell r="E1440" t="str">
            <v>OSP
T/锡膏</v>
          </cell>
          <cell r="F1440" t="str">
            <v>冰箱通用板</v>
          </cell>
          <cell r="G1440">
            <v>0.45</v>
          </cell>
          <cell r="H1440">
            <v>60</v>
          </cell>
          <cell r="I1440">
            <v>27</v>
          </cell>
        </row>
        <row r="1441">
          <cell r="A1441">
            <v>10880036786</v>
          </cell>
          <cell r="B1441" t="str">
            <v>1886-C2515A-X G0020 3677802 BCD-600W 屏显组件</v>
          </cell>
          <cell r="C1441">
            <v>10250042097</v>
          </cell>
          <cell r="D1441">
            <v>4</v>
          </cell>
          <cell r="E1441" t="str">
            <v>OSP
T/锡膏</v>
          </cell>
          <cell r="F1441" t="str">
            <v>冰箱通用板</v>
          </cell>
          <cell r="G1441">
            <v>0.45</v>
          </cell>
          <cell r="H1441">
            <v>60</v>
          </cell>
          <cell r="I1441">
            <v>27</v>
          </cell>
        </row>
        <row r="1442">
          <cell r="A1442">
            <v>10880037605</v>
          </cell>
          <cell r="B1442" t="str">
            <v>1886-C2515B-X G0020 BCD-640W-屏显组件</v>
          </cell>
          <cell r="C1442">
            <v>10250042097</v>
          </cell>
          <cell r="D1442">
            <v>4</v>
          </cell>
          <cell r="E1442" t="str">
            <v>OSP
T/锡膏</v>
          </cell>
          <cell r="F1442" t="str">
            <v>冰箱通用板</v>
          </cell>
          <cell r="G1442">
            <v>0.45</v>
          </cell>
          <cell r="H1442">
            <v>60</v>
          </cell>
          <cell r="I1442">
            <v>27</v>
          </cell>
        </row>
        <row r="1443">
          <cell r="A1443">
            <v>10880032383</v>
          </cell>
          <cell r="B1443" t="str">
            <v>201-A2412A-X G0020 3677805 BCD-600W MIC组件</v>
          </cell>
          <cell r="C1443">
            <v>10250042148</v>
          </cell>
          <cell r="D1443">
            <v>30</v>
          </cell>
          <cell r="E1443" t="str">
            <v>OSP
T/锡膏</v>
          </cell>
          <cell r="F1443" t="str">
            <v>冰箱远场拾音板</v>
          </cell>
          <cell r="G1443">
            <v>0.14000000000000001</v>
          </cell>
          <cell r="H1443">
            <v>100</v>
          </cell>
          <cell r="I1443">
            <v>14</v>
          </cell>
        </row>
        <row r="1444">
          <cell r="A1444">
            <v>10880036799</v>
          </cell>
          <cell r="B1444" t="str">
            <v>1886-C2516A-X G0020 3678741 BCD-600W MI组件</v>
          </cell>
          <cell r="C1444">
            <v>10250042148</v>
          </cell>
          <cell r="D1444">
            <v>30</v>
          </cell>
          <cell r="E1444" t="str">
            <v>OSP
T/锡膏</v>
          </cell>
          <cell r="F1444" t="str">
            <v>冰箱远场拾音板</v>
          </cell>
          <cell r="G1444">
            <v>0.14000000000000001</v>
          </cell>
          <cell r="H1444">
            <v>100</v>
          </cell>
          <cell r="I1444">
            <v>14</v>
          </cell>
        </row>
        <row r="1445">
          <cell r="A1445">
            <v>10880037582</v>
          </cell>
          <cell r="B1445" t="str">
            <v>1886-C2516B-X G0020 BCD-640W-MIC组件</v>
          </cell>
          <cell r="C1445">
            <v>10250042148</v>
          </cell>
          <cell r="D1445">
            <v>30</v>
          </cell>
          <cell r="E1445" t="str">
            <v>OSP
T/锡膏</v>
          </cell>
          <cell r="F1445" t="str">
            <v>冰箱远场拾音板</v>
          </cell>
          <cell r="G1445">
            <v>0.14000000000000001</v>
          </cell>
          <cell r="H1445">
            <v>100</v>
          </cell>
          <cell r="I1445">
            <v>14</v>
          </cell>
        </row>
        <row r="1446">
          <cell r="A1446">
            <v>10880035235</v>
          </cell>
          <cell r="B1446" t="str">
            <v xml:space="preserve">500493-C2504A-CB 2468085 </v>
          </cell>
          <cell r="C1446" t="str">
            <v>10250042357/10250042358</v>
          </cell>
          <cell r="D1446" t="str">
            <v>1*56</v>
          </cell>
          <cell r="E1446" t="str">
            <v>锡膏</v>
          </cell>
          <cell r="F1446" t="str">
            <v>洗衣机通讯板</v>
          </cell>
          <cell r="G1446">
            <v>4.6944444444444448E-2</v>
          </cell>
          <cell r="H1446">
            <v>360</v>
          </cell>
          <cell r="I1446">
            <v>21</v>
          </cell>
        </row>
        <row r="1447">
          <cell r="A1447">
            <v>10412012190</v>
          </cell>
          <cell r="B1447" t="str">
            <v>2189-B2505A-KN 2489739</v>
          </cell>
          <cell r="C1447">
            <v>10250045420</v>
          </cell>
          <cell r="D1447" t="str">
            <v>1*20</v>
          </cell>
          <cell r="E1447" t="str">
            <v>OSP
T/锡膏</v>
          </cell>
          <cell r="F1447" t="str">
            <v>洗衣机旋钮板</v>
          </cell>
          <cell r="G1447">
            <v>6.0000000000000001E-3</v>
          </cell>
          <cell r="H1447">
            <v>2000</v>
          </cell>
          <cell r="I1447">
            <v>12</v>
          </cell>
        </row>
        <row r="1448">
          <cell r="A1448">
            <v>10880036058</v>
          </cell>
          <cell r="B1448" t="str">
            <v>2189-B2505A G0020 2489739</v>
          </cell>
          <cell r="C1448">
            <v>10250045395</v>
          </cell>
          <cell r="D1448" t="str">
            <v>1*3</v>
          </cell>
          <cell r="E1448" t="str">
            <v>OSP
T/锡膏</v>
          </cell>
          <cell r="F1448" t="str">
            <v>洗衣机显示板</v>
          </cell>
          <cell r="G1448">
            <v>0.12933333333333333</v>
          </cell>
          <cell r="H1448">
            <v>300</v>
          </cell>
          <cell r="I1448">
            <v>37</v>
          </cell>
        </row>
        <row r="1449">
          <cell r="A1449">
            <v>10880036364</v>
          </cell>
          <cell r="B1449" t="str">
            <v>2189-B2505B G0020 2504028</v>
          </cell>
          <cell r="C1449">
            <v>10250045395</v>
          </cell>
          <cell r="D1449" t="str">
            <v>1*3</v>
          </cell>
          <cell r="E1449" t="str">
            <v>OSP
T/锡膏</v>
          </cell>
          <cell r="F1449" t="str">
            <v>洗衣机显示板</v>
          </cell>
          <cell r="G1449">
            <v>0.10877777777777778</v>
          </cell>
          <cell r="H1449">
            <v>360</v>
          </cell>
          <cell r="I1449">
            <v>37</v>
          </cell>
        </row>
        <row r="1450">
          <cell r="A1450">
            <v>10880036366</v>
          </cell>
          <cell r="B1450" t="str">
            <v>2189-B2505C G0020 2504029</v>
          </cell>
          <cell r="C1450">
            <v>10250045395</v>
          </cell>
          <cell r="D1450" t="str">
            <v>1*3</v>
          </cell>
          <cell r="E1450" t="str">
            <v>OSP
T/锡膏</v>
          </cell>
          <cell r="F1450" t="str">
            <v>洗衣机显示板</v>
          </cell>
          <cell r="G1450">
            <v>0.10877777777777778</v>
          </cell>
          <cell r="H1450">
            <v>360</v>
          </cell>
          <cell r="I1450">
            <v>37</v>
          </cell>
        </row>
        <row r="1451">
          <cell r="A1451">
            <v>10880036367</v>
          </cell>
          <cell r="B1451" t="str">
            <v>2189-B2505D G0020 2504040</v>
          </cell>
          <cell r="C1451">
            <v>10250045395</v>
          </cell>
          <cell r="D1451" t="str">
            <v>1*3</v>
          </cell>
          <cell r="E1451" t="str">
            <v>OSP
T/锡膏</v>
          </cell>
          <cell r="F1451" t="str">
            <v>洗衣机显示板</v>
          </cell>
          <cell r="G1451">
            <v>0.10877777777777778</v>
          </cell>
          <cell r="H1451">
            <v>360</v>
          </cell>
          <cell r="I1451">
            <v>37</v>
          </cell>
        </row>
        <row r="1452">
          <cell r="A1452">
            <v>10880036458</v>
          </cell>
          <cell r="B1452" t="str">
            <v>2189-B2505E G0020 2506399</v>
          </cell>
          <cell r="C1452">
            <v>10250045395</v>
          </cell>
          <cell r="D1452" t="str">
            <v>1*3</v>
          </cell>
          <cell r="E1452" t="str">
            <v>OSP
T/锡膏</v>
          </cell>
          <cell r="F1452" t="str">
            <v>洗衣机显示板</v>
          </cell>
          <cell r="G1452">
            <v>0.10877777777777778</v>
          </cell>
          <cell r="H1452">
            <v>360</v>
          </cell>
          <cell r="I1452">
            <v>37</v>
          </cell>
        </row>
        <row r="1453">
          <cell r="A1453">
            <v>10880037022</v>
          </cell>
          <cell r="B1453" t="str">
            <v>2189-B2505F G0020 20107993</v>
          </cell>
          <cell r="C1453">
            <v>10250045395</v>
          </cell>
          <cell r="D1453" t="str">
            <v>1*3</v>
          </cell>
          <cell r="E1453" t="str">
            <v>OSP
T/锡膏</v>
          </cell>
          <cell r="F1453" t="str">
            <v>洗衣机显示板</v>
          </cell>
          <cell r="G1453">
            <v>0.10877777777777778</v>
          </cell>
          <cell r="H1453">
            <v>360</v>
          </cell>
          <cell r="I1453">
            <v>37</v>
          </cell>
        </row>
        <row r="1454">
          <cell r="A1454">
            <v>10880037023</v>
          </cell>
          <cell r="B1454" t="str">
            <v>2189-B2505G G0020 20112794</v>
          </cell>
          <cell r="C1454">
            <v>10250045395</v>
          </cell>
          <cell r="D1454" t="str">
            <v>1*3</v>
          </cell>
          <cell r="E1454" t="str">
            <v>OSP
T/锡膏</v>
          </cell>
          <cell r="F1454" t="str">
            <v>洗衣机显示板</v>
          </cell>
          <cell r="G1454">
            <v>0.10877777777777778</v>
          </cell>
          <cell r="H1454">
            <v>360</v>
          </cell>
          <cell r="I1454">
            <v>37</v>
          </cell>
        </row>
        <row r="1455">
          <cell r="A1455">
            <v>10880037295</v>
          </cell>
          <cell r="B1455" t="str">
            <v>2189-B2505H G0020 20120031</v>
          </cell>
          <cell r="C1455">
            <v>10250045395</v>
          </cell>
          <cell r="D1455" t="str">
            <v>1*3</v>
          </cell>
          <cell r="E1455" t="str">
            <v>OSP
T/锡膏</v>
          </cell>
          <cell r="F1455" t="str">
            <v>洗衣机显示板</v>
          </cell>
          <cell r="G1455">
            <v>0.10877777777777778</v>
          </cell>
          <cell r="H1455">
            <v>360</v>
          </cell>
          <cell r="I1455">
            <v>37</v>
          </cell>
        </row>
        <row r="1456">
          <cell r="A1456">
            <v>10880037297</v>
          </cell>
          <cell r="B1456" t="str">
            <v>2189-B2505I G0020 20126172</v>
          </cell>
          <cell r="C1456">
            <v>10250045395</v>
          </cell>
          <cell r="D1456" t="str">
            <v>1*3</v>
          </cell>
          <cell r="E1456" t="str">
            <v>OSP
T/锡膏</v>
          </cell>
          <cell r="F1456" t="str">
            <v>洗衣机显示板</v>
          </cell>
          <cell r="G1456">
            <v>0.10877777777777778</v>
          </cell>
          <cell r="H1456">
            <v>360</v>
          </cell>
          <cell r="I1456">
            <v>37</v>
          </cell>
        </row>
        <row r="1457">
          <cell r="A1457">
            <v>10880037414</v>
          </cell>
          <cell r="B1457" t="str">
            <v>2189-B2505J G0020 20140244</v>
          </cell>
          <cell r="C1457">
            <v>10250045395</v>
          </cell>
          <cell r="D1457" t="str">
            <v>1*3</v>
          </cell>
          <cell r="E1457" t="str">
            <v>OSP
T/锡膏</v>
          </cell>
          <cell r="F1457" t="str">
            <v>洗衣机显示板</v>
          </cell>
          <cell r="G1457">
            <v>0.10877777777777778</v>
          </cell>
          <cell r="H1457">
            <v>360</v>
          </cell>
          <cell r="I1457">
            <v>37</v>
          </cell>
        </row>
        <row r="1458">
          <cell r="A1458">
            <v>10880037415</v>
          </cell>
          <cell r="B1458" t="str">
            <v>2189-B2505K G0020 20140245</v>
          </cell>
          <cell r="C1458">
            <v>10250045395</v>
          </cell>
          <cell r="D1458" t="str">
            <v>1*3</v>
          </cell>
          <cell r="E1458" t="str">
            <v>OSP
T/锡膏</v>
          </cell>
          <cell r="F1458" t="str">
            <v>洗衣机显示板</v>
          </cell>
          <cell r="G1458">
            <v>0.10877777777777778</v>
          </cell>
          <cell r="H1458">
            <v>360</v>
          </cell>
          <cell r="I1458">
            <v>37</v>
          </cell>
        </row>
        <row r="1459">
          <cell r="A1459">
            <v>10880037659</v>
          </cell>
          <cell r="B1459" t="str">
            <v>2189-B2505L G0020 20159285</v>
          </cell>
          <cell r="C1459">
            <v>10250045395</v>
          </cell>
          <cell r="D1459" t="str">
            <v>1*3</v>
          </cell>
          <cell r="E1459" t="str">
            <v>OSP
T/锡膏</v>
          </cell>
          <cell r="F1459" t="str">
            <v>洗衣机显示板</v>
          </cell>
          <cell r="G1459">
            <v>0.10877777777777778</v>
          </cell>
          <cell r="H1459">
            <v>360</v>
          </cell>
          <cell r="I1459">
            <v>37</v>
          </cell>
        </row>
        <row r="1460">
          <cell r="A1460">
            <v>10880037661</v>
          </cell>
          <cell r="B1460" t="str">
            <v>2189-B2505M G0020 20159286</v>
          </cell>
          <cell r="C1460">
            <v>10250045395</v>
          </cell>
          <cell r="D1460" t="str">
            <v>1*3</v>
          </cell>
          <cell r="E1460" t="str">
            <v>OSP
T/锡膏</v>
          </cell>
          <cell r="F1460" t="str">
            <v>洗衣机显示板</v>
          </cell>
          <cell r="G1460">
            <v>0.10877777777777778</v>
          </cell>
          <cell r="H1460">
            <v>360</v>
          </cell>
          <cell r="I1460">
            <v>37</v>
          </cell>
        </row>
        <row r="1461">
          <cell r="A1461">
            <v>10880038221</v>
          </cell>
          <cell r="B1461" t="str">
            <v>2189-B2505N G0020 20120053</v>
          </cell>
          <cell r="C1461">
            <v>10250045395</v>
          </cell>
          <cell r="D1461" t="str">
            <v>1*3</v>
          </cell>
          <cell r="E1461" t="str">
            <v>OSP
T/锡膏</v>
          </cell>
          <cell r="F1461" t="str">
            <v>洗衣机显示板</v>
          </cell>
          <cell r="G1461">
            <v>0.12933333333333333</v>
          </cell>
          <cell r="H1461">
            <v>300</v>
          </cell>
          <cell r="I1461">
            <v>37</v>
          </cell>
        </row>
        <row r="1462">
          <cell r="A1462">
            <v>10880038224</v>
          </cell>
          <cell r="B1462" t="str">
            <v>2189-B2505O G0020 20112793</v>
          </cell>
          <cell r="C1462">
            <v>10250045395</v>
          </cell>
          <cell r="D1462" t="str">
            <v>1*3</v>
          </cell>
          <cell r="E1462" t="str">
            <v>OSP
T/锡膏</v>
          </cell>
          <cell r="F1462" t="str">
            <v>洗衣机显示板</v>
          </cell>
          <cell r="G1462">
            <v>0.12933333333333333</v>
          </cell>
          <cell r="H1462">
            <v>300</v>
          </cell>
          <cell r="I1462">
            <v>37</v>
          </cell>
        </row>
        <row r="1463">
          <cell r="A1463">
            <v>10880038225</v>
          </cell>
          <cell r="B1463" t="str">
            <v>2189-B2505P G0020 20112792</v>
          </cell>
          <cell r="C1463">
            <v>10250045395</v>
          </cell>
          <cell r="D1463" t="str">
            <v>1*3</v>
          </cell>
          <cell r="E1463" t="str">
            <v>OSP
T/锡膏</v>
          </cell>
          <cell r="F1463" t="str">
            <v>洗衣机显示板</v>
          </cell>
          <cell r="G1463">
            <v>0.12933333333333333</v>
          </cell>
          <cell r="H1463">
            <v>300</v>
          </cell>
          <cell r="I1463">
            <v>37</v>
          </cell>
        </row>
        <row r="1464">
          <cell r="A1464">
            <v>10880038226</v>
          </cell>
          <cell r="B1464" t="str">
            <v>2189-B2505Q G0020 20187289</v>
          </cell>
          <cell r="C1464">
            <v>10250045395</v>
          </cell>
          <cell r="D1464" t="str">
            <v>1*3</v>
          </cell>
          <cell r="E1464" t="str">
            <v>OSP
T/锡膏</v>
          </cell>
          <cell r="F1464" t="str">
            <v>洗衣机显示板</v>
          </cell>
          <cell r="G1464">
            <v>0.12933333333333333</v>
          </cell>
          <cell r="H1464">
            <v>300</v>
          </cell>
          <cell r="I1464">
            <v>37</v>
          </cell>
        </row>
        <row r="1465">
          <cell r="A1465">
            <v>10880038229</v>
          </cell>
          <cell r="B1465" t="str">
            <v>2189-B2505R G0020 20187291</v>
          </cell>
          <cell r="C1465">
            <v>10250045395</v>
          </cell>
          <cell r="D1465" t="str">
            <v>1*3</v>
          </cell>
          <cell r="E1465" t="str">
            <v>OSP
T/锡膏</v>
          </cell>
          <cell r="F1465" t="str">
            <v>洗衣机显示板</v>
          </cell>
          <cell r="G1465">
            <v>0.12933333333333333</v>
          </cell>
          <cell r="H1465">
            <v>300</v>
          </cell>
          <cell r="I1465">
            <v>37</v>
          </cell>
        </row>
        <row r="1466">
          <cell r="A1466">
            <v>10880038230</v>
          </cell>
          <cell r="B1466" t="str">
            <v>2189-B2505S G0020 20193051</v>
          </cell>
          <cell r="C1466">
            <v>10250045395</v>
          </cell>
          <cell r="D1466" t="str">
            <v>1*3</v>
          </cell>
          <cell r="E1466" t="str">
            <v>OSP
T/锡膏</v>
          </cell>
          <cell r="F1466" t="str">
            <v>洗衣机显示板</v>
          </cell>
          <cell r="G1466">
            <v>0.12933333333333333</v>
          </cell>
          <cell r="H1466">
            <v>300</v>
          </cell>
          <cell r="I1466">
            <v>37</v>
          </cell>
        </row>
        <row r="1467">
          <cell r="A1467">
            <v>10880038231</v>
          </cell>
          <cell r="B1467" t="str">
            <v>2189-B2505T G0020 20204129</v>
          </cell>
          <cell r="C1467">
            <v>10250045395</v>
          </cell>
          <cell r="D1467" t="str">
            <v>1*3</v>
          </cell>
          <cell r="E1467" t="str">
            <v>OSP
T/锡膏</v>
          </cell>
          <cell r="F1467" t="str">
            <v>洗衣机显示板</v>
          </cell>
          <cell r="G1467">
            <v>0.12933333333333333</v>
          </cell>
          <cell r="H1467">
            <v>300</v>
          </cell>
          <cell r="I1467">
            <v>37</v>
          </cell>
        </row>
        <row r="1468">
          <cell r="A1468">
            <v>10880038232</v>
          </cell>
          <cell r="B1468" t="str">
            <v>2189-B2505U G0020 20204792</v>
          </cell>
          <cell r="C1468">
            <v>10250045395</v>
          </cell>
          <cell r="D1468" t="str">
            <v>1*3</v>
          </cell>
          <cell r="E1468" t="str">
            <v>OSP
T/锡膏</v>
          </cell>
          <cell r="F1468" t="str">
            <v>洗衣机显示板</v>
          </cell>
          <cell r="G1468">
            <v>0.12933333333333333</v>
          </cell>
          <cell r="H1468">
            <v>300</v>
          </cell>
          <cell r="I1468">
            <v>37</v>
          </cell>
        </row>
        <row r="1469">
          <cell r="A1469">
            <v>10880038233</v>
          </cell>
          <cell r="B1469" t="str">
            <v>2189-B2505V G0020 20204793</v>
          </cell>
          <cell r="C1469">
            <v>10250045395</v>
          </cell>
          <cell r="D1469" t="str">
            <v>1*3</v>
          </cell>
          <cell r="E1469" t="str">
            <v>OSP
T/锡膏</v>
          </cell>
          <cell r="F1469" t="str">
            <v>洗衣机显示板</v>
          </cell>
          <cell r="G1469">
            <v>0.12933333333333333</v>
          </cell>
          <cell r="H1469">
            <v>300</v>
          </cell>
          <cell r="I1469">
            <v>37</v>
          </cell>
        </row>
        <row r="1470">
          <cell r="A1470">
            <v>10880038234</v>
          </cell>
          <cell r="B1470" t="str">
            <v>2189-B2505W G0020 20204794</v>
          </cell>
          <cell r="C1470">
            <v>10250045395</v>
          </cell>
          <cell r="D1470" t="str">
            <v>1*3</v>
          </cell>
          <cell r="E1470" t="str">
            <v>OSP
T/锡膏</v>
          </cell>
          <cell r="F1470" t="str">
            <v>洗衣机显示板</v>
          </cell>
          <cell r="G1470">
            <v>0.12933333333333333</v>
          </cell>
          <cell r="H1470">
            <v>300</v>
          </cell>
          <cell r="I1470">
            <v>37</v>
          </cell>
        </row>
        <row r="1471">
          <cell r="A1471">
            <v>10880038235</v>
          </cell>
          <cell r="B1471" t="str">
            <v>2189-B2505X G0020 20204795</v>
          </cell>
          <cell r="C1471">
            <v>10250045395</v>
          </cell>
          <cell r="D1471" t="str">
            <v>1*3</v>
          </cell>
          <cell r="E1471" t="str">
            <v>OSP
T/锡膏</v>
          </cell>
          <cell r="F1471" t="str">
            <v>洗衣机显示板</v>
          </cell>
          <cell r="G1471">
            <v>0.12933333333333333</v>
          </cell>
          <cell r="H1471">
            <v>300</v>
          </cell>
          <cell r="I1471">
            <v>37</v>
          </cell>
        </row>
        <row r="1472">
          <cell r="A1472">
            <v>10880038236</v>
          </cell>
          <cell r="B1472" t="str">
            <v>2189-B2505Y G0020 20217726</v>
          </cell>
          <cell r="C1472">
            <v>10250045395</v>
          </cell>
          <cell r="D1472" t="str">
            <v>1*3</v>
          </cell>
          <cell r="E1472" t="str">
            <v>OSP
T/锡膏</v>
          </cell>
          <cell r="F1472" t="str">
            <v>洗衣机显示板</v>
          </cell>
          <cell r="G1472">
            <v>0.12933333333333333</v>
          </cell>
          <cell r="H1472">
            <v>300</v>
          </cell>
          <cell r="I1472">
            <v>37</v>
          </cell>
        </row>
        <row r="1473">
          <cell r="A1473">
            <v>10880038237</v>
          </cell>
          <cell r="B1473" t="str">
            <v>2189-B2505Z G0020 20217734</v>
          </cell>
          <cell r="C1473">
            <v>10250045395</v>
          </cell>
          <cell r="D1473" t="str">
            <v>1*3</v>
          </cell>
          <cell r="E1473" t="str">
            <v>OSP
T/锡膏</v>
          </cell>
          <cell r="F1473" t="str">
            <v>洗衣机显示板</v>
          </cell>
          <cell r="G1473">
            <v>0.12933333333333333</v>
          </cell>
          <cell r="H1473">
            <v>300</v>
          </cell>
          <cell r="I1473">
            <v>37</v>
          </cell>
        </row>
        <row r="1474">
          <cell r="A1474">
            <v>10880038454</v>
          </cell>
          <cell r="B1474" t="str">
            <v>2189-B2505AA G0020 20228384</v>
          </cell>
          <cell r="C1474">
            <v>10250045395</v>
          </cell>
          <cell r="D1474" t="str">
            <v>1*3</v>
          </cell>
          <cell r="E1474" t="str">
            <v>OSP
T/锡膏</v>
          </cell>
          <cell r="F1474" t="str">
            <v>洗衣机显示板</v>
          </cell>
          <cell r="G1474">
            <v>0.12933333333333333</v>
          </cell>
          <cell r="H1474">
            <v>300</v>
          </cell>
          <cell r="I1474">
            <v>37</v>
          </cell>
        </row>
        <row r="1475">
          <cell r="A1475">
            <v>10880038459</v>
          </cell>
          <cell r="B1475" t="str">
            <v>2189-B2505AB G0020 20228385</v>
          </cell>
          <cell r="C1475">
            <v>10250045395</v>
          </cell>
          <cell r="D1475" t="str">
            <v>1*3</v>
          </cell>
          <cell r="E1475" t="str">
            <v>OSP
T/锡膏</v>
          </cell>
          <cell r="F1475" t="str">
            <v>洗衣机显示板</v>
          </cell>
          <cell r="G1475">
            <v>0.12933333333333333</v>
          </cell>
          <cell r="H1475">
            <v>300</v>
          </cell>
          <cell r="I1475">
            <v>37</v>
          </cell>
        </row>
        <row r="1476">
          <cell r="A1476">
            <v>10880038460</v>
          </cell>
          <cell r="B1476" t="str">
            <v>2189-B2505AC G0020 20211134</v>
          </cell>
          <cell r="C1476">
            <v>10250045395</v>
          </cell>
          <cell r="D1476" t="str">
            <v>1*3</v>
          </cell>
          <cell r="E1476" t="str">
            <v>OSP
T/锡膏</v>
          </cell>
          <cell r="F1476" t="str">
            <v>洗衣机显示板</v>
          </cell>
          <cell r="G1476">
            <v>0.12933333333333333</v>
          </cell>
          <cell r="H1476">
            <v>300</v>
          </cell>
          <cell r="I1476">
            <v>37</v>
          </cell>
        </row>
        <row r="1477">
          <cell r="A1477">
            <v>10880038598</v>
          </cell>
          <cell r="B1477" t="str">
            <v>2189-B2505AH G0020 2504046</v>
          </cell>
          <cell r="C1477">
            <v>10250045395</v>
          </cell>
          <cell r="D1477" t="str">
            <v>1*3</v>
          </cell>
          <cell r="E1477" t="str">
            <v>OSP
T/锡膏</v>
          </cell>
          <cell r="F1477" t="str">
            <v>洗衣机显示板</v>
          </cell>
          <cell r="G1477">
            <v>0.12933333333333333</v>
          </cell>
          <cell r="H1477">
            <v>300</v>
          </cell>
          <cell r="I1477">
            <v>37</v>
          </cell>
        </row>
        <row r="1478">
          <cell r="A1478">
            <v>10880038600</v>
          </cell>
          <cell r="B1478" t="str">
            <v>2189-B2505AI G0020 2504047</v>
          </cell>
          <cell r="C1478">
            <v>10250045395</v>
          </cell>
          <cell r="D1478" t="str">
            <v>1*3</v>
          </cell>
          <cell r="E1478" t="str">
            <v>OSP
T/锡膏</v>
          </cell>
          <cell r="F1478" t="str">
            <v>洗衣机显示板</v>
          </cell>
          <cell r="G1478">
            <v>0.12933333333333333</v>
          </cell>
          <cell r="H1478">
            <v>300</v>
          </cell>
          <cell r="I1478">
            <v>37</v>
          </cell>
        </row>
        <row r="1479">
          <cell r="A1479">
            <v>10880038601</v>
          </cell>
          <cell r="B1479" t="str">
            <v>2189-B2505AJ G0020 2504049</v>
          </cell>
          <cell r="C1479">
            <v>10250045395</v>
          </cell>
          <cell r="D1479" t="str">
            <v>1*3</v>
          </cell>
          <cell r="E1479" t="str">
            <v>OSP
T/锡膏</v>
          </cell>
          <cell r="F1479" t="str">
            <v>洗衣机显示板</v>
          </cell>
          <cell r="G1479">
            <v>0.12933333333333333</v>
          </cell>
          <cell r="H1479">
            <v>300</v>
          </cell>
          <cell r="I1479">
            <v>37</v>
          </cell>
        </row>
        <row r="1480">
          <cell r="A1480">
            <v>10880038602</v>
          </cell>
          <cell r="B1480" t="str">
            <v>2189-B2505AK G0020 20246774</v>
          </cell>
          <cell r="C1480">
            <v>10250045395</v>
          </cell>
          <cell r="D1480" t="str">
            <v>1*3</v>
          </cell>
          <cell r="E1480" t="str">
            <v>OSP
T/锡膏</v>
          </cell>
          <cell r="F1480" t="str">
            <v>洗衣机显示板</v>
          </cell>
          <cell r="G1480">
            <v>0.12933333333333333</v>
          </cell>
          <cell r="H1480">
            <v>300</v>
          </cell>
          <cell r="I1480">
            <v>37</v>
          </cell>
        </row>
        <row r="1481">
          <cell r="A1481">
            <v>10880038610</v>
          </cell>
          <cell r="B1481" t="str">
            <v>2189-B2505AD G0020 20126173</v>
          </cell>
          <cell r="C1481">
            <v>10250045395</v>
          </cell>
          <cell r="D1481" t="str">
            <v>1*3</v>
          </cell>
          <cell r="E1481" t="str">
            <v>OSP
T/锡膏</v>
          </cell>
          <cell r="F1481" t="str">
            <v>洗衣机显示板</v>
          </cell>
          <cell r="G1481">
            <v>0.12933333333333333</v>
          </cell>
          <cell r="H1481">
            <v>300</v>
          </cell>
          <cell r="I1481">
            <v>37</v>
          </cell>
        </row>
        <row r="1482">
          <cell r="A1482">
            <v>10880038611</v>
          </cell>
          <cell r="B1482" t="str">
            <v>2189-B2505AE G0020 20242971</v>
          </cell>
          <cell r="C1482">
            <v>10250045395</v>
          </cell>
          <cell r="D1482" t="str">
            <v>1*3</v>
          </cell>
          <cell r="E1482" t="str">
            <v>OSP
T/锡膏</v>
          </cell>
          <cell r="F1482" t="str">
            <v>洗衣机显示板</v>
          </cell>
          <cell r="G1482">
            <v>0.12933333333333333</v>
          </cell>
          <cell r="H1482">
            <v>300</v>
          </cell>
          <cell r="I1482">
            <v>37</v>
          </cell>
        </row>
        <row r="1483">
          <cell r="A1483">
            <v>10880038612</v>
          </cell>
          <cell r="B1483" t="str">
            <v>2189-B2505AF G0020 20239304</v>
          </cell>
          <cell r="C1483">
            <v>10250045395</v>
          </cell>
          <cell r="D1483" t="str">
            <v>1*3</v>
          </cell>
          <cell r="E1483" t="str">
            <v>OSP
T/锡膏</v>
          </cell>
          <cell r="F1483" t="str">
            <v>洗衣机显示板</v>
          </cell>
          <cell r="G1483">
            <v>0.12933333333333333</v>
          </cell>
          <cell r="H1483">
            <v>300</v>
          </cell>
          <cell r="I1483">
            <v>37</v>
          </cell>
        </row>
        <row r="1484">
          <cell r="A1484">
            <v>10880038614</v>
          </cell>
          <cell r="B1484" t="str">
            <v>2189-B2505AG G0020 20239305</v>
          </cell>
          <cell r="C1484">
            <v>10250045395</v>
          </cell>
          <cell r="D1484" t="str">
            <v>1*3</v>
          </cell>
          <cell r="E1484" t="str">
            <v>OSP
T/锡膏</v>
          </cell>
          <cell r="F1484" t="str">
            <v>洗衣机显示板</v>
          </cell>
          <cell r="G1484">
            <v>0.12933333333333333</v>
          </cell>
          <cell r="H1484">
            <v>300</v>
          </cell>
          <cell r="I1484">
            <v>37</v>
          </cell>
        </row>
        <row r="1485">
          <cell r="A1485">
            <v>10880038794</v>
          </cell>
          <cell r="B1485" t="str">
            <v>2189-B2505AN G0020 20153401</v>
          </cell>
          <cell r="C1485">
            <v>10250045395</v>
          </cell>
          <cell r="D1485" t="str">
            <v>1*3</v>
          </cell>
          <cell r="E1485" t="str">
            <v>OSP
T/锡膏</v>
          </cell>
          <cell r="F1485" t="str">
            <v>洗衣机显示板</v>
          </cell>
          <cell r="G1485">
            <v>0.12933333333333333</v>
          </cell>
          <cell r="H1485">
            <v>300</v>
          </cell>
          <cell r="I1485">
            <v>37</v>
          </cell>
        </row>
        <row r="1486">
          <cell r="A1486">
            <v>10880038795</v>
          </cell>
          <cell r="B1486" t="str">
            <v>2189-B2505AO G0020 20159287</v>
          </cell>
          <cell r="C1486">
            <v>10250045395</v>
          </cell>
          <cell r="D1486" t="str">
            <v>1*3</v>
          </cell>
          <cell r="E1486" t="str">
            <v>OSP
T/锡膏</v>
          </cell>
          <cell r="F1486" t="str">
            <v>洗衣机显示板</v>
          </cell>
          <cell r="G1486">
            <v>0.12933333333333333</v>
          </cell>
          <cell r="H1486">
            <v>300</v>
          </cell>
          <cell r="I1486">
            <v>37</v>
          </cell>
        </row>
        <row r="1487">
          <cell r="A1487">
            <v>10880038797</v>
          </cell>
          <cell r="B1487" t="str">
            <v>2189-B2505AP G0020 20246773</v>
          </cell>
          <cell r="C1487">
            <v>10250045395</v>
          </cell>
          <cell r="D1487" t="str">
            <v>1*3</v>
          </cell>
          <cell r="E1487" t="str">
            <v>OSP
T/锡膏</v>
          </cell>
          <cell r="F1487" t="str">
            <v>洗衣机显示板</v>
          </cell>
          <cell r="G1487">
            <v>0.12933333333333333</v>
          </cell>
          <cell r="H1487">
            <v>300</v>
          </cell>
          <cell r="I1487">
            <v>37</v>
          </cell>
        </row>
        <row r="1488">
          <cell r="A1488">
            <v>10880038832</v>
          </cell>
          <cell r="B1488" t="str">
            <v>2189-B2505AM G0020 20120050</v>
          </cell>
          <cell r="C1488">
            <v>10250045395</v>
          </cell>
          <cell r="D1488" t="str">
            <v>1*3</v>
          </cell>
          <cell r="E1488" t="str">
            <v>OSP
T/锡膏</v>
          </cell>
          <cell r="F1488" t="str">
            <v>洗衣机显示板</v>
          </cell>
          <cell r="G1488">
            <v>0.12933333333333333</v>
          </cell>
          <cell r="H1488">
            <v>300</v>
          </cell>
          <cell r="I1488">
            <v>37</v>
          </cell>
        </row>
        <row r="1489">
          <cell r="A1489">
            <v>10880038833</v>
          </cell>
          <cell r="B1489" t="str">
            <v>2189-B2505AL G0020 20120049</v>
          </cell>
          <cell r="C1489">
            <v>10250045395</v>
          </cell>
          <cell r="D1489" t="str">
            <v>1*3</v>
          </cell>
          <cell r="E1489" t="str">
            <v>OSP
T/锡膏</v>
          </cell>
          <cell r="F1489" t="str">
            <v>洗衣机显示板</v>
          </cell>
          <cell r="G1489">
            <v>0.12933333333333333</v>
          </cell>
          <cell r="H1489">
            <v>300</v>
          </cell>
          <cell r="I1489">
            <v>37</v>
          </cell>
        </row>
        <row r="1490">
          <cell r="A1490">
            <v>10880036189</v>
          </cell>
          <cell r="B1490" t="str">
            <v>501764-B2501A-PC G1417 NTD10-FRZ</v>
          </cell>
          <cell r="C1490">
            <v>10250043913</v>
          </cell>
          <cell r="D1490" t="str">
            <v>1*1</v>
          </cell>
          <cell r="E1490" t="str">
            <v>锡膏</v>
          </cell>
          <cell r="F1490" t="str">
            <v>冰箱电控板</v>
          </cell>
          <cell r="G1490">
            <v>0.1</v>
          </cell>
          <cell r="H1490">
            <v>300</v>
          </cell>
          <cell r="I1490">
            <v>30</v>
          </cell>
        </row>
        <row r="1491">
          <cell r="A1491">
            <v>10880036190</v>
          </cell>
          <cell r="B1491" t="str">
            <v>501764-B2501B-PC G1417 NTD10-REF</v>
          </cell>
          <cell r="C1491">
            <v>10250043913</v>
          </cell>
          <cell r="D1491" t="str">
            <v>1*1</v>
          </cell>
          <cell r="E1491" t="str">
            <v>锡膏</v>
          </cell>
          <cell r="F1491" t="str">
            <v>冰箱电控板</v>
          </cell>
          <cell r="G1491">
            <v>0.1</v>
          </cell>
          <cell r="H1491">
            <v>300</v>
          </cell>
          <cell r="I1491">
            <v>30</v>
          </cell>
        </row>
        <row r="1492">
          <cell r="A1492">
            <v>10880036191</v>
          </cell>
          <cell r="B1492" t="str">
            <v>501764-B2501C-D G1417 NTD10-REF</v>
          </cell>
          <cell r="C1492" t="str">
            <v>10250043993/10250044012</v>
          </cell>
          <cell r="D1492" t="str">
            <v>1*1</v>
          </cell>
          <cell r="E1492" t="str">
            <v>锡膏</v>
          </cell>
          <cell r="F1492" t="str">
            <v>冰箱显示板</v>
          </cell>
          <cell r="G1492">
            <v>5.5E-2</v>
          </cell>
          <cell r="H1492">
            <v>400</v>
          </cell>
          <cell r="I1492">
            <v>22</v>
          </cell>
        </row>
        <row r="1493">
          <cell r="A1493">
            <v>10880035045</v>
          </cell>
          <cell r="B1493" t="str">
            <v>500493-C2501A G0020 20105971</v>
          </cell>
          <cell r="C1493" t="str">
            <v>10250042984
10250042981</v>
          </cell>
          <cell r="D1493" t="str">
            <v>1*4
1*2</v>
          </cell>
          <cell r="E1493" t="str">
            <v>OSP
T/锡膏</v>
          </cell>
          <cell r="F1493" t="str">
            <v>洗衣机控制器</v>
          </cell>
          <cell r="G1493">
            <v>0.4</v>
          </cell>
          <cell r="H1493">
            <v>100</v>
          </cell>
          <cell r="I1493">
            <v>40</v>
          </cell>
        </row>
        <row r="1494">
          <cell r="A1494">
            <v>10880037662</v>
          </cell>
          <cell r="B1494" t="str">
            <v>2189-B2507A G0020 20127550  </v>
          </cell>
          <cell r="C1494">
            <v>10250045395</v>
          </cell>
          <cell r="D1494" t="str">
            <v>1*3</v>
          </cell>
          <cell r="E1494" t="str">
            <v>OSP
T/锡膏</v>
          </cell>
          <cell r="F1494" t="str">
            <v>洗衣机显示板</v>
          </cell>
          <cell r="G1494">
            <v>0.16433333333333333</v>
          </cell>
          <cell r="H1494">
            <v>240</v>
          </cell>
          <cell r="I1494">
            <v>38</v>
          </cell>
        </row>
        <row r="1495">
          <cell r="A1495">
            <v>10880037687</v>
          </cell>
          <cell r="B1495" t="str">
            <v>2189-B2507B G0020 20126720  </v>
          </cell>
          <cell r="C1495">
            <v>10250045395</v>
          </cell>
          <cell r="D1495" t="str">
            <v>1*3</v>
          </cell>
          <cell r="E1495" t="str">
            <v>OSP
T/锡膏</v>
          </cell>
          <cell r="F1495" t="str">
            <v>洗衣机显示板</v>
          </cell>
          <cell r="G1495">
            <v>0.16433333333333333</v>
          </cell>
          <cell r="H1495">
            <v>240</v>
          </cell>
          <cell r="I1495">
            <v>38</v>
          </cell>
        </row>
        <row r="1496">
          <cell r="A1496">
            <v>10880037688</v>
          </cell>
          <cell r="B1496" t="str">
            <v>2189-B2507C G0020 20135510  </v>
          </cell>
          <cell r="C1496">
            <v>10250045395</v>
          </cell>
          <cell r="D1496" t="str">
            <v>1*3</v>
          </cell>
          <cell r="E1496" t="str">
            <v>OSP
T/锡膏</v>
          </cell>
          <cell r="F1496" t="str">
            <v>洗衣机显示板</v>
          </cell>
          <cell r="G1496">
            <v>0.16433333333333333</v>
          </cell>
          <cell r="H1496">
            <v>240</v>
          </cell>
          <cell r="I1496">
            <v>38</v>
          </cell>
        </row>
        <row r="1497">
          <cell r="A1497">
            <v>10880037696</v>
          </cell>
          <cell r="B1497" t="str">
            <v>2189-B2507D G0020 20159303  </v>
          </cell>
          <cell r="C1497">
            <v>10250045395</v>
          </cell>
          <cell r="D1497" t="str">
            <v>1*3</v>
          </cell>
          <cell r="E1497" t="str">
            <v>OSP
T/锡膏</v>
          </cell>
          <cell r="F1497" t="str">
            <v>洗衣机显示板</v>
          </cell>
          <cell r="G1497">
            <v>0.16433333333333333</v>
          </cell>
          <cell r="H1497">
            <v>240</v>
          </cell>
          <cell r="I1497">
            <v>38</v>
          </cell>
        </row>
        <row r="1498">
          <cell r="A1498">
            <v>10880038239</v>
          </cell>
          <cell r="B1498" t="str">
            <v>2189-B2507E G0020 20206798  </v>
          </cell>
          <cell r="C1498">
            <v>10250045395</v>
          </cell>
          <cell r="D1498" t="str">
            <v>1*3</v>
          </cell>
          <cell r="E1498" t="str">
            <v>OSP
T/锡膏</v>
          </cell>
          <cell r="F1498" t="str">
            <v>洗衣机显示板</v>
          </cell>
          <cell r="G1498">
            <v>0.16433333333333333</v>
          </cell>
          <cell r="H1498">
            <v>240</v>
          </cell>
          <cell r="I1498">
            <v>38</v>
          </cell>
        </row>
        <row r="1499">
          <cell r="A1499">
            <v>10880038445</v>
          </cell>
          <cell r="B1499" t="str">
            <v>2189-B2507F G0020 20224797  </v>
          </cell>
          <cell r="C1499">
            <v>10250045395</v>
          </cell>
          <cell r="D1499" t="str">
            <v>1*3</v>
          </cell>
          <cell r="E1499" t="str">
            <v>OSP
T/锡膏</v>
          </cell>
          <cell r="F1499" t="str">
            <v>洗衣机显示板</v>
          </cell>
          <cell r="G1499">
            <v>0.16433333333333333</v>
          </cell>
          <cell r="H1499">
            <v>240</v>
          </cell>
          <cell r="I1499">
            <v>38</v>
          </cell>
        </row>
        <row r="1500">
          <cell r="A1500">
            <v>10880038441</v>
          </cell>
          <cell r="B1500" t="str">
            <v>2189-B2507G G0020 20224798  </v>
          </cell>
          <cell r="C1500">
            <v>10250045395</v>
          </cell>
          <cell r="D1500" t="str">
            <v>1*3</v>
          </cell>
          <cell r="E1500" t="str">
            <v>OSP
T/锡膏</v>
          </cell>
          <cell r="F1500" t="str">
            <v>洗衣机显示板</v>
          </cell>
          <cell r="G1500">
            <v>0.16433333333333333</v>
          </cell>
          <cell r="H1500">
            <v>240</v>
          </cell>
          <cell r="I1500">
            <v>38</v>
          </cell>
        </row>
        <row r="1501">
          <cell r="A1501">
            <v>10880038442</v>
          </cell>
          <cell r="B1501" t="str">
            <v>2189-B2507H G0020 20224799  </v>
          </cell>
          <cell r="C1501">
            <v>10250045395</v>
          </cell>
          <cell r="D1501" t="str">
            <v>1*3</v>
          </cell>
          <cell r="E1501" t="str">
            <v>OSP
T/锡膏</v>
          </cell>
          <cell r="F1501" t="str">
            <v>洗衣机显示板</v>
          </cell>
          <cell r="G1501">
            <v>0.16433333333333333</v>
          </cell>
          <cell r="H1501">
            <v>240</v>
          </cell>
          <cell r="I1501">
            <v>38</v>
          </cell>
        </row>
        <row r="1502">
          <cell r="A1502">
            <v>10880038443</v>
          </cell>
          <cell r="B1502" t="str">
            <v>2189-B2507I G0020 20224800  </v>
          </cell>
          <cell r="C1502">
            <v>10250045395</v>
          </cell>
          <cell r="D1502" t="str">
            <v>1*3</v>
          </cell>
          <cell r="E1502" t="str">
            <v>OSP
T/锡膏</v>
          </cell>
          <cell r="F1502" t="str">
            <v>洗衣机显示板</v>
          </cell>
          <cell r="G1502">
            <v>0.16433333333333333</v>
          </cell>
          <cell r="H1502">
            <v>240</v>
          </cell>
          <cell r="I1502">
            <v>38</v>
          </cell>
        </row>
        <row r="1503">
          <cell r="A1503">
            <v>10880038444</v>
          </cell>
          <cell r="B1503" t="str">
            <v>2189-B2507J G0020 20224801  </v>
          </cell>
          <cell r="C1503">
            <v>10250045395</v>
          </cell>
          <cell r="D1503" t="str">
            <v>1*3</v>
          </cell>
          <cell r="E1503" t="str">
            <v>OSP
T/锡膏</v>
          </cell>
          <cell r="F1503" t="str">
            <v>洗衣机显示板</v>
          </cell>
          <cell r="G1503">
            <v>0.16433333333333333</v>
          </cell>
          <cell r="H1503">
            <v>240</v>
          </cell>
          <cell r="I1503">
            <v>38</v>
          </cell>
        </row>
        <row r="1504">
          <cell r="A1504">
            <v>10880038679</v>
          </cell>
          <cell r="B1504" t="str">
            <v>2189-B2507K G0020 20239306</v>
          </cell>
          <cell r="C1504">
            <v>10250045395</v>
          </cell>
          <cell r="D1504" t="str">
            <v>1*3</v>
          </cell>
          <cell r="E1504" t="str">
            <v>OSP
T/锡膏</v>
          </cell>
          <cell r="F1504" t="str">
            <v>洗衣机显示板</v>
          </cell>
          <cell r="G1504">
            <v>0.16433333333333333</v>
          </cell>
          <cell r="H1504">
            <v>240</v>
          </cell>
          <cell r="I1504">
            <v>38</v>
          </cell>
        </row>
        <row r="1505">
          <cell r="A1505">
            <v>10880038680</v>
          </cell>
          <cell r="B1505" t="str">
            <v>2189-B2507L G0020 20239307</v>
          </cell>
          <cell r="C1505">
            <v>10250045395</v>
          </cell>
          <cell r="D1505" t="str">
            <v>1*3</v>
          </cell>
          <cell r="E1505" t="str">
            <v>OSP
T/锡膏</v>
          </cell>
          <cell r="F1505" t="str">
            <v>洗衣机显示板</v>
          </cell>
          <cell r="G1505">
            <v>0.16433333333333333</v>
          </cell>
          <cell r="H1505">
            <v>240</v>
          </cell>
          <cell r="I1505">
            <v>38</v>
          </cell>
        </row>
        <row r="1506">
          <cell r="A1506">
            <v>10880038682</v>
          </cell>
          <cell r="B1506" t="str">
            <v>2189-B2507M G0020 20239308</v>
          </cell>
          <cell r="C1506">
            <v>10250045395</v>
          </cell>
          <cell r="D1506" t="str">
            <v>1*3</v>
          </cell>
          <cell r="E1506" t="str">
            <v>OSP
T/锡膏</v>
          </cell>
          <cell r="F1506" t="str">
            <v>洗衣机显示板</v>
          </cell>
          <cell r="G1506">
            <v>0.16433333333333333</v>
          </cell>
          <cell r="H1506">
            <v>240</v>
          </cell>
          <cell r="I1506">
            <v>38</v>
          </cell>
        </row>
        <row r="1507">
          <cell r="A1507">
            <v>10880038683</v>
          </cell>
          <cell r="B1507" t="str">
            <v>2189-B2507N G0020 20239309</v>
          </cell>
          <cell r="C1507">
            <v>10250045395</v>
          </cell>
          <cell r="D1507" t="str">
            <v>1*3</v>
          </cell>
          <cell r="E1507" t="str">
            <v>OSP
T/锡膏</v>
          </cell>
          <cell r="F1507" t="str">
            <v>洗衣机显示板</v>
          </cell>
          <cell r="G1507">
            <v>0.16433333333333333</v>
          </cell>
          <cell r="H1507">
            <v>240</v>
          </cell>
          <cell r="I1507">
            <v>38</v>
          </cell>
        </row>
        <row r="1508">
          <cell r="A1508">
            <v>10880038724</v>
          </cell>
          <cell r="B1508" t="str">
            <v>2189-B2507O G0020 20141243</v>
          </cell>
          <cell r="C1508">
            <v>10250045395</v>
          </cell>
          <cell r="D1508" t="str">
            <v>1*3</v>
          </cell>
          <cell r="E1508" t="str">
            <v>OSP
T/锡膏</v>
          </cell>
          <cell r="F1508" t="str">
            <v>洗衣机显示板</v>
          </cell>
          <cell r="G1508">
            <v>0.16433333333333333</v>
          </cell>
          <cell r="H1508">
            <v>240</v>
          </cell>
          <cell r="I1508">
            <v>38</v>
          </cell>
        </row>
        <row r="1509">
          <cell r="A1509">
            <v>10880038725</v>
          </cell>
          <cell r="B1509" t="str">
            <v>2189-B2507P G0020 20159305</v>
          </cell>
          <cell r="C1509">
            <v>10250045395</v>
          </cell>
          <cell r="D1509" t="str">
            <v>1*3</v>
          </cell>
          <cell r="E1509" t="str">
            <v>OSP
T/锡膏</v>
          </cell>
          <cell r="F1509" t="str">
            <v>洗衣机显示板</v>
          </cell>
          <cell r="G1509">
            <v>0.16433333333333333</v>
          </cell>
          <cell r="H1509">
            <v>240</v>
          </cell>
          <cell r="I1509">
            <v>38</v>
          </cell>
        </row>
        <row r="1510">
          <cell r="A1510">
            <v>10880038726</v>
          </cell>
          <cell r="B1510" t="str">
            <v>2189-B2507Q G0020 20159304</v>
          </cell>
          <cell r="C1510">
            <v>10250045395</v>
          </cell>
          <cell r="D1510" t="str">
            <v>1*3</v>
          </cell>
          <cell r="E1510" t="str">
            <v>OSP
T/锡膏</v>
          </cell>
          <cell r="F1510" t="str">
            <v>洗衣机显示板</v>
          </cell>
          <cell r="G1510">
            <v>0.16433333333333333</v>
          </cell>
          <cell r="H1510">
            <v>240</v>
          </cell>
          <cell r="I1510">
            <v>38</v>
          </cell>
        </row>
        <row r="1511">
          <cell r="A1511">
            <v>10880038727</v>
          </cell>
          <cell r="B1511" t="str">
            <v>2189-B2507R G0020 20127549</v>
          </cell>
          <cell r="C1511">
            <v>10250045395</v>
          </cell>
          <cell r="D1511" t="str">
            <v>1*3</v>
          </cell>
          <cell r="E1511" t="str">
            <v>OSP
T/锡膏</v>
          </cell>
          <cell r="F1511" t="str">
            <v>洗衣机显示板</v>
          </cell>
          <cell r="G1511">
            <v>0.16433333333333333</v>
          </cell>
          <cell r="H1511">
            <v>240</v>
          </cell>
          <cell r="I1511">
            <v>38</v>
          </cell>
        </row>
        <row r="1512">
          <cell r="A1512">
            <v>10880038728</v>
          </cell>
          <cell r="B1512" t="str">
            <v>2189-B2507S G0020 20244767</v>
          </cell>
          <cell r="C1512">
            <v>10250045395</v>
          </cell>
          <cell r="D1512" t="str">
            <v>1*3</v>
          </cell>
          <cell r="E1512" t="str">
            <v>OSP
T/锡膏</v>
          </cell>
          <cell r="F1512" t="str">
            <v>洗衣机显示板</v>
          </cell>
          <cell r="G1512">
            <v>0.16433333333333333</v>
          </cell>
          <cell r="H1512">
            <v>240</v>
          </cell>
          <cell r="I1512">
            <v>38</v>
          </cell>
        </row>
        <row r="1513">
          <cell r="A1513">
            <v>10880035795</v>
          </cell>
          <cell r="B1513" t="str">
            <v>1886-C2512A G0020 20116662 7i干衣机面板</v>
          </cell>
          <cell r="C1513">
            <v>10250045333</v>
          </cell>
          <cell r="D1513" t="str">
            <v>通用板:1*2
旋钮板:1*10
MIC板1*30</v>
          </cell>
          <cell r="E1513" t="str">
            <v>OSP
T/锡膏</v>
          </cell>
          <cell r="F1513" t="str">
            <v>干衣机面板</v>
          </cell>
          <cell r="G1513">
            <v>0.32666666666666666</v>
          </cell>
          <cell r="H1513">
            <v>60</v>
          </cell>
          <cell r="I1513">
            <v>58</v>
          </cell>
        </row>
        <row r="1514">
          <cell r="A1514">
            <v>10880035795</v>
          </cell>
          <cell r="B1514" t="str">
            <v>1886-C2512A G0020 20116662 干衣机面板</v>
          </cell>
        </row>
        <row r="1515">
          <cell r="A1515">
            <v>10880035795</v>
          </cell>
          <cell r="B1515" t="str">
            <v>1886-C2512A G0020 20116662 干衣机面板</v>
          </cell>
        </row>
        <row r="1516">
          <cell r="A1516">
            <v>10880036020</v>
          </cell>
          <cell r="B1516" t="str">
            <v>1886-C2512B G0020 20117323 7i洗衣机面板</v>
          </cell>
          <cell r="C1516">
            <v>10250045333</v>
          </cell>
          <cell r="D1516" t="str">
            <v>通用板:1*2
旋钮板:1*10
MIC板1*30</v>
          </cell>
          <cell r="E1516" t="str">
            <v>OSP
T/锡膏</v>
          </cell>
          <cell r="F1516" t="str">
            <v>洗衣机面板</v>
          </cell>
          <cell r="G1516">
            <v>0.32666666666666666</v>
          </cell>
          <cell r="H1516">
            <v>60</v>
          </cell>
          <cell r="I1516">
            <v>58</v>
          </cell>
        </row>
        <row r="1517">
          <cell r="A1517">
            <v>10880036020</v>
          </cell>
          <cell r="B1517" t="str">
            <v>1886-C2512B G0020 20117323 洗衣机面板</v>
          </cell>
        </row>
        <row r="1518">
          <cell r="A1518">
            <v>10880036020</v>
          </cell>
          <cell r="B1518" t="str">
            <v>1886-C2512B G0020 20117323 洗衣机面板</v>
          </cell>
        </row>
        <row r="1519">
          <cell r="A1519">
            <v>10880038251</v>
          </cell>
          <cell r="B1519" t="str">
            <v>1886-C2512C G0020 20116663 7i干衣机面板 天青墨</v>
          </cell>
          <cell r="C1519">
            <v>10250045333</v>
          </cell>
          <cell r="D1519" t="str">
            <v>通用板:1*2
旋钮板:1*10
MIC板1*30</v>
          </cell>
          <cell r="E1519" t="str">
            <v>OSP
T/锡膏</v>
          </cell>
          <cell r="F1519" t="str">
            <v>干衣机面板</v>
          </cell>
          <cell r="G1519">
            <v>0.32666666666666666</v>
          </cell>
          <cell r="H1519">
            <v>60</v>
          </cell>
          <cell r="I1519">
            <v>58</v>
          </cell>
        </row>
        <row r="1520">
          <cell r="A1520">
            <v>10880035795</v>
          </cell>
          <cell r="B1520" t="str">
            <v>1886-C2512A G0020 20116662 干衣机面板</v>
          </cell>
        </row>
        <row r="1521">
          <cell r="A1521">
            <v>10880035795</v>
          </cell>
          <cell r="B1521" t="str">
            <v>1886-C2512A G0020 20116662 干衣机面板</v>
          </cell>
        </row>
        <row r="1522">
          <cell r="A1522">
            <v>10880038252</v>
          </cell>
          <cell r="B1522" t="str">
            <v>1886-C2512D G0020 20170752 7i洗衣机面板 天青墨</v>
          </cell>
          <cell r="C1522">
            <v>10250045333</v>
          </cell>
          <cell r="D1522" t="str">
            <v>通用板:1*2
旋钮板:1*10
MIC板1*30</v>
          </cell>
          <cell r="E1522" t="str">
            <v>OSP
T/锡膏</v>
          </cell>
          <cell r="F1522" t="str">
            <v>洗衣机面板</v>
          </cell>
          <cell r="G1522">
            <v>0.32666666666666666</v>
          </cell>
          <cell r="H1522">
            <v>60</v>
          </cell>
          <cell r="I1522">
            <v>58</v>
          </cell>
        </row>
        <row r="1523">
          <cell r="A1523">
            <v>10880035795</v>
          </cell>
          <cell r="B1523" t="str">
            <v>1886-C2512A G0020 20116662 干衣机面板</v>
          </cell>
        </row>
        <row r="1524">
          <cell r="A1524">
            <v>10880035795</v>
          </cell>
          <cell r="B1524" t="str">
            <v>1886-C2512A G0020 20116662 干衣机面板</v>
          </cell>
        </row>
        <row r="1525">
          <cell r="A1525">
            <v>10880038809</v>
          </cell>
          <cell r="B1525" t="str">
            <v>1886-C2512E G0020 20235808 7i干衣机面板 新能效全球白</v>
          </cell>
          <cell r="C1525">
            <v>10250045333</v>
          </cell>
          <cell r="D1525" t="str">
            <v>通用板:1*2
旋钮板:1*10
MIC板1*30</v>
          </cell>
          <cell r="E1525" t="str">
            <v>OSP
T/锡膏</v>
          </cell>
          <cell r="F1525" t="str">
            <v>干衣机面板</v>
          </cell>
          <cell r="G1525">
            <v>0.32666666666666666</v>
          </cell>
          <cell r="H1525">
            <v>60</v>
          </cell>
          <cell r="I1525">
            <v>58</v>
          </cell>
        </row>
        <row r="1526">
          <cell r="A1526">
            <v>10880035795</v>
          </cell>
          <cell r="B1526" t="str">
            <v>1886-C2512A G0020 20116662 干衣机面板</v>
          </cell>
        </row>
        <row r="1527">
          <cell r="A1527">
            <v>10880035795</v>
          </cell>
          <cell r="B1527" t="str">
            <v>1886-C2512A G0020 20116662 干衣机面板</v>
          </cell>
        </row>
        <row r="1528">
          <cell r="A1528">
            <v>10880038810</v>
          </cell>
          <cell r="B1528" t="str">
            <v>1886-C2512F G0020 20239594 7i干衣机面板 新能效天青墨</v>
          </cell>
          <cell r="C1528">
            <v>10250045333</v>
          </cell>
          <cell r="D1528" t="str">
            <v>通用板:1*2
旋钮板:1*10
MIC板1*30</v>
          </cell>
          <cell r="E1528" t="str">
            <v>OSP
T/锡膏</v>
          </cell>
          <cell r="F1528" t="str">
            <v>干衣机面板</v>
          </cell>
          <cell r="G1528">
            <v>0.32666666666666666</v>
          </cell>
          <cell r="H1528">
            <v>60</v>
          </cell>
          <cell r="I1528">
            <v>58</v>
          </cell>
        </row>
        <row r="1529">
          <cell r="A1529">
            <v>10880035795</v>
          </cell>
          <cell r="B1529" t="str">
            <v>1886-C2512A G0020 20116662 干衣机面板</v>
          </cell>
        </row>
        <row r="1530">
          <cell r="A1530">
            <v>10880035795</v>
          </cell>
          <cell r="B1530" t="str">
            <v>1886-C2512A G0020 20116662 干衣机面板</v>
          </cell>
        </row>
        <row r="1531">
          <cell r="A1531">
            <v>10880035299</v>
          </cell>
          <cell r="B1531" t="str">
            <v>500269-C2501A-X G0020 12990319 DW50CN 澳洲</v>
          </cell>
          <cell r="C1531">
            <v>10250037028</v>
          </cell>
          <cell r="D1531" t="str">
            <v>通用板:1*4
电源板+启动板板:1*（6+6）</v>
          </cell>
          <cell r="E1531" t="str">
            <v>OSP
T/锡膏</v>
          </cell>
          <cell r="F1531" t="str">
            <v>洗碗机面板</v>
          </cell>
          <cell r="G1531">
            <v>0.37166666666666665</v>
          </cell>
          <cell r="H1531">
            <v>60</v>
          </cell>
          <cell r="I1531">
            <v>41</v>
          </cell>
        </row>
        <row r="1532">
          <cell r="A1532">
            <v>10880035299</v>
          </cell>
          <cell r="B1532" t="str">
            <v>500269-C2501A-X G0020 12990319 DW50CN 澳洲</v>
          </cell>
        </row>
        <row r="1533">
          <cell r="A1533">
            <v>10880035299</v>
          </cell>
          <cell r="B1533" t="str">
            <v>500269-C2501A-X G0020 12990319 DW50CN 澳洲</v>
          </cell>
        </row>
        <row r="1534">
          <cell r="A1534">
            <v>10880037392</v>
          </cell>
          <cell r="B1534" t="str">
            <v>500269-C2501B-X G0020 20101789 DW50CN 中东非</v>
          </cell>
          <cell r="C1534">
            <v>10250037028</v>
          </cell>
          <cell r="D1534" t="str">
            <v>通用板:1*4
电源板+启动板板:1*（6+6）</v>
          </cell>
          <cell r="E1534" t="str">
            <v>OSP
T/锡膏</v>
          </cell>
          <cell r="F1534" t="str">
            <v>洗碗机面板</v>
          </cell>
          <cell r="G1534">
            <v>0.37166666666666665</v>
          </cell>
          <cell r="H1534">
            <v>60</v>
          </cell>
          <cell r="I1534">
            <v>41</v>
          </cell>
        </row>
        <row r="1535">
          <cell r="A1535">
            <v>10880037392</v>
          </cell>
          <cell r="B1535" t="str">
            <v>500269-C2501B-X G0020 20101789 DW50CN 中东非</v>
          </cell>
        </row>
        <row r="1536">
          <cell r="A1536">
            <v>10880037392</v>
          </cell>
          <cell r="B1536" t="str">
            <v>500269-C2501B-X G0020 20101789 DW50CN 中东非</v>
          </cell>
        </row>
        <row r="1537">
          <cell r="A1537">
            <v>10880038469</v>
          </cell>
          <cell r="B1537" t="str">
            <v>500269-C2501C-X G0020 20150940 DW50CN 欧洲</v>
          </cell>
          <cell r="C1537">
            <v>10250037028</v>
          </cell>
          <cell r="D1537" t="str">
            <v>通用板:1*4
电源板+启动板板:1*（6+6）</v>
          </cell>
          <cell r="E1537" t="str">
            <v>OSP
T/锡膏</v>
          </cell>
          <cell r="F1537" t="str">
            <v>洗碗机面板</v>
          </cell>
          <cell r="G1537">
            <v>0.37166666666666665</v>
          </cell>
          <cell r="H1537">
            <v>60</v>
          </cell>
          <cell r="I1537">
            <v>41</v>
          </cell>
        </row>
        <row r="1538">
          <cell r="A1538">
            <v>10880038469</v>
          </cell>
          <cell r="B1538" t="str">
            <v>500269-C2501C-X G0020 20150940 DW50CN 欧洲</v>
          </cell>
        </row>
        <row r="1539">
          <cell r="A1539">
            <v>10880038469</v>
          </cell>
          <cell r="B1539" t="str">
            <v>500269-C2501C-X G0020 20150940 DW50CN 欧洲</v>
          </cell>
        </row>
        <row r="1540">
          <cell r="A1540">
            <v>10880037684</v>
          </cell>
          <cell r="B1540" t="str">
            <v>1398-C2501A-DRV G0044 020300017 TEC-SC 200V级20W;屏蔽泵驱动板</v>
          </cell>
          <cell r="C1540">
            <v>10250046894</v>
          </cell>
          <cell r="D1540" t="str">
            <v>1*3</v>
          </cell>
          <cell r="E1540" t="str">
            <v>锡膏</v>
          </cell>
          <cell r="F1540" t="str">
            <v>屏蔽泵驱动板</v>
          </cell>
          <cell r="G1540">
            <v>0.1</v>
          </cell>
          <cell r="H1540">
            <v>240</v>
          </cell>
          <cell r="I1540">
            <v>24</v>
          </cell>
        </row>
        <row r="1541">
          <cell r="A1541">
            <v>10880037875</v>
          </cell>
          <cell r="B1541" t="str">
            <v>1398-C2501B-DRV G0044 020300017A TEC-SC 200V级40W;屏蔽泵驱动板</v>
          </cell>
          <cell r="C1541">
            <v>10250046894</v>
          </cell>
          <cell r="D1541" t="str">
            <v>1*3</v>
          </cell>
          <cell r="E1541" t="str">
            <v>锡膏</v>
          </cell>
          <cell r="F1541" t="str">
            <v>屏蔽泵驱动板</v>
          </cell>
          <cell r="G1541">
            <v>0.1</v>
          </cell>
          <cell r="H1541">
            <v>240</v>
          </cell>
          <cell r="I1541">
            <v>24</v>
          </cell>
        </row>
        <row r="1542">
          <cell r="A1542">
            <v>10880037876</v>
          </cell>
          <cell r="B1542" t="str">
            <v>1398-C2501C-DRV G0044 020300017B TEC-SC 200V级50W;屏蔽泵驱动板</v>
          </cell>
          <cell r="C1542">
            <v>10250046894</v>
          </cell>
          <cell r="D1542" t="str">
            <v>1*3</v>
          </cell>
          <cell r="E1542" t="str">
            <v>锡膏</v>
          </cell>
          <cell r="F1542" t="str">
            <v>屏蔽泵驱动板</v>
          </cell>
          <cell r="G1542">
            <v>0.1</v>
          </cell>
          <cell r="H1542">
            <v>240</v>
          </cell>
          <cell r="I1542">
            <v>24</v>
          </cell>
        </row>
        <row r="1543">
          <cell r="A1543">
            <v>10880037877</v>
          </cell>
          <cell r="B1543" t="str">
            <v>1398-C2501D-DRV G0044 020300017C TEC-SC 200V级75W;屏蔽泵驱动板</v>
          </cell>
          <cell r="C1543">
            <v>10250046894</v>
          </cell>
          <cell r="D1543" t="str">
            <v>1*3</v>
          </cell>
          <cell r="E1543" t="str">
            <v>锡膏</v>
          </cell>
          <cell r="F1543" t="str">
            <v>屏蔽泵驱动板</v>
          </cell>
          <cell r="G1543">
            <v>0.1</v>
          </cell>
          <cell r="H1543">
            <v>240</v>
          </cell>
          <cell r="I1543">
            <v>24</v>
          </cell>
        </row>
        <row r="1544">
          <cell r="A1544">
            <v>10880037878</v>
          </cell>
          <cell r="B1544" t="str">
            <v>1398-C2501E-DRV G0044 020300017D TEC-SC 200V级87W;屏蔽泵驱动板</v>
          </cell>
          <cell r="C1544">
            <v>10250046894</v>
          </cell>
          <cell r="D1544" t="str">
            <v>1*3</v>
          </cell>
          <cell r="E1544" t="str">
            <v>锡膏</v>
          </cell>
          <cell r="F1544" t="str">
            <v>屏蔽泵驱动板</v>
          </cell>
          <cell r="G1544">
            <v>0.1</v>
          </cell>
          <cell r="H1544">
            <v>240</v>
          </cell>
          <cell r="I1544">
            <v>24</v>
          </cell>
        </row>
        <row r="1545">
          <cell r="A1545">
            <v>10880037685</v>
          </cell>
          <cell r="B1545" t="str">
            <v>1398-C2505A-DRV G0044 020300020 INT-LIN 200V级20W;屏蔽泵驱动板</v>
          </cell>
          <cell r="C1545">
            <v>10250046894</v>
          </cell>
          <cell r="D1545" t="str">
            <v>1*3</v>
          </cell>
          <cell r="E1545" t="str">
            <v>锡膏</v>
          </cell>
          <cell r="F1545" t="str">
            <v>屏蔽泵驱动板</v>
          </cell>
          <cell r="G1545">
            <v>0.12</v>
          </cell>
          <cell r="H1545">
            <v>200</v>
          </cell>
          <cell r="I1545">
            <v>24</v>
          </cell>
        </row>
        <row r="1546">
          <cell r="A1546">
            <v>10880037879</v>
          </cell>
          <cell r="B1546" t="str">
            <v>1398-C2505B-DRV G0044 020300020A INT-LIN 200V级40W;屏蔽泵驱动板</v>
          </cell>
          <cell r="C1546">
            <v>10250046894</v>
          </cell>
          <cell r="D1546" t="str">
            <v>1*3</v>
          </cell>
          <cell r="E1546" t="str">
            <v>锡膏</v>
          </cell>
          <cell r="F1546" t="str">
            <v>屏蔽泵驱动板</v>
          </cell>
          <cell r="G1546">
            <v>0.12</v>
          </cell>
          <cell r="H1546">
            <v>200</v>
          </cell>
          <cell r="I1546">
            <v>24</v>
          </cell>
        </row>
        <row r="1547">
          <cell r="A1547">
            <v>10880037880</v>
          </cell>
          <cell r="B1547" t="str">
            <v>1398-C2505C-DRV G0044 020300020B INT-LIN 200V级50W;屏蔽泵驱动板</v>
          </cell>
          <cell r="C1547">
            <v>10250046894</v>
          </cell>
          <cell r="D1547" t="str">
            <v>1*3</v>
          </cell>
          <cell r="E1547" t="str">
            <v>锡膏</v>
          </cell>
          <cell r="F1547" t="str">
            <v>屏蔽泵驱动板</v>
          </cell>
          <cell r="G1547">
            <v>0.12</v>
          </cell>
          <cell r="H1547">
            <v>200</v>
          </cell>
          <cell r="I1547">
            <v>24</v>
          </cell>
        </row>
        <row r="1548">
          <cell r="A1548">
            <v>10880037881</v>
          </cell>
          <cell r="B1548" t="str">
            <v>1398-C2505D-DRV G0044 020300020C INT-LIN 200V级75W;屏蔽泵驱动板</v>
          </cell>
          <cell r="C1548">
            <v>10250046894</v>
          </cell>
          <cell r="D1548" t="str">
            <v>1*3</v>
          </cell>
          <cell r="E1548" t="str">
            <v>锡膏</v>
          </cell>
          <cell r="F1548" t="str">
            <v>屏蔽泵驱动板</v>
          </cell>
          <cell r="G1548">
            <v>0.12</v>
          </cell>
          <cell r="H1548">
            <v>200</v>
          </cell>
          <cell r="I1548">
            <v>24</v>
          </cell>
        </row>
        <row r="1549">
          <cell r="A1549">
            <v>10880037882</v>
          </cell>
          <cell r="B1549" t="str">
            <v>1398-C2505E-DRV G0044 020300020D INT-LIN 200V级87W;屏蔽泵驱动板</v>
          </cell>
          <cell r="C1549">
            <v>10250046894</v>
          </cell>
          <cell r="D1549" t="str">
            <v>1*3</v>
          </cell>
          <cell r="E1549" t="str">
            <v>锡膏</v>
          </cell>
          <cell r="F1549" t="str">
            <v>屏蔽泵驱动板</v>
          </cell>
          <cell r="G1549">
            <v>0.12</v>
          </cell>
          <cell r="H1549">
            <v>200</v>
          </cell>
          <cell r="I1549">
            <v>24</v>
          </cell>
        </row>
        <row r="1550">
          <cell r="A1550">
            <v>10880037686</v>
          </cell>
          <cell r="B1550" t="str">
            <v>1398-C2506A-DRV G0044 020300022 INT-PWM 200V级20W;屏蔽泵驱动板</v>
          </cell>
          <cell r="C1550">
            <v>10250046894</v>
          </cell>
          <cell r="D1550" t="str">
            <v>1*3</v>
          </cell>
          <cell r="E1550" t="str">
            <v>锡膏</v>
          </cell>
          <cell r="F1550" t="str">
            <v>屏蔽泵驱动板</v>
          </cell>
          <cell r="G1550">
            <v>0.12</v>
          </cell>
          <cell r="H1550">
            <v>200</v>
          </cell>
          <cell r="I1550">
            <v>24</v>
          </cell>
        </row>
        <row r="1551">
          <cell r="A1551">
            <v>10880037883</v>
          </cell>
          <cell r="B1551" t="str">
            <v>1398-C2506B-DRV G0044 020300022A INT-PWM 200V级40W;屏蔽泵驱动板</v>
          </cell>
          <cell r="C1551">
            <v>10250046894</v>
          </cell>
          <cell r="D1551" t="str">
            <v>1*3</v>
          </cell>
          <cell r="E1551" t="str">
            <v>锡膏</v>
          </cell>
          <cell r="F1551" t="str">
            <v>屏蔽泵驱动板</v>
          </cell>
          <cell r="G1551">
            <v>0.12</v>
          </cell>
          <cell r="H1551">
            <v>200</v>
          </cell>
          <cell r="I1551">
            <v>24</v>
          </cell>
        </row>
        <row r="1552">
          <cell r="A1552">
            <v>10880037884</v>
          </cell>
          <cell r="B1552" t="str">
            <v>1398-C2506C-DRV G0044 020300022B INT-PWM 200V级50W;屏蔽泵驱动板</v>
          </cell>
          <cell r="C1552">
            <v>10250046894</v>
          </cell>
          <cell r="D1552" t="str">
            <v>1*3</v>
          </cell>
          <cell r="E1552" t="str">
            <v>锡膏</v>
          </cell>
          <cell r="F1552" t="str">
            <v>屏蔽泵驱动板</v>
          </cell>
          <cell r="G1552">
            <v>0.12</v>
          </cell>
          <cell r="H1552">
            <v>200</v>
          </cell>
          <cell r="I1552">
            <v>24</v>
          </cell>
        </row>
        <row r="1553">
          <cell r="A1553">
            <v>10880037885</v>
          </cell>
          <cell r="B1553" t="str">
            <v>1398-C2506D-DRV G0044 020300022C INT-PWM 200V级75W;屏蔽泵驱动板</v>
          </cell>
          <cell r="C1553">
            <v>10250046894</v>
          </cell>
          <cell r="D1553" t="str">
            <v>1*3</v>
          </cell>
          <cell r="E1553" t="str">
            <v>锡膏</v>
          </cell>
          <cell r="F1553" t="str">
            <v>屏蔽泵驱动板</v>
          </cell>
          <cell r="G1553">
            <v>0.12</v>
          </cell>
          <cell r="H1553">
            <v>200</v>
          </cell>
          <cell r="I1553">
            <v>24</v>
          </cell>
        </row>
        <row r="1554">
          <cell r="A1554">
            <v>10880037886</v>
          </cell>
          <cell r="B1554" t="str">
            <v>1398-C2506E-DRV G0044 020300022D INT-PWM 200V级87W;屏蔽泵驱动板</v>
          </cell>
          <cell r="C1554">
            <v>10250046894</v>
          </cell>
          <cell r="D1554" t="str">
            <v>1*3</v>
          </cell>
          <cell r="E1554" t="str">
            <v>锡膏</v>
          </cell>
          <cell r="F1554" t="str">
            <v>屏蔽泵驱动板</v>
          </cell>
          <cell r="G1554">
            <v>0.12</v>
          </cell>
          <cell r="H1554">
            <v>200</v>
          </cell>
          <cell r="I1554">
            <v>24</v>
          </cell>
        </row>
        <row r="1555">
          <cell r="A1555">
            <v>10880037678</v>
          </cell>
          <cell r="B1555" t="str">
            <v>1398-C2503A-DRV G0044 Tec Plus-SC 128W 020300023</v>
          </cell>
          <cell r="C1555">
            <v>10250046934</v>
          </cell>
          <cell r="D1555" t="str">
            <v>1*4</v>
          </cell>
          <cell r="E1555" t="str">
            <v>锡膏</v>
          </cell>
          <cell r="F1555" t="str">
            <v>屏蔽泵驱动板</v>
          </cell>
          <cell r="G1555">
            <v>0.1</v>
          </cell>
          <cell r="H1555">
            <v>240</v>
          </cell>
          <cell r="I1555">
            <v>24</v>
          </cell>
        </row>
        <row r="1556">
          <cell r="A1556">
            <v>10880037828</v>
          </cell>
          <cell r="B1556" t="str">
            <v>1398-C2503B-DRV G0044 Tec Plus-SC 134W 020300023A</v>
          </cell>
          <cell r="C1556">
            <v>10250046934</v>
          </cell>
          <cell r="D1556" t="str">
            <v>1*4</v>
          </cell>
          <cell r="E1556" t="str">
            <v>锡膏</v>
          </cell>
          <cell r="F1556" t="str">
            <v>屏蔽泵驱动板</v>
          </cell>
          <cell r="G1556">
            <v>0.1</v>
          </cell>
          <cell r="H1556">
            <v>240</v>
          </cell>
          <cell r="I1556">
            <v>24</v>
          </cell>
        </row>
        <row r="1557">
          <cell r="A1557">
            <v>10880037829</v>
          </cell>
          <cell r="B1557" t="str">
            <v>1398-C2503C-DRV G0044 Tec Plus-SC 195W 020300023B</v>
          </cell>
          <cell r="C1557">
            <v>10250046934</v>
          </cell>
          <cell r="D1557" t="str">
            <v>1*4</v>
          </cell>
          <cell r="E1557" t="str">
            <v>锡膏</v>
          </cell>
          <cell r="F1557" t="str">
            <v>屏蔽泵驱动板</v>
          </cell>
          <cell r="G1557">
            <v>0.1</v>
          </cell>
          <cell r="H1557">
            <v>240</v>
          </cell>
          <cell r="I1557">
            <v>24</v>
          </cell>
        </row>
        <row r="1558">
          <cell r="A1558">
            <v>10880037830</v>
          </cell>
          <cell r="B1558" t="str">
            <v>1398-C2503D-DRV G0044 Tec Plus-SC 200W 020300023C</v>
          </cell>
          <cell r="C1558">
            <v>10250046934</v>
          </cell>
          <cell r="D1558" t="str">
            <v>1*4</v>
          </cell>
          <cell r="E1558" t="str">
            <v>锡膏</v>
          </cell>
          <cell r="F1558" t="str">
            <v>屏蔽泵驱动板</v>
          </cell>
          <cell r="G1558">
            <v>0.1</v>
          </cell>
          <cell r="H1558">
            <v>240</v>
          </cell>
          <cell r="I1558">
            <v>24</v>
          </cell>
        </row>
        <row r="1559">
          <cell r="A1559">
            <v>10880037681</v>
          </cell>
          <cell r="B1559" t="str">
            <v>1398-C2507A-DRV G0044 INT PLUS-LIN 128W 020300024</v>
          </cell>
          <cell r="C1559">
            <v>10250046934</v>
          </cell>
          <cell r="D1559" t="str">
            <v>1*4</v>
          </cell>
          <cell r="E1559" t="str">
            <v>锡膏</v>
          </cell>
          <cell r="F1559" t="str">
            <v>屏蔽泵驱动板</v>
          </cell>
          <cell r="G1559">
            <v>0.12</v>
          </cell>
          <cell r="H1559">
            <v>200</v>
          </cell>
          <cell r="I1559">
            <v>24</v>
          </cell>
        </row>
        <row r="1560">
          <cell r="A1560">
            <v>10880037834</v>
          </cell>
          <cell r="B1560" t="str">
            <v>1398-C2507B-DRV G0044 INT PLUS-LIN 134W 020300024A</v>
          </cell>
          <cell r="C1560">
            <v>10250046934</v>
          </cell>
          <cell r="D1560" t="str">
            <v>1*4</v>
          </cell>
          <cell r="E1560" t="str">
            <v>锡膏</v>
          </cell>
          <cell r="F1560" t="str">
            <v>屏蔽泵驱动板</v>
          </cell>
          <cell r="G1560">
            <v>0.12</v>
          </cell>
          <cell r="H1560">
            <v>200</v>
          </cell>
          <cell r="I1560">
            <v>24</v>
          </cell>
        </row>
        <row r="1561">
          <cell r="A1561">
            <v>10880037835</v>
          </cell>
          <cell r="B1561" t="str">
            <v>1398-C2507C-DRV G0044 INT PLUS-LIN 195W 020300024B</v>
          </cell>
          <cell r="C1561">
            <v>10250046934</v>
          </cell>
          <cell r="D1561" t="str">
            <v>1*4</v>
          </cell>
          <cell r="E1561" t="str">
            <v>锡膏</v>
          </cell>
          <cell r="F1561" t="str">
            <v>屏蔽泵驱动板</v>
          </cell>
          <cell r="G1561">
            <v>0.12</v>
          </cell>
          <cell r="H1561">
            <v>200</v>
          </cell>
          <cell r="I1561">
            <v>24</v>
          </cell>
        </row>
        <row r="1562">
          <cell r="A1562">
            <v>10880037836</v>
          </cell>
          <cell r="B1562" t="str">
            <v>1398-C2507D-DRV G0044 INT PLUS-LIN  200W 020300024C</v>
          </cell>
          <cell r="C1562">
            <v>10250046934</v>
          </cell>
          <cell r="D1562" t="str">
            <v>1*4</v>
          </cell>
          <cell r="E1562" t="str">
            <v>锡膏</v>
          </cell>
          <cell r="F1562" t="str">
            <v>屏蔽泵驱动板</v>
          </cell>
          <cell r="G1562">
            <v>0.12</v>
          </cell>
          <cell r="H1562">
            <v>200</v>
          </cell>
          <cell r="I1562">
            <v>24</v>
          </cell>
        </row>
        <row r="1563">
          <cell r="A1563">
            <v>10880037679</v>
          </cell>
          <cell r="B1563" t="str">
            <v>1398-C2508A-DRV G0044 IntPlus-PWM 128W 020300025</v>
          </cell>
          <cell r="C1563">
            <v>10250046934</v>
          </cell>
          <cell r="D1563" t="str">
            <v>1*4</v>
          </cell>
          <cell r="E1563" t="str">
            <v>锡膏</v>
          </cell>
          <cell r="F1563" t="str">
            <v>屏蔽泵驱动板</v>
          </cell>
          <cell r="G1563">
            <v>0.12</v>
          </cell>
          <cell r="H1563">
            <v>200</v>
          </cell>
          <cell r="I1563">
            <v>24</v>
          </cell>
        </row>
        <row r="1564">
          <cell r="A1564">
            <v>10880037831</v>
          </cell>
          <cell r="B1564" t="str">
            <v>1398-C2508B-DRV G0044 IntPlus-PWM 134W 020300025A</v>
          </cell>
          <cell r="C1564">
            <v>10250046934</v>
          </cell>
          <cell r="D1564" t="str">
            <v>1*4</v>
          </cell>
          <cell r="E1564" t="str">
            <v>锡膏</v>
          </cell>
          <cell r="F1564" t="str">
            <v>屏蔽泵驱动板</v>
          </cell>
          <cell r="G1564">
            <v>0.12</v>
          </cell>
          <cell r="H1564">
            <v>200</v>
          </cell>
          <cell r="I1564">
            <v>24</v>
          </cell>
        </row>
        <row r="1565">
          <cell r="A1565">
            <v>10880037832</v>
          </cell>
          <cell r="B1565" t="str">
            <v>1398-C2508C-DRV G0044 IntPlus-PWM 195W 020300025B</v>
          </cell>
          <cell r="C1565">
            <v>10250046934</v>
          </cell>
          <cell r="D1565" t="str">
            <v>1*4</v>
          </cell>
          <cell r="E1565" t="str">
            <v>锡膏</v>
          </cell>
          <cell r="F1565" t="str">
            <v>屏蔽泵驱动板</v>
          </cell>
          <cell r="G1565">
            <v>0.12</v>
          </cell>
          <cell r="H1565">
            <v>200</v>
          </cell>
          <cell r="I1565">
            <v>24</v>
          </cell>
        </row>
        <row r="1566">
          <cell r="A1566">
            <v>10880037833</v>
          </cell>
          <cell r="B1566" t="str">
            <v>1398-C2508D-DRV G0044 IntPlus-PWM 200W 020300025C</v>
          </cell>
          <cell r="C1566">
            <v>10250046934</v>
          </cell>
          <cell r="D1566" t="str">
            <v>1*4</v>
          </cell>
          <cell r="E1566" t="str">
            <v>锡膏</v>
          </cell>
          <cell r="F1566" t="str">
            <v>屏蔽泵驱动板</v>
          </cell>
          <cell r="G1566">
            <v>0.12</v>
          </cell>
          <cell r="H1566">
            <v>200</v>
          </cell>
          <cell r="I1566">
            <v>24</v>
          </cell>
        </row>
        <row r="1567">
          <cell r="A1567">
            <v>10880037689</v>
          </cell>
          <cell r="B1567" t="str">
            <v>1398-C2502A-D G0044 020200024 Int型;屏蔽泵面板</v>
          </cell>
          <cell r="C1567">
            <v>10250046931</v>
          </cell>
          <cell r="D1567" t="str">
            <v>1*8</v>
          </cell>
          <cell r="E1567" t="str">
            <v>锡膏</v>
          </cell>
          <cell r="F1567" t="str">
            <v>屏蔽泵显示板</v>
          </cell>
          <cell r="G1567">
            <v>2.1666666666666667E-2</v>
          </cell>
          <cell r="H1567">
            <v>600</v>
          </cell>
          <cell r="I1567">
            <v>13</v>
          </cell>
        </row>
        <row r="1568">
          <cell r="A1568">
            <v>10880037691</v>
          </cell>
          <cell r="B1568" t="str">
            <v>1398-C2504A-D G0044 020300026 Tec型;屏蔽泵面板</v>
          </cell>
          <cell r="C1568">
            <v>10250046883</v>
          </cell>
          <cell r="D1568" t="str">
            <v>1*8</v>
          </cell>
          <cell r="E1568" t="str">
            <v>锡膏</v>
          </cell>
          <cell r="F1568" t="str">
            <v>屏蔽泵显示板</v>
          </cell>
          <cell r="G1568">
            <v>2.1666666666666667E-2</v>
          </cell>
          <cell r="H1568">
            <v>600</v>
          </cell>
          <cell r="I1568">
            <v>13</v>
          </cell>
        </row>
        <row r="1569">
          <cell r="A1569">
            <v>10400030194</v>
          </cell>
          <cell r="B1569" t="str">
            <v>1886-C2512A-X 20116662 干衣机通用板</v>
          </cell>
          <cell r="F1569" t="str">
            <v>7i干衣机通用板</v>
          </cell>
          <cell r="G1569">
            <v>0.05</v>
          </cell>
          <cell r="H1569">
            <v>600</v>
          </cell>
          <cell r="I1569">
            <v>30</v>
          </cell>
        </row>
        <row r="1570">
          <cell r="A1570">
            <v>10400030197</v>
          </cell>
          <cell r="B1570" t="str">
            <v>1886-C2512A-K 干洗衣机按键旋钮板</v>
          </cell>
          <cell r="F1570" t="str">
            <v>7i洗干按键板</v>
          </cell>
          <cell r="G1570">
            <v>0.01</v>
          </cell>
          <cell r="H1570">
            <v>1200</v>
          </cell>
          <cell r="I1570">
            <v>12</v>
          </cell>
        </row>
        <row r="1571">
          <cell r="A1571" t="str">
            <v>组装</v>
          </cell>
          <cell r="B1571" t="str">
            <v>组装</v>
          </cell>
          <cell r="F1571" t="str">
            <v>洗衣机</v>
          </cell>
          <cell r="G1571">
            <v>0.26666666666666666</v>
          </cell>
          <cell r="H1571">
            <v>60</v>
          </cell>
          <cell r="I1571">
            <v>16</v>
          </cell>
        </row>
        <row r="1572">
          <cell r="A1572">
            <v>10400030493</v>
          </cell>
          <cell r="B1572" t="str">
            <v>1886-C2512B-X 20117323 洗衣机通用板</v>
          </cell>
          <cell r="F1572" t="str">
            <v>7i洗衣机通用板</v>
          </cell>
          <cell r="G1572">
            <v>0.05</v>
          </cell>
          <cell r="H1572">
            <v>600</v>
          </cell>
          <cell r="I1572">
            <v>30</v>
          </cell>
        </row>
        <row r="1573">
          <cell r="A1573">
            <v>10400030197</v>
          </cell>
          <cell r="B1573" t="str">
            <v>1886-C2512A-K 干洗衣机按键旋钮板</v>
          </cell>
          <cell r="F1573" t="str">
            <v>7i洗干按键板</v>
          </cell>
          <cell r="G1573">
            <v>0.01</v>
          </cell>
          <cell r="H1573">
            <v>1200</v>
          </cell>
          <cell r="I1573">
            <v>12</v>
          </cell>
        </row>
        <row r="1574">
          <cell r="A1574" t="str">
            <v>组装</v>
          </cell>
          <cell r="B1574" t="str">
            <v>组装</v>
          </cell>
          <cell r="F1574" t="str">
            <v>洗衣机</v>
          </cell>
          <cell r="G1574">
            <v>0.26666666666666666</v>
          </cell>
          <cell r="H1574">
            <v>60</v>
          </cell>
          <cell r="I1574">
            <v>16</v>
          </cell>
        </row>
        <row r="1575">
          <cell r="A1575">
            <v>10400033494</v>
          </cell>
          <cell r="B1575" t="str">
            <v>1886-C2512C-X 20116663 7i干衣机通用板 天青墨</v>
          </cell>
          <cell r="F1575" t="str">
            <v>7i干衣机通用板</v>
          </cell>
          <cell r="G1575">
            <v>0.05</v>
          </cell>
          <cell r="H1575">
            <v>600</v>
          </cell>
          <cell r="I1575">
            <v>30</v>
          </cell>
        </row>
        <row r="1576">
          <cell r="A1576">
            <v>10400030197</v>
          </cell>
          <cell r="B1576" t="str">
            <v>1886-C2512A-K 干洗衣机按键旋钮板</v>
          </cell>
          <cell r="F1576" t="str">
            <v>7i洗干按键板</v>
          </cell>
          <cell r="G1576">
            <v>0.01</v>
          </cell>
          <cell r="H1576">
            <v>1200</v>
          </cell>
          <cell r="I1576">
            <v>12</v>
          </cell>
        </row>
        <row r="1577">
          <cell r="A1577" t="str">
            <v>组装</v>
          </cell>
          <cell r="B1577" t="str">
            <v>组装</v>
          </cell>
          <cell r="F1577" t="str">
            <v>洗衣机</v>
          </cell>
          <cell r="G1577">
            <v>0.26666666666666666</v>
          </cell>
          <cell r="H1577">
            <v>60</v>
          </cell>
          <cell r="I1577">
            <v>16</v>
          </cell>
        </row>
        <row r="1578">
          <cell r="A1578">
            <v>10400033496</v>
          </cell>
          <cell r="B1578" t="str">
            <v>1886-C2512D-X 20170752 7i洗衣机通用板 天青墨</v>
          </cell>
          <cell r="F1578" t="str">
            <v>7i洗衣机通用板</v>
          </cell>
          <cell r="G1578">
            <v>0.05</v>
          </cell>
          <cell r="H1578">
            <v>600</v>
          </cell>
          <cell r="I1578">
            <v>30</v>
          </cell>
        </row>
        <row r="1579">
          <cell r="A1579">
            <v>10400030197</v>
          </cell>
          <cell r="B1579" t="str">
            <v>1886-C2512A-K 干洗衣机按键旋钮板</v>
          </cell>
          <cell r="F1579" t="str">
            <v>7i洗干按键板</v>
          </cell>
          <cell r="G1579">
            <v>0.01</v>
          </cell>
          <cell r="H1579">
            <v>1200</v>
          </cell>
          <cell r="I1579">
            <v>12</v>
          </cell>
        </row>
        <row r="1580">
          <cell r="A1580" t="str">
            <v>组装</v>
          </cell>
          <cell r="B1580" t="str">
            <v>组装</v>
          </cell>
          <cell r="F1580" t="str">
            <v>洗衣机</v>
          </cell>
          <cell r="G1580">
            <v>0.26666666666666666</v>
          </cell>
          <cell r="H1580">
            <v>60</v>
          </cell>
          <cell r="I1580">
            <v>16</v>
          </cell>
        </row>
        <row r="1581">
          <cell r="A1581">
            <v>10400034243</v>
          </cell>
          <cell r="B1581" t="str">
            <v>1886-C2512E-X 20235808 7i干衣机通用板 新能效全球白</v>
          </cell>
          <cell r="F1581" t="str">
            <v>7i干衣机通用板</v>
          </cell>
          <cell r="G1581">
            <v>0.05</v>
          </cell>
          <cell r="H1581">
            <v>600</v>
          </cell>
          <cell r="I1581">
            <v>30</v>
          </cell>
        </row>
        <row r="1582">
          <cell r="A1582">
            <v>10400030197</v>
          </cell>
          <cell r="B1582" t="str">
            <v>1886-C2512A-K 干洗衣机按键旋钮板</v>
          </cell>
          <cell r="F1582" t="str">
            <v>7i洗干按键板</v>
          </cell>
          <cell r="G1582">
            <v>0.01</v>
          </cell>
          <cell r="H1582">
            <v>1200</v>
          </cell>
          <cell r="I1582">
            <v>12</v>
          </cell>
        </row>
        <row r="1583">
          <cell r="A1583" t="str">
            <v>组装</v>
          </cell>
          <cell r="B1583" t="str">
            <v>组装</v>
          </cell>
          <cell r="F1583" t="str">
            <v>洗衣机</v>
          </cell>
          <cell r="G1583">
            <v>0.26666666666666666</v>
          </cell>
          <cell r="H1583">
            <v>60</v>
          </cell>
          <cell r="I1583">
            <v>16</v>
          </cell>
        </row>
        <row r="1584">
          <cell r="A1584">
            <v>10400034245</v>
          </cell>
          <cell r="B1584" t="str">
            <v>1886-C2512F-X 20239594 7i干衣机通用板 新能效天青墨</v>
          </cell>
          <cell r="F1584" t="str">
            <v>7i干衣机通用板</v>
          </cell>
          <cell r="G1584">
            <v>0.05</v>
          </cell>
          <cell r="H1584">
            <v>600</v>
          </cell>
          <cell r="I1584">
            <v>30</v>
          </cell>
        </row>
        <row r="1585">
          <cell r="A1585">
            <v>10400030197</v>
          </cell>
          <cell r="B1585" t="str">
            <v>1886-C2512A-K 干洗衣机按键旋钮板</v>
          </cell>
          <cell r="F1585" t="str">
            <v>7i洗干按键板</v>
          </cell>
          <cell r="G1585">
            <v>0.01</v>
          </cell>
          <cell r="H1585">
            <v>1200</v>
          </cell>
          <cell r="I1585">
            <v>12</v>
          </cell>
        </row>
        <row r="1586">
          <cell r="A1586" t="str">
            <v>组装</v>
          </cell>
          <cell r="B1586" t="str">
            <v>组装</v>
          </cell>
          <cell r="F1586" t="str">
            <v>洗衣机</v>
          </cell>
          <cell r="G1586">
            <v>0.26666666666666666</v>
          </cell>
          <cell r="H1586">
            <v>60</v>
          </cell>
          <cell r="I1586">
            <v>16</v>
          </cell>
        </row>
        <row r="1587">
          <cell r="A1587">
            <v>10880035315</v>
          </cell>
          <cell r="B1587" t="str">
            <v>500269-C2504A-X G0020 12990319 DW50CN 澳洲</v>
          </cell>
          <cell r="F1587" t="str">
            <v>洗碗机通用板</v>
          </cell>
          <cell r="G1587">
            <v>4.2500000000000003E-2</v>
          </cell>
          <cell r="H1587">
            <v>400</v>
          </cell>
          <cell r="I1587">
            <v>17</v>
          </cell>
        </row>
        <row r="1588">
          <cell r="A1588">
            <v>10880035303</v>
          </cell>
          <cell r="B1588" t="str">
            <v xml:space="preserve">500269-C2503A-X </v>
          </cell>
          <cell r="F1588" t="str">
            <v>洗碗机电源启动板</v>
          </cell>
          <cell r="G1588">
            <v>1.2500000000000001E-2</v>
          </cell>
          <cell r="H1588">
            <v>400</v>
          </cell>
          <cell r="I1588">
            <v>5</v>
          </cell>
        </row>
        <row r="1589">
          <cell r="A1589" t="str">
            <v>组装</v>
          </cell>
          <cell r="B1589" t="str">
            <v>组装</v>
          </cell>
          <cell r="F1589" t="str">
            <v>洗碗机</v>
          </cell>
          <cell r="G1589">
            <v>0.31666666666666665</v>
          </cell>
          <cell r="H1589">
            <v>60</v>
          </cell>
          <cell r="I1589">
            <v>19</v>
          </cell>
        </row>
        <row r="1590">
          <cell r="A1590">
            <v>10880037394</v>
          </cell>
          <cell r="B1590" t="str">
            <v xml:space="preserve">500269-C2504B-X G0020 20101789 DW50CN 中东非  	</v>
          </cell>
          <cell r="F1590" t="str">
            <v>洗碗机通用板</v>
          </cell>
          <cell r="G1590">
            <v>4.2500000000000003E-2</v>
          </cell>
          <cell r="H1590">
            <v>400</v>
          </cell>
          <cell r="I1590">
            <v>17</v>
          </cell>
        </row>
        <row r="1591">
          <cell r="A1591">
            <v>10880035303</v>
          </cell>
          <cell r="B1591" t="str">
            <v xml:space="preserve">500269-C2503A-X </v>
          </cell>
          <cell r="F1591" t="str">
            <v>洗碗机电源启动板</v>
          </cell>
          <cell r="G1591">
            <v>1.2500000000000001E-2</v>
          </cell>
          <cell r="H1591">
            <v>400</v>
          </cell>
          <cell r="I1591">
            <v>5</v>
          </cell>
        </row>
        <row r="1592">
          <cell r="A1592" t="str">
            <v>组装</v>
          </cell>
          <cell r="B1592" t="str">
            <v>组装</v>
          </cell>
          <cell r="F1592" t="str">
            <v>洗碗机</v>
          </cell>
          <cell r="G1592">
            <v>0.31666666666666665</v>
          </cell>
          <cell r="H1592">
            <v>60</v>
          </cell>
          <cell r="I1592">
            <v>19</v>
          </cell>
        </row>
        <row r="1593">
          <cell r="A1593">
            <v>10880038469</v>
          </cell>
          <cell r="B1593" t="str">
            <v>500269-C2501C-X G0020 20150940 DW50CN 欧洲</v>
          </cell>
          <cell r="F1593" t="str">
            <v>洗碗机通用板</v>
          </cell>
          <cell r="G1593">
            <v>4.2500000000000003E-2</v>
          </cell>
          <cell r="H1593">
            <v>400</v>
          </cell>
          <cell r="I1593">
            <v>17</v>
          </cell>
        </row>
        <row r="1594">
          <cell r="A1594">
            <v>10880035303</v>
          </cell>
          <cell r="B1594" t="str">
            <v xml:space="preserve">500269-C2503A-X </v>
          </cell>
          <cell r="F1594" t="str">
            <v>洗碗机电源启动板</v>
          </cell>
          <cell r="G1594">
            <v>1.2500000000000001E-2</v>
          </cell>
          <cell r="H1594">
            <v>400</v>
          </cell>
          <cell r="I1594">
            <v>5</v>
          </cell>
        </row>
        <row r="1595">
          <cell r="A1595" t="str">
            <v>组装</v>
          </cell>
          <cell r="B1595" t="str">
            <v>组装</v>
          </cell>
          <cell r="F1595" t="str">
            <v>洗碗机</v>
          </cell>
          <cell r="G1595">
            <v>0.31666666666666665</v>
          </cell>
          <cell r="H1595">
            <v>60</v>
          </cell>
          <cell r="I1595">
            <v>19</v>
          </cell>
        </row>
        <row r="1596">
          <cell r="A1596">
            <v>10880033610</v>
          </cell>
          <cell r="B1596">
            <v>10880033634</v>
          </cell>
          <cell r="C1596" t="str">
            <v>500269-C2403A-X 2399506</v>
          </cell>
          <cell r="F1596" t="str">
            <v xml:space="preserve">洗衣机通用板  </v>
          </cell>
          <cell r="G1596">
            <v>3.5555555555555556E-2</v>
          </cell>
          <cell r="H1596">
            <v>450</v>
          </cell>
          <cell r="I1596">
            <v>16</v>
          </cell>
        </row>
        <row r="1597">
          <cell r="A1597">
            <v>10880030545</v>
          </cell>
          <cell r="B1597" t="str">
            <v xml:space="preserve"> 201-A2379A-O HLP5602-GWM.01  </v>
          </cell>
          <cell r="F1597" t="str">
            <v xml:space="preserve"> 干衣机通用板  </v>
          </cell>
          <cell r="G1597">
            <v>0.02</v>
          </cell>
          <cell r="H1597">
            <v>600</v>
          </cell>
          <cell r="I1597">
            <v>12</v>
          </cell>
        </row>
        <row r="1598">
          <cell r="A1598">
            <v>10880030550</v>
          </cell>
          <cell r="B1598" t="str">
            <v xml:space="preserve"> 201-A2378A-O HLP5602-GWM.01  </v>
          </cell>
          <cell r="F1598" t="str">
            <v xml:space="preserve"> 干衣机旋钮板  </v>
          </cell>
          <cell r="G1598">
            <v>3.6666666666666667E-2</v>
          </cell>
          <cell r="H1598">
            <v>600</v>
          </cell>
          <cell r="I1598">
            <v>22</v>
          </cell>
        </row>
        <row r="1599">
          <cell r="A1599" t="str">
            <v>组装</v>
          </cell>
          <cell r="B1599" t="str">
            <v>组装</v>
          </cell>
          <cell r="F1599" t="str">
            <v>干衣机</v>
          </cell>
          <cell r="G1599">
            <v>0.21666666666666667</v>
          </cell>
          <cell r="H1599">
            <v>60</v>
          </cell>
          <cell r="I1599">
            <v>13</v>
          </cell>
        </row>
        <row r="1600">
          <cell r="A1600">
            <v>10880031020</v>
          </cell>
          <cell r="B1600" t="str">
            <v xml:space="preserve"> 201-A2379B-X 7S5602(天青墨)  </v>
          </cell>
          <cell r="F1600" t="str">
            <v xml:space="preserve">洗衣机通用板 </v>
          </cell>
          <cell r="G1600">
            <v>0.02</v>
          </cell>
          <cell r="H1600">
            <v>600</v>
          </cell>
          <cell r="I1600">
            <v>12</v>
          </cell>
        </row>
        <row r="1601">
          <cell r="A1601">
            <v>10880030545</v>
          </cell>
          <cell r="B1601" t="str">
            <v xml:space="preserve">201-A2378A-O HLP5602-GWM.01  </v>
          </cell>
          <cell r="F1601" t="str">
            <v xml:space="preserve"> 干衣机旋钮板  </v>
          </cell>
          <cell r="G1601">
            <v>3.6666666666666667E-2</v>
          </cell>
          <cell r="H1601">
            <v>600</v>
          </cell>
          <cell r="I1601">
            <v>22</v>
          </cell>
        </row>
        <row r="1602">
          <cell r="A1602" t="str">
            <v>组装</v>
          </cell>
          <cell r="B1602" t="str">
            <v>组装</v>
          </cell>
          <cell r="F1602" t="str">
            <v>洗衣机</v>
          </cell>
          <cell r="G1602">
            <v>0.21666666666666667</v>
          </cell>
          <cell r="H1602">
            <v>60</v>
          </cell>
          <cell r="I1602">
            <v>13</v>
          </cell>
        </row>
        <row r="1603">
          <cell r="A1603">
            <v>10880031020</v>
          </cell>
          <cell r="B1603" t="str">
            <v xml:space="preserve"> 201-A2379B-X 7S5602(天青墨) </v>
          </cell>
          <cell r="F1603" t="str">
            <v xml:space="preserve">洗衣机通用板 </v>
          </cell>
          <cell r="G1603">
            <v>0.02</v>
          </cell>
          <cell r="H1603">
            <v>600</v>
          </cell>
          <cell r="I1603">
            <v>12</v>
          </cell>
        </row>
        <row r="1604">
          <cell r="A1604">
            <v>10880030545</v>
          </cell>
          <cell r="B1604" t="str">
            <v>201-A2378A-O HLP5602-GWM.01</v>
          </cell>
          <cell r="F1604" t="str">
            <v xml:space="preserve">干衣机旋钮板  </v>
          </cell>
          <cell r="G1604">
            <v>3.6666666666666667E-2</v>
          </cell>
          <cell r="H1604">
            <v>600</v>
          </cell>
          <cell r="I1604">
            <v>22</v>
          </cell>
        </row>
        <row r="1605">
          <cell r="A1605" t="str">
            <v>组装</v>
          </cell>
          <cell r="B1605" t="str">
            <v>组装</v>
          </cell>
          <cell r="F1605" t="str">
            <v>洗衣机</v>
          </cell>
          <cell r="G1605">
            <v>0.21666666666666667</v>
          </cell>
          <cell r="H1605">
            <v>60</v>
          </cell>
          <cell r="I1605">
            <v>13</v>
          </cell>
        </row>
        <row r="1606">
          <cell r="A1606">
            <v>10880030545</v>
          </cell>
          <cell r="B1606" t="str">
            <v xml:space="preserve"> 201-A2379A-O HLP5602-GWM.01  </v>
          </cell>
          <cell r="F1606" t="str">
            <v xml:space="preserve"> 干衣机通用板  </v>
          </cell>
          <cell r="G1606">
            <v>0.02</v>
          </cell>
          <cell r="H1606">
            <v>600</v>
          </cell>
          <cell r="I1606">
            <v>12</v>
          </cell>
        </row>
        <row r="1607">
          <cell r="A1607">
            <v>10880030550</v>
          </cell>
          <cell r="B1607" t="str">
            <v xml:space="preserve"> 201-A2378A-O HLP5602-GWM.01  </v>
          </cell>
          <cell r="F1607" t="str">
            <v xml:space="preserve"> 干衣机旋钮板  </v>
          </cell>
          <cell r="G1607">
            <v>3.6666666666666667E-2</v>
          </cell>
          <cell r="H1607">
            <v>600</v>
          </cell>
          <cell r="I1607">
            <v>22</v>
          </cell>
        </row>
        <row r="1608">
          <cell r="A1608" t="str">
            <v>组装</v>
          </cell>
          <cell r="B1608" t="str">
            <v>组装</v>
          </cell>
          <cell r="F1608" t="str">
            <v>干衣机</v>
          </cell>
          <cell r="G1608">
            <v>0.21666666666666667</v>
          </cell>
          <cell r="H1608">
            <v>60</v>
          </cell>
          <cell r="I1608">
            <v>13</v>
          </cell>
        </row>
        <row r="1609">
          <cell r="A1609">
            <v>10880032692</v>
          </cell>
          <cell r="B1609" t="str">
            <v xml:space="preserve"> 201-A2379C-X 2379455 7S古洛尼白  </v>
          </cell>
          <cell r="F1609" t="str">
            <v xml:space="preserve">洗衣机通用板  </v>
          </cell>
          <cell r="G1609">
            <v>0.02</v>
          </cell>
          <cell r="H1609">
            <v>600</v>
          </cell>
          <cell r="I1609">
            <v>12</v>
          </cell>
        </row>
        <row r="1610">
          <cell r="A1610">
            <v>10880032708</v>
          </cell>
          <cell r="B1610" t="str">
            <v xml:space="preserve"> 201-A2378B-O 2379455 7S古洛尼白  </v>
          </cell>
          <cell r="F1610" t="str">
            <v xml:space="preserve">洗衣机旋钮板  </v>
          </cell>
          <cell r="G1610">
            <v>3.6666666666666667E-2</v>
          </cell>
          <cell r="H1610">
            <v>600</v>
          </cell>
          <cell r="I1610">
            <v>22</v>
          </cell>
        </row>
        <row r="1611">
          <cell r="A1611" t="str">
            <v>组装</v>
          </cell>
          <cell r="B1611" t="str">
            <v>组装</v>
          </cell>
          <cell r="F1611" t="str">
            <v>洗衣机</v>
          </cell>
          <cell r="G1611">
            <v>0.21666666666666667</v>
          </cell>
          <cell r="H1611">
            <v>60</v>
          </cell>
          <cell r="I1611">
            <v>13</v>
          </cell>
        </row>
        <row r="1612">
          <cell r="A1612">
            <v>10880032694</v>
          </cell>
          <cell r="B1612" t="str">
            <v xml:space="preserve"> 201-A2379D-X 2376777 7S古洛尼白  </v>
          </cell>
          <cell r="F1612" t="str">
            <v xml:space="preserve">干衣机通用板  </v>
          </cell>
          <cell r="G1612">
            <v>0.02</v>
          </cell>
          <cell r="H1612">
            <v>600</v>
          </cell>
          <cell r="I1612">
            <v>12</v>
          </cell>
        </row>
        <row r="1613">
          <cell r="A1613">
            <v>10880032708</v>
          </cell>
          <cell r="B1613" t="str">
            <v xml:space="preserve">201-A2378B-O 2379455 7S古洛尼白  </v>
          </cell>
          <cell r="F1613" t="str">
            <v xml:space="preserve">洗衣机旋钮板  </v>
          </cell>
          <cell r="G1613">
            <v>3.6666666666666667E-2</v>
          </cell>
          <cell r="H1613">
            <v>600</v>
          </cell>
          <cell r="I1613">
            <v>22</v>
          </cell>
        </row>
        <row r="1614">
          <cell r="A1614" t="str">
            <v>组装</v>
          </cell>
          <cell r="B1614" t="str">
            <v>组装</v>
          </cell>
          <cell r="F1614" t="str">
            <v>干衣机</v>
          </cell>
          <cell r="G1614">
            <v>0.21666666666666667</v>
          </cell>
          <cell r="H1614">
            <v>60</v>
          </cell>
          <cell r="I1614">
            <v>13</v>
          </cell>
        </row>
        <row r="1615">
          <cell r="A1615">
            <v>10880034622</v>
          </cell>
          <cell r="B1615" t="str">
            <v>500269-C2407A-X 2446112</v>
          </cell>
          <cell r="F1615" t="str">
            <v xml:space="preserve">洗衣机通用板  </v>
          </cell>
          <cell r="G1615">
            <v>0.02</v>
          </cell>
          <cell r="H1615">
            <v>600</v>
          </cell>
          <cell r="I1615">
            <v>12</v>
          </cell>
        </row>
        <row r="1616">
          <cell r="A1616">
            <v>10880030545</v>
          </cell>
          <cell r="B1616" t="str">
            <v xml:space="preserve">201-A2378A-O HLP5602-GWM.01  </v>
          </cell>
          <cell r="F1616" t="str">
            <v xml:space="preserve"> 干衣机旋钮板  </v>
          </cell>
          <cell r="G1616">
            <v>3.6666666666666667E-2</v>
          </cell>
          <cell r="H1616">
            <v>600</v>
          </cell>
          <cell r="I1616">
            <v>22</v>
          </cell>
        </row>
        <row r="1617">
          <cell r="A1617" t="str">
            <v>组装</v>
          </cell>
          <cell r="B1617" t="str">
            <v>组装</v>
          </cell>
          <cell r="F1617" t="str">
            <v>洗衣机</v>
          </cell>
          <cell r="G1617">
            <v>0.21666666666666667</v>
          </cell>
          <cell r="H1617">
            <v>60</v>
          </cell>
          <cell r="I1617">
            <v>13</v>
          </cell>
        </row>
        <row r="1618">
          <cell r="A1618">
            <v>10880034622</v>
          </cell>
          <cell r="B1618" t="str">
            <v>500269-C2407A-X 2446112</v>
          </cell>
          <cell r="F1618" t="str">
            <v xml:space="preserve">干衣机通用板  </v>
          </cell>
          <cell r="G1618">
            <v>0.02</v>
          </cell>
          <cell r="H1618">
            <v>600</v>
          </cell>
          <cell r="I1618">
            <v>12</v>
          </cell>
        </row>
        <row r="1619">
          <cell r="A1619">
            <v>10880030545</v>
          </cell>
          <cell r="B1619" t="str">
            <v xml:space="preserve">201-A2378A-O HLP5602-GWM.01  </v>
          </cell>
          <cell r="F1619" t="str">
            <v xml:space="preserve"> 干衣机旋钮板  </v>
          </cell>
          <cell r="G1619">
            <v>3.6666666666666667E-2</v>
          </cell>
          <cell r="H1619">
            <v>600</v>
          </cell>
          <cell r="I1619">
            <v>22</v>
          </cell>
        </row>
        <row r="1620">
          <cell r="A1620" t="str">
            <v>组装</v>
          </cell>
          <cell r="B1620" t="str">
            <v>组装</v>
          </cell>
          <cell r="F1620" t="str">
            <v>干衣机</v>
          </cell>
          <cell r="G1620">
            <v>0.21666666666666667</v>
          </cell>
          <cell r="H1620">
            <v>60</v>
          </cell>
          <cell r="I1620">
            <v>13</v>
          </cell>
        </row>
        <row r="1621">
          <cell r="A1621">
            <v>10880033634</v>
          </cell>
          <cell r="B1621" t="str">
            <v>500269-C2403A-X 2399506</v>
          </cell>
          <cell r="F1621" t="str">
            <v xml:space="preserve">洗衣机通用板  </v>
          </cell>
          <cell r="G1621">
            <v>0.02</v>
          </cell>
          <cell r="H1621">
            <v>600</v>
          </cell>
          <cell r="I1621">
            <v>12</v>
          </cell>
        </row>
        <row r="1622">
          <cell r="A1622">
            <v>10880033635</v>
          </cell>
          <cell r="B1622" t="str">
            <v>500269-C2404A-O 2399506</v>
          </cell>
          <cell r="F1622" t="str">
            <v xml:space="preserve"> 干衣机旋钮板  </v>
          </cell>
          <cell r="G1622">
            <v>3.6666666666666667E-2</v>
          </cell>
          <cell r="H1622">
            <v>600</v>
          </cell>
          <cell r="I1622">
            <v>22</v>
          </cell>
        </row>
        <row r="1623">
          <cell r="A1623" t="str">
            <v>组装</v>
          </cell>
          <cell r="B1623" t="str">
            <v>组装</v>
          </cell>
          <cell r="F1623" t="str">
            <v>洗衣机</v>
          </cell>
          <cell r="G1623">
            <v>0.21666666666666667</v>
          </cell>
          <cell r="H1623">
            <v>60</v>
          </cell>
          <cell r="I1623">
            <v>13</v>
          </cell>
        </row>
        <row r="1624">
          <cell r="A1624">
            <v>10880033634</v>
          </cell>
          <cell r="B1624" t="str">
            <v>500269-C2403A-X 2399506</v>
          </cell>
          <cell r="F1624" t="str">
            <v xml:space="preserve">洗衣机通用板  </v>
          </cell>
          <cell r="G1624">
            <v>3.5555555555555556E-2</v>
          </cell>
          <cell r="H1624">
            <v>450</v>
          </cell>
          <cell r="I1624">
            <v>16</v>
          </cell>
        </row>
        <row r="1625">
          <cell r="A1625">
            <v>10880035443</v>
          </cell>
          <cell r="B1625" t="str">
            <v>500269-C2404C-KN G0020</v>
          </cell>
          <cell r="F1625" t="str">
            <v xml:space="preserve"> 干衣机旋钮板  </v>
          </cell>
          <cell r="G1625">
            <v>5.1111111111111114E-2</v>
          </cell>
          <cell r="H1625">
            <v>450</v>
          </cell>
          <cell r="I1625">
            <v>23</v>
          </cell>
        </row>
        <row r="1626">
          <cell r="A1626" t="str">
            <v>组装</v>
          </cell>
          <cell r="B1626" t="str">
            <v>组装</v>
          </cell>
          <cell r="F1626" t="str">
            <v>洗衣机</v>
          </cell>
          <cell r="G1626">
            <v>0.25</v>
          </cell>
          <cell r="H1626">
            <v>60</v>
          </cell>
          <cell r="I1626">
            <v>15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青岛4 (2)"/>
    </sheetNames>
    <sheetDataSet>
      <sheetData sheetId="0">
        <row r="1">
          <cell r="G1" t="str">
            <v>工单</v>
          </cell>
          <cell r="J1" t="str">
            <v>产出时间</v>
          </cell>
        </row>
        <row r="2">
          <cell r="G2">
            <v>110001310991</v>
          </cell>
          <cell r="J2">
            <v>46139</v>
          </cell>
        </row>
        <row r="3">
          <cell r="G3">
            <v>110001274788</v>
          </cell>
          <cell r="J3">
            <v>46139</v>
          </cell>
        </row>
        <row r="4">
          <cell r="G4">
            <v>110001311013</v>
          </cell>
          <cell r="J4">
            <v>46140</v>
          </cell>
        </row>
        <row r="5">
          <cell r="G5">
            <v>110001300035</v>
          </cell>
          <cell r="J5">
            <v>46140</v>
          </cell>
        </row>
        <row r="6">
          <cell r="G6">
            <v>110001302850</v>
          </cell>
          <cell r="J6">
            <v>46141</v>
          </cell>
        </row>
        <row r="7">
          <cell r="G7">
            <v>110001302880</v>
          </cell>
          <cell r="J7">
            <v>46142</v>
          </cell>
        </row>
        <row r="8">
          <cell r="G8">
            <v>110001302795</v>
          </cell>
          <cell r="J8">
            <v>46142</v>
          </cell>
        </row>
        <row r="9">
          <cell r="G9">
            <v>110001302790</v>
          </cell>
          <cell r="J9">
            <v>46142</v>
          </cell>
        </row>
        <row r="10">
          <cell r="G10">
            <v>110001266519</v>
          </cell>
          <cell r="J10">
            <v>46146</v>
          </cell>
        </row>
        <row r="11">
          <cell r="G11">
            <v>110001302805</v>
          </cell>
          <cell r="J11">
            <v>46146</v>
          </cell>
        </row>
        <row r="12">
          <cell r="G12">
            <v>110001307204</v>
          </cell>
          <cell r="J12">
            <v>46147</v>
          </cell>
        </row>
        <row r="13">
          <cell r="G13">
            <v>110001307199</v>
          </cell>
          <cell r="J13">
            <v>46147</v>
          </cell>
        </row>
        <row r="14">
          <cell r="G14">
            <v>110001302870</v>
          </cell>
          <cell r="J14">
            <v>46147</v>
          </cell>
        </row>
        <row r="15">
          <cell r="G15">
            <v>110001307405</v>
          </cell>
          <cell r="J15">
            <v>46148</v>
          </cell>
        </row>
        <row r="16">
          <cell r="G16">
            <v>110001307057</v>
          </cell>
          <cell r="J16">
            <v>46148</v>
          </cell>
        </row>
        <row r="17">
          <cell r="G17">
            <v>110001300013</v>
          </cell>
          <cell r="J17">
            <v>46149</v>
          </cell>
        </row>
        <row r="18">
          <cell r="G18">
            <v>110001307395</v>
          </cell>
          <cell r="J18">
            <v>46149</v>
          </cell>
        </row>
        <row r="19">
          <cell r="G19">
            <v>110001311033</v>
          </cell>
          <cell r="J19">
            <v>46150</v>
          </cell>
        </row>
        <row r="20">
          <cell r="G20">
            <v>110001310996</v>
          </cell>
          <cell r="J20">
            <v>46150</v>
          </cell>
        </row>
        <row r="21">
          <cell r="G21">
            <v>110001307187</v>
          </cell>
          <cell r="J21">
            <v>46150</v>
          </cell>
        </row>
        <row r="22">
          <cell r="G22">
            <v>880000121458</v>
          </cell>
          <cell r="J22">
            <v>46150</v>
          </cell>
        </row>
        <row r="23">
          <cell r="G23">
            <v>110001300045</v>
          </cell>
          <cell r="J23">
            <v>46151</v>
          </cell>
        </row>
        <row r="24">
          <cell r="G24">
            <v>110001307420</v>
          </cell>
          <cell r="J24">
            <v>46151</v>
          </cell>
        </row>
        <row r="25">
          <cell r="G25">
            <v>110001307192</v>
          </cell>
          <cell r="J25">
            <v>46151</v>
          </cell>
        </row>
        <row r="26">
          <cell r="G26">
            <v>110001307410</v>
          </cell>
          <cell r="J26">
            <v>46151</v>
          </cell>
        </row>
        <row r="27">
          <cell r="G27">
            <v>110001292147</v>
          </cell>
          <cell r="J27">
            <v>46152</v>
          </cell>
        </row>
        <row r="28">
          <cell r="G28">
            <v>110001315908</v>
          </cell>
          <cell r="J28">
            <v>46152</v>
          </cell>
        </row>
        <row r="29">
          <cell r="G29">
            <v>110001315912</v>
          </cell>
          <cell r="J29">
            <v>46153</v>
          </cell>
        </row>
        <row r="30">
          <cell r="G30">
            <v>110001315910</v>
          </cell>
          <cell r="J30">
            <v>46153</v>
          </cell>
        </row>
        <row r="31">
          <cell r="G31">
            <v>110001315914</v>
          </cell>
          <cell r="J31">
            <v>46153</v>
          </cell>
        </row>
        <row r="32">
          <cell r="G32">
            <v>110001307052</v>
          </cell>
          <cell r="J32">
            <v>46155</v>
          </cell>
        </row>
        <row r="33">
          <cell r="G33">
            <v>110001311028</v>
          </cell>
          <cell r="J33">
            <v>46156</v>
          </cell>
        </row>
        <row r="34">
          <cell r="G34">
            <v>110001315787</v>
          </cell>
          <cell r="J34">
            <v>46156</v>
          </cell>
        </row>
        <row r="35">
          <cell r="G35">
            <v>110001307415</v>
          </cell>
          <cell r="J35">
            <v>46157</v>
          </cell>
        </row>
        <row r="36">
          <cell r="G36">
            <v>110001310981</v>
          </cell>
          <cell r="J36">
            <v>46157</v>
          </cell>
        </row>
        <row r="37">
          <cell r="G37">
            <v>110001266581</v>
          </cell>
          <cell r="J37">
            <v>46158</v>
          </cell>
        </row>
        <row r="38">
          <cell r="G38">
            <v>110001307182</v>
          </cell>
          <cell r="J38">
            <v>46159</v>
          </cell>
        </row>
        <row r="39">
          <cell r="G39">
            <v>110001315802</v>
          </cell>
          <cell r="J39">
            <v>46159</v>
          </cell>
        </row>
        <row r="40">
          <cell r="G40">
            <v>110001315797</v>
          </cell>
          <cell r="J40">
            <v>46159</v>
          </cell>
        </row>
        <row r="41">
          <cell r="G41">
            <v>110001302860</v>
          </cell>
          <cell r="J41">
            <v>46160</v>
          </cell>
        </row>
        <row r="42">
          <cell r="G42">
            <v>110001310986</v>
          </cell>
          <cell r="J42">
            <v>46160</v>
          </cell>
        </row>
        <row r="43">
          <cell r="G43">
            <v>110001311018</v>
          </cell>
          <cell r="J43">
            <v>46161</v>
          </cell>
        </row>
        <row r="44">
          <cell r="G44">
            <v>110001271300</v>
          </cell>
          <cell r="J44">
            <v>46161</v>
          </cell>
        </row>
        <row r="45">
          <cell r="G45">
            <v>110001311006</v>
          </cell>
          <cell r="J45">
            <v>46162</v>
          </cell>
        </row>
        <row r="46">
          <cell r="G46">
            <v>110001311008</v>
          </cell>
          <cell r="J46">
            <v>46162</v>
          </cell>
        </row>
        <row r="47">
          <cell r="G47">
            <v>110001311001</v>
          </cell>
          <cell r="J47">
            <v>46163</v>
          </cell>
        </row>
        <row r="48">
          <cell r="G48">
            <v>110001311023</v>
          </cell>
          <cell r="J48">
            <v>46164</v>
          </cell>
        </row>
        <row r="49">
          <cell r="G49">
            <v>110001271295</v>
          </cell>
          <cell r="J49">
            <v>46164</v>
          </cell>
        </row>
        <row r="50">
          <cell r="G50">
            <v>110001311050</v>
          </cell>
          <cell r="J50">
            <v>46165</v>
          </cell>
        </row>
        <row r="51">
          <cell r="G51">
            <v>110001315792</v>
          </cell>
          <cell r="J51">
            <v>46165</v>
          </cell>
        </row>
        <row r="52">
          <cell r="G52">
            <v>110001307405</v>
          </cell>
          <cell r="J52">
            <v>46166</v>
          </cell>
        </row>
        <row r="53">
          <cell r="G53">
            <v>110001302875</v>
          </cell>
          <cell r="J53">
            <v>46166</v>
          </cell>
        </row>
        <row r="54">
          <cell r="G54">
            <v>110001315785</v>
          </cell>
          <cell r="J54">
            <v>46166</v>
          </cell>
        </row>
        <row r="55">
          <cell r="G55">
            <v>110001278919</v>
          </cell>
          <cell r="J55">
            <v>46167</v>
          </cell>
        </row>
        <row r="56">
          <cell r="G56">
            <v>110001310836</v>
          </cell>
          <cell r="J56">
            <v>46167</v>
          </cell>
        </row>
        <row r="57">
          <cell r="G57">
            <v>110001307425</v>
          </cell>
          <cell r="J57">
            <v>46167</v>
          </cell>
        </row>
        <row r="58">
          <cell r="G58">
            <v>880000121533</v>
          </cell>
          <cell r="J58">
            <v>46152</v>
          </cell>
        </row>
        <row r="59">
          <cell r="G59">
            <v>110001296161</v>
          </cell>
          <cell r="J59">
            <v>46152</v>
          </cell>
        </row>
        <row r="60">
          <cell r="G60">
            <v>110001315809</v>
          </cell>
          <cell r="J60">
            <v>46153</v>
          </cell>
        </row>
        <row r="61">
          <cell r="G61">
            <v>880000121538</v>
          </cell>
          <cell r="J61">
            <v>46153</v>
          </cell>
        </row>
        <row r="62">
          <cell r="G62">
            <v>110001274778</v>
          </cell>
          <cell r="J62">
            <v>46153</v>
          </cell>
        </row>
        <row r="63">
          <cell r="G63">
            <v>110001307172</v>
          </cell>
          <cell r="J63">
            <v>46154</v>
          </cell>
        </row>
        <row r="64">
          <cell r="G64">
            <v>110001307385</v>
          </cell>
          <cell r="J64">
            <v>46168</v>
          </cell>
        </row>
        <row r="65">
          <cell r="G65">
            <v>110001307390</v>
          </cell>
          <cell r="J65">
            <v>46155</v>
          </cell>
        </row>
        <row r="66">
          <cell r="G66">
            <v>110001311038</v>
          </cell>
          <cell r="J66">
            <v>46156</v>
          </cell>
        </row>
        <row r="67">
          <cell r="G67">
            <v>110001307162</v>
          </cell>
          <cell r="J67">
            <v>46157</v>
          </cell>
        </row>
        <row r="68">
          <cell r="G68">
            <v>110001307430</v>
          </cell>
          <cell r="J68">
            <v>46157</v>
          </cell>
        </row>
        <row r="69">
          <cell r="G69">
            <v>110001307400</v>
          </cell>
          <cell r="J69">
            <v>46157</v>
          </cell>
        </row>
        <row r="70">
          <cell r="G70">
            <v>110001302815</v>
          </cell>
          <cell r="J70">
            <v>46158</v>
          </cell>
        </row>
        <row r="71">
          <cell r="G71">
            <v>110001310831</v>
          </cell>
          <cell r="J71">
            <v>46168</v>
          </cell>
        </row>
        <row r="72">
          <cell r="G72">
            <v>110001311043</v>
          </cell>
          <cell r="J72">
            <v>46169</v>
          </cell>
        </row>
        <row r="73">
          <cell r="G73">
            <v>110001307167</v>
          </cell>
          <cell r="J73">
            <v>46169</v>
          </cell>
        </row>
        <row r="74">
          <cell r="G74">
            <v>110001302810</v>
          </cell>
          <cell r="J74">
            <v>46170</v>
          </cell>
        </row>
        <row r="75">
          <cell r="G75">
            <v>110001300018</v>
          </cell>
          <cell r="J75">
            <v>46170</v>
          </cell>
        </row>
        <row r="76">
          <cell r="G76">
            <v>110001307209</v>
          </cell>
          <cell r="J76">
            <v>46183</v>
          </cell>
        </row>
        <row r="77">
          <cell r="G77">
            <v>110001315807</v>
          </cell>
          <cell r="J77">
            <v>46172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-30"/>
      <sheetName val="Sheet3"/>
      <sheetName val="4-24"/>
      <sheetName val="4-17"/>
      <sheetName val="4-10"/>
      <sheetName val="4-3"/>
      <sheetName val="3-27"/>
      <sheetName val="3-20"/>
      <sheetName val="3-13"/>
      <sheetName val="3-6"/>
      <sheetName val="2-26"/>
      <sheetName val="Sheet1"/>
      <sheetName val="W10"/>
      <sheetName val="W10 (2)"/>
      <sheetName val="W6 (3)"/>
      <sheetName val="W6"/>
      <sheetName val="W5"/>
      <sheetName val="W4"/>
      <sheetName val="W1 "/>
      <sheetName val="Sheet2"/>
    </sheetNames>
    <sheetDataSet>
      <sheetData sheetId="0">
        <row r="1">
          <cell r="F1" t="str">
            <v>1088编码</v>
          </cell>
        </row>
        <row r="2">
          <cell r="S2" t="str">
            <v>备注</v>
          </cell>
        </row>
        <row r="3">
          <cell r="F3">
            <v>10880029033</v>
          </cell>
        </row>
        <row r="4">
          <cell r="F4">
            <v>10880035513</v>
          </cell>
          <cell r="S4" t="str">
            <v>在制1000--5/11入库</v>
          </cell>
        </row>
        <row r="5">
          <cell r="F5">
            <v>10880020275</v>
          </cell>
        </row>
        <row r="6">
          <cell r="F6">
            <v>10880017527</v>
          </cell>
        </row>
        <row r="7">
          <cell r="F7">
            <v>10880017516</v>
          </cell>
          <cell r="S7" t="str">
            <v>在制7600--5/7入完</v>
          </cell>
        </row>
        <row r="8">
          <cell r="F8">
            <v>10880017525</v>
          </cell>
        </row>
        <row r="9">
          <cell r="F9">
            <v>10880017524</v>
          </cell>
          <cell r="S9" t="str">
            <v>在制2000--5/6入库</v>
          </cell>
        </row>
        <row r="10">
          <cell r="F10">
            <v>10880017536</v>
          </cell>
        </row>
        <row r="11">
          <cell r="F11">
            <v>10880036513</v>
          </cell>
        </row>
        <row r="12">
          <cell r="F12">
            <v>10880036514</v>
          </cell>
        </row>
        <row r="13">
          <cell r="F13">
            <v>10880034093</v>
          </cell>
        </row>
        <row r="14">
          <cell r="F14">
            <v>10880020031</v>
          </cell>
          <cell r="S14" t="str">
            <v>在制400--5/9入库</v>
          </cell>
        </row>
        <row r="15">
          <cell r="F15">
            <v>10880029054</v>
          </cell>
          <cell r="S15" t="str">
            <v>在制1000--5/8入库</v>
          </cell>
        </row>
        <row r="16">
          <cell r="F16">
            <v>10880029055</v>
          </cell>
          <cell r="S16" t="str">
            <v>在制500--5/9入库</v>
          </cell>
        </row>
        <row r="17">
          <cell r="F17">
            <v>10880020556</v>
          </cell>
        </row>
        <row r="18">
          <cell r="F18">
            <v>10880031242</v>
          </cell>
        </row>
        <row r="19">
          <cell r="F19">
            <v>10880031243</v>
          </cell>
        </row>
        <row r="20">
          <cell r="F20">
            <v>10880030607</v>
          </cell>
        </row>
        <row r="21">
          <cell r="F21">
            <v>10880030608</v>
          </cell>
          <cell r="S21" t="str">
            <v>在制200--5/6入库</v>
          </cell>
        </row>
        <row r="22">
          <cell r="F22">
            <v>10880031185</v>
          </cell>
        </row>
        <row r="23">
          <cell r="F23">
            <v>10880028306</v>
          </cell>
          <cell r="S23" t="str">
            <v>在制10005/6入库，新增1000</v>
          </cell>
        </row>
        <row r="24">
          <cell r="F24">
            <v>10880028307</v>
          </cell>
        </row>
        <row r="25">
          <cell r="F25">
            <v>10880028469</v>
          </cell>
        </row>
        <row r="26">
          <cell r="F26">
            <v>10880031186</v>
          </cell>
        </row>
        <row r="27">
          <cell r="F27">
            <v>10880035979</v>
          </cell>
        </row>
        <row r="28">
          <cell r="F28">
            <v>10880035981</v>
          </cell>
          <cell r="S28" t="str">
            <v>在制1000--5/13入库</v>
          </cell>
        </row>
        <row r="29">
          <cell r="F29">
            <v>10880035982</v>
          </cell>
        </row>
        <row r="30">
          <cell r="F30">
            <v>10880035980</v>
          </cell>
        </row>
        <row r="31">
          <cell r="F31">
            <v>10880038291</v>
          </cell>
        </row>
        <row r="32">
          <cell r="F32">
            <v>10880021029</v>
          </cell>
        </row>
        <row r="33">
          <cell r="F33">
            <v>10880021311</v>
          </cell>
        </row>
        <row r="34">
          <cell r="F34">
            <v>10880020048</v>
          </cell>
        </row>
        <row r="35">
          <cell r="F35">
            <v>10880037670</v>
          </cell>
        </row>
        <row r="36">
          <cell r="F36">
            <v>10880037671</v>
          </cell>
        </row>
        <row r="37">
          <cell r="F37">
            <v>10880031307</v>
          </cell>
        </row>
        <row r="38">
          <cell r="F38">
            <v>10880031182</v>
          </cell>
        </row>
        <row r="39">
          <cell r="F39">
            <v>10880031183</v>
          </cell>
        </row>
        <row r="40">
          <cell r="F40">
            <v>10880031184</v>
          </cell>
        </row>
        <row r="41">
          <cell r="F41">
            <v>10880020677</v>
          </cell>
          <cell r="S41" t="str">
            <v>售后备件</v>
          </cell>
        </row>
        <row r="42">
          <cell r="F42">
            <v>10880020940</v>
          </cell>
          <cell r="S42" t="str">
            <v>售后备件</v>
          </cell>
        </row>
        <row r="43">
          <cell r="F43">
            <v>10880021015</v>
          </cell>
          <cell r="S43" t="str">
            <v>在制200--5/9入库</v>
          </cell>
        </row>
        <row r="44">
          <cell r="F44">
            <v>10880021019</v>
          </cell>
        </row>
        <row r="45">
          <cell r="F45">
            <v>10880030920</v>
          </cell>
        </row>
        <row r="46">
          <cell r="F46">
            <v>10880018097</v>
          </cell>
        </row>
        <row r="47">
          <cell r="F47">
            <v>10880031135</v>
          </cell>
        </row>
        <row r="48">
          <cell r="F48">
            <v>10880030738</v>
          </cell>
        </row>
        <row r="49">
          <cell r="F49">
            <v>10880020640</v>
          </cell>
          <cell r="S49" t="str">
            <v>在制1200--5/8入库</v>
          </cell>
        </row>
        <row r="50">
          <cell r="F50">
            <v>10880036721</v>
          </cell>
        </row>
        <row r="51">
          <cell r="F51">
            <v>10880019240</v>
          </cell>
        </row>
        <row r="52">
          <cell r="F52">
            <v>10880021174</v>
          </cell>
          <cell r="S52" t="str">
            <v>在制100-5/6入库</v>
          </cell>
        </row>
        <row r="53">
          <cell r="F53">
            <v>10880020187</v>
          </cell>
          <cell r="S53" t="str">
            <v>在制500--5/5入库</v>
          </cell>
        </row>
        <row r="54">
          <cell r="F54">
            <v>10880033216</v>
          </cell>
        </row>
        <row r="55">
          <cell r="F55">
            <v>10880036434</v>
          </cell>
          <cell r="S55" t="str">
            <v>在制200--5/6入库</v>
          </cell>
        </row>
        <row r="56">
          <cell r="F56">
            <v>10880030596</v>
          </cell>
          <cell r="S56" t="str">
            <v>在制400--5/13入库</v>
          </cell>
        </row>
        <row r="57">
          <cell r="F57">
            <v>10880031847</v>
          </cell>
          <cell r="S57" t="str">
            <v>在制200-5/13入库</v>
          </cell>
        </row>
        <row r="58">
          <cell r="F58">
            <v>10880031856</v>
          </cell>
          <cell r="S58" t="str">
            <v>在制400--4/30入库</v>
          </cell>
        </row>
        <row r="59">
          <cell r="F59">
            <v>10880030320</v>
          </cell>
        </row>
        <row r="60">
          <cell r="F60">
            <v>10880031157</v>
          </cell>
          <cell r="S60" t="str">
            <v>在制300--5/11入库</v>
          </cell>
        </row>
        <row r="61">
          <cell r="F61">
            <v>10880031160</v>
          </cell>
          <cell r="S61" t="str">
            <v>在制400--5/11入库</v>
          </cell>
        </row>
        <row r="62">
          <cell r="F62">
            <v>10880031161</v>
          </cell>
        </row>
        <row r="63">
          <cell r="F63">
            <v>10880029957</v>
          </cell>
          <cell r="S63" t="str">
            <v>在制2000--5/11入库</v>
          </cell>
        </row>
        <row r="64">
          <cell r="F64">
            <v>10880030784</v>
          </cell>
          <cell r="S64" t="str">
            <v>在制200--5/11入库</v>
          </cell>
        </row>
        <row r="65">
          <cell r="F65">
            <v>10880030976</v>
          </cell>
          <cell r="S65" t="str">
            <v>在制4000--5/8入库2000，5/9入库2000</v>
          </cell>
        </row>
        <row r="66">
          <cell r="F66">
            <v>10880038782</v>
          </cell>
        </row>
        <row r="67">
          <cell r="F67">
            <v>10880038446</v>
          </cell>
        </row>
        <row r="68">
          <cell r="F68">
            <v>10880030977</v>
          </cell>
          <cell r="S68" t="str">
            <v>在制200--5/11入库</v>
          </cell>
        </row>
        <row r="69">
          <cell r="F69">
            <v>10880029958</v>
          </cell>
          <cell r="S69" t="str">
            <v>在制3500--5/8入库</v>
          </cell>
        </row>
        <row r="70">
          <cell r="F70">
            <v>10880036764</v>
          </cell>
          <cell r="S70" t="str">
            <v>在制200-5/8入库</v>
          </cell>
        </row>
        <row r="71">
          <cell r="F71">
            <v>10880035534</v>
          </cell>
          <cell r="S71" t="str">
            <v>在制500--5/13入库</v>
          </cell>
        </row>
        <row r="72">
          <cell r="F72">
            <v>10880036325</v>
          </cell>
        </row>
        <row r="73">
          <cell r="F73">
            <v>10880035788</v>
          </cell>
          <cell r="S73" t="str">
            <v>在制500--5/7入库</v>
          </cell>
        </row>
        <row r="74">
          <cell r="F74">
            <v>10880035535</v>
          </cell>
        </row>
        <row r="75">
          <cell r="F75">
            <v>10880038499</v>
          </cell>
        </row>
        <row r="76">
          <cell r="F76">
            <v>10880038500</v>
          </cell>
          <cell r="S76" t="str">
            <v>在制200--5/6入库</v>
          </cell>
        </row>
        <row r="77">
          <cell r="F77">
            <v>10880036760</v>
          </cell>
          <cell r="S77" t="str">
            <v>4/24停检</v>
          </cell>
        </row>
        <row r="78">
          <cell r="F78">
            <v>10880036761</v>
          </cell>
        </row>
        <row r="79">
          <cell r="F79">
            <v>10880035512</v>
          </cell>
        </row>
        <row r="80">
          <cell r="F80">
            <v>10880036348</v>
          </cell>
        </row>
        <row r="81">
          <cell r="F81">
            <v>10880036349</v>
          </cell>
          <cell r="S81" t="str">
            <v>在制200--5/8入库</v>
          </cell>
        </row>
        <row r="82">
          <cell r="F82">
            <v>10880033911</v>
          </cell>
        </row>
        <row r="83">
          <cell r="F83">
            <v>10880028834</v>
          </cell>
          <cell r="S83" t="str">
            <v>在制400--5/13入库</v>
          </cell>
        </row>
        <row r="84">
          <cell r="F84">
            <v>10880030931</v>
          </cell>
        </row>
        <row r="85">
          <cell r="F85">
            <v>10880034946</v>
          </cell>
        </row>
        <row r="86">
          <cell r="F86">
            <v>10880035653</v>
          </cell>
          <cell r="S86" t="str">
            <v>400因无PCB撤单</v>
          </cell>
        </row>
        <row r="87">
          <cell r="F87">
            <v>10880035661</v>
          </cell>
          <cell r="S87" t="str">
            <v>在制800--5-6入库</v>
          </cell>
        </row>
        <row r="88">
          <cell r="F88">
            <v>10880037971</v>
          </cell>
        </row>
        <row r="89">
          <cell r="F89">
            <v>10880037969</v>
          </cell>
          <cell r="S89" t="str">
            <v>在制400--5/13入库</v>
          </cell>
        </row>
        <row r="90">
          <cell r="F90">
            <v>10880038779</v>
          </cell>
        </row>
        <row r="91">
          <cell r="F91">
            <v>10880033805</v>
          </cell>
        </row>
        <row r="92">
          <cell r="F92">
            <v>10880036350</v>
          </cell>
          <cell r="S92" t="str">
            <v>在制1050--5/5入库</v>
          </cell>
        </row>
        <row r="93">
          <cell r="F93">
            <v>10880036432</v>
          </cell>
          <cell r="S93" t="str">
            <v>在制3000--5/9入库</v>
          </cell>
        </row>
        <row r="94">
          <cell r="F94">
            <v>10880038122</v>
          </cell>
        </row>
        <row r="95">
          <cell r="F95">
            <v>10880038123</v>
          </cell>
        </row>
        <row r="96">
          <cell r="F96">
            <v>10880038124</v>
          </cell>
        </row>
        <row r="97">
          <cell r="F97">
            <v>10880038125</v>
          </cell>
        </row>
        <row r="98">
          <cell r="F98">
            <v>10880036708</v>
          </cell>
        </row>
        <row r="99">
          <cell r="F99">
            <v>10880036707</v>
          </cell>
        </row>
        <row r="100">
          <cell r="F100">
            <v>10880036423</v>
          </cell>
          <cell r="S100" t="str">
            <v>5/8入库2400，5/13入库4500</v>
          </cell>
        </row>
        <row r="101">
          <cell r="F101">
            <v>10880036424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</sheetNames>
    <sheetDataSet>
      <sheetData sheetId="0" refreshError="1"/>
      <sheetData sheetId="1" refreshError="1">
        <row r="1">
          <cell r="D1" t="str">
            <v>订单</v>
          </cell>
          <cell r="E1" t="str">
            <v>物料描述</v>
          </cell>
          <cell r="F1" t="str">
            <v>订单数量</v>
          </cell>
          <cell r="G1" t="str">
            <v>CS</v>
          </cell>
          <cell r="H1" t="str">
            <v>到料日期</v>
          </cell>
          <cell r="I1" t="str">
            <v>CS出货</v>
          </cell>
        </row>
        <row r="2">
          <cell r="D2">
            <v>110001249352</v>
          </cell>
          <cell r="E2" t="str">
            <v>600766-A2504A-PC G0044 0011801490M</v>
          </cell>
          <cell r="F2">
            <v>2200</v>
          </cell>
          <cell r="H2">
            <v>46094</v>
          </cell>
          <cell r="I2">
            <v>46095</v>
          </cell>
        </row>
        <row r="3">
          <cell r="D3">
            <v>110001249353</v>
          </cell>
          <cell r="E3" t="str">
            <v>600766-A2504A-PC 0011801490M</v>
          </cell>
          <cell r="F3">
            <v>2200</v>
          </cell>
          <cell r="H3">
            <v>46092</v>
          </cell>
          <cell r="I3">
            <v>46093</v>
          </cell>
        </row>
        <row r="4">
          <cell r="D4">
            <v>110001250192</v>
          </cell>
          <cell r="E4" t="str">
            <v>693-A2180G-PC 0011800646L</v>
          </cell>
          <cell r="F4">
            <v>2000</v>
          </cell>
          <cell r="H4">
            <v>46098</v>
          </cell>
          <cell r="I4">
            <v>46099</v>
          </cell>
        </row>
        <row r="5">
          <cell r="D5">
            <v>110001250193</v>
          </cell>
          <cell r="E5" t="str">
            <v>693-A2180G-PC 0011800646L</v>
          </cell>
          <cell r="F5">
            <v>2000</v>
          </cell>
          <cell r="H5">
            <v>46096</v>
          </cell>
          <cell r="I5">
            <v>46097</v>
          </cell>
        </row>
        <row r="6">
          <cell r="D6">
            <v>110001250224</v>
          </cell>
          <cell r="E6" t="str">
            <v>693-C23I3A-PC 0011801656</v>
          </cell>
          <cell r="F6">
            <v>2600</v>
          </cell>
          <cell r="H6">
            <v>46089</v>
          </cell>
          <cell r="I6">
            <v>46090</v>
          </cell>
        </row>
        <row r="7">
          <cell r="D7">
            <v>110001250225</v>
          </cell>
          <cell r="E7" t="str">
            <v>693-C23I3A-PC 0011801656</v>
          </cell>
          <cell r="F7">
            <v>2600</v>
          </cell>
          <cell r="H7">
            <v>46087</v>
          </cell>
          <cell r="I7">
            <v>46088</v>
          </cell>
        </row>
        <row r="8">
          <cell r="D8">
            <v>110001252075</v>
          </cell>
          <cell r="E8" t="str">
            <v>693-C23D5A-PC 0151801031</v>
          </cell>
          <cell r="F8">
            <v>1000</v>
          </cell>
          <cell r="H8">
            <v>46098</v>
          </cell>
          <cell r="I8">
            <v>46099</v>
          </cell>
        </row>
        <row r="9">
          <cell r="D9">
            <v>110001252076</v>
          </cell>
          <cell r="E9" t="str">
            <v>693-C23D5A-PC 0151801031</v>
          </cell>
          <cell r="F9">
            <v>1000</v>
          </cell>
          <cell r="H9">
            <v>46096</v>
          </cell>
          <cell r="I9">
            <v>46097</v>
          </cell>
        </row>
        <row r="10">
          <cell r="D10">
            <v>110001254192</v>
          </cell>
          <cell r="E10" t="str">
            <v>693-C2283A-PC 0011800923F</v>
          </cell>
          <cell r="F10">
            <v>1200</v>
          </cell>
          <cell r="H10">
            <v>46095</v>
          </cell>
          <cell r="I10">
            <v>46096</v>
          </cell>
        </row>
        <row r="11">
          <cell r="D11">
            <v>110001254193</v>
          </cell>
          <cell r="E11" t="str">
            <v>693-C2283A-PC 0011800923F</v>
          </cell>
          <cell r="F11">
            <v>1200</v>
          </cell>
          <cell r="H11">
            <v>46093</v>
          </cell>
          <cell r="I11">
            <v>46094</v>
          </cell>
        </row>
        <row r="12">
          <cell r="D12">
            <v>110001257531</v>
          </cell>
          <cell r="E12" t="str">
            <v>693-C25A7A-PC G0044 0151801031AA</v>
          </cell>
          <cell r="F12">
            <v>4000</v>
          </cell>
          <cell r="H12">
            <v>46088</v>
          </cell>
          <cell r="I12">
            <v>46089</v>
          </cell>
        </row>
        <row r="13">
          <cell r="D13">
            <v>110001257532</v>
          </cell>
          <cell r="E13" t="str">
            <v>693-C25A7A-PC 0151801031AA</v>
          </cell>
          <cell r="F13">
            <v>4000</v>
          </cell>
          <cell r="H13">
            <v>46087</v>
          </cell>
          <cell r="I13">
            <v>46087</v>
          </cell>
        </row>
        <row r="14">
          <cell r="D14">
            <v>110001259598</v>
          </cell>
          <cell r="E14" t="str">
            <v>693-C2389A-D 0021800615</v>
          </cell>
          <cell r="F14">
            <v>500</v>
          </cell>
          <cell r="H14">
            <v>46093</v>
          </cell>
          <cell r="I14">
            <v>46094</v>
          </cell>
        </row>
        <row r="15">
          <cell r="D15">
            <v>110001259599</v>
          </cell>
          <cell r="E15" t="str">
            <v>693-C2389A-D 0021800615</v>
          </cell>
          <cell r="F15">
            <v>500</v>
          </cell>
          <cell r="H15">
            <v>46091</v>
          </cell>
          <cell r="I15">
            <v>46092</v>
          </cell>
        </row>
        <row r="16">
          <cell r="D16">
            <v>110001259639</v>
          </cell>
          <cell r="E16" t="str">
            <v>500323-C24D2E-D G0044 0021800616G</v>
          </cell>
          <cell r="F16">
            <v>5500</v>
          </cell>
          <cell r="H16">
            <v>46093</v>
          </cell>
          <cell r="I16">
            <v>46094</v>
          </cell>
        </row>
        <row r="17">
          <cell r="D17">
            <v>110001259640</v>
          </cell>
          <cell r="E17" t="str">
            <v>500323-C24D2E-D 0021800616G</v>
          </cell>
          <cell r="F17">
            <v>5500</v>
          </cell>
          <cell r="H17">
            <v>46091</v>
          </cell>
          <cell r="I17">
            <v>46092</v>
          </cell>
        </row>
        <row r="18">
          <cell r="D18">
            <v>110001261553</v>
          </cell>
          <cell r="E18" t="str">
            <v>693-C2534J-PC G0044 0011801843AN</v>
          </cell>
          <cell r="F18">
            <v>700</v>
          </cell>
          <cell r="H18">
            <v>46095</v>
          </cell>
          <cell r="I18">
            <v>46096</v>
          </cell>
        </row>
        <row r="19">
          <cell r="D19">
            <v>110001261554</v>
          </cell>
          <cell r="E19" t="str">
            <v>693-C2534J-PC 0011801843AN</v>
          </cell>
          <cell r="F19">
            <v>700</v>
          </cell>
          <cell r="H19">
            <v>46093</v>
          </cell>
          <cell r="I19">
            <v>46094</v>
          </cell>
        </row>
        <row r="20">
          <cell r="D20">
            <v>110001261605</v>
          </cell>
          <cell r="E20" t="str">
            <v>693-C2412A-PC 0041801687</v>
          </cell>
          <cell r="F20">
            <v>200</v>
          </cell>
          <cell r="H20">
            <v>46093</v>
          </cell>
          <cell r="I20">
            <v>46094</v>
          </cell>
        </row>
        <row r="21">
          <cell r="D21">
            <v>110001261606</v>
          </cell>
          <cell r="E21" t="str">
            <v>693-C2412A-PC 0041801687</v>
          </cell>
          <cell r="F21">
            <v>200</v>
          </cell>
          <cell r="H21">
            <v>46091</v>
          </cell>
          <cell r="I21">
            <v>46092</v>
          </cell>
        </row>
        <row r="22">
          <cell r="D22">
            <v>110001262081</v>
          </cell>
          <cell r="E22" t="str">
            <v>693-C2576B-PC G0044 0011801490BS</v>
          </cell>
          <cell r="F22">
            <v>1800</v>
          </cell>
          <cell r="H22">
            <v>46098</v>
          </cell>
          <cell r="I22">
            <v>46099</v>
          </cell>
        </row>
        <row r="23">
          <cell r="D23">
            <v>110001262082</v>
          </cell>
          <cell r="E23" t="str">
            <v>693-C2576B-PC 0011801490BS</v>
          </cell>
          <cell r="F23">
            <v>1800</v>
          </cell>
          <cell r="H23">
            <v>46096</v>
          </cell>
          <cell r="I23">
            <v>46097</v>
          </cell>
        </row>
        <row r="24">
          <cell r="D24">
            <v>110001263414</v>
          </cell>
          <cell r="E24" t="str">
            <v>693-C2595A-D G0044 0021800866</v>
          </cell>
          <cell r="F24">
            <v>2000</v>
          </cell>
          <cell r="H24">
            <v>46093</v>
          </cell>
          <cell r="I24">
            <v>46094</v>
          </cell>
        </row>
        <row r="25">
          <cell r="D25">
            <v>110001263415</v>
          </cell>
          <cell r="E25" t="str">
            <v>693-C2595A-D 0021800866</v>
          </cell>
          <cell r="F25">
            <v>2000</v>
          </cell>
          <cell r="H25">
            <v>46091</v>
          </cell>
          <cell r="I25">
            <v>46092</v>
          </cell>
        </row>
        <row r="26">
          <cell r="D26">
            <v>110001263450</v>
          </cell>
          <cell r="E26" t="str">
            <v>693-C2349A-PC 0011800923G</v>
          </cell>
          <cell r="F26">
            <v>1000</v>
          </cell>
          <cell r="H26">
            <v>46095</v>
          </cell>
          <cell r="I26">
            <v>46096</v>
          </cell>
        </row>
        <row r="27">
          <cell r="D27">
            <v>110001263451</v>
          </cell>
          <cell r="E27" t="str">
            <v>693-C2349A-PC 0011800923G</v>
          </cell>
          <cell r="F27">
            <v>1000</v>
          </cell>
          <cell r="H27">
            <v>46093</v>
          </cell>
          <cell r="I27">
            <v>46094</v>
          </cell>
        </row>
        <row r="28">
          <cell r="D28">
            <v>110001263454</v>
          </cell>
          <cell r="E28" t="str">
            <v>1323-C2306A-PC 0011801652</v>
          </cell>
          <cell r="F28">
            <v>3000</v>
          </cell>
          <cell r="H28">
            <v>46095</v>
          </cell>
          <cell r="I28">
            <v>46096</v>
          </cell>
        </row>
        <row r="29">
          <cell r="D29">
            <v>110001263455</v>
          </cell>
          <cell r="E29" t="str">
            <v>1323-C2306A-PC 0011801652</v>
          </cell>
          <cell r="F29">
            <v>3000</v>
          </cell>
          <cell r="H29">
            <v>46093</v>
          </cell>
          <cell r="I29">
            <v>46094</v>
          </cell>
        </row>
        <row r="30">
          <cell r="D30">
            <v>110001263458</v>
          </cell>
          <cell r="E30" t="str">
            <v>1323-C2305A-D 0011801659</v>
          </cell>
          <cell r="F30">
            <v>1500</v>
          </cell>
          <cell r="H30">
            <v>46098</v>
          </cell>
          <cell r="I30">
            <v>46099</v>
          </cell>
        </row>
        <row r="31">
          <cell r="D31">
            <v>110001263459</v>
          </cell>
          <cell r="E31" t="str">
            <v>1323-C2305A-D 0011801659</v>
          </cell>
          <cell r="F31">
            <v>1500</v>
          </cell>
          <cell r="H31">
            <v>46096</v>
          </cell>
          <cell r="I31">
            <v>46097</v>
          </cell>
        </row>
        <row r="32">
          <cell r="D32">
            <v>110001263462</v>
          </cell>
          <cell r="E32" t="str">
            <v>693-B23G7B-PC  0011801048AF</v>
          </cell>
          <cell r="F32">
            <v>3000</v>
          </cell>
          <cell r="H32">
            <v>46090</v>
          </cell>
          <cell r="I32">
            <v>46091</v>
          </cell>
        </row>
        <row r="33">
          <cell r="D33">
            <v>110001263463</v>
          </cell>
          <cell r="E33" t="str">
            <v>693-B23G7B-PC</v>
          </cell>
          <cell r="F33">
            <v>3000</v>
          </cell>
          <cell r="H33">
            <v>46088</v>
          </cell>
          <cell r="I33">
            <v>46089</v>
          </cell>
        </row>
        <row r="34">
          <cell r="D34">
            <v>110001263466</v>
          </cell>
          <cell r="E34" t="str">
            <v>693-B23G7B-PC  0011801048AF</v>
          </cell>
          <cell r="F34">
            <v>3600</v>
          </cell>
          <cell r="H34">
            <v>46096</v>
          </cell>
          <cell r="I34">
            <v>46097</v>
          </cell>
        </row>
        <row r="35">
          <cell r="D35">
            <v>110001263467</v>
          </cell>
          <cell r="E35" t="str">
            <v>693-B23G7B-PC</v>
          </cell>
          <cell r="F35">
            <v>3600</v>
          </cell>
          <cell r="H35">
            <v>46094</v>
          </cell>
          <cell r="I35">
            <v>46095</v>
          </cell>
        </row>
        <row r="36">
          <cell r="D36">
            <v>110001263472</v>
          </cell>
          <cell r="E36" t="str">
            <v>693-C23I3A-PC 0011801656</v>
          </cell>
          <cell r="F36">
            <v>3000</v>
          </cell>
          <cell r="H36">
            <v>46098</v>
          </cell>
          <cell r="I36">
            <v>46099</v>
          </cell>
        </row>
        <row r="37">
          <cell r="D37">
            <v>110001263473</v>
          </cell>
          <cell r="E37" t="str">
            <v>693-C23I3A-PC 0011801656</v>
          </cell>
          <cell r="F37">
            <v>3000</v>
          </cell>
          <cell r="H37">
            <v>46096</v>
          </cell>
          <cell r="I37">
            <v>46097</v>
          </cell>
        </row>
        <row r="38">
          <cell r="D38">
            <v>110001263474</v>
          </cell>
          <cell r="E38" t="str">
            <v>693-B23G2A-PC 0011801330G</v>
          </cell>
          <cell r="F38">
            <v>400</v>
          </cell>
          <cell r="H38">
            <v>46096</v>
          </cell>
          <cell r="I38">
            <v>46097</v>
          </cell>
        </row>
        <row r="39">
          <cell r="D39">
            <v>110001263475</v>
          </cell>
          <cell r="E39" t="str">
            <v>693-B23G2A-PC 0011801330G</v>
          </cell>
          <cell r="F39">
            <v>400</v>
          </cell>
          <cell r="H39">
            <v>46094</v>
          </cell>
          <cell r="I39">
            <v>46095</v>
          </cell>
        </row>
        <row r="40">
          <cell r="D40">
            <v>110001263476</v>
          </cell>
          <cell r="E40" t="str">
            <v>693-B23I7A-PC 0011801039AM</v>
          </cell>
          <cell r="F40">
            <v>800</v>
          </cell>
          <cell r="H40">
            <v>46091</v>
          </cell>
          <cell r="I40">
            <v>46092</v>
          </cell>
        </row>
        <row r="41">
          <cell r="D41">
            <v>110001263477</v>
          </cell>
          <cell r="E41" t="str">
            <v>693-B23I7A-PC 0011801039AM</v>
          </cell>
          <cell r="F41">
            <v>800</v>
          </cell>
          <cell r="H41">
            <v>46089</v>
          </cell>
          <cell r="I41">
            <v>46090</v>
          </cell>
        </row>
        <row r="42">
          <cell r="D42">
            <v>110001263478</v>
          </cell>
          <cell r="E42" t="str">
            <v>500323-C2488A-PC 0011801482A</v>
          </cell>
          <cell r="F42">
            <v>3000</v>
          </cell>
          <cell r="H42">
            <v>46091</v>
          </cell>
          <cell r="I42">
            <v>46092</v>
          </cell>
        </row>
        <row r="43">
          <cell r="D43">
            <v>110001263479</v>
          </cell>
          <cell r="E43" t="str">
            <v>500323-C2488A-PC 0011801482A</v>
          </cell>
          <cell r="F43">
            <v>3000</v>
          </cell>
          <cell r="H43">
            <v>46089</v>
          </cell>
          <cell r="I43">
            <v>46090</v>
          </cell>
        </row>
        <row r="44">
          <cell r="D44">
            <v>110001263502</v>
          </cell>
          <cell r="E44" t="str">
            <v>693-C2532B-PC G0044 0011802020A</v>
          </cell>
          <cell r="F44">
            <v>1000</v>
          </cell>
          <cell r="H44">
            <v>46089</v>
          </cell>
          <cell r="I44">
            <v>46090</v>
          </cell>
        </row>
        <row r="45">
          <cell r="D45">
            <v>110001263503</v>
          </cell>
          <cell r="E45" t="str">
            <v>693-C2532B-PC 0011802020A</v>
          </cell>
          <cell r="F45">
            <v>1000</v>
          </cell>
          <cell r="H45">
            <v>46087</v>
          </cell>
          <cell r="I45">
            <v>46088</v>
          </cell>
        </row>
        <row r="46">
          <cell r="D46">
            <v>110001263520</v>
          </cell>
          <cell r="E46" t="str">
            <v>693-C24Q3B-PC G0044 0011801977F</v>
          </cell>
          <cell r="F46">
            <v>2000</v>
          </cell>
          <cell r="H46">
            <v>46098</v>
          </cell>
          <cell r="I46">
            <v>46099</v>
          </cell>
        </row>
        <row r="47">
          <cell r="D47">
            <v>110001263521</v>
          </cell>
          <cell r="E47" t="str">
            <v>693-C24Q3B-PC 0011801977F</v>
          </cell>
          <cell r="F47">
            <v>2000</v>
          </cell>
          <cell r="H47">
            <v>46096</v>
          </cell>
          <cell r="I47">
            <v>46097</v>
          </cell>
        </row>
        <row r="48">
          <cell r="D48">
            <v>110001263524</v>
          </cell>
          <cell r="E48" t="str">
            <v>693-C24Q3E-PC G0044 0011801977G</v>
          </cell>
          <cell r="F48">
            <v>200</v>
          </cell>
          <cell r="H48">
            <v>46094</v>
          </cell>
          <cell r="I48">
            <v>46095</v>
          </cell>
        </row>
        <row r="49">
          <cell r="D49">
            <v>110001263525</v>
          </cell>
          <cell r="E49" t="str">
            <v>693-C24Q3E-PC 0011801977G</v>
          </cell>
          <cell r="F49">
            <v>200</v>
          </cell>
          <cell r="H49">
            <v>46092</v>
          </cell>
          <cell r="I49">
            <v>46093</v>
          </cell>
        </row>
        <row r="50">
          <cell r="D50">
            <v>110001263526</v>
          </cell>
          <cell r="E50" t="str">
            <v>693-C24Q3E-PC G0044 0011801977G</v>
          </cell>
          <cell r="F50">
            <v>2000</v>
          </cell>
          <cell r="H50">
            <v>46098</v>
          </cell>
          <cell r="I50">
            <v>46099</v>
          </cell>
        </row>
        <row r="51">
          <cell r="D51">
            <v>110001263527</v>
          </cell>
          <cell r="E51" t="str">
            <v>693-C24Q3E-PC 0011801977G</v>
          </cell>
          <cell r="F51">
            <v>2000</v>
          </cell>
          <cell r="H51">
            <v>46096</v>
          </cell>
          <cell r="I51">
            <v>46097</v>
          </cell>
        </row>
        <row r="52">
          <cell r="D52">
            <v>110001263528</v>
          </cell>
          <cell r="E52" t="str">
            <v>693-B25D2B-PC G0044 0011801330AK</v>
          </cell>
          <cell r="F52">
            <v>200</v>
          </cell>
          <cell r="H52">
            <v>46091</v>
          </cell>
          <cell r="I52">
            <v>46092</v>
          </cell>
        </row>
        <row r="53">
          <cell r="D53">
            <v>110001263529</v>
          </cell>
          <cell r="E53" t="str">
            <v>693-B25D2B-PC 0011801330AK</v>
          </cell>
          <cell r="F53">
            <v>200</v>
          </cell>
          <cell r="H53">
            <v>46089</v>
          </cell>
          <cell r="I53">
            <v>46090</v>
          </cell>
        </row>
        <row r="54">
          <cell r="D54">
            <v>110001263549</v>
          </cell>
          <cell r="E54" t="str">
            <v>693-C23H4B-PC  0011801424AZ</v>
          </cell>
          <cell r="F54">
            <v>400</v>
          </cell>
          <cell r="H54">
            <v>46096</v>
          </cell>
          <cell r="I54">
            <v>46097</v>
          </cell>
        </row>
        <row r="55">
          <cell r="D55">
            <v>110001263550</v>
          </cell>
          <cell r="E55" t="str">
            <v>693-C23H4B-PC 0011801424AZ</v>
          </cell>
          <cell r="F55">
            <v>400</v>
          </cell>
          <cell r="H55">
            <v>46094</v>
          </cell>
          <cell r="I55">
            <v>46095</v>
          </cell>
        </row>
        <row r="56">
          <cell r="D56">
            <v>110001263553</v>
          </cell>
          <cell r="E56" t="str">
            <v>693-B23I7B-PC 0011801039AN</v>
          </cell>
          <cell r="F56">
            <v>400</v>
          </cell>
          <cell r="H56">
            <v>46098</v>
          </cell>
          <cell r="I56">
            <v>46099</v>
          </cell>
        </row>
        <row r="57">
          <cell r="D57">
            <v>110001263554</v>
          </cell>
          <cell r="E57" t="str">
            <v>693-B23I7B-PC 0011801039AN</v>
          </cell>
          <cell r="F57">
            <v>400</v>
          </cell>
          <cell r="H57">
            <v>46096</v>
          </cell>
          <cell r="I57">
            <v>46097</v>
          </cell>
        </row>
        <row r="58">
          <cell r="D58">
            <v>110001263567</v>
          </cell>
          <cell r="E58" t="str">
            <v>693-C2556A-D G0044 0031800517</v>
          </cell>
          <cell r="F58">
            <v>2000</v>
          </cell>
          <cell r="H58">
            <v>46093</v>
          </cell>
          <cell r="I58">
            <v>46094</v>
          </cell>
        </row>
        <row r="59">
          <cell r="D59">
            <v>110001263568</v>
          </cell>
          <cell r="E59" t="str">
            <v>693-C2556A-D 0031800517</v>
          </cell>
          <cell r="F59">
            <v>2000</v>
          </cell>
          <cell r="H59">
            <v>46091</v>
          </cell>
          <cell r="I59">
            <v>46092</v>
          </cell>
        </row>
        <row r="60">
          <cell r="D60">
            <v>110001264675</v>
          </cell>
          <cell r="E60" t="str">
            <v>500493-C2501A G0020 20105971</v>
          </cell>
          <cell r="F60">
            <v>150</v>
          </cell>
          <cell r="H60">
            <v>46094</v>
          </cell>
          <cell r="I60">
            <v>46095</v>
          </cell>
        </row>
        <row r="61">
          <cell r="D61">
            <v>110001264676</v>
          </cell>
          <cell r="E61" t="str">
            <v>500493-C2501A-D 20105971-D</v>
          </cell>
          <cell r="F61">
            <v>150</v>
          </cell>
          <cell r="H61">
            <v>46094</v>
          </cell>
          <cell r="I61">
            <v>46095</v>
          </cell>
        </row>
        <row r="62">
          <cell r="D62">
            <v>110001264677</v>
          </cell>
          <cell r="E62" t="str">
            <v>500493-C2501A-P 20105971-P</v>
          </cell>
          <cell r="F62">
            <v>150</v>
          </cell>
          <cell r="H62">
            <v>46094</v>
          </cell>
          <cell r="I62">
            <v>46095</v>
          </cell>
        </row>
        <row r="63">
          <cell r="D63">
            <v>110001264678</v>
          </cell>
          <cell r="E63" t="str">
            <v>500493-C2501A-D 20105971-D</v>
          </cell>
          <cell r="F63">
            <v>150</v>
          </cell>
          <cell r="H63">
            <v>46092</v>
          </cell>
          <cell r="I63">
            <v>46093</v>
          </cell>
        </row>
        <row r="64">
          <cell r="D64">
            <v>110001264679</v>
          </cell>
          <cell r="E64" t="str">
            <v>500493-C2501A-P 20105971-P</v>
          </cell>
          <cell r="F64">
            <v>150</v>
          </cell>
          <cell r="H64">
            <v>46092</v>
          </cell>
          <cell r="I64">
            <v>46093</v>
          </cell>
        </row>
        <row r="65">
          <cell r="D65">
            <v>110001266693</v>
          </cell>
          <cell r="E65" t="str">
            <v>500323-C24N5A-PC 0151801031C</v>
          </cell>
          <cell r="F65">
            <v>200</v>
          </cell>
          <cell r="H65">
            <v>46094</v>
          </cell>
          <cell r="I65">
            <v>46095</v>
          </cell>
        </row>
        <row r="66">
          <cell r="D66">
            <v>110001266694</v>
          </cell>
          <cell r="E66" t="str">
            <v>500323-C24N5A-PC 0151801031C</v>
          </cell>
          <cell r="F66">
            <v>200</v>
          </cell>
          <cell r="H66">
            <v>46092</v>
          </cell>
          <cell r="I66">
            <v>46093</v>
          </cell>
        </row>
        <row r="67">
          <cell r="D67">
            <v>110001266695</v>
          </cell>
          <cell r="E67" t="str">
            <v>500323-C24N5D-PC 0151801031F</v>
          </cell>
          <cell r="F67">
            <v>500</v>
          </cell>
          <cell r="H67">
            <v>46094</v>
          </cell>
          <cell r="I67">
            <v>46095</v>
          </cell>
        </row>
        <row r="68">
          <cell r="D68">
            <v>110001266696</v>
          </cell>
          <cell r="E68" t="str">
            <v>500323-C24N5D-PC 0151801031F</v>
          </cell>
          <cell r="F68">
            <v>500</v>
          </cell>
          <cell r="H68">
            <v>46092</v>
          </cell>
          <cell r="I68">
            <v>46093</v>
          </cell>
        </row>
        <row r="69">
          <cell r="D69">
            <v>110001266697</v>
          </cell>
          <cell r="E69" t="str">
            <v>501706-C2501A-PC G0044 1060171</v>
          </cell>
          <cell r="F69">
            <v>3000</v>
          </cell>
          <cell r="H69">
            <v>46093</v>
          </cell>
          <cell r="I69">
            <v>46094</v>
          </cell>
        </row>
        <row r="70">
          <cell r="D70">
            <v>110001266698</v>
          </cell>
          <cell r="E70" t="str">
            <v>2006-C2301B-PC 888001414</v>
          </cell>
          <cell r="F70">
            <v>3000</v>
          </cell>
          <cell r="H70">
            <v>46091</v>
          </cell>
          <cell r="I70">
            <v>46092</v>
          </cell>
        </row>
        <row r="71">
          <cell r="D71">
            <v>110001266707</v>
          </cell>
          <cell r="E71" t="str">
            <v>600766-A2503A-PC G0044 0011801330MHR</v>
          </cell>
          <cell r="F71">
            <v>500</v>
          </cell>
          <cell r="H71">
            <v>46100</v>
          </cell>
          <cell r="I71">
            <v>46101</v>
          </cell>
        </row>
        <row r="72">
          <cell r="D72">
            <v>110001266708</v>
          </cell>
          <cell r="E72" t="str">
            <v>600766-A2503A-PC 0011801330MHR</v>
          </cell>
          <cell r="F72">
            <v>500</v>
          </cell>
          <cell r="H72">
            <v>46098</v>
          </cell>
          <cell r="I72">
            <v>46099</v>
          </cell>
        </row>
        <row r="73">
          <cell r="D73">
            <v>110001266709</v>
          </cell>
          <cell r="E73" t="str">
            <v>600766-A2501A-D G0044 0011800387DHR</v>
          </cell>
          <cell r="F73">
            <v>22000</v>
          </cell>
          <cell r="H73">
            <v>46094</v>
          </cell>
          <cell r="I73">
            <v>46095</v>
          </cell>
        </row>
        <row r="74">
          <cell r="D74">
            <v>110001266710</v>
          </cell>
          <cell r="E74" t="str">
            <v>600766-A2501A-D 0011800387DHR</v>
          </cell>
          <cell r="F74">
            <v>22000</v>
          </cell>
          <cell r="H74">
            <v>46092</v>
          </cell>
          <cell r="I74">
            <v>46093</v>
          </cell>
        </row>
        <row r="75">
          <cell r="D75">
            <v>110001266711</v>
          </cell>
          <cell r="E75" t="str">
            <v>600766-A2501A-D G0044 0011800387DHR</v>
          </cell>
          <cell r="F75">
            <v>55000</v>
          </cell>
          <cell r="H75">
            <v>46100</v>
          </cell>
          <cell r="I75">
            <v>46101</v>
          </cell>
        </row>
        <row r="76">
          <cell r="D76">
            <v>110001266712</v>
          </cell>
          <cell r="E76" t="str">
            <v>600766-A2501A-D 0011800387DHR</v>
          </cell>
          <cell r="F76">
            <v>55000</v>
          </cell>
          <cell r="H76">
            <v>46098</v>
          </cell>
          <cell r="I76">
            <v>46099</v>
          </cell>
        </row>
        <row r="77">
          <cell r="D77">
            <v>110001266713</v>
          </cell>
          <cell r="E77" t="str">
            <v>600766-A2505A-PC G0044 0011801843B</v>
          </cell>
          <cell r="F77">
            <v>6600</v>
          </cell>
          <cell r="H77">
            <v>46094</v>
          </cell>
          <cell r="I77">
            <v>46095</v>
          </cell>
        </row>
        <row r="78">
          <cell r="D78">
            <v>110001266714</v>
          </cell>
          <cell r="E78" t="str">
            <v>600766-A2505A-PC 0011801843B</v>
          </cell>
          <cell r="F78">
            <v>6600</v>
          </cell>
          <cell r="H78">
            <v>46092</v>
          </cell>
          <cell r="I78">
            <v>46093</v>
          </cell>
        </row>
        <row r="79">
          <cell r="D79">
            <v>110001266715</v>
          </cell>
          <cell r="E79" t="str">
            <v>600766-A2505B-PC G0044 0011801843G</v>
          </cell>
          <cell r="F79">
            <v>6000</v>
          </cell>
          <cell r="H79">
            <v>46094</v>
          </cell>
          <cell r="I79">
            <v>46095</v>
          </cell>
        </row>
        <row r="80">
          <cell r="D80">
            <v>110001266716</v>
          </cell>
          <cell r="E80" t="str">
            <v>600766-A2505B-PC 0011801843G</v>
          </cell>
          <cell r="F80">
            <v>6000</v>
          </cell>
          <cell r="H80">
            <v>46092</v>
          </cell>
          <cell r="I80">
            <v>46093</v>
          </cell>
        </row>
        <row r="81">
          <cell r="D81">
            <v>110001266717</v>
          </cell>
          <cell r="E81" t="str">
            <v>600766-A2505E-PC G0044 0011801843JCHHR</v>
          </cell>
          <cell r="F81">
            <v>5000</v>
          </cell>
          <cell r="H81">
            <v>46094</v>
          </cell>
          <cell r="I81">
            <v>46095</v>
          </cell>
        </row>
        <row r="82">
          <cell r="D82">
            <v>110001266718</v>
          </cell>
          <cell r="E82" t="str">
            <v>600766-A2505E-PC 0011801843JCHHR</v>
          </cell>
          <cell r="F82">
            <v>5000</v>
          </cell>
          <cell r="H82">
            <v>46092</v>
          </cell>
          <cell r="I82">
            <v>46093</v>
          </cell>
        </row>
        <row r="83">
          <cell r="D83">
            <v>110001266811</v>
          </cell>
          <cell r="E83" t="str">
            <v>693-A2180B-PC 0011800646D</v>
          </cell>
          <cell r="F83">
            <v>200</v>
          </cell>
          <cell r="H83">
            <v>46096</v>
          </cell>
          <cell r="I83">
            <v>46097</v>
          </cell>
        </row>
        <row r="84">
          <cell r="D84">
            <v>110001266812</v>
          </cell>
          <cell r="E84" t="str">
            <v>693-A2180B-PC 0011800646D</v>
          </cell>
          <cell r="F84">
            <v>200</v>
          </cell>
          <cell r="H84">
            <v>46094</v>
          </cell>
          <cell r="I84">
            <v>46095</v>
          </cell>
        </row>
        <row r="85">
          <cell r="D85">
            <v>110001266927</v>
          </cell>
          <cell r="E85" t="str">
            <v>693-C2238A-PC 0011800977K</v>
          </cell>
          <cell r="F85">
            <v>1000</v>
          </cell>
          <cell r="H85">
            <v>46092</v>
          </cell>
          <cell r="I85">
            <v>46093</v>
          </cell>
        </row>
        <row r="86">
          <cell r="D86">
            <v>110001266928</v>
          </cell>
          <cell r="E86" t="str">
            <v>693-C2238A-PC 0011800977K</v>
          </cell>
          <cell r="F86">
            <v>1000</v>
          </cell>
          <cell r="H86">
            <v>46090</v>
          </cell>
          <cell r="I86">
            <v>46091</v>
          </cell>
        </row>
        <row r="87">
          <cell r="D87">
            <v>110001266935</v>
          </cell>
          <cell r="E87" t="str">
            <v>693-B2201O-PC-0011801424AF</v>
          </cell>
          <cell r="F87">
            <v>200</v>
          </cell>
          <cell r="H87">
            <v>46090</v>
          </cell>
          <cell r="I87">
            <v>46091</v>
          </cell>
        </row>
        <row r="88">
          <cell r="D88">
            <v>110001266936</v>
          </cell>
          <cell r="E88" t="str">
            <v>693-B2201O-PC 0011801424AF</v>
          </cell>
          <cell r="F88">
            <v>200</v>
          </cell>
          <cell r="H88">
            <v>46088</v>
          </cell>
          <cell r="I88">
            <v>46089</v>
          </cell>
        </row>
        <row r="89">
          <cell r="D89">
            <v>110001266939</v>
          </cell>
          <cell r="E89" t="str">
            <v>693-C2260B-PC 0011801256L</v>
          </cell>
          <cell r="F89">
            <v>250</v>
          </cell>
          <cell r="H89">
            <v>46092</v>
          </cell>
          <cell r="I89">
            <v>46093</v>
          </cell>
        </row>
        <row r="90">
          <cell r="D90">
            <v>110001266940</v>
          </cell>
          <cell r="E90" t="str">
            <v>693-C2260B-PC 0011801256L</v>
          </cell>
          <cell r="F90">
            <v>250</v>
          </cell>
          <cell r="H90">
            <v>46090</v>
          </cell>
          <cell r="I90">
            <v>46091</v>
          </cell>
        </row>
        <row r="91">
          <cell r="D91">
            <v>110001266949</v>
          </cell>
          <cell r="E91" t="str">
            <v>693-C2256E-PC 0011801123J</v>
          </cell>
          <cell r="F91">
            <v>2000</v>
          </cell>
          <cell r="H91">
            <v>46094</v>
          </cell>
          <cell r="I91">
            <v>46095</v>
          </cell>
        </row>
        <row r="92">
          <cell r="D92">
            <v>110001266950</v>
          </cell>
          <cell r="E92" t="str">
            <v>693-C2256E-PC 0011801123J</v>
          </cell>
          <cell r="F92">
            <v>2000</v>
          </cell>
          <cell r="H92">
            <v>46092</v>
          </cell>
          <cell r="I92">
            <v>46093</v>
          </cell>
        </row>
        <row r="93">
          <cell r="D93">
            <v>110001266951</v>
          </cell>
          <cell r="E93" t="str">
            <v>693-C2375A-D 0011800387D 合肥专用</v>
          </cell>
          <cell r="F93">
            <v>12000</v>
          </cell>
          <cell r="H93">
            <v>46090</v>
          </cell>
          <cell r="I93">
            <v>46091</v>
          </cell>
        </row>
        <row r="94">
          <cell r="D94">
            <v>110001266952</v>
          </cell>
          <cell r="E94" t="str">
            <v>693-C2375A-D 0011800387D 合肥专用</v>
          </cell>
          <cell r="F94">
            <v>12000</v>
          </cell>
          <cell r="H94">
            <v>46088</v>
          </cell>
          <cell r="I94">
            <v>46089</v>
          </cell>
        </row>
        <row r="95">
          <cell r="D95">
            <v>110001266955</v>
          </cell>
          <cell r="E95" t="str">
            <v>1323-C2305A-D 0011801659</v>
          </cell>
          <cell r="F95">
            <v>1500</v>
          </cell>
          <cell r="H95">
            <v>46098</v>
          </cell>
          <cell r="I95">
            <v>46099</v>
          </cell>
        </row>
        <row r="96">
          <cell r="D96">
            <v>110001266956</v>
          </cell>
          <cell r="E96" t="str">
            <v>1323-C2305A-D 0011801659</v>
          </cell>
          <cell r="F96">
            <v>1500</v>
          </cell>
          <cell r="H96">
            <v>46096</v>
          </cell>
          <cell r="I96">
            <v>46097</v>
          </cell>
        </row>
        <row r="97">
          <cell r="D97">
            <v>110001266959</v>
          </cell>
          <cell r="E97" t="str">
            <v>693-B23G7A-PC  0011801048AE</v>
          </cell>
          <cell r="F97">
            <v>3000</v>
          </cell>
          <cell r="H97">
            <v>46089</v>
          </cell>
          <cell r="I97">
            <v>46090</v>
          </cell>
        </row>
        <row r="98">
          <cell r="D98">
            <v>110001266960</v>
          </cell>
          <cell r="E98" t="str">
            <v>693-B23G7A-PC</v>
          </cell>
          <cell r="F98">
            <v>3000</v>
          </cell>
          <cell r="H98">
            <v>46087</v>
          </cell>
          <cell r="I98">
            <v>46088</v>
          </cell>
        </row>
        <row r="99">
          <cell r="D99">
            <v>110001266963</v>
          </cell>
          <cell r="E99" t="str">
            <v>693-B23G7B-PC  0011801048AF</v>
          </cell>
          <cell r="F99">
            <v>5000</v>
          </cell>
          <cell r="H99">
            <v>46098</v>
          </cell>
          <cell r="I99">
            <v>46099</v>
          </cell>
        </row>
        <row r="100">
          <cell r="D100">
            <v>110001266964</v>
          </cell>
          <cell r="E100" t="str">
            <v>693-B23G7B-PC</v>
          </cell>
          <cell r="F100">
            <v>5000</v>
          </cell>
          <cell r="H100">
            <v>46096</v>
          </cell>
          <cell r="I100">
            <v>46097</v>
          </cell>
        </row>
        <row r="101">
          <cell r="D101">
            <v>110001266971</v>
          </cell>
          <cell r="E101" t="str">
            <v>693-B23G2B-PC 0011801330H</v>
          </cell>
          <cell r="F101">
            <v>200</v>
          </cell>
          <cell r="H101">
            <v>46096</v>
          </cell>
          <cell r="I101">
            <v>46097</v>
          </cell>
        </row>
        <row r="102">
          <cell r="D102">
            <v>110001266972</v>
          </cell>
          <cell r="E102" t="str">
            <v>693-B23G2B-PC 0011801330H</v>
          </cell>
          <cell r="F102">
            <v>200</v>
          </cell>
          <cell r="H102">
            <v>46094</v>
          </cell>
          <cell r="I102">
            <v>46095</v>
          </cell>
        </row>
        <row r="103">
          <cell r="D103">
            <v>110001266979</v>
          </cell>
          <cell r="E103" t="str">
            <v>693-C2412A-PC 0041801687</v>
          </cell>
          <cell r="F103">
            <v>300</v>
          </cell>
          <cell r="H103">
            <v>46093</v>
          </cell>
          <cell r="I103">
            <v>46094</v>
          </cell>
        </row>
        <row r="104">
          <cell r="D104">
            <v>110001266980</v>
          </cell>
          <cell r="E104" t="str">
            <v>693-C2412A-PC 0041801687</v>
          </cell>
          <cell r="F104">
            <v>300</v>
          </cell>
          <cell r="H104">
            <v>46091</v>
          </cell>
          <cell r="I104">
            <v>46092</v>
          </cell>
        </row>
        <row r="105">
          <cell r="D105">
            <v>110001266995</v>
          </cell>
          <cell r="E105" t="str">
            <v>500323-C24A9A-PC 0011801490S</v>
          </cell>
          <cell r="F105">
            <v>5000</v>
          </cell>
          <cell r="H105">
            <v>46090</v>
          </cell>
          <cell r="I105">
            <v>46091</v>
          </cell>
        </row>
        <row r="106">
          <cell r="D106">
            <v>110001266996</v>
          </cell>
          <cell r="E106" t="str">
            <v>500323-C24A9A-PC 0011801490S</v>
          </cell>
          <cell r="F106">
            <v>5000</v>
          </cell>
          <cell r="H106">
            <v>46088</v>
          </cell>
          <cell r="I106">
            <v>46089</v>
          </cell>
        </row>
        <row r="107">
          <cell r="D107">
            <v>110001267001</v>
          </cell>
          <cell r="E107" t="str">
            <v>500323-C2496D-PC 0011801423AQ</v>
          </cell>
          <cell r="F107">
            <v>1500</v>
          </cell>
          <cell r="H107">
            <v>46090</v>
          </cell>
          <cell r="I107">
            <v>46091</v>
          </cell>
        </row>
        <row r="108">
          <cell r="D108">
            <v>110001267002</v>
          </cell>
          <cell r="E108" t="str">
            <v>500323-C2496D-PC 0011801423AQ</v>
          </cell>
          <cell r="F108">
            <v>1500</v>
          </cell>
          <cell r="H108">
            <v>46088</v>
          </cell>
          <cell r="I108">
            <v>46089</v>
          </cell>
        </row>
        <row r="109">
          <cell r="D109">
            <v>110001267013</v>
          </cell>
          <cell r="E109" t="str">
            <v>500323-C24G5B-D 0011801911A</v>
          </cell>
          <cell r="F109">
            <v>20000</v>
          </cell>
          <cell r="H109">
            <v>46090</v>
          </cell>
          <cell r="I109">
            <v>46091</v>
          </cell>
        </row>
        <row r="110">
          <cell r="D110">
            <v>110001267014</v>
          </cell>
          <cell r="E110" t="str">
            <v>500323-C24G5B-D 0011801911A</v>
          </cell>
          <cell r="F110">
            <v>20000</v>
          </cell>
          <cell r="H110">
            <v>46088</v>
          </cell>
          <cell r="I110">
            <v>46089</v>
          </cell>
        </row>
        <row r="111">
          <cell r="D111">
            <v>110001267041</v>
          </cell>
          <cell r="E111" t="str">
            <v>500323-C24F3A-D 0011801685</v>
          </cell>
          <cell r="F111">
            <v>200</v>
          </cell>
          <cell r="H111">
            <v>46093</v>
          </cell>
          <cell r="I111">
            <v>46094</v>
          </cell>
        </row>
        <row r="112">
          <cell r="D112">
            <v>110001267042</v>
          </cell>
          <cell r="E112" t="str">
            <v>500323-C24F3A-D 0011801685</v>
          </cell>
          <cell r="F112">
            <v>200</v>
          </cell>
          <cell r="H112">
            <v>46091</v>
          </cell>
          <cell r="I112">
            <v>46092</v>
          </cell>
        </row>
        <row r="113">
          <cell r="D113">
            <v>110001267045</v>
          </cell>
          <cell r="E113" t="str">
            <v>500323-C24F5B-D 0021800615C</v>
          </cell>
          <cell r="F113">
            <v>500</v>
          </cell>
          <cell r="H113">
            <v>46093</v>
          </cell>
          <cell r="I113">
            <v>46094</v>
          </cell>
        </row>
        <row r="114">
          <cell r="D114">
            <v>110001267046</v>
          </cell>
          <cell r="E114" t="str">
            <v>500323-C24F5B-D 0021800615C</v>
          </cell>
          <cell r="F114">
            <v>500</v>
          </cell>
          <cell r="H114">
            <v>46091</v>
          </cell>
          <cell r="I114">
            <v>46092</v>
          </cell>
        </row>
        <row r="115">
          <cell r="D115">
            <v>110001267059</v>
          </cell>
          <cell r="E115" t="str">
            <v>500323-C24D2D-D 0021800616D</v>
          </cell>
          <cell r="F115">
            <v>1000</v>
          </cell>
          <cell r="H115">
            <v>46094</v>
          </cell>
          <cell r="I115">
            <v>46095</v>
          </cell>
        </row>
        <row r="116">
          <cell r="D116">
            <v>110001267060</v>
          </cell>
          <cell r="E116" t="str">
            <v>500323-C24D2D-D 0021800616D</v>
          </cell>
          <cell r="F116">
            <v>1000</v>
          </cell>
          <cell r="H116">
            <v>46092</v>
          </cell>
          <cell r="I116">
            <v>46093</v>
          </cell>
        </row>
        <row r="117">
          <cell r="D117">
            <v>110001267071</v>
          </cell>
          <cell r="E117" t="str">
            <v>500323-C24D2E-D G0044 0021800616G</v>
          </cell>
          <cell r="F117">
            <v>1000</v>
          </cell>
          <cell r="H117">
            <v>46092</v>
          </cell>
          <cell r="I117">
            <v>46093</v>
          </cell>
        </row>
        <row r="118">
          <cell r="D118">
            <v>110001267072</v>
          </cell>
          <cell r="E118" t="str">
            <v>500323-C24D2E-D 0021800616G</v>
          </cell>
          <cell r="F118">
            <v>1000</v>
          </cell>
          <cell r="H118">
            <v>46090</v>
          </cell>
          <cell r="I118">
            <v>46091</v>
          </cell>
        </row>
        <row r="119">
          <cell r="D119">
            <v>110001267077</v>
          </cell>
          <cell r="E119" t="str">
            <v>693-C2513A-PC G0044 0011800537F</v>
          </cell>
          <cell r="F119">
            <v>200</v>
          </cell>
          <cell r="H119">
            <v>46098</v>
          </cell>
          <cell r="I119">
            <v>46099</v>
          </cell>
        </row>
        <row r="120">
          <cell r="D120">
            <v>110001267078</v>
          </cell>
          <cell r="E120" t="str">
            <v>693-C2513A-PC 0011800537F</v>
          </cell>
          <cell r="F120">
            <v>200</v>
          </cell>
          <cell r="H120">
            <v>46096</v>
          </cell>
          <cell r="I120">
            <v>46097</v>
          </cell>
        </row>
        <row r="121">
          <cell r="D121">
            <v>110001267079</v>
          </cell>
          <cell r="E121" t="str">
            <v>693-C2513B-PC G0044 0011800537K</v>
          </cell>
          <cell r="F121">
            <v>200</v>
          </cell>
          <cell r="H121">
            <v>46098</v>
          </cell>
          <cell r="I121">
            <v>46099</v>
          </cell>
        </row>
        <row r="122">
          <cell r="D122">
            <v>110001267080</v>
          </cell>
          <cell r="E122" t="str">
            <v>693-C2513B-PC 0011800537K</v>
          </cell>
          <cell r="F122">
            <v>200</v>
          </cell>
          <cell r="H122">
            <v>46096</v>
          </cell>
          <cell r="I122">
            <v>46097</v>
          </cell>
        </row>
        <row r="123">
          <cell r="D123">
            <v>110001267089</v>
          </cell>
          <cell r="E123" t="str">
            <v>500323-C24D2F-D G0044 0021800616E</v>
          </cell>
          <cell r="F123">
            <v>1000</v>
          </cell>
          <cell r="H123">
            <v>46094</v>
          </cell>
          <cell r="I123">
            <v>46095</v>
          </cell>
        </row>
        <row r="124">
          <cell r="D124">
            <v>110001267090</v>
          </cell>
          <cell r="E124" t="str">
            <v>500323-C24D2F-D 0021800616E</v>
          </cell>
          <cell r="F124">
            <v>1000</v>
          </cell>
          <cell r="H124">
            <v>46092</v>
          </cell>
          <cell r="I124">
            <v>46093</v>
          </cell>
        </row>
        <row r="125">
          <cell r="D125">
            <v>110001267109</v>
          </cell>
          <cell r="E125" t="str">
            <v>500323-C24L6F-PC G0044 0011801172DN</v>
          </cell>
          <cell r="F125">
            <v>400</v>
          </cell>
          <cell r="H125">
            <v>46098</v>
          </cell>
          <cell r="I125">
            <v>46099</v>
          </cell>
        </row>
        <row r="126">
          <cell r="D126">
            <v>110001267110</v>
          </cell>
          <cell r="E126" t="str">
            <v>500323-C24L6F-PC 0011801172DN</v>
          </cell>
          <cell r="F126">
            <v>400</v>
          </cell>
          <cell r="H126">
            <v>46096</v>
          </cell>
          <cell r="I126">
            <v>46097</v>
          </cell>
        </row>
        <row r="127">
          <cell r="D127">
            <v>110001267111</v>
          </cell>
          <cell r="E127" t="str">
            <v>693-C2516F-PC G0044 0011801675AE</v>
          </cell>
          <cell r="F127">
            <v>1000</v>
          </cell>
          <cell r="H127">
            <v>46091</v>
          </cell>
          <cell r="I127">
            <v>46092</v>
          </cell>
        </row>
        <row r="128">
          <cell r="D128">
            <v>110001267112</v>
          </cell>
          <cell r="E128" t="str">
            <v>693-C2516F-PC 0011801675AE</v>
          </cell>
          <cell r="F128">
            <v>1000</v>
          </cell>
          <cell r="H128">
            <v>46089</v>
          </cell>
          <cell r="I128">
            <v>46090</v>
          </cell>
        </row>
        <row r="129">
          <cell r="D129">
            <v>110001267117</v>
          </cell>
          <cell r="E129" t="str">
            <v>693-B2548A-PC G0044 0011801922</v>
          </cell>
          <cell r="F129">
            <v>4000</v>
          </cell>
          <cell r="H129">
            <v>46088</v>
          </cell>
          <cell r="I129">
            <v>46089</v>
          </cell>
        </row>
        <row r="130">
          <cell r="D130">
            <v>110001267118</v>
          </cell>
          <cell r="E130" t="str">
            <v>693-B2548A-PC 0011801922</v>
          </cell>
          <cell r="F130">
            <v>4000</v>
          </cell>
          <cell r="H130">
            <v>46087</v>
          </cell>
          <cell r="I130">
            <v>46087</v>
          </cell>
        </row>
        <row r="131">
          <cell r="D131">
            <v>110001267129</v>
          </cell>
          <cell r="E131" t="str">
            <v>500323-C2492F-PC G0044 0011801424BP</v>
          </cell>
          <cell r="F131">
            <v>500</v>
          </cell>
          <cell r="H131">
            <v>46088</v>
          </cell>
          <cell r="I131">
            <v>46089</v>
          </cell>
        </row>
        <row r="132">
          <cell r="D132">
            <v>110001267130</v>
          </cell>
          <cell r="E132" t="str">
            <v>500323-C2492F-PC 0011801424BP</v>
          </cell>
          <cell r="F132">
            <v>500</v>
          </cell>
          <cell r="H132">
            <v>46087</v>
          </cell>
          <cell r="I132">
            <v>46087</v>
          </cell>
        </row>
        <row r="133">
          <cell r="D133">
            <v>110001267133</v>
          </cell>
          <cell r="E133" t="str">
            <v>500323-C24A2B-PC G0044 0011801675B 新</v>
          </cell>
          <cell r="F133">
            <v>1000</v>
          </cell>
          <cell r="H133">
            <v>46090</v>
          </cell>
          <cell r="I133">
            <v>46091</v>
          </cell>
        </row>
        <row r="134">
          <cell r="D134">
            <v>110001267134</v>
          </cell>
          <cell r="E134" t="str">
            <v>500323-C24A2B-PC 0011801675B 新</v>
          </cell>
          <cell r="F134">
            <v>1000</v>
          </cell>
          <cell r="H134">
            <v>46088</v>
          </cell>
          <cell r="I134">
            <v>46089</v>
          </cell>
        </row>
        <row r="135">
          <cell r="D135">
            <v>110001267137</v>
          </cell>
          <cell r="E135" t="str">
            <v>500323-C24A2A-PC G0044 0011801675A 新</v>
          </cell>
          <cell r="F135">
            <v>1500</v>
          </cell>
          <cell r="H135">
            <v>46089</v>
          </cell>
          <cell r="I135">
            <v>46090</v>
          </cell>
        </row>
        <row r="136">
          <cell r="D136">
            <v>110001267138</v>
          </cell>
          <cell r="E136" t="str">
            <v>500323-C24A2A-PC 0011801675A 新</v>
          </cell>
          <cell r="F136">
            <v>1500</v>
          </cell>
          <cell r="H136">
            <v>46087</v>
          </cell>
          <cell r="I136">
            <v>46088</v>
          </cell>
        </row>
        <row r="137">
          <cell r="D137">
            <v>110001267141</v>
          </cell>
          <cell r="E137" t="str">
            <v>693-B25D2A-PC G0044 0011801330AJ</v>
          </cell>
          <cell r="F137">
            <v>100</v>
          </cell>
          <cell r="H137">
            <v>46098</v>
          </cell>
          <cell r="I137">
            <v>46099</v>
          </cell>
        </row>
        <row r="138">
          <cell r="D138">
            <v>110001267142</v>
          </cell>
          <cell r="E138" t="str">
            <v>693-B25D2A-PC 0011801330AJ</v>
          </cell>
          <cell r="F138">
            <v>100</v>
          </cell>
          <cell r="H138">
            <v>46096</v>
          </cell>
          <cell r="I138">
            <v>46097</v>
          </cell>
        </row>
        <row r="139">
          <cell r="D139">
            <v>110001267143</v>
          </cell>
          <cell r="E139" t="str">
            <v>693-B25D2B-PC G0044 0011801330AK</v>
          </cell>
          <cell r="F139">
            <v>1000</v>
          </cell>
          <cell r="H139">
            <v>46096</v>
          </cell>
          <cell r="I139">
            <v>46097</v>
          </cell>
        </row>
        <row r="140">
          <cell r="D140">
            <v>110001267144</v>
          </cell>
          <cell r="E140" t="str">
            <v>693-B25D2B-PC 0011801330AK</v>
          </cell>
          <cell r="F140">
            <v>1000</v>
          </cell>
          <cell r="H140">
            <v>46094</v>
          </cell>
          <cell r="I140">
            <v>46095</v>
          </cell>
        </row>
        <row r="141">
          <cell r="D141">
            <v>110001267225</v>
          </cell>
          <cell r="E141" t="str">
            <v>2189-B2401E-PC 2397246</v>
          </cell>
          <cell r="F141">
            <v>1200</v>
          </cell>
          <cell r="H141">
            <v>46089</v>
          </cell>
          <cell r="I141">
            <v>46090</v>
          </cell>
        </row>
        <row r="142">
          <cell r="D142">
            <v>110001267226</v>
          </cell>
          <cell r="E142" t="str">
            <v>贴片部件 2189-B2401E-PC 2397246</v>
          </cell>
          <cell r="F142">
            <v>1200</v>
          </cell>
          <cell r="H142">
            <v>46087</v>
          </cell>
          <cell r="I142">
            <v>46088</v>
          </cell>
        </row>
        <row r="143">
          <cell r="D143">
            <v>110001267245</v>
          </cell>
          <cell r="E143" t="str">
            <v>2189-B2401C-PC 2397168</v>
          </cell>
          <cell r="F143">
            <v>1200</v>
          </cell>
          <cell r="H143">
            <v>46091</v>
          </cell>
          <cell r="I143">
            <v>46092</v>
          </cell>
        </row>
        <row r="144">
          <cell r="D144">
            <v>110001267246</v>
          </cell>
          <cell r="E144" t="str">
            <v>贴片部件 2189-B2401C-PC 2397168</v>
          </cell>
          <cell r="F144">
            <v>1200</v>
          </cell>
          <cell r="H144">
            <v>46089</v>
          </cell>
          <cell r="I144">
            <v>46090</v>
          </cell>
        </row>
        <row r="145">
          <cell r="D145">
            <v>110001267257</v>
          </cell>
          <cell r="E145" t="str">
            <v>500493-B2402E-D 2418237</v>
          </cell>
          <cell r="F145">
            <v>1055</v>
          </cell>
          <cell r="H145">
            <v>46094</v>
          </cell>
          <cell r="I145">
            <v>46095</v>
          </cell>
        </row>
        <row r="146">
          <cell r="D146">
            <v>110001267258</v>
          </cell>
          <cell r="E146" t="str">
            <v>500493-B2402E-D 2418237</v>
          </cell>
          <cell r="F146">
            <v>1055</v>
          </cell>
          <cell r="H146">
            <v>46092</v>
          </cell>
          <cell r="I146">
            <v>46093</v>
          </cell>
        </row>
        <row r="147">
          <cell r="D147">
            <v>110001267275</v>
          </cell>
          <cell r="E147" t="str">
            <v>500493-B2407A-D 2436207</v>
          </cell>
          <cell r="F147">
            <v>1000</v>
          </cell>
          <cell r="H147">
            <v>46089</v>
          </cell>
          <cell r="I147">
            <v>46090</v>
          </cell>
        </row>
        <row r="148">
          <cell r="D148">
            <v>110001267276</v>
          </cell>
          <cell r="E148" t="str">
            <v>500493-B2407A-D 2436207</v>
          </cell>
          <cell r="F148">
            <v>1000</v>
          </cell>
          <cell r="H148">
            <v>46087</v>
          </cell>
          <cell r="I148">
            <v>46088</v>
          </cell>
        </row>
        <row r="149">
          <cell r="D149">
            <v>110001267277</v>
          </cell>
          <cell r="E149" t="str">
            <v>500493-B2407A-D 2436207</v>
          </cell>
          <cell r="F149">
            <v>1000</v>
          </cell>
          <cell r="H149">
            <v>46096</v>
          </cell>
          <cell r="I149">
            <v>46097</v>
          </cell>
        </row>
        <row r="150">
          <cell r="D150">
            <v>110001267278</v>
          </cell>
          <cell r="E150" t="str">
            <v>500493-B2407A-D 2436207</v>
          </cell>
          <cell r="F150">
            <v>1000</v>
          </cell>
          <cell r="H150">
            <v>46094</v>
          </cell>
          <cell r="I150">
            <v>46095</v>
          </cell>
        </row>
        <row r="151">
          <cell r="D151">
            <v>110001267295</v>
          </cell>
          <cell r="E151" t="str">
            <v>500493-C2504A-CB 2468085</v>
          </cell>
          <cell r="F151">
            <v>1000</v>
          </cell>
          <cell r="H151">
            <v>46100</v>
          </cell>
          <cell r="I151">
            <v>46101</v>
          </cell>
        </row>
        <row r="152">
          <cell r="D152">
            <v>110001267296</v>
          </cell>
          <cell r="E152" t="str">
            <v>500493-C2504A-CB 2468085</v>
          </cell>
          <cell r="F152">
            <v>1000</v>
          </cell>
          <cell r="H152">
            <v>46098</v>
          </cell>
          <cell r="I152">
            <v>46099</v>
          </cell>
        </row>
        <row r="153">
          <cell r="D153">
            <v>110001267303</v>
          </cell>
          <cell r="E153" t="str">
            <v>500493-B2407B-D G0020 2480423</v>
          </cell>
          <cell r="F153">
            <v>700</v>
          </cell>
          <cell r="H153">
            <v>46093</v>
          </cell>
          <cell r="I153">
            <v>46094</v>
          </cell>
        </row>
        <row r="154">
          <cell r="D154">
            <v>110001267304</v>
          </cell>
          <cell r="E154" t="str">
            <v>500493-B2407B-D 2480423</v>
          </cell>
          <cell r="F154">
            <v>700</v>
          </cell>
          <cell r="H154">
            <v>46091</v>
          </cell>
          <cell r="I154">
            <v>46092</v>
          </cell>
        </row>
        <row r="155">
          <cell r="D155">
            <v>110001267311</v>
          </cell>
          <cell r="E155" t="str">
            <v>500493-B2407C-D G0020 2488431</v>
          </cell>
          <cell r="F155">
            <v>777</v>
          </cell>
          <cell r="H155">
            <v>46096</v>
          </cell>
          <cell r="I155">
            <v>46097</v>
          </cell>
        </row>
        <row r="156">
          <cell r="D156">
            <v>110001267312</v>
          </cell>
          <cell r="E156" t="str">
            <v>500493-B2407C-D 2488431</v>
          </cell>
          <cell r="F156">
            <v>777</v>
          </cell>
          <cell r="H156">
            <v>46094</v>
          </cell>
          <cell r="I156">
            <v>46095</v>
          </cell>
        </row>
        <row r="157">
          <cell r="D157">
            <v>110001267369</v>
          </cell>
          <cell r="E157" t="str">
            <v>2189-B2401M-PC G0020 2416131</v>
          </cell>
          <cell r="F157">
            <v>800</v>
          </cell>
          <cell r="H157">
            <v>46093</v>
          </cell>
          <cell r="I157">
            <v>46094</v>
          </cell>
        </row>
        <row r="158">
          <cell r="D158">
            <v>110001267370</v>
          </cell>
          <cell r="E158" t="str">
            <v>2189-B2401M-PC 2416131</v>
          </cell>
          <cell r="F158">
            <v>800</v>
          </cell>
          <cell r="H158">
            <v>46091</v>
          </cell>
          <cell r="I158">
            <v>46092</v>
          </cell>
        </row>
        <row r="159">
          <cell r="D159">
            <v>110001267371</v>
          </cell>
          <cell r="E159" t="str">
            <v>2189-B2401M-PC G0020 2416131</v>
          </cell>
          <cell r="F159">
            <v>1500</v>
          </cell>
          <cell r="H159">
            <v>46101</v>
          </cell>
          <cell r="I159">
            <v>46102</v>
          </cell>
        </row>
        <row r="160">
          <cell r="D160">
            <v>110001267372</v>
          </cell>
          <cell r="E160" t="str">
            <v>2189-B2401M-PC 2416131</v>
          </cell>
          <cell r="F160">
            <v>1500</v>
          </cell>
          <cell r="H160">
            <v>46099</v>
          </cell>
          <cell r="I160">
            <v>46100</v>
          </cell>
        </row>
        <row r="161">
          <cell r="D161">
            <v>110001267379</v>
          </cell>
          <cell r="E161" t="str">
            <v>2189-B2401T-PC G0020 2416216</v>
          </cell>
          <cell r="F161">
            <v>1000</v>
          </cell>
          <cell r="H161">
            <v>46091</v>
          </cell>
          <cell r="I161">
            <v>46092</v>
          </cell>
        </row>
        <row r="162">
          <cell r="D162">
            <v>110001267380</v>
          </cell>
          <cell r="E162" t="str">
            <v>2189-B2401T-PC 2416216</v>
          </cell>
          <cell r="F162">
            <v>1000</v>
          </cell>
          <cell r="H162">
            <v>46089</v>
          </cell>
          <cell r="I162">
            <v>46090</v>
          </cell>
        </row>
        <row r="163">
          <cell r="D163">
            <v>110001267402</v>
          </cell>
          <cell r="E163" t="str">
            <v>693-C2260C-PC 0011801256M</v>
          </cell>
          <cell r="F163">
            <v>200</v>
          </cell>
          <cell r="H163">
            <v>46098</v>
          </cell>
          <cell r="I163">
            <v>46099</v>
          </cell>
        </row>
        <row r="164">
          <cell r="D164">
            <v>110001267403</v>
          </cell>
          <cell r="E164" t="str">
            <v>693-C2260C-PC 0011801256M</v>
          </cell>
          <cell r="F164">
            <v>200</v>
          </cell>
          <cell r="H164">
            <v>46096</v>
          </cell>
          <cell r="I164">
            <v>46097</v>
          </cell>
        </row>
        <row r="165">
          <cell r="D165">
            <v>110001267410</v>
          </cell>
          <cell r="E165" t="str">
            <v>693-C2339A-PC 0011801172CJ</v>
          </cell>
          <cell r="F165">
            <v>400</v>
          </cell>
          <cell r="H165">
            <v>46091</v>
          </cell>
          <cell r="I165">
            <v>46092</v>
          </cell>
        </row>
        <row r="166">
          <cell r="D166">
            <v>110001267411</v>
          </cell>
          <cell r="E166" t="str">
            <v>693-C2339A-PC 0011801172CJ</v>
          </cell>
          <cell r="F166">
            <v>400</v>
          </cell>
          <cell r="H166">
            <v>46089</v>
          </cell>
          <cell r="I166">
            <v>46090</v>
          </cell>
        </row>
        <row r="167">
          <cell r="D167">
            <v>110001267412</v>
          </cell>
          <cell r="E167" t="str">
            <v>693-C2375A-D 0011800387D 合肥专用</v>
          </cell>
          <cell r="F167">
            <v>10000</v>
          </cell>
          <cell r="H167">
            <v>46091</v>
          </cell>
          <cell r="I167">
            <v>46092</v>
          </cell>
        </row>
        <row r="168">
          <cell r="D168">
            <v>110001267413</v>
          </cell>
          <cell r="E168" t="str">
            <v>693-C2375A-D 0011800387D 合肥专用</v>
          </cell>
          <cell r="F168">
            <v>10000</v>
          </cell>
          <cell r="H168">
            <v>46089</v>
          </cell>
          <cell r="I168">
            <v>46090</v>
          </cell>
        </row>
        <row r="169">
          <cell r="D169">
            <v>110001267444</v>
          </cell>
          <cell r="E169" t="str">
            <v>500493-B2407I-D G0020 20114666</v>
          </cell>
          <cell r="F169">
            <v>150</v>
          </cell>
          <cell r="H169">
            <v>46098</v>
          </cell>
          <cell r="I169">
            <v>46099</v>
          </cell>
        </row>
        <row r="170">
          <cell r="D170">
            <v>110001267445</v>
          </cell>
          <cell r="E170" t="str">
            <v>500493-B2407I-D 20114666</v>
          </cell>
          <cell r="F170">
            <v>150</v>
          </cell>
          <cell r="H170">
            <v>46096</v>
          </cell>
          <cell r="I170">
            <v>46097</v>
          </cell>
        </row>
        <row r="171">
          <cell r="D171">
            <v>110001269737</v>
          </cell>
          <cell r="E171" t="str">
            <v>2189-B2505F G0020 20107993</v>
          </cell>
          <cell r="F171">
            <v>1000</v>
          </cell>
          <cell r="H171">
            <v>46090</v>
          </cell>
          <cell r="I171">
            <v>46091</v>
          </cell>
        </row>
        <row r="172">
          <cell r="D172">
            <v>110001269738</v>
          </cell>
          <cell r="E172" t="str">
            <v>2189-B2505F-D 20107993</v>
          </cell>
          <cell r="F172">
            <v>1000</v>
          </cell>
          <cell r="H172">
            <v>46090</v>
          </cell>
          <cell r="I172">
            <v>46091</v>
          </cell>
        </row>
        <row r="173">
          <cell r="D173">
            <v>110001269739</v>
          </cell>
          <cell r="E173" t="str">
            <v>2189-B2505A-KN 2489739</v>
          </cell>
          <cell r="F173">
            <v>1000</v>
          </cell>
          <cell r="H173">
            <v>46090</v>
          </cell>
          <cell r="I173">
            <v>46091</v>
          </cell>
        </row>
        <row r="174">
          <cell r="D174">
            <v>110001269740</v>
          </cell>
          <cell r="E174" t="str">
            <v>2189-B2505F-D 20107993</v>
          </cell>
          <cell r="F174">
            <v>1000</v>
          </cell>
          <cell r="H174">
            <v>46088</v>
          </cell>
          <cell r="I174">
            <v>46089</v>
          </cell>
        </row>
        <row r="175">
          <cell r="D175">
            <v>110001269749</v>
          </cell>
          <cell r="E175" t="str">
            <v>2189-B2505F G0020 20107993</v>
          </cell>
          <cell r="F175">
            <v>1600</v>
          </cell>
          <cell r="H175">
            <v>46093</v>
          </cell>
          <cell r="I175">
            <v>46094</v>
          </cell>
        </row>
        <row r="176">
          <cell r="D176">
            <v>110001269750</v>
          </cell>
          <cell r="E176" t="str">
            <v>2189-B2505F-D 20107993</v>
          </cell>
          <cell r="F176">
            <v>1600</v>
          </cell>
          <cell r="H176">
            <v>46093</v>
          </cell>
          <cell r="I176">
            <v>46094</v>
          </cell>
        </row>
        <row r="177">
          <cell r="D177">
            <v>110001269751</v>
          </cell>
          <cell r="E177" t="str">
            <v>2189-B2505A-KN 2489739</v>
          </cell>
          <cell r="F177">
            <v>1600</v>
          </cell>
          <cell r="H177">
            <v>46093</v>
          </cell>
          <cell r="I177">
            <v>46094</v>
          </cell>
        </row>
        <row r="178">
          <cell r="D178">
            <v>110001269752</v>
          </cell>
          <cell r="E178" t="str">
            <v>2189-B2505F-D 20107993</v>
          </cell>
          <cell r="F178">
            <v>1600</v>
          </cell>
          <cell r="H178">
            <v>46091</v>
          </cell>
          <cell r="I178">
            <v>46092</v>
          </cell>
        </row>
        <row r="179">
          <cell r="D179">
            <v>110001269765</v>
          </cell>
          <cell r="E179" t="str">
            <v>2189-B2505G G0020 20112794</v>
          </cell>
          <cell r="F179">
            <v>2000</v>
          </cell>
          <cell r="H179">
            <v>46089</v>
          </cell>
          <cell r="I179">
            <v>46090</v>
          </cell>
        </row>
        <row r="180">
          <cell r="D180">
            <v>110001269766</v>
          </cell>
          <cell r="E180" t="str">
            <v>2189-B2505G-D 20112794</v>
          </cell>
          <cell r="F180">
            <v>2000</v>
          </cell>
          <cell r="H180">
            <v>46089</v>
          </cell>
          <cell r="I180">
            <v>46090</v>
          </cell>
        </row>
        <row r="181">
          <cell r="D181">
            <v>110001269767</v>
          </cell>
          <cell r="E181" t="str">
            <v>2189-B2505A-KN 2489739</v>
          </cell>
          <cell r="F181">
            <v>2000</v>
          </cell>
          <cell r="H181">
            <v>46089</v>
          </cell>
          <cell r="I181">
            <v>46090</v>
          </cell>
        </row>
        <row r="182">
          <cell r="D182">
            <v>110001269768</v>
          </cell>
          <cell r="E182" t="str">
            <v>2189-B2505G-D 20112794</v>
          </cell>
          <cell r="F182">
            <v>2000</v>
          </cell>
          <cell r="H182">
            <v>46087</v>
          </cell>
          <cell r="I182">
            <v>46088</v>
          </cell>
        </row>
        <row r="183">
          <cell r="D183">
            <v>110001269769</v>
          </cell>
          <cell r="E183" t="str">
            <v>2189-B2505G G0020 20112794</v>
          </cell>
          <cell r="F183">
            <v>2000</v>
          </cell>
          <cell r="H183">
            <v>46094</v>
          </cell>
          <cell r="I183">
            <v>46095</v>
          </cell>
        </row>
        <row r="184">
          <cell r="D184">
            <v>110001269770</v>
          </cell>
          <cell r="E184" t="str">
            <v>2189-B2505G-D 20112794</v>
          </cell>
          <cell r="F184">
            <v>2000</v>
          </cell>
          <cell r="H184">
            <v>46094</v>
          </cell>
          <cell r="I184">
            <v>46095</v>
          </cell>
        </row>
        <row r="185">
          <cell r="D185">
            <v>110001269771</v>
          </cell>
          <cell r="E185" t="str">
            <v>2189-B2505A-KN 2489739</v>
          </cell>
          <cell r="F185">
            <v>2000</v>
          </cell>
          <cell r="H185">
            <v>46094</v>
          </cell>
          <cell r="I185">
            <v>46095</v>
          </cell>
        </row>
        <row r="186">
          <cell r="D186">
            <v>110001269772</v>
          </cell>
          <cell r="E186" t="str">
            <v>2189-B2505G-D 20112794</v>
          </cell>
          <cell r="F186">
            <v>2000</v>
          </cell>
          <cell r="H186">
            <v>46092</v>
          </cell>
          <cell r="I186">
            <v>46093</v>
          </cell>
        </row>
        <row r="187">
          <cell r="D187">
            <v>110001269773</v>
          </cell>
          <cell r="E187" t="str">
            <v>2189-B2505G G0020 20112794</v>
          </cell>
          <cell r="F187">
            <v>2000</v>
          </cell>
          <cell r="H187">
            <v>46096</v>
          </cell>
          <cell r="I187">
            <v>46097</v>
          </cell>
        </row>
        <row r="188">
          <cell r="D188">
            <v>110001269774</v>
          </cell>
          <cell r="E188" t="str">
            <v>2189-B2505G-D 20112794</v>
          </cell>
          <cell r="F188">
            <v>2000</v>
          </cell>
          <cell r="H188">
            <v>46096</v>
          </cell>
          <cell r="I188">
            <v>46097</v>
          </cell>
        </row>
        <row r="189">
          <cell r="D189">
            <v>110001269775</v>
          </cell>
          <cell r="E189" t="str">
            <v>2189-B2505A-KN 2489739</v>
          </cell>
          <cell r="F189">
            <v>2000</v>
          </cell>
          <cell r="H189">
            <v>46096</v>
          </cell>
          <cell r="I189">
            <v>46097</v>
          </cell>
        </row>
        <row r="190">
          <cell r="D190">
            <v>110001269776</v>
          </cell>
          <cell r="E190" t="str">
            <v>2189-B2505G-D 20112794</v>
          </cell>
          <cell r="F190">
            <v>2000</v>
          </cell>
          <cell r="H190">
            <v>46094</v>
          </cell>
          <cell r="I190">
            <v>46095</v>
          </cell>
        </row>
        <row r="191">
          <cell r="D191">
            <v>110001269801</v>
          </cell>
          <cell r="E191" t="str">
            <v>2189-B2505K G0020 20140245</v>
          </cell>
          <cell r="F191">
            <v>1934</v>
          </cell>
          <cell r="H191">
            <v>46092</v>
          </cell>
          <cell r="I191">
            <v>46093</v>
          </cell>
        </row>
        <row r="192">
          <cell r="D192">
            <v>110001269802</v>
          </cell>
          <cell r="E192" t="str">
            <v>2189-B2505K-D 20140245</v>
          </cell>
          <cell r="F192">
            <v>1934</v>
          </cell>
          <cell r="H192">
            <v>46092</v>
          </cell>
          <cell r="I192">
            <v>46093</v>
          </cell>
        </row>
        <row r="193">
          <cell r="D193">
            <v>110001269803</v>
          </cell>
          <cell r="E193" t="str">
            <v>2189-B2505A-KN 2489739</v>
          </cell>
          <cell r="F193">
            <v>1934</v>
          </cell>
          <cell r="H193">
            <v>46092</v>
          </cell>
          <cell r="I193">
            <v>46093</v>
          </cell>
        </row>
        <row r="194">
          <cell r="D194">
            <v>110001269804</v>
          </cell>
          <cell r="E194" t="str">
            <v>2189-B2505K-D 20140245</v>
          </cell>
          <cell r="F194">
            <v>1934</v>
          </cell>
          <cell r="H194">
            <v>46090</v>
          </cell>
          <cell r="I194">
            <v>46091</v>
          </cell>
        </row>
        <row r="195">
          <cell r="D195">
            <v>110001270366</v>
          </cell>
          <cell r="E195" t="str">
            <v>693-C2412A-PC 0041801687</v>
          </cell>
          <cell r="F195">
            <v>500</v>
          </cell>
          <cell r="H195">
            <v>46093</v>
          </cell>
          <cell r="I195">
            <v>46094</v>
          </cell>
        </row>
        <row r="196">
          <cell r="D196">
            <v>110001270367</v>
          </cell>
          <cell r="E196" t="str">
            <v>693-C2412A-PC 0041801687</v>
          </cell>
          <cell r="F196">
            <v>500</v>
          </cell>
          <cell r="H196">
            <v>46091</v>
          </cell>
          <cell r="I196">
            <v>46092</v>
          </cell>
        </row>
        <row r="197">
          <cell r="D197">
            <v>110001271354</v>
          </cell>
          <cell r="E197" t="str">
            <v>693-C2238A-PC 0011800977K</v>
          </cell>
          <cell r="F197">
            <v>3000</v>
          </cell>
          <cell r="H197">
            <v>46098</v>
          </cell>
          <cell r="I197">
            <v>46099</v>
          </cell>
        </row>
        <row r="198">
          <cell r="D198">
            <v>110001271355</v>
          </cell>
          <cell r="E198" t="str">
            <v>693-C2238A-PC 0011800977K</v>
          </cell>
          <cell r="F198">
            <v>3000</v>
          </cell>
          <cell r="H198">
            <v>46096</v>
          </cell>
          <cell r="I198">
            <v>46097</v>
          </cell>
        </row>
        <row r="199">
          <cell r="D199">
            <v>110001271362</v>
          </cell>
          <cell r="E199" t="str">
            <v>693-C2283A-PC 0011800923F</v>
          </cell>
          <cell r="F199">
            <v>200</v>
          </cell>
          <cell r="H199">
            <v>46098</v>
          </cell>
          <cell r="I199">
            <v>46099</v>
          </cell>
        </row>
        <row r="200">
          <cell r="D200">
            <v>110001271363</v>
          </cell>
          <cell r="E200" t="str">
            <v>693-C2283A-PC 0011800923F</v>
          </cell>
          <cell r="F200">
            <v>200</v>
          </cell>
          <cell r="H200">
            <v>46096</v>
          </cell>
          <cell r="I200">
            <v>46097</v>
          </cell>
        </row>
        <row r="201">
          <cell r="D201">
            <v>110001271372</v>
          </cell>
          <cell r="E201" t="str">
            <v>693-C23I1A-PC 0011801652A</v>
          </cell>
          <cell r="F201">
            <v>200</v>
          </cell>
          <cell r="H201">
            <v>46093</v>
          </cell>
          <cell r="I201">
            <v>46094</v>
          </cell>
        </row>
        <row r="202">
          <cell r="D202">
            <v>110001271373</v>
          </cell>
          <cell r="E202" t="str">
            <v>693-C23I1A-PC 0011801652A</v>
          </cell>
          <cell r="F202">
            <v>200</v>
          </cell>
          <cell r="H202">
            <v>46091</v>
          </cell>
          <cell r="I202">
            <v>46092</v>
          </cell>
        </row>
        <row r="203">
          <cell r="D203">
            <v>110001271376</v>
          </cell>
          <cell r="E203" t="str">
            <v>2006-C2301A-PC 888000908</v>
          </cell>
          <cell r="F203">
            <v>5000</v>
          </cell>
          <cell r="H203">
            <v>46094</v>
          </cell>
          <cell r="I203">
            <v>46095</v>
          </cell>
        </row>
        <row r="204">
          <cell r="D204">
            <v>110001271377</v>
          </cell>
          <cell r="E204" t="str">
            <v>2006-C2301A-PC 888000908</v>
          </cell>
          <cell r="F204">
            <v>5000</v>
          </cell>
          <cell r="H204">
            <v>46092</v>
          </cell>
          <cell r="I204">
            <v>46093</v>
          </cell>
        </row>
        <row r="205">
          <cell r="D205">
            <v>110001271378</v>
          </cell>
          <cell r="E205" t="str">
            <v>2006-C2301B-PC 888001414</v>
          </cell>
          <cell r="F205">
            <v>2000</v>
          </cell>
          <cell r="H205">
            <v>46095</v>
          </cell>
          <cell r="I205">
            <v>46096</v>
          </cell>
        </row>
        <row r="206">
          <cell r="D206">
            <v>110001271379</v>
          </cell>
          <cell r="E206" t="str">
            <v>2006-C2301B-PC 888001414</v>
          </cell>
          <cell r="F206">
            <v>2000</v>
          </cell>
          <cell r="H206">
            <v>46093</v>
          </cell>
          <cell r="I206">
            <v>46094</v>
          </cell>
        </row>
        <row r="207">
          <cell r="D207">
            <v>110001271380</v>
          </cell>
          <cell r="E207" t="str">
            <v>693-B23G7D-PC  0011801048AH</v>
          </cell>
          <cell r="F207">
            <v>200</v>
          </cell>
          <cell r="H207">
            <v>46089</v>
          </cell>
          <cell r="I207">
            <v>46090</v>
          </cell>
        </row>
        <row r="208">
          <cell r="D208">
            <v>110001271381</v>
          </cell>
          <cell r="E208" t="str">
            <v>693-B23G7D-PC 0011801048AH</v>
          </cell>
          <cell r="F208">
            <v>200</v>
          </cell>
          <cell r="H208">
            <v>46087</v>
          </cell>
          <cell r="I208">
            <v>46088</v>
          </cell>
        </row>
        <row r="209">
          <cell r="D209">
            <v>110001271384</v>
          </cell>
          <cell r="E209" t="str">
            <v>693-C23I5A-PC 0011801071E</v>
          </cell>
          <cell r="F209">
            <v>500</v>
          </cell>
          <cell r="H209">
            <v>46091</v>
          </cell>
          <cell r="I209">
            <v>46092</v>
          </cell>
        </row>
        <row r="210">
          <cell r="D210">
            <v>110001271385</v>
          </cell>
          <cell r="E210" t="str">
            <v>693-C23I5A-PC 0011801071E</v>
          </cell>
          <cell r="F210">
            <v>500</v>
          </cell>
          <cell r="H210">
            <v>46089</v>
          </cell>
          <cell r="I210">
            <v>46090</v>
          </cell>
        </row>
        <row r="211">
          <cell r="D211">
            <v>110001271386</v>
          </cell>
          <cell r="E211" t="str">
            <v>693-B23G2D-PC 0011801330C</v>
          </cell>
          <cell r="F211">
            <v>1200</v>
          </cell>
          <cell r="H211">
            <v>46091</v>
          </cell>
          <cell r="I211">
            <v>46092</v>
          </cell>
        </row>
        <row r="212">
          <cell r="D212">
            <v>110001271387</v>
          </cell>
          <cell r="E212" t="str">
            <v>693-B23G2D-PC 0011801330C</v>
          </cell>
          <cell r="F212">
            <v>1200</v>
          </cell>
          <cell r="H212">
            <v>46089</v>
          </cell>
          <cell r="I212">
            <v>46090</v>
          </cell>
        </row>
        <row r="213">
          <cell r="D213">
            <v>110001271392</v>
          </cell>
          <cell r="E213" t="str">
            <v>500323-C2491B-PC 0011801657A</v>
          </cell>
          <cell r="F213">
            <v>200</v>
          </cell>
          <cell r="H213">
            <v>46091</v>
          </cell>
          <cell r="I213">
            <v>46092</v>
          </cell>
        </row>
        <row r="214">
          <cell r="D214">
            <v>110001271393</v>
          </cell>
          <cell r="E214" t="str">
            <v>500323-C2491B-PC 0011801657A</v>
          </cell>
          <cell r="F214">
            <v>200</v>
          </cell>
          <cell r="H214">
            <v>46089</v>
          </cell>
          <cell r="I214">
            <v>46090</v>
          </cell>
        </row>
        <row r="215">
          <cell r="D215">
            <v>110001271396</v>
          </cell>
          <cell r="E215" t="str">
            <v>500323-C24D2A-D 0021800616B</v>
          </cell>
          <cell r="F215">
            <v>2000</v>
          </cell>
          <cell r="H215">
            <v>46092</v>
          </cell>
          <cell r="I215">
            <v>46093</v>
          </cell>
        </row>
        <row r="216">
          <cell r="D216">
            <v>110001271397</v>
          </cell>
          <cell r="E216" t="str">
            <v>500323-C24D2A-D 0021800616B</v>
          </cell>
          <cell r="F216">
            <v>2000</v>
          </cell>
          <cell r="H216">
            <v>46090</v>
          </cell>
          <cell r="I216">
            <v>46091</v>
          </cell>
        </row>
        <row r="217">
          <cell r="D217">
            <v>110001271420</v>
          </cell>
          <cell r="E217" t="str">
            <v>500323-B2515B-PC 0011801490JZ</v>
          </cell>
          <cell r="F217">
            <v>5000</v>
          </cell>
          <cell r="H217">
            <v>46089</v>
          </cell>
          <cell r="I217">
            <v>46090</v>
          </cell>
        </row>
        <row r="218">
          <cell r="D218">
            <v>110001271421</v>
          </cell>
          <cell r="E218" t="str">
            <v>500323-B2515B-PC 0011801490JZ</v>
          </cell>
          <cell r="F218">
            <v>5000</v>
          </cell>
          <cell r="H218">
            <v>46087</v>
          </cell>
          <cell r="I218">
            <v>46088</v>
          </cell>
        </row>
        <row r="219">
          <cell r="D219">
            <v>110001271422</v>
          </cell>
          <cell r="E219" t="str">
            <v>500323-B2515B-PC 0011801490JZ</v>
          </cell>
          <cell r="F219">
            <v>5000</v>
          </cell>
          <cell r="H219">
            <v>46092</v>
          </cell>
          <cell r="I219">
            <v>46093</v>
          </cell>
        </row>
        <row r="220">
          <cell r="D220">
            <v>110001271423</v>
          </cell>
          <cell r="E220" t="str">
            <v>500323-B2515B-PC 0011801490JZ</v>
          </cell>
          <cell r="F220">
            <v>5000</v>
          </cell>
          <cell r="H220">
            <v>46090</v>
          </cell>
          <cell r="I220">
            <v>46091</v>
          </cell>
        </row>
        <row r="221">
          <cell r="D221">
            <v>110001271424</v>
          </cell>
          <cell r="E221" t="str">
            <v>693-C2246A-PC G0044 0011801172AG  小批验证用</v>
          </cell>
          <cell r="F221">
            <v>5000</v>
          </cell>
          <cell r="H221">
            <v>46089</v>
          </cell>
          <cell r="I221">
            <v>46090</v>
          </cell>
        </row>
        <row r="222">
          <cell r="D222">
            <v>110001271425</v>
          </cell>
          <cell r="E222" t="str">
            <v>693-C2246A-PC 0011801172AG 小批验证用</v>
          </cell>
          <cell r="F222">
            <v>5000</v>
          </cell>
          <cell r="H222">
            <v>46087</v>
          </cell>
          <cell r="I222">
            <v>46088</v>
          </cell>
        </row>
        <row r="223">
          <cell r="D223">
            <v>110001271432</v>
          </cell>
          <cell r="E223" t="str">
            <v>501706-C2501A-PC G0044 1060171</v>
          </cell>
          <cell r="F223">
            <v>1200</v>
          </cell>
          <cell r="H223">
            <v>46093</v>
          </cell>
          <cell r="I223">
            <v>46094</v>
          </cell>
        </row>
        <row r="224">
          <cell r="D224">
            <v>110001271433</v>
          </cell>
          <cell r="E224" t="str">
            <v>2006-C2301B-PC 888001414</v>
          </cell>
          <cell r="F224">
            <v>1200</v>
          </cell>
          <cell r="H224">
            <v>46091</v>
          </cell>
          <cell r="I224">
            <v>46092</v>
          </cell>
        </row>
        <row r="225">
          <cell r="D225">
            <v>110001271434</v>
          </cell>
          <cell r="E225" t="str">
            <v>500323-C24L6G-PC G0044 0011801172DM</v>
          </cell>
          <cell r="F225">
            <v>3000</v>
          </cell>
          <cell r="H225">
            <v>46098</v>
          </cell>
          <cell r="I225">
            <v>46099</v>
          </cell>
        </row>
        <row r="226">
          <cell r="D226">
            <v>110001271435</v>
          </cell>
          <cell r="E226" t="str">
            <v>500323-C24L6G-PC 0011801172DM</v>
          </cell>
          <cell r="F226">
            <v>3000</v>
          </cell>
          <cell r="H226">
            <v>46096</v>
          </cell>
          <cell r="I226">
            <v>46097</v>
          </cell>
        </row>
        <row r="227">
          <cell r="D227">
            <v>110001271438</v>
          </cell>
          <cell r="E227" t="str">
            <v>693-C2558A-PC G0044 0011801907</v>
          </cell>
          <cell r="F227">
            <v>300</v>
          </cell>
          <cell r="H227">
            <v>46090</v>
          </cell>
          <cell r="I227">
            <v>46091</v>
          </cell>
        </row>
        <row r="228">
          <cell r="D228">
            <v>110001271439</v>
          </cell>
          <cell r="E228" t="str">
            <v>693-C2558A-PC 0011801907</v>
          </cell>
          <cell r="F228">
            <v>300</v>
          </cell>
          <cell r="H228">
            <v>46088</v>
          </cell>
          <cell r="I228">
            <v>46089</v>
          </cell>
        </row>
        <row r="229">
          <cell r="D229">
            <v>110001271440</v>
          </cell>
          <cell r="E229" t="str">
            <v>693-C2516G-PC G0044 0011801675J</v>
          </cell>
          <cell r="F229">
            <v>2000</v>
          </cell>
          <cell r="H229">
            <v>46094</v>
          </cell>
          <cell r="I229">
            <v>46095</v>
          </cell>
        </row>
        <row r="230">
          <cell r="D230">
            <v>110001271441</v>
          </cell>
          <cell r="E230" t="str">
            <v>693-C2516G-PC 0011801675J</v>
          </cell>
          <cell r="F230">
            <v>2000</v>
          </cell>
          <cell r="H230">
            <v>46092</v>
          </cell>
          <cell r="I230">
            <v>46093</v>
          </cell>
        </row>
        <row r="231">
          <cell r="D231">
            <v>110001271442</v>
          </cell>
          <cell r="E231" t="str">
            <v>500323-C24J3B-PC G0044 0011801890C</v>
          </cell>
          <cell r="F231">
            <v>3000</v>
          </cell>
          <cell r="H231">
            <v>46089</v>
          </cell>
          <cell r="I231">
            <v>46090</v>
          </cell>
        </row>
        <row r="232">
          <cell r="D232">
            <v>110001271443</v>
          </cell>
          <cell r="E232" t="str">
            <v>500323-C24J3B-PC 0011801890C</v>
          </cell>
          <cell r="F232">
            <v>3000</v>
          </cell>
          <cell r="H232">
            <v>46087</v>
          </cell>
          <cell r="I232">
            <v>46088</v>
          </cell>
        </row>
        <row r="233">
          <cell r="D233">
            <v>110001271444</v>
          </cell>
          <cell r="E233" t="str">
            <v>693-B2548A-PC G0044 0011801922</v>
          </cell>
          <cell r="F233">
            <v>2000</v>
          </cell>
          <cell r="H233">
            <v>46091</v>
          </cell>
          <cell r="I233">
            <v>46092</v>
          </cell>
        </row>
        <row r="234">
          <cell r="D234">
            <v>110001271445</v>
          </cell>
          <cell r="E234" t="str">
            <v>693-B2548A-PC 0011801922</v>
          </cell>
          <cell r="F234">
            <v>2000</v>
          </cell>
          <cell r="H234">
            <v>46089</v>
          </cell>
          <cell r="I234">
            <v>46090</v>
          </cell>
        </row>
        <row r="235">
          <cell r="D235">
            <v>110001271454</v>
          </cell>
          <cell r="E235" t="str">
            <v>693-C24Q3C-PC G0044 0011801977E</v>
          </cell>
          <cell r="F235">
            <v>500</v>
          </cell>
          <cell r="H235">
            <v>46089</v>
          </cell>
          <cell r="I235">
            <v>46090</v>
          </cell>
        </row>
        <row r="236">
          <cell r="D236">
            <v>110001271455</v>
          </cell>
          <cell r="E236" t="str">
            <v>693-C24Q3C-PC 0011801977E</v>
          </cell>
          <cell r="F236">
            <v>500</v>
          </cell>
          <cell r="H236">
            <v>46087</v>
          </cell>
          <cell r="I236">
            <v>46088</v>
          </cell>
        </row>
        <row r="237">
          <cell r="D237">
            <v>110001271456</v>
          </cell>
          <cell r="E237" t="str">
            <v>693-C24Q3D-PC G0044 0011801977H</v>
          </cell>
          <cell r="F237">
            <v>200</v>
          </cell>
          <cell r="H237">
            <v>46095</v>
          </cell>
          <cell r="I237">
            <v>46096</v>
          </cell>
        </row>
        <row r="238">
          <cell r="D238">
            <v>110001271457</v>
          </cell>
          <cell r="E238" t="str">
            <v>693-C24Q3D-PC 0011801977H</v>
          </cell>
          <cell r="F238">
            <v>200</v>
          </cell>
          <cell r="H238">
            <v>46093</v>
          </cell>
          <cell r="I238">
            <v>46094</v>
          </cell>
        </row>
        <row r="239">
          <cell r="D239">
            <v>110001271460</v>
          </cell>
          <cell r="E239" t="str">
            <v>500323-C24A2E-PC G0044 0011801675C 新</v>
          </cell>
          <cell r="F239">
            <v>400</v>
          </cell>
          <cell r="H239">
            <v>46092</v>
          </cell>
          <cell r="I239">
            <v>46093</v>
          </cell>
        </row>
        <row r="240">
          <cell r="D240">
            <v>110001271461</v>
          </cell>
          <cell r="E240" t="str">
            <v>500323-C24A2E-PC 0011801675C 新</v>
          </cell>
          <cell r="F240">
            <v>400</v>
          </cell>
          <cell r="H240">
            <v>46090</v>
          </cell>
          <cell r="I240">
            <v>46091</v>
          </cell>
        </row>
        <row r="241">
          <cell r="D241">
            <v>110001271651</v>
          </cell>
          <cell r="E241" t="str">
            <v>2189-B2401C-PC 2397168</v>
          </cell>
          <cell r="F241">
            <v>1200</v>
          </cell>
          <cell r="H241">
            <v>46093</v>
          </cell>
          <cell r="I241">
            <v>46094</v>
          </cell>
        </row>
        <row r="242">
          <cell r="D242">
            <v>110001271652</v>
          </cell>
          <cell r="E242" t="str">
            <v>贴片部件 2189-B2401C-PC 2397168</v>
          </cell>
          <cell r="F242">
            <v>1200</v>
          </cell>
          <cell r="H242">
            <v>46091</v>
          </cell>
          <cell r="I242">
            <v>46092</v>
          </cell>
        </row>
        <row r="243">
          <cell r="D243">
            <v>110001271665</v>
          </cell>
          <cell r="E243" t="str">
            <v>500493-B2502A-PC 2467797</v>
          </cell>
          <cell r="F243">
            <v>1200</v>
          </cell>
          <cell r="H243">
            <v>46096</v>
          </cell>
          <cell r="I243">
            <v>46097</v>
          </cell>
        </row>
        <row r="244">
          <cell r="D244">
            <v>110001271666</v>
          </cell>
          <cell r="E244" t="str">
            <v>500493-B2502A-PC 2467797</v>
          </cell>
          <cell r="F244">
            <v>1200</v>
          </cell>
          <cell r="H244">
            <v>46094</v>
          </cell>
          <cell r="I244">
            <v>46095</v>
          </cell>
        </row>
        <row r="245">
          <cell r="D245">
            <v>110001271691</v>
          </cell>
          <cell r="E245" t="str">
            <v>2189-B2505E G0020 2506399</v>
          </cell>
          <cell r="F245">
            <v>300</v>
          </cell>
          <cell r="H245">
            <v>46089</v>
          </cell>
          <cell r="I245">
            <v>46090</v>
          </cell>
        </row>
        <row r="246">
          <cell r="D246">
            <v>110001271692</v>
          </cell>
          <cell r="E246" t="str">
            <v>2189-B2505E-D 2506399</v>
          </cell>
          <cell r="F246">
            <v>300</v>
          </cell>
          <cell r="H246">
            <v>46089</v>
          </cell>
          <cell r="I246">
            <v>46090</v>
          </cell>
        </row>
        <row r="247">
          <cell r="D247">
            <v>110001271693</v>
          </cell>
          <cell r="E247" t="str">
            <v>2189-B2505A-KN 2489739</v>
          </cell>
          <cell r="F247">
            <v>300</v>
          </cell>
          <cell r="H247">
            <v>46089</v>
          </cell>
          <cell r="I247">
            <v>46090</v>
          </cell>
        </row>
        <row r="248">
          <cell r="D248">
            <v>110001271694</v>
          </cell>
          <cell r="E248" t="str">
            <v>2189-B2505E-D 2506399</v>
          </cell>
          <cell r="F248">
            <v>300</v>
          </cell>
          <cell r="H248">
            <v>46087</v>
          </cell>
          <cell r="I248">
            <v>46088</v>
          </cell>
        </row>
        <row r="249">
          <cell r="D249">
            <v>110001271695</v>
          </cell>
          <cell r="E249" t="str">
            <v>2189-B2505F G0020 20107993</v>
          </cell>
          <cell r="F249">
            <v>1600</v>
          </cell>
          <cell r="H249">
            <v>46096</v>
          </cell>
          <cell r="I249">
            <v>46097</v>
          </cell>
        </row>
        <row r="250">
          <cell r="D250">
            <v>110001271696</v>
          </cell>
          <cell r="E250" t="str">
            <v>2189-B2505F-D 20107993</v>
          </cell>
          <cell r="F250">
            <v>1600</v>
          </cell>
          <cell r="H250">
            <v>46096</v>
          </cell>
          <cell r="I250">
            <v>46097</v>
          </cell>
        </row>
        <row r="251">
          <cell r="D251">
            <v>110001271697</v>
          </cell>
          <cell r="E251" t="str">
            <v>2189-B2505A-KN 2489739</v>
          </cell>
          <cell r="F251">
            <v>1600</v>
          </cell>
          <cell r="H251">
            <v>46096</v>
          </cell>
          <cell r="I251">
            <v>46097</v>
          </cell>
        </row>
        <row r="252">
          <cell r="D252">
            <v>110001271698</v>
          </cell>
          <cell r="E252" t="str">
            <v>2189-B2505F-D 20107993</v>
          </cell>
          <cell r="F252">
            <v>1600</v>
          </cell>
          <cell r="H252">
            <v>46094</v>
          </cell>
          <cell r="I252">
            <v>46095</v>
          </cell>
        </row>
        <row r="253">
          <cell r="D253">
            <v>110001271705</v>
          </cell>
          <cell r="E253" t="str">
            <v>500493-B2407G-D G0020 2493878</v>
          </cell>
          <cell r="F253">
            <v>50</v>
          </cell>
          <cell r="H253">
            <v>46098</v>
          </cell>
          <cell r="I253">
            <v>46099</v>
          </cell>
        </row>
        <row r="254">
          <cell r="D254">
            <v>110001271706</v>
          </cell>
          <cell r="E254" t="str">
            <v>500493-B2407G-D 2493878</v>
          </cell>
          <cell r="F254">
            <v>50</v>
          </cell>
          <cell r="H254">
            <v>46096</v>
          </cell>
          <cell r="I254">
            <v>46097</v>
          </cell>
        </row>
        <row r="255">
          <cell r="D255">
            <v>110001271713</v>
          </cell>
          <cell r="E255" t="str">
            <v>2189-B2505I G0020 20126172</v>
          </cell>
          <cell r="F255">
            <v>500</v>
          </cell>
          <cell r="H255">
            <v>46096</v>
          </cell>
          <cell r="I255">
            <v>46097</v>
          </cell>
        </row>
        <row r="256">
          <cell r="D256">
            <v>110001271714</v>
          </cell>
          <cell r="E256" t="str">
            <v>2189-B2505I-D 20126172</v>
          </cell>
          <cell r="F256">
            <v>500</v>
          </cell>
          <cell r="H256">
            <v>46096</v>
          </cell>
          <cell r="I256">
            <v>46097</v>
          </cell>
        </row>
        <row r="257">
          <cell r="D257">
            <v>110001271715</v>
          </cell>
          <cell r="E257" t="str">
            <v>2189-B2505A-KN 2489739</v>
          </cell>
          <cell r="F257">
            <v>500</v>
          </cell>
          <cell r="H257">
            <v>46096</v>
          </cell>
          <cell r="I257">
            <v>46097</v>
          </cell>
        </row>
        <row r="258">
          <cell r="D258">
            <v>110001271716</v>
          </cell>
          <cell r="E258" t="str">
            <v>2189-B2505I-D 20126172</v>
          </cell>
          <cell r="F258">
            <v>500</v>
          </cell>
          <cell r="H258">
            <v>46094</v>
          </cell>
          <cell r="I258">
            <v>46095</v>
          </cell>
        </row>
        <row r="259">
          <cell r="D259">
            <v>110001271785</v>
          </cell>
          <cell r="E259" t="str">
            <v>693-B2201B-PC 0011801424B</v>
          </cell>
          <cell r="F259">
            <v>3000</v>
          </cell>
          <cell r="H259">
            <v>46098</v>
          </cell>
          <cell r="I259">
            <v>46099</v>
          </cell>
        </row>
        <row r="260">
          <cell r="D260">
            <v>110001271786</v>
          </cell>
          <cell r="E260" t="str">
            <v>693-B2201B-PC 0011801424B</v>
          </cell>
          <cell r="F260">
            <v>3000</v>
          </cell>
          <cell r="H260">
            <v>46096</v>
          </cell>
          <cell r="I260">
            <v>46097</v>
          </cell>
        </row>
        <row r="261">
          <cell r="D261">
            <v>110001271797</v>
          </cell>
          <cell r="E261" t="str">
            <v>693-C2596A-D G0044 0041801949</v>
          </cell>
          <cell r="F261">
            <v>2000</v>
          </cell>
          <cell r="H261">
            <v>46090</v>
          </cell>
          <cell r="I261">
            <v>46091</v>
          </cell>
        </row>
        <row r="262">
          <cell r="D262">
            <v>110001271798</v>
          </cell>
          <cell r="E262" t="str">
            <v>693-C2596A-D 0041801949</v>
          </cell>
          <cell r="F262">
            <v>2000</v>
          </cell>
          <cell r="H262">
            <v>46088</v>
          </cell>
          <cell r="I262">
            <v>46089</v>
          </cell>
        </row>
        <row r="263">
          <cell r="D263">
            <v>110001271803</v>
          </cell>
          <cell r="E263" t="str">
            <v>693-C2516C-PC G0044 0011801675AB</v>
          </cell>
          <cell r="F263">
            <v>300</v>
          </cell>
          <cell r="H263">
            <v>46098</v>
          </cell>
          <cell r="I263">
            <v>46099</v>
          </cell>
        </row>
        <row r="264">
          <cell r="D264">
            <v>110001271804</v>
          </cell>
          <cell r="E264" t="str">
            <v>693-C2516C-PC 0011801675AB</v>
          </cell>
          <cell r="F264">
            <v>300</v>
          </cell>
          <cell r="H264">
            <v>46096</v>
          </cell>
          <cell r="I264">
            <v>46097</v>
          </cell>
        </row>
        <row r="265">
          <cell r="D265">
            <v>110001271815</v>
          </cell>
          <cell r="E265" t="str">
            <v>2189-B2505H G0020 20120031</v>
          </cell>
          <cell r="F265">
            <v>1400</v>
          </cell>
          <cell r="H265">
            <v>46089</v>
          </cell>
          <cell r="I265">
            <v>46090</v>
          </cell>
        </row>
        <row r="266">
          <cell r="D266">
            <v>110001271816</v>
          </cell>
          <cell r="E266" t="str">
            <v>2189-B2505H-D 20120031</v>
          </cell>
          <cell r="F266">
            <v>1400</v>
          </cell>
          <cell r="H266">
            <v>46089</v>
          </cell>
          <cell r="I266">
            <v>46090</v>
          </cell>
        </row>
        <row r="267">
          <cell r="D267">
            <v>110001271817</v>
          </cell>
          <cell r="E267" t="str">
            <v>2189-B2505A-KN 2489739</v>
          </cell>
          <cell r="F267">
            <v>1400</v>
          </cell>
          <cell r="H267">
            <v>46089</v>
          </cell>
          <cell r="I267">
            <v>46090</v>
          </cell>
        </row>
        <row r="268">
          <cell r="D268">
            <v>110001271818</v>
          </cell>
          <cell r="E268" t="str">
            <v>2189-B2505H-D 20120031</v>
          </cell>
          <cell r="F268">
            <v>1400</v>
          </cell>
          <cell r="H268">
            <v>46087</v>
          </cell>
          <cell r="I268">
            <v>46088</v>
          </cell>
        </row>
        <row r="269">
          <cell r="D269">
            <v>110001271827</v>
          </cell>
          <cell r="E269" t="str">
            <v>693-B25D2A-PC G0044 0011801330AJ</v>
          </cell>
          <cell r="F269">
            <v>800</v>
          </cell>
          <cell r="H269">
            <v>46098</v>
          </cell>
          <cell r="I269">
            <v>46099</v>
          </cell>
        </row>
        <row r="270">
          <cell r="D270">
            <v>110001271828</v>
          </cell>
          <cell r="E270" t="str">
            <v>693-B25D2A-PC 0011801330AJ</v>
          </cell>
          <cell r="F270">
            <v>800</v>
          </cell>
          <cell r="H270">
            <v>46096</v>
          </cell>
          <cell r="I270">
            <v>46097</v>
          </cell>
        </row>
        <row r="271">
          <cell r="D271">
            <v>110001271829</v>
          </cell>
          <cell r="E271" t="str">
            <v>693-B25D2B-PC G0044 0011801330AK</v>
          </cell>
          <cell r="F271">
            <v>1500</v>
          </cell>
          <cell r="H271">
            <v>46098</v>
          </cell>
          <cell r="I271">
            <v>46099</v>
          </cell>
        </row>
        <row r="272">
          <cell r="D272">
            <v>110001271830</v>
          </cell>
          <cell r="E272" t="str">
            <v>693-B25D2B-PC 0011801330AK</v>
          </cell>
          <cell r="F272">
            <v>1500</v>
          </cell>
          <cell r="H272">
            <v>46096</v>
          </cell>
          <cell r="I272">
            <v>46097</v>
          </cell>
        </row>
        <row r="273">
          <cell r="D273">
            <v>110001271831</v>
          </cell>
          <cell r="E273" t="str">
            <v>500323-C24A3C-PC G0044 0011801850B</v>
          </cell>
          <cell r="F273">
            <v>300</v>
          </cell>
          <cell r="H273">
            <v>46098</v>
          </cell>
          <cell r="I273">
            <v>46099</v>
          </cell>
        </row>
        <row r="274">
          <cell r="D274">
            <v>110001271832</v>
          </cell>
          <cell r="E274" t="str">
            <v>500323-C24A3C-PC 0011801850B</v>
          </cell>
          <cell r="F274">
            <v>300</v>
          </cell>
          <cell r="H274">
            <v>46096</v>
          </cell>
          <cell r="I274">
            <v>46097</v>
          </cell>
        </row>
        <row r="275">
          <cell r="D275">
            <v>110001271854</v>
          </cell>
          <cell r="E275" t="str">
            <v>693-C25A8A-PC G0044 0151801031B</v>
          </cell>
          <cell r="F275">
            <v>200</v>
          </cell>
          <cell r="H275">
            <v>46095</v>
          </cell>
          <cell r="I275">
            <v>46096</v>
          </cell>
        </row>
        <row r="276">
          <cell r="D276">
            <v>110001271855</v>
          </cell>
          <cell r="E276" t="str">
            <v>693-C25A8A-PC 0151801031B</v>
          </cell>
          <cell r="F276">
            <v>200</v>
          </cell>
          <cell r="H276">
            <v>46093</v>
          </cell>
          <cell r="I276">
            <v>46094</v>
          </cell>
        </row>
        <row r="277">
          <cell r="D277">
            <v>110001272351</v>
          </cell>
          <cell r="E277" t="str">
            <v>693-C2434A-PC 0031800138R</v>
          </cell>
          <cell r="F277">
            <v>5000</v>
          </cell>
          <cell r="H277">
            <v>46093</v>
          </cell>
          <cell r="I277">
            <v>46094</v>
          </cell>
        </row>
        <row r="278">
          <cell r="D278">
            <v>110001272352</v>
          </cell>
          <cell r="E278" t="str">
            <v>693-C2434A-PC 0031800138R</v>
          </cell>
          <cell r="F278">
            <v>5000</v>
          </cell>
          <cell r="H278">
            <v>46091</v>
          </cell>
          <cell r="I278">
            <v>46092</v>
          </cell>
        </row>
        <row r="279">
          <cell r="D279">
            <v>110001272353</v>
          </cell>
          <cell r="E279" t="str">
            <v>693-C2413A-PC 0181800103 加水泥电阻</v>
          </cell>
          <cell r="F279">
            <v>10000</v>
          </cell>
          <cell r="H279">
            <v>46092</v>
          </cell>
          <cell r="I279">
            <v>46093</v>
          </cell>
        </row>
        <row r="280">
          <cell r="D280">
            <v>110001272354</v>
          </cell>
          <cell r="E280" t="str">
            <v>693-C2413A-PC 0181800103 加水泥电阻</v>
          </cell>
          <cell r="F280">
            <v>10000</v>
          </cell>
          <cell r="H280">
            <v>46090</v>
          </cell>
          <cell r="I280">
            <v>46091</v>
          </cell>
        </row>
        <row r="281">
          <cell r="D281">
            <v>110001274847</v>
          </cell>
          <cell r="E281" t="str">
            <v>693-C2596B-D G0044 0041801949A</v>
          </cell>
          <cell r="F281">
            <v>3000</v>
          </cell>
          <cell r="H281">
            <v>46091</v>
          </cell>
          <cell r="I281">
            <v>46092</v>
          </cell>
        </row>
        <row r="282">
          <cell r="D282">
            <v>110001274848</v>
          </cell>
          <cell r="E282" t="str">
            <v>693-C2596B-D 0041801949A</v>
          </cell>
          <cell r="F282">
            <v>3000</v>
          </cell>
          <cell r="H282">
            <v>46089</v>
          </cell>
          <cell r="I282">
            <v>46090</v>
          </cell>
        </row>
        <row r="283">
          <cell r="D283">
            <v>110001274849</v>
          </cell>
          <cell r="E283" t="str">
            <v>693-C2596C-D G0044 0041801949AA</v>
          </cell>
          <cell r="F283">
            <v>3500</v>
          </cell>
          <cell r="H283">
            <v>46092</v>
          </cell>
          <cell r="I283">
            <v>46093</v>
          </cell>
        </row>
        <row r="284">
          <cell r="D284">
            <v>110001274850</v>
          </cell>
          <cell r="E284" t="str">
            <v>693-C2596C-D 0041801949AA</v>
          </cell>
          <cell r="F284">
            <v>3500</v>
          </cell>
          <cell r="H284">
            <v>46090</v>
          </cell>
          <cell r="I284">
            <v>46091</v>
          </cell>
        </row>
        <row r="285">
          <cell r="D285">
            <v>110001274851</v>
          </cell>
          <cell r="E285" t="str">
            <v>693-C2596D-D G0044 0041801949AC</v>
          </cell>
          <cell r="F285">
            <v>1000</v>
          </cell>
          <cell r="H285">
            <v>46093</v>
          </cell>
          <cell r="I285">
            <v>46094</v>
          </cell>
        </row>
        <row r="286">
          <cell r="D286">
            <v>110001274852</v>
          </cell>
          <cell r="E286" t="str">
            <v>693-C2596D-D 0041801949AC</v>
          </cell>
          <cell r="F286">
            <v>1000</v>
          </cell>
          <cell r="H286">
            <v>46091</v>
          </cell>
          <cell r="I286">
            <v>46092</v>
          </cell>
        </row>
        <row r="287">
          <cell r="D287">
            <v>110001274896</v>
          </cell>
          <cell r="E287" t="str">
            <v>693-C23D5B-PC 0151801031A</v>
          </cell>
          <cell r="F287">
            <v>1000</v>
          </cell>
          <cell r="H287">
            <v>46099</v>
          </cell>
          <cell r="I287">
            <v>46100</v>
          </cell>
        </row>
        <row r="288">
          <cell r="D288">
            <v>110001274897</v>
          </cell>
          <cell r="E288" t="str">
            <v>693-C23D5B-PC 0151801031A</v>
          </cell>
          <cell r="F288">
            <v>1000</v>
          </cell>
          <cell r="H288">
            <v>46097</v>
          </cell>
          <cell r="I288">
            <v>46098</v>
          </cell>
        </row>
        <row r="289">
          <cell r="D289">
            <v>110001274898</v>
          </cell>
          <cell r="E289" t="str">
            <v>500323-C24F6A-PC 0041801140</v>
          </cell>
          <cell r="F289">
            <v>1000</v>
          </cell>
          <cell r="H289">
            <v>46094</v>
          </cell>
          <cell r="I289">
            <v>46095</v>
          </cell>
        </row>
        <row r="290">
          <cell r="D290">
            <v>110001274899</v>
          </cell>
          <cell r="E290" t="str">
            <v>贴片部件 500323-C24F6A-PC 0041801140</v>
          </cell>
          <cell r="F290">
            <v>1000</v>
          </cell>
          <cell r="H290">
            <v>46092</v>
          </cell>
          <cell r="I290">
            <v>46093</v>
          </cell>
        </row>
        <row r="291">
          <cell r="D291">
            <v>110001274900</v>
          </cell>
          <cell r="E291" t="str">
            <v>500323-C24F6B-PC 0041801140A</v>
          </cell>
          <cell r="F291">
            <v>1000</v>
          </cell>
          <cell r="H291">
            <v>46094</v>
          </cell>
          <cell r="I291">
            <v>46095</v>
          </cell>
        </row>
        <row r="292">
          <cell r="D292">
            <v>110001274901</v>
          </cell>
          <cell r="E292" t="str">
            <v>贴片部件 500323-C24F6B-PC 0041801140A</v>
          </cell>
          <cell r="F292">
            <v>1000</v>
          </cell>
          <cell r="H292">
            <v>46092</v>
          </cell>
          <cell r="I292">
            <v>46093</v>
          </cell>
        </row>
        <row r="293">
          <cell r="D293">
            <v>110001274904</v>
          </cell>
          <cell r="E293" t="str">
            <v>500323-C24N5D-PC 0151801031F</v>
          </cell>
          <cell r="F293">
            <v>1000</v>
          </cell>
          <cell r="H293">
            <v>46100</v>
          </cell>
          <cell r="I293">
            <v>46101</v>
          </cell>
        </row>
        <row r="294">
          <cell r="D294">
            <v>110001274905</v>
          </cell>
          <cell r="E294" t="str">
            <v>500323-C24N5D-PC 0151801031F</v>
          </cell>
          <cell r="F294">
            <v>1000</v>
          </cell>
          <cell r="H294">
            <v>46098</v>
          </cell>
          <cell r="I294">
            <v>46099</v>
          </cell>
        </row>
        <row r="295">
          <cell r="D295">
            <v>110001274908</v>
          </cell>
          <cell r="E295" t="str">
            <v>600766-A2506A-PC G0044 0011800977HHR</v>
          </cell>
          <cell r="F295">
            <v>8000</v>
          </cell>
          <cell r="H295">
            <v>46094</v>
          </cell>
          <cell r="I295">
            <v>46095</v>
          </cell>
        </row>
        <row r="296">
          <cell r="D296">
            <v>110001274909</v>
          </cell>
          <cell r="E296" t="str">
            <v>600766-A2506A-PC 0011800977HHR</v>
          </cell>
          <cell r="F296">
            <v>8000</v>
          </cell>
          <cell r="H296">
            <v>46092</v>
          </cell>
          <cell r="I296">
            <v>46093</v>
          </cell>
        </row>
        <row r="297">
          <cell r="D297">
            <v>110001274912</v>
          </cell>
          <cell r="E297" t="str">
            <v>600766-A2503A-PC G0044 0011801330MHR</v>
          </cell>
          <cell r="F297">
            <v>4000</v>
          </cell>
          <cell r="H297">
            <v>46100</v>
          </cell>
          <cell r="I297">
            <v>46101</v>
          </cell>
        </row>
        <row r="298">
          <cell r="D298">
            <v>110001274913</v>
          </cell>
          <cell r="E298" t="str">
            <v>600766-A2503A-PC 0011801330MHR</v>
          </cell>
          <cell r="F298">
            <v>4000</v>
          </cell>
          <cell r="H298">
            <v>46098</v>
          </cell>
          <cell r="I298">
            <v>46099</v>
          </cell>
        </row>
        <row r="299">
          <cell r="D299">
            <v>110001274916</v>
          </cell>
          <cell r="E299" t="str">
            <v>600766-A2504A-PC G0044 0011801490M</v>
          </cell>
          <cell r="F299">
            <v>10000</v>
          </cell>
          <cell r="H299">
            <v>46100</v>
          </cell>
          <cell r="I299">
            <v>46101</v>
          </cell>
        </row>
        <row r="300">
          <cell r="D300">
            <v>110001274917</v>
          </cell>
          <cell r="E300" t="str">
            <v>600766-A2504A-PC 0011801490M</v>
          </cell>
          <cell r="F300">
            <v>10000</v>
          </cell>
          <cell r="H300">
            <v>46098</v>
          </cell>
          <cell r="I300">
            <v>46099</v>
          </cell>
        </row>
        <row r="301">
          <cell r="D301">
            <v>110001274920</v>
          </cell>
          <cell r="E301" t="str">
            <v>600766-A2505B-PC G0044 0011801843G</v>
          </cell>
          <cell r="F301">
            <v>3500</v>
          </cell>
          <cell r="H301">
            <v>46100</v>
          </cell>
          <cell r="I301">
            <v>46101</v>
          </cell>
        </row>
        <row r="302">
          <cell r="D302">
            <v>110001274941</v>
          </cell>
          <cell r="E302" t="str">
            <v>600766-A2505B-PC 0011801843G</v>
          </cell>
          <cell r="F302">
            <v>3500</v>
          </cell>
          <cell r="H302">
            <v>46098</v>
          </cell>
          <cell r="I302">
            <v>46099</v>
          </cell>
        </row>
        <row r="303">
          <cell r="D303">
            <v>110001274942</v>
          </cell>
          <cell r="E303" t="str">
            <v>600766-A2505D-PC G0044 0011801843K</v>
          </cell>
          <cell r="F303">
            <v>5000</v>
          </cell>
          <cell r="H303">
            <v>46094</v>
          </cell>
          <cell r="I303">
            <v>46095</v>
          </cell>
        </row>
        <row r="304">
          <cell r="D304">
            <v>110001274943</v>
          </cell>
          <cell r="E304" t="str">
            <v>600766-A2505D-PC 0011801843K</v>
          </cell>
          <cell r="F304">
            <v>5000</v>
          </cell>
          <cell r="H304">
            <v>46092</v>
          </cell>
          <cell r="I304">
            <v>46093</v>
          </cell>
        </row>
        <row r="305">
          <cell r="D305">
            <v>110001274946</v>
          </cell>
          <cell r="E305" t="str">
            <v>693-C25A9A-PC G0044 0151801003AB</v>
          </cell>
          <cell r="F305">
            <v>500</v>
          </cell>
          <cell r="H305">
            <v>46097</v>
          </cell>
          <cell r="I305">
            <v>46098</v>
          </cell>
        </row>
        <row r="306">
          <cell r="D306">
            <v>110001274947</v>
          </cell>
          <cell r="E306" t="str">
            <v>693-C25A9A-PC 0151801003AB</v>
          </cell>
          <cell r="F306">
            <v>500</v>
          </cell>
          <cell r="H306">
            <v>46095</v>
          </cell>
          <cell r="I306">
            <v>46096</v>
          </cell>
        </row>
        <row r="307">
          <cell r="D307">
            <v>110001275128</v>
          </cell>
          <cell r="E307" t="str">
            <v>500323-C2496D-PC 0011801423AQ</v>
          </cell>
          <cell r="F307">
            <v>2000</v>
          </cell>
          <cell r="H307">
            <v>46093</v>
          </cell>
          <cell r="I307">
            <v>46094</v>
          </cell>
        </row>
        <row r="308">
          <cell r="D308">
            <v>110001275129</v>
          </cell>
          <cell r="E308" t="str">
            <v>500323-C2496D-PC 0011801423AQ</v>
          </cell>
          <cell r="F308">
            <v>2000</v>
          </cell>
          <cell r="H308">
            <v>46091</v>
          </cell>
          <cell r="I308">
            <v>46092</v>
          </cell>
        </row>
        <row r="309">
          <cell r="D309">
            <v>110001275138</v>
          </cell>
          <cell r="E309" t="str">
            <v>500323-C24G5B-D 0011801911A</v>
          </cell>
          <cell r="F309">
            <v>20000</v>
          </cell>
          <cell r="H309">
            <v>46093</v>
          </cell>
          <cell r="I309">
            <v>46094</v>
          </cell>
        </row>
        <row r="310">
          <cell r="D310">
            <v>110001275139</v>
          </cell>
          <cell r="E310" t="str">
            <v>500323-C24G5B-D 0011801911A</v>
          </cell>
          <cell r="F310">
            <v>20000</v>
          </cell>
          <cell r="H310">
            <v>46091</v>
          </cell>
          <cell r="I310">
            <v>46092</v>
          </cell>
        </row>
        <row r="311">
          <cell r="D311">
            <v>110001275142</v>
          </cell>
          <cell r="E311" t="str">
            <v>500323-C24N9M-PC 0011801490BP</v>
          </cell>
          <cell r="F311">
            <v>1000</v>
          </cell>
          <cell r="H311">
            <v>46090</v>
          </cell>
          <cell r="I311">
            <v>46091</v>
          </cell>
        </row>
        <row r="312">
          <cell r="D312">
            <v>110001275143</v>
          </cell>
          <cell r="E312" t="str">
            <v>500323-C24N9M-PC 0011801490BP</v>
          </cell>
          <cell r="F312">
            <v>1000</v>
          </cell>
          <cell r="H312">
            <v>46088</v>
          </cell>
          <cell r="I312">
            <v>46089</v>
          </cell>
        </row>
        <row r="313">
          <cell r="D313">
            <v>110001275150</v>
          </cell>
          <cell r="E313" t="str">
            <v>693-C2246A-PC G0044 0011801172AG  小批验证用</v>
          </cell>
          <cell r="F313">
            <v>5000</v>
          </cell>
          <cell r="H313">
            <v>46092</v>
          </cell>
          <cell r="I313">
            <v>46093</v>
          </cell>
        </row>
        <row r="314">
          <cell r="D314">
            <v>110001275151</v>
          </cell>
          <cell r="E314" t="str">
            <v>693-C2246A-PC 0011801172AG 小批验证用</v>
          </cell>
          <cell r="F314">
            <v>5000</v>
          </cell>
          <cell r="H314">
            <v>46090</v>
          </cell>
          <cell r="I314">
            <v>46091</v>
          </cell>
        </row>
        <row r="315">
          <cell r="D315">
            <v>110001275154</v>
          </cell>
          <cell r="E315" t="str">
            <v>500323-C24G5A-D G0044 0011801911 新</v>
          </cell>
          <cell r="F315">
            <v>30000</v>
          </cell>
          <cell r="H315">
            <v>46091</v>
          </cell>
          <cell r="I315">
            <v>46092</v>
          </cell>
        </row>
        <row r="316">
          <cell r="D316">
            <v>110001275155</v>
          </cell>
          <cell r="E316" t="str">
            <v>500323-C24G5A-D 0011801911 新</v>
          </cell>
          <cell r="F316">
            <v>30000</v>
          </cell>
          <cell r="H316">
            <v>46089</v>
          </cell>
          <cell r="I316">
            <v>46090</v>
          </cell>
        </row>
        <row r="317">
          <cell r="D317">
            <v>110001275156</v>
          </cell>
          <cell r="E317" t="str">
            <v>500323-C24G5A-D G0044 0011801911 新</v>
          </cell>
          <cell r="F317">
            <v>30000</v>
          </cell>
          <cell r="H317">
            <v>46094</v>
          </cell>
          <cell r="I317">
            <v>46095</v>
          </cell>
        </row>
        <row r="318">
          <cell r="D318">
            <v>110001275157</v>
          </cell>
          <cell r="E318" t="str">
            <v>500323-C24G5A-D 0011801911 新</v>
          </cell>
          <cell r="F318">
            <v>30000</v>
          </cell>
          <cell r="H318">
            <v>46092</v>
          </cell>
          <cell r="I318">
            <v>46093</v>
          </cell>
        </row>
        <row r="319">
          <cell r="D319">
            <v>110001275198</v>
          </cell>
          <cell r="E319" t="str">
            <v>2189-B2401D-PC 2397172</v>
          </cell>
          <cell r="F319">
            <v>1000</v>
          </cell>
          <cell r="H319">
            <v>46093</v>
          </cell>
          <cell r="I319">
            <v>46094</v>
          </cell>
        </row>
        <row r="320">
          <cell r="D320">
            <v>110001275199</v>
          </cell>
          <cell r="E320" t="str">
            <v>贴片部件 2189-B2401D-PC 2397172</v>
          </cell>
          <cell r="F320">
            <v>1000</v>
          </cell>
          <cell r="H320">
            <v>46091</v>
          </cell>
          <cell r="I320">
            <v>46092</v>
          </cell>
        </row>
        <row r="321">
          <cell r="D321">
            <v>110001275244</v>
          </cell>
          <cell r="E321" t="str">
            <v>2189-B2505E G0020 2506399</v>
          </cell>
          <cell r="F321">
            <v>1500</v>
          </cell>
          <cell r="H321">
            <v>46091</v>
          </cell>
          <cell r="I321">
            <v>46092</v>
          </cell>
        </row>
        <row r="322">
          <cell r="D322">
            <v>110001275245</v>
          </cell>
          <cell r="E322" t="str">
            <v>2189-B2505E-D 2506399</v>
          </cell>
          <cell r="F322">
            <v>1500</v>
          </cell>
          <cell r="H322">
            <v>46091</v>
          </cell>
          <cell r="I322">
            <v>46092</v>
          </cell>
        </row>
        <row r="323">
          <cell r="D323">
            <v>110001275246</v>
          </cell>
          <cell r="E323" t="str">
            <v>2189-B2505A-KN 2489739</v>
          </cell>
          <cell r="F323">
            <v>1500</v>
          </cell>
          <cell r="H323">
            <v>46091</v>
          </cell>
          <cell r="I323">
            <v>46092</v>
          </cell>
        </row>
        <row r="324">
          <cell r="D324">
            <v>110001275247</v>
          </cell>
          <cell r="E324" t="str">
            <v>2189-B2505E-D 2506399</v>
          </cell>
          <cell r="F324">
            <v>1500</v>
          </cell>
          <cell r="H324">
            <v>46089</v>
          </cell>
          <cell r="I324">
            <v>46090</v>
          </cell>
        </row>
        <row r="325">
          <cell r="D325">
            <v>110001275250</v>
          </cell>
          <cell r="E325" t="str">
            <v>500493-B2407J-D G0020 20107934</v>
          </cell>
          <cell r="F325">
            <v>500</v>
          </cell>
          <cell r="H325">
            <v>46097</v>
          </cell>
          <cell r="I325">
            <v>46098</v>
          </cell>
        </row>
        <row r="326">
          <cell r="D326">
            <v>110001275251</v>
          </cell>
          <cell r="E326" t="str">
            <v>500493-B2407J-D 20107934</v>
          </cell>
          <cell r="F326">
            <v>500</v>
          </cell>
          <cell r="H326">
            <v>46095</v>
          </cell>
          <cell r="I326">
            <v>46096</v>
          </cell>
        </row>
        <row r="327">
          <cell r="D327">
            <v>110001275284</v>
          </cell>
          <cell r="E327" t="str">
            <v>2189-B2401T-PC G0020 2416216</v>
          </cell>
          <cell r="F327">
            <v>900</v>
          </cell>
          <cell r="H327">
            <v>46098</v>
          </cell>
          <cell r="I327">
            <v>46099</v>
          </cell>
        </row>
        <row r="328">
          <cell r="D328">
            <v>110001275285</v>
          </cell>
          <cell r="E328" t="str">
            <v>2189-B2401T-PC 2416216</v>
          </cell>
          <cell r="F328">
            <v>900</v>
          </cell>
          <cell r="H328">
            <v>46096</v>
          </cell>
          <cell r="I328">
            <v>46097</v>
          </cell>
        </row>
        <row r="329">
          <cell r="D329">
            <v>110001275288</v>
          </cell>
          <cell r="E329" t="str">
            <v>2189-B2507A G0020 20127550</v>
          </cell>
          <cell r="F329">
            <v>1700</v>
          </cell>
          <cell r="H329">
            <v>46097</v>
          </cell>
          <cell r="I329">
            <v>46098</v>
          </cell>
        </row>
        <row r="330">
          <cell r="D330">
            <v>110001275289</v>
          </cell>
          <cell r="E330" t="str">
            <v>2189-B2507A-D 20127550</v>
          </cell>
          <cell r="F330">
            <v>1700</v>
          </cell>
          <cell r="H330">
            <v>46097</v>
          </cell>
          <cell r="I330">
            <v>46098</v>
          </cell>
        </row>
        <row r="331">
          <cell r="D331">
            <v>110001275290</v>
          </cell>
          <cell r="E331" t="str">
            <v>2189-B2507A-D 20127550</v>
          </cell>
          <cell r="F331">
            <v>1700</v>
          </cell>
          <cell r="H331">
            <v>46095</v>
          </cell>
          <cell r="I331">
            <v>46096</v>
          </cell>
        </row>
        <row r="332">
          <cell r="D332">
            <v>110001275346</v>
          </cell>
          <cell r="E332" t="str">
            <v>693-B2286B-D 0021800442A</v>
          </cell>
          <cell r="F332">
            <v>10000</v>
          </cell>
          <cell r="H332">
            <v>46099</v>
          </cell>
          <cell r="I332">
            <v>46100</v>
          </cell>
        </row>
        <row r="333">
          <cell r="D333">
            <v>110001275347</v>
          </cell>
          <cell r="E333" t="str">
            <v>693-B2286B-D 0021800442A</v>
          </cell>
          <cell r="F333">
            <v>10000</v>
          </cell>
          <cell r="H333">
            <v>46097</v>
          </cell>
          <cell r="I333">
            <v>46098</v>
          </cell>
        </row>
        <row r="334">
          <cell r="D334">
            <v>110001275350</v>
          </cell>
          <cell r="E334" t="str">
            <v>693-B2286B-D 0021800442A</v>
          </cell>
          <cell r="F334">
            <v>20000</v>
          </cell>
          <cell r="H334">
            <v>46091</v>
          </cell>
          <cell r="I334">
            <v>46092</v>
          </cell>
        </row>
        <row r="335">
          <cell r="D335">
            <v>110001275351</v>
          </cell>
          <cell r="E335" t="str">
            <v>693-B2286B-D 0021800442A</v>
          </cell>
          <cell r="F335">
            <v>20000</v>
          </cell>
          <cell r="H335">
            <v>46089</v>
          </cell>
          <cell r="I335">
            <v>46090</v>
          </cell>
        </row>
        <row r="336">
          <cell r="D336">
            <v>110001275352</v>
          </cell>
          <cell r="E336" t="str">
            <v>693-B2286B-D 0021800442A</v>
          </cell>
          <cell r="F336">
            <v>20000</v>
          </cell>
          <cell r="H336">
            <v>46095</v>
          </cell>
          <cell r="I336">
            <v>46096</v>
          </cell>
        </row>
        <row r="337">
          <cell r="D337">
            <v>110001275353</v>
          </cell>
          <cell r="E337" t="str">
            <v>693-B2286B-D 0021800442A</v>
          </cell>
          <cell r="F337">
            <v>20000</v>
          </cell>
          <cell r="H337">
            <v>46093</v>
          </cell>
          <cell r="I337">
            <v>46094</v>
          </cell>
        </row>
        <row r="338">
          <cell r="D338">
            <v>110001275372</v>
          </cell>
          <cell r="E338" t="str">
            <v>693-C2317B-PC 0011800977R</v>
          </cell>
          <cell r="F338">
            <v>1000</v>
          </cell>
          <cell r="H338">
            <v>46098</v>
          </cell>
          <cell r="I338">
            <v>46099</v>
          </cell>
        </row>
        <row r="339">
          <cell r="D339">
            <v>110001275373</v>
          </cell>
          <cell r="E339" t="str">
            <v>693-C2317B-PC 0011800977R</v>
          </cell>
          <cell r="F339">
            <v>1000</v>
          </cell>
          <cell r="H339">
            <v>46096</v>
          </cell>
          <cell r="I339">
            <v>46097</v>
          </cell>
        </row>
        <row r="340">
          <cell r="D340">
            <v>110001275376</v>
          </cell>
          <cell r="E340" t="str">
            <v>693-C2256D-PC 0011801123H</v>
          </cell>
          <cell r="F340">
            <v>3000</v>
          </cell>
          <cell r="H340">
            <v>46092</v>
          </cell>
          <cell r="I340">
            <v>46093</v>
          </cell>
        </row>
        <row r="341">
          <cell r="D341">
            <v>110001275377</v>
          </cell>
          <cell r="E341" t="str">
            <v>693-C2256D-PC 0011801123H</v>
          </cell>
          <cell r="F341">
            <v>3000</v>
          </cell>
          <cell r="H341">
            <v>46090</v>
          </cell>
          <cell r="I341">
            <v>46091</v>
          </cell>
        </row>
        <row r="342">
          <cell r="D342">
            <v>110001275378</v>
          </cell>
          <cell r="E342" t="str">
            <v>693-C2256D-PC 0011801123H</v>
          </cell>
          <cell r="F342">
            <v>3000</v>
          </cell>
          <cell r="H342">
            <v>46097</v>
          </cell>
          <cell r="I342">
            <v>46098</v>
          </cell>
        </row>
        <row r="343">
          <cell r="D343">
            <v>110001275379</v>
          </cell>
          <cell r="E343" t="str">
            <v>693-C2256D-PC 0011801123H</v>
          </cell>
          <cell r="F343">
            <v>3000</v>
          </cell>
          <cell r="H343">
            <v>46095</v>
          </cell>
          <cell r="I343">
            <v>46096</v>
          </cell>
        </row>
        <row r="344">
          <cell r="D344">
            <v>110001275382</v>
          </cell>
          <cell r="E344" t="str">
            <v>693-C2434A-PC 0031800138R</v>
          </cell>
          <cell r="F344">
            <v>7000</v>
          </cell>
          <cell r="H344">
            <v>46095</v>
          </cell>
          <cell r="I344">
            <v>46096</v>
          </cell>
        </row>
        <row r="345">
          <cell r="D345">
            <v>110001275383</v>
          </cell>
          <cell r="E345" t="str">
            <v>693-C2434A-PC 0031800138R</v>
          </cell>
          <cell r="F345">
            <v>7000</v>
          </cell>
          <cell r="H345">
            <v>46093</v>
          </cell>
          <cell r="I345">
            <v>46094</v>
          </cell>
        </row>
        <row r="346">
          <cell r="D346">
            <v>110001275384</v>
          </cell>
          <cell r="E346" t="str">
            <v>693-C2434A-PC 0031800138R</v>
          </cell>
          <cell r="F346">
            <v>3000</v>
          </cell>
          <cell r="H346">
            <v>46091</v>
          </cell>
          <cell r="I346">
            <v>46092</v>
          </cell>
        </row>
        <row r="347">
          <cell r="D347">
            <v>110001275385</v>
          </cell>
          <cell r="E347" t="str">
            <v>693-C2434A-PC 0031800138R</v>
          </cell>
          <cell r="F347">
            <v>3000</v>
          </cell>
          <cell r="H347">
            <v>46089</v>
          </cell>
          <cell r="I347">
            <v>46090</v>
          </cell>
        </row>
        <row r="348">
          <cell r="D348">
            <v>110001275394</v>
          </cell>
          <cell r="E348" t="str">
            <v>500323-C24D2B-D 0021800616C</v>
          </cell>
          <cell r="F348">
            <v>1500</v>
          </cell>
          <cell r="H348">
            <v>46092</v>
          </cell>
          <cell r="I348">
            <v>46093</v>
          </cell>
        </row>
        <row r="349">
          <cell r="D349">
            <v>110001275395</v>
          </cell>
          <cell r="E349" t="str">
            <v>500323-C24D2B-D 0021800616C</v>
          </cell>
          <cell r="F349">
            <v>1500</v>
          </cell>
          <cell r="H349">
            <v>46090</v>
          </cell>
          <cell r="I349">
            <v>46091</v>
          </cell>
        </row>
        <row r="350">
          <cell r="D350">
            <v>110001275398</v>
          </cell>
          <cell r="E350" t="str">
            <v>500323-C24D2C-D 0021800616A</v>
          </cell>
          <cell r="F350">
            <v>1000</v>
          </cell>
          <cell r="H350">
            <v>46091</v>
          </cell>
          <cell r="I350">
            <v>46092</v>
          </cell>
        </row>
        <row r="351">
          <cell r="D351">
            <v>110001275399</v>
          </cell>
          <cell r="E351" t="str">
            <v>500323-C24D2C-D 0021800616A</v>
          </cell>
          <cell r="F351">
            <v>1000</v>
          </cell>
          <cell r="H351">
            <v>46089</v>
          </cell>
          <cell r="I351">
            <v>46090</v>
          </cell>
        </row>
        <row r="352">
          <cell r="D352">
            <v>110001275402</v>
          </cell>
          <cell r="E352" t="str">
            <v>693-C2413A-PC 0181800103 加水泥电阻</v>
          </cell>
          <cell r="F352">
            <v>15000</v>
          </cell>
          <cell r="H352">
            <v>46094</v>
          </cell>
          <cell r="I352">
            <v>46095</v>
          </cell>
        </row>
        <row r="353">
          <cell r="D353">
            <v>110001275403</v>
          </cell>
          <cell r="E353" t="str">
            <v>693-C2413A-PC 0181800103 加水泥电阻</v>
          </cell>
          <cell r="F353">
            <v>15000</v>
          </cell>
          <cell r="H353">
            <v>46092</v>
          </cell>
          <cell r="I353">
            <v>46093</v>
          </cell>
        </row>
        <row r="354">
          <cell r="D354">
            <v>110001275404</v>
          </cell>
          <cell r="E354" t="str">
            <v>693-C2413A-PC 0181800103 加水泥电阻</v>
          </cell>
          <cell r="F354">
            <v>15000</v>
          </cell>
          <cell r="H354">
            <v>46097</v>
          </cell>
          <cell r="I354">
            <v>46098</v>
          </cell>
        </row>
        <row r="355">
          <cell r="D355">
            <v>110001275405</v>
          </cell>
          <cell r="E355" t="str">
            <v>693-C2413A-PC 0181800103 加水泥电阻</v>
          </cell>
          <cell r="F355">
            <v>15000</v>
          </cell>
          <cell r="H355">
            <v>46095</v>
          </cell>
          <cell r="I355">
            <v>46096</v>
          </cell>
        </row>
        <row r="356">
          <cell r="D356">
            <v>110001275522</v>
          </cell>
          <cell r="E356" t="str">
            <v>693-C2339A-PC 0011801172CJ</v>
          </cell>
          <cell r="F356">
            <v>200</v>
          </cell>
          <cell r="H356">
            <v>46091</v>
          </cell>
          <cell r="I356">
            <v>46092</v>
          </cell>
        </row>
        <row r="357">
          <cell r="D357">
            <v>110001275523</v>
          </cell>
          <cell r="E357" t="str">
            <v>693-C2339A-PC 0011801172CJ</v>
          </cell>
          <cell r="F357">
            <v>200</v>
          </cell>
          <cell r="H357">
            <v>46089</v>
          </cell>
          <cell r="I357">
            <v>46090</v>
          </cell>
        </row>
        <row r="358">
          <cell r="D358">
            <v>110001275528</v>
          </cell>
          <cell r="E358" t="str">
            <v>500323-C2491A-PC 0011801656A</v>
          </cell>
          <cell r="F358">
            <v>428</v>
          </cell>
          <cell r="H358">
            <v>46089</v>
          </cell>
          <cell r="I358">
            <v>46090</v>
          </cell>
        </row>
        <row r="359">
          <cell r="D359">
            <v>110001275529</v>
          </cell>
          <cell r="E359" t="str">
            <v>500323-C2491A-PC 0011801656A</v>
          </cell>
          <cell r="F359">
            <v>428</v>
          </cell>
          <cell r="H359">
            <v>46087</v>
          </cell>
          <cell r="I359">
            <v>46088</v>
          </cell>
        </row>
        <row r="360">
          <cell r="D360">
            <v>110001275542</v>
          </cell>
          <cell r="E360" t="str">
            <v>500323-C24L6H-PC G0044 0011801172DL</v>
          </cell>
          <cell r="F360">
            <v>5000</v>
          </cell>
          <cell r="H360">
            <v>46098</v>
          </cell>
          <cell r="I360">
            <v>46099</v>
          </cell>
        </row>
        <row r="361">
          <cell r="D361">
            <v>110001275543</v>
          </cell>
          <cell r="E361" t="str">
            <v>500323-C24L6H-PC 0011801172DL</v>
          </cell>
          <cell r="F361">
            <v>5000</v>
          </cell>
          <cell r="H361">
            <v>46096</v>
          </cell>
          <cell r="I361">
            <v>46097</v>
          </cell>
        </row>
        <row r="362">
          <cell r="D362">
            <v>110001275544</v>
          </cell>
          <cell r="E362" t="str">
            <v>500323-C24L6H-PC G0044 0011801172DL</v>
          </cell>
          <cell r="F362">
            <v>1000</v>
          </cell>
          <cell r="H362">
            <v>46093</v>
          </cell>
          <cell r="I362">
            <v>46094</v>
          </cell>
        </row>
        <row r="363">
          <cell r="D363">
            <v>110001275545</v>
          </cell>
          <cell r="E363" t="str">
            <v>500323-C24L6H-PC 0011801172DL</v>
          </cell>
          <cell r="F363">
            <v>1000</v>
          </cell>
          <cell r="H363">
            <v>46091</v>
          </cell>
          <cell r="I363">
            <v>46092</v>
          </cell>
        </row>
        <row r="364">
          <cell r="D364">
            <v>110001275546</v>
          </cell>
          <cell r="E364" t="str">
            <v>500323-C2492F-PC G0044 0011801424BP</v>
          </cell>
          <cell r="F364">
            <v>400</v>
          </cell>
          <cell r="H364">
            <v>46093</v>
          </cell>
          <cell r="I364">
            <v>46094</v>
          </cell>
        </row>
        <row r="365">
          <cell r="D365">
            <v>110001275547</v>
          </cell>
          <cell r="E365" t="str">
            <v>500323-C2492F-PC 0011801424BP</v>
          </cell>
          <cell r="F365">
            <v>400</v>
          </cell>
          <cell r="H365">
            <v>46091</v>
          </cell>
          <cell r="I365">
            <v>46092</v>
          </cell>
        </row>
        <row r="366">
          <cell r="D366">
            <v>110001275548</v>
          </cell>
          <cell r="E366" t="str">
            <v>500323-C24A2B-PC G0044 0011801675B 新</v>
          </cell>
          <cell r="F366">
            <v>1000</v>
          </cell>
          <cell r="H366">
            <v>46090</v>
          </cell>
          <cell r="I366">
            <v>46091</v>
          </cell>
        </row>
        <row r="367">
          <cell r="D367">
            <v>110001275549</v>
          </cell>
          <cell r="E367" t="str">
            <v>500323-C24A2B-PC 0011801675B 新</v>
          </cell>
          <cell r="F367">
            <v>1000</v>
          </cell>
          <cell r="H367">
            <v>46088</v>
          </cell>
          <cell r="I367">
            <v>46089</v>
          </cell>
        </row>
        <row r="368">
          <cell r="D368">
            <v>110001275550</v>
          </cell>
          <cell r="E368" t="str">
            <v>693-A2179C-PC 0011800630L</v>
          </cell>
          <cell r="F368">
            <v>2000</v>
          </cell>
          <cell r="H368">
            <v>46090</v>
          </cell>
          <cell r="I368">
            <v>46091</v>
          </cell>
        </row>
        <row r="369">
          <cell r="D369">
            <v>110001275551</v>
          </cell>
          <cell r="E369" t="str">
            <v>693-A2179C-PC 0011800630L</v>
          </cell>
          <cell r="F369">
            <v>2000</v>
          </cell>
          <cell r="H369">
            <v>46088</v>
          </cell>
          <cell r="I369">
            <v>46089</v>
          </cell>
        </row>
        <row r="370">
          <cell r="D370">
            <v>110001275560</v>
          </cell>
          <cell r="E370" t="str">
            <v>1323-C2209A-D 0011800607R</v>
          </cell>
          <cell r="F370">
            <v>2000</v>
          </cell>
          <cell r="H370">
            <v>46094</v>
          </cell>
          <cell r="I370">
            <v>46095</v>
          </cell>
        </row>
        <row r="371">
          <cell r="D371">
            <v>110001275561</v>
          </cell>
          <cell r="E371" t="str">
            <v>1323-C2209A-D 0011800607R</v>
          </cell>
          <cell r="F371">
            <v>2000</v>
          </cell>
          <cell r="H371">
            <v>46092</v>
          </cell>
          <cell r="I371">
            <v>46093</v>
          </cell>
        </row>
        <row r="372">
          <cell r="D372">
            <v>110001275562</v>
          </cell>
          <cell r="E372" t="str">
            <v>1323-C2209A-D 0011800607R MCU程序 Z:B816</v>
          </cell>
          <cell r="F372">
            <v>2000</v>
          </cell>
          <cell r="H372">
            <v>46092</v>
          </cell>
          <cell r="I372">
            <v>46093</v>
          </cell>
        </row>
        <row r="373">
          <cell r="D373">
            <v>110001275563</v>
          </cell>
          <cell r="E373" t="str">
            <v>1323-C2209A-D 0011800607R EE程序 E:63A6</v>
          </cell>
          <cell r="F373">
            <v>2000</v>
          </cell>
          <cell r="H373">
            <v>46092</v>
          </cell>
          <cell r="I373">
            <v>46093</v>
          </cell>
        </row>
        <row r="374">
          <cell r="D374">
            <v>110001275564</v>
          </cell>
          <cell r="E374" t="str">
            <v>693-B2201N-PC-0011801424AE</v>
          </cell>
          <cell r="F374">
            <v>700</v>
          </cell>
          <cell r="H374">
            <v>46091</v>
          </cell>
          <cell r="I374">
            <v>46092</v>
          </cell>
        </row>
        <row r="375">
          <cell r="D375">
            <v>110001275565</v>
          </cell>
          <cell r="E375" t="str">
            <v>693-B2201N-PC 0011801424AE</v>
          </cell>
          <cell r="F375">
            <v>700</v>
          </cell>
          <cell r="H375">
            <v>46089</v>
          </cell>
          <cell r="I375">
            <v>46090</v>
          </cell>
        </row>
        <row r="376">
          <cell r="D376">
            <v>110001275568</v>
          </cell>
          <cell r="E376" t="str">
            <v>693-B2201U-PC-0011801424AB</v>
          </cell>
          <cell r="F376">
            <v>400</v>
          </cell>
          <cell r="H376">
            <v>46098</v>
          </cell>
          <cell r="I376">
            <v>46099</v>
          </cell>
        </row>
        <row r="377">
          <cell r="D377">
            <v>110001275569</v>
          </cell>
          <cell r="E377" t="str">
            <v>693-B2201U-PC 0011801424AB</v>
          </cell>
          <cell r="F377">
            <v>400</v>
          </cell>
          <cell r="H377">
            <v>46096</v>
          </cell>
          <cell r="I377">
            <v>46097</v>
          </cell>
        </row>
        <row r="378">
          <cell r="D378">
            <v>110001275572</v>
          </cell>
          <cell r="E378" t="str">
            <v>693-C2317A-PC 0011800977P</v>
          </cell>
          <cell r="F378">
            <v>2000</v>
          </cell>
          <cell r="H378">
            <v>46098</v>
          </cell>
          <cell r="I378">
            <v>46099</v>
          </cell>
        </row>
        <row r="379">
          <cell r="D379">
            <v>110001275573</v>
          </cell>
          <cell r="E379" t="str">
            <v>693-C2317A-PC 0011800977P</v>
          </cell>
          <cell r="F379">
            <v>2000</v>
          </cell>
          <cell r="H379">
            <v>46096</v>
          </cell>
          <cell r="I379">
            <v>46097</v>
          </cell>
        </row>
        <row r="380">
          <cell r="D380">
            <v>110001275576</v>
          </cell>
          <cell r="E380" t="str">
            <v>693-C2375A-D 0011800387D 合肥专用</v>
          </cell>
          <cell r="F380">
            <v>10000</v>
          </cell>
          <cell r="H380">
            <v>46096</v>
          </cell>
          <cell r="I380">
            <v>46097</v>
          </cell>
        </row>
        <row r="381">
          <cell r="D381">
            <v>110001275577</v>
          </cell>
          <cell r="E381" t="str">
            <v>693-C2375A-D 0011800387D 合肥专用</v>
          </cell>
          <cell r="F381">
            <v>10000</v>
          </cell>
          <cell r="H381">
            <v>46094</v>
          </cell>
          <cell r="I381">
            <v>46095</v>
          </cell>
        </row>
        <row r="382">
          <cell r="D382">
            <v>110001275582</v>
          </cell>
          <cell r="E382" t="str">
            <v>693-C23C8A-PC 0011800977T</v>
          </cell>
          <cell r="F382">
            <v>3500</v>
          </cell>
          <cell r="H382">
            <v>46098</v>
          </cell>
          <cell r="I382">
            <v>46099</v>
          </cell>
        </row>
        <row r="383">
          <cell r="D383">
            <v>110001275583</v>
          </cell>
          <cell r="E383" t="str">
            <v>693-C23C8A-PC 0011800977T</v>
          </cell>
          <cell r="F383">
            <v>3500</v>
          </cell>
          <cell r="H383">
            <v>46096</v>
          </cell>
          <cell r="I383">
            <v>46097</v>
          </cell>
        </row>
        <row r="384">
          <cell r="D384">
            <v>110001275584</v>
          </cell>
          <cell r="E384" t="str">
            <v>693-C23D4A-PC 0011801593</v>
          </cell>
          <cell r="F384">
            <v>200</v>
          </cell>
          <cell r="H384">
            <v>46088</v>
          </cell>
          <cell r="I384">
            <v>46089</v>
          </cell>
        </row>
        <row r="385">
          <cell r="D385">
            <v>110001275585</v>
          </cell>
          <cell r="E385" t="str">
            <v>693-C23D4A-PC 0011801593</v>
          </cell>
          <cell r="F385">
            <v>200</v>
          </cell>
          <cell r="H385">
            <v>46087</v>
          </cell>
          <cell r="I385">
            <v>46087</v>
          </cell>
        </row>
        <row r="386">
          <cell r="D386">
            <v>110001275603</v>
          </cell>
          <cell r="E386" t="str">
            <v>693-C2516G-PC G0044 0011801675J</v>
          </cell>
          <cell r="F386">
            <v>2000</v>
          </cell>
          <cell r="H386">
            <v>46098</v>
          </cell>
          <cell r="I386">
            <v>46099</v>
          </cell>
        </row>
        <row r="387">
          <cell r="D387">
            <v>110001275604</v>
          </cell>
          <cell r="E387" t="str">
            <v>693-C2516G-PC 0011801675J</v>
          </cell>
          <cell r="F387">
            <v>2000</v>
          </cell>
          <cell r="H387">
            <v>46096</v>
          </cell>
          <cell r="I387">
            <v>46097</v>
          </cell>
        </row>
        <row r="388">
          <cell r="D388">
            <v>110001275610</v>
          </cell>
          <cell r="E388" t="str">
            <v>500493-B2407I-D G0020 20114666</v>
          </cell>
          <cell r="F388">
            <v>278</v>
          </cell>
          <cell r="H388">
            <v>46098</v>
          </cell>
          <cell r="I388">
            <v>46099</v>
          </cell>
        </row>
        <row r="389">
          <cell r="D389">
            <v>110001275611</v>
          </cell>
          <cell r="E389" t="str">
            <v>500493-B2407I-D 20114666</v>
          </cell>
          <cell r="F389">
            <v>278</v>
          </cell>
          <cell r="H389">
            <v>46096</v>
          </cell>
          <cell r="I389">
            <v>46097</v>
          </cell>
        </row>
        <row r="390">
          <cell r="D390">
            <v>110001275614</v>
          </cell>
          <cell r="E390" t="str">
            <v>2189-B2505H G0020 20120031</v>
          </cell>
          <cell r="F390">
            <v>2000</v>
          </cell>
          <cell r="H390">
            <v>46090</v>
          </cell>
          <cell r="I390">
            <v>46091</v>
          </cell>
        </row>
        <row r="391">
          <cell r="D391">
            <v>110001275615</v>
          </cell>
          <cell r="E391" t="str">
            <v>2189-B2505H-D 20120031</v>
          </cell>
          <cell r="F391">
            <v>2000</v>
          </cell>
          <cell r="H391">
            <v>46090</v>
          </cell>
          <cell r="I391">
            <v>46091</v>
          </cell>
        </row>
        <row r="392">
          <cell r="D392">
            <v>110001275616</v>
          </cell>
          <cell r="E392" t="str">
            <v>2189-B2505A-KN 2489739</v>
          </cell>
          <cell r="F392">
            <v>2000</v>
          </cell>
          <cell r="H392">
            <v>46090</v>
          </cell>
          <cell r="I392">
            <v>46091</v>
          </cell>
        </row>
        <row r="393">
          <cell r="D393">
            <v>110001275617</v>
          </cell>
          <cell r="E393" t="str">
            <v>2189-B2505H-D 20120031</v>
          </cell>
          <cell r="F393">
            <v>2000</v>
          </cell>
          <cell r="H393">
            <v>46088</v>
          </cell>
          <cell r="I393">
            <v>46089</v>
          </cell>
        </row>
        <row r="394">
          <cell r="D394">
            <v>110001275618</v>
          </cell>
          <cell r="E394" t="str">
            <v>2189-B2505H G0020 20120031</v>
          </cell>
          <cell r="F394">
            <v>2000</v>
          </cell>
          <cell r="H394">
            <v>46091</v>
          </cell>
          <cell r="I394">
            <v>46092</v>
          </cell>
        </row>
        <row r="395">
          <cell r="D395">
            <v>110001275619</v>
          </cell>
          <cell r="E395" t="str">
            <v>2189-B2505H-D 20120031</v>
          </cell>
          <cell r="F395">
            <v>2000</v>
          </cell>
          <cell r="H395">
            <v>46091</v>
          </cell>
          <cell r="I395">
            <v>46092</v>
          </cell>
        </row>
        <row r="396">
          <cell r="D396">
            <v>110001275620</v>
          </cell>
          <cell r="E396" t="str">
            <v>2189-B2505A-KN 2489739</v>
          </cell>
          <cell r="F396">
            <v>2000</v>
          </cell>
          <cell r="H396">
            <v>46091</v>
          </cell>
          <cell r="I396">
            <v>46092</v>
          </cell>
        </row>
        <row r="397">
          <cell r="D397">
            <v>110001275621</v>
          </cell>
          <cell r="E397" t="str">
            <v>2189-B2505H-D 20120031</v>
          </cell>
          <cell r="F397">
            <v>2000</v>
          </cell>
          <cell r="H397">
            <v>46089</v>
          </cell>
          <cell r="I397">
            <v>46090</v>
          </cell>
        </row>
        <row r="398">
          <cell r="D398">
            <v>110001275628</v>
          </cell>
          <cell r="E398" t="str">
            <v>693-B2548G-PC G0044 0011801922H</v>
          </cell>
          <cell r="F398">
            <v>1000</v>
          </cell>
          <cell r="H398">
            <v>46098</v>
          </cell>
          <cell r="I398">
            <v>46099</v>
          </cell>
        </row>
        <row r="399">
          <cell r="D399">
            <v>110001275629</v>
          </cell>
          <cell r="E399" t="str">
            <v>693-B2548G-PC 0011801922H</v>
          </cell>
          <cell r="F399">
            <v>1000</v>
          </cell>
          <cell r="H399">
            <v>46096</v>
          </cell>
          <cell r="I399">
            <v>46097</v>
          </cell>
        </row>
        <row r="400">
          <cell r="D400">
            <v>110001275666</v>
          </cell>
          <cell r="E400" t="str">
            <v>500323-C24F5D-D G0044 0021800615D</v>
          </cell>
          <cell r="F400">
            <v>500</v>
          </cell>
          <cell r="H400">
            <v>46093</v>
          </cell>
          <cell r="I400">
            <v>46094</v>
          </cell>
        </row>
        <row r="401">
          <cell r="D401">
            <v>110001275667</v>
          </cell>
          <cell r="E401" t="str">
            <v>500323-C24F5D-D 0021800615D</v>
          </cell>
          <cell r="F401">
            <v>500</v>
          </cell>
          <cell r="H401">
            <v>46091</v>
          </cell>
          <cell r="I401">
            <v>46092</v>
          </cell>
        </row>
        <row r="402">
          <cell r="D402">
            <v>110001276529</v>
          </cell>
          <cell r="E402" t="str">
            <v>693-C2433A-PC 0151800695 海尔空调695电控板</v>
          </cell>
          <cell r="F402">
            <v>180</v>
          </cell>
          <cell r="H402">
            <v>46094</v>
          </cell>
          <cell r="I402">
            <v>46095</v>
          </cell>
        </row>
        <row r="403">
          <cell r="D403">
            <v>110001276530</v>
          </cell>
          <cell r="E403" t="str">
            <v>693-C2433A-PC 0151800695</v>
          </cell>
          <cell r="F403">
            <v>180</v>
          </cell>
          <cell r="H403">
            <v>46092</v>
          </cell>
          <cell r="I403">
            <v>46093</v>
          </cell>
        </row>
        <row r="404">
          <cell r="D404">
            <v>110001276855</v>
          </cell>
          <cell r="E404" t="str">
            <v>693-C25A8A-PC G0044 0151801031B</v>
          </cell>
          <cell r="F404">
            <v>500</v>
          </cell>
          <cell r="H404">
            <v>46095</v>
          </cell>
          <cell r="I404">
            <v>46096</v>
          </cell>
        </row>
        <row r="405">
          <cell r="D405">
            <v>110001276856</v>
          </cell>
          <cell r="E405" t="str">
            <v>693-C25A8A-PC 0151801031B</v>
          </cell>
          <cell r="F405">
            <v>500</v>
          </cell>
          <cell r="H405">
            <v>46093</v>
          </cell>
          <cell r="I405">
            <v>46094</v>
          </cell>
        </row>
        <row r="406">
          <cell r="D406">
            <v>110001277707</v>
          </cell>
          <cell r="E406" t="str">
            <v>693-C25A8A-PC G0044 0151801031B</v>
          </cell>
          <cell r="F406">
            <v>1000</v>
          </cell>
          <cell r="H406">
            <v>46091</v>
          </cell>
          <cell r="I406">
            <v>46092</v>
          </cell>
        </row>
        <row r="407">
          <cell r="D407">
            <v>110001277708</v>
          </cell>
          <cell r="E407" t="str">
            <v>693-C25A8A-PC 0151801031B</v>
          </cell>
          <cell r="F407">
            <v>1000</v>
          </cell>
          <cell r="H407">
            <v>46089</v>
          </cell>
          <cell r="I407">
            <v>46090</v>
          </cell>
        </row>
        <row r="408">
          <cell r="D408">
            <v>110001277774</v>
          </cell>
          <cell r="E408" t="str">
            <v>693-A2181B-PC     0011800537C</v>
          </cell>
          <cell r="F408">
            <v>5000</v>
          </cell>
          <cell r="H408">
            <v>46089</v>
          </cell>
          <cell r="I408">
            <v>46090</v>
          </cell>
        </row>
        <row r="409">
          <cell r="D409">
            <v>110001277775</v>
          </cell>
          <cell r="E409" t="str">
            <v>693-A2181B-PC 0011800537C</v>
          </cell>
          <cell r="F409">
            <v>5000</v>
          </cell>
          <cell r="H409">
            <v>46087</v>
          </cell>
          <cell r="I409">
            <v>46088</v>
          </cell>
        </row>
        <row r="410">
          <cell r="D410">
            <v>110001277780</v>
          </cell>
          <cell r="E410" t="str">
            <v>693-C2532B-PC G0044 0011802020A</v>
          </cell>
          <cell r="F410">
            <v>2000</v>
          </cell>
          <cell r="H410">
            <v>46098</v>
          </cell>
          <cell r="I410">
            <v>46099</v>
          </cell>
        </row>
        <row r="411">
          <cell r="D411">
            <v>110001277781</v>
          </cell>
          <cell r="E411" t="str">
            <v>693-C2532B-PC 0011802020A</v>
          </cell>
          <cell r="F411">
            <v>2000</v>
          </cell>
          <cell r="H411">
            <v>46096</v>
          </cell>
          <cell r="I411">
            <v>46097</v>
          </cell>
        </row>
        <row r="412">
          <cell r="D412">
            <v>110001277782</v>
          </cell>
          <cell r="E412" t="str">
            <v>693-C24Q3B-PC G0044 0011801977F</v>
          </cell>
          <cell r="F412">
            <v>3000</v>
          </cell>
          <cell r="H412">
            <v>46098</v>
          </cell>
          <cell r="I412">
            <v>46099</v>
          </cell>
        </row>
        <row r="413">
          <cell r="D413">
            <v>110001277783</v>
          </cell>
          <cell r="E413" t="str">
            <v>693-C24Q3B-PC 0011801977F</v>
          </cell>
          <cell r="F413">
            <v>3000</v>
          </cell>
          <cell r="H413">
            <v>46096</v>
          </cell>
          <cell r="I413">
            <v>46097</v>
          </cell>
        </row>
        <row r="414">
          <cell r="D414">
            <v>110001277874</v>
          </cell>
          <cell r="E414" t="str">
            <v>693-C2574C-C G0044 0021800839B</v>
          </cell>
          <cell r="F414">
            <v>500</v>
          </cell>
          <cell r="H414">
            <v>46095</v>
          </cell>
          <cell r="I414">
            <v>46096</v>
          </cell>
        </row>
        <row r="415">
          <cell r="D415">
            <v>110001277875</v>
          </cell>
          <cell r="E415" t="str">
            <v>693-C2574C-C 0021800839B</v>
          </cell>
          <cell r="F415">
            <v>500</v>
          </cell>
          <cell r="H415">
            <v>46093</v>
          </cell>
          <cell r="I415">
            <v>46094</v>
          </cell>
        </row>
        <row r="416">
          <cell r="D416">
            <v>110001278668</v>
          </cell>
          <cell r="E416" t="str">
            <v>693-B2201Q-PC-0011801424K</v>
          </cell>
          <cell r="F416">
            <v>300</v>
          </cell>
          <cell r="H416">
            <v>46098</v>
          </cell>
          <cell r="I416">
            <v>46099</v>
          </cell>
        </row>
        <row r="417">
          <cell r="D417">
            <v>110001278669</v>
          </cell>
          <cell r="E417" t="str">
            <v>693-B2201Q-PC 0011801424K</v>
          </cell>
          <cell r="F417">
            <v>300</v>
          </cell>
          <cell r="H417">
            <v>46096</v>
          </cell>
          <cell r="I417">
            <v>46097</v>
          </cell>
        </row>
        <row r="418">
          <cell r="D418">
            <v>110001278740</v>
          </cell>
          <cell r="E418" t="str">
            <v>500323-C24F7A-PC 0151801003</v>
          </cell>
          <cell r="F418">
            <v>690</v>
          </cell>
          <cell r="H418">
            <v>46091</v>
          </cell>
          <cell r="I418">
            <v>46092</v>
          </cell>
        </row>
        <row r="419">
          <cell r="D419">
            <v>110001278741</v>
          </cell>
          <cell r="E419" t="str">
            <v>500323-C24F7A-PC 0151801003</v>
          </cell>
          <cell r="F419">
            <v>690</v>
          </cell>
          <cell r="H419">
            <v>46089</v>
          </cell>
          <cell r="I419">
            <v>46090</v>
          </cell>
        </row>
        <row r="420">
          <cell r="D420">
            <v>110001278744</v>
          </cell>
          <cell r="E420" t="str">
            <v>693-C25A7A-PC G0044 0151801031AA</v>
          </cell>
          <cell r="F420">
            <v>2000</v>
          </cell>
          <cell r="H420">
            <v>46096</v>
          </cell>
          <cell r="I420">
            <v>46097</v>
          </cell>
        </row>
        <row r="421">
          <cell r="D421">
            <v>110001278745</v>
          </cell>
          <cell r="E421" t="str">
            <v>693-C25A7A-PC 0151801031AA</v>
          </cell>
          <cell r="F421">
            <v>2000</v>
          </cell>
          <cell r="H421">
            <v>46094</v>
          </cell>
          <cell r="I421">
            <v>46095</v>
          </cell>
        </row>
        <row r="422">
          <cell r="D422">
            <v>110001278746</v>
          </cell>
          <cell r="E422" t="str">
            <v>693-C25A9A-PC G0044 0151801003AB</v>
          </cell>
          <cell r="F422">
            <v>500</v>
          </cell>
          <cell r="H422">
            <v>46097</v>
          </cell>
          <cell r="I422">
            <v>46098</v>
          </cell>
        </row>
        <row r="423">
          <cell r="D423">
            <v>110001278747</v>
          </cell>
          <cell r="E423" t="str">
            <v>693-C25A9A-PC 0151801003AB</v>
          </cell>
          <cell r="F423">
            <v>500</v>
          </cell>
          <cell r="H423">
            <v>46095</v>
          </cell>
          <cell r="I423">
            <v>46096</v>
          </cell>
        </row>
        <row r="424">
          <cell r="D424">
            <v>110001278760</v>
          </cell>
          <cell r="E424" t="str">
            <v>693-C24Q3C-PC G0044 0011801977E</v>
          </cell>
          <cell r="F424">
            <v>2000</v>
          </cell>
          <cell r="H424">
            <v>46098</v>
          </cell>
          <cell r="I424">
            <v>46099</v>
          </cell>
        </row>
        <row r="425">
          <cell r="D425">
            <v>110001278761</v>
          </cell>
          <cell r="E425" t="str">
            <v>693-C24Q3C-PC 0011801977E</v>
          </cell>
          <cell r="F425">
            <v>2000</v>
          </cell>
          <cell r="H425">
            <v>46096</v>
          </cell>
          <cell r="I425">
            <v>46097</v>
          </cell>
        </row>
        <row r="426">
          <cell r="D426">
            <v>110001278997</v>
          </cell>
          <cell r="E426" t="str">
            <v>693-C2398A-PC 0151801003A</v>
          </cell>
          <cell r="F426">
            <v>1000</v>
          </cell>
          <cell r="H426">
            <v>46097</v>
          </cell>
          <cell r="I426">
            <v>46098</v>
          </cell>
        </row>
        <row r="427">
          <cell r="D427">
            <v>110001279014</v>
          </cell>
          <cell r="E427" t="str">
            <v>693-C2203A-PC 0011801327</v>
          </cell>
          <cell r="F427">
            <v>2000</v>
          </cell>
          <cell r="H427">
            <v>46095</v>
          </cell>
          <cell r="I427">
            <v>46096</v>
          </cell>
        </row>
        <row r="428">
          <cell r="D428">
            <v>110001279015</v>
          </cell>
          <cell r="E428" t="str">
            <v>693-C2203A-PC 0011801327</v>
          </cell>
          <cell r="F428">
            <v>2000</v>
          </cell>
          <cell r="H428">
            <v>46093</v>
          </cell>
          <cell r="I428">
            <v>46094</v>
          </cell>
        </row>
        <row r="429">
          <cell r="D429">
            <v>110001279018</v>
          </cell>
          <cell r="E429" t="str">
            <v>1323-C2209A-D 0011800607R</v>
          </cell>
          <cell r="F429">
            <v>1500</v>
          </cell>
          <cell r="H429">
            <v>46098</v>
          </cell>
          <cell r="I429">
            <v>46099</v>
          </cell>
        </row>
        <row r="430">
          <cell r="D430">
            <v>110001279019</v>
          </cell>
          <cell r="E430" t="str">
            <v>1323-C2209A-D 0011800607R</v>
          </cell>
          <cell r="F430">
            <v>1500</v>
          </cell>
          <cell r="H430">
            <v>46096</v>
          </cell>
          <cell r="I430">
            <v>46097</v>
          </cell>
        </row>
        <row r="431">
          <cell r="D431">
            <v>110001279020</v>
          </cell>
          <cell r="E431" t="str">
            <v>1323-C2209A-D 0011800607R MCU程序 Z:B816</v>
          </cell>
          <cell r="F431">
            <v>1500</v>
          </cell>
          <cell r="H431">
            <v>46096</v>
          </cell>
          <cell r="I431">
            <v>46097</v>
          </cell>
        </row>
        <row r="432">
          <cell r="D432">
            <v>110001279022</v>
          </cell>
          <cell r="E432" t="str">
            <v>693-C2398A-PC 0151801003A</v>
          </cell>
          <cell r="F432">
            <v>1000</v>
          </cell>
          <cell r="H432">
            <v>46094</v>
          </cell>
          <cell r="I432">
            <v>46095</v>
          </cell>
        </row>
        <row r="433">
          <cell r="D433">
            <v>110001279039</v>
          </cell>
          <cell r="E433" t="str">
            <v>600766-A2504A-PC G0044 0011801490M</v>
          </cell>
          <cell r="F433">
            <v>5000</v>
          </cell>
          <cell r="H433">
            <v>46100</v>
          </cell>
          <cell r="I433">
            <v>46101</v>
          </cell>
        </row>
        <row r="434">
          <cell r="D434">
            <v>110001279044</v>
          </cell>
          <cell r="E434" t="str">
            <v>600766-A2504A-PC 0011801490M</v>
          </cell>
          <cell r="F434">
            <v>5000</v>
          </cell>
          <cell r="H434">
            <v>46098</v>
          </cell>
          <cell r="I434">
            <v>46099</v>
          </cell>
        </row>
        <row r="435">
          <cell r="D435">
            <v>110001279050</v>
          </cell>
          <cell r="E435" t="str">
            <v>600766-A2505D-PC G0044 0011801843K</v>
          </cell>
          <cell r="F435">
            <v>3000</v>
          </cell>
          <cell r="H435">
            <v>46094</v>
          </cell>
          <cell r="I435">
            <v>46095</v>
          </cell>
        </row>
        <row r="436">
          <cell r="D436">
            <v>110001279052</v>
          </cell>
          <cell r="E436" t="str">
            <v>600766-A2505D-PC 0011801843K</v>
          </cell>
          <cell r="F436">
            <v>3000</v>
          </cell>
          <cell r="H436">
            <v>46092</v>
          </cell>
          <cell r="I436">
            <v>46093</v>
          </cell>
        </row>
        <row r="437">
          <cell r="D437">
            <v>110001279055</v>
          </cell>
          <cell r="E437" t="str">
            <v>600766-A2505E-PC G0044 0011801843JCHHR</v>
          </cell>
          <cell r="F437">
            <v>10000</v>
          </cell>
          <cell r="H437">
            <v>46094</v>
          </cell>
          <cell r="I437">
            <v>46095</v>
          </cell>
        </row>
        <row r="438">
          <cell r="D438">
            <v>110001279058</v>
          </cell>
          <cell r="E438" t="str">
            <v>600766-A2505E-PC 0011801843JCHHR</v>
          </cell>
          <cell r="F438">
            <v>10000</v>
          </cell>
          <cell r="H438">
            <v>46092</v>
          </cell>
          <cell r="I438">
            <v>46093</v>
          </cell>
        </row>
        <row r="439">
          <cell r="D439">
            <v>110001279077</v>
          </cell>
          <cell r="E439" t="str">
            <v>693-A2179C-PC 0011800630L</v>
          </cell>
          <cell r="F439">
            <v>3000</v>
          </cell>
          <cell r="H439">
            <v>46090</v>
          </cell>
          <cell r="I439">
            <v>46091</v>
          </cell>
        </row>
        <row r="440">
          <cell r="D440">
            <v>110001279078</v>
          </cell>
          <cell r="E440" t="str">
            <v>693-A2179C-PC 0011800630L</v>
          </cell>
          <cell r="F440">
            <v>3000</v>
          </cell>
          <cell r="H440">
            <v>46088</v>
          </cell>
          <cell r="I440">
            <v>46089</v>
          </cell>
        </row>
        <row r="441">
          <cell r="D441">
            <v>110001279079</v>
          </cell>
          <cell r="E441" t="str">
            <v>693-A2179E-PC    0011800630J</v>
          </cell>
          <cell r="F441">
            <v>6300</v>
          </cell>
          <cell r="H441">
            <v>46096</v>
          </cell>
          <cell r="I441">
            <v>46097</v>
          </cell>
        </row>
        <row r="442">
          <cell r="D442">
            <v>110001279080</v>
          </cell>
          <cell r="E442" t="str">
            <v>693-A2179E-PC 0011800630J</v>
          </cell>
          <cell r="F442">
            <v>6300</v>
          </cell>
          <cell r="H442">
            <v>46094</v>
          </cell>
          <cell r="I442">
            <v>46095</v>
          </cell>
        </row>
        <row r="443">
          <cell r="D443">
            <v>110001279083</v>
          </cell>
          <cell r="E443" t="str">
            <v>693-A2182A-PC 0011800807</v>
          </cell>
          <cell r="F443">
            <v>1000</v>
          </cell>
          <cell r="H443">
            <v>46098</v>
          </cell>
          <cell r="I443">
            <v>46099</v>
          </cell>
        </row>
        <row r="444">
          <cell r="D444">
            <v>110001279084</v>
          </cell>
          <cell r="E444" t="str">
            <v>693-A2182A-PC 0011800807</v>
          </cell>
          <cell r="F444">
            <v>1000</v>
          </cell>
          <cell r="H444">
            <v>46096</v>
          </cell>
          <cell r="I444">
            <v>46097</v>
          </cell>
        </row>
        <row r="445">
          <cell r="D445">
            <v>110001279085</v>
          </cell>
          <cell r="E445" t="str">
            <v>693-B2201B-PC 0011801424B</v>
          </cell>
          <cell r="F445">
            <v>5000</v>
          </cell>
          <cell r="H445">
            <v>46098</v>
          </cell>
          <cell r="I445">
            <v>46099</v>
          </cell>
        </row>
        <row r="446">
          <cell r="D446">
            <v>110001279086</v>
          </cell>
          <cell r="E446" t="str">
            <v>693-B2201B-PC 0011801424B</v>
          </cell>
          <cell r="F446">
            <v>5000</v>
          </cell>
          <cell r="H446">
            <v>46096</v>
          </cell>
          <cell r="I446">
            <v>46097</v>
          </cell>
        </row>
        <row r="447">
          <cell r="D447">
            <v>110001279091</v>
          </cell>
          <cell r="E447" t="str">
            <v>693-B2201J-PC 0011801424C</v>
          </cell>
          <cell r="F447">
            <v>500</v>
          </cell>
          <cell r="H447">
            <v>46098</v>
          </cell>
          <cell r="I447">
            <v>46099</v>
          </cell>
        </row>
        <row r="448">
          <cell r="D448">
            <v>110001279092</v>
          </cell>
          <cell r="E448" t="str">
            <v>693-B2201J-PC 0011801424C</v>
          </cell>
          <cell r="F448">
            <v>500</v>
          </cell>
          <cell r="H448">
            <v>46096</v>
          </cell>
          <cell r="I448">
            <v>46097</v>
          </cell>
        </row>
        <row r="449">
          <cell r="D449">
            <v>110001279103</v>
          </cell>
          <cell r="E449" t="str">
            <v>693-C23C6B-PC 0011801119P</v>
          </cell>
          <cell r="F449">
            <v>1000</v>
          </cell>
          <cell r="H449">
            <v>46098</v>
          </cell>
          <cell r="I449">
            <v>46099</v>
          </cell>
        </row>
        <row r="450">
          <cell r="D450">
            <v>110001279104</v>
          </cell>
          <cell r="E450" t="str">
            <v>693-C23C6B-PC 0011801119P</v>
          </cell>
          <cell r="F450">
            <v>1000</v>
          </cell>
          <cell r="H450">
            <v>46096</v>
          </cell>
          <cell r="I450">
            <v>46097</v>
          </cell>
        </row>
        <row r="451">
          <cell r="D451">
            <v>110001279105</v>
          </cell>
          <cell r="E451" t="str">
            <v>693-C23J5A-PC 0011801826</v>
          </cell>
          <cell r="F451">
            <v>200</v>
          </cell>
          <cell r="H451">
            <v>46094</v>
          </cell>
          <cell r="I451">
            <v>46095</v>
          </cell>
        </row>
        <row r="452">
          <cell r="D452">
            <v>110001279106</v>
          </cell>
          <cell r="E452" t="str">
            <v>693-C23J5A-PC 0011801826</v>
          </cell>
          <cell r="F452">
            <v>200</v>
          </cell>
          <cell r="H452">
            <v>46092</v>
          </cell>
          <cell r="I452">
            <v>46093</v>
          </cell>
        </row>
        <row r="453">
          <cell r="D453">
            <v>110001279113</v>
          </cell>
          <cell r="E453" t="str">
            <v>2189-B2401C-PC 2397168</v>
          </cell>
          <cell r="F453">
            <v>1200</v>
          </cell>
          <cell r="H453">
            <v>46096</v>
          </cell>
          <cell r="I453">
            <v>46097</v>
          </cell>
        </row>
        <row r="454">
          <cell r="D454">
            <v>110001279114</v>
          </cell>
          <cell r="E454" t="str">
            <v>贴片部件 2189-B2401C-PC 2397168</v>
          </cell>
          <cell r="F454">
            <v>1200</v>
          </cell>
          <cell r="H454">
            <v>46094</v>
          </cell>
          <cell r="I454">
            <v>46095</v>
          </cell>
        </row>
        <row r="455">
          <cell r="D455">
            <v>110001279115</v>
          </cell>
          <cell r="E455" t="str">
            <v>2189-B2401C-PC 2397168</v>
          </cell>
          <cell r="F455">
            <v>1200</v>
          </cell>
          <cell r="H455">
            <v>46098</v>
          </cell>
          <cell r="I455">
            <v>46099</v>
          </cell>
        </row>
        <row r="456">
          <cell r="D456">
            <v>110001279116</v>
          </cell>
          <cell r="E456" t="str">
            <v>贴片部件 2189-B2401C-PC 2397168</v>
          </cell>
          <cell r="F456">
            <v>1200</v>
          </cell>
          <cell r="H456">
            <v>46096</v>
          </cell>
          <cell r="I456">
            <v>46097</v>
          </cell>
        </row>
        <row r="457">
          <cell r="D457">
            <v>110001279119</v>
          </cell>
          <cell r="E457" t="str">
            <v>500323-C2488A-PC 0011801482A</v>
          </cell>
          <cell r="F457">
            <v>3000</v>
          </cell>
          <cell r="H457">
            <v>46098</v>
          </cell>
          <cell r="I457">
            <v>46099</v>
          </cell>
        </row>
        <row r="458">
          <cell r="D458">
            <v>110001279120</v>
          </cell>
          <cell r="E458" t="str">
            <v>500323-C2488A-PC 0011801482A</v>
          </cell>
          <cell r="F458">
            <v>3000</v>
          </cell>
          <cell r="H458">
            <v>46096</v>
          </cell>
          <cell r="I458">
            <v>46097</v>
          </cell>
        </row>
        <row r="459">
          <cell r="D459">
            <v>110001279127</v>
          </cell>
          <cell r="E459" t="str">
            <v>500323-C2496G-PC 0011801423AV</v>
          </cell>
          <cell r="F459">
            <v>1000</v>
          </cell>
          <cell r="H459">
            <v>46091</v>
          </cell>
          <cell r="I459">
            <v>46092</v>
          </cell>
        </row>
        <row r="460">
          <cell r="D460">
            <v>110001279128</v>
          </cell>
          <cell r="E460" t="str">
            <v>500323-C2496G-PC 0011801423AV</v>
          </cell>
          <cell r="F460">
            <v>1000</v>
          </cell>
          <cell r="H460">
            <v>46089</v>
          </cell>
          <cell r="I460">
            <v>46090</v>
          </cell>
        </row>
        <row r="461">
          <cell r="D461">
            <v>110001279135</v>
          </cell>
          <cell r="E461" t="str">
            <v>693-C2516C-PC G0044 0011801675AB</v>
          </cell>
          <cell r="F461">
            <v>1000</v>
          </cell>
          <cell r="H461">
            <v>46087</v>
          </cell>
          <cell r="I461">
            <v>46087</v>
          </cell>
        </row>
        <row r="462">
          <cell r="D462">
            <v>110001279136</v>
          </cell>
          <cell r="E462" t="str">
            <v>693-C2516C-PC 0011801675AB</v>
          </cell>
          <cell r="F462">
            <v>1000</v>
          </cell>
          <cell r="H462">
            <v>46087</v>
          </cell>
          <cell r="I462">
            <v>46085</v>
          </cell>
        </row>
        <row r="463">
          <cell r="D463">
            <v>110001279137</v>
          </cell>
          <cell r="E463" t="str">
            <v>693-C2534F-PC G0044 0011801843X</v>
          </cell>
          <cell r="F463">
            <v>600</v>
          </cell>
          <cell r="H463">
            <v>46092</v>
          </cell>
          <cell r="I463">
            <v>46093</v>
          </cell>
        </row>
        <row r="464">
          <cell r="D464">
            <v>110001279138</v>
          </cell>
          <cell r="E464" t="str">
            <v>693-C2534F-PC 0011801843X</v>
          </cell>
          <cell r="F464">
            <v>600</v>
          </cell>
          <cell r="H464">
            <v>46090</v>
          </cell>
          <cell r="I464">
            <v>46091</v>
          </cell>
        </row>
        <row r="465">
          <cell r="D465">
            <v>110001279139</v>
          </cell>
          <cell r="E465" t="str">
            <v>500323-C24L6G-PC G0044 0011801172DM</v>
          </cell>
          <cell r="F465">
            <v>600</v>
          </cell>
          <cell r="H465">
            <v>46091</v>
          </cell>
          <cell r="I465">
            <v>46092</v>
          </cell>
        </row>
        <row r="466">
          <cell r="D466">
            <v>110001279140</v>
          </cell>
          <cell r="E466" t="str">
            <v>500323-C24L6G-PC 0011801172DM</v>
          </cell>
          <cell r="F466">
            <v>600</v>
          </cell>
          <cell r="H466">
            <v>46089</v>
          </cell>
          <cell r="I466">
            <v>46090</v>
          </cell>
        </row>
        <row r="467">
          <cell r="D467">
            <v>110001279147</v>
          </cell>
          <cell r="E467" t="str">
            <v>693-C2516F-PC G0044 0011801675AE</v>
          </cell>
          <cell r="F467">
            <v>2000</v>
          </cell>
          <cell r="H467">
            <v>46092</v>
          </cell>
          <cell r="I467">
            <v>46093</v>
          </cell>
        </row>
        <row r="468">
          <cell r="D468">
            <v>110001279148</v>
          </cell>
          <cell r="E468" t="str">
            <v>693-C2516F-PC 0011801675AE</v>
          </cell>
          <cell r="F468">
            <v>2000</v>
          </cell>
          <cell r="H468">
            <v>46090</v>
          </cell>
          <cell r="I468">
            <v>46091</v>
          </cell>
        </row>
        <row r="469">
          <cell r="D469">
            <v>110001279149</v>
          </cell>
          <cell r="E469" t="str">
            <v>693-C2516H-PC G0044 0011801675K</v>
          </cell>
          <cell r="F469">
            <v>2500</v>
          </cell>
          <cell r="H469">
            <v>46087</v>
          </cell>
          <cell r="I469">
            <v>46087</v>
          </cell>
        </row>
        <row r="470">
          <cell r="D470">
            <v>110001279150</v>
          </cell>
          <cell r="E470" t="str">
            <v>693-C2516H-PC 0011801675K</v>
          </cell>
          <cell r="F470">
            <v>2500</v>
          </cell>
          <cell r="H470">
            <v>46087</v>
          </cell>
          <cell r="I470">
            <v>46085</v>
          </cell>
        </row>
        <row r="471">
          <cell r="D471">
            <v>110001279153</v>
          </cell>
          <cell r="E471" t="str">
            <v>693-B2548A-PC G0044 0011801922</v>
          </cell>
          <cell r="F471">
            <v>4000</v>
          </cell>
          <cell r="H471">
            <v>46098</v>
          </cell>
          <cell r="I471">
            <v>46099</v>
          </cell>
        </row>
        <row r="472">
          <cell r="D472">
            <v>110001279154</v>
          </cell>
          <cell r="E472" t="str">
            <v>693-B2548A-PC 0011801922</v>
          </cell>
          <cell r="F472">
            <v>4000</v>
          </cell>
          <cell r="H472">
            <v>46096</v>
          </cell>
          <cell r="I472">
            <v>46097</v>
          </cell>
        </row>
        <row r="473">
          <cell r="D473">
            <v>110001279155</v>
          </cell>
          <cell r="E473" t="str">
            <v>2189-B2505E G0020 2506399</v>
          </cell>
          <cell r="F473">
            <v>2000</v>
          </cell>
          <cell r="H473">
            <v>46095</v>
          </cell>
          <cell r="I473">
            <v>46096</v>
          </cell>
        </row>
        <row r="474">
          <cell r="D474">
            <v>110001279156</v>
          </cell>
          <cell r="E474" t="str">
            <v>2189-B2505E-D 2506399</v>
          </cell>
          <cell r="F474">
            <v>2000</v>
          </cell>
          <cell r="H474">
            <v>46095</v>
          </cell>
          <cell r="I474">
            <v>46096</v>
          </cell>
        </row>
        <row r="475">
          <cell r="D475">
            <v>110001279157</v>
          </cell>
          <cell r="E475" t="str">
            <v>2189-B2505A-KN 2489739</v>
          </cell>
          <cell r="F475">
            <v>2000</v>
          </cell>
          <cell r="H475">
            <v>46095</v>
          </cell>
          <cell r="I475">
            <v>46096</v>
          </cell>
        </row>
        <row r="476">
          <cell r="D476">
            <v>110001279158</v>
          </cell>
          <cell r="E476" t="str">
            <v>2189-B2505E-D 2506399</v>
          </cell>
          <cell r="F476">
            <v>2000</v>
          </cell>
          <cell r="H476">
            <v>46093</v>
          </cell>
          <cell r="I476">
            <v>46094</v>
          </cell>
        </row>
        <row r="477">
          <cell r="D477">
            <v>110001279159</v>
          </cell>
          <cell r="E477" t="str">
            <v>693-C2568A-PC G0044 0011800722GCH</v>
          </cell>
          <cell r="F477">
            <v>600</v>
          </cell>
          <cell r="H477">
            <v>46092</v>
          </cell>
          <cell r="I477">
            <v>46093</v>
          </cell>
        </row>
        <row r="478">
          <cell r="D478">
            <v>110001279160</v>
          </cell>
          <cell r="E478" t="str">
            <v>693-C2568A-PC 0011800722GCH</v>
          </cell>
          <cell r="F478">
            <v>600</v>
          </cell>
          <cell r="H478">
            <v>46090</v>
          </cell>
          <cell r="I478">
            <v>46091</v>
          </cell>
        </row>
        <row r="479">
          <cell r="D479">
            <v>110001279161</v>
          </cell>
          <cell r="E479" t="str">
            <v>693-C2568B-PC G0044 0011800722GCHA</v>
          </cell>
          <cell r="F479">
            <v>1000</v>
          </cell>
          <cell r="H479">
            <v>46098</v>
          </cell>
          <cell r="I479">
            <v>46099</v>
          </cell>
        </row>
        <row r="480">
          <cell r="D480">
            <v>110001279162</v>
          </cell>
          <cell r="E480" t="str">
            <v>693-C2568B-PC 0011800722GCHA</v>
          </cell>
          <cell r="F480">
            <v>1000</v>
          </cell>
          <cell r="H480">
            <v>46096</v>
          </cell>
          <cell r="I480">
            <v>46097</v>
          </cell>
        </row>
        <row r="481">
          <cell r="D481">
            <v>110001279163</v>
          </cell>
          <cell r="E481" t="str">
            <v>693-C24Q3C-PC G0044 0011801977E</v>
          </cell>
          <cell r="F481">
            <v>3000</v>
          </cell>
          <cell r="H481">
            <v>46098</v>
          </cell>
          <cell r="I481">
            <v>46099</v>
          </cell>
        </row>
        <row r="482">
          <cell r="D482">
            <v>110001279164</v>
          </cell>
          <cell r="E482" t="str">
            <v>693-C24Q3C-PC 0011801977E</v>
          </cell>
          <cell r="F482">
            <v>3000</v>
          </cell>
          <cell r="H482">
            <v>46096</v>
          </cell>
          <cell r="I482">
            <v>46097</v>
          </cell>
        </row>
        <row r="483">
          <cell r="D483">
            <v>110001279171</v>
          </cell>
          <cell r="E483" t="str">
            <v>500323-C2492F-PC G0044 0011801424BP</v>
          </cell>
          <cell r="F483">
            <v>2000</v>
          </cell>
          <cell r="H483">
            <v>46098</v>
          </cell>
          <cell r="I483">
            <v>46099</v>
          </cell>
        </row>
        <row r="484">
          <cell r="D484">
            <v>110001279172</v>
          </cell>
          <cell r="E484" t="str">
            <v>500323-C2492F-PC 0011801424BP</v>
          </cell>
          <cell r="F484">
            <v>2000</v>
          </cell>
          <cell r="H484">
            <v>46096</v>
          </cell>
          <cell r="I484">
            <v>46097</v>
          </cell>
        </row>
        <row r="485">
          <cell r="D485">
            <v>110001279191</v>
          </cell>
          <cell r="E485" t="str">
            <v>2189-B2505H G0020 20120031</v>
          </cell>
          <cell r="F485">
            <v>2000</v>
          </cell>
          <cell r="H485">
            <v>46092</v>
          </cell>
          <cell r="I485">
            <v>46093</v>
          </cell>
        </row>
        <row r="486">
          <cell r="D486">
            <v>110001279192</v>
          </cell>
          <cell r="E486" t="str">
            <v>2189-B2505H-D 20120031</v>
          </cell>
          <cell r="F486">
            <v>2000</v>
          </cell>
          <cell r="H486">
            <v>46092</v>
          </cell>
          <cell r="I486">
            <v>46093</v>
          </cell>
        </row>
        <row r="487">
          <cell r="D487">
            <v>110001279193</v>
          </cell>
          <cell r="E487" t="str">
            <v>2189-B2505A-KN 2489739</v>
          </cell>
          <cell r="F487">
            <v>2000</v>
          </cell>
          <cell r="H487">
            <v>46092</v>
          </cell>
          <cell r="I487">
            <v>46093</v>
          </cell>
        </row>
        <row r="488">
          <cell r="D488">
            <v>110001279194</v>
          </cell>
          <cell r="E488" t="str">
            <v>2189-B2505H-D 20120031</v>
          </cell>
          <cell r="F488">
            <v>2000</v>
          </cell>
          <cell r="H488">
            <v>46090</v>
          </cell>
          <cell r="I488">
            <v>46091</v>
          </cell>
        </row>
        <row r="489">
          <cell r="D489">
            <v>110001279195</v>
          </cell>
          <cell r="E489" t="str">
            <v>2189-B2505H G0020 20120031</v>
          </cell>
          <cell r="F489">
            <v>2000</v>
          </cell>
          <cell r="H489">
            <v>46093</v>
          </cell>
          <cell r="I489">
            <v>46094</v>
          </cell>
        </row>
        <row r="490">
          <cell r="D490">
            <v>110001279196</v>
          </cell>
          <cell r="E490" t="str">
            <v>2189-B2505H-D 20120031</v>
          </cell>
          <cell r="F490">
            <v>2000</v>
          </cell>
          <cell r="H490">
            <v>46093</v>
          </cell>
          <cell r="I490">
            <v>46094</v>
          </cell>
        </row>
        <row r="491">
          <cell r="D491">
            <v>110001279197</v>
          </cell>
          <cell r="E491" t="str">
            <v>2189-B2505A-KN 2489739</v>
          </cell>
          <cell r="F491">
            <v>2000</v>
          </cell>
          <cell r="H491">
            <v>46093</v>
          </cell>
          <cell r="I491">
            <v>46094</v>
          </cell>
        </row>
        <row r="492">
          <cell r="D492">
            <v>110001279198</v>
          </cell>
          <cell r="E492" t="str">
            <v>2189-B2505H-D 20120031</v>
          </cell>
          <cell r="F492">
            <v>2000</v>
          </cell>
          <cell r="H492">
            <v>46091</v>
          </cell>
          <cell r="I492">
            <v>46092</v>
          </cell>
        </row>
        <row r="493">
          <cell r="D493">
            <v>110001279199</v>
          </cell>
          <cell r="E493" t="str">
            <v>2189-B2505J G0020 20140244</v>
          </cell>
          <cell r="F493">
            <v>2718</v>
          </cell>
          <cell r="H493">
            <v>46090</v>
          </cell>
          <cell r="I493">
            <v>46091</v>
          </cell>
        </row>
        <row r="494">
          <cell r="D494">
            <v>110001279200</v>
          </cell>
          <cell r="E494" t="str">
            <v>2189-B2505J-D 20140244</v>
          </cell>
          <cell r="F494">
            <v>2718</v>
          </cell>
          <cell r="H494">
            <v>46090</v>
          </cell>
          <cell r="I494">
            <v>46091</v>
          </cell>
        </row>
        <row r="495">
          <cell r="D495">
            <v>110001279201</v>
          </cell>
          <cell r="E495" t="str">
            <v>2189-B2505A-KN 2489739</v>
          </cell>
          <cell r="F495">
            <v>2718</v>
          </cell>
          <cell r="H495">
            <v>46090</v>
          </cell>
          <cell r="I495">
            <v>46091</v>
          </cell>
        </row>
        <row r="496">
          <cell r="D496">
            <v>110001279202</v>
          </cell>
          <cell r="E496" t="str">
            <v>2189-B2505J-D 20140244</v>
          </cell>
          <cell r="F496">
            <v>2718</v>
          </cell>
          <cell r="H496">
            <v>46088</v>
          </cell>
          <cell r="I496">
            <v>46089</v>
          </cell>
        </row>
        <row r="497">
          <cell r="D497">
            <v>110001279203</v>
          </cell>
          <cell r="E497" t="str">
            <v>2189-B2505K G0020 20140245</v>
          </cell>
          <cell r="F497">
            <v>2500</v>
          </cell>
          <cell r="H497">
            <v>46093</v>
          </cell>
          <cell r="I497">
            <v>46094</v>
          </cell>
        </row>
        <row r="498">
          <cell r="D498">
            <v>110001279204</v>
          </cell>
          <cell r="E498" t="str">
            <v>2189-B2505K-D 20140245</v>
          </cell>
          <cell r="F498">
            <v>2500</v>
          </cell>
          <cell r="H498">
            <v>46093</v>
          </cell>
          <cell r="I498">
            <v>46094</v>
          </cell>
        </row>
        <row r="499">
          <cell r="D499">
            <v>110001279205</v>
          </cell>
          <cell r="E499" t="str">
            <v>2189-B2505A-KN 2489739</v>
          </cell>
          <cell r="F499">
            <v>2500</v>
          </cell>
          <cell r="H499">
            <v>46093</v>
          </cell>
          <cell r="I499">
            <v>46094</v>
          </cell>
        </row>
        <row r="500">
          <cell r="D500">
            <v>110001279206</v>
          </cell>
          <cell r="E500" t="str">
            <v>2189-B2505K-D 20140245</v>
          </cell>
          <cell r="F500">
            <v>2500</v>
          </cell>
          <cell r="H500">
            <v>46091</v>
          </cell>
          <cell r="I500">
            <v>46092</v>
          </cell>
        </row>
        <row r="501">
          <cell r="D501">
            <v>110001279207</v>
          </cell>
          <cell r="E501" t="str">
            <v>693-B2548G-PC G0044 0011801922H</v>
          </cell>
          <cell r="F501">
            <v>500</v>
          </cell>
          <cell r="H501">
            <v>46098</v>
          </cell>
          <cell r="I501">
            <v>46099</v>
          </cell>
        </row>
        <row r="502">
          <cell r="D502">
            <v>110001279208</v>
          </cell>
          <cell r="E502" t="str">
            <v>693-B2548G-PC 0011801922H</v>
          </cell>
          <cell r="F502">
            <v>500</v>
          </cell>
          <cell r="H502">
            <v>46096</v>
          </cell>
          <cell r="I502">
            <v>46097</v>
          </cell>
        </row>
        <row r="503">
          <cell r="D503">
            <v>110001279221</v>
          </cell>
          <cell r="E503" t="str">
            <v>1323-C2209A-D 0011800607R EE程序 E:63A6</v>
          </cell>
          <cell r="F503">
            <v>1500</v>
          </cell>
          <cell r="H503">
            <v>46096</v>
          </cell>
          <cell r="I503">
            <v>46097</v>
          </cell>
        </row>
        <row r="504">
          <cell r="D504">
            <v>110001279222</v>
          </cell>
          <cell r="E504" t="str">
            <v>693-C2339A-PC 0011801172CJ</v>
          </cell>
          <cell r="F504">
            <v>1000</v>
          </cell>
          <cell r="H504">
            <v>46098</v>
          </cell>
          <cell r="I504">
            <v>46099</v>
          </cell>
        </row>
        <row r="505">
          <cell r="D505">
            <v>110001279223</v>
          </cell>
          <cell r="E505" t="str">
            <v>693-C2339A-PC 0011801172CJ</v>
          </cell>
          <cell r="F505">
            <v>1000</v>
          </cell>
          <cell r="H505">
            <v>46096</v>
          </cell>
          <cell r="I505">
            <v>46097</v>
          </cell>
        </row>
        <row r="506">
          <cell r="D506">
            <v>110001279224</v>
          </cell>
          <cell r="E506" t="str">
            <v>693-C2357A-PC 0011800980K</v>
          </cell>
          <cell r="F506">
            <v>1000</v>
          </cell>
          <cell r="H506">
            <v>46098</v>
          </cell>
          <cell r="I506">
            <v>46099</v>
          </cell>
        </row>
        <row r="507">
          <cell r="D507">
            <v>110001279225</v>
          </cell>
          <cell r="E507" t="str">
            <v>693-C2357A-PC 0011800980K</v>
          </cell>
          <cell r="F507">
            <v>1000</v>
          </cell>
          <cell r="H507">
            <v>46096</v>
          </cell>
          <cell r="I507">
            <v>46097</v>
          </cell>
        </row>
        <row r="508">
          <cell r="D508">
            <v>110001279226</v>
          </cell>
          <cell r="E508" t="str">
            <v>693-C2331D-PC 0011801593C</v>
          </cell>
          <cell r="F508">
            <v>200</v>
          </cell>
          <cell r="H508">
            <v>46096</v>
          </cell>
          <cell r="I508">
            <v>46097</v>
          </cell>
        </row>
        <row r="509">
          <cell r="D509">
            <v>110001279227</v>
          </cell>
          <cell r="E509" t="str">
            <v>693-C2331D-PC 0011801593C</v>
          </cell>
          <cell r="F509">
            <v>200</v>
          </cell>
          <cell r="H509">
            <v>46094</v>
          </cell>
          <cell r="I509">
            <v>46095</v>
          </cell>
        </row>
        <row r="510">
          <cell r="D510">
            <v>110001279228</v>
          </cell>
          <cell r="E510" t="str">
            <v>693-C2352B-PC 0011801516C</v>
          </cell>
          <cell r="F510">
            <v>300</v>
          </cell>
          <cell r="H510">
            <v>46098</v>
          </cell>
          <cell r="I510">
            <v>46099</v>
          </cell>
        </row>
        <row r="511">
          <cell r="D511">
            <v>110001279229</v>
          </cell>
          <cell r="E511" t="str">
            <v>693-C2352B-PC 0011801516C</v>
          </cell>
          <cell r="F511">
            <v>300</v>
          </cell>
          <cell r="H511">
            <v>46096</v>
          </cell>
          <cell r="I511">
            <v>46097</v>
          </cell>
        </row>
        <row r="512">
          <cell r="D512">
            <v>110001279234</v>
          </cell>
          <cell r="E512" t="str">
            <v>693-B25D2A-PC G0044 0011801330AJ</v>
          </cell>
          <cell r="F512">
            <v>100</v>
          </cell>
          <cell r="H512">
            <v>46098</v>
          </cell>
          <cell r="I512">
            <v>46099</v>
          </cell>
        </row>
        <row r="513">
          <cell r="D513">
            <v>110001279235</v>
          </cell>
          <cell r="E513" t="str">
            <v>693-B25D2A-PC 0011801330AJ</v>
          </cell>
          <cell r="F513">
            <v>100</v>
          </cell>
          <cell r="H513">
            <v>46096</v>
          </cell>
          <cell r="I513">
            <v>46097</v>
          </cell>
        </row>
        <row r="514">
          <cell r="D514">
            <v>110001279245</v>
          </cell>
          <cell r="E514" t="str">
            <v>500323-C24A2B-PC G0044 0011801675B 新</v>
          </cell>
          <cell r="F514">
            <v>2500</v>
          </cell>
          <cell r="H514">
            <v>46092</v>
          </cell>
          <cell r="I514">
            <v>46093</v>
          </cell>
        </row>
        <row r="515">
          <cell r="D515">
            <v>110001279246</v>
          </cell>
          <cell r="E515" t="str">
            <v>500323-C24A2B-PC 0011801675B 新</v>
          </cell>
          <cell r="F515">
            <v>2500</v>
          </cell>
          <cell r="H515">
            <v>46090</v>
          </cell>
          <cell r="I515">
            <v>46091</v>
          </cell>
        </row>
        <row r="516">
          <cell r="D516">
            <v>110001279247</v>
          </cell>
          <cell r="E516" t="str">
            <v>500323-C24A2B-PC G0044 0011801675B 新</v>
          </cell>
          <cell r="F516">
            <v>2000</v>
          </cell>
          <cell r="H516">
            <v>46098</v>
          </cell>
          <cell r="I516">
            <v>46099</v>
          </cell>
        </row>
        <row r="517">
          <cell r="D517">
            <v>110001279248</v>
          </cell>
          <cell r="E517" t="str">
            <v>500323-C24A2B-PC 0011801675B 新</v>
          </cell>
          <cell r="F517">
            <v>2000</v>
          </cell>
          <cell r="H517">
            <v>46096</v>
          </cell>
          <cell r="I517">
            <v>46097</v>
          </cell>
        </row>
        <row r="518">
          <cell r="D518">
            <v>110001279253</v>
          </cell>
          <cell r="E518" t="str">
            <v>693-B2548H-PC G0044 0011801922J</v>
          </cell>
          <cell r="F518">
            <v>200</v>
          </cell>
          <cell r="H518">
            <v>46098</v>
          </cell>
          <cell r="I518">
            <v>46099</v>
          </cell>
        </row>
        <row r="519">
          <cell r="D519">
            <v>110001279254</v>
          </cell>
          <cell r="E519" t="str">
            <v>693-B2548H-PC 0011801922J</v>
          </cell>
          <cell r="F519">
            <v>200</v>
          </cell>
          <cell r="H519">
            <v>46096</v>
          </cell>
          <cell r="I519">
            <v>46097</v>
          </cell>
        </row>
        <row r="520">
          <cell r="D520">
            <v>110001280055</v>
          </cell>
          <cell r="E520" t="str">
            <v>693-A2179A-PC 0011800630K</v>
          </cell>
          <cell r="F520">
            <v>2200</v>
          </cell>
          <cell r="H520">
            <v>46091</v>
          </cell>
          <cell r="I520">
            <v>46092</v>
          </cell>
        </row>
        <row r="521">
          <cell r="D521">
            <v>110001280056</v>
          </cell>
          <cell r="E521" t="str">
            <v>693-A2179A-PC 0011800630K</v>
          </cell>
          <cell r="F521">
            <v>2200</v>
          </cell>
          <cell r="H521">
            <v>46089</v>
          </cell>
          <cell r="I521">
            <v>46090</v>
          </cell>
        </row>
        <row r="522">
          <cell r="D522">
            <v>110001280057</v>
          </cell>
          <cell r="E522" t="str">
            <v>693-A2181B-PC     0011800537C</v>
          </cell>
          <cell r="F522">
            <v>5000</v>
          </cell>
          <cell r="H522">
            <v>46090</v>
          </cell>
          <cell r="I522">
            <v>46091</v>
          </cell>
        </row>
        <row r="523">
          <cell r="D523">
            <v>110001280058</v>
          </cell>
          <cell r="E523" t="str">
            <v>693-A2181B-PC 0011800537C</v>
          </cell>
          <cell r="F523">
            <v>5000</v>
          </cell>
          <cell r="H523">
            <v>46088</v>
          </cell>
          <cell r="I523">
            <v>46089</v>
          </cell>
        </row>
        <row r="524">
          <cell r="D524">
            <v>110001280059</v>
          </cell>
          <cell r="E524" t="str">
            <v>693-A2210B-PC 0011801372A</v>
          </cell>
          <cell r="F524">
            <v>3000</v>
          </cell>
          <cell r="H524">
            <v>46098</v>
          </cell>
          <cell r="I524">
            <v>46099</v>
          </cell>
        </row>
        <row r="525">
          <cell r="D525">
            <v>110001280060</v>
          </cell>
          <cell r="E525" t="str">
            <v>693-A2210B-PC 0011801372A</v>
          </cell>
          <cell r="F525">
            <v>3000</v>
          </cell>
          <cell r="H525">
            <v>46096</v>
          </cell>
          <cell r="I525">
            <v>46097</v>
          </cell>
        </row>
        <row r="526">
          <cell r="D526">
            <v>110001280663</v>
          </cell>
          <cell r="E526" t="str">
            <v>693-C2352A-PC 0011801516</v>
          </cell>
          <cell r="F526">
            <v>400</v>
          </cell>
          <cell r="H526">
            <v>46089</v>
          </cell>
          <cell r="I526">
            <v>46090</v>
          </cell>
        </row>
        <row r="527">
          <cell r="D527">
            <v>110001280664</v>
          </cell>
          <cell r="E527" t="str">
            <v>693-C2352A-PC 0011801516</v>
          </cell>
          <cell r="F527">
            <v>400</v>
          </cell>
          <cell r="H527">
            <v>46087</v>
          </cell>
          <cell r="I527">
            <v>46088</v>
          </cell>
        </row>
        <row r="528">
          <cell r="D528">
            <v>110001280665</v>
          </cell>
          <cell r="E528" t="str">
            <v>693-C2352D-PC 0011801516E</v>
          </cell>
          <cell r="F528">
            <v>250</v>
          </cell>
          <cell r="H528">
            <v>46095</v>
          </cell>
          <cell r="I528">
            <v>46096</v>
          </cell>
        </row>
        <row r="529">
          <cell r="D529">
            <v>110001280666</v>
          </cell>
          <cell r="E529" t="str">
            <v>693-C2352D-PC 0011801516E</v>
          </cell>
          <cell r="F529">
            <v>250</v>
          </cell>
          <cell r="H529">
            <v>46093</v>
          </cell>
          <cell r="I529">
            <v>46094</v>
          </cell>
        </row>
        <row r="530">
          <cell r="D530">
            <v>110001280675</v>
          </cell>
          <cell r="E530" t="str">
            <v>2189-B2505J G0020 20140244</v>
          </cell>
          <cell r="F530">
            <v>3100</v>
          </cell>
          <cell r="H530">
            <v>46093</v>
          </cell>
          <cell r="I530">
            <v>46094</v>
          </cell>
        </row>
        <row r="531">
          <cell r="D531">
            <v>110001280676</v>
          </cell>
          <cell r="E531" t="str">
            <v>2189-B2505J-D 20140244</v>
          </cell>
          <cell r="F531">
            <v>3100</v>
          </cell>
          <cell r="H531">
            <v>46093</v>
          </cell>
          <cell r="I531">
            <v>46094</v>
          </cell>
        </row>
        <row r="532">
          <cell r="D532">
            <v>110001280677</v>
          </cell>
          <cell r="E532" t="str">
            <v>2189-B2505A-KN 2489739</v>
          </cell>
          <cell r="F532">
            <v>3100</v>
          </cell>
          <cell r="H532">
            <v>46093</v>
          </cell>
          <cell r="I532">
            <v>46094</v>
          </cell>
        </row>
        <row r="533">
          <cell r="D533">
            <v>110001280678</v>
          </cell>
          <cell r="E533" t="str">
            <v>2189-B2505J-D 20140244</v>
          </cell>
          <cell r="F533">
            <v>3100</v>
          </cell>
          <cell r="H533">
            <v>46091</v>
          </cell>
          <cell r="I533">
            <v>46092</v>
          </cell>
        </row>
        <row r="534">
          <cell r="D534">
            <v>110001280707</v>
          </cell>
          <cell r="E534" t="str">
            <v>693-C2596E-D G0044 0041801949AB</v>
          </cell>
          <cell r="F534">
            <v>1500</v>
          </cell>
          <cell r="H534">
            <v>46097</v>
          </cell>
          <cell r="I534">
            <v>46098</v>
          </cell>
        </row>
        <row r="535">
          <cell r="D535">
            <v>110001280708</v>
          </cell>
          <cell r="E535" t="str">
            <v>693-C2596E-D 0041801949AB</v>
          </cell>
          <cell r="F535">
            <v>1500</v>
          </cell>
          <cell r="H535">
            <v>46095</v>
          </cell>
          <cell r="I535">
            <v>46096</v>
          </cell>
        </row>
        <row r="536">
          <cell r="D536">
            <v>110001280751</v>
          </cell>
          <cell r="E536" t="str">
            <v>693-B2548E-PC G0044 0011801922F</v>
          </cell>
          <cell r="F536">
            <v>4800</v>
          </cell>
          <cell r="H536">
            <v>46098</v>
          </cell>
          <cell r="I536">
            <v>46099</v>
          </cell>
        </row>
        <row r="537">
          <cell r="D537">
            <v>110001280752</v>
          </cell>
          <cell r="E537" t="str">
            <v>693-B2548E-PC 0011801922F</v>
          </cell>
          <cell r="F537">
            <v>4800</v>
          </cell>
          <cell r="H537">
            <v>46096</v>
          </cell>
          <cell r="I537">
            <v>46097</v>
          </cell>
        </row>
        <row r="538">
          <cell r="D538">
            <v>110001280753</v>
          </cell>
          <cell r="E538" t="str">
            <v>693-B2548E-PC G0044 0011801922F</v>
          </cell>
          <cell r="F538">
            <v>5000</v>
          </cell>
          <cell r="H538">
            <v>46098</v>
          </cell>
          <cell r="I538">
            <v>46099</v>
          </cell>
        </row>
        <row r="539">
          <cell r="D539">
            <v>110001280754</v>
          </cell>
          <cell r="E539" t="str">
            <v>693-B2548E-PC 0011801922F</v>
          </cell>
          <cell r="F539">
            <v>5000</v>
          </cell>
          <cell r="H539">
            <v>46096</v>
          </cell>
          <cell r="I539">
            <v>46097</v>
          </cell>
        </row>
        <row r="540">
          <cell r="D540">
            <v>110001282190</v>
          </cell>
          <cell r="E540" t="str">
            <v>2189-B2507E G0020 20206798</v>
          </cell>
          <cell r="F540">
            <v>846</v>
          </cell>
          <cell r="H540">
            <v>46099</v>
          </cell>
          <cell r="I540">
            <v>46100</v>
          </cell>
        </row>
        <row r="541">
          <cell r="D541">
            <v>110001282191</v>
          </cell>
          <cell r="E541" t="str">
            <v>2189-B2507E-D 20206798</v>
          </cell>
          <cell r="F541">
            <v>846</v>
          </cell>
          <cell r="H541">
            <v>46099</v>
          </cell>
          <cell r="I541">
            <v>46100</v>
          </cell>
        </row>
        <row r="542">
          <cell r="D542">
            <v>110001282192</v>
          </cell>
          <cell r="E542" t="str">
            <v>2189-B2507E-D 20206798</v>
          </cell>
          <cell r="F542">
            <v>846</v>
          </cell>
          <cell r="H542">
            <v>46097</v>
          </cell>
          <cell r="I542">
            <v>46098</v>
          </cell>
        </row>
        <row r="543">
          <cell r="D543">
            <v>110001282196</v>
          </cell>
          <cell r="E543" t="str">
            <v>2189-B2507I G0020 20224800</v>
          </cell>
          <cell r="F543">
            <v>300</v>
          </cell>
          <cell r="H543">
            <v>46099</v>
          </cell>
          <cell r="I543">
            <v>46100</v>
          </cell>
        </row>
        <row r="544">
          <cell r="D544">
            <v>110001282197</v>
          </cell>
          <cell r="E544" t="str">
            <v>2189-B2507I-D 20224800</v>
          </cell>
          <cell r="F544">
            <v>300</v>
          </cell>
          <cell r="H544">
            <v>46099</v>
          </cell>
          <cell r="I544">
            <v>46100</v>
          </cell>
        </row>
        <row r="545">
          <cell r="D545">
            <v>110001282198</v>
          </cell>
          <cell r="E545" t="str">
            <v>2189-B2507I-D 20224800</v>
          </cell>
          <cell r="F545">
            <v>300</v>
          </cell>
          <cell r="H545">
            <v>46097</v>
          </cell>
          <cell r="I545">
            <v>46098</v>
          </cell>
        </row>
        <row r="546">
          <cell r="D546">
            <v>110001282642</v>
          </cell>
          <cell r="E546" t="str">
            <v>693-C2556A-D G0044 0031800517</v>
          </cell>
          <cell r="F546">
            <v>2000</v>
          </cell>
          <cell r="H546">
            <v>46095</v>
          </cell>
          <cell r="I546">
            <v>46096</v>
          </cell>
        </row>
        <row r="547">
          <cell r="D547">
            <v>110001282643</v>
          </cell>
          <cell r="E547" t="str">
            <v>693-C2556A-D 0031800517</v>
          </cell>
          <cell r="F547">
            <v>2000</v>
          </cell>
          <cell r="H547">
            <v>46093</v>
          </cell>
          <cell r="I547">
            <v>46094</v>
          </cell>
        </row>
        <row r="548">
          <cell r="D548">
            <v>110001282961</v>
          </cell>
          <cell r="E548" t="str">
            <v>693-C23B7A-PC 0151800228CA</v>
          </cell>
          <cell r="F548">
            <v>500</v>
          </cell>
          <cell r="H548">
            <v>46091</v>
          </cell>
          <cell r="I548">
            <v>46092</v>
          </cell>
        </row>
        <row r="549">
          <cell r="D549">
            <v>110001282962</v>
          </cell>
          <cell r="E549" t="str">
            <v>693-C23B7A-PC 0151800228CA</v>
          </cell>
          <cell r="F549">
            <v>500</v>
          </cell>
          <cell r="H549">
            <v>46089</v>
          </cell>
          <cell r="I549">
            <v>46090</v>
          </cell>
        </row>
        <row r="550">
          <cell r="D550">
            <v>110001283425</v>
          </cell>
          <cell r="E550" t="str">
            <v>693-B23G9A-PC  0011801424AT</v>
          </cell>
          <cell r="F550">
            <v>1500</v>
          </cell>
          <cell r="H550">
            <v>46098</v>
          </cell>
          <cell r="I550">
            <v>46099</v>
          </cell>
        </row>
        <row r="551">
          <cell r="D551">
            <v>110001283426</v>
          </cell>
          <cell r="E551" t="str">
            <v>693-B23G9A-PC 0011801424AT</v>
          </cell>
          <cell r="F551">
            <v>1500</v>
          </cell>
          <cell r="H551">
            <v>46096</v>
          </cell>
          <cell r="I551">
            <v>46097</v>
          </cell>
        </row>
        <row r="552">
          <cell r="D552">
            <v>110001283427</v>
          </cell>
          <cell r="E552" t="str">
            <v>693-C2516H-PC G0044 0011801675K</v>
          </cell>
          <cell r="F552">
            <v>2000</v>
          </cell>
          <cell r="H552">
            <v>46090</v>
          </cell>
          <cell r="I552">
            <v>46091</v>
          </cell>
        </row>
        <row r="553">
          <cell r="D553">
            <v>110001283428</v>
          </cell>
          <cell r="E553" t="str">
            <v>693-C2516H-PC 0011801675K</v>
          </cell>
          <cell r="F553">
            <v>2000</v>
          </cell>
          <cell r="H553">
            <v>46088</v>
          </cell>
          <cell r="I553">
            <v>46089</v>
          </cell>
        </row>
        <row r="554">
          <cell r="D554">
            <v>110001283429</v>
          </cell>
          <cell r="E554" t="str">
            <v>693-C2598A G0044 0121800104WF</v>
          </cell>
          <cell r="F554">
            <v>1200</v>
          </cell>
          <cell r="H554">
            <v>46097</v>
          </cell>
          <cell r="I554">
            <v>46098</v>
          </cell>
        </row>
        <row r="555">
          <cell r="D555">
            <v>110001283430</v>
          </cell>
          <cell r="E555" t="str">
            <v>693-C2598A-D 0121800104WF-R右</v>
          </cell>
          <cell r="F555">
            <v>1200</v>
          </cell>
          <cell r="H555">
            <v>46095</v>
          </cell>
          <cell r="I555">
            <v>46096</v>
          </cell>
        </row>
        <row r="556">
          <cell r="D556">
            <v>110001283431</v>
          </cell>
          <cell r="E556" t="str">
            <v>693-C2598A-D G0044 0121800104WF-L左</v>
          </cell>
          <cell r="F556">
            <v>1200</v>
          </cell>
          <cell r="H556">
            <v>46093</v>
          </cell>
          <cell r="I556">
            <v>46094</v>
          </cell>
        </row>
        <row r="557">
          <cell r="D557">
            <v>110001283432</v>
          </cell>
          <cell r="E557" t="str">
            <v>693-C2598A-D 0121800104WF-L左</v>
          </cell>
          <cell r="F557">
            <v>1200</v>
          </cell>
          <cell r="H557">
            <v>46091</v>
          </cell>
          <cell r="I557">
            <v>46092</v>
          </cell>
        </row>
        <row r="558">
          <cell r="D558">
            <v>110001283611</v>
          </cell>
          <cell r="E558" t="str">
            <v>693-A2179A-PC 0011800630K</v>
          </cell>
          <cell r="F558">
            <v>9500</v>
          </cell>
          <cell r="H558">
            <v>46098</v>
          </cell>
          <cell r="I558">
            <v>46099</v>
          </cell>
        </row>
        <row r="559">
          <cell r="D559">
            <v>110001283612</v>
          </cell>
          <cell r="E559" t="str">
            <v>693-A2179A-PC 0011800630K</v>
          </cell>
          <cell r="F559">
            <v>9500</v>
          </cell>
          <cell r="H559">
            <v>46096</v>
          </cell>
          <cell r="I559">
            <v>46097</v>
          </cell>
        </row>
        <row r="560">
          <cell r="D560">
            <v>110001283613</v>
          </cell>
          <cell r="E560" t="str">
            <v>693-A2179B-PC 0011800630M</v>
          </cell>
          <cell r="F560">
            <v>1500</v>
          </cell>
          <cell r="H560">
            <v>46096</v>
          </cell>
          <cell r="I560">
            <v>46097</v>
          </cell>
        </row>
        <row r="561">
          <cell r="D561">
            <v>110001283614</v>
          </cell>
          <cell r="E561" t="str">
            <v>693-A2179B-PC 0011800630M</v>
          </cell>
          <cell r="F561">
            <v>1500</v>
          </cell>
          <cell r="H561">
            <v>46094</v>
          </cell>
          <cell r="I561">
            <v>46095</v>
          </cell>
        </row>
        <row r="562">
          <cell r="D562">
            <v>110001283615</v>
          </cell>
          <cell r="E562" t="str">
            <v>693-A2179C-PC 0011800630L</v>
          </cell>
          <cell r="F562">
            <v>2000</v>
          </cell>
          <cell r="H562">
            <v>46098</v>
          </cell>
          <cell r="I562">
            <v>46099</v>
          </cell>
        </row>
        <row r="563">
          <cell r="D563">
            <v>110001283616</v>
          </cell>
          <cell r="E563" t="str">
            <v>693-A2179C-PC 0011800630L</v>
          </cell>
          <cell r="F563">
            <v>2000</v>
          </cell>
          <cell r="H563">
            <v>46096</v>
          </cell>
          <cell r="I563">
            <v>46097</v>
          </cell>
        </row>
        <row r="564">
          <cell r="D564">
            <v>110001283617</v>
          </cell>
          <cell r="E564" t="str">
            <v>693-A2181B-PC     0011800537C</v>
          </cell>
          <cell r="F564">
            <v>5000</v>
          </cell>
          <cell r="H564">
            <v>46091</v>
          </cell>
          <cell r="I564">
            <v>46092</v>
          </cell>
        </row>
        <row r="565">
          <cell r="D565">
            <v>110001283618</v>
          </cell>
          <cell r="E565" t="str">
            <v>693-A2181B-PC 0011800537C</v>
          </cell>
          <cell r="F565">
            <v>5000</v>
          </cell>
          <cell r="H565">
            <v>46089</v>
          </cell>
          <cell r="I565">
            <v>46090</v>
          </cell>
        </row>
        <row r="566">
          <cell r="D566">
            <v>110001283619</v>
          </cell>
          <cell r="E566" t="str">
            <v>693-A2181B-PC     0011800537C</v>
          </cell>
          <cell r="F566">
            <v>5000</v>
          </cell>
          <cell r="H566">
            <v>46093</v>
          </cell>
          <cell r="I566">
            <v>46094</v>
          </cell>
        </row>
        <row r="567">
          <cell r="D567">
            <v>110001283620</v>
          </cell>
          <cell r="E567" t="str">
            <v>693-A2181B-PC 0011800537C</v>
          </cell>
          <cell r="F567">
            <v>5000</v>
          </cell>
          <cell r="H567">
            <v>46091</v>
          </cell>
          <cell r="I567">
            <v>46092</v>
          </cell>
        </row>
        <row r="568">
          <cell r="D568">
            <v>110001283744</v>
          </cell>
          <cell r="E568" t="str">
            <v>693-A2179E-PC    0011800630J</v>
          </cell>
          <cell r="F568">
            <v>2000</v>
          </cell>
          <cell r="G568" t="str">
            <v>肖如如</v>
          </cell>
          <cell r="H568">
            <v>46095</v>
          </cell>
          <cell r="I568">
            <v>46096</v>
          </cell>
        </row>
        <row r="569">
          <cell r="D569">
            <v>110001283745</v>
          </cell>
          <cell r="E569" t="str">
            <v>693-A2179E-PC 0011800630J</v>
          </cell>
          <cell r="F569">
            <v>2000</v>
          </cell>
          <cell r="H569">
            <v>46093</v>
          </cell>
          <cell r="I569">
            <v>46094</v>
          </cell>
        </row>
        <row r="570">
          <cell r="D570">
            <v>110001283746</v>
          </cell>
          <cell r="E570" t="str">
            <v>693-A2181B-PC     0011800537C</v>
          </cell>
          <cell r="F570">
            <v>1487</v>
          </cell>
          <cell r="G570" t="str">
            <v>肖如如</v>
          </cell>
          <cell r="H570">
            <v>46096</v>
          </cell>
          <cell r="I570">
            <v>46097</v>
          </cell>
        </row>
        <row r="571">
          <cell r="D571">
            <v>110001283747</v>
          </cell>
          <cell r="E571" t="str">
            <v>693-A2181B-PC 0011800537C</v>
          </cell>
          <cell r="F571">
            <v>1487</v>
          </cell>
          <cell r="H571">
            <v>46094</v>
          </cell>
          <cell r="I571">
            <v>46095</v>
          </cell>
        </row>
        <row r="572">
          <cell r="D572">
            <v>110001283754</v>
          </cell>
          <cell r="E572" t="str">
            <v>600766-A2505B-PC G0044 0011801843G</v>
          </cell>
          <cell r="F572">
            <v>17000</v>
          </cell>
          <cell r="G572" t="str">
            <v>马佳佩</v>
          </cell>
          <cell r="H572">
            <v>46100</v>
          </cell>
          <cell r="I572">
            <v>46101</v>
          </cell>
        </row>
        <row r="573">
          <cell r="D573">
            <v>110001283755</v>
          </cell>
          <cell r="E573" t="str">
            <v>600766-A2505B-PC 0011801843G</v>
          </cell>
          <cell r="F573">
            <v>17000</v>
          </cell>
          <cell r="H573">
            <v>46098</v>
          </cell>
          <cell r="I573">
            <v>46099</v>
          </cell>
        </row>
        <row r="574">
          <cell r="D574">
            <v>110001283756</v>
          </cell>
          <cell r="E574" t="str">
            <v>600766-A2505D-PC G0044 0011801843K</v>
          </cell>
          <cell r="F574">
            <v>15100</v>
          </cell>
          <cell r="G574" t="str">
            <v>马佳佩</v>
          </cell>
          <cell r="H574">
            <v>46100</v>
          </cell>
          <cell r="I574">
            <v>46101</v>
          </cell>
        </row>
        <row r="575">
          <cell r="D575">
            <v>110001283757</v>
          </cell>
          <cell r="E575" t="str">
            <v>600766-A2505D-PC 0011801843K</v>
          </cell>
          <cell r="F575">
            <v>15100</v>
          </cell>
          <cell r="H575">
            <v>46098</v>
          </cell>
          <cell r="I575">
            <v>46099</v>
          </cell>
        </row>
        <row r="576">
          <cell r="D576">
            <v>110001283758</v>
          </cell>
          <cell r="E576" t="str">
            <v>600766-A2505E-PC G0044 0011801843JCHHR</v>
          </cell>
          <cell r="F576">
            <v>27000</v>
          </cell>
          <cell r="G576" t="str">
            <v>马佳佩</v>
          </cell>
          <cell r="H576">
            <v>46100</v>
          </cell>
          <cell r="I576">
            <v>46101</v>
          </cell>
        </row>
        <row r="577">
          <cell r="D577">
            <v>110001283760</v>
          </cell>
          <cell r="E577" t="str">
            <v>600766-A2505E-PC 0011801843JCHHR</v>
          </cell>
          <cell r="F577">
            <v>27000</v>
          </cell>
          <cell r="H577">
            <v>46098</v>
          </cell>
          <cell r="I577">
            <v>46099</v>
          </cell>
        </row>
        <row r="578">
          <cell r="D578">
            <v>110001283761</v>
          </cell>
          <cell r="E578" t="str">
            <v>693-C2260D-PC 0011801256R</v>
          </cell>
          <cell r="F578">
            <v>800</v>
          </cell>
          <cell r="H578">
            <v>46098</v>
          </cell>
          <cell r="I578">
            <v>46099</v>
          </cell>
        </row>
        <row r="579">
          <cell r="D579">
            <v>110001283762</v>
          </cell>
          <cell r="E579" t="str">
            <v>693-C2260D-PC 0011801256R</v>
          </cell>
          <cell r="F579">
            <v>800</v>
          </cell>
          <cell r="H579">
            <v>46096</v>
          </cell>
          <cell r="I579">
            <v>46097</v>
          </cell>
        </row>
        <row r="580">
          <cell r="D580">
            <v>110001283765</v>
          </cell>
          <cell r="E580" t="str">
            <v>693-C2256D-PC 0011801123H</v>
          </cell>
          <cell r="F580">
            <v>2000</v>
          </cell>
          <cell r="H580">
            <v>46098</v>
          </cell>
          <cell r="I580">
            <v>46099</v>
          </cell>
        </row>
        <row r="581">
          <cell r="D581">
            <v>110001283766</v>
          </cell>
          <cell r="E581" t="str">
            <v>693-C2256D-PC 0011801123H</v>
          </cell>
          <cell r="F581">
            <v>2000</v>
          </cell>
          <cell r="H581">
            <v>46096</v>
          </cell>
          <cell r="I581">
            <v>46097</v>
          </cell>
        </row>
        <row r="582">
          <cell r="D582">
            <v>110001283769</v>
          </cell>
          <cell r="E582" t="str">
            <v>693-C2357A-PC 0011800980K</v>
          </cell>
          <cell r="F582">
            <v>500</v>
          </cell>
          <cell r="H582">
            <v>46098</v>
          </cell>
          <cell r="I582">
            <v>46099</v>
          </cell>
        </row>
        <row r="583">
          <cell r="D583">
            <v>110001283770</v>
          </cell>
          <cell r="E583" t="str">
            <v>693-C2357A-PC 0011800980K</v>
          </cell>
          <cell r="F583">
            <v>500</v>
          </cell>
          <cell r="H583">
            <v>46096</v>
          </cell>
          <cell r="I583">
            <v>46097</v>
          </cell>
        </row>
        <row r="584">
          <cell r="D584">
            <v>110001283771</v>
          </cell>
          <cell r="E584" t="str">
            <v>693-C2375A-D 0011800387D 合肥专用</v>
          </cell>
          <cell r="F584">
            <v>20000</v>
          </cell>
          <cell r="H584">
            <v>46098</v>
          </cell>
          <cell r="I584">
            <v>46099</v>
          </cell>
        </row>
        <row r="585">
          <cell r="D585">
            <v>110001283772</v>
          </cell>
          <cell r="E585" t="str">
            <v>693-C2375A-D 0011800387D 合肥专用</v>
          </cell>
          <cell r="F585">
            <v>20000</v>
          </cell>
          <cell r="H585">
            <v>46096</v>
          </cell>
          <cell r="I585">
            <v>46097</v>
          </cell>
        </row>
        <row r="586">
          <cell r="D586">
            <v>110001283777</v>
          </cell>
          <cell r="E586" t="str">
            <v>693-B23G7A-PC  0011801048AE</v>
          </cell>
          <cell r="F586">
            <v>2000</v>
          </cell>
          <cell r="H586">
            <v>46098</v>
          </cell>
          <cell r="I586">
            <v>46099</v>
          </cell>
        </row>
        <row r="587">
          <cell r="D587">
            <v>110001283778</v>
          </cell>
          <cell r="E587" t="str">
            <v>693-B23G7A-PC</v>
          </cell>
          <cell r="F587">
            <v>2000</v>
          </cell>
          <cell r="H587">
            <v>46096</v>
          </cell>
          <cell r="I587">
            <v>46097</v>
          </cell>
        </row>
        <row r="588">
          <cell r="D588">
            <v>110001283785</v>
          </cell>
          <cell r="E588" t="str">
            <v>693-B23G7C-PC  0011801048AG</v>
          </cell>
          <cell r="F588">
            <v>200</v>
          </cell>
          <cell r="H588">
            <v>46098</v>
          </cell>
          <cell r="I588">
            <v>46099</v>
          </cell>
        </row>
        <row r="589">
          <cell r="D589">
            <v>110001283786</v>
          </cell>
          <cell r="E589" t="str">
            <v>693-B23G7C-PC 0011801048AG</v>
          </cell>
          <cell r="F589">
            <v>200</v>
          </cell>
          <cell r="H589">
            <v>46096</v>
          </cell>
          <cell r="I589">
            <v>46097</v>
          </cell>
        </row>
        <row r="590">
          <cell r="D590">
            <v>110001283789</v>
          </cell>
          <cell r="E590" t="str">
            <v>693-B23I7A-PC 0011801039AM</v>
          </cell>
          <cell r="F590">
            <v>1000</v>
          </cell>
          <cell r="H590">
            <v>46098</v>
          </cell>
          <cell r="I590">
            <v>46099</v>
          </cell>
        </row>
        <row r="591">
          <cell r="D591">
            <v>110001283790</v>
          </cell>
          <cell r="E591" t="str">
            <v>693-B23I7A-PC 0011801039AM</v>
          </cell>
          <cell r="F591">
            <v>1000</v>
          </cell>
          <cell r="H591">
            <v>46096</v>
          </cell>
          <cell r="I591">
            <v>46097</v>
          </cell>
        </row>
        <row r="592">
          <cell r="D592">
            <v>110001283793</v>
          </cell>
          <cell r="E592" t="str">
            <v>693-C2352C-PC 0011801516D</v>
          </cell>
          <cell r="F592">
            <v>400</v>
          </cell>
          <cell r="H592">
            <v>46090</v>
          </cell>
          <cell r="I592">
            <v>46091</v>
          </cell>
        </row>
        <row r="593">
          <cell r="D593">
            <v>110001283794</v>
          </cell>
          <cell r="E593" t="str">
            <v>693-C2352C-PC 0011801516D</v>
          </cell>
          <cell r="F593">
            <v>400</v>
          </cell>
          <cell r="H593">
            <v>46088</v>
          </cell>
          <cell r="I593">
            <v>46089</v>
          </cell>
        </row>
        <row r="594">
          <cell r="D594">
            <v>110001283795</v>
          </cell>
          <cell r="E594" t="str">
            <v>2189-B2401D-PC 2397172</v>
          </cell>
          <cell r="F594">
            <v>1000</v>
          </cell>
          <cell r="H594">
            <v>46097</v>
          </cell>
          <cell r="I594">
            <v>46098</v>
          </cell>
        </row>
        <row r="595">
          <cell r="D595">
            <v>110001283796</v>
          </cell>
          <cell r="E595" t="str">
            <v>贴片部件 2189-B2401D-PC 2397172</v>
          </cell>
          <cell r="F595">
            <v>1000</v>
          </cell>
          <cell r="H595">
            <v>46095</v>
          </cell>
          <cell r="I595">
            <v>46096</v>
          </cell>
        </row>
        <row r="596">
          <cell r="D596">
            <v>110001283801</v>
          </cell>
          <cell r="E596" t="str">
            <v>500323-C24F6A-PC 0041801140</v>
          </cell>
          <cell r="F596">
            <v>1100</v>
          </cell>
          <cell r="H596">
            <v>46094</v>
          </cell>
          <cell r="I596">
            <v>46095</v>
          </cell>
        </row>
        <row r="597">
          <cell r="D597">
            <v>110001283802</v>
          </cell>
          <cell r="E597" t="str">
            <v>贴片部件 500323-C24F6A-PC 0041801140</v>
          </cell>
          <cell r="F597">
            <v>1100</v>
          </cell>
          <cell r="H597">
            <v>46092</v>
          </cell>
          <cell r="I597">
            <v>46093</v>
          </cell>
        </row>
        <row r="598">
          <cell r="D598">
            <v>110001283803</v>
          </cell>
          <cell r="E598" t="str">
            <v>500323-C24F6B-PC 0041801140A</v>
          </cell>
          <cell r="F598">
            <v>1120</v>
          </cell>
          <cell r="H598">
            <v>46094</v>
          </cell>
          <cell r="I598">
            <v>46095</v>
          </cell>
        </row>
        <row r="599">
          <cell r="D599">
            <v>110001283804</v>
          </cell>
          <cell r="E599" t="str">
            <v>贴片部件 500323-C24F6B-PC 0041801140A</v>
          </cell>
          <cell r="F599">
            <v>1120</v>
          </cell>
          <cell r="H599">
            <v>46092</v>
          </cell>
          <cell r="I599">
            <v>46093</v>
          </cell>
        </row>
        <row r="600">
          <cell r="D600">
            <v>110001283817</v>
          </cell>
          <cell r="E600" t="str">
            <v>500323-C2508A-PC 0011801824</v>
          </cell>
          <cell r="F600">
            <v>540</v>
          </cell>
          <cell r="H600">
            <v>46092</v>
          </cell>
          <cell r="I600">
            <v>46093</v>
          </cell>
        </row>
        <row r="601">
          <cell r="D601">
            <v>110001283818</v>
          </cell>
          <cell r="E601" t="str">
            <v>500323-C2508A-PC 0011801824</v>
          </cell>
          <cell r="F601">
            <v>540</v>
          </cell>
          <cell r="H601">
            <v>46090</v>
          </cell>
          <cell r="I601">
            <v>46091</v>
          </cell>
        </row>
        <row r="602">
          <cell r="D602">
            <v>110001283821</v>
          </cell>
          <cell r="E602" t="str">
            <v>500493-B2402F-D 2466931</v>
          </cell>
          <cell r="F602">
            <v>250</v>
          </cell>
          <cell r="H602">
            <v>46091</v>
          </cell>
          <cell r="I602">
            <v>46092</v>
          </cell>
        </row>
        <row r="603">
          <cell r="D603">
            <v>110001283822</v>
          </cell>
          <cell r="E603" t="str">
            <v>500493-B2402F-D 2466931</v>
          </cell>
          <cell r="F603">
            <v>250</v>
          </cell>
          <cell r="H603">
            <v>46089</v>
          </cell>
          <cell r="I603">
            <v>46090</v>
          </cell>
        </row>
        <row r="604">
          <cell r="D604">
            <v>110001283831</v>
          </cell>
          <cell r="E604" t="str">
            <v>501706-C2501A-PC G0044 1060171</v>
          </cell>
          <cell r="F604">
            <v>1300</v>
          </cell>
          <cell r="H604">
            <v>46095</v>
          </cell>
          <cell r="I604">
            <v>46096</v>
          </cell>
        </row>
        <row r="605">
          <cell r="D605">
            <v>110001283832</v>
          </cell>
          <cell r="E605" t="str">
            <v>2006-C2301B-PC 888001414</v>
          </cell>
          <cell r="F605">
            <v>1300</v>
          </cell>
          <cell r="H605">
            <v>46093</v>
          </cell>
          <cell r="I605">
            <v>46094</v>
          </cell>
        </row>
        <row r="606">
          <cell r="D606">
            <v>110001283843</v>
          </cell>
          <cell r="E606" t="str">
            <v>693-C2516F-PC G0044 0011801675AE</v>
          </cell>
          <cell r="F606">
            <v>500</v>
          </cell>
          <cell r="H606">
            <v>46092</v>
          </cell>
          <cell r="I606">
            <v>46093</v>
          </cell>
        </row>
        <row r="607">
          <cell r="D607">
            <v>110001283844</v>
          </cell>
          <cell r="E607" t="str">
            <v>693-C2516F-PC 0011801675AE</v>
          </cell>
          <cell r="F607">
            <v>500</v>
          </cell>
          <cell r="H607">
            <v>46090</v>
          </cell>
          <cell r="I607">
            <v>46091</v>
          </cell>
        </row>
        <row r="608">
          <cell r="D608">
            <v>110001283857</v>
          </cell>
          <cell r="E608" t="str">
            <v>500493-B2402G-D G0020 2477384</v>
          </cell>
          <cell r="F608">
            <v>50</v>
          </cell>
          <cell r="H608">
            <v>46091</v>
          </cell>
          <cell r="I608">
            <v>46092</v>
          </cell>
        </row>
        <row r="609">
          <cell r="D609">
            <v>110001283863</v>
          </cell>
          <cell r="E609" t="str">
            <v>500493-B2402G-D 2477384</v>
          </cell>
          <cell r="F609">
            <v>50</v>
          </cell>
          <cell r="H609">
            <v>46089</v>
          </cell>
          <cell r="I609">
            <v>46090</v>
          </cell>
        </row>
        <row r="610">
          <cell r="D610">
            <v>110001283871</v>
          </cell>
          <cell r="E610" t="str">
            <v>693-C2516H-PC G0044 0011801675K</v>
          </cell>
          <cell r="F610">
            <v>2000</v>
          </cell>
          <cell r="H610">
            <v>46098</v>
          </cell>
          <cell r="I610">
            <v>46099</v>
          </cell>
        </row>
        <row r="611">
          <cell r="D611">
            <v>110001283872</v>
          </cell>
          <cell r="E611" t="str">
            <v>693-C2516H-PC 0011801675K</v>
          </cell>
          <cell r="F611">
            <v>2000</v>
          </cell>
          <cell r="H611">
            <v>46096</v>
          </cell>
          <cell r="I611">
            <v>46097</v>
          </cell>
        </row>
        <row r="612">
          <cell r="D612">
            <v>110001283885</v>
          </cell>
          <cell r="E612" t="str">
            <v>2189-B2505E G0020 2506399</v>
          </cell>
          <cell r="F612">
            <v>1500</v>
          </cell>
          <cell r="H612">
            <v>46098</v>
          </cell>
          <cell r="I612">
            <v>46099</v>
          </cell>
        </row>
        <row r="613">
          <cell r="D613">
            <v>110001283886</v>
          </cell>
          <cell r="E613" t="str">
            <v>2189-B2505E-D 2506399</v>
          </cell>
          <cell r="F613">
            <v>1500</v>
          </cell>
          <cell r="H613">
            <v>46098</v>
          </cell>
          <cell r="I613">
            <v>46099</v>
          </cell>
        </row>
        <row r="614">
          <cell r="D614">
            <v>110001283887</v>
          </cell>
          <cell r="E614" t="str">
            <v>2189-B2505A-KN 2489739</v>
          </cell>
          <cell r="F614">
            <v>1500</v>
          </cell>
          <cell r="H614">
            <v>46098</v>
          </cell>
          <cell r="I614">
            <v>46099</v>
          </cell>
        </row>
        <row r="615">
          <cell r="D615">
            <v>110001283888</v>
          </cell>
          <cell r="E615" t="str">
            <v>2189-B2505E-D 2506399</v>
          </cell>
          <cell r="F615">
            <v>1500</v>
          </cell>
          <cell r="H615">
            <v>46096</v>
          </cell>
          <cell r="I615">
            <v>46097</v>
          </cell>
        </row>
        <row r="616">
          <cell r="D616">
            <v>110001283901</v>
          </cell>
          <cell r="E616" t="str">
            <v>2189-B2505H G0020 20120031</v>
          </cell>
          <cell r="F616">
            <v>2000</v>
          </cell>
          <cell r="H616">
            <v>46094</v>
          </cell>
          <cell r="I616">
            <v>46095</v>
          </cell>
        </row>
        <row r="617">
          <cell r="D617">
            <v>110001283902</v>
          </cell>
          <cell r="E617" t="str">
            <v>2189-B2505H-D 20120031</v>
          </cell>
          <cell r="F617">
            <v>2000</v>
          </cell>
          <cell r="H617">
            <v>46094</v>
          </cell>
          <cell r="I617">
            <v>46095</v>
          </cell>
        </row>
        <row r="618">
          <cell r="D618">
            <v>110001283903</v>
          </cell>
          <cell r="E618" t="str">
            <v>2189-B2505A-KN 2489739</v>
          </cell>
          <cell r="F618">
            <v>2000</v>
          </cell>
          <cell r="H618">
            <v>46094</v>
          </cell>
          <cell r="I618">
            <v>46095</v>
          </cell>
        </row>
        <row r="619">
          <cell r="D619">
            <v>110001283904</v>
          </cell>
          <cell r="E619" t="str">
            <v>2189-B2505H-D 20120031</v>
          </cell>
          <cell r="F619">
            <v>2000</v>
          </cell>
          <cell r="H619">
            <v>46092</v>
          </cell>
          <cell r="I619">
            <v>46093</v>
          </cell>
        </row>
        <row r="620">
          <cell r="D620">
            <v>110001283905</v>
          </cell>
          <cell r="E620" t="str">
            <v>2189-B2505I G0020 20126172</v>
          </cell>
          <cell r="F620">
            <v>500</v>
          </cell>
          <cell r="H620">
            <v>46101</v>
          </cell>
          <cell r="I620">
            <v>46102</v>
          </cell>
        </row>
        <row r="621">
          <cell r="D621">
            <v>110001283906</v>
          </cell>
          <cell r="E621" t="str">
            <v>2189-B2505I-D 20126172</v>
          </cell>
          <cell r="F621">
            <v>500</v>
          </cell>
          <cell r="H621">
            <v>46101</v>
          </cell>
          <cell r="I621">
            <v>46102</v>
          </cell>
        </row>
        <row r="622">
          <cell r="D622">
            <v>110001283907</v>
          </cell>
          <cell r="E622" t="str">
            <v>2189-B2505A-KN 2489739</v>
          </cell>
          <cell r="F622">
            <v>500</v>
          </cell>
          <cell r="H622">
            <v>46101</v>
          </cell>
          <cell r="I622">
            <v>46102</v>
          </cell>
        </row>
        <row r="623">
          <cell r="D623">
            <v>110001283908</v>
          </cell>
          <cell r="E623" t="str">
            <v>2189-B2505I-D 20126172</v>
          </cell>
          <cell r="F623">
            <v>500</v>
          </cell>
          <cell r="H623">
            <v>46099</v>
          </cell>
          <cell r="I623">
            <v>46100</v>
          </cell>
        </row>
        <row r="624">
          <cell r="D624">
            <v>110001283913</v>
          </cell>
          <cell r="E624" t="str">
            <v>600766-A2506A-PC G0044 0011800977HHR</v>
          </cell>
          <cell r="F624">
            <v>23000</v>
          </cell>
          <cell r="H624">
            <v>46100</v>
          </cell>
          <cell r="I624">
            <v>46101</v>
          </cell>
        </row>
        <row r="625">
          <cell r="D625">
            <v>110001283914</v>
          </cell>
          <cell r="E625" t="str">
            <v>600766-A2506A-PC 0011800977HHR</v>
          </cell>
          <cell r="F625">
            <v>23000</v>
          </cell>
          <cell r="H625">
            <v>46098</v>
          </cell>
          <cell r="I625">
            <v>46099</v>
          </cell>
        </row>
        <row r="626">
          <cell r="D626">
            <v>110001283915</v>
          </cell>
          <cell r="E626" t="str">
            <v>600766-A2506B-PC G0044 0011800977JHR</v>
          </cell>
          <cell r="F626">
            <v>18000</v>
          </cell>
          <cell r="H626">
            <v>46100</v>
          </cell>
          <cell r="I626">
            <v>46101</v>
          </cell>
        </row>
        <row r="627">
          <cell r="D627">
            <v>110001283916</v>
          </cell>
          <cell r="E627" t="str">
            <v>600766-A2506B-PC 0011800977JHR</v>
          </cell>
          <cell r="F627">
            <v>18000</v>
          </cell>
          <cell r="H627">
            <v>46098</v>
          </cell>
          <cell r="I627">
            <v>46099</v>
          </cell>
        </row>
        <row r="628">
          <cell r="D628">
            <v>110001283917</v>
          </cell>
          <cell r="E628" t="str">
            <v>600766-A2503A-PC G0044 0011801330MHR</v>
          </cell>
          <cell r="F628">
            <v>9000</v>
          </cell>
          <cell r="H628">
            <v>46100</v>
          </cell>
          <cell r="I628">
            <v>46101</v>
          </cell>
        </row>
        <row r="629">
          <cell r="D629">
            <v>110001283918</v>
          </cell>
          <cell r="E629" t="str">
            <v>600766-A2503A-PC 0011801330MHR</v>
          </cell>
          <cell r="F629">
            <v>9000</v>
          </cell>
          <cell r="H629">
            <v>46098</v>
          </cell>
          <cell r="I629">
            <v>46099</v>
          </cell>
        </row>
        <row r="630">
          <cell r="D630">
            <v>110001283919</v>
          </cell>
          <cell r="E630" t="str">
            <v>600766-A2505C-PC G0044 0011801843J</v>
          </cell>
          <cell r="F630">
            <v>1000</v>
          </cell>
          <cell r="H630">
            <v>46100</v>
          </cell>
          <cell r="I630">
            <v>46101</v>
          </cell>
        </row>
        <row r="631">
          <cell r="D631">
            <v>110001283920</v>
          </cell>
          <cell r="E631" t="str">
            <v>600766-A2505C-PC 0011801843J</v>
          </cell>
          <cell r="F631">
            <v>1000</v>
          </cell>
          <cell r="H631">
            <v>46098</v>
          </cell>
          <cell r="I631">
            <v>46099</v>
          </cell>
        </row>
        <row r="632">
          <cell r="D632">
            <v>110001283933</v>
          </cell>
          <cell r="E632" t="str">
            <v>2189-B2505K G0020 20140245</v>
          </cell>
          <cell r="F632">
            <v>2300</v>
          </cell>
          <cell r="H632">
            <v>46098</v>
          </cell>
          <cell r="I632">
            <v>46099</v>
          </cell>
        </row>
        <row r="633">
          <cell r="D633">
            <v>110001283934</v>
          </cell>
          <cell r="E633" t="str">
            <v>2189-B2505K-D 20140245</v>
          </cell>
          <cell r="F633">
            <v>2300</v>
          </cell>
          <cell r="H633">
            <v>46098</v>
          </cell>
          <cell r="I633">
            <v>46099</v>
          </cell>
        </row>
        <row r="634">
          <cell r="D634">
            <v>110001283935</v>
          </cell>
          <cell r="E634" t="str">
            <v>2189-B2505A-KN 2489739</v>
          </cell>
          <cell r="F634">
            <v>2300</v>
          </cell>
          <cell r="H634">
            <v>46098</v>
          </cell>
          <cell r="I634">
            <v>46099</v>
          </cell>
        </row>
        <row r="635">
          <cell r="D635">
            <v>110001283936</v>
          </cell>
          <cell r="E635" t="str">
            <v>2189-B2505K-D 20140245</v>
          </cell>
          <cell r="F635">
            <v>2300</v>
          </cell>
          <cell r="H635">
            <v>46096</v>
          </cell>
          <cell r="I635">
            <v>46097</v>
          </cell>
        </row>
        <row r="636">
          <cell r="D636">
            <v>110001283954</v>
          </cell>
          <cell r="E636" t="str">
            <v>500323-C24A3D-PC G0044 0011801850AA</v>
          </cell>
          <cell r="F636">
            <v>200</v>
          </cell>
          <cell r="H636">
            <v>46098</v>
          </cell>
          <cell r="I636">
            <v>46099</v>
          </cell>
        </row>
        <row r="637">
          <cell r="D637">
            <v>110001283955</v>
          </cell>
          <cell r="E637" t="str">
            <v>500323-C24A3D-PC 0011801850AA</v>
          </cell>
          <cell r="F637">
            <v>200</v>
          </cell>
          <cell r="H637">
            <v>46096</v>
          </cell>
          <cell r="I637">
            <v>46097</v>
          </cell>
        </row>
        <row r="638">
          <cell r="D638">
            <v>110001283960</v>
          </cell>
          <cell r="E638" t="str">
            <v>2189-B2505Z G0020 20217734</v>
          </cell>
          <cell r="F638">
            <v>2885</v>
          </cell>
          <cell r="H638">
            <v>46099</v>
          </cell>
          <cell r="I638">
            <v>46100</v>
          </cell>
        </row>
        <row r="639">
          <cell r="D639">
            <v>110001283961</v>
          </cell>
          <cell r="E639" t="str">
            <v>2189-B2505A-KN 2489739</v>
          </cell>
          <cell r="F639">
            <v>2885</v>
          </cell>
          <cell r="H639">
            <v>46099</v>
          </cell>
          <cell r="I639">
            <v>46100</v>
          </cell>
        </row>
        <row r="640">
          <cell r="D640">
            <v>110001283962</v>
          </cell>
          <cell r="E640" t="str">
            <v>2189-B2505Z-D 20217734</v>
          </cell>
          <cell r="F640">
            <v>2885</v>
          </cell>
          <cell r="H640">
            <v>46099</v>
          </cell>
          <cell r="I640">
            <v>46100</v>
          </cell>
        </row>
        <row r="641">
          <cell r="D641">
            <v>110001283963</v>
          </cell>
          <cell r="E641" t="str">
            <v>2189-B2505Z-D 20217734</v>
          </cell>
          <cell r="F641">
            <v>2885</v>
          </cell>
          <cell r="H641">
            <v>46097</v>
          </cell>
          <cell r="I641">
            <v>46098</v>
          </cell>
        </row>
        <row r="642">
          <cell r="D642">
            <v>110001283964</v>
          </cell>
          <cell r="E642" t="str">
            <v>2189-B2507F G0020 20224797</v>
          </cell>
          <cell r="F642">
            <v>2988</v>
          </cell>
          <cell r="H642">
            <v>46099</v>
          </cell>
          <cell r="I642">
            <v>46100</v>
          </cell>
        </row>
        <row r="643">
          <cell r="D643">
            <v>110001283965</v>
          </cell>
          <cell r="E643" t="str">
            <v>2189-B2507F-D 20224797</v>
          </cell>
          <cell r="F643">
            <v>2988</v>
          </cell>
          <cell r="H643">
            <v>46099</v>
          </cell>
          <cell r="I643">
            <v>46100</v>
          </cell>
        </row>
        <row r="644">
          <cell r="D644">
            <v>110001283966</v>
          </cell>
          <cell r="E644" t="str">
            <v>2189-B2507F-D 20224797</v>
          </cell>
          <cell r="F644">
            <v>2988</v>
          </cell>
          <cell r="H644">
            <v>46097</v>
          </cell>
          <cell r="I644">
            <v>46098</v>
          </cell>
        </row>
        <row r="645">
          <cell r="D645">
            <v>110001283989</v>
          </cell>
          <cell r="E645" t="str">
            <v>500323-C24L6I-PC G0044 0011801172DU</v>
          </cell>
          <cell r="F645">
            <v>350</v>
          </cell>
          <cell r="G645" t="str">
            <v>肖如如</v>
          </cell>
          <cell r="H645">
            <v>46096</v>
          </cell>
          <cell r="I645">
            <v>46097</v>
          </cell>
        </row>
        <row r="646">
          <cell r="D646">
            <v>110001283990</v>
          </cell>
          <cell r="E646" t="str">
            <v>500323-C24L6I-PC 0011801172DU</v>
          </cell>
          <cell r="F646">
            <v>350</v>
          </cell>
          <cell r="H646">
            <v>46094</v>
          </cell>
          <cell r="I646">
            <v>46095</v>
          </cell>
        </row>
        <row r="647">
          <cell r="D647">
            <v>110001285751</v>
          </cell>
          <cell r="E647" t="str">
            <v>693-C2161A-O2(0190400223)</v>
          </cell>
          <cell r="F647">
            <v>200</v>
          </cell>
          <cell r="G647" t="str">
            <v>马佳佩</v>
          </cell>
          <cell r="H647">
            <v>46090</v>
          </cell>
          <cell r="I647">
            <v>46091</v>
          </cell>
        </row>
        <row r="648">
          <cell r="D648">
            <v>110001285752</v>
          </cell>
          <cell r="E648" t="str">
            <v>693-A2210E-PC 0011801372B</v>
          </cell>
          <cell r="F648">
            <v>110</v>
          </cell>
          <cell r="G648" t="str">
            <v>肖如如</v>
          </cell>
          <cell r="H648">
            <v>46098</v>
          </cell>
          <cell r="I648">
            <v>46099</v>
          </cell>
        </row>
        <row r="649">
          <cell r="D649">
            <v>110001285753</v>
          </cell>
          <cell r="E649" t="str">
            <v>693-A2210E-PC 0011801372B</v>
          </cell>
          <cell r="F649">
            <v>110</v>
          </cell>
          <cell r="H649">
            <v>46096</v>
          </cell>
          <cell r="I649">
            <v>46097</v>
          </cell>
        </row>
        <row r="650">
          <cell r="D650">
            <v>110001285754</v>
          </cell>
          <cell r="E650" t="str">
            <v>693-C2256E-PC 0011801123J</v>
          </cell>
          <cell r="F650">
            <v>1000</v>
          </cell>
          <cell r="G650" t="str">
            <v>肖如如</v>
          </cell>
          <cell r="H650">
            <v>46098</v>
          </cell>
          <cell r="I650">
            <v>46099</v>
          </cell>
        </row>
        <row r="651">
          <cell r="D651">
            <v>110001285755</v>
          </cell>
          <cell r="E651" t="str">
            <v>693-C2256E-PC 0011801123J</v>
          </cell>
          <cell r="F651">
            <v>1000</v>
          </cell>
          <cell r="H651">
            <v>46096</v>
          </cell>
          <cell r="I651">
            <v>46097</v>
          </cell>
        </row>
        <row r="652">
          <cell r="D652">
            <v>110001285756</v>
          </cell>
          <cell r="E652" t="str">
            <v>693-C23B7A-PC 0151800228CA</v>
          </cell>
          <cell r="F652">
            <v>500</v>
          </cell>
          <cell r="G652" t="str">
            <v>马佳佩</v>
          </cell>
          <cell r="H652">
            <v>46098</v>
          </cell>
          <cell r="I652">
            <v>46099</v>
          </cell>
        </row>
        <row r="653">
          <cell r="D653">
            <v>110001285757</v>
          </cell>
          <cell r="E653" t="str">
            <v>693-C23B7A-PC 0151800228CA</v>
          </cell>
          <cell r="F653">
            <v>500</v>
          </cell>
          <cell r="H653">
            <v>46096</v>
          </cell>
          <cell r="I653">
            <v>46097</v>
          </cell>
        </row>
        <row r="654">
          <cell r="D654">
            <v>110001285758</v>
          </cell>
          <cell r="E654" t="str">
            <v>693-C2371A-D 0190400377</v>
          </cell>
          <cell r="F654">
            <v>2900</v>
          </cell>
          <cell r="G654" t="str">
            <v>马佳佩</v>
          </cell>
          <cell r="H654">
            <v>46094</v>
          </cell>
          <cell r="I654">
            <v>46095</v>
          </cell>
        </row>
        <row r="655">
          <cell r="D655">
            <v>110001285759</v>
          </cell>
          <cell r="E655" t="str">
            <v>693-C2371A-D 0190400377</v>
          </cell>
          <cell r="F655">
            <v>2900</v>
          </cell>
          <cell r="H655">
            <v>46092</v>
          </cell>
          <cell r="I655">
            <v>46093</v>
          </cell>
        </row>
        <row r="656">
          <cell r="D656">
            <v>110001285760</v>
          </cell>
          <cell r="E656" t="str">
            <v>693-B23G7D-PC  0011801048AH</v>
          </cell>
          <cell r="F656">
            <v>200</v>
          </cell>
          <cell r="G656" t="str">
            <v>肖如如</v>
          </cell>
          <cell r="H656">
            <v>46098</v>
          </cell>
          <cell r="I656">
            <v>46099</v>
          </cell>
        </row>
        <row r="657">
          <cell r="D657">
            <v>110001285761</v>
          </cell>
          <cell r="E657" t="str">
            <v>693-B23G7D-PC 0011801048AH</v>
          </cell>
          <cell r="F657">
            <v>200</v>
          </cell>
          <cell r="H657">
            <v>46096</v>
          </cell>
          <cell r="I657">
            <v>46097</v>
          </cell>
        </row>
        <row r="658">
          <cell r="D658">
            <v>110001285762</v>
          </cell>
          <cell r="E658" t="str">
            <v>693-C2331B-PC 0011801593A</v>
          </cell>
          <cell r="F658">
            <v>500</v>
          </cell>
          <cell r="G658" t="str">
            <v>肖如如</v>
          </cell>
          <cell r="H658">
            <v>46096</v>
          </cell>
          <cell r="I658">
            <v>46097</v>
          </cell>
        </row>
        <row r="659">
          <cell r="D659">
            <v>110001285763</v>
          </cell>
          <cell r="E659" t="str">
            <v>693-C2331B-PC 0011801593A</v>
          </cell>
          <cell r="F659">
            <v>500</v>
          </cell>
          <cell r="H659">
            <v>46094</v>
          </cell>
          <cell r="I659">
            <v>46095</v>
          </cell>
        </row>
        <row r="660">
          <cell r="D660">
            <v>110001285764</v>
          </cell>
          <cell r="E660" t="str">
            <v>693-C2595A-D G0044 0021800866</v>
          </cell>
          <cell r="F660">
            <v>2000</v>
          </cell>
          <cell r="G660" t="str">
            <v>高文慧</v>
          </cell>
          <cell r="H660">
            <v>46095</v>
          </cell>
          <cell r="I660">
            <v>46096</v>
          </cell>
        </row>
        <row r="661">
          <cell r="D661">
            <v>110001285765</v>
          </cell>
          <cell r="E661" t="str">
            <v>693-C2595A-D 0021800866</v>
          </cell>
          <cell r="F661">
            <v>2000</v>
          </cell>
          <cell r="H661">
            <v>46093</v>
          </cell>
          <cell r="I661">
            <v>46094</v>
          </cell>
        </row>
        <row r="662">
          <cell r="D662">
            <v>110001285766</v>
          </cell>
          <cell r="E662" t="str">
            <v>693-B2548E-PC G0044 0011801922F</v>
          </cell>
          <cell r="F662">
            <v>5000</v>
          </cell>
          <cell r="G662" t="str">
            <v>肖如如</v>
          </cell>
          <cell r="H662">
            <v>46098</v>
          </cell>
          <cell r="I662">
            <v>46099</v>
          </cell>
        </row>
        <row r="663">
          <cell r="D663">
            <v>110001285767</v>
          </cell>
          <cell r="E663" t="str">
            <v>693-B2548E-PC 0011801922F</v>
          </cell>
          <cell r="F663">
            <v>5000</v>
          </cell>
          <cell r="H663">
            <v>46096</v>
          </cell>
          <cell r="I663">
            <v>46097</v>
          </cell>
        </row>
        <row r="664">
          <cell r="D664">
            <v>880000116712</v>
          </cell>
          <cell r="E664" t="str">
            <v>693-C2588A-PC G0044 0151801031G</v>
          </cell>
          <cell r="F664">
            <v>100</v>
          </cell>
          <cell r="H664">
            <v>46094</v>
          </cell>
          <cell r="I664">
            <v>46095</v>
          </cell>
        </row>
        <row r="665">
          <cell r="D665">
            <v>880000116713</v>
          </cell>
          <cell r="E665" t="str">
            <v>693-C2588A-PC 0151801031G</v>
          </cell>
          <cell r="F665">
            <v>100</v>
          </cell>
          <cell r="H665">
            <v>46092</v>
          </cell>
          <cell r="I665">
            <v>46093</v>
          </cell>
        </row>
        <row r="666">
          <cell r="D666">
            <v>880000116716</v>
          </cell>
          <cell r="E666" t="str">
            <v>693-C25A1A-PC G0044 0151801031FA</v>
          </cell>
          <cell r="F666">
            <v>100</v>
          </cell>
          <cell r="H666">
            <v>46094</v>
          </cell>
          <cell r="I666">
            <v>46095</v>
          </cell>
        </row>
        <row r="667">
          <cell r="D667">
            <v>880000116717</v>
          </cell>
          <cell r="E667" t="str">
            <v>693-C25A1A-PC 0151801031FA</v>
          </cell>
          <cell r="F667">
            <v>100</v>
          </cell>
          <cell r="H667">
            <v>46092</v>
          </cell>
          <cell r="I667">
            <v>46093</v>
          </cell>
        </row>
        <row r="668">
          <cell r="D668">
            <v>880000116908</v>
          </cell>
          <cell r="E668" t="str">
            <v>500493-B2502A-PC 2467797</v>
          </cell>
          <cell r="F668">
            <v>100</v>
          </cell>
          <cell r="H668">
            <v>46093</v>
          </cell>
          <cell r="I668">
            <v>46094</v>
          </cell>
        </row>
        <row r="669">
          <cell r="D669">
            <v>880000116909</v>
          </cell>
          <cell r="E669" t="str">
            <v>500493-B2502A-PC 2467797</v>
          </cell>
          <cell r="F669">
            <v>100</v>
          </cell>
          <cell r="H669">
            <v>46091</v>
          </cell>
          <cell r="I669">
            <v>46092</v>
          </cell>
        </row>
        <row r="670">
          <cell r="D670">
            <v>880000117475</v>
          </cell>
          <cell r="E670" t="str">
            <v>693-C2558A-PC G0044 0011801907</v>
          </cell>
          <cell r="F670">
            <v>200</v>
          </cell>
          <cell r="H670">
            <v>46088</v>
          </cell>
          <cell r="I670">
            <v>46089</v>
          </cell>
        </row>
        <row r="671">
          <cell r="D671">
            <v>880000117476</v>
          </cell>
          <cell r="E671" t="str">
            <v>693-C2558A-PC 0011801907</v>
          </cell>
          <cell r="F671">
            <v>200</v>
          </cell>
          <cell r="H671">
            <v>46087</v>
          </cell>
          <cell r="I671">
            <v>46087</v>
          </cell>
        </row>
        <row r="672">
          <cell r="D672">
            <v>880000118374</v>
          </cell>
          <cell r="E672" t="str">
            <v>693-C2596B-D G0044 0041801949A</v>
          </cell>
          <cell r="F672">
            <v>200</v>
          </cell>
          <cell r="H672">
            <v>46089</v>
          </cell>
          <cell r="I672">
            <v>46090</v>
          </cell>
        </row>
        <row r="673">
          <cell r="D673">
            <v>880000118375</v>
          </cell>
          <cell r="E673" t="str">
            <v>693-C2596B-D 0041801949A</v>
          </cell>
          <cell r="F673">
            <v>200</v>
          </cell>
          <cell r="H673">
            <v>46087</v>
          </cell>
          <cell r="I673">
            <v>46088</v>
          </cell>
        </row>
        <row r="674">
          <cell r="D674">
            <v>880000118376</v>
          </cell>
          <cell r="E674" t="str">
            <v>693-C2596C-D G0044 0041801949AA</v>
          </cell>
          <cell r="F674">
            <v>200</v>
          </cell>
          <cell r="H674">
            <v>46089</v>
          </cell>
          <cell r="I674">
            <v>46090</v>
          </cell>
        </row>
        <row r="675">
          <cell r="D675">
            <v>880000118377</v>
          </cell>
          <cell r="E675" t="str">
            <v>693-C2596C-D 0041801949AA</v>
          </cell>
          <cell r="F675">
            <v>200</v>
          </cell>
          <cell r="H675">
            <v>46087</v>
          </cell>
          <cell r="I675">
            <v>46088</v>
          </cell>
        </row>
        <row r="676">
          <cell r="D676">
            <v>880000118378</v>
          </cell>
          <cell r="E676" t="str">
            <v>693-C2596D-D G0044 0041801949AC</v>
          </cell>
          <cell r="F676">
            <v>200</v>
          </cell>
          <cell r="H676">
            <v>46089</v>
          </cell>
          <cell r="I676">
            <v>46090</v>
          </cell>
        </row>
        <row r="677">
          <cell r="D677">
            <v>880000118379</v>
          </cell>
          <cell r="E677" t="str">
            <v>693-C2596D-D 0041801949AC</v>
          </cell>
          <cell r="F677">
            <v>200</v>
          </cell>
          <cell r="H677">
            <v>46087</v>
          </cell>
          <cell r="I677">
            <v>46088</v>
          </cell>
        </row>
        <row r="678">
          <cell r="D678">
            <v>880000118534</v>
          </cell>
          <cell r="E678" t="str">
            <v>501851-A2513A-D G0384 612101020027</v>
          </cell>
          <cell r="F678">
            <v>200</v>
          </cell>
          <cell r="H678">
            <v>46088</v>
          </cell>
          <cell r="I678">
            <v>46089</v>
          </cell>
        </row>
        <row r="679">
          <cell r="D679">
            <v>880000118535</v>
          </cell>
          <cell r="E679" t="str">
            <v>501851-A2513A-D 612101020027</v>
          </cell>
          <cell r="F679">
            <v>200</v>
          </cell>
          <cell r="H679">
            <v>46087</v>
          </cell>
          <cell r="I679">
            <v>46087</v>
          </cell>
        </row>
        <row r="680">
          <cell r="D680">
            <v>880000118536</v>
          </cell>
          <cell r="E680" t="str">
            <v>501851-A2514A-D G0384 612101020026</v>
          </cell>
          <cell r="F680">
            <v>300</v>
          </cell>
          <cell r="H680">
            <v>46088</v>
          </cell>
          <cell r="I680">
            <v>46089</v>
          </cell>
        </row>
        <row r="681">
          <cell r="D681">
            <v>880000118537</v>
          </cell>
          <cell r="E681" t="str">
            <v>501851-A2514A-D 612101020026</v>
          </cell>
          <cell r="F681">
            <v>300</v>
          </cell>
          <cell r="H681">
            <v>46087</v>
          </cell>
          <cell r="I681">
            <v>46087</v>
          </cell>
        </row>
        <row r="682">
          <cell r="D682">
            <v>880000118626</v>
          </cell>
          <cell r="E682" t="str">
            <v>500323-C24L6I-PC G0044 0011801172DU</v>
          </cell>
          <cell r="F682">
            <v>200</v>
          </cell>
          <cell r="H682">
            <v>46089</v>
          </cell>
          <cell r="I682">
            <v>46090</v>
          </cell>
        </row>
        <row r="683">
          <cell r="D683">
            <v>880000118627</v>
          </cell>
          <cell r="E683" t="str">
            <v>500323-C24L6I-PC 0011801172DU</v>
          </cell>
          <cell r="F683">
            <v>200</v>
          </cell>
          <cell r="H683">
            <v>46087</v>
          </cell>
          <cell r="I683">
            <v>46088</v>
          </cell>
        </row>
        <row r="684">
          <cell r="D684">
            <v>880000118642</v>
          </cell>
          <cell r="E684" t="str">
            <v>600766-A2505C-PC G0044 0011801843J</v>
          </cell>
          <cell r="F684">
            <v>200</v>
          </cell>
          <cell r="H684">
            <v>46100</v>
          </cell>
          <cell r="I684">
            <v>46101</v>
          </cell>
        </row>
        <row r="685">
          <cell r="D685">
            <v>880000118643</v>
          </cell>
          <cell r="E685" t="str">
            <v>600766-A2505C-PC 0011801843J</v>
          </cell>
          <cell r="F685">
            <v>200</v>
          </cell>
          <cell r="H685">
            <v>46098</v>
          </cell>
          <cell r="I685">
            <v>46099</v>
          </cell>
        </row>
        <row r="686">
          <cell r="D686">
            <v>880000118719</v>
          </cell>
          <cell r="E686" t="str">
            <v>693-C2596E-D G0044 0041801949AB</v>
          </cell>
          <cell r="F686">
            <v>200</v>
          </cell>
          <cell r="H686">
            <v>46097</v>
          </cell>
          <cell r="I686">
            <v>46098</v>
          </cell>
        </row>
        <row r="687">
          <cell r="D687">
            <v>880000118720</v>
          </cell>
          <cell r="E687" t="str">
            <v>693-C2596E-D 0041801949AB</v>
          </cell>
          <cell r="F687">
            <v>200</v>
          </cell>
          <cell r="H687">
            <v>46095</v>
          </cell>
          <cell r="I687">
            <v>46096</v>
          </cell>
        </row>
        <row r="688">
          <cell r="D688">
            <v>880000118741</v>
          </cell>
          <cell r="E688" t="str">
            <v>693-B2548E-PC G0044 0011801922F</v>
          </cell>
          <cell r="F688">
            <v>200</v>
          </cell>
          <cell r="H688">
            <v>46098</v>
          </cell>
          <cell r="I688">
            <v>46099</v>
          </cell>
        </row>
        <row r="689">
          <cell r="D689">
            <v>880000118742</v>
          </cell>
          <cell r="E689" t="str">
            <v>693-B2548E-PC 0011801922F</v>
          </cell>
          <cell r="F689">
            <v>200</v>
          </cell>
          <cell r="H689">
            <v>46096</v>
          </cell>
          <cell r="I689">
            <v>46097</v>
          </cell>
        </row>
        <row r="690">
          <cell r="D690">
            <v>880000118818</v>
          </cell>
          <cell r="E690" t="str">
            <v>2189-B2507E G0020 20206798</v>
          </cell>
          <cell r="F690">
            <v>100</v>
          </cell>
          <cell r="H690">
            <v>46096</v>
          </cell>
          <cell r="I690">
            <v>46097</v>
          </cell>
        </row>
        <row r="691">
          <cell r="D691">
            <v>880000118819</v>
          </cell>
          <cell r="E691" t="str">
            <v>2189-B2507E-D 20206798</v>
          </cell>
          <cell r="F691">
            <v>100</v>
          </cell>
          <cell r="H691">
            <v>46096</v>
          </cell>
          <cell r="I691">
            <v>46097</v>
          </cell>
        </row>
        <row r="692">
          <cell r="D692">
            <v>880000118820</v>
          </cell>
          <cell r="E692" t="str">
            <v>2189-B2507E-D 20206798</v>
          </cell>
          <cell r="F692">
            <v>100</v>
          </cell>
          <cell r="H692">
            <v>46094</v>
          </cell>
          <cell r="I692">
            <v>46095</v>
          </cell>
        </row>
        <row r="693">
          <cell r="D693">
            <v>880000118821</v>
          </cell>
          <cell r="E693" t="str">
            <v>2189-B2507I G0020 20224800</v>
          </cell>
          <cell r="F693">
            <v>100</v>
          </cell>
          <cell r="H693">
            <v>46096</v>
          </cell>
          <cell r="I693">
            <v>46097</v>
          </cell>
        </row>
        <row r="694">
          <cell r="D694">
            <v>880000118822</v>
          </cell>
          <cell r="E694" t="str">
            <v>2189-B2507I-D 20224800</v>
          </cell>
          <cell r="F694">
            <v>100</v>
          </cell>
          <cell r="H694">
            <v>46096</v>
          </cell>
          <cell r="I694">
            <v>46097</v>
          </cell>
        </row>
        <row r="695">
          <cell r="D695">
            <v>880000118823</v>
          </cell>
          <cell r="E695" t="str">
            <v>2189-B2507I-D 20224800</v>
          </cell>
          <cell r="F695">
            <v>100</v>
          </cell>
          <cell r="H695">
            <v>46094</v>
          </cell>
          <cell r="I695">
            <v>46095</v>
          </cell>
        </row>
        <row r="696">
          <cell r="D696">
            <v>880000118966</v>
          </cell>
          <cell r="E696" t="str">
            <v>693-C25A5A-PC G0044 0151801031FB</v>
          </cell>
          <cell r="F696">
            <v>50</v>
          </cell>
          <cell r="H696">
            <v>46090</v>
          </cell>
          <cell r="I696">
            <v>46091</v>
          </cell>
        </row>
        <row r="697">
          <cell r="D697">
            <v>880000118967</v>
          </cell>
          <cell r="E697" t="str">
            <v>693-C25A5A-PC 0151801031FB</v>
          </cell>
          <cell r="F697">
            <v>50</v>
          </cell>
          <cell r="H697">
            <v>46088</v>
          </cell>
          <cell r="I697">
            <v>46089</v>
          </cell>
        </row>
        <row r="698">
          <cell r="D698">
            <v>880000118968</v>
          </cell>
          <cell r="E698" t="str">
            <v>2189-B2505Z G0020 20217734</v>
          </cell>
          <cell r="F698">
            <v>100</v>
          </cell>
          <cell r="H698">
            <v>46096</v>
          </cell>
          <cell r="I698">
            <v>46097</v>
          </cell>
        </row>
        <row r="699">
          <cell r="D699">
            <v>880000118969</v>
          </cell>
          <cell r="E699" t="str">
            <v>2189-B2505A-KN 2489739</v>
          </cell>
          <cell r="F699">
            <v>100</v>
          </cell>
          <cell r="H699">
            <v>46096</v>
          </cell>
          <cell r="I699">
            <v>46097</v>
          </cell>
        </row>
        <row r="700">
          <cell r="D700">
            <v>880000118970</v>
          </cell>
          <cell r="E700" t="str">
            <v>2189-B2505Z-D 20217734</v>
          </cell>
          <cell r="F700">
            <v>100</v>
          </cell>
          <cell r="H700">
            <v>46096</v>
          </cell>
          <cell r="I700">
            <v>46097</v>
          </cell>
        </row>
        <row r="701">
          <cell r="D701">
            <v>880000118971</v>
          </cell>
          <cell r="E701" t="str">
            <v>2189-B2505Z-D 20217734</v>
          </cell>
          <cell r="F701">
            <v>100</v>
          </cell>
          <cell r="H701">
            <v>46094</v>
          </cell>
          <cell r="I701">
            <v>46095</v>
          </cell>
        </row>
        <row r="702">
          <cell r="D702">
            <v>880000119009</v>
          </cell>
          <cell r="E702" t="str">
            <v>2189-B2507F G0020 20224797</v>
          </cell>
          <cell r="F702">
            <v>100</v>
          </cell>
          <cell r="H702">
            <v>46096</v>
          </cell>
          <cell r="I702">
            <v>46097</v>
          </cell>
        </row>
        <row r="703">
          <cell r="D703">
            <v>880000119010</v>
          </cell>
          <cell r="E703" t="str">
            <v>2189-B2507F-D 20224797</v>
          </cell>
          <cell r="F703">
            <v>100</v>
          </cell>
          <cell r="H703">
            <v>46096</v>
          </cell>
          <cell r="I703">
            <v>46097</v>
          </cell>
        </row>
        <row r="704">
          <cell r="D704">
            <v>880000119011</v>
          </cell>
          <cell r="E704" t="str">
            <v>2189-B2507F-D 20224797</v>
          </cell>
          <cell r="F704">
            <v>100</v>
          </cell>
          <cell r="H704">
            <v>46094</v>
          </cell>
          <cell r="I704">
            <v>46095</v>
          </cell>
        </row>
        <row r="705">
          <cell r="D705">
            <v>880000119020</v>
          </cell>
          <cell r="E705" t="str">
            <v>693-C2534G-PC G0044 0011801843Y</v>
          </cell>
          <cell r="F705">
            <v>200</v>
          </cell>
          <cell r="H705">
            <v>46089</v>
          </cell>
          <cell r="I705">
            <v>46090</v>
          </cell>
        </row>
        <row r="706">
          <cell r="D706">
            <v>880000119021</v>
          </cell>
          <cell r="E706" t="str">
            <v>693-C2534G-PC 0011801843Y</v>
          </cell>
          <cell r="F706">
            <v>200</v>
          </cell>
          <cell r="H706">
            <v>46087</v>
          </cell>
          <cell r="I706">
            <v>46088</v>
          </cell>
        </row>
        <row r="707">
          <cell r="D707">
            <v>110001242734</v>
          </cell>
          <cell r="E707" t="str">
            <v>201-A2381B-X HLP5602-GWM(天青墨)</v>
          </cell>
          <cell r="F707">
            <v>321</v>
          </cell>
          <cell r="H707">
            <v>46087</v>
          </cell>
          <cell r="I707">
            <v>46088</v>
          </cell>
        </row>
        <row r="708">
          <cell r="D708">
            <v>110001242735</v>
          </cell>
          <cell r="E708" t="str">
            <v>201-A2378A-O HLP5602-GWM.01</v>
          </cell>
          <cell r="F708">
            <v>321</v>
          </cell>
          <cell r="H708">
            <v>46087</v>
          </cell>
          <cell r="I708">
            <v>46088</v>
          </cell>
        </row>
        <row r="709">
          <cell r="D709">
            <v>110001242736</v>
          </cell>
          <cell r="E709" t="str">
            <v>201-A2379B-X 7S5602(天青墨)</v>
          </cell>
          <cell r="F709">
            <v>321</v>
          </cell>
          <cell r="H709">
            <v>46087</v>
          </cell>
          <cell r="I709">
            <v>46088</v>
          </cell>
        </row>
        <row r="710">
          <cell r="D710">
            <v>110001242737</v>
          </cell>
          <cell r="E710" t="str">
            <v>201-A2378A-O HLP5602-GWM.01</v>
          </cell>
          <cell r="F710">
            <v>321</v>
          </cell>
          <cell r="H710">
            <v>46087</v>
          </cell>
          <cell r="I710">
            <v>46086</v>
          </cell>
        </row>
        <row r="711">
          <cell r="D711">
            <v>110001242738</v>
          </cell>
          <cell r="E711" t="str">
            <v>201-A2379B-X 7S5602(天青墨)</v>
          </cell>
          <cell r="F711">
            <v>321</v>
          </cell>
          <cell r="H711">
            <v>46087</v>
          </cell>
          <cell r="I711">
            <v>46086</v>
          </cell>
        </row>
        <row r="712">
          <cell r="D712">
            <v>110001242776</v>
          </cell>
          <cell r="E712" t="str">
            <v>500269-C2401A-X 2399506 天青墨</v>
          </cell>
          <cell r="F712">
            <v>200</v>
          </cell>
          <cell r="H712">
            <v>46099</v>
          </cell>
          <cell r="I712">
            <v>46100</v>
          </cell>
        </row>
        <row r="713">
          <cell r="D713">
            <v>110001242777</v>
          </cell>
          <cell r="E713" t="str">
            <v>500269-C2403A-X 2399506</v>
          </cell>
          <cell r="F713">
            <v>200</v>
          </cell>
          <cell r="H713">
            <v>46099</v>
          </cell>
          <cell r="I713">
            <v>46100</v>
          </cell>
        </row>
        <row r="714">
          <cell r="D714">
            <v>110001242778</v>
          </cell>
          <cell r="E714" t="str">
            <v>500269-C2404A-O 2399506</v>
          </cell>
          <cell r="F714">
            <v>200</v>
          </cell>
          <cell r="H714">
            <v>46099</v>
          </cell>
          <cell r="I714">
            <v>46100</v>
          </cell>
        </row>
        <row r="715">
          <cell r="D715">
            <v>110001242779</v>
          </cell>
          <cell r="E715" t="str">
            <v>500269-C2403A-X 2399506</v>
          </cell>
          <cell r="F715">
            <v>200</v>
          </cell>
          <cell r="H715">
            <v>46097</v>
          </cell>
          <cell r="I715">
            <v>46098</v>
          </cell>
        </row>
        <row r="716">
          <cell r="D716">
            <v>110001242780</v>
          </cell>
          <cell r="E716" t="str">
            <v>500269-C2404A-O 2399506</v>
          </cell>
          <cell r="F716">
            <v>200</v>
          </cell>
          <cell r="H716">
            <v>46097</v>
          </cell>
          <cell r="I716">
            <v>46098</v>
          </cell>
        </row>
        <row r="717">
          <cell r="D717">
            <v>110001242812</v>
          </cell>
          <cell r="E717" t="str">
            <v>1886-C2515A-X G0020 3677802 BCD-600W 屏显&amp;</v>
          </cell>
          <cell r="F717">
            <v>1500</v>
          </cell>
          <cell r="H717">
            <v>46098</v>
          </cell>
          <cell r="I717">
            <v>46099</v>
          </cell>
        </row>
        <row r="718">
          <cell r="D718">
            <v>110001242813</v>
          </cell>
          <cell r="E718" t="str">
            <v>1886-C2515A-X 3677802 BCD-600W 屏显组件</v>
          </cell>
          <cell r="F718">
            <v>1500</v>
          </cell>
          <cell r="H718">
            <v>46096</v>
          </cell>
          <cell r="I718">
            <v>46097</v>
          </cell>
        </row>
        <row r="719">
          <cell r="D719">
            <v>110001250095</v>
          </cell>
          <cell r="E719" t="str">
            <v>1886-C2512A G0020 20116662 干衣机面板</v>
          </cell>
          <cell r="F719">
            <v>350</v>
          </cell>
          <cell r="H719">
            <v>46092</v>
          </cell>
          <cell r="I719">
            <v>46093</v>
          </cell>
        </row>
        <row r="720">
          <cell r="D720">
            <v>110001250096</v>
          </cell>
          <cell r="E720" t="str">
            <v>1886-C2512A-X 20116662 干衣机通用板</v>
          </cell>
          <cell r="F720">
            <v>350</v>
          </cell>
          <cell r="H720">
            <v>46092</v>
          </cell>
          <cell r="I720">
            <v>46093</v>
          </cell>
        </row>
        <row r="721">
          <cell r="D721">
            <v>110001250097</v>
          </cell>
          <cell r="E721" t="str">
            <v>1886-C2512A-K 干洗衣机按键旋钮板</v>
          </cell>
          <cell r="F721">
            <v>350</v>
          </cell>
          <cell r="H721">
            <v>46092</v>
          </cell>
          <cell r="I721">
            <v>46093</v>
          </cell>
        </row>
        <row r="722">
          <cell r="D722">
            <v>110001250098</v>
          </cell>
          <cell r="E722" t="str">
            <v>1886-C2512A-X 20116662 干衣机通用板</v>
          </cell>
          <cell r="F722">
            <v>350</v>
          </cell>
          <cell r="H722">
            <v>46090</v>
          </cell>
          <cell r="I722">
            <v>46091</v>
          </cell>
        </row>
        <row r="723">
          <cell r="D723">
            <v>110001250099</v>
          </cell>
          <cell r="E723" t="str">
            <v>201-A2412A-X DMIC-70-02-001</v>
          </cell>
          <cell r="F723">
            <v>350</v>
          </cell>
          <cell r="H723">
            <v>46090</v>
          </cell>
          <cell r="I723">
            <v>46091</v>
          </cell>
        </row>
        <row r="724">
          <cell r="D724">
            <v>110001263159</v>
          </cell>
          <cell r="E724" t="str">
            <v>697-C2504A G0020 1235820 H7A09158D/PV22&amp;</v>
          </cell>
          <cell r="F724">
            <v>2000</v>
          </cell>
          <cell r="H724">
            <v>46096</v>
          </cell>
          <cell r="I724">
            <v>46097</v>
          </cell>
        </row>
        <row r="725">
          <cell r="D725">
            <v>110001263160</v>
          </cell>
          <cell r="E725" t="str">
            <v>697-C2504A-DRV H7A09502A/PV2229H</v>
          </cell>
          <cell r="F725">
            <v>2000</v>
          </cell>
          <cell r="H725">
            <v>46096</v>
          </cell>
          <cell r="I725">
            <v>46097</v>
          </cell>
        </row>
        <row r="726">
          <cell r="D726">
            <v>110001263161</v>
          </cell>
          <cell r="E726" t="str">
            <v>697-C2504A-DRV H7A09502A/PV2229H</v>
          </cell>
          <cell r="F726">
            <v>2000</v>
          </cell>
          <cell r="H726">
            <v>46096</v>
          </cell>
          <cell r="I726">
            <v>46097</v>
          </cell>
        </row>
        <row r="727">
          <cell r="D727">
            <v>110001263162</v>
          </cell>
          <cell r="E727" t="str">
            <v>697-C2504A-C H7A09528A/PE2306H</v>
          </cell>
          <cell r="F727">
            <v>2000</v>
          </cell>
          <cell r="H727">
            <v>46094</v>
          </cell>
          <cell r="I727">
            <v>46095</v>
          </cell>
        </row>
        <row r="728">
          <cell r="D728">
            <v>110001263163</v>
          </cell>
          <cell r="E728" t="str">
            <v>697-C2504A-C H7A09528A/PE2306H</v>
          </cell>
          <cell r="F728">
            <v>2000</v>
          </cell>
          <cell r="H728">
            <v>46094</v>
          </cell>
          <cell r="I728">
            <v>46095</v>
          </cell>
        </row>
        <row r="729">
          <cell r="D729">
            <v>110001263164</v>
          </cell>
          <cell r="E729" t="str">
            <v>697-C2503C G0020 1235823 H7A09529D/PV22&amp;</v>
          </cell>
          <cell r="F729">
            <v>900</v>
          </cell>
          <cell r="H729">
            <v>46101</v>
          </cell>
          <cell r="I729">
            <v>46102</v>
          </cell>
        </row>
        <row r="730">
          <cell r="D730">
            <v>110001263165</v>
          </cell>
          <cell r="E730" t="str">
            <v>697-C2503C-DRV H7A09502C/PV2229Q</v>
          </cell>
          <cell r="F730">
            <v>900</v>
          </cell>
          <cell r="H730">
            <v>46101</v>
          </cell>
          <cell r="I730">
            <v>46102</v>
          </cell>
        </row>
        <row r="731">
          <cell r="D731">
            <v>110001263166</v>
          </cell>
          <cell r="E731" t="str">
            <v>500268-C2501A-C H7A09528C PE2306Q</v>
          </cell>
          <cell r="F731">
            <v>900</v>
          </cell>
          <cell r="H731">
            <v>46101</v>
          </cell>
          <cell r="I731">
            <v>46102</v>
          </cell>
        </row>
        <row r="732">
          <cell r="D732">
            <v>110001263167</v>
          </cell>
          <cell r="E732" t="str">
            <v>697-C2503C-DRV H7A09502C/PV2229Q</v>
          </cell>
          <cell r="F732">
            <v>900</v>
          </cell>
          <cell r="H732">
            <v>46099</v>
          </cell>
          <cell r="I732">
            <v>46100</v>
          </cell>
        </row>
        <row r="733">
          <cell r="D733">
            <v>110001263168</v>
          </cell>
          <cell r="E733" t="str">
            <v>500268-C2501A-C H7A09528C PE2306Q</v>
          </cell>
          <cell r="F733">
            <v>900</v>
          </cell>
          <cell r="H733">
            <v>46099</v>
          </cell>
          <cell r="I733">
            <v>46100</v>
          </cell>
        </row>
        <row r="734">
          <cell r="D734">
            <v>110001263169</v>
          </cell>
          <cell r="E734" t="str">
            <v>697-C2504B G0020 1201684 H7A09158A/PV22&amp;</v>
          </cell>
          <cell r="F734">
            <v>700</v>
          </cell>
          <cell r="H734">
            <v>46091</v>
          </cell>
          <cell r="I734">
            <v>46092</v>
          </cell>
        </row>
        <row r="735">
          <cell r="D735">
            <v>110001263170</v>
          </cell>
          <cell r="E735" t="str">
            <v>697-C2504B-DRV H7A09502A/PV2229H</v>
          </cell>
          <cell r="F735">
            <v>700</v>
          </cell>
          <cell r="H735">
            <v>46091</v>
          </cell>
          <cell r="I735">
            <v>46092</v>
          </cell>
        </row>
        <row r="736">
          <cell r="D736">
            <v>110001263171</v>
          </cell>
          <cell r="E736" t="str">
            <v>697-C2504A-C H7A09528A/PE2306H</v>
          </cell>
          <cell r="F736">
            <v>700</v>
          </cell>
          <cell r="H736">
            <v>46091</v>
          </cell>
          <cell r="I736">
            <v>46092</v>
          </cell>
        </row>
        <row r="737">
          <cell r="D737">
            <v>110001263172</v>
          </cell>
          <cell r="E737" t="str">
            <v>697-C2504B-DRV H7A09502A/PV2229H</v>
          </cell>
          <cell r="F737">
            <v>700</v>
          </cell>
          <cell r="H737">
            <v>46089</v>
          </cell>
          <cell r="I737">
            <v>46090</v>
          </cell>
        </row>
        <row r="738">
          <cell r="D738">
            <v>110001263173</v>
          </cell>
          <cell r="E738" t="str">
            <v>697-C2504A-C H7A09528A/PE2306H</v>
          </cell>
          <cell r="F738">
            <v>700</v>
          </cell>
          <cell r="H738">
            <v>46089</v>
          </cell>
          <cell r="I738">
            <v>46090</v>
          </cell>
        </row>
        <row r="739">
          <cell r="D739">
            <v>110001263188</v>
          </cell>
          <cell r="E739" t="str">
            <v>697-C2503E G0020 1220212 H7A09529B/PV22&amp;</v>
          </cell>
          <cell r="F739">
            <v>300</v>
          </cell>
          <cell r="H739">
            <v>46113</v>
          </cell>
          <cell r="I739">
            <v>46114</v>
          </cell>
        </row>
        <row r="740">
          <cell r="D740">
            <v>110001263189</v>
          </cell>
          <cell r="E740" t="str">
            <v>697-C2503E-DRV H7A09502D/PV2229Q</v>
          </cell>
          <cell r="F740">
            <v>300</v>
          </cell>
          <cell r="H740">
            <v>46113</v>
          </cell>
          <cell r="I740">
            <v>46114</v>
          </cell>
        </row>
        <row r="741">
          <cell r="D741">
            <v>110001263190</v>
          </cell>
          <cell r="E741" t="str">
            <v>500268-C2501A-C H7A09528C PE2306Q</v>
          </cell>
          <cell r="F741">
            <v>300</v>
          </cell>
          <cell r="H741">
            <v>46113</v>
          </cell>
          <cell r="I741">
            <v>46114</v>
          </cell>
        </row>
        <row r="742">
          <cell r="D742">
            <v>110001263191</v>
          </cell>
          <cell r="E742" t="str">
            <v>697-C2503E-DRV H7A09502D/PV2229Q</v>
          </cell>
          <cell r="F742">
            <v>300</v>
          </cell>
          <cell r="H742">
            <v>46111</v>
          </cell>
          <cell r="I742">
            <v>46112</v>
          </cell>
        </row>
        <row r="743">
          <cell r="D743">
            <v>110001263192</v>
          </cell>
          <cell r="E743" t="str">
            <v>500268-C2501A-C H7A09528C PE2306Q</v>
          </cell>
          <cell r="F743">
            <v>300</v>
          </cell>
          <cell r="H743">
            <v>46111</v>
          </cell>
          <cell r="I743">
            <v>46112</v>
          </cell>
        </row>
        <row r="744">
          <cell r="D744">
            <v>110001263223</v>
          </cell>
          <cell r="E744" t="str">
            <v>500268-C2501G G0020 1242654 H7A10566C-D&amp;</v>
          </cell>
          <cell r="F744">
            <v>70</v>
          </cell>
          <cell r="H744">
            <v>46113</v>
          </cell>
          <cell r="I744">
            <v>46114</v>
          </cell>
        </row>
        <row r="745">
          <cell r="D745">
            <v>110001263224</v>
          </cell>
          <cell r="E745" t="str">
            <v>500268-C2501G-DRV H7A09502Q/PV2229Y</v>
          </cell>
          <cell r="F745">
            <v>70</v>
          </cell>
          <cell r="H745">
            <v>46113</v>
          </cell>
          <cell r="I745">
            <v>46114</v>
          </cell>
        </row>
        <row r="746">
          <cell r="D746">
            <v>110001263225</v>
          </cell>
          <cell r="E746" t="str">
            <v>500268-C2501A-C H7A09528C PE2306Q</v>
          </cell>
          <cell r="F746">
            <v>70</v>
          </cell>
          <cell r="H746">
            <v>46113</v>
          </cell>
          <cell r="I746">
            <v>46114</v>
          </cell>
        </row>
        <row r="747">
          <cell r="D747">
            <v>110001263226</v>
          </cell>
          <cell r="E747" t="str">
            <v>500268-C2501G-DRV H7A09502Q/PV2229Y</v>
          </cell>
          <cell r="F747">
            <v>70</v>
          </cell>
          <cell r="H747">
            <v>46111</v>
          </cell>
          <cell r="I747">
            <v>46112</v>
          </cell>
        </row>
        <row r="748">
          <cell r="D748">
            <v>110001263227</v>
          </cell>
          <cell r="E748" t="str">
            <v>500268-C2501A-C H7A09528C PE2306Q</v>
          </cell>
          <cell r="F748">
            <v>70</v>
          </cell>
          <cell r="H748">
            <v>46111</v>
          </cell>
          <cell r="I748">
            <v>46112</v>
          </cell>
        </row>
        <row r="749">
          <cell r="D749">
            <v>110001266519</v>
          </cell>
          <cell r="E749" t="str">
            <v>1886-C2512A G0020 20116662 干衣机面板</v>
          </cell>
          <cell r="F749">
            <v>368</v>
          </cell>
          <cell r="H749">
            <v>46095</v>
          </cell>
          <cell r="I749">
            <v>46096</v>
          </cell>
        </row>
        <row r="750">
          <cell r="D750">
            <v>110001266520</v>
          </cell>
          <cell r="E750" t="str">
            <v>1886-C2512A-X 20116662 干衣机通用板</v>
          </cell>
          <cell r="F750">
            <v>368</v>
          </cell>
          <cell r="H750">
            <v>46095</v>
          </cell>
          <cell r="I750">
            <v>46096</v>
          </cell>
        </row>
        <row r="751">
          <cell r="D751">
            <v>110001266541</v>
          </cell>
          <cell r="E751" t="str">
            <v>1886-C2512A-K 干洗衣机按键旋钮板</v>
          </cell>
          <cell r="F751">
            <v>368</v>
          </cell>
          <cell r="H751">
            <v>46095</v>
          </cell>
          <cell r="I751">
            <v>46096</v>
          </cell>
        </row>
        <row r="752">
          <cell r="D752">
            <v>110001266542</v>
          </cell>
          <cell r="E752" t="str">
            <v>1886-C2512A-X 20116662 干衣机通用板</v>
          </cell>
          <cell r="F752">
            <v>368</v>
          </cell>
          <cell r="H752">
            <v>46093</v>
          </cell>
          <cell r="I752">
            <v>46094</v>
          </cell>
        </row>
        <row r="753">
          <cell r="D753">
            <v>110001266543</v>
          </cell>
          <cell r="E753" t="str">
            <v>201-A2412A-X DMIC-70-02-001</v>
          </cell>
          <cell r="F753">
            <v>368</v>
          </cell>
          <cell r="H753">
            <v>46093</v>
          </cell>
          <cell r="I753">
            <v>46094</v>
          </cell>
        </row>
        <row r="754">
          <cell r="D754">
            <v>110001266549</v>
          </cell>
          <cell r="E754" t="str">
            <v>697-C2504A G0020 1235820 H7A09158D/PV22&amp;</v>
          </cell>
          <cell r="F754">
            <v>1200</v>
          </cell>
          <cell r="H754">
            <v>46092</v>
          </cell>
          <cell r="I754">
            <v>46093</v>
          </cell>
        </row>
        <row r="755">
          <cell r="D755">
            <v>110001266550</v>
          </cell>
          <cell r="E755" t="str">
            <v>697-C2504A-DRV H7A09502A/PV2229H</v>
          </cell>
          <cell r="F755">
            <v>1200</v>
          </cell>
          <cell r="H755">
            <v>46092</v>
          </cell>
          <cell r="I755">
            <v>46093</v>
          </cell>
        </row>
        <row r="756">
          <cell r="D756">
            <v>110001266551</v>
          </cell>
          <cell r="E756" t="str">
            <v>697-C2504A-DRV H7A09502A/PV2229H</v>
          </cell>
          <cell r="F756">
            <v>1200</v>
          </cell>
          <cell r="H756">
            <v>46092</v>
          </cell>
          <cell r="I756">
            <v>46093</v>
          </cell>
        </row>
        <row r="757">
          <cell r="D757">
            <v>110001266552</v>
          </cell>
          <cell r="E757" t="str">
            <v>697-C2504A-C H7A09528A/PE2306H</v>
          </cell>
          <cell r="F757">
            <v>1200</v>
          </cell>
          <cell r="H757">
            <v>46090</v>
          </cell>
          <cell r="I757">
            <v>46091</v>
          </cell>
        </row>
        <row r="758">
          <cell r="D758">
            <v>110001266553</v>
          </cell>
          <cell r="E758" t="str">
            <v>697-C2504A-C H7A09528A/PE2306H</v>
          </cell>
          <cell r="F758">
            <v>1200</v>
          </cell>
          <cell r="H758">
            <v>46090</v>
          </cell>
          <cell r="I758">
            <v>46091</v>
          </cell>
        </row>
        <row r="759">
          <cell r="D759">
            <v>110001266564</v>
          </cell>
          <cell r="E759" t="str">
            <v>697-C2503D G0020 1220211 H7A09529A/PV22&amp;</v>
          </cell>
          <cell r="F759">
            <v>1200</v>
          </cell>
          <cell r="H759">
            <v>46094</v>
          </cell>
          <cell r="I759">
            <v>46095</v>
          </cell>
        </row>
        <row r="760">
          <cell r="D760">
            <v>110001266565</v>
          </cell>
          <cell r="E760" t="str">
            <v>697-C2503D-DRV H7A09502C/PV2229Q</v>
          </cell>
          <cell r="F760">
            <v>1200</v>
          </cell>
          <cell r="H760">
            <v>46094</v>
          </cell>
          <cell r="I760">
            <v>46095</v>
          </cell>
        </row>
        <row r="761">
          <cell r="D761">
            <v>110001266566</v>
          </cell>
          <cell r="E761" t="str">
            <v>500268-C2501A-C H7A09528C PE2306Q</v>
          </cell>
          <cell r="F761">
            <v>1200</v>
          </cell>
          <cell r="H761">
            <v>46094</v>
          </cell>
          <cell r="I761">
            <v>46095</v>
          </cell>
        </row>
        <row r="762">
          <cell r="D762">
            <v>110001266567</v>
          </cell>
          <cell r="E762" t="str">
            <v>697-C2503D-DRV H7A09502C/PV2229Q</v>
          </cell>
          <cell r="F762">
            <v>1200</v>
          </cell>
          <cell r="H762">
            <v>46092</v>
          </cell>
          <cell r="I762">
            <v>46093</v>
          </cell>
        </row>
        <row r="763">
          <cell r="D763">
            <v>110001266568</v>
          </cell>
          <cell r="E763" t="str">
            <v>500268-C2501A-C H7A09528C PE2306Q</v>
          </cell>
          <cell r="F763">
            <v>1200</v>
          </cell>
          <cell r="H763">
            <v>46092</v>
          </cell>
          <cell r="I763">
            <v>46093</v>
          </cell>
        </row>
        <row r="764">
          <cell r="D764">
            <v>110001266579</v>
          </cell>
          <cell r="E764" t="str">
            <v>697-B2505A-DRV G0020 H7D39442C-D</v>
          </cell>
          <cell r="F764">
            <v>2090</v>
          </cell>
          <cell r="H764">
            <v>46092</v>
          </cell>
          <cell r="I764">
            <v>46093</v>
          </cell>
        </row>
        <row r="765">
          <cell r="D765">
            <v>110001266580</v>
          </cell>
          <cell r="E765" t="str">
            <v>697-B2505A-DRV H7D39442C-D</v>
          </cell>
          <cell r="F765">
            <v>2090</v>
          </cell>
          <cell r="H765">
            <v>46090</v>
          </cell>
          <cell r="I765">
            <v>46091</v>
          </cell>
        </row>
        <row r="766">
          <cell r="D766">
            <v>110001266581</v>
          </cell>
          <cell r="E766" t="str">
            <v>697-B2505A-DRV G0020 H7D39442C-D</v>
          </cell>
          <cell r="F766">
            <v>3500</v>
          </cell>
          <cell r="H766">
            <v>46100</v>
          </cell>
          <cell r="I766">
            <v>46101</v>
          </cell>
        </row>
        <row r="767">
          <cell r="D767">
            <v>110001266582</v>
          </cell>
          <cell r="E767" t="str">
            <v>697-B2505A-DRV H7D39442C-D</v>
          </cell>
          <cell r="F767">
            <v>3500</v>
          </cell>
          <cell r="H767">
            <v>46098</v>
          </cell>
          <cell r="I767">
            <v>46099</v>
          </cell>
        </row>
        <row r="768">
          <cell r="D768">
            <v>110001266613</v>
          </cell>
          <cell r="E768" t="str">
            <v>500268-C2501B G0020 1250711 H7A10566H-D&amp;</v>
          </cell>
          <cell r="F768">
            <v>150</v>
          </cell>
          <cell r="H768">
            <v>46093</v>
          </cell>
          <cell r="I768">
            <v>46094</v>
          </cell>
        </row>
        <row r="769">
          <cell r="D769">
            <v>110001266614</v>
          </cell>
          <cell r="E769" t="str">
            <v>500268-C2501B-DRV H7A09502V/PV2229Y</v>
          </cell>
          <cell r="F769">
            <v>150</v>
          </cell>
          <cell r="H769">
            <v>46093</v>
          </cell>
          <cell r="I769">
            <v>46094</v>
          </cell>
        </row>
        <row r="770">
          <cell r="D770">
            <v>110001266615</v>
          </cell>
          <cell r="E770" t="str">
            <v>500268-C2501A-C H7A09528C PE2306Q</v>
          </cell>
          <cell r="F770">
            <v>150</v>
          </cell>
          <cell r="H770">
            <v>46093</v>
          </cell>
          <cell r="I770">
            <v>46094</v>
          </cell>
        </row>
        <row r="771">
          <cell r="D771">
            <v>110001266616</v>
          </cell>
          <cell r="E771" t="str">
            <v>500268-C2501B-DRV H7A09502V/PV2229Y</v>
          </cell>
          <cell r="F771">
            <v>150</v>
          </cell>
          <cell r="H771">
            <v>46091</v>
          </cell>
          <cell r="I771">
            <v>46092</v>
          </cell>
        </row>
        <row r="772">
          <cell r="D772">
            <v>110001266617</v>
          </cell>
          <cell r="E772" t="str">
            <v>500268-C2501A-C H7A09528C PE2306Q</v>
          </cell>
          <cell r="F772">
            <v>150</v>
          </cell>
          <cell r="H772">
            <v>46091</v>
          </cell>
          <cell r="I772">
            <v>46092</v>
          </cell>
        </row>
        <row r="773">
          <cell r="D773">
            <v>110001271290</v>
          </cell>
          <cell r="E773" t="str">
            <v>1886-C2512B G0020 20117323 洗衣机面板</v>
          </cell>
          <cell r="F773">
            <v>110</v>
          </cell>
          <cell r="H773">
            <v>46099</v>
          </cell>
          <cell r="I773">
            <v>46100</v>
          </cell>
        </row>
        <row r="774">
          <cell r="D774">
            <v>110001271291</v>
          </cell>
          <cell r="E774" t="str">
            <v>1886-C2512A-K 干洗衣机按键旋钮板</v>
          </cell>
          <cell r="F774">
            <v>110</v>
          </cell>
          <cell r="H774">
            <v>46099</v>
          </cell>
          <cell r="I774">
            <v>46100</v>
          </cell>
        </row>
        <row r="775">
          <cell r="D775">
            <v>110001271292</v>
          </cell>
          <cell r="E775" t="str">
            <v>1886-C2512B-X 20117323 洗衣机通用板</v>
          </cell>
          <cell r="F775">
            <v>110</v>
          </cell>
          <cell r="H775">
            <v>46099</v>
          </cell>
          <cell r="I775">
            <v>46100</v>
          </cell>
        </row>
        <row r="776">
          <cell r="D776">
            <v>110001271293</v>
          </cell>
          <cell r="E776" t="str">
            <v>1886-C2512B-X 20117323 洗衣机通用板</v>
          </cell>
          <cell r="F776">
            <v>110</v>
          </cell>
          <cell r="H776">
            <v>46097</v>
          </cell>
          <cell r="I776">
            <v>46098</v>
          </cell>
        </row>
        <row r="777">
          <cell r="D777">
            <v>110001271294</v>
          </cell>
          <cell r="E777" t="str">
            <v>201-A2412A-X DMIC-70-02-001</v>
          </cell>
          <cell r="F777">
            <v>110</v>
          </cell>
          <cell r="H777">
            <v>46097</v>
          </cell>
          <cell r="I777">
            <v>46098</v>
          </cell>
        </row>
        <row r="778">
          <cell r="D778">
            <v>110001271305</v>
          </cell>
          <cell r="E778" t="str">
            <v>697-C2504B G0020 1201684 H7A09158A/PV22&amp;</v>
          </cell>
          <cell r="F778">
            <v>2100</v>
          </cell>
          <cell r="H778">
            <v>46099</v>
          </cell>
          <cell r="I778">
            <v>46100</v>
          </cell>
        </row>
        <row r="779">
          <cell r="D779">
            <v>110001271306</v>
          </cell>
          <cell r="E779" t="str">
            <v>697-C2504B-DRV H7A09502A/PV2229H</v>
          </cell>
          <cell r="F779">
            <v>2100</v>
          </cell>
          <cell r="H779">
            <v>46099</v>
          </cell>
          <cell r="I779">
            <v>46100</v>
          </cell>
        </row>
        <row r="780">
          <cell r="D780">
            <v>110001271307</v>
          </cell>
          <cell r="E780" t="str">
            <v>697-C2504A-C H7A09528A/PE2306H</v>
          </cell>
          <cell r="F780">
            <v>2100</v>
          </cell>
          <cell r="H780">
            <v>46099</v>
          </cell>
          <cell r="I780">
            <v>46100</v>
          </cell>
        </row>
        <row r="781">
          <cell r="D781">
            <v>110001271308</v>
          </cell>
          <cell r="E781" t="str">
            <v>697-C2504B-DRV H7A09502A/PV2229H</v>
          </cell>
          <cell r="F781">
            <v>2100</v>
          </cell>
          <cell r="H781">
            <v>46097</v>
          </cell>
          <cell r="I781">
            <v>46098</v>
          </cell>
        </row>
        <row r="782">
          <cell r="D782">
            <v>110001271309</v>
          </cell>
          <cell r="E782" t="str">
            <v>697-C2504A-C H7A09528A/PE2306H</v>
          </cell>
          <cell r="F782">
            <v>2100</v>
          </cell>
          <cell r="H782">
            <v>46097</v>
          </cell>
          <cell r="I782">
            <v>46098</v>
          </cell>
        </row>
        <row r="783">
          <cell r="D783">
            <v>110001271310</v>
          </cell>
          <cell r="E783" t="str">
            <v>697-C2503E G0020 1220212 H7A09529B/PV22&amp;</v>
          </cell>
          <cell r="F783">
            <v>200</v>
          </cell>
          <cell r="H783">
            <v>46095</v>
          </cell>
          <cell r="I783">
            <v>46096</v>
          </cell>
        </row>
        <row r="784">
          <cell r="D784">
            <v>110001271311</v>
          </cell>
          <cell r="E784" t="str">
            <v>697-C2503E-DRV H7A09502D/PV2229Q</v>
          </cell>
          <cell r="F784">
            <v>200</v>
          </cell>
          <cell r="H784">
            <v>46095</v>
          </cell>
          <cell r="I784">
            <v>46096</v>
          </cell>
        </row>
        <row r="785">
          <cell r="D785">
            <v>110001271312</v>
          </cell>
          <cell r="E785" t="str">
            <v>500268-C2501A-C H7A09528C PE2306Q</v>
          </cell>
          <cell r="F785">
            <v>200</v>
          </cell>
          <cell r="H785">
            <v>46095</v>
          </cell>
          <cell r="I785">
            <v>46096</v>
          </cell>
        </row>
        <row r="786">
          <cell r="D786">
            <v>110001271313</v>
          </cell>
          <cell r="E786" t="str">
            <v>697-C2503E-DRV H7A09502D/PV2229Q</v>
          </cell>
          <cell r="F786">
            <v>200</v>
          </cell>
          <cell r="H786">
            <v>46093</v>
          </cell>
          <cell r="I786">
            <v>46094</v>
          </cell>
        </row>
        <row r="787">
          <cell r="D787">
            <v>110001271314</v>
          </cell>
          <cell r="E787" t="str">
            <v>500268-C2501A-C H7A09528C PE2306Q</v>
          </cell>
          <cell r="F787">
            <v>200</v>
          </cell>
          <cell r="H787">
            <v>46093</v>
          </cell>
          <cell r="I787">
            <v>46094</v>
          </cell>
        </row>
        <row r="788">
          <cell r="D788">
            <v>110001271330</v>
          </cell>
          <cell r="E788" t="str">
            <v>500268-C2501F G0020 1242657 H7A10566F-D&amp;</v>
          </cell>
          <cell r="F788">
            <v>300</v>
          </cell>
          <cell r="H788">
            <v>46102</v>
          </cell>
          <cell r="I788">
            <v>46103</v>
          </cell>
        </row>
        <row r="789">
          <cell r="D789">
            <v>110001271331</v>
          </cell>
          <cell r="E789" t="str">
            <v>500268-C2501F-DRV H7A09502P/PV2229Y</v>
          </cell>
          <cell r="F789">
            <v>300</v>
          </cell>
          <cell r="H789">
            <v>46102</v>
          </cell>
          <cell r="I789">
            <v>46103</v>
          </cell>
        </row>
        <row r="790">
          <cell r="D790">
            <v>110001271332</v>
          </cell>
          <cell r="E790" t="str">
            <v>500268-C2501A-C H7A09528C PE2306Q</v>
          </cell>
          <cell r="F790">
            <v>300</v>
          </cell>
          <cell r="H790">
            <v>46102</v>
          </cell>
          <cell r="I790">
            <v>46103</v>
          </cell>
        </row>
        <row r="791">
          <cell r="D791">
            <v>110001271333</v>
          </cell>
          <cell r="E791" t="str">
            <v>500268-C2501F-DRV H7A09502P/PV2229Y</v>
          </cell>
          <cell r="F791">
            <v>300</v>
          </cell>
          <cell r="H791">
            <v>46100</v>
          </cell>
          <cell r="I791">
            <v>46101</v>
          </cell>
        </row>
        <row r="792">
          <cell r="D792">
            <v>110001271334</v>
          </cell>
          <cell r="E792" t="str">
            <v>500268-C2501A-C H7A09528C PE2306Q</v>
          </cell>
          <cell r="F792">
            <v>300</v>
          </cell>
          <cell r="H792">
            <v>46100</v>
          </cell>
          <cell r="I792">
            <v>46101</v>
          </cell>
        </row>
        <row r="793">
          <cell r="D793">
            <v>110001274629</v>
          </cell>
          <cell r="E793" t="str">
            <v>201-A2371A-PC 1196682_H7B11346B-D/PV220&amp;</v>
          </cell>
          <cell r="F793">
            <v>1000</v>
          </cell>
          <cell r="H793">
            <v>46091</v>
          </cell>
          <cell r="I793">
            <v>46092</v>
          </cell>
        </row>
        <row r="794">
          <cell r="D794">
            <v>110001274630</v>
          </cell>
          <cell r="E794" t="str">
            <v>201-A2371A-PC 1196682</v>
          </cell>
          <cell r="F794">
            <v>1000</v>
          </cell>
          <cell r="H794">
            <v>46089</v>
          </cell>
          <cell r="I794">
            <v>46090</v>
          </cell>
        </row>
        <row r="795">
          <cell r="D795">
            <v>110001274778</v>
          </cell>
          <cell r="E795" t="str">
            <v>500269-C2408A-X 2447564 全球白 新欧标</v>
          </cell>
          <cell r="F795">
            <v>300</v>
          </cell>
          <cell r="H795">
            <v>46093</v>
          </cell>
          <cell r="I795">
            <v>46094</v>
          </cell>
        </row>
        <row r="796">
          <cell r="D796">
            <v>110001274779</v>
          </cell>
          <cell r="E796" t="str">
            <v>201-A2378A-O HLP5602-GWM.01</v>
          </cell>
          <cell r="F796">
            <v>300</v>
          </cell>
          <cell r="H796">
            <v>46093</v>
          </cell>
          <cell r="I796">
            <v>46094</v>
          </cell>
        </row>
        <row r="797">
          <cell r="D797">
            <v>110001274780</v>
          </cell>
          <cell r="E797" t="str">
            <v>500269-C2407A-X 2446112</v>
          </cell>
          <cell r="F797">
            <v>300</v>
          </cell>
          <cell r="H797">
            <v>46093</v>
          </cell>
          <cell r="I797">
            <v>46094</v>
          </cell>
        </row>
        <row r="798">
          <cell r="D798">
            <v>110001274781</v>
          </cell>
          <cell r="E798" t="str">
            <v>201-A2378A-O HLP5602-GWM.01</v>
          </cell>
          <cell r="F798">
            <v>300</v>
          </cell>
          <cell r="H798">
            <v>46091</v>
          </cell>
          <cell r="I798">
            <v>46092</v>
          </cell>
        </row>
        <row r="799">
          <cell r="D799">
            <v>110001274782</v>
          </cell>
          <cell r="E799" t="str">
            <v>500269-C2407A-X 2446112 新欧标</v>
          </cell>
          <cell r="F799">
            <v>300</v>
          </cell>
          <cell r="H799">
            <v>46091</v>
          </cell>
          <cell r="I799">
            <v>46092</v>
          </cell>
        </row>
        <row r="800">
          <cell r="D800">
            <v>110001274788</v>
          </cell>
          <cell r="E800" t="str">
            <v>500268-C2501E G0020 1242656 H7A10566E-D&amp;</v>
          </cell>
          <cell r="F800">
            <v>200</v>
          </cell>
          <cell r="H800">
            <v>46100</v>
          </cell>
          <cell r="I800">
            <v>46101</v>
          </cell>
        </row>
        <row r="801">
          <cell r="D801">
            <v>110001274789</v>
          </cell>
          <cell r="E801" t="str">
            <v>500268-C2501E-DRV H7A11297A/PV2229Y</v>
          </cell>
          <cell r="F801">
            <v>200</v>
          </cell>
          <cell r="H801">
            <v>46100</v>
          </cell>
          <cell r="I801">
            <v>46101</v>
          </cell>
        </row>
        <row r="802">
          <cell r="D802">
            <v>110001274790</v>
          </cell>
          <cell r="E802" t="str">
            <v>500268-C2501A-C H7A09528C PE2306Q</v>
          </cell>
          <cell r="F802">
            <v>200</v>
          </cell>
          <cell r="H802">
            <v>46100</v>
          </cell>
          <cell r="I802">
            <v>46101</v>
          </cell>
        </row>
        <row r="803">
          <cell r="D803">
            <v>110001274791</v>
          </cell>
          <cell r="E803" t="str">
            <v>500268-C2501E-DRV H7A11297A/PV2229Y</v>
          </cell>
          <cell r="F803">
            <v>200</v>
          </cell>
          <cell r="H803">
            <v>46098</v>
          </cell>
          <cell r="I803">
            <v>46099</v>
          </cell>
        </row>
        <row r="804">
          <cell r="D804">
            <v>110001274792</v>
          </cell>
          <cell r="E804" t="str">
            <v>500268-C2501A-C H7A09528C PE2306Q</v>
          </cell>
          <cell r="F804">
            <v>200</v>
          </cell>
          <cell r="H804">
            <v>46098</v>
          </cell>
          <cell r="I804">
            <v>46099</v>
          </cell>
        </row>
        <row r="805">
          <cell r="D805">
            <v>110001274793</v>
          </cell>
          <cell r="E805" t="str">
            <v>1886-C2512D G0020 20170752 7i洗衣机面板 天青墨</v>
          </cell>
          <cell r="F805">
            <v>350</v>
          </cell>
          <cell r="H805">
            <v>46092</v>
          </cell>
          <cell r="I805">
            <v>46093</v>
          </cell>
        </row>
        <row r="806">
          <cell r="D806">
            <v>110001274794</v>
          </cell>
          <cell r="E806" t="str">
            <v>1886-C2512A-K 干洗衣机按键旋钮板</v>
          </cell>
          <cell r="F806">
            <v>350</v>
          </cell>
          <cell r="H806">
            <v>46092</v>
          </cell>
          <cell r="I806">
            <v>46093</v>
          </cell>
        </row>
        <row r="807">
          <cell r="D807">
            <v>110001274795</v>
          </cell>
          <cell r="E807" t="str">
            <v>1886-C2512D-X 20170752 7i洗衣机通用板 天青墨</v>
          </cell>
          <cell r="F807">
            <v>350</v>
          </cell>
          <cell r="H807">
            <v>46092</v>
          </cell>
          <cell r="I807">
            <v>46093</v>
          </cell>
        </row>
        <row r="808">
          <cell r="D808">
            <v>110001274796</v>
          </cell>
          <cell r="E808" t="str">
            <v>1886-C2512D-X 20170752 7i洗衣机通用板 天青墨</v>
          </cell>
          <cell r="F808">
            <v>350</v>
          </cell>
          <cell r="H808">
            <v>46090</v>
          </cell>
          <cell r="I808">
            <v>46091</v>
          </cell>
        </row>
        <row r="809">
          <cell r="D809">
            <v>110001274797</v>
          </cell>
          <cell r="E809" t="str">
            <v>201-A2412A-X DMIC-70-02-001</v>
          </cell>
          <cell r="F809">
            <v>350</v>
          </cell>
          <cell r="H809">
            <v>46090</v>
          </cell>
          <cell r="I809">
            <v>46091</v>
          </cell>
        </row>
        <row r="810">
          <cell r="D810">
            <v>110001275605</v>
          </cell>
          <cell r="E810" t="str">
            <v>697-C2504C G0020 1201685 H7A09158B/PV22&amp;</v>
          </cell>
          <cell r="F810">
            <v>1200</v>
          </cell>
          <cell r="H810">
            <v>46097</v>
          </cell>
          <cell r="I810">
            <v>46098</v>
          </cell>
        </row>
        <row r="811">
          <cell r="D811">
            <v>110001275606</v>
          </cell>
          <cell r="E811" t="str">
            <v>697-C2504C-DRV H7A09502B/PV2229H</v>
          </cell>
          <cell r="F811">
            <v>1200</v>
          </cell>
          <cell r="H811">
            <v>46097</v>
          </cell>
          <cell r="I811">
            <v>46098</v>
          </cell>
        </row>
        <row r="812">
          <cell r="D812">
            <v>110001275607</v>
          </cell>
          <cell r="E812" t="str">
            <v>697-C2504A-C H7A09528A/PE2306H</v>
          </cell>
          <cell r="F812">
            <v>1200</v>
          </cell>
          <cell r="H812">
            <v>46097</v>
          </cell>
          <cell r="I812">
            <v>46098</v>
          </cell>
        </row>
        <row r="813">
          <cell r="D813">
            <v>110001275608</v>
          </cell>
          <cell r="E813" t="str">
            <v>697-C2504C-DRV H7A09502B/PV2229H</v>
          </cell>
          <cell r="F813">
            <v>1200</v>
          </cell>
          <cell r="H813">
            <v>46095</v>
          </cell>
          <cell r="I813">
            <v>46096</v>
          </cell>
        </row>
        <row r="814">
          <cell r="D814">
            <v>110001275609</v>
          </cell>
          <cell r="E814" t="str">
            <v>697-C2504A-C H7A09528A/PE2306H</v>
          </cell>
          <cell r="F814">
            <v>1200</v>
          </cell>
          <cell r="H814">
            <v>46095</v>
          </cell>
          <cell r="I814">
            <v>46096</v>
          </cell>
        </row>
        <row r="815">
          <cell r="D815">
            <v>110001278894</v>
          </cell>
          <cell r="E815" t="str">
            <v>500269-C2401A-X 2399506 天青墨</v>
          </cell>
          <cell r="F815">
            <v>208</v>
          </cell>
          <cell r="H815">
            <v>46092</v>
          </cell>
          <cell r="I815">
            <v>46093</v>
          </cell>
        </row>
        <row r="816">
          <cell r="D816">
            <v>110001278895</v>
          </cell>
          <cell r="E816" t="str">
            <v>500269-C2403A-X 2399506</v>
          </cell>
          <cell r="F816">
            <v>208</v>
          </cell>
          <cell r="H816">
            <v>46092</v>
          </cell>
          <cell r="I816">
            <v>46093</v>
          </cell>
        </row>
        <row r="817">
          <cell r="D817">
            <v>110001278896</v>
          </cell>
          <cell r="E817" t="str">
            <v>500269-C2404A-O 2399506</v>
          </cell>
          <cell r="F817">
            <v>208</v>
          </cell>
          <cell r="H817">
            <v>46092</v>
          </cell>
          <cell r="I817">
            <v>46093</v>
          </cell>
        </row>
        <row r="818">
          <cell r="D818">
            <v>110001278897</v>
          </cell>
          <cell r="E818" t="str">
            <v>500269-C2403A-X 2399506</v>
          </cell>
          <cell r="F818">
            <v>208</v>
          </cell>
          <cell r="H818">
            <v>46090</v>
          </cell>
          <cell r="I818">
            <v>46091</v>
          </cell>
        </row>
        <row r="819">
          <cell r="D819">
            <v>110001278898</v>
          </cell>
          <cell r="E819" t="str">
            <v>500269-C2404A-O 2399506</v>
          </cell>
          <cell r="F819">
            <v>208</v>
          </cell>
          <cell r="H819">
            <v>46090</v>
          </cell>
          <cell r="I819">
            <v>46091</v>
          </cell>
        </row>
        <row r="820">
          <cell r="D820">
            <v>110001278899</v>
          </cell>
          <cell r="E820" t="str">
            <v>500269-C2405A-X 2446112 天青墨</v>
          </cell>
          <cell r="F820">
            <v>660</v>
          </cell>
          <cell r="H820">
            <v>46096</v>
          </cell>
          <cell r="I820">
            <v>46097</v>
          </cell>
        </row>
        <row r="821">
          <cell r="D821">
            <v>110001278900</v>
          </cell>
          <cell r="E821" t="str">
            <v>201-A2378A-O HLP5602-GWM.01</v>
          </cell>
          <cell r="F821">
            <v>660</v>
          </cell>
          <cell r="H821">
            <v>46096</v>
          </cell>
          <cell r="I821">
            <v>46097</v>
          </cell>
        </row>
        <row r="822">
          <cell r="D822">
            <v>110001278901</v>
          </cell>
          <cell r="E822" t="str">
            <v>500269-C2407A-X 2446112</v>
          </cell>
          <cell r="F822">
            <v>660</v>
          </cell>
          <cell r="H822">
            <v>46096</v>
          </cell>
          <cell r="I822">
            <v>46097</v>
          </cell>
        </row>
        <row r="823">
          <cell r="D823">
            <v>110001278902</v>
          </cell>
          <cell r="E823" t="str">
            <v>201-A2378A-O HLP5602-GWM.01</v>
          </cell>
          <cell r="F823">
            <v>660</v>
          </cell>
          <cell r="H823">
            <v>46094</v>
          </cell>
          <cell r="I823">
            <v>46095</v>
          </cell>
        </row>
        <row r="824">
          <cell r="D824">
            <v>110001278903</v>
          </cell>
          <cell r="E824" t="str">
            <v>500269-C2407A-X 2446112 新欧标</v>
          </cell>
          <cell r="F824">
            <v>660</v>
          </cell>
          <cell r="H824">
            <v>46094</v>
          </cell>
          <cell r="I824">
            <v>46095</v>
          </cell>
        </row>
        <row r="825">
          <cell r="D825">
            <v>110001278904</v>
          </cell>
          <cell r="E825" t="str">
            <v>500269-C2501A-X G0020 12990319 DW50CN 澳洲</v>
          </cell>
          <cell r="F825">
            <v>430</v>
          </cell>
          <cell r="H825">
            <v>46094</v>
          </cell>
          <cell r="I825">
            <v>46095</v>
          </cell>
        </row>
        <row r="826">
          <cell r="D826">
            <v>110001278905</v>
          </cell>
          <cell r="E826" t="str">
            <v>500269-C2503A-X</v>
          </cell>
          <cell r="F826">
            <v>430</v>
          </cell>
          <cell r="H826">
            <v>46094</v>
          </cell>
          <cell r="I826">
            <v>46095</v>
          </cell>
        </row>
        <row r="827">
          <cell r="D827">
            <v>110001278906</v>
          </cell>
          <cell r="E827" t="str">
            <v>500269-C2504A-X G0020 12990319 DW50CN 澳洲</v>
          </cell>
          <cell r="F827">
            <v>430</v>
          </cell>
          <cell r="H827">
            <v>46094</v>
          </cell>
          <cell r="I827">
            <v>46095</v>
          </cell>
        </row>
        <row r="828">
          <cell r="D828">
            <v>110001278907</v>
          </cell>
          <cell r="E828" t="str">
            <v>500269-C2503A-X</v>
          </cell>
          <cell r="F828">
            <v>430</v>
          </cell>
          <cell r="H828">
            <v>46092</v>
          </cell>
          <cell r="I828">
            <v>46093</v>
          </cell>
        </row>
        <row r="829">
          <cell r="D829">
            <v>110001278908</v>
          </cell>
          <cell r="E829" t="str">
            <v>500269-C2504A-X 12990319 DW50CN 澳洲</v>
          </cell>
          <cell r="F829">
            <v>430</v>
          </cell>
          <cell r="H829">
            <v>46092</v>
          </cell>
          <cell r="I829">
            <v>46093</v>
          </cell>
        </row>
        <row r="830">
          <cell r="D830">
            <v>110001278914</v>
          </cell>
          <cell r="E830" t="str">
            <v>697-C2503F G0020 1221341 H7A09529C/PV22&amp;</v>
          </cell>
          <cell r="F830">
            <v>500</v>
          </cell>
          <cell r="H830">
            <v>46113</v>
          </cell>
          <cell r="I830">
            <v>46114</v>
          </cell>
        </row>
        <row r="831">
          <cell r="D831">
            <v>110001278915</v>
          </cell>
          <cell r="E831" t="str">
            <v>697-C2503F-DRV H7A09502F/PV2229Q</v>
          </cell>
          <cell r="F831">
            <v>500</v>
          </cell>
          <cell r="H831">
            <v>46113</v>
          </cell>
          <cell r="I831">
            <v>46114</v>
          </cell>
        </row>
        <row r="832">
          <cell r="D832">
            <v>110001278916</v>
          </cell>
          <cell r="E832" t="str">
            <v>500268-C2501A-C H7A09528C PE2306Q</v>
          </cell>
          <cell r="F832">
            <v>500</v>
          </cell>
          <cell r="H832">
            <v>46113</v>
          </cell>
          <cell r="I832">
            <v>46114</v>
          </cell>
        </row>
        <row r="833">
          <cell r="D833">
            <v>110001278917</v>
          </cell>
          <cell r="E833" t="str">
            <v>697-C2503F-DRV H7A09502F/PV2229Q</v>
          </cell>
          <cell r="F833">
            <v>500</v>
          </cell>
          <cell r="H833">
            <v>46111</v>
          </cell>
          <cell r="I833">
            <v>46112</v>
          </cell>
        </row>
        <row r="834">
          <cell r="D834">
            <v>110001278918</v>
          </cell>
          <cell r="E834" t="str">
            <v>500268-C2501A-C H7A09528C PE2306Q</v>
          </cell>
          <cell r="F834">
            <v>500</v>
          </cell>
          <cell r="H834">
            <v>46111</v>
          </cell>
          <cell r="I834">
            <v>46112</v>
          </cell>
        </row>
        <row r="835">
          <cell r="D835">
            <v>110001278924</v>
          </cell>
          <cell r="E835" t="str">
            <v>500268-C2501E G0020 1242656 H7A10566E-D&amp;</v>
          </cell>
          <cell r="F835">
            <v>100</v>
          </cell>
          <cell r="H835">
            <v>46093</v>
          </cell>
          <cell r="I835">
            <v>46094</v>
          </cell>
        </row>
        <row r="836">
          <cell r="D836">
            <v>110001278925</v>
          </cell>
          <cell r="E836" t="str">
            <v>500268-C2501E-DRV H7A11297A/PV2229Y</v>
          </cell>
          <cell r="F836">
            <v>100</v>
          </cell>
          <cell r="H836">
            <v>46093</v>
          </cell>
          <cell r="I836">
            <v>46094</v>
          </cell>
        </row>
        <row r="837">
          <cell r="D837">
            <v>110001278926</v>
          </cell>
          <cell r="E837" t="str">
            <v>500268-C2501A-C H7A09528C PE2306Q</v>
          </cell>
          <cell r="F837">
            <v>100</v>
          </cell>
          <cell r="H837">
            <v>46093</v>
          </cell>
          <cell r="I837">
            <v>46094</v>
          </cell>
        </row>
        <row r="838">
          <cell r="D838">
            <v>110001278927</v>
          </cell>
          <cell r="E838" t="str">
            <v>500268-C2501E-DRV H7A11297A/PV2229Y</v>
          </cell>
          <cell r="F838">
            <v>100</v>
          </cell>
          <cell r="H838">
            <v>46091</v>
          </cell>
          <cell r="I838">
            <v>46092</v>
          </cell>
        </row>
        <row r="839">
          <cell r="D839">
            <v>110001278928</v>
          </cell>
          <cell r="E839" t="str">
            <v>500268-C2501A-C H7A09528C PE2306Q</v>
          </cell>
          <cell r="F839">
            <v>100</v>
          </cell>
          <cell r="H839">
            <v>46091</v>
          </cell>
          <cell r="I839">
            <v>46092</v>
          </cell>
        </row>
        <row r="840">
          <cell r="D840">
            <v>110001278929</v>
          </cell>
          <cell r="E840" t="str">
            <v>500269-C2501B-X G0020 20101789 DW50CN 中&amp;</v>
          </cell>
          <cell r="F840">
            <v>130</v>
          </cell>
          <cell r="H840">
            <v>46094</v>
          </cell>
          <cell r="I840">
            <v>46095</v>
          </cell>
        </row>
        <row r="841">
          <cell r="D841">
            <v>110001278930</v>
          </cell>
          <cell r="E841" t="str">
            <v>500269-C2503A-X</v>
          </cell>
          <cell r="F841">
            <v>130</v>
          </cell>
          <cell r="H841">
            <v>46094</v>
          </cell>
          <cell r="I841">
            <v>46095</v>
          </cell>
        </row>
        <row r="842">
          <cell r="D842">
            <v>110001278931</v>
          </cell>
          <cell r="E842" t="str">
            <v>500269-C2504B-X G0020 20101789 DW50CN 中&amp;</v>
          </cell>
          <cell r="F842">
            <v>130</v>
          </cell>
          <cell r="H842">
            <v>46094</v>
          </cell>
          <cell r="I842">
            <v>46095</v>
          </cell>
        </row>
        <row r="843">
          <cell r="D843">
            <v>110001278932</v>
          </cell>
          <cell r="E843" t="str">
            <v>500269-C2503A-X</v>
          </cell>
          <cell r="F843">
            <v>130</v>
          </cell>
          <cell r="H843">
            <v>46092</v>
          </cell>
          <cell r="I843">
            <v>46093</v>
          </cell>
        </row>
        <row r="844">
          <cell r="D844">
            <v>110001278933</v>
          </cell>
          <cell r="E844" t="str">
            <v>500269-C2504B-X 20101789 DW50CN 中东非</v>
          </cell>
          <cell r="F844">
            <v>130</v>
          </cell>
          <cell r="H844">
            <v>46092</v>
          </cell>
          <cell r="I844">
            <v>46093</v>
          </cell>
        </row>
        <row r="845">
          <cell r="D845">
            <v>110001278934</v>
          </cell>
          <cell r="E845" t="str">
            <v>1886-C2512D G0020 20170752 7i洗衣机面板 天青墨</v>
          </cell>
          <cell r="F845">
            <v>300</v>
          </cell>
          <cell r="H845">
            <v>46097</v>
          </cell>
          <cell r="I845">
            <v>46098</v>
          </cell>
        </row>
        <row r="846">
          <cell r="D846">
            <v>110001278935</v>
          </cell>
          <cell r="E846" t="str">
            <v>1886-C2512A-K 干洗衣机按键旋钮板</v>
          </cell>
          <cell r="F846">
            <v>300</v>
          </cell>
          <cell r="H846">
            <v>46097</v>
          </cell>
          <cell r="I846">
            <v>46098</v>
          </cell>
        </row>
        <row r="847">
          <cell r="D847">
            <v>110001278936</v>
          </cell>
          <cell r="E847" t="str">
            <v>1886-C2512D-X 20170752 7i洗衣机通用板 天青墨</v>
          </cell>
          <cell r="F847">
            <v>300</v>
          </cell>
          <cell r="H847">
            <v>46097</v>
          </cell>
          <cell r="I847">
            <v>46098</v>
          </cell>
        </row>
        <row r="848">
          <cell r="D848">
            <v>110001278937</v>
          </cell>
          <cell r="E848" t="str">
            <v>1886-C2512D-X 20170752 7i洗衣机通用板 天青墨</v>
          </cell>
          <cell r="F848">
            <v>300</v>
          </cell>
          <cell r="H848">
            <v>46095</v>
          </cell>
          <cell r="I848">
            <v>46096</v>
          </cell>
        </row>
        <row r="849">
          <cell r="D849">
            <v>110001278938</v>
          </cell>
          <cell r="E849" t="str">
            <v>201-A2412A-X DMIC-70-02-001</v>
          </cell>
          <cell r="F849">
            <v>300</v>
          </cell>
          <cell r="H849">
            <v>46095</v>
          </cell>
          <cell r="I849">
            <v>46096</v>
          </cell>
        </row>
        <row r="850">
          <cell r="D850">
            <v>110001282897</v>
          </cell>
          <cell r="E850" t="str">
            <v>201-A2412A-X G0020 3677805 BCD-600W MIC&amp;</v>
          </cell>
          <cell r="F850">
            <v>140</v>
          </cell>
          <cell r="H850">
            <v>46089</v>
          </cell>
          <cell r="I850">
            <v>46090</v>
          </cell>
        </row>
        <row r="851">
          <cell r="D851">
            <v>110001282898</v>
          </cell>
          <cell r="E851" t="str">
            <v>201-A2412A-X DMIC-70-02-001</v>
          </cell>
          <cell r="F851">
            <v>140</v>
          </cell>
          <cell r="H851">
            <v>46087</v>
          </cell>
          <cell r="I851">
            <v>46088</v>
          </cell>
        </row>
        <row r="852">
          <cell r="D852">
            <v>110001282899</v>
          </cell>
          <cell r="E852" t="str">
            <v>201-A2413A-X G0020 3677802 BCD-600W 屏显组件</v>
          </cell>
          <cell r="F852">
            <v>200</v>
          </cell>
          <cell r="H852">
            <v>46088</v>
          </cell>
          <cell r="I852">
            <v>46089</v>
          </cell>
        </row>
        <row r="853">
          <cell r="D853">
            <v>110001282900</v>
          </cell>
          <cell r="E853" t="str">
            <v>201-A2413A-X 6.86寸</v>
          </cell>
          <cell r="F853">
            <v>200</v>
          </cell>
          <cell r="H853">
            <v>46087</v>
          </cell>
          <cell r="I853">
            <v>46087</v>
          </cell>
        </row>
        <row r="854">
          <cell r="D854">
            <v>110001283559</v>
          </cell>
          <cell r="E854" t="str">
            <v>201-A2381B-X HLP5602-GWM(天青墨)</v>
          </cell>
          <cell r="F854">
            <v>2177</v>
          </cell>
          <cell r="H854">
            <v>46095</v>
          </cell>
          <cell r="I854">
            <v>46096</v>
          </cell>
        </row>
        <row r="855">
          <cell r="D855">
            <v>110001283560</v>
          </cell>
          <cell r="E855" t="str">
            <v>201-A2378A-O HLP5602-GWM.01</v>
          </cell>
          <cell r="F855">
            <v>2177</v>
          </cell>
          <cell r="H855">
            <v>46095</v>
          </cell>
          <cell r="I855">
            <v>46096</v>
          </cell>
        </row>
        <row r="856">
          <cell r="D856">
            <v>110001283581</v>
          </cell>
          <cell r="E856" t="str">
            <v>201-A2379B-X 7S5602(天青墨)</v>
          </cell>
          <cell r="F856">
            <v>2177</v>
          </cell>
          <cell r="H856">
            <v>46095</v>
          </cell>
          <cell r="I856">
            <v>46096</v>
          </cell>
        </row>
        <row r="857">
          <cell r="D857">
            <v>110001283582</v>
          </cell>
          <cell r="E857" t="str">
            <v>201-A2378A-O HLP5602-GWM.01</v>
          </cell>
          <cell r="F857">
            <v>2177</v>
          </cell>
          <cell r="H857">
            <v>46093</v>
          </cell>
          <cell r="I857">
            <v>46094</v>
          </cell>
        </row>
        <row r="858">
          <cell r="D858">
            <v>110001283583</v>
          </cell>
          <cell r="E858" t="str">
            <v>201-A2379B-X 7S5602(天青墨)</v>
          </cell>
          <cell r="F858">
            <v>2177</v>
          </cell>
          <cell r="H858">
            <v>46093</v>
          </cell>
          <cell r="I858">
            <v>46094</v>
          </cell>
        </row>
        <row r="859">
          <cell r="D859">
            <v>110001283589</v>
          </cell>
          <cell r="E859" t="str">
            <v>697-C2504D G0020 1239203 H7A09158E/PV22&amp;</v>
          </cell>
          <cell r="F859">
            <v>469</v>
          </cell>
          <cell r="H859">
            <v>46098</v>
          </cell>
          <cell r="I859">
            <v>46099</v>
          </cell>
        </row>
        <row r="860">
          <cell r="D860">
            <v>110001283590</v>
          </cell>
          <cell r="E860" t="str">
            <v>697-C2504D-DRV H7A09502G/PV2229H</v>
          </cell>
          <cell r="F860">
            <v>469</v>
          </cell>
          <cell r="H860">
            <v>46098</v>
          </cell>
          <cell r="I860">
            <v>46099</v>
          </cell>
        </row>
        <row r="861">
          <cell r="D861">
            <v>110001283591</v>
          </cell>
          <cell r="E861" t="str">
            <v>500268-C2501A-C H7A09528C PE2306Q</v>
          </cell>
          <cell r="F861">
            <v>469</v>
          </cell>
          <cell r="H861">
            <v>46098</v>
          </cell>
          <cell r="I861">
            <v>46099</v>
          </cell>
        </row>
        <row r="862">
          <cell r="D862">
            <v>110001283592</v>
          </cell>
          <cell r="E862" t="str">
            <v>697-C2504D-DRV H7A09502G/PV2229H</v>
          </cell>
          <cell r="F862">
            <v>469</v>
          </cell>
          <cell r="H862">
            <v>46096</v>
          </cell>
          <cell r="I862">
            <v>46097</v>
          </cell>
        </row>
        <row r="863">
          <cell r="D863">
            <v>110001283593</v>
          </cell>
          <cell r="E863" t="str">
            <v>500268-C2501A-C H7A09528C PE2306Q</v>
          </cell>
          <cell r="F863">
            <v>469</v>
          </cell>
          <cell r="H863">
            <v>46096</v>
          </cell>
          <cell r="I863">
            <v>46097</v>
          </cell>
        </row>
        <row r="864">
          <cell r="D864">
            <v>110001283594</v>
          </cell>
          <cell r="E864" t="str">
            <v>500268-C2501B G0020 1250711 H7A10566H-D&amp;</v>
          </cell>
          <cell r="F864">
            <v>310</v>
          </cell>
          <cell r="H864">
            <v>46098</v>
          </cell>
          <cell r="I864">
            <v>46099</v>
          </cell>
        </row>
        <row r="865">
          <cell r="D865">
            <v>110001283595</v>
          </cell>
          <cell r="E865" t="str">
            <v>500268-C2501B-DRV H7A09502V/PV2229Y</v>
          </cell>
          <cell r="F865">
            <v>310</v>
          </cell>
          <cell r="H865">
            <v>46098</v>
          </cell>
          <cell r="I865">
            <v>46099</v>
          </cell>
        </row>
        <row r="866">
          <cell r="D866">
            <v>110001283596</v>
          </cell>
          <cell r="E866" t="str">
            <v>500268-C2501A-C H7A09528C PE2306Q</v>
          </cell>
          <cell r="F866">
            <v>310</v>
          </cell>
          <cell r="H866">
            <v>46098</v>
          </cell>
          <cell r="I866">
            <v>46099</v>
          </cell>
        </row>
        <row r="867">
          <cell r="D867">
            <v>110001283597</v>
          </cell>
          <cell r="E867" t="str">
            <v>500268-C2501B-DRV H7A09502V/PV2229Y</v>
          </cell>
          <cell r="F867">
            <v>310</v>
          </cell>
          <cell r="H867">
            <v>46096</v>
          </cell>
          <cell r="I867">
            <v>46097</v>
          </cell>
        </row>
        <row r="868">
          <cell r="D868">
            <v>110001283598</v>
          </cell>
          <cell r="E868" t="str">
            <v>500268-C2501A-C H7A09528C PE2306Q</v>
          </cell>
          <cell r="F868">
            <v>310</v>
          </cell>
          <cell r="H868">
            <v>46096</v>
          </cell>
          <cell r="I868">
            <v>46097</v>
          </cell>
        </row>
        <row r="869">
          <cell r="D869">
            <v>880000118087</v>
          </cell>
          <cell r="E869" t="str">
            <v>1886-C2512C G0020 20116663 7i干衣机面板 天青墨</v>
          </cell>
          <cell r="F869">
            <v>320</v>
          </cell>
          <cell r="H869">
            <v>46093</v>
          </cell>
          <cell r="I869">
            <v>46094</v>
          </cell>
        </row>
        <row r="870">
          <cell r="D870">
            <v>880000118088</v>
          </cell>
          <cell r="E870" t="str">
            <v>1886-C2512A-K 干洗衣机按键旋钮板</v>
          </cell>
          <cell r="F870">
            <v>320</v>
          </cell>
          <cell r="H870">
            <v>46093</v>
          </cell>
          <cell r="I870">
            <v>46094</v>
          </cell>
        </row>
        <row r="871">
          <cell r="D871">
            <v>880000118089</v>
          </cell>
          <cell r="E871" t="str">
            <v>1886-C2512C-X 20116663 7i干衣机通用板 天青墨</v>
          </cell>
          <cell r="F871">
            <v>320</v>
          </cell>
          <cell r="H871">
            <v>46093</v>
          </cell>
          <cell r="I871">
            <v>46094</v>
          </cell>
        </row>
        <row r="872">
          <cell r="D872">
            <v>880000118090</v>
          </cell>
          <cell r="E872" t="str">
            <v>1886-C2512C-X 20116663 7i干衣机通用板 天青墨</v>
          </cell>
          <cell r="F872">
            <v>320</v>
          </cell>
          <cell r="H872">
            <v>46091</v>
          </cell>
          <cell r="I872">
            <v>46092</v>
          </cell>
        </row>
        <row r="873">
          <cell r="D873">
            <v>880000118091</v>
          </cell>
          <cell r="E873" t="str">
            <v>201-A2412A-X DMIC-70-02-001</v>
          </cell>
          <cell r="F873">
            <v>320</v>
          </cell>
          <cell r="H873">
            <v>46091</v>
          </cell>
          <cell r="I873">
            <v>46092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</sheetNames>
    <sheetDataSet>
      <sheetData sheetId="0"/>
      <sheetData sheetId="1">
        <row r="1">
          <cell r="D1" t="str">
            <v>订单</v>
          </cell>
          <cell r="E1" t="str">
            <v>物料描述</v>
          </cell>
          <cell r="F1" t="str">
            <v>订单数量</v>
          </cell>
          <cell r="G1" t="str">
            <v>到料时间</v>
          </cell>
          <cell r="H1" t="str">
            <v>CS出货</v>
          </cell>
        </row>
        <row r="2">
          <cell r="D2">
            <v>110001263474</v>
          </cell>
          <cell r="E2" t="str">
            <v>693-B23G2A-PC 0011801330G</v>
          </cell>
          <cell r="F2">
            <v>400</v>
          </cell>
          <cell r="G2">
            <v>46141</v>
          </cell>
          <cell r="H2">
            <v>46142</v>
          </cell>
        </row>
        <row r="3">
          <cell r="D3">
            <v>110001263475</v>
          </cell>
          <cell r="E3" t="str">
            <v>693-B23G2A-PC 0011801330G</v>
          </cell>
          <cell r="F3">
            <v>400</v>
          </cell>
          <cell r="G3">
            <v>46139</v>
          </cell>
          <cell r="H3">
            <v>46140</v>
          </cell>
        </row>
        <row r="4">
          <cell r="D4">
            <v>110001263555</v>
          </cell>
          <cell r="E4" t="str">
            <v>500323-C2488A-PC 0011801482A</v>
          </cell>
          <cell r="F4">
            <v>1000</v>
          </cell>
          <cell r="G4">
            <v>46141</v>
          </cell>
          <cell r="H4">
            <v>46142</v>
          </cell>
        </row>
        <row r="5">
          <cell r="D5">
            <v>110001263556</v>
          </cell>
          <cell r="E5" t="str">
            <v>500323-C2488A-PC 0011801482A</v>
          </cell>
          <cell r="F5">
            <v>1000</v>
          </cell>
          <cell r="G5">
            <v>46139</v>
          </cell>
          <cell r="H5">
            <v>46140</v>
          </cell>
        </row>
        <row r="6">
          <cell r="D6">
            <v>110001263567</v>
          </cell>
          <cell r="E6" t="str">
            <v>693-C2556A-D G0044 0031800517</v>
          </cell>
          <cell r="F6">
            <v>1400</v>
          </cell>
          <cell r="G6">
            <v>46145</v>
          </cell>
          <cell r="H6">
            <v>46146</v>
          </cell>
        </row>
        <row r="7">
          <cell r="D7">
            <v>110001263568</v>
          </cell>
          <cell r="E7" t="str">
            <v>693-C2556A-D 0031800517</v>
          </cell>
          <cell r="F7">
            <v>1400</v>
          </cell>
          <cell r="G7">
            <v>46143</v>
          </cell>
          <cell r="H7">
            <v>46144</v>
          </cell>
        </row>
        <row r="8">
          <cell r="D8">
            <v>110001266973</v>
          </cell>
          <cell r="E8" t="str">
            <v>693-B23G2C-PC 0011801330J</v>
          </cell>
          <cell r="F8">
            <v>500</v>
          </cell>
          <cell r="G8">
            <v>46141</v>
          </cell>
          <cell r="H8">
            <v>46142</v>
          </cell>
        </row>
        <row r="9">
          <cell r="D9">
            <v>110001266974</v>
          </cell>
          <cell r="E9" t="str">
            <v>693-B23G2C-PC 0011801330J</v>
          </cell>
          <cell r="F9">
            <v>500</v>
          </cell>
          <cell r="G9">
            <v>46139</v>
          </cell>
          <cell r="H9">
            <v>46140</v>
          </cell>
        </row>
        <row r="10">
          <cell r="D10">
            <v>110001266979</v>
          </cell>
          <cell r="E10" t="str">
            <v>693-C2412A-PC 0041801687</v>
          </cell>
          <cell r="F10">
            <v>300</v>
          </cell>
          <cell r="G10">
            <v>46138</v>
          </cell>
          <cell r="H10">
            <v>46139</v>
          </cell>
        </row>
        <row r="11">
          <cell r="D11">
            <v>110001266980</v>
          </cell>
          <cell r="E11" t="str">
            <v>693-C2412A-PC 0041801687</v>
          </cell>
          <cell r="F11">
            <v>300</v>
          </cell>
          <cell r="G11">
            <v>46136</v>
          </cell>
          <cell r="H11">
            <v>46137</v>
          </cell>
        </row>
        <row r="12">
          <cell r="D12">
            <v>110001267147</v>
          </cell>
          <cell r="E12" t="str">
            <v>500323-C24A3C-PC G0044 0011801850B</v>
          </cell>
          <cell r="F12">
            <v>700</v>
          </cell>
          <cell r="G12">
            <v>46141</v>
          </cell>
          <cell r="H12">
            <v>46142</v>
          </cell>
        </row>
        <row r="13">
          <cell r="D13">
            <v>110001267148</v>
          </cell>
          <cell r="E13" t="str">
            <v>500323-C24A3C-PC 0011801850B</v>
          </cell>
          <cell r="F13">
            <v>700</v>
          </cell>
          <cell r="G13">
            <v>46139</v>
          </cell>
          <cell r="H13">
            <v>46140</v>
          </cell>
        </row>
        <row r="14">
          <cell r="D14">
            <v>110001267297</v>
          </cell>
          <cell r="E14" t="str">
            <v>500493-C2504A-CB 2468085</v>
          </cell>
          <cell r="F14">
            <v>700</v>
          </cell>
          <cell r="G14">
            <v>46148</v>
          </cell>
          <cell r="H14">
            <v>46149</v>
          </cell>
        </row>
        <row r="15">
          <cell r="D15">
            <v>110001267298</v>
          </cell>
          <cell r="E15" t="str">
            <v>500493-C2504A-CB 2468085</v>
          </cell>
          <cell r="F15">
            <v>700</v>
          </cell>
          <cell r="G15">
            <v>46146</v>
          </cell>
          <cell r="H15">
            <v>46147</v>
          </cell>
        </row>
        <row r="16">
          <cell r="D16">
            <v>110001267416</v>
          </cell>
          <cell r="E16" t="str">
            <v>1323-C2305A-D 0011801659</v>
          </cell>
          <cell r="F16">
            <v>2200</v>
          </cell>
          <cell r="G16">
            <v>46141</v>
          </cell>
          <cell r="H16">
            <v>46142</v>
          </cell>
        </row>
        <row r="17">
          <cell r="D17">
            <v>110001267417</v>
          </cell>
          <cell r="E17" t="str">
            <v>1323-C2305A-D 0011801659</v>
          </cell>
          <cell r="F17">
            <v>2200</v>
          </cell>
          <cell r="G17">
            <v>46139</v>
          </cell>
          <cell r="H17">
            <v>46140</v>
          </cell>
        </row>
        <row r="18">
          <cell r="D18">
            <v>110001270366</v>
          </cell>
          <cell r="E18" t="str">
            <v>693-C2412A-PC 0041801687</v>
          </cell>
          <cell r="F18">
            <v>500</v>
          </cell>
          <cell r="G18">
            <v>46138</v>
          </cell>
          <cell r="H18">
            <v>46139</v>
          </cell>
        </row>
        <row r="19">
          <cell r="D19">
            <v>110001270367</v>
          </cell>
          <cell r="E19" t="str">
            <v>693-C2412A-PC 0041801687</v>
          </cell>
          <cell r="F19">
            <v>500</v>
          </cell>
          <cell r="G19">
            <v>46136</v>
          </cell>
          <cell r="H19">
            <v>46137</v>
          </cell>
        </row>
        <row r="20">
          <cell r="D20">
            <v>110001271805</v>
          </cell>
          <cell r="E20" t="str">
            <v>500323-C24L6F-PC G0044 0011801172DN</v>
          </cell>
          <cell r="F20">
            <v>1000</v>
          </cell>
          <cell r="G20">
            <v>46141</v>
          </cell>
          <cell r="H20">
            <v>46142</v>
          </cell>
        </row>
        <row r="21">
          <cell r="D21">
            <v>110001271806</v>
          </cell>
          <cell r="E21" t="str">
            <v>500323-C24L6F-PC 0011801172DN</v>
          </cell>
          <cell r="F21">
            <v>1000</v>
          </cell>
          <cell r="G21">
            <v>46139</v>
          </cell>
          <cell r="H21">
            <v>46140</v>
          </cell>
        </row>
        <row r="22">
          <cell r="D22">
            <v>110001275536</v>
          </cell>
          <cell r="E22" t="str">
            <v>693-C2513B-PC G0044 0011800537K</v>
          </cell>
          <cell r="F22">
            <v>200</v>
          </cell>
          <cell r="G22">
            <v>46141</v>
          </cell>
          <cell r="H22">
            <v>46142</v>
          </cell>
        </row>
        <row r="23">
          <cell r="D23">
            <v>110001275537</v>
          </cell>
          <cell r="E23" t="str">
            <v>693-C2513B-PC 0011800537K</v>
          </cell>
          <cell r="F23">
            <v>200</v>
          </cell>
          <cell r="G23">
            <v>46139</v>
          </cell>
          <cell r="H23">
            <v>46140</v>
          </cell>
        </row>
        <row r="24">
          <cell r="D24">
            <v>110001279091</v>
          </cell>
          <cell r="E24" t="str">
            <v>693-B2201J-PC 0011801424C</v>
          </cell>
          <cell r="F24">
            <v>850</v>
          </cell>
          <cell r="G24">
            <v>46141</v>
          </cell>
          <cell r="H24">
            <v>46142</v>
          </cell>
        </row>
        <row r="25">
          <cell r="D25">
            <v>110001279092</v>
          </cell>
          <cell r="E25" t="str">
            <v>693-B2201J-PC 0011801424C</v>
          </cell>
          <cell r="F25">
            <v>850</v>
          </cell>
          <cell r="G25">
            <v>46139</v>
          </cell>
          <cell r="H25">
            <v>46140</v>
          </cell>
        </row>
        <row r="26">
          <cell r="D26">
            <v>110001279101</v>
          </cell>
          <cell r="E26" t="str">
            <v>1323-C2305A-D 0011801659</v>
          </cell>
          <cell r="F26">
            <v>3000</v>
          </cell>
          <cell r="G26">
            <v>46141</v>
          </cell>
          <cell r="H26">
            <v>46142</v>
          </cell>
        </row>
        <row r="27">
          <cell r="D27">
            <v>110001279102</v>
          </cell>
          <cell r="E27" t="str">
            <v>1323-C2305A-D 0011801659</v>
          </cell>
          <cell r="F27">
            <v>3000</v>
          </cell>
          <cell r="G27">
            <v>46139</v>
          </cell>
          <cell r="H27">
            <v>46140</v>
          </cell>
        </row>
        <row r="28">
          <cell r="D28">
            <v>110001279109</v>
          </cell>
          <cell r="E28" t="str">
            <v>693-C2331E-PC 0011801593D</v>
          </cell>
          <cell r="F28">
            <v>400</v>
          </cell>
          <cell r="G28">
            <v>46141</v>
          </cell>
          <cell r="H28">
            <v>46142</v>
          </cell>
        </row>
        <row r="29">
          <cell r="D29">
            <v>110001279110</v>
          </cell>
          <cell r="E29" t="str">
            <v>693-C2331E-PC 0011801593D</v>
          </cell>
          <cell r="F29">
            <v>400</v>
          </cell>
          <cell r="G29">
            <v>46139</v>
          </cell>
          <cell r="H29">
            <v>46140</v>
          </cell>
        </row>
        <row r="30">
          <cell r="D30">
            <v>110001279117</v>
          </cell>
          <cell r="E30" t="str">
            <v>500323-C2489A-PC 0011801425AA</v>
          </cell>
          <cell r="F30">
            <v>100</v>
          </cell>
          <cell r="G30">
            <v>46141</v>
          </cell>
          <cell r="H30">
            <v>46142</v>
          </cell>
        </row>
        <row r="31">
          <cell r="D31">
            <v>110001279118</v>
          </cell>
          <cell r="E31" t="str">
            <v>500323-C2489A-PC 0011801425AA</v>
          </cell>
          <cell r="F31">
            <v>100</v>
          </cell>
          <cell r="G31">
            <v>46139</v>
          </cell>
          <cell r="H31">
            <v>46140</v>
          </cell>
        </row>
        <row r="32">
          <cell r="D32">
            <v>110001279129</v>
          </cell>
          <cell r="E32" t="str">
            <v>500323-C24J3A-PC 0011801890</v>
          </cell>
          <cell r="F32">
            <v>2000</v>
          </cell>
          <cell r="G32">
            <v>46141</v>
          </cell>
          <cell r="H32">
            <v>46142</v>
          </cell>
        </row>
        <row r="33">
          <cell r="D33">
            <v>110001279130</v>
          </cell>
          <cell r="E33" t="str">
            <v>500323-C24J3A-PC 0011801890</v>
          </cell>
          <cell r="F33">
            <v>2000</v>
          </cell>
          <cell r="G33">
            <v>46139</v>
          </cell>
          <cell r="H33">
            <v>46140</v>
          </cell>
        </row>
        <row r="34">
          <cell r="D34">
            <v>110001279135</v>
          </cell>
          <cell r="E34" t="str">
            <v>693-C2516C-PC G0044 0011801675AB</v>
          </cell>
          <cell r="F34">
            <v>700</v>
          </cell>
          <cell r="G34">
            <v>46137</v>
          </cell>
          <cell r="H34">
            <v>46138</v>
          </cell>
        </row>
        <row r="35">
          <cell r="D35">
            <v>110001279136</v>
          </cell>
          <cell r="E35" t="str">
            <v>693-C2516C-PC 0011801675AB</v>
          </cell>
          <cell r="F35">
            <v>700</v>
          </cell>
          <cell r="G35">
            <v>46136</v>
          </cell>
          <cell r="H35">
            <v>46136</v>
          </cell>
        </row>
        <row r="36">
          <cell r="D36">
            <v>110001279185</v>
          </cell>
          <cell r="E36" t="str">
            <v>500493-B2407I-D G0020 20114666</v>
          </cell>
          <cell r="F36">
            <v>620</v>
          </cell>
          <cell r="G36">
            <v>46138</v>
          </cell>
          <cell r="H36">
            <v>46139</v>
          </cell>
        </row>
        <row r="37">
          <cell r="D37">
            <v>110001279186</v>
          </cell>
          <cell r="E37" t="str">
            <v>500493-B2407I-D 20114666</v>
          </cell>
          <cell r="F37">
            <v>620</v>
          </cell>
          <cell r="G37">
            <v>46136</v>
          </cell>
          <cell r="H37">
            <v>46137</v>
          </cell>
        </row>
        <row r="38">
          <cell r="D38">
            <v>110001279222</v>
          </cell>
          <cell r="E38" t="str">
            <v>693-C2339A-PC 0011801172CJ</v>
          </cell>
          <cell r="F38">
            <v>1600</v>
          </cell>
          <cell r="G38">
            <v>46141</v>
          </cell>
          <cell r="H38">
            <v>46142</v>
          </cell>
        </row>
        <row r="39">
          <cell r="D39">
            <v>110001279223</v>
          </cell>
          <cell r="E39" t="str">
            <v>693-C2339A-PC 0011801172CJ</v>
          </cell>
          <cell r="F39">
            <v>1600</v>
          </cell>
          <cell r="G39">
            <v>46139</v>
          </cell>
          <cell r="H39">
            <v>46140</v>
          </cell>
        </row>
        <row r="40">
          <cell r="D40">
            <v>110001280671</v>
          </cell>
          <cell r="E40" t="str">
            <v>693-C2532C-PC G0044 0011802020B</v>
          </cell>
          <cell r="F40">
            <v>200</v>
          </cell>
          <cell r="G40">
            <v>46137</v>
          </cell>
          <cell r="H40">
            <v>46138</v>
          </cell>
        </row>
        <row r="41">
          <cell r="D41">
            <v>110001280672</v>
          </cell>
          <cell r="E41" t="str">
            <v>693-C2532C-PC 0011802020B</v>
          </cell>
          <cell r="F41">
            <v>200</v>
          </cell>
          <cell r="G41">
            <v>46136</v>
          </cell>
          <cell r="H41">
            <v>46136</v>
          </cell>
        </row>
        <row r="42">
          <cell r="D42">
            <v>110001282642</v>
          </cell>
          <cell r="E42" t="str">
            <v>693-C2556A-D G0044 0031800517</v>
          </cell>
          <cell r="F42">
            <v>2600</v>
          </cell>
          <cell r="G42">
            <v>46146</v>
          </cell>
          <cell r="H42">
            <v>46147</v>
          </cell>
        </row>
        <row r="43">
          <cell r="D43">
            <v>110001282643</v>
          </cell>
          <cell r="E43" t="str">
            <v>693-C2556A-D 0031800517</v>
          </cell>
          <cell r="F43">
            <v>2600</v>
          </cell>
          <cell r="G43">
            <v>46144</v>
          </cell>
          <cell r="H43">
            <v>46145</v>
          </cell>
        </row>
        <row r="44">
          <cell r="D44">
            <v>110001283413</v>
          </cell>
          <cell r="E44" t="str">
            <v>693-C25A5A-PC G0044 0151801031FB</v>
          </cell>
          <cell r="F44">
            <v>100</v>
          </cell>
          <cell r="G44">
            <v>46151</v>
          </cell>
          <cell r="H44">
            <v>46152</v>
          </cell>
        </row>
        <row r="45">
          <cell r="D45">
            <v>110001283414</v>
          </cell>
          <cell r="E45" t="str">
            <v>693-C25A5A-PC 0151801031FB</v>
          </cell>
          <cell r="F45">
            <v>100</v>
          </cell>
          <cell r="G45">
            <v>46149</v>
          </cell>
          <cell r="H45">
            <v>46150</v>
          </cell>
        </row>
        <row r="46">
          <cell r="D46">
            <v>110001283754</v>
          </cell>
          <cell r="E46" t="str">
            <v>600766-A2505B-PC G0044 0011801843G</v>
          </cell>
          <cell r="F46">
            <v>10000</v>
          </cell>
          <cell r="G46">
            <v>46139</v>
          </cell>
          <cell r="H46">
            <v>46140</v>
          </cell>
        </row>
        <row r="47">
          <cell r="D47">
            <v>110001283755</v>
          </cell>
          <cell r="E47" t="str">
            <v>600766-A2505B-PC 0011801843G</v>
          </cell>
          <cell r="F47">
            <v>10000</v>
          </cell>
          <cell r="G47">
            <v>46137</v>
          </cell>
          <cell r="H47">
            <v>46138</v>
          </cell>
        </row>
        <row r="48">
          <cell r="D48">
            <v>110001283773</v>
          </cell>
          <cell r="E48" t="str">
            <v>693-C2373B-PC??0011800980F</v>
          </cell>
          <cell r="F48">
            <v>680</v>
          </cell>
          <cell r="G48">
            <v>46141</v>
          </cell>
          <cell r="H48">
            <v>46142</v>
          </cell>
        </row>
        <row r="49">
          <cell r="D49">
            <v>110001283774</v>
          </cell>
          <cell r="E49" t="str">
            <v>693-C2373B-PC  0011800980F</v>
          </cell>
          <cell r="F49">
            <v>680</v>
          </cell>
          <cell r="G49">
            <v>46139</v>
          </cell>
          <cell r="H49">
            <v>46140</v>
          </cell>
        </row>
        <row r="50">
          <cell r="D50">
            <v>110001283775</v>
          </cell>
          <cell r="E50" t="str">
            <v>693-C23C8A-PC 0011800977T</v>
          </cell>
          <cell r="F50">
            <v>700</v>
          </cell>
          <cell r="G50">
            <v>46139</v>
          </cell>
          <cell r="H50">
            <v>46140</v>
          </cell>
        </row>
        <row r="51">
          <cell r="D51">
            <v>110001283776</v>
          </cell>
          <cell r="E51" t="str">
            <v>693-C23C8A-PC 0011800977T</v>
          </cell>
          <cell r="F51">
            <v>700</v>
          </cell>
          <cell r="G51">
            <v>46137</v>
          </cell>
          <cell r="H51">
            <v>46138</v>
          </cell>
        </row>
        <row r="52">
          <cell r="D52">
            <v>110001283801</v>
          </cell>
          <cell r="E52" t="str">
            <v>500323-C24F6A-PC 0041801140</v>
          </cell>
          <cell r="F52">
            <v>1000</v>
          </cell>
          <cell r="G52">
            <v>46140</v>
          </cell>
          <cell r="H52">
            <v>46141</v>
          </cell>
        </row>
        <row r="53">
          <cell r="D53">
            <v>110001283802</v>
          </cell>
          <cell r="E53" t="str">
            <v>贴片部件 500323-C24F6A-PC 0041801140</v>
          </cell>
          <cell r="F53">
            <v>1000</v>
          </cell>
          <cell r="G53">
            <v>46138</v>
          </cell>
          <cell r="H53">
            <v>46139</v>
          </cell>
        </row>
        <row r="54">
          <cell r="D54">
            <v>110001283805</v>
          </cell>
          <cell r="E54" t="str">
            <v>500323-C2496G-PC 0011801423AV</v>
          </cell>
          <cell r="F54">
            <v>100</v>
          </cell>
          <cell r="G54">
            <v>46138</v>
          </cell>
          <cell r="H54">
            <v>46139</v>
          </cell>
        </row>
        <row r="55">
          <cell r="D55">
            <v>110001283806</v>
          </cell>
          <cell r="E55" t="str">
            <v>500323-C2496G-PC 0011801423AV</v>
          </cell>
          <cell r="F55">
            <v>100</v>
          </cell>
          <cell r="G55">
            <v>46136</v>
          </cell>
          <cell r="H55">
            <v>46137</v>
          </cell>
        </row>
        <row r="56">
          <cell r="D56">
            <v>110001283827</v>
          </cell>
          <cell r="E56" t="str">
            <v>693-C2246A-PC G0044 0011801172AG  小批验证用</v>
          </cell>
          <cell r="F56">
            <v>2000</v>
          </cell>
          <cell r="G56">
            <v>46138</v>
          </cell>
          <cell r="H56">
            <v>46139</v>
          </cell>
        </row>
        <row r="57">
          <cell r="D57">
            <v>110001283828</v>
          </cell>
          <cell r="E57" t="str">
            <v>693-C2246A-PC 0011801172AG 小批验证用</v>
          </cell>
          <cell r="F57">
            <v>2000</v>
          </cell>
          <cell r="G57">
            <v>46136</v>
          </cell>
          <cell r="H57">
            <v>46137</v>
          </cell>
        </row>
        <row r="58">
          <cell r="D58">
            <v>110001283917</v>
          </cell>
          <cell r="E58" t="str">
            <v>600766-A2503A-PC G0044 0011801330MHR</v>
          </cell>
          <cell r="F58">
            <v>5200</v>
          </cell>
          <cell r="G58">
            <v>46147</v>
          </cell>
          <cell r="H58">
            <v>46148</v>
          </cell>
        </row>
        <row r="59">
          <cell r="D59">
            <v>110001283918</v>
          </cell>
          <cell r="E59" t="str">
            <v>600766-A2503A-PC 0011801330MHR</v>
          </cell>
          <cell r="F59">
            <v>5200</v>
          </cell>
          <cell r="G59">
            <v>46145</v>
          </cell>
          <cell r="H59">
            <v>46146</v>
          </cell>
        </row>
        <row r="60">
          <cell r="D60">
            <v>110001283954</v>
          </cell>
          <cell r="E60" t="str">
            <v>500323-C24A3D-PC G0044 0011801850AA</v>
          </cell>
          <cell r="F60">
            <v>200</v>
          </cell>
          <cell r="G60">
            <v>46141</v>
          </cell>
          <cell r="H60">
            <v>46142</v>
          </cell>
        </row>
        <row r="61">
          <cell r="D61">
            <v>110001283955</v>
          </cell>
          <cell r="E61" t="str">
            <v>500323-C24A3D-PC 0011801850AA</v>
          </cell>
          <cell r="F61">
            <v>200</v>
          </cell>
          <cell r="G61">
            <v>46139</v>
          </cell>
          <cell r="H61">
            <v>46140</v>
          </cell>
        </row>
        <row r="62">
          <cell r="D62">
            <v>110001285756</v>
          </cell>
          <cell r="E62" t="str">
            <v>693-C23B7A-PC 0151800228CA</v>
          </cell>
          <cell r="F62">
            <v>1026</v>
          </cell>
          <cell r="G62">
            <v>46141</v>
          </cell>
          <cell r="H62">
            <v>46142</v>
          </cell>
        </row>
        <row r="63">
          <cell r="D63">
            <v>110001285757</v>
          </cell>
          <cell r="E63" t="str">
            <v>693-C23B7A-PC 0151800228CA</v>
          </cell>
          <cell r="F63">
            <v>1026</v>
          </cell>
          <cell r="G63">
            <v>46139</v>
          </cell>
          <cell r="H63">
            <v>46140</v>
          </cell>
        </row>
        <row r="64">
          <cell r="D64">
            <v>110001288269</v>
          </cell>
          <cell r="E64" t="str">
            <v>693-B2201O-PC-0011801424AF</v>
          </cell>
          <cell r="F64">
            <v>600</v>
          </cell>
          <cell r="G64">
            <v>46141</v>
          </cell>
          <cell r="H64">
            <v>46142</v>
          </cell>
        </row>
        <row r="65">
          <cell r="D65">
            <v>110001288270</v>
          </cell>
          <cell r="E65" t="str">
            <v>693-B2201O-PC 0011801424AF</v>
          </cell>
          <cell r="F65">
            <v>600</v>
          </cell>
          <cell r="G65">
            <v>46139</v>
          </cell>
          <cell r="H65">
            <v>46140</v>
          </cell>
        </row>
        <row r="66">
          <cell r="D66">
            <v>110001288271</v>
          </cell>
          <cell r="E66" t="str">
            <v>693-C2260B-PC 0011801256L</v>
          </cell>
          <cell r="F66">
            <v>400</v>
          </cell>
          <cell r="G66">
            <v>46141</v>
          </cell>
          <cell r="H66">
            <v>46142</v>
          </cell>
        </row>
        <row r="67">
          <cell r="D67">
            <v>110001288272</v>
          </cell>
          <cell r="E67" t="str">
            <v>693-C2260B-PC 0011801256L</v>
          </cell>
          <cell r="F67">
            <v>400</v>
          </cell>
          <cell r="G67">
            <v>46139</v>
          </cell>
          <cell r="H67">
            <v>46140</v>
          </cell>
        </row>
        <row r="68">
          <cell r="D68">
            <v>110001288287</v>
          </cell>
          <cell r="E68" t="str">
            <v>1323-B2307A-D 0011801713</v>
          </cell>
          <cell r="F68">
            <v>400</v>
          </cell>
          <cell r="G68">
            <v>46141</v>
          </cell>
          <cell r="H68">
            <v>46142</v>
          </cell>
        </row>
        <row r="69">
          <cell r="D69">
            <v>110001288288</v>
          </cell>
          <cell r="E69" t="str">
            <v>1323-B2307A-D 0011801713</v>
          </cell>
          <cell r="F69">
            <v>400</v>
          </cell>
          <cell r="G69">
            <v>46139</v>
          </cell>
          <cell r="H69">
            <v>46140</v>
          </cell>
        </row>
        <row r="70">
          <cell r="D70">
            <v>110001288295</v>
          </cell>
          <cell r="E70" t="str">
            <v>693-C23D4A-PC 0011801593</v>
          </cell>
          <cell r="F70">
            <v>598</v>
          </cell>
          <cell r="G70">
            <v>46141</v>
          </cell>
          <cell r="H70">
            <v>46142</v>
          </cell>
        </row>
        <row r="71">
          <cell r="D71">
            <v>110001288296</v>
          </cell>
          <cell r="E71" t="str">
            <v>693-C23D4A-PC 0011801593</v>
          </cell>
          <cell r="F71">
            <v>598</v>
          </cell>
          <cell r="G71">
            <v>46139</v>
          </cell>
          <cell r="H71">
            <v>46140</v>
          </cell>
        </row>
        <row r="72">
          <cell r="D72">
            <v>110001288299</v>
          </cell>
          <cell r="E72" t="str">
            <v>693-C23E6A-X 0150410226</v>
          </cell>
          <cell r="F72">
            <v>360</v>
          </cell>
          <cell r="G72">
            <v>46151</v>
          </cell>
          <cell r="H72">
            <v>46152</v>
          </cell>
        </row>
        <row r="73">
          <cell r="D73">
            <v>110001288300</v>
          </cell>
          <cell r="E73" t="str">
            <v>693-C23E6A-X 0150410226</v>
          </cell>
          <cell r="F73">
            <v>360</v>
          </cell>
          <cell r="G73">
            <v>46149</v>
          </cell>
          <cell r="H73">
            <v>46150</v>
          </cell>
        </row>
        <row r="74">
          <cell r="D74">
            <v>110001288323</v>
          </cell>
          <cell r="E74" t="str">
            <v>693-B23G2B-PC 0011801330H</v>
          </cell>
          <cell r="F74">
            <v>1000</v>
          </cell>
          <cell r="G74">
            <v>46141</v>
          </cell>
          <cell r="H74">
            <v>46142</v>
          </cell>
        </row>
        <row r="75">
          <cell r="D75">
            <v>110001288324</v>
          </cell>
          <cell r="E75" t="str">
            <v>693-B23G2B-PC 0011801330H</v>
          </cell>
          <cell r="F75">
            <v>1000</v>
          </cell>
          <cell r="G75">
            <v>46139</v>
          </cell>
          <cell r="H75">
            <v>46140</v>
          </cell>
        </row>
        <row r="76">
          <cell r="D76">
            <v>110001288331</v>
          </cell>
          <cell r="E76" t="str">
            <v>693-C2352D-PC 0011801516E</v>
          </cell>
          <cell r="F76">
            <v>400</v>
          </cell>
          <cell r="G76">
            <v>46137</v>
          </cell>
          <cell r="H76">
            <v>46138</v>
          </cell>
        </row>
        <row r="77">
          <cell r="D77">
            <v>110001288332</v>
          </cell>
          <cell r="E77" t="str">
            <v>693-C2352D-PC 0011801516E</v>
          </cell>
          <cell r="F77">
            <v>400</v>
          </cell>
          <cell r="G77">
            <v>46136</v>
          </cell>
          <cell r="H77">
            <v>46136</v>
          </cell>
        </row>
        <row r="78">
          <cell r="D78">
            <v>110001288361</v>
          </cell>
          <cell r="E78" t="str">
            <v>500493-B2402E-D 2418237</v>
          </cell>
          <cell r="F78">
            <v>1500</v>
          </cell>
          <cell r="G78">
            <v>46140</v>
          </cell>
          <cell r="H78">
            <v>46141</v>
          </cell>
        </row>
        <row r="79">
          <cell r="D79">
            <v>110001288362</v>
          </cell>
          <cell r="E79" t="str">
            <v>500493-B2402E-D 2418237</v>
          </cell>
          <cell r="F79">
            <v>1500</v>
          </cell>
          <cell r="G79">
            <v>46138</v>
          </cell>
          <cell r="H79">
            <v>46139</v>
          </cell>
        </row>
        <row r="80">
          <cell r="D80">
            <v>110001288363</v>
          </cell>
          <cell r="E80" t="str">
            <v>500323-C24F7A-PC 0151801003</v>
          </cell>
          <cell r="F80">
            <v>300</v>
          </cell>
          <cell r="G80">
            <v>46147</v>
          </cell>
          <cell r="H80">
            <v>46148</v>
          </cell>
        </row>
        <row r="81">
          <cell r="D81">
            <v>110001288364</v>
          </cell>
          <cell r="E81" t="str">
            <v>500323-C24F7A-PC 0151801003</v>
          </cell>
          <cell r="F81">
            <v>300</v>
          </cell>
          <cell r="G81">
            <v>46145</v>
          </cell>
          <cell r="H81">
            <v>46146</v>
          </cell>
        </row>
        <row r="82">
          <cell r="D82">
            <v>110001288369</v>
          </cell>
          <cell r="E82" t="str">
            <v>500323-C24J3A-PC 0011801890</v>
          </cell>
          <cell r="F82">
            <v>1000</v>
          </cell>
          <cell r="G82">
            <v>46141</v>
          </cell>
          <cell r="H82">
            <v>46142</v>
          </cell>
        </row>
        <row r="83">
          <cell r="D83">
            <v>110001288370</v>
          </cell>
          <cell r="E83" t="str">
            <v>500323-C24J3A-PC 0011801890</v>
          </cell>
          <cell r="F83">
            <v>1000</v>
          </cell>
          <cell r="G83">
            <v>46139</v>
          </cell>
          <cell r="H83">
            <v>46140</v>
          </cell>
        </row>
        <row r="84">
          <cell r="D84">
            <v>110001288399</v>
          </cell>
          <cell r="E84" t="str">
            <v>693-C2534F-PC G0044 0011801843X</v>
          </cell>
          <cell r="F84">
            <v>200</v>
          </cell>
          <cell r="G84">
            <v>46137</v>
          </cell>
          <cell r="H84">
            <v>46138</v>
          </cell>
        </row>
        <row r="85">
          <cell r="D85">
            <v>110001288400</v>
          </cell>
          <cell r="E85" t="str">
            <v>693-C2534F-PC 0011801843X</v>
          </cell>
          <cell r="F85">
            <v>200</v>
          </cell>
          <cell r="G85">
            <v>46136</v>
          </cell>
          <cell r="H85">
            <v>46136</v>
          </cell>
        </row>
        <row r="86">
          <cell r="D86">
            <v>110001288419</v>
          </cell>
          <cell r="E86" t="str">
            <v>693-C2516F-PC G0044 0011801675AE</v>
          </cell>
          <cell r="F86">
            <v>2000</v>
          </cell>
          <cell r="G86">
            <v>46141</v>
          </cell>
          <cell r="H86">
            <v>46142</v>
          </cell>
        </row>
        <row r="87">
          <cell r="D87">
            <v>110001288420</v>
          </cell>
          <cell r="E87" t="str">
            <v>693-C2516F-PC 0011801675AE</v>
          </cell>
          <cell r="F87">
            <v>2000</v>
          </cell>
          <cell r="G87">
            <v>46139</v>
          </cell>
          <cell r="H87">
            <v>46140</v>
          </cell>
        </row>
        <row r="88">
          <cell r="D88">
            <v>110001288421</v>
          </cell>
          <cell r="E88" t="str">
            <v>500323-C24J3B-PC G0044 0011801890C</v>
          </cell>
          <cell r="F88">
            <v>650</v>
          </cell>
          <cell r="G88">
            <v>46138</v>
          </cell>
          <cell r="H88">
            <v>46139</v>
          </cell>
        </row>
        <row r="89">
          <cell r="D89">
            <v>110001288422</v>
          </cell>
          <cell r="E89" t="str">
            <v>500323-C24J3B-PC 0011801890C</v>
          </cell>
          <cell r="F89">
            <v>650</v>
          </cell>
          <cell r="G89">
            <v>46136</v>
          </cell>
          <cell r="H89">
            <v>46137</v>
          </cell>
        </row>
        <row r="90">
          <cell r="D90">
            <v>110001288435</v>
          </cell>
          <cell r="E90" t="str">
            <v>693-B2548A-PC G0044 0011801922</v>
          </cell>
          <cell r="F90">
            <v>1000</v>
          </cell>
          <cell r="G90">
            <v>46137</v>
          </cell>
          <cell r="H90">
            <v>46138</v>
          </cell>
        </row>
        <row r="91">
          <cell r="D91">
            <v>110001288436</v>
          </cell>
          <cell r="E91" t="str">
            <v>693-B2548A-PC 0011801922</v>
          </cell>
          <cell r="F91">
            <v>1000</v>
          </cell>
          <cell r="G91">
            <v>46136</v>
          </cell>
          <cell r="H91">
            <v>46136</v>
          </cell>
        </row>
        <row r="92">
          <cell r="D92">
            <v>110001288451</v>
          </cell>
          <cell r="E92" t="str">
            <v>2189-B2505E G0020 2506399</v>
          </cell>
          <cell r="F92">
            <v>800</v>
          </cell>
          <cell r="G92">
            <v>46151</v>
          </cell>
          <cell r="H92">
            <v>46152</v>
          </cell>
        </row>
        <row r="93">
          <cell r="D93">
            <v>110001288452</v>
          </cell>
          <cell r="E93" t="str">
            <v>2189-B2505E-D 2506399</v>
          </cell>
          <cell r="F93">
            <v>800</v>
          </cell>
          <cell r="G93">
            <v>46151</v>
          </cell>
          <cell r="H93">
            <v>46152</v>
          </cell>
        </row>
        <row r="94">
          <cell r="D94">
            <v>110001288453</v>
          </cell>
          <cell r="E94" t="str">
            <v>2189-B2505A-KN 2489739</v>
          </cell>
          <cell r="F94">
            <v>800</v>
          </cell>
          <cell r="G94">
            <v>46151</v>
          </cell>
          <cell r="H94">
            <v>46152</v>
          </cell>
        </row>
        <row r="95">
          <cell r="D95">
            <v>110001288454</v>
          </cell>
          <cell r="E95" t="str">
            <v>2189-B2505E-D 2506399</v>
          </cell>
          <cell r="F95">
            <v>800</v>
          </cell>
          <cell r="G95">
            <v>46149</v>
          </cell>
          <cell r="H95">
            <v>46150</v>
          </cell>
        </row>
        <row r="96">
          <cell r="D96">
            <v>110001288467</v>
          </cell>
          <cell r="E96" t="str">
            <v>500323-C24A2B-PC G0044 0011801675B 新</v>
          </cell>
          <cell r="F96">
            <v>2500</v>
          </cell>
          <cell r="G96">
            <v>46141</v>
          </cell>
          <cell r="H96">
            <v>46142</v>
          </cell>
        </row>
        <row r="97">
          <cell r="D97">
            <v>110001288468</v>
          </cell>
          <cell r="E97" t="str">
            <v>500323-C24A2B-PC 0011801675B 新</v>
          </cell>
          <cell r="F97">
            <v>2500</v>
          </cell>
          <cell r="G97">
            <v>46139</v>
          </cell>
          <cell r="H97">
            <v>46140</v>
          </cell>
        </row>
        <row r="98">
          <cell r="D98">
            <v>110001288538</v>
          </cell>
          <cell r="E98" t="str">
            <v>693-B2548G-PC G0044 0011801922H</v>
          </cell>
          <cell r="F98">
            <v>1500</v>
          </cell>
          <cell r="G98">
            <v>46141</v>
          </cell>
          <cell r="H98">
            <v>46142</v>
          </cell>
        </row>
        <row r="99">
          <cell r="D99">
            <v>110001288539</v>
          </cell>
          <cell r="E99" t="str">
            <v>693-B2548G-PC 0011801922H</v>
          </cell>
          <cell r="F99">
            <v>1500</v>
          </cell>
          <cell r="G99">
            <v>46139</v>
          </cell>
          <cell r="H99">
            <v>46140</v>
          </cell>
        </row>
        <row r="100">
          <cell r="D100">
            <v>110001288540</v>
          </cell>
          <cell r="E100" t="str">
            <v>693-B2548G-PC G0044 0011801922H</v>
          </cell>
          <cell r="F100">
            <v>1500</v>
          </cell>
          <cell r="G100">
            <v>46141</v>
          </cell>
          <cell r="H100">
            <v>46142</v>
          </cell>
        </row>
        <row r="101">
          <cell r="D101">
            <v>110001288541</v>
          </cell>
          <cell r="E101" t="str">
            <v>693-B2548G-PC 0011801922H</v>
          </cell>
          <cell r="F101">
            <v>1500</v>
          </cell>
          <cell r="G101">
            <v>46139</v>
          </cell>
          <cell r="H101">
            <v>46140</v>
          </cell>
        </row>
        <row r="102">
          <cell r="D102">
            <v>110001288542</v>
          </cell>
          <cell r="E102" t="str">
            <v>693-B2548H-PC G0044 0011801922J</v>
          </cell>
          <cell r="F102">
            <v>700</v>
          </cell>
          <cell r="G102">
            <v>46141</v>
          </cell>
          <cell r="H102">
            <v>46142</v>
          </cell>
        </row>
        <row r="103">
          <cell r="D103">
            <v>110001288543</v>
          </cell>
          <cell r="E103" t="str">
            <v>693-B2548H-PC 0011801922J</v>
          </cell>
          <cell r="F103">
            <v>700</v>
          </cell>
          <cell r="G103">
            <v>46139</v>
          </cell>
          <cell r="H103">
            <v>46140</v>
          </cell>
        </row>
        <row r="104">
          <cell r="D104">
            <v>110001290296</v>
          </cell>
          <cell r="E104" t="str">
            <v>2189-B2505A G0020 2489739</v>
          </cell>
          <cell r="F104">
            <v>600</v>
          </cell>
          <cell r="G104">
            <v>46141</v>
          </cell>
          <cell r="H104">
            <v>46142</v>
          </cell>
        </row>
        <row r="105">
          <cell r="D105">
            <v>110001290297</v>
          </cell>
          <cell r="E105" t="str">
            <v>2189-B2505A-D 2489739</v>
          </cell>
          <cell r="F105">
            <v>600</v>
          </cell>
          <cell r="G105">
            <v>46141</v>
          </cell>
          <cell r="H105">
            <v>46142</v>
          </cell>
        </row>
        <row r="106">
          <cell r="D106">
            <v>110001290298</v>
          </cell>
          <cell r="E106" t="str">
            <v>2189-B2505A-KN 2489739</v>
          </cell>
          <cell r="F106">
            <v>600</v>
          </cell>
          <cell r="G106">
            <v>46141</v>
          </cell>
          <cell r="H106">
            <v>46142</v>
          </cell>
        </row>
        <row r="107">
          <cell r="D107">
            <v>110001290299</v>
          </cell>
          <cell r="E107" t="str">
            <v>2189-B2505A-D 2489739</v>
          </cell>
          <cell r="F107">
            <v>600</v>
          </cell>
          <cell r="G107">
            <v>46139</v>
          </cell>
          <cell r="H107">
            <v>46140</v>
          </cell>
        </row>
        <row r="108">
          <cell r="D108">
            <v>110001290308</v>
          </cell>
          <cell r="E108" t="str">
            <v>2189-B2505F G0020 20107993</v>
          </cell>
          <cell r="F108">
            <v>1000</v>
          </cell>
          <cell r="G108">
            <v>46138</v>
          </cell>
          <cell r="H108">
            <v>46139</v>
          </cell>
        </row>
        <row r="109">
          <cell r="D109">
            <v>110001290309</v>
          </cell>
          <cell r="E109" t="str">
            <v>2189-B2505F-D 20107993</v>
          </cell>
          <cell r="F109">
            <v>1000</v>
          </cell>
          <cell r="G109">
            <v>46138</v>
          </cell>
          <cell r="H109">
            <v>46139</v>
          </cell>
        </row>
        <row r="110">
          <cell r="D110">
            <v>110001290310</v>
          </cell>
          <cell r="E110" t="str">
            <v>2189-B2505A-KN 2489739</v>
          </cell>
          <cell r="F110">
            <v>1000</v>
          </cell>
          <cell r="G110">
            <v>46138</v>
          </cell>
          <cell r="H110">
            <v>46139</v>
          </cell>
        </row>
        <row r="111">
          <cell r="D111">
            <v>110001290311</v>
          </cell>
          <cell r="E111" t="str">
            <v>2189-B2505F-D 20107993</v>
          </cell>
          <cell r="F111">
            <v>1000</v>
          </cell>
          <cell r="G111">
            <v>46136</v>
          </cell>
          <cell r="H111">
            <v>46137</v>
          </cell>
        </row>
        <row r="112">
          <cell r="D112">
            <v>110001290312</v>
          </cell>
          <cell r="E112" t="str">
            <v>2189-B2505F G0020 20107993</v>
          </cell>
          <cell r="F112">
            <v>1000</v>
          </cell>
          <cell r="G112">
            <v>46140</v>
          </cell>
          <cell r="H112">
            <v>46141</v>
          </cell>
        </row>
        <row r="113">
          <cell r="D113">
            <v>110001290313</v>
          </cell>
          <cell r="E113" t="str">
            <v>2189-B2505F-D 20107993</v>
          </cell>
          <cell r="F113">
            <v>1000</v>
          </cell>
          <cell r="G113">
            <v>46140</v>
          </cell>
          <cell r="H113">
            <v>46141</v>
          </cell>
        </row>
        <row r="114">
          <cell r="D114">
            <v>110001290314</v>
          </cell>
          <cell r="E114" t="str">
            <v>2189-B2505A-KN 2489739</v>
          </cell>
          <cell r="F114">
            <v>1000</v>
          </cell>
          <cell r="G114">
            <v>46140</v>
          </cell>
          <cell r="H114">
            <v>46141</v>
          </cell>
        </row>
        <row r="115">
          <cell r="D115">
            <v>110001290315</v>
          </cell>
          <cell r="E115" t="str">
            <v>2189-B2505F-D 20107993</v>
          </cell>
          <cell r="F115">
            <v>1000</v>
          </cell>
          <cell r="G115">
            <v>46138</v>
          </cell>
          <cell r="H115">
            <v>46139</v>
          </cell>
        </row>
        <row r="116">
          <cell r="D116">
            <v>110001290374</v>
          </cell>
          <cell r="E116" t="str">
            <v>2189-B2505M G0020 20159286</v>
          </cell>
          <cell r="F116">
            <v>1000</v>
          </cell>
          <cell r="G116">
            <v>46151</v>
          </cell>
          <cell r="H116">
            <v>46152</v>
          </cell>
        </row>
        <row r="117">
          <cell r="D117">
            <v>110001290375</v>
          </cell>
          <cell r="E117" t="str">
            <v>2189-B2505M-D 20159286</v>
          </cell>
          <cell r="F117">
            <v>1000</v>
          </cell>
          <cell r="G117">
            <v>46151</v>
          </cell>
          <cell r="H117">
            <v>46152</v>
          </cell>
        </row>
        <row r="118">
          <cell r="D118">
            <v>110001290376</v>
          </cell>
          <cell r="E118" t="str">
            <v>2189-B2505A-KN 2489739</v>
          </cell>
          <cell r="F118">
            <v>1000</v>
          </cell>
          <cell r="G118">
            <v>46151</v>
          </cell>
          <cell r="H118">
            <v>46152</v>
          </cell>
        </row>
        <row r="119">
          <cell r="D119">
            <v>110001290377</v>
          </cell>
          <cell r="E119" t="str">
            <v>2189-B2505M-D 20159286</v>
          </cell>
          <cell r="F119">
            <v>1000</v>
          </cell>
          <cell r="G119">
            <v>46149</v>
          </cell>
          <cell r="H119">
            <v>46150</v>
          </cell>
        </row>
        <row r="120">
          <cell r="D120">
            <v>110001290452</v>
          </cell>
          <cell r="E120" t="str">
            <v>2189-B2505Y G0020 20217726</v>
          </cell>
          <cell r="F120">
            <v>2000</v>
          </cell>
          <cell r="G120">
            <v>46146</v>
          </cell>
          <cell r="H120">
            <v>46147</v>
          </cell>
        </row>
        <row r="121">
          <cell r="D121">
            <v>110001290453</v>
          </cell>
          <cell r="E121" t="str">
            <v>2189-B2505A-KN 2489739</v>
          </cell>
          <cell r="F121">
            <v>2000</v>
          </cell>
          <cell r="G121">
            <v>46146</v>
          </cell>
          <cell r="H121">
            <v>46147</v>
          </cell>
        </row>
        <row r="122">
          <cell r="D122">
            <v>110001290455</v>
          </cell>
          <cell r="E122" t="str">
            <v>2189-B2505Y-D 20217726</v>
          </cell>
          <cell r="F122">
            <v>2000</v>
          </cell>
          <cell r="G122">
            <v>46146</v>
          </cell>
          <cell r="H122">
            <v>46147</v>
          </cell>
        </row>
        <row r="123">
          <cell r="D123">
            <v>110001290459</v>
          </cell>
          <cell r="E123" t="str">
            <v>2189-B2505Y-D 20217726</v>
          </cell>
          <cell r="F123">
            <v>2000</v>
          </cell>
          <cell r="G123">
            <v>46144</v>
          </cell>
          <cell r="H123">
            <v>46145</v>
          </cell>
        </row>
        <row r="124">
          <cell r="D124">
            <v>110001292180</v>
          </cell>
          <cell r="E124" t="str">
            <v>693-C2260A-PC 0011801256B</v>
          </cell>
          <cell r="F124">
            <v>1000</v>
          </cell>
          <cell r="G124">
            <v>46141</v>
          </cell>
          <cell r="H124">
            <v>46142</v>
          </cell>
        </row>
        <row r="125">
          <cell r="D125">
            <v>110001292181</v>
          </cell>
          <cell r="E125" t="str">
            <v>693-C2260A-PC 0011801256B</v>
          </cell>
          <cell r="F125">
            <v>1000</v>
          </cell>
          <cell r="G125">
            <v>46139</v>
          </cell>
          <cell r="H125">
            <v>46140</v>
          </cell>
        </row>
        <row r="126">
          <cell r="D126">
            <v>110001292182</v>
          </cell>
          <cell r="E126" t="str">
            <v>693-C2260D-PC 0011801256R</v>
          </cell>
          <cell r="F126">
            <v>400</v>
          </cell>
          <cell r="G126">
            <v>46138</v>
          </cell>
          <cell r="H126">
            <v>46139</v>
          </cell>
        </row>
        <row r="127">
          <cell r="D127">
            <v>110001292183</v>
          </cell>
          <cell r="E127" t="str">
            <v>693-C2260D-PC 0011801256R</v>
          </cell>
          <cell r="F127">
            <v>400</v>
          </cell>
          <cell r="G127">
            <v>46136</v>
          </cell>
          <cell r="H127">
            <v>46137</v>
          </cell>
        </row>
        <row r="128">
          <cell r="D128">
            <v>110001292188</v>
          </cell>
          <cell r="E128" t="str">
            <v>693-C2256E-PC 0011801123J</v>
          </cell>
          <cell r="F128">
            <v>200</v>
          </cell>
          <cell r="G128">
            <v>46141</v>
          </cell>
          <cell r="H128">
            <v>46142</v>
          </cell>
        </row>
        <row r="129">
          <cell r="D129">
            <v>110001292189</v>
          </cell>
          <cell r="E129" t="str">
            <v>693-C2256E-PC 0011801123J</v>
          </cell>
          <cell r="F129">
            <v>200</v>
          </cell>
          <cell r="G129">
            <v>46139</v>
          </cell>
          <cell r="H129">
            <v>46140</v>
          </cell>
        </row>
        <row r="130">
          <cell r="D130">
            <v>110001292196</v>
          </cell>
          <cell r="E130" t="str">
            <v>693-C2373A-PC  0011800980E</v>
          </cell>
          <cell r="F130">
            <v>200</v>
          </cell>
          <cell r="G130">
            <v>46137</v>
          </cell>
          <cell r="H130">
            <v>46138</v>
          </cell>
        </row>
        <row r="131">
          <cell r="D131">
            <v>110001292197</v>
          </cell>
          <cell r="E131" t="str">
            <v>693-C2373A-PC 0011800980E</v>
          </cell>
          <cell r="F131">
            <v>200</v>
          </cell>
          <cell r="G131">
            <v>46136</v>
          </cell>
          <cell r="H131">
            <v>46136</v>
          </cell>
        </row>
        <row r="132">
          <cell r="D132">
            <v>110001292198</v>
          </cell>
          <cell r="E132" t="str">
            <v>693-C23D5A-PC 0151801031</v>
          </cell>
          <cell r="F132">
            <v>800</v>
          </cell>
          <cell r="G132">
            <v>46140</v>
          </cell>
          <cell r="H132">
            <v>46141</v>
          </cell>
        </row>
        <row r="133">
          <cell r="D133">
            <v>110001292199</v>
          </cell>
          <cell r="E133" t="str">
            <v>693-C23D5A-PC 0151801031</v>
          </cell>
          <cell r="F133">
            <v>800</v>
          </cell>
          <cell r="G133">
            <v>46138</v>
          </cell>
          <cell r="H133">
            <v>46139</v>
          </cell>
        </row>
        <row r="134">
          <cell r="D134">
            <v>110001292200</v>
          </cell>
          <cell r="E134" t="str">
            <v>693-C23D5B-PC 0151801031A</v>
          </cell>
          <cell r="F134">
            <v>600</v>
          </cell>
          <cell r="G134">
            <v>46148</v>
          </cell>
          <cell r="H134">
            <v>46149</v>
          </cell>
        </row>
        <row r="135">
          <cell r="D135">
            <v>110001292201</v>
          </cell>
          <cell r="E135" t="str">
            <v>693-C23D5B-PC 0151801031A</v>
          </cell>
          <cell r="F135">
            <v>600</v>
          </cell>
          <cell r="G135">
            <v>46146</v>
          </cell>
          <cell r="H135">
            <v>46147</v>
          </cell>
        </row>
        <row r="136">
          <cell r="D136">
            <v>110001292232</v>
          </cell>
          <cell r="E136" t="str">
            <v>500323-C24F6B-PC 0041801140A</v>
          </cell>
          <cell r="F136">
            <v>1052</v>
          </cell>
          <cell r="G136">
            <v>46141</v>
          </cell>
          <cell r="H136">
            <v>46142</v>
          </cell>
        </row>
        <row r="137">
          <cell r="D137">
            <v>110001292234</v>
          </cell>
          <cell r="E137" t="str">
            <v>贴片部件 500323-C24F6B-PC 0041801140A</v>
          </cell>
          <cell r="F137">
            <v>1052</v>
          </cell>
          <cell r="G137">
            <v>46139</v>
          </cell>
          <cell r="H137">
            <v>46140</v>
          </cell>
        </row>
        <row r="138">
          <cell r="D138">
            <v>110001292275</v>
          </cell>
          <cell r="E138" t="str">
            <v>500323-C24G5A-D G0044 0011801911 新</v>
          </cell>
          <cell r="F138">
            <v>30000</v>
          </cell>
          <cell r="G138">
            <v>46138</v>
          </cell>
          <cell r="H138">
            <v>46139</v>
          </cell>
        </row>
        <row r="139">
          <cell r="D139">
            <v>110001292276</v>
          </cell>
          <cell r="E139" t="str">
            <v>500323-C24G5A-D 0011801911 新</v>
          </cell>
          <cell r="F139">
            <v>30000</v>
          </cell>
          <cell r="G139">
            <v>46136</v>
          </cell>
          <cell r="H139">
            <v>46137</v>
          </cell>
        </row>
        <row r="140">
          <cell r="D140">
            <v>110001292277</v>
          </cell>
          <cell r="E140" t="str">
            <v>500323-C24G5A-D G0044 0011801911 新</v>
          </cell>
          <cell r="F140">
            <v>30000</v>
          </cell>
          <cell r="G140">
            <v>46147</v>
          </cell>
          <cell r="H140">
            <v>46148</v>
          </cell>
        </row>
        <row r="141">
          <cell r="D141">
            <v>110001292278</v>
          </cell>
          <cell r="E141" t="str">
            <v>500323-C24G5A-D 0011801911 新</v>
          </cell>
          <cell r="F141">
            <v>30000</v>
          </cell>
          <cell r="G141">
            <v>46145</v>
          </cell>
          <cell r="H141">
            <v>46146</v>
          </cell>
        </row>
        <row r="142">
          <cell r="D142">
            <v>110001292283</v>
          </cell>
          <cell r="E142" t="str">
            <v>500323-C24L6G-PC G0044 0011801172DM</v>
          </cell>
          <cell r="F142">
            <v>638</v>
          </cell>
          <cell r="G142">
            <v>46140</v>
          </cell>
          <cell r="H142">
            <v>46141</v>
          </cell>
        </row>
        <row r="143">
          <cell r="D143">
            <v>110001292284</v>
          </cell>
          <cell r="E143" t="str">
            <v>500323-C24L6G-PC 0011801172DM</v>
          </cell>
          <cell r="F143">
            <v>638</v>
          </cell>
          <cell r="G143">
            <v>46138</v>
          </cell>
          <cell r="H143">
            <v>46139</v>
          </cell>
        </row>
        <row r="144">
          <cell r="D144">
            <v>110001292293</v>
          </cell>
          <cell r="E144" t="str">
            <v>693-C2532B-PC G0044 0011802020A</v>
          </cell>
          <cell r="F144">
            <v>900</v>
          </cell>
          <cell r="G144">
            <v>46139</v>
          </cell>
          <cell r="H144">
            <v>46140</v>
          </cell>
        </row>
        <row r="145">
          <cell r="D145">
            <v>110001292294</v>
          </cell>
          <cell r="E145" t="str">
            <v>693-C2532B-PC 0011802020A</v>
          </cell>
          <cell r="F145">
            <v>900</v>
          </cell>
          <cell r="G145">
            <v>46137</v>
          </cell>
          <cell r="H145">
            <v>46138</v>
          </cell>
        </row>
        <row r="146">
          <cell r="D146">
            <v>110001292297</v>
          </cell>
          <cell r="E146" t="str">
            <v>693-C2596A-D G0044 0041801949</v>
          </cell>
          <cell r="F146">
            <v>2000</v>
          </cell>
          <cell r="G146">
            <v>46138</v>
          </cell>
          <cell r="H146">
            <v>46139</v>
          </cell>
        </row>
        <row r="147">
          <cell r="D147">
            <v>110001292298</v>
          </cell>
          <cell r="E147" t="str">
            <v>693-C2596A-D 0041801949</v>
          </cell>
          <cell r="F147">
            <v>2000</v>
          </cell>
          <cell r="G147">
            <v>46136</v>
          </cell>
          <cell r="H147">
            <v>46137</v>
          </cell>
        </row>
        <row r="148">
          <cell r="D148">
            <v>110001292307</v>
          </cell>
          <cell r="E148" t="str">
            <v>693-B25D2A-PC G0044 0011801330AJ</v>
          </cell>
          <cell r="F148">
            <v>400</v>
          </cell>
          <cell r="G148">
            <v>46141</v>
          </cell>
          <cell r="H148">
            <v>46142</v>
          </cell>
        </row>
        <row r="149">
          <cell r="D149">
            <v>110001292308</v>
          </cell>
          <cell r="E149" t="str">
            <v>693-B25D2A-PC 0011801330AJ</v>
          </cell>
          <cell r="F149">
            <v>400</v>
          </cell>
          <cell r="G149">
            <v>46139</v>
          </cell>
          <cell r="H149">
            <v>46140</v>
          </cell>
        </row>
        <row r="150">
          <cell r="D150">
            <v>110001292399</v>
          </cell>
          <cell r="E150" t="str">
            <v>2189-B2505A G0020 2489739</v>
          </cell>
          <cell r="F150">
            <v>1000</v>
          </cell>
          <cell r="G150">
            <v>46146</v>
          </cell>
          <cell r="H150">
            <v>46147</v>
          </cell>
        </row>
        <row r="151">
          <cell r="D151">
            <v>110001292400</v>
          </cell>
          <cell r="E151" t="str">
            <v>2189-B2505A-D 2489739</v>
          </cell>
          <cell r="F151">
            <v>1000</v>
          </cell>
          <cell r="G151">
            <v>46146</v>
          </cell>
          <cell r="H151">
            <v>46147</v>
          </cell>
        </row>
        <row r="152">
          <cell r="D152">
            <v>110001292401</v>
          </cell>
          <cell r="E152" t="str">
            <v>2189-B2505A-KN 2489739</v>
          </cell>
          <cell r="F152">
            <v>1000</v>
          </cell>
          <cell r="G152">
            <v>46146</v>
          </cell>
          <cell r="H152">
            <v>46147</v>
          </cell>
        </row>
        <row r="153">
          <cell r="D153">
            <v>110001292402</v>
          </cell>
          <cell r="E153" t="str">
            <v>2189-B2505A-D 2489739</v>
          </cell>
          <cell r="F153">
            <v>1000</v>
          </cell>
          <cell r="G153">
            <v>46144</v>
          </cell>
          <cell r="H153">
            <v>46145</v>
          </cell>
        </row>
        <row r="154">
          <cell r="D154">
            <v>110001292403</v>
          </cell>
          <cell r="E154" t="str">
            <v>2189-B2505A G0020 2489739</v>
          </cell>
          <cell r="F154">
            <v>2100</v>
          </cell>
          <cell r="G154">
            <v>46151</v>
          </cell>
          <cell r="H154">
            <v>46152</v>
          </cell>
        </row>
        <row r="155">
          <cell r="D155">
            <v>110001292404</v>
          </cell>
          <cell r="E155" t="str">
            <v>2189-B2505A-D 2489739</v>
          </cell>
          <cell r="F155">
            <v>2100</v>
          </cell>
          <cell r="G155">
            <v>46151</v>
          </cell>
          <cell r="H155">
            <v>46152</v>
          </cell>
        </row>
        <row r="156">
          <cell r="D156">
            <v>110001292405</v>
          </cell>
          <cell r="E156" t="str">
            <v>2189-B2505A-KN 2489739</v>
          </cell>
          <cell r="F156">
            <v>2100</v>
          </cell>
          <cell r="G156">
            <v>46151</v>
          </cell>
          <cell r="H156">
            <v>46152</v>
          </cell>
        </row>
        <row r="157">
          <cell r="D157">
            <v>110001292406</v>
          </cell>
          <cell r="E157" t="str">
            <v>2189-B2505A-D 2489739</v>
          </cell>
          <cell r="F157">
            <v>2100</v>
          </cell>
          <cell r="G157">
            <v>46149</v>
          </cell>
          <cell r="H157">
            <v>46150</v>
          </cell>
        </row>
        <row r="158">
          <cell r="D158">
            <v>110001292431</v>
          </cell>
          <cell r="E158" t="str">
            <v>2189-B2505G G0020 20112794</v>
          </cell>
          <cell r="F158">
            <v>1000</v>
          </cell>
          <cell r="G158">
            <v>46147</v>
          </cell>
          <cell r="H158">
            <v>46148</v>
          </cell>
        </row>
        <row r="159">
          <cell r="D159">
            <v>110001292432</v>
          </cell>
          <cell r="E159" t="str">
            <v>2189-B2505G-D 20112794</v>
          </cell>
          <cell r="F159">
            <v>1000</v>
          </cell>
          <cell r="G159">
            <v>46147</v>
          </cell>
          <cell r="H159">
            <v>46148</v>
          </cell>
        </row>
        <row r="160">
          <cell r="D160">
            <v>110001292433</v>
          </cell>
          <cell r="E160" t="str">
            <v>2189-B2505A-KN 2489739</v>
          </cell>
          <cell r="F160">
            <v>1000</v>
          </cell>
          <cell r="G160">
            <v>46147</v>
          </cell>
          <cell r="H160">
            <v>46148</v>
          </cell>
        </row>
        <row r="161">
          <cell r="D161">
            <v>110001292434</v>
          </cell>
          <cell r="E161" t="str">
            <v>2189-B2505G-D 20112794</v>
          </cell>
          <cell r="F161">
            <v>1000</v>
          </cell>
          <cell r="G161">
            <v>46145</v>
          </cell>
          <cell r="H161">
            <v>46146</v>
          </cell>
        </row>
        <row r="162">
          <cell r="D162">
            <v>110001292477</v>
          </cell>
          <cell r="E162" t="str">
            <v>2189-B2507A G0020 20127550</v>
          </cell>
          <cell r="F162">
            <v>2000</v>
          </cell>
          <cell r="G162">
            <v>46138</v>
          </cell>
          <cell r="H162">
            <v>46139</v>
          </cell>
        </row>
        <row r="163">
          <cell r="D163">
            <v>110001292478</v>
          </cell>
          <cell r="E163" t="str">
            <v>2189-B2507A-D 20127550</v>
          </cell>
          <cell r="F163">
            <v>2000</v>
          </cell>
          <cell r="G163">
            <v>46138</v>
          </cell>
          <cell r="H163">
            <v>46139</v>
          </cell>
        </row>
        <row r="164">
          <cell r="D164">
            <v>110001292479</v>
          </cell>
          <cell r="E164" t="str">
            <v>2189-B2505A-KN 2489739</v>
          </cell>
          <cell r="F164">
            <v>2000</v>
          </cell>
          <cell r="G164">
            <v>46138</v>
          </cell>
          <cell r="H164">
            <v>46139</v>
          </cell>
        </row>
        <row r="165">
          <cell r="D165">
            <v>110001292480</v>
          </cell>
          <cell r="E165" t="str">
            <v>2189-B2507A-D 20127550</v>
          </cell>
          <cell r="F165">
            <v>2000</v>
          </cell>
          <cell r="G165">
            <v>46136</v>
          </cell>
          <cell r="H165">
            <v>46137</v>
          </cell>
        </row>
        <row r="166">
          <cell r="D166">
            <v>110001292481</v>
          </cell>
          <cell r="E166" t="str">
            <v>2189-B2507A G0020 20127550</v>
          </cell>
          <cell r="F166">
            <v>2000</v>
          </cell>
          <cell r="G166">
            <v>46140</v>
          </cell>
          <cell r="H166">
            <v>46141</v>
          </cell>
        </row>
        <row r="167">
          <cell r="D167">
            <v>110001292482</v>
          </cell>
          <cell r="E167" t="str">
            <v>2189-B2507A-D 20127550</v>
          </cell>
          <cell r="F167">
            <v>2000</v>
          </cell>
          <cell r="G167">
            <v>46140</v>
          </cell>
          <cell r="H167">
            <v>46141</v>
          </cell>
        </row>
        <row r="168">
          <cell r="D168">
            <v>110001292483</v>
          </cell>
          <cell r="E168" t="str">
            <v>2189-B2505A-KN 2489739</v>
          </cell>
          <cell r="F168">
            <v>2000</v>
          </cell>
          <cell r="G168">
            <v>46140</v>
          </cell>
          <cell r="H168">
            <v>46141</v>
          </cell>
        </row>
        <row r="169">
          <cell r="D169">
            <v>110001292484</v>
          </cell>
          <cell r="E169" t="str">
            <v>2189-B2507A-D 20127550</v>
          </cell>
          <cell r="F169">
            <v>2000</v>
          </cell>
          <cell r="G169">
            <v>46138</v>
          </cell>
          <cell r="H169">
            <v>46139</v>
          </cell>
        </row>
        <row r="170">
          <cell r="D170">
            <v>110001292485</v>
          </cell>
          <cell r="E170" t="str">
            <v>2189-B2507B G0020 20126720</v>
          </cell>
          <cell r="F170">
            <v>1002</v>
          </cell>
          <cell r="G170">
            <v>46138</v>
          </cell>
          <cell r="H170">
            <v>46139</v>
          </cell>
        </row>
        <row r="171">
          <cell r="D171">
            <v>110001292486</v>
          </cell>
          <cell r="E171" t="str">
            <v>2189-B2507B-D 20126720</v>
          </cell>
          <cell r="F171">
            <v>1002</v>
          </cell>
          <cell r="G171">
            <v>46138</v>
          </cell>
          <cell r="H171">
            <v>46139</v>
          </cell>
        </row>
        <row r="172">
          <cell r="D172">
            <v>110001292487</v>
          </cell>
          <cell r="E172" t="str">
            <v>2189-B2505A-KN 2489739</v>
          </cell>
          <cell r="F172">
            <v>1002</v>
          </cell>
          <cell r="G172">
            <v>46138</v>
          </cell>
          <cell r="H172">
            <v>46139</v>
          </cell>
        </row>
        <row r="173">
          <cell r="D173">
            <v>110001292488</v>
          </cell>
          <cell r="E173" t="str">
            <v>2189-B2507B-D 20126720</v>
          </cell>
          <cell r="F173">
            <v>1002</v>
          </cell>
          <cell r="G173">
            <v>46136</v>
          </cell>
          <cell r="H173">
            <v>46137</v>
          </cell>
        </row>
        <row r="174">
          <cell r="D174">
            <v>110001292501</v>
          </cell>
          <cell r="E174" t="str">
            <v>2189-B2507C G0020 20135510</v>
          </cell>
          <cell r="F174">
            <v>2000</v>
          </cell>
          <cell r="G174">
            <v>46145</v>
          </cell>
          <cell r="H174">
            <v>46146</v>
          </cell>
        </row>
        <row r="175">
          <cell r="D175">
            <v>110001292502</v>
          </cell>
          <cell r="E175" t="str">
            <v>2189-B2507C-D 20135510</v>
          </cell>
          <cell r="F175">
            <v>2000</v>
          </cell>
          <cell r="G175">
            <v>46145</v>
          </cell>
          <cell r="H175">
            <v>46146</v>
          </cell>
        </row>
        <row r="176">
          <cell r="D176">
            <v>110001292503</v>
          </cell>
          <cell r="E176" t="str">
            <v>2189-B2505A-KN 2489739</v>
          </cell>
          <cell r="F176">
            <v>2000</v>
          </cell>
          <cell r="G176">
            <v>46145</v>
          </cell>
          <cell r="H176">
            <v>46146</v>
          </cell>
        </row>
        <row r="177">
          <cell r="D177">
            <v>110001292504</v>
          </cell>
          <cell r="E177" t="str">
            <v>2189-B2507C-D 20135510</v>
          </cell>
          <cell r="F177">
            <v>2000</v>
          </cell>
          <cell r="G177">
            <v>46143</v>
          </cell>
          <cell r="H177">
            <v>46144</v>
          </cell>
        </row>
        <row r="178">
          <cell r="D178">
            <v>110001292521</v>
          </cell>
          <cell r="E178" t="str">
            <v>2189-B2505Y G0020 20217726</v>
          </cell>
          <cell r="F178">
            <v>1200</v>
          </cell>
          <cell r="G178">
            <v>46151</v>
          </cell>
          <cell r="H178">
            <v>46152</v>
          </cell>
        </row>
        <row r="179">
          <cell r="D179">
            <v>110001292522</v>
          </cell>
          <cell r="E179" t="str">
            <v>2189-B2505A-KN 2489739</v>
          </cell>
          <cell r="F179">
            <v>1200</v>
          </cell>
          <cell r="G179">
            <v>46151</v>
          </cell>
          <cell r="H179">
            <v>46152</v>
          </cell>
        </row>
        <row r="180">
          <cell r="D180">
            <v>110001292523</v>
          </cell>
          <cell r="E180" t="str">
            <v>2189-B2505Y-D 20217726</v>
          </cell>
          <cell r="F180">
            <v>1200</v>
          </cell>
          <cell r="G180">
            <v>46151</v>
          </cell>
          <cell r="H180">
            <v>46152</v>
          </cell>
        </row>
        <row r="181">
          <cell r="D181">
            <v>110001292524</v>
          </cell>
          <cell r="E181" t="str">
            <v>2189-B2505Y-D 20217726</v>
          </cell>
          <cell r="F181">
            <v>1200</v>
          </cell>
          <cell r="G181">
            <v>46149</v>
          </cell>
          <cell r="H181">
            <v>46150</v>
          </cell>
        </row>
        <row r="182">
          <cell r="D182">
            <v>110001292529</v>
          </cell>
          <cell r="E182" t="str">
            <v>2189-B2505Z G0020 20217734</v>
          </cell>
          <cell r="F182">
            <v>1998</v>
          </cell>
          <cell r="G182">
            <v>46149</v>
          </cell>
          <cell r="H182">
            <v>46150</v>
          </cell>
        </row>
        <row r="183">
          <cell r="D183">
            <v>110001292530</v>
          </cell>
          <cell r="E183" t="str">
            <v>2189-B2505A-KN 2489739</v>
          </cell>
          <cell r="F183">
            <v>1998</v>
          </cell>
          <cell r="G183">
            <v>46149</v>
          </cell>
          <cell r="H183">
            <v>46150</v>
          </cell>
        </row>
        <row r="184">
          <cell r="D184">
            <v>110001292531</v>
          </cell>
          <cell r="E184" t="str">
            <v>2189-B2505Z-D 20217734</v>
          </cell>
          <cell r="F184">
            <v>1998</v>
          </cell>
          <cell r="G184">
            <v>46149</v>
          </cell>
          <cell r="H184">
            <v>46150</v>
          </cell>
        </row>
        <row r="185">
          <cell r="D185">
            <v>110001292532</v>
          </cell>
          <cell r="E185" t="str">
            <v>2189-B2505Z-D 20217734</v>
          </cell>
          <cell r="F185">
            <v>1998</v>
          </cell>
          <cell r="G185">
            <v>46147</v>
          </cell>
          <cell r="H185">
            <v>46148</v>
          </cell>
        </row>
        <row r="186">
          <cell r="D186">
            <v>110001292549</v>
          </cell>
          <cell r="E186" t="str">
            <v>2189-B2507H G0020 20224799</v>
          </cell>
          <cell r="F186">
            <v>500</v>
          </cell>
          <cell r="G186">
            <v>46140</v>
          </cell>
          <cell r="H186">
            <v>46141</v>
          </cell>
        </row>
        <row r="187">
          <cell r="D187">
            <v>110001292550</v>
          </cell>
          <cell r="E187" t="str">
            <v>2189-B2505A-KN 2489739</v>
          </cell>
          <cell r="F187">
            <v>500</v>
          </cell>
          <cell r="G187">
            <v>46140</v>
          </cell>
          <cell r="H187">
            <v>46141</v>
          </cell>
        </row>
        <row r="188">
          <cell r="D188">
            <v>110001292551</v>
          </cell>
          <cell r="E188" t="str">
            <v>2189-B2507H-D 20224799</v>
          </cell>
          <cell r="F188">
            <v>500</v>
          </cell>
          <cell r="G188">
            <v>46140</v>
          </cell>
          <cell r="H188">
            <v>46141</v>
          </cell>
        </row>
        <row r="189">
          <cell r="D189">
            <v>110001292552</v>
          </cell>
          <cell r="E189" t="str">
            <v>2189-B2507H-D 20224799</v>
          </cell>
          <cell r="F189">
            <v>500</v>
          </cell>
          <cell r="G189">
            <v>46138</v>
          </cell>
          <cell r="H189">
            <v>46139</v>
          </cell>
        </row>
        <row r="190">
          <cell r="D190">
            <v>110001292557</v>
          </cell>
          <cell r="E190" t="str">
            <v>2189-B2507I G0020 20224800</v>
          </cell>
          <cell r="F190">
            <v>1200</v>
          </cell>
          <cell r="G190">
            <v>46138</v>
          </cell>
          <cell r="H190">
            <v>46139</v>
          </cell>
        </row>
        <row r="191">
          <cell r="D191">
            <v>110001292558</v>
          </cell>
          <cell r="E191" t="str">
            <v>2189-B2505A-KN 2489739</v>
          </cell>
          <cell r="F191">
            <v>1200</v>
          </cell>
          <cell r="G191">
            <v>46138</v>
          </cell>
          <cell r="H191">
            <v>46139</v>
          </cell>
        </row>
        <row r="192">
          <cell r="D192">
            <v>110001292559</v>
          </cell>
          <cell r="E192" t="str">
            <v>2189-B2507I-D 20224800</v>
          </cell>
          <cell r="F192">
            <v>1200</v>
          </cell>
          <cell r="G192">
            <v>46138</v>
          </cell>
          <cell r="H192">
            <v>46139</v>
          </cell>
        </row>
        <row r="193">
          <cell r="D193">
            <v>110001292560</v>
          </cell>
          <cell r="E193" t="str">
            <v>2189-B2507I-D 20224800</v>
          </cell>
          <cell r="F193">
            <v>1200</v>
          </cell>
          <cell r="G193">
            <v>46136</v>
          </cell>
          <cell r="H193">
            <v>46137</v>
          </cell>
        </row>
        <row r="194">
          <cell r="D194">
            <v>110001292573</v>
          </cell>
          <cell r="E194" t="str">
            <v>2189-B2505AH G0020 2504046</v>
          </cell>
          <cell r="F194">
            <v>700</v>
          </cell>
          <cell r="G194">
            <v>46149</v>
          </cell>
          <cell r="H194">
            <v>46150</v>
          </cell>
        </row>
        <row r="195">
          <cell r="D195">
            <v>110001292574</v>
          </cell>
          <cell r="E195" t="str">
            <v>2189-B2505A-KN 2489739</v>
          </cell>
          <cell r="F195">
            <v>700</v>
          </cell>
          <cell r="G195">
            <v>46149</v>
          </cell>
          <cell r="H195">
            <v>46150</v>
          </cell>
        </row>
        <row r="196">
          <cell r="D196">
            <v>110001292575</v>
          </cell>
          <cell r="E196" t="str">
            <v>2189-B2505AH-D 2504046</v>
          </cell>
          <cell r="F196">
            <v>700</v>
          </cell>
          <cell r="G196">
            <v>46149</v>
          </cell>
          <cell r="H196">
            <v>46150</v>
          </cell>
        </row>
        <row r="197">
          <cell r="D197">
            <v>110001292576</v>
          </cell>
          <cell r="E197" t="str">
            <v>2189-B2505AH-D 2504046</v>
          </cell>
          <cell r="F197">
            <v>700</v>
          </cell>
          <cell r="G197">
            <v>46147</v>
          </cell>
          <cell r="H197">
            <v>46148</v>
          </cell>
        </row>
        <row r="198">
          <cell r="D198">
            <v>110001292585</v>
          </cell>
          <cell r="E198" t="str">
            <v>2189-B2505AI G0020 2504047</v>
          </cell>
          <cell r="F198">
            <v>500</v>
          </cell>
          <cell r="G198">
            <v>46149</v>
          </cell>
          <cell r="H198">
            <v>46150</v>
          </cell>
        </row>
        <row r="199">
          <cell r="D199">
            <v>110001292586</v>
          </cell>
          <cell r="E199" t="str">
            <v>2189-B2505A-KN 2489739</v>
          </cell>
          <cell r="F199">
            <v>500</v>
          </cell>
          <cell r="G199">
            <v>46149</v>
          </cell>
          <cell r="H199">
            <v>46150</v>
          </cell>
        </row>
        <row r="200">
          <cell r="D200">
            <v>110001292587</v>
          </cell>
          <cell r="E200" t="str">
            <v>2189-B2505AI-D 2504047</v>
          </cell>
          <cell r="F200">
            <v>500</v>
          </cell>
          <cell r="G200">
            <v>46149</v>
          </cell>
          <cell r="H200">
            <v>46150</v>
          </cell>
        </row>
        <row r="201">
          <cell r="D201">
            <v>110001292588</v>
          </cell>
          <cell r="E201" t="str">
            <v>2189-B2505AI-D 2504047</v>
          </cell>
          <cell r="F201">
            <v>500</v>
          </cell>
          <cell r="G201">
            <v>46147</v>
          </cell>
          <cell r="H201">
            <v>46148</v>
          </cell>
        </row>
        <row r="202">
          <cell r="D202">
            <v>110001292589</v>
          </cell>
          <cell r="E202" t="str">
            <v>2189-B2505AI G0020 2504047</v>
          </cell>
          <cell r="F202">
            <v>1500</v>
          </cell>
          <cell r="G202">
            <v>46139</v>
          </cell>
          <cell r="H202">
            <v>46140</v>
          </cell>
        </row>
        <row r="203">
          <cell r="D203">
            <v>110001292590</v>
          </cell>
          <cell r="E203" t="str">
            <v>2189-B2505A-KN 2489739</v>
          </cell>
          <cell r="F203">
            <v>1500</v>
          </cell>
          <cell r="G203">
            <v>46139</v>
          </cell>
          <cell r="H203">
            <v>46140</v>
          </cell>
        </row>
        <row r="204">
          <cell r="D204">
            <v>110001292591</v>
          </cell>
          <cell r="E204" t="str">
            <v>2189-B2505AI-D 2504047</v>
          </cell>
          <cell r="F204">
            <v>1500</v>
          </cell>
          <cell r="G204">
            <v>46139</v>
          </cell>
          <cell r="H204">
            <v>46140</v>
          </cell>
        </row>
        <row r="205">
          <cell r="D205">
            <v>110001292592</v>
          </cell>
          <cell r="E205" t="str">
            <v>2189-B2505AI-D 2504047</v>
          </cell>
          <cell r="F205">
            <v>1500</v>
          </cell>
          <cell r="G205">
            <v>46137</v>
          </cell>
          <cell r="H205">
            <v>46138</v>
          </cell>
        </row>
        <row r="206">
          <cell r="D206">
            <v>110001292625</v>
          </cell>
          <cell r="E206" t="str">
            <v>500323-C24D2E-D G0044 0021800616G</v>
          </cell>
          <cell r="F206">
            <v>1000</v>
          </cell>
          <cell r="G206">
            <v>46149</v>
          </cell>
          <cell r="H206">
            <v>46150</v>
          </cell>
        </row>
        <row r="207">
          <cell r="D207">
            <v>110001292626</v>
          </cell>
          <cell r="E207" t="str">
            <v>500323-C24D2E-D 0021800616G</v>
          </cell>
          <cell r="F207">
            <v>1000</v>
          </cell>
          <cell r="G207">
            <v>46147</v>
          </cell>
          <cell r="H207">
            <v>46148</v>
          </cell>
        </row>
        <row r="208">
          <cell r="D208">
            <v>110001292667</v>
          </cell>
          <cell r="E208" t="str">
            <v>2189-B2505AK G0020 20246774</v>
          </cell>
          <cell r="F208">
            <v>2000</v>
          </cell>
          <cell r="G208">
            <v>46140</v>
          </cell>
          <cell r="H208">
            <v>46141</v>
          </cell>
        </row>
        <row r="209">
          <cell r="D209">
            <v>110001292668</v>
          </cell>
          <cell r="E209" t="str">
            <v>2189-B2505A-KN 2489739</v>
          </cell>
          <cell r="F209">
            <v>2000</v>
          </cell>
          <cell r="G209">
            <v>46140</v>
          </cell>
          <cell r="H209">
            <v>46141</v>
          </cell>
        </row>
        <row r="210">
          <cell r="D210">
            <v>110001292669</v>
          </cell>
          <cell r="E210" t="str">
            <v>2189-B2505AK-D 20246774</v>
          </cell>
          <cell r="F210">
            <v>2000</v>
          </cell>
          <cell r="G210">
            <v>46140</v>
          </cell>
          <cell r="H210">
            <v>46141</v>
          </cell>
        </row>
        <row r="211">
          <cell r="D211">
            <v>110001292670</v>
          </cell>
          <cell r="E211" t="str">
            <v>2189-B2505AK-D 20246774</v>
          </cell>
          <cell r="F211">
            <v>2000</v>
          </cell>
          <cell r="G211">
            <v>46138</v>
          </cell>
          <cell r="H211">
            <v>46139</v>
          </cell>
        </row>
        <row r="212">
          <cell r="D212">
            <v>110001292671</v>
          </cell>
          <cell r="E212" t="str">
            <v>2189-B2505AK G0020 20246774</v>
          </cell>
          <cell r="F212">
            <v>2000</v>
          </cell>
          <cell r="G212">
            <v>46146</v>
          </cell>
          <cell r="H212">
            <v>46147</v>
          </cell>
        </row>
        <row r="213">
          <cell r="D213">
            <v>110001292672</v>
          </cell>
          <cell r="E213" t="str">
            <v>2189-B2505A-KN 2489739</v>
          </cell>
          <cell r="F213">
            <v>2000</v>
          </cell>
          <cell r="G213">
            <v>46146</v>
          </cell>
          <cell r="H213">
            <v>46147</v>
          </cell>
        </row>
        <row r="214">
          <cell r="D214">
            <v>110001292673</v>
          </cell>
          <cell r="E214" t="str">
            <v>2189-B2505AK-D 20246774</v>
          </cell>
          <cell r="F214">
            <v>2000</v>
          </cell>
          <cell r="G214">
            <v>46146</v>
          </cell>
          <cell r="H214">
            <v>46147</v>
          </cell>
        </row>
        <row r="215">
          <cell r="D215">
            <v>110001292674</v>
          </cell>
          <cell r="E215" t="str">
            <v>2189-B2505AK-D 20246774</v>
          </cell>
          <cell r="F215">
            <v>2000</v>
          </cell>
          <cell r="G215">
            <v>46144</v>
          </cell>
          <cell r="H215">
            <v>46145</v>
          </cell>
        </row>
        <row r="216">
          <cell r="D216">
            <v>110001292675</v>
          </cell>
          <cell r="E216" t="str">
            <v>2189-B2507H G0020 20224799</v>
          </cell>
          <cell r="F216">
            <v>1200</v>
          </cell>
          <cell r="G216">
            <v>46146</v>
          </cell>
          <cell r="H216">
            <v>46147</v>
          </cell>
        </row>
        <row r="217">
          <cell r="D217">
            <v>110001292676</v>
          </cell>
          <cell r="E217" t="str">
            <v>2189-B2505A-KN 2489739</v>
          </cell>
          <cell r="F217">
            <v>1200</v>
          </cell>
          <cell r="G217">
            <v>46146</v>
          </cell>
          <cell r="H217">
            <v>46147</v>
          </cell>
        </row>
        <row r="218">
          <cell r="D218">
            <v>110001292677</v>
          </cell>
          <cell r="E218" t="str">
            <v>2189-B2507H-D 20224799</v>
          </cell>
          <cell r="F218">
            <v>1200</v>
          </cell>
          <cell r="G218">
            <v>46146</v>
          </cell>
          <cell r="H218">
            <v>46147</v>
          </cell>
        </row>
        <row r="219">
          <cell r="D219">
            <v>110001292678</v>
          </cell>
          <cell r="E219" t="str">
            <v>2189-B2507H-D 20224799</v>
          </cell>
          <cell r="F219">
            <v>1200</v>
          </cell>
          <cell r="G219">
            <v>46144</v>
          </cell>
          <cell r="H219">
            <v>46145</v>
          </cell>
        </row>
        <row r="220">
          <cell r="D220">
            <v>110001293431</v>
          </cell>
          <cell r="E220" t="str">
            <v>693-A2179B-PC 0011800630M</v>
          </cell>
          <cell r="F220">
            <v>2200</v>
          </cell>
          <cell r="G220">
            <v>46141</v>
          </cell>
          <cell r="H220">
            <v>46142</v>
          </cell>
        </row>
        <row r="221">
          <cell r="D221">
            <v>110001293432</v>
          </cell>
          <cell r="E221" t="str">
            <v>693-A2179B-PC 0011800630M</v>
          </cell>
          <cell r="F221">
            <v>2200</v>
          </cell>
          <cell r="G221">
            <v>46139</v>
          </cell>
          <cell r="H221">
            <v>46140</v>
          </cell>
        </row>
        <row r="222">
          <cell r="D222">
            <v>110001293821</v>
          </cell>
          <cell r="E222" t="str">
            <v>693-B23I7A-PC 0011801039AM</v>
          </cell>
          <cell r="F222">
            <v>300</v>
          </cell>
          <cell r="G222">
            <v>46141</v>
          </cell>
          <cell r="H222">
            <v>46142</v>
          </cell>
        </row>
        <row r="223">
          <cell r="D223">
            <v>110001293822</v>
          </cell>
          <cell r="E223" t="str">
            <v>693-B23I7A-PC 0011801039AM</v>
          </cell>
          <cell r="F223">
            <v>300</v>
          </cell>
          <cell r="G223">
            <v>46139</v>
          </cell>
          <cell r="H223">
            <v>46140</v>
          </cell>
        </row>
        <row r="224">
          <cell r="D224">
            <v>110001293823</v>
          </cell>
          <cell r="E224" t="str">
            <v>693-B23I7B-PC 0011801039AN</v>
          </cell>
          <cell r="F224">
            <v>300</v>
          </cell>
          <cell r="G224">
            <v>46141</v>
          </cell>
          <cell r="H224">
            <v>46142</v>
          </cell>
        </row>
        <row r="225">
          <cell r="D225">
            <v>110001293824</v>
          </cell>
          <cell r="E225" t="str">
            <v>693-B23I7B-PC 0011801039AN</v>
          </cell>
          <cell r="F225">
            <v>300</v>
          </cell>
          <cell r="G225">
            <v>46139</v>
          </cell>
          <cell r="H225">
            <v>46140</v>
          </cell>
        </row>
        <row r="226">
          <cell r="D226">
            <v>110001293827</v>
          </cell>
          <cell r="E226" t="str">
            <v>693-C2516H-PC G0044 0011801675K</v>
          </cell>
          <cell r="F226">
            <v>600</v>
          </cell>
          <cell r="G226">
            <v>46137</v>
          </cell>
          <cell r="H226">
            <v>46138</v>
          </cell>
        </row>
        <row r="227">
          <cell r="D227">
            <v>110001293828</v>
          </cell>
          <cell r="E227" t="str">
            <v>693-C2516H-PC 0011801675K</v>
          </cell>
          <cell r="F227">
            <v>600</v>
          </cell>
          <cell r="G227">
            <v>46136</v>
          </cell>
          <cell r="H227">
            <v>46136</v>
          </cell>
        </row>
        <row r="228">
          <cell r="D228">
            <v>110001294544</v>
          </cell>
          <cell r="E228" t="str">
            <v>693-A2179E-PC    0011800630J</v>
          </cell>
          <cell r="F228">
            <v>4600</v>
          </cell>
          <cell r="G228">
            <v>46138</v>
          </cell>
          <cell r="H228">
            <v>46139</v>
          </cell>
        </row>
        <row r="229">
          <cell r="D229">
            <v>110001294546</v>
          </cell>
          <cell r="E229" t="str">
            <v>693-A2179E-PC 0011800630J</v>
          </cell>
          <cell r="F229">
            <v>4600</v>
          </cell>
          <cell r="G229">
            <v>46136</v>
          </cell>
          <cell r="H229">
            <v>46137</v>
          </cell>
        </row>
        <row r="230">
          <cell r="D230">
            <v>110001294612</v>
          </cell>
          <cell r="E230" t="str">
            <v>500323-C24D2C-D 0021800616A</v>
          </cell>
          <cell r="F230">
            <v>1000</v>
          </cell>
          <cell r="G230">
            <v>46151</v>
          </cell>
          <cell r="H230">
            <v>46152</v>
          </cell>
        </row>
        <row r="231">
          <cell r="D231">
            <v>110001294613</v>
          </cell>
          <cell r="E231" t="str">
            <v>500323-C24D2C-D 0021800616A</v>
          </cell>
          <cell r="F231">
            <v>1000</v>
          </cell>
          <cell r="G231">
            <v>46149</v>
          </cell>
          <cell r="H231">
            <v>46150</v>
          </cell>
        </row>
        <row r="232">
          <cell r="D232">
            <v>110001294968</v>
          </cell>
          <cell r="E232" t="str">
            <v>2189-B2507A G0020 20127550</v>
          </cell>
          <cell r="F232">
            <v>1500</v>
          </cell>
          <cell r="G232">
            <v>46146</v>
          </cell>
          <cell r="H232">
            <v>46147</v>
          </cell>
        </row>
        <row r="233">
          <cell r="D233">
            <v>110001294969</v>
          </cell>
          <cell r="E233" t="str">
            <v>2189-B2507A-D 20127550</v>
          </cell>
          <cell r="F233">
            <v>1500</v>
          </cell>
          <cell r="G233">
            <v>46146</v>
          </cell>
          <cell r="H233">
            <v>46147</v>
          </cell>
        </row>
        <row r="234">
          <cell r="D234">
            <v>110001294970</v>
          </cell>
          <cell r="E234" t="str">
            <v>2189-B2505A-KN 2489739</v>
          </cell>
          <cell r="F234">
            <v>1500</v>
          </cell>
          <cell r="G234">
            <v>46146</v>
          </cell>
          <cell r="H234">
            <v>46147</v>
          </cell>
        </row>
        <row r="235">
          <cell r="D235">
            <v>110001294971</v>
          </cell>
          <cell r="E235" t="str">
            <v>2189-B2507A-D 20127550</v>
          </cell>
          <cell r="F235">
            <v>1500</v>
          </cell>
          <cell r="G235">
            <v>46144</v>
          </cell>
          <cell r="H235">
            <v>46145</v>
          </cell>
        </row>
        <row r="236">
          <cell r="D236">
            <v>110001294980</v>
          </cell>
          <cell r="E236" t="str">
            <v>2189-B2507F G0020 20224797</v>
          </cell>
          <cell r="F236">
            <v>1000</v>
          </cell>
          <cell r="G236">
            <v>46147</v>
          </cell>
          <cell r="H236">
            <v>46148</v>
          </cell>
        </row>
        <row r="237">
          <cell r="D237">
            <v>110001294981</v>
          </cell>
          <cell r="E237" t="str">
            <v>2189-B2505A-KN 2489739</v>
          </cell>
          <cell r="F237">
            <v>1000</v>
          </cell>
          <cell r="G237">
            <v>46147</v>
          </cell>
          <cell r="H237">
            <v>46148</v>
          </cell>
        </row>
        <row r="238">
          <cell r="D238">
            <v>110001294982</v>
          </cell>
          <cell r="E238" t="str">
            <v>2189-B2507F-D 20224797</v>
          </cell>
          <cell r="F238">
            <v>1000</v>
          </cell>
          <cell r="G238">
            <v>46147</v>
          </cell>
          <cell r="H238">
            <v>46148</v>
          </cell>
        </row>
        <row r="239">
          <cell r="D239">
            <v>110001294983</v>
          </cell>
          <cell r="E239" t="str">
            <v>2189-B2507F-D 20224797</v>
          </cell>
          <cell r="F239">
            <v>1000</v>
          </cell>
          <cell r="G239">
            <v>46145</v>
          </cell>
          <cell r="H239">
            <v>46146</v>
          </cell>
        </row>
        <row r="240">
          <cell r="D240">
            <v>110001296232</v>
          </cell>
          <cell r="E240" t="str">
            <v>693-A2180G-PC 0011800646L</v>
          </cell>
          <cell r="F240">
            <v>1200</v>
          </cell>
          <cell r="G240">
            <v>46137</v>
          </cell>
          <cell r="H240">
            <v>46138</v>
          </cell>
        </row>
        <row r="241">
          <cell r="D241">
            <v>110001296233</v>
          </cell>
          <cell r="E241" t="str">
            <v>693-A2180G-PC 0011800646L</v>
          </cell>
          <cell r="F241">
            <v>1200</v>
          </cell>
          <cell r="G241">
            <v>46136</v>
          </cell>
          <cell r="H241">
            <v>46136</v>
          </cell>
        </row>
        <row r="242">
          <cell r="D242">
            <v>110001296234</v>
          </cell>
          <cell r="E242" t="str">
            <v>693-B2201B-PC 0011801424B</v>
          </cell>
          <cell r="F242">
            <v>5000</v>
          </cell>
          <cell r="G242">
            <v>46137</v>
          </cell>
          <cell r="H242">
            <v>46138</v>
          </cell>
        </row>
        <row r="243">
          <cell r="D243">
            <v>110001296235</v>
          </cell>
          <cell r="E243" t="str">
            <v>693-B2201B-PC 0011801424B</v>
          </cell>
          <cell r="F243">
            <v>5000</v>
          </cell>
          <cell r="G243">
            <v>46136</v>
          </cell>
          <cell r="H243">
            <v>46136</v>
          </cell>
        </row>
        <row r="244">
          <cell r="D244">
            <v>110001296236</v>
          </cell>
          <cell r="E244" t="str">
            <v>693-B2201B-PC 0011801424B</v>
          </cell>
          <cell r="F244">
            <v>5000</v>
          </cell>
          <cell r="G244">
            <v>46141</v>
          </cell>
          <cell r="H244">
            <v>46142</v>
          </cell>
        </row>
        <row r="245">
          <cell r="D245">
            <v>110001296237</v>
          </cell>
          <cell r="E245" t="str">
            <v>693-B2201B-PC 0011801424B</v>
          </cell>
          <cell r="F245">
            <v>5000</v>
          </cell>
          <cell r="G245">
            <v>46139</v>
          </cell>
          <cell r="H245">
            <v>46140</v>
          </cell>
        </row>
        <row r="246">
          <cell r="D246">
            <v>110001296238</v>
          </cell>
          <cell r="E246" t="str">
            <v>693-C2238A-PC 0011800977K</v>
          </cell>
          <cell r="F246">
            <v>600</v>
          </cell>
          <cell r="G246">
            <v>46139</v>
          </cell>
          <cell r="H246">
            <v>46140</v>
          </cell>
        </row>
        <row r="247">
          <cell r="D247">
            <v>110001296239</v>
          </cell>
          <cell r="E247" t="str">
            <v>693-C2238A-PC 0011800977K</v>
          </cell>
          <cell r="F247">
            <v>600</v>
          </cell>
          <cell r="G247">
            <v>46137</v>
          </cell>
          <cell r="H247">
            <v>46138</v>
          </cell>
        </row>
        <row r="248">
          <cell r="D248">
            <v>110001296252</v>
          </cell>
          <cell r="E248" t="str">
            <v>693-C23H4B-PC  0011801424AZ</v>
          </cell>
          <cell r="F248">
            <v>1000</v>
          </cell>
          <cell r="G248">
            <v>46141</v>
          </cell>
          <cell r="H248">
            <v>46142</v>
          </cell>
        </row>
        <row r="249">
          <cell r="D249">
            <v>110001296253</v>
          </cell>
          <cell r="E249" t="str">
            <v>693-C23H4B-PC 0011801424AZ</v>
          </cell>
          <cell r="F249">
            <v>1000</v>
          </cell>
          <cell r="G249">
            <v>46139</v>
          </cell>
          <cell r="H249">
            <v>46140</v>
          </cell>
        </row>
        <row r="250">
          <cell r="D250">
            <v>110001296258</v>
          </cell>
          <cell r="E250" t="str">
            <v>693-C2331B-PC 0011801593A</v>
          </cell>
          <cell r="F250">
            <v>300</v>
          </cell>
          <cell r="G250">
            <v>46140</v>
          </cell>
          <cell r="H250">
            <v>46141</v>
          </cell>
        </row>
        <row r="251">
          <cell r="D251">
            <v>110001296259</v>
          </cell>
          <cell r="E251" t="str">
            <v>693-C2331B-PC 0011801593A</v>
          </cell>
          <cell r="F251">
            <v>300</v>
          </cell>
          <cell r="G251">
            <v>46138</v>
          </cell>
          <cell r="H251">
            <v>46139</v>
          </cell>
        </row>
        <row r="252">
          <cell r="D252">
            <v>110001296276</v>
          </cell>
          <cell r="E252" t="str">
            <v>500323-C24L6G-PC G0044 0011801172DM</v>
          </cell>
          <cell r="F252">
            <v>3000</v>
          </cell>
          <cell r="G252">
            <v>46141</v>
          </cell>
          <cell r="H252">
            <v>46142</v>
          </cell>
        </row>
        <row r="253">
          <cell r="D253">
            <v>110001296277</v>
          </cell>
          <cell r="E253" t="str">
            <v>500323-C24L6G-PC 0011801172DM</v>
          </cell>
          <cell r="F253">
            <v>3000</v>
          </cell>
          <cell r="G253">
            <v>46139</v>
          </cell>
          <cell r="H253">
            <v>46140</v>
          </cell>
        </row>
        <row r="254">
          <cell r="D254">
            <v>110001296278</v>
          </cell>
          <cell r="E254" t="str">
            <v>500323-C24L6G-PC G0044 0011801172DM</v>
          </cell>
          <cell r="F254">
            <v>2000</v>
          </cell>
          <cell r="G254">
            <v>46141</v>
          </cell>
          <cell r="H254">
            <v>46142</v>
          </cell>
        </row>
        <row r="255">
          <cell r="D255">
            <v>110001296279</v>
          </cell>
          <cell r="E255" t="str">
            <v>500323-C24L6G-PC 0011801172DM</v>
          </cell>
          <cell r="F255">
            <v>2000</v>
          </cell>
          <cell r="G255">
            <v>46139</v>
          </cell>
          <cell r="H255">
            <v>46140</v>
          </cell>
        </row>
        <row r="256">
          <cell r="D256">
            <v>110001296280</v>
          </cell>
          <cell r="E256" t="str">
            <v>500323-C24L6H-PC G0044 0011801172DL</v>
          </cell>
          <cell r="F256">
            <v>600</v>
          </cell>
          <cell r="G256">
            <v>46138</v>
          </cell>
          <cell r="H256">
            <v>46139</v>
          </cell>
        </row>
        <row r="257">
          <cell r="D257">
            <v>110001296281</v>
          </cell>
          <cell r="E257" t="str">
            <v>500323-C24L6H-PC 0011801172DL</v>
          </cell>
          <cell r="F257">
            <v>600</v>
          </cell>
          <cell r="G257">
            <v>46136</v>
          </cell>
          <cell r="H257">
            <v>46137</v>
          </cell>
        </row>
        <row r="258">
          <cell r="D258">
            <v>110001296282</v>
          </cell>
          <cell r="E258" t="str">
            <v>693-C2516G-PC G0044 0011801675J</v>
          </cell>
          <cell r="F258">
            <v>2000</v>
          </cell>
          <cell r="G258">
            <v>46141</v>
          </cell>
          <cell r="H258">
            <v>46142</v>
          </cell>
        </row>
        <row r="259">
          <cell r="D259">
            <v>110001296283</v>
          </cell>
          <cell r="E259" t="str">
            <v>693-C2516G-PC 0011801675J</v>
          </cell>
          <cell r="F259">
            <v>2000</v>
          </cell>
          <cell r="G259">
            <v>46139</v>
          </cell>
          <cell r="H259">
            <v>46140</v>
          </cell>
        </row>
        <row r="260">
          <cell r="D260">
            <v>110001296286</v>
          </cell>
          <cell r="E260" t="str">
            <v>693-C2576B-PC G0044 0011801490BS</v>
          </cell>
          <cell r="F260">
            <v>200</v>
          </cell>
          <cell r="G260">
            <v>46136</v>
          </cell>
          <cell r="H260">
            <v>46137</v>
          </cell>
        </row>
        <row r="261">
          <cell r="D261">
            <v>110001296287</v>
          </cell>
          <cell r="E261" t="str">
            <v>693-C2576B-PC 0011801490BS</v>
          </cell>
          <cell r="F261">
            <v>200</v>
          </cell>
          <cell r="G261">
            <v>46136</v>
          </cell>
          <cell r="H261">
            <v>46135</v>
          </cell>
        </row>
        <row r="262">
          <cell r="D262">
            <v>110001296292</v>
          </cell>
          <cell r="E262" t="str">
            <v>693-C24Q3D-PC G0044 0011801977H</v>
          </cell>
          <cell r="F262">
            <v>2000</v>
          </cell>
          <cell r="G262">
            <v>46141</v>
          </cell>
          <cell r="H262">
            <v>46142</v>
          </cell>
        </row>
        <row r="263">
          <cell r="D263">
            <v>110001296293</v>
          </cell>
          <cell r="E263" t="str">
            <v>693-C24Q3D-PC 0011801977H</v>
          </cell>
          <cell r="F263">
            <v>2000</v>
          </cell>
          <cell r="G263">
            <v>46139</v>
          </cell>
          <cell r="H263">
            <v>46140</v>
          </cell>
        </row>
        <row r="264">
          <cell r="D264">
            <v>110001296323</v>
          </cell>
          <cell r="E264" t="str">
            <v>2189-B2507E G0020 20206798</v>
          </cell>
          <cell r="F264">
            <v>2400</v>
          </cell>
          <cell r="G264">
            <v>46147</v>
          </cell>
          <cell r="H264">
            <v>46148</v>
          </cell>
        </row>
        <row r="265">
          <cell r="D265">
            <v>110001296324</v>
          </cell>
          <cell r="E265" t="str">
            <v>2189-B2505A-KN 2489739</v>
          </cell>
          <cell r="F265">
            <v>2400</v>
          </cell>
          <cell r="G265">
            <v>46147</v>
          </cell>
          <cell r="H265">
            <v>46148</v>
          </cell>
        </row>
        <row r="266">
          <cell r="D266">
            <v>110001296325</v>
          </cell>
          <cell r="E266" t="str">
            <v>2189-B2507E-D 20206798</v>
          </cell>
          <cell r="F266">
            <v>2400</v>
          </cell>
          <cell r="G266">
            <v>46147</v>
          </cell>
          <cell r="H266">
            <v>46148</v>
          </cell>
        </row>
        <row r="267">
          <cell r="D267">
            <v>110001296326</v>
          </cell>
          <cell r="E267" t="str">
            <v>2189-B2507E-D 20206798</v>
          </cell>
          <cell r="F267">
            <v>2400</v>
          </cell>
          <cell r="G267">
            <v>46145</v>
          </cell>
          <cell r="H267">
            <v>46146</v>
          </cell>
        </row>
        <row r="268">
          <cell r="D268">
            <v>110001296362</v>
          </cell>
          <cell r="E268" t="str">
            <v>693-B2286B-D 0021800442A</v>
          </cell>
          <cell r="F268">
            <v>20000</v>
          </cell>
          <cell r="G268">
            <v>46138</v>
          </cell>
          <cell r="H268">
            <v>46139</v>
          </cell>
        </row>
        <row r="269">
          <cell r="D269">
            <v>110001296363</v>
          </cell>
          <cell r="E269" t="str">
            <v>693-B2286B-D 0021800442A</v>
          </cell>
          <cell r="F269">
            <v>20000</v>
          </cell>
          <cell r="G269">
            <v>46136</v>
          </cell>
          <cell r="H269">
            <v>46137</v>
          </cell>
        </row>
        <row r="270">
          <cell r="D270">
            <v>110001296370</v>
          </cell>
          <cell r="E270" t="str">
            <v>500323-C24A9A-PC 0011801490S</v>
          </cell>
          <cell r="F270">
            <v>3000</v>
          </cell>
          <cell r="G270">
            <v>46141</v>
          </cell>
          <cell r="H270">
            <v>46142</v>
          </cell>
        </row>
        <row r="271">
          <cell r="D271">
            <v>110001296371</v>
          </cell>
          <cell r="E271" t="str">
            <v>500323-C24A9A-PC 0011801490S</v>
          </cell>
          <cell r="F271">
            <v>3000</v>
          </cell>
          <cell r="G271">
            <v>46139</v>
          </cell>
          <cell r="H271">
            <v>46140</v>
          </cell>
        </row>
        <row r="272">
          <cell r="D272">
            <v>110001299803</v>
          </cell>
          <cell r="E272" t="str">
            <v>693-A2180G-PC 0011800646L</v>
          </cell>
          <cell r="F272">
            <v>3500</v>
          </cell>
          <cell r="G272">
            <v>46141</v>
          </cell>
          <cell r="H272">
            <v>46142</v>
          </cell>
        </row>
        <row r="273">
          <cell r="D273">
            <v>110001299804</v>
          </cell>
          <cell r="E273" t="str">
            <v>693-A2180G-PC 0011800646L</v>
          </cell>
          <cell r="F273">
            <v>3500</v>
          </cell>
          <cell r="G273">
            <v>46139</v>
          </cell>
          <cell r="H273">
            <v>46140</v>
          </cell>
        </row>
        <row r="274">
          <cell r="D274">
            <v>110001299813</v>
          </cell>
          <cell r="E274" t="str">
            <v>693-B2209J-PC-0011801425D</v>
          </cell>
          <cell r="F274">
            <v>500</v>
          </cell>
          <cell r="G274">
            <v>46138</v>
          </cell>
          <cell r="H274">
            <v>46139</v>
          </cell>
        </row>
        <row r="275">
          <cell r="D275">
            <v>110001299814</v>
          </cell>
          <cell r="E275" t="str">
            <v>693-B2209J-PC 0011801425D</v>
          </cell>
          <cell r="F275">
            <v>500</v>
          </cell>
          <cell r="G275">
            <v>46136</v>
          </cell>
          <cell r="H275">
            <v>46137</v>
          </cell>
        </row>
        <row r="276">
          <cell r="D276">
            <v>110001299815</v>
          </cell>
          <cell r="E276" t="str">
            <v>693-A2210B-PC 0011801372A</v>
          </cell>
          <cell r="F276">
            <v>1600</v>
          </cell>
          <cell r="G276">
            <v>46137</v>
          </cell>
          <cell r="H276">
            <v>46138</v>
          </cell>
        </row>
        <row r="277">
          <cell r="D277">
            <v>110001299816</v>
          </cell>
          <cell r="E277" t="str">
            <v>693-A2210B-PC 0011801372A</v>
          </cell>
          <cell r="F277">
            <v>1600</v>
          </cell>
          <cell r="G277">
            <v>46136</v>
          </cell>
          <cell r="H277">
            <v>46136</v>
          </cell>
        </row>
        <row r="278">
          <cell r="D278">
            <v>110001299817</v>
          </cell>
          <cell r="E278" t="str">
            <v>1323-C2209A-D 0011800607R</v>
          </cell>
          <cell r="F278">
            <v>2461</v>
          </cell>
          <cell r="G278">
            <v>46141</v>
          </cell>
          <cell r="H278">
            <v>46142</v>
          </cell>
        </row>
        <row r="279">
          <cell r="D279">
            <v>110001299818</v>
          </cell>
          <cell r="E279" t="str">
            <v>1323-C2209A-D 0011800607R</v>
          </cell>
          <cell r="F279">
            <v>2461</v>
          </cell>
          <cell r="G279">
            <v>46139</v>
          </cell>
          <cell r="H279">
            <v>46140</v>
          </cell>
        </row>
        <row r="280">
          <cell r="D280">
            <v>110001299819</v>
          </cell>
          <cell r="E280" t="str">
            <v>1323-C2209A-D 0011800607R MCU程序 Z:B816</v>
          </cell>
          <cell r="F280">
            <v>2461</v>
          </cell>
          <cell r="G280">
            <v>46139</v>
          </cell>
          <cell r="H280">
            <v>46140</v>
          </cell>
        </row>
        <row r="281">
          <cell r="D281">
            <v>110001299820</v>
          </cell>
          <cell r="E281" t="str">
            <v>1323-C2209A-D 0011800607R EE程序 E:63A6</v>
          </cell>
          <cell r="F281">
            <v>2461</v>
          </cell>
          <cell r="G281">
            <v>46139</v>
          </cell>
          <cell r="H281">
            <v>46140</v>
          </cell>
        </row>
        <row r="282">
          <cell r="D282">
            <v>110001299827</v>
          </cell>
          <cell r="E282" t="str">
            <v>693-B2286B-D 0021800442A</v>
          </cell>
          <cell r="F282">
            <v>20000</v>
          </cell>
          <cell r="G282">
            <v>46145</v>
          </cell>
          <cell r="H282">
            <v>46146</v>
          </cell>
        </row>
        <row r="283">
          <cell r="D283">
            <v>110001299828</v>
          </cell>
          <cell r="E283" t="str">
            <v>693-B2286B-D 0021800442A</v>
          </cell>
          <cell r="F283">
            <v>20000</v>
          </cell>
          <cell r="G283">
            <v>46143</v>
          </cell>
          <cell r="H283">
            <v>46144</v>
          </cell>
        </row>
        <row r="284">
          <cell r="D284">
            <v>110001299831</v>
          </cell>
          <cell r="E284" t="str">
            <v>1323-C2306A-PC 0011801652</v>
          </cell>
          <cell r="F284">
            <v>3000</v>
          </cell>
          <cell r="G284">
            <v>46141</v>
          </cell>
          <cell r="H284">
            <v>46142</v>
          </cell>
        </row>
        <row r="285">
          <cell r="D285">
            <v>110001299832</v>
          </cell>
          <cell r="E285" t="str">
            <v>1323-C2306A-PC 0011801652</v>
          </cell>
          <cell r="F285">
            <v>3000</v>
          </cell>
          <cell r="G285">
            <v>46139</v>
          </cell>
          <cell r="H285">
            <v>46140</v>
          </cell>
        </row>
        <row r="286">
          <cell r="D286">
            <v>110001299839</v>
          </cell>
          <cell r="E286" t="str">
            <v>693-B23G7B-PC  0011801048AF</v>
          </cell>
          <cell r="F286">
            <v>2700</v>
          </cell>
          <cell r="G286">
            <v>46141</v>
          </cell>
          <cell r="H286">
            <v>46142</v>
          </cell>
        </row>
        <row r="287">
          <cell r="D287">
            <v>110001299840</v>
          </cell>
          <cell r="E287" t="str">
            <v>693-B23G7B-PC</v>
          </cell>
          <cell r="F287">
            <v>2700</v>
          </cell>
          <cell r="G287">
            <v>46139</v>
          </cell>
          <cell r="H287">
            <v>46140</v>
          </cell>
        </row>
        <row r="288">
          <cell r="D288">
            <v>110001299843</v>
          </cell>
          <cell r="E288" t="str">
            <v>693-C23I3A-PC 0011801656</v>
          </cell>
          <cell r="F288">
            <v>500</v>
          </cell>
          <cell r="G288">
            <v>46140</v>
          </cell>
          <cell r="H288">
            <v>46141</v>
          </cell>
        </row>
        <row r="289">
          <cell r="D289">
            <v>110001299844</v>
          </cell>
          <cell r="E289" t="str">
            <v>693-C23I3A-PC 0011801656</v>
          </cell>
          <cell r="F289">
            <v>500</v>
          </cell>
          <cell r="G289">
            <v>46138</v>
          </cell>
          <cell r="H289">
            <v>46139</v>
          </cell>
        </row>
        <row r="290">
          <cell r="D290">
            <v>110001299845</v>
          </cell>
          <cell r="E290" t="str">
            <v>693-C2434A-PC 0031800138R</v>
          </cell>
          <cell r="F290">
            <v>5000</v>
          </cell>
          <cell r="G290">
            <v>46139</v>
          </cell>
          <cell r="H290">
            <v>46140</v>
          </cell>
        </row>
        <row r="291">
          <cell r="D291">
            <v>110001299846</v>
          </cell>
          <cell r="E291" t="str">
            <v>693-C2434A-PC 0031800138R</v>
          </cell>
          <cell r="F291">
            <v>5000</v>
          </cell>
          <cell r="G291">
            <v>46137</v>
          </cell>
          <cell r="H291">
            <v>46138</v>
          </cell>
        </row>
        <row r="292">
          <cell r="D292">
            <v>110001299867</v>
          </cell>
          <cell r="E292" t="str">
            <v>500323-C2508A-PC 0011801824</v>
          </cell>
          <cell r="F292">
            <v>5000</v>
          </cell>
          <cell r="G292">
            <v>46139</v>
          </cell>
          <cell r="H292">
            <v>46140</v>
          </cell>
        </row>
        <row r="293">
          <cell r="D293">
            <v>110001299868</v>
          </cell>
          <cell r="E293" t="str">
            <v>500323-C2508A-PC 0011801824</v>
          </cell>
          <cell r="F293">
            <v>5000</v>
          </cell>
          <cell r="G293">
            <v>46137</v>
          </cell>
          <cell r="H293">
            <v>46138</v>
          </cell>
        </row>
        <row r="294">
          <cell r="D294">
            <v>110001299869</v>
          </cell>
          <cell r="E294" t="str">
            <v>693-C2516A-PC G0044 0011801675H</v>
          </cell>
          <cell r="F294">
            <v>400</v>
          </cell>
          <cell r="G294">
            <v>46141</v>
          </cell>
          <cell r="H294">
            <v>46142</v>
          </cell>
        </row>
        <row r="295">
          <cell r="D295">
            <v>110001299870</v>
          </cell>
          <cell r="E295" t="str">
            <v>693-C2516A-PC 0011801675H</v>
          </cell>
          <cell r="F295">
            <v>400</v>
          </cell>
          <cell r="G295">
            <v>46139</v>
          </cell>
          <cell r="H295">
            <v>46140</v>
          </cell>
        </row>
        <row r="296">
          <cell r="D296">
            <v>110001299881</v>
          </cell>
          <cell r="E296" t="str">
            <v>693-C24Q3C-PC G0044 0011801977E</v>
          </cell>
          <cell r="F296">
            <v>1000</v>
          </cell>
          <cell r="G296">
            <v>46141</v>
          </cell>
          <cell r="H296">
            <v>46142</v>
          </cell>
        </row>
        <row r="297">
          <cell r="D297">
            <v>110001299882</v>
          </cell>
          <cell r="E297" t="str">
            <v>693-C24Q3C-PC 0011801977E</v>
          </cell>
          <cell r="F297">
            <v>1000</v>
          </cell>
          <cell r="G297">
            <v>46139</v>
          </cell>
          <cell r="H297">
            <v>46140</v>
          </cell>
        </row>
        <row r="298">
          <cell r="D298">
            <v>110001299883</v>
          </cell>
          <cell r="E298" t="str">
            <v>693-C24Q3B-PC G0044 0011801977F</v>
          </cell>
          <cell r="F298">
            <v>1100</v>
          </cell>
          <cell r="G298">
            <v>46140</v>
          </cell>
          <cell r="H298">
            <v>46141</v>
          </cell>
        </row>
        <row r="299">
          <cell r="D299">
            <v>110001299884</v>
          </cell>
          <cell r="E299" t="str">
            <v>693-C24Q3B-PC 0011801977F</v>
          </cell>
          <cell r="F299">
            <v>1100</v>
          </cell>
          <cell r="G299">
            <v>46138</v>
          </cell>
          <cell r="H299">
            <v>46139</v>
          </cell>
        </row>
        <row r="300">
          <cell r="D300">
            <v>110001299889</v>
          </cell>
          <cell r="E300" t="str">
            <v>693-C2596B-D G0044 0041801949A</v>
          </cell>
          <cell r="F300">
            <v>3000</v>
          </cell>
          <cell r="G300">
            <v>46151</v>
          </cell>
          <cell r="H300">
            <v>46152</v>
          </cell>
        </row>
        <row r="301">
          <cell r="D301">
            <v>110001299890</v>
          </cell>
          <cell r="E301" t="str">
            <v>693-C2596B-D 0041801949A</v>
          </cell>
          <cell r="F301">
            <v>3000</v>
          </cell>
          <cell r="G301">
            <v>46149</v>
          </cell>
          <cell r="H301">
            <v>46150</v>
          </cell>
        </row>
        <row r="302">
          <cell r="D302">
            <v>110001299891</v>
          </cell>
          <cell r="E302" t="str">
            <v>2189-B2505F G0020 20107993</v>
          </cell>
          <cell r="F302">
            <v>1500</v>
          </cell>
          <cell r="G302">
            <v>46146</v>
          </cell>
          <cell r="H302">
            <v>46147</v>
          </cell>
        </row>
        <row r="303">
          <cell r="D303">
            <v>110001299892</v>
          </cell>
          <cell r="E303" t="str">
            <v>2189-B2505F-D 20107993</v>
          </cell>
          <cell r="F303">
            <v>1500</v>
          </cell>
          <cell r="G303">
            <v>46146</v>
          </cell>
          <cell r="H303">
            <v>46147</v>
          </cell>
        </row>
        <row r="304">
          <cell r="D304">
            <v>110001299893</v>
          </cell>
          <cell r="E304" t="str">
            <v>2189-B2505A-KN 2489739</v>
          </cell>
          <cell r="F304">
            <v>1500</v>
          </cell>
          <cell r="G304">
            <v>46146</v>
          </cell>
          <cell r="H304">
            <v>46147</v>
          </cell>
        </row>
        <row r="305">
          <cell r="D305">
            <v>110001299894</v>
          </cell>
          <cell r="E305" t="str">
            <v>2189-B2505F-D 20107993</v>
          </cell>
          <cell r="F305">
            <v>1500</v>
          </cell>
          <cell r="G305">
            <v>46144</v>
          </cell>
          <cell r="H305">
            <v>46145</v>
          </cell>
        </row>
        <row r="306">
          <cell r="D306">
            <v>110001299917</v>
          </cell>
          <cell r="E306" t="str">
            <v>600766-A2504A-PC G0044 0011801490M</v>
          </cell>
          <cell r="F306">
            <v>5800</v>
          </cell>
          <cell r="G306">
            <v>46147</v>
          </cell>
          <cell r="H306">
            <v>46148</v>
          </cell>
        </row>
        <row r="307">
          <cell r="D307">
            <v>110001299918</v>
          </cell>
          <cell r="E307" t="str">
            <v>600766-A2504A-PC 0011801490M</v>
          </cell>
          <cell r="F307">
            <v>5800</v>
          </cell>
          <cell r="G307">
            <v>46145</v>
          </cell>
          <cell r="H307">
            <v>46146</v>
          </cell>
        </row>
        <row r="308">
          <cell r="D308">
            <v>110001299931</v>
          </cell>
          <cell r="E308" t="str">
            <v>693-B25D2B-PC G0044 0011801330AK</v>
          </cell>
          <cell r="F308">
            <v>2600</v>
          </cell>
          <cell r="G308">
            <v>46141</v>
          </cell>
          <cell r="H308">
            <v>46142</v>
          </cell>
        </row>
        <row r="309">
          <cell r="D309">
            <v>110001299932</v>
          </cell>
          <cell r="E309" t="str">
            <v>693-B25D2B-PC 0011801330AK</v>
          </cell>
          <cell r="F309">
            <v>2600</v>
          </cell>
          <cell r="G309">
            <v>46139</v>
          </cell>
          <cell r="H309">
            <v>46140</v>
          </cell>
        </row>
        <row r="310">
          <cell r="D310">
            <v>110001299933</v>
          </cell>
          <cell r="E310" t="str">
            <v>2189-B2507C G0020 20135510</v>
          </cell>
          <cell r="F310">
            <v>2000</v>
          </cell>
          <cell r="G310">
            <v>46148</v>
          </cell>
          <cell r="H310">
            <v>46149</v>
          </cell>
        </row>
        <row r="311">
          <cell r="D311">
            <v>110001299934</v>
          </cell>
          <cell r="E311" t="str">
            <v>2189-B2507C-D 20135510</v>
          </cell>
          <cell r="F311">
            <v>2000</v>
          </cell>
          <cell r="G311">
            <v>46148</v>
          </cell>
          <cell r="H311">
            <v>46149</v>
          </cell>
        </row>
        <row r="312">
          <cell r="D312">
            <v>110001299935</v>
          </cell>
          <cell r="E312" t="str">
            <v>2189-B2505A-KN 2489739</v>
          </cell>
          <cell r="F312">
            <v>2000</v>
          </cell>
          <cell r="G312">
            <v>46148</v>
          </cell>
          <cell r="H312">
            <v>46149</v>
          </cell>
        </row>
        <row r="313">
          <cell r="D313">
            <v>110001299936</v>
          </cell>
          <cell r="E313" t="str">
            <v>2189-B2507C-D 20135510</v>
          </cell>
          <cell r="F313">
            <v>2000</v>
          </cell>
          <cell r="G313">
            <v>46146</v>
          </cell>
          <cell r="H313">
            <v>46147</v>
          </cell>
        </row>
        <row r="314">
          <cell r="D314">
            <v>110001299949</v>
          </cell>
          <cell r="E314" t="str">
            <v>2189-B2505P G0020 20112792</v>
          </cell>
          <cell r="F314">
            <v>1000</v>
          </cell>
          <cell r="G314">
            <v>46151</v>
          </cell>
          <cell r="H314">
            <v>46152</v>
          </cell>
        </row>
        <row r="315">
          <cell r="D315">
            <v>110001299950</v>
          </cell>
          <cell r="E315" t="str">
            <v>2189-B2505A-KN 2489739</v>
          </cell>
          <cell r="F315">
            <v>1000</v>
          </cell>
          <cell r="G315">
            <v>46151</v>
          </cell>
          <cell r="H315">
            <v>46152</v>
          </cell>
        </row>
        <row r="316">
          <cell r="D316">
            <v>110001299951</v>
          </cell>
          <cell r="E316" t="str">
            <v>2189-B2505P-D 20112792</v>
          </cell>
          <cell r="F316">
            <v>1000</v>
          </cell>
          <cell r="G316">
            <v>46151</v>
          </cell>
          <cell r="H316">
            <v>46152</v>
          </cell>
        </row>
        <row r="317">
          <cell r="D317">
            <v>110001299952</v>
          </cell>
          <cell r="E317" t="str">
            <v>2189-B2505P-D 20112792</v>
          </cell>
          <cell r="F317">
            <v>1000</v>
          </cell>
          <cell r="G317">
            <v>46149</v>
          </cell>
          <cell r="H317">
            <v>46150</v>
          </cell>
        </row>
        <row r="318">
          <cell r="D318">
            <v>110001299961</v>
          </cell>
          <cell r="E318" t="str">
            <v>693-C2617A-PC G0044 0011801675AZ</v>
          </cell>
          <cell r="F318">
            <v>200</v>
          </cell>
          <cell r="G318">
            <v>46141</v>
          </cell>
          <cell r="H318">
            <v>46142</v>
          </cell>
        </row>
        <row r="319">
          <cell r="D319">
            <v>110001299962</v>
          </cell>
          <cell r="E319" t="str">
            <v>693-C2617A-PC 0011801675AZ</v>
          </cell>
          <cell r="F319">
            <v>200</v>
          </cell>
          <cell r="G319">
            <v>46139</v>
          </cell>
          <cell r="H319">
            <v>46140</v>
          </cell>
        </row>
        <row r="320">
          <cell r="D320">
            <v>110001300066</v>
          </cell>
          <cell r="E320" t="str">
            <v>693-B2201N-PC-0011801424AE</v>
          </cell>
          <cell r="F320">
            <v>2100</v>
          </cell>
          <cell r="G320">
            <v>46141</v>
          </cell>
          <cell r="H320">
            <v>46142</v>
          </cell>
        </row>
        <row r="321">
          <cell r="D321">
            <v>110001300067</v>
          </cell>
          <cell r="E321" t="str">
            <v>693-B2201N-PC 0011801424AE</v>
          </cell>
          <cell r="F321">
            <v>2100</v>
          </cell>
          <cell r="G321">
            <v>46139</v>
          </cell>
          <cell r="H321">
            <v>46140</v>
          </cell>
        </row>
        <row r="322">
          <cell r="D322">
            <v>110001300141</v>
          </cell>
          <cell r="E322" t="str">
            <v>693-C2595E-D G0044 0021800866B</v>
          </cell>
          <cell r="F322">
            <v>6000</v>
          </cell>
          <cell r="G322">
            <v>46138</v>
          </cell>
          <cell r="H322">
            <v>46139</v>
          </cell>
        </row>
        <row r="323">
          <cell r="D323">
            <v>110001300142</v>
          </cell>
          <cell r="E323" t="str">
            <v>693-C2595E-D 0021800866B</v>
          </cell>
          <cell r="F323">
            <v>6000</v>
          </cell>
          <cell r="G323">
            <v>46136</v>
          </cell>
          <cell r="H323">
            <v>46137</v>
          </cell>
        </row>
        <row r="324">
          <cell r="D324">
            <v>110001300143</v>
          </cell>
          <cell r="E324" t="str">
            <v>693-C2595E-D G0044 0021800866B</v>
          </cell>
          <cell r="F324">
            <v>6000</v>
          </cell>
          <cell r="G324">
            <v>46145</v>
          </cell>
          <cell r="H324">
            <v>46146</v>
          </cell>
        </row>
        <row r="325">
          <cell r="D325">
            <v>110001300144</v>
          </cell>
          <cell r="E325" t="str">
            <v>693-C2595E-D 0021800866B</v>
          </cell>
          <cell r="F325">
            <v>6000</v>
          </cell>
          <cell r="G325">
            <v>46143</v>
          </cell>
          <cell r="H325">
            <v>46144</v>
          </cell>
        </row>
        <row r="326">
          <cell r="D326">
            <v>110001301128</v>
          </cell>
          <cell r="E326" t="str">
            <v>693-B23G2A-PC 0011801330G</v>
          </cell>
          <cell r="F326">
            <v>400</v>
          </cell>
          <cell r="G326">
            <v>46141</v>
          </cell>
          <cell r="H326">
            <v>46142</v>
          </cell>
        </row>
        <row r="327">
          <cell r="D327">
            <v>110001301129</v>
          </cell>
          <cell r="E327" t="str">
            <v>693-B23G2A-PC 0011801330G</v>
          </cell>
          <cell r="F327">
            <v>400</v>
          </cell>
          <cell r="G327">
            <v>46139</v>
          </cell>
          <cell r="H327">
            <v>46140</v>
          </cell>
        </row>
        <row r="328">
          <cell r="D328">
            <v>110001301132</v>
          </cell>
          <cell r="E328" t="str">
            <v>500323-C24D2G-D G0044 0021800616F</v>
          </cell>
          <cell r="F328">
            <v>1000</v>
          </cell>
          <cell r="G328">
            <v>46147</v>
          </cell>
          <cell r="H328">
            <v>46148</v>
          </cell>
        </row>
        <row r="329">
          <cell r="D329">
            <v>110001301133</v>
          </cell>
          <cell r="E329" t="str">
            <v>500323-C24D2G-D 0021800616F</v>
          </cell>
          <cell r="F329">
            <v>1000</v>
          </cell>
          <cell r="G329">
            <v>46145</v>
          </cell>
          <cell r="H329">
            <v>46146</v>
          </cell>
        </row>
        <row r="330">
          <cell r="D330">
            <v>110001302833</v>
          </cell>
          <cell r="E330" t="str">
            <v>693-C2238A-PC 0011800977K</v>
          </cell>
          <cell r="F330">
            <v>4000</v>
          </cell>
          <cell r="G330">
            <v>46141</v>
          </cell>
          <cell r="H330">
            <v>46142</v>
          </cell>
        </row>
        <row r="331">
          <cell r="D331">
            <v>110001302834</v>
          </cell>
          <cell r="E331" t="str">
            <v>693-C2238A-PC 0011800977K</v>
          </cell>
          <cell r="F331">
            <v>4000</v>
          </cell>
          <cell r="G331">
            <v>46139</v>
          </cell>
          <cell r="H331">
            <v>46140</v>
          </cell>
        </row>
        <row r="332">
          <cell r="D332">
            <v>110001302835</v>
          </cell>
          <cell r="E332" t="str">
            <v>693-C2203A-PC 0011801327</v>
          </cell>
          <cell r="F332">
            <v>900</v>
          </cell>
          <cell r="G332">
            <v>46141</v>
          </cell>
          <cell r="H332">
            <v>46142</v>
          </cell>
        </row>
        <row r="333">
          <cell r="D333">
            <v>110001302836</v>
          </cell>
          <cell r="E333" t="str">
            <v>693-C2203A-PC 0011801327</v>
          </cell>
          <cell r="F333">
            <v>900</v>
          </cell>
          <cell r="G333">
            <v>46139</v>
          </cell>
          <cell r="H333">
            <v>46140</v>
          </cell>
        </row>
        <row r="334">
          <cell r="D334">
            <v>110001302971</v>
          </cell>
          <cell r="E334" t="str">
            <v>1323-C2306A-PC 0011801652</v>
          </cell>
          <cell r="F334">
            <v>2000</v>
          </cell>
          <cell r="G334">
            <v>46141</v>
          </cell>
          <cell r="H334">
            <v>46142</v>
          </cell>
        </row>
        <row r="335">
          <cell r="D335">
            <v>110001302972</v>
          </cell>
          <cell r="E335" t="str">
            <v>1323-C2306A-PC 0011801652</v>
          </cell>
          <cell r="F335">
            <v>2000</v>
          </cell>
          <cell r="G335">
            <v>46139</v>
          </cell>
          <cell r="H335">
            <v>46140</v>
          </cell>
        </row>
        <row r="336">
          <cell r="D336">
            <v>110001302975</v>
          </cell>
          <cell r="E336" t="str">
            <v>693-B23G7A-PC  0011801048AE</v>
          </cell>
          <cell r="F336">
            <v>2000</v>
          </cell>
          <cell r="G336">
            <v>46141</v>
          </cell>
          <cell r="H336">
            <v>46142</v>
          </cell>
        </row>
        <row r="337">
          <cell r="D337">
            <v>110001302976</v>
          </cell>
          <cell r="E337" t="str">
            <v>693-B23G7A-PC</v>
          </cell>
          <cell r="F337">
            <v>2000</v>
          </cell>
          <cell r="G337">
            <v>46139</v>
          </cell>
          <cell r="H337">
            <v>46140</v>
          </cell>
        </row>
        <row r="338">
          <cell r="D338">
            <v>110001302977</v>
          </cell>
          <cell r="E338" t="str">
            <v>693-B23G7B-PC  0011801048AF</v>
          </cell>
          <cell r="F338">
            <v>3500</v>
          </cell>
          <cell r="G338">
            <v>46141</v>
          </cell>
          <cell r="H338">
            <v>46142</v>
          </cell>
        </row>
        <row r="339">
          <cell r="D339">
            <v>110001302978</v>
          </cell>
          <cell r="E339" t="str">
            <v>693-B23G7B-PC</v>
          </cell>
          <cell r="F339">
            <v>3500</v>
          </cell>
          <cell r="G339">
            <v>46139</v>
          </cell>
          <cell r="H339">
            <v>46140</v>
          </cell>
        </row>
        <row r="340">
          <cell r="D340">
            <v>110001302983</v>
          </cell>
          <cell r="E340" t="str">
            <v>693-C23I3A-PC 0011801656</v>
          </cell>
          <cell r="F340">
            <v>3000</v>
          </cell>
          <cell r="G340">
            <v>46141</v>
          </cell>
          <cell r="H340">
            <v>46142</v>
          </cell>
        </row>
        <row r="341">
          <cell r="D341">
            <v>110001302984</v>
          </cell>
          <cell r="E341" t="str">
            <v>693-C23I3A-PC 0011801656</v>
          </cell>
          <cell r="F341">
            <v>3000</v>
          </cell>
          <cell r="G341">
            <v>46139</v>
          </cell>
          <cell r="H341">
            <v>46140</v>
          </cell>
        </row>
        <row r="342">
          <cell r="D342">
            <v>110001302985</v>
          </cell>
          <cell r="E342" t="str">
            <v>693-B23G9B-PC  0011801424AV</v>
          </cell>
          <cell r="F342">
            <v>300</v>
          </cell>
          <cell r="G342">
            <v>46141</v>
          </cell>
          <cell r="H342">
            <v>46142</v>
          </cell>
        </row>
        <row r="343">
          <cell r="D343">
            <v>110001302986</v>
          </cell>
          <cell r="E343" t="str">
            <v>693-B23G9B-PC 0011801424AV</v>
          </cell>
          <cell r="F343">
            <v>300</v>
          </cell>
          <cell r="G343">
            <v>46139</v>
          </cell>
          <cell r="H343">
            <v>46140</v>
          </cell>
        </row>
        <row r="344">
          <cell r="D344">
            <v>110001302987</v>
          </cell>
          <cell r="E344" t="str">
            <v>693-C2331B-PC 0011801593A</v>
          </cell>
          <cell r="F344">
            <v>600</v>
          </cell>
          <cell r="G344">
            <v>46141</v>
          </cell>
          <cell r="H344">
            <v>46142</v>
          </cell>
        </row>
        <row r="345">
          <cell r="D345">
            <v>110001302988</v>
          </cell>
          <cell r="E345" t="str">
            <v>693-C2331B-PC 0011801593A</v>
          </cell>
          <cell r="F345">
            <v>600</v>
          </cell>
          <cell r="G345">
            <v>46139</v>
          </cell>
          <cell r="H345">
            <v>46140</v>
          </cell>
        </row>
        <row r="346">
          <cell r="D346">
            <v>110001302990</v>
          </cell>
          <cell r="E346" t="str">
            <v>693-C2352C-PC 0011801516D</v>
          </cell>
          <cell r="F346">
            <v>300</v>
          </cell>
          <cell r="G346">
            <v>46139</v>
          </cell>
          <cell r="H346">
            <v>46140</v>
          </cell>
        </row>
        <row r="347">
          <cell r="D347">
            <v>110001302992</v>
          </cell>
          <cell r="E347" t="str">
            <v>693-C2352C-PC 0011801516D</v>
          </cell>
          <cell r="F347">
            <v>300</v>
          </cell>
          <cell r="G347">
            <v>46137</v>
          </cell>
          <cell r="H347">
            <v>46138</v>
          </cell>
        </row>
        <row r="348">
          <cell r="D348">
            <v>110001302999</v>
          </cell>
          <cell r="E348" t="str">
            <v>500323-C2491A-PC 0011801656A</v>
          </cell>
          <cell r="F348">
            <v>500</v>
          </cell>
          <cell r="G348">
            <v>46141</v>
          </cell>
          <cell r="H348">
            <v>46142</v>
          </cell>
        </row>
        <row r="349">
          <cell r="D349">
            <v>110001303000</v>
          </cell>
          <cell r="E349" t="str">
            <v>500323-C2491A-PC 0011801656A</v>
          </cell>
          <cell r="F349">
            <v>500</v>
          </cell>
          <cell r="G349">
            <v>46139</v>
          </cell>
          <cell r="H349">
            <v>46140</v>
          </cell>
        </row>
        <row r="350">
          <cell r="D350">
            <v>110001303001</v>
          </cell>
          <cell r="E350" t="str">
            <v>500493-B2402E-D 2418237</v>
          </cell>
          <cell r="F350">
            <v>2000</v>
          </cell>
          <cell r="G350">
            <v>46138</v>
          </cell>
          <cell r="H350">
            <v>46139</v>
          </cell>
        </row>
        <row r="351">
          <cell r="D351">
            <v>110001303002</v>
          </cell>
          <cell r="E351" t="str">
            <v>500493-B2402E-D 2418237</v>
          </cell>
          <cell r="F351">
            <v>2000</v>
          </cell>
          <cell r="G351">
            <v>46136</v>
          </cell>
          <cell r="H351">
            <v>46137</v>
          </cell>
        </row>
        <row r="352">
          <cell r="D352">
            <v>110001303005</v>
          </cell>
          <cell r="E352" t="str">
            <v>500323-C2496G-PC 0011801423AV</v>
          </cell>
          <cell r="F352">
            <v>1000</v>
          </cell>
          <cell r="G352">
            <v>46138</v>
          </cell>
          <cell r="H352">
            <v>46139</v>
          </cell>
        </row>
        <row r="353">
          <cell r="D353">
            <v>110001303006</v>
          </cell>
          <cell r="E353" t="str">
            <v>500323-C2496G-PC 0011801423AV</v>
          </cell>
          <cell r="F353">
            <v>1000</v>
          </cell>
          <cell r="G353">
            <v>46136</v>
          </cell>
          <cell r="H353">
            <v>46137</v>
          </cell>
        </row>
        <row r="354">
          <cell r="D354">
            <v>110001303013</v>
          </cell>
          <cell r="E354" t="str">
            <v>500323-C2508A-PC 0011801824</v>
          </cell>
          <cell r="F354">
            <v>10000</v>
          </cell>
          <cell r="G354">
            <v>46140</v>
          </cell>
          <cell r="H354">
            <v>46141</v>
          </cell>
        </row>
        <row r="355">
          <cell r="D355">
            <v>110001303014</v>
          </cell>
          <cell r="E355" t="str">
            <v>500323-C2508A-PC 0011801824</v>
          </cell>
          <cell r="F355">
            <v>10000</v>
          </cell>
          <cell r="G355">
            <v>46138</v>
          </cell>
          <cell r="H355">
            <v>46139</v>
          </cell>
        </row>
        <row r="356">
          <cell r="D356">
            <v>110001303015</v>
          </cell>
          <cell r="E356" t="str">
            <v>500323-C2508A-PC 0011801824</v>
          </cell>
          <cell r="F356">
            <v>10000</v>
          </cell>
          <cell r="G356">
            <v>46149</v>
          </cell>
          <cell r="H356">
            <v>46150</v>
          </cell>
        </row>
        <row r="357">
          <cell r="D357">
            <v>110001303016</v>
          </cell>
          <cell r="E357" t="str">
            <v>500323-C2508A-PC 0011801824</v>
          </cell>
          <cell r="F357">
            <v>10000</v>
          </cell>
          <cell r="G357">
            <v>46147</v>
          </cell>
          <cell r="H357">
            <v>46148</v>
          </cell>
        </row>
        <row r="358">
          <cell r="D358">
            <v>110001303019</v>
          </cell>
          <cell r="E358" t="str">
            <v>501706-C2501A-PC G0044 1060171</v>
          </cell>
          <cell r="F358">
            <v>1000</v>
          </cell>
          <cell r="G358">
            <v>46141</v>
          </cell>
          <cell r="H358">
            <v>46142</v>
          </cell>
        </row>
        <row r="359">
          <cell r="D359">
            <v>110001303020</v>
          </cell>
          <cell r="E359" t="str">
            <v>2006-C2301B-PC 888001414</v>
          </cell>
          <cell r="F359">
            <v>1000</v>
          </cell>
          <cell r="G359">
            <v>46139</v>
          </cell>
          <cell r="H359">
            <v>46140</v>
          </cell>
        </row>
        <row r="360">
          <cell r="D360">
            <v>110001303023</v>
          </cell>
          <cell r="E360" t="str">
            <v>500323-C24L6H-PC G0044 0011801172DL</v>
          </cell>
          <cell r="F360">
            <v>6732</v>
          </cell>
          <cell r="G360">
            <v>46141</v>
          </cell>
          <cell r="H360">
            <v>46142</v>
          </cell>
        </row>
        <row r="361">
          <cell r="D361">
            <v>110001303024</v>
          </cell>
          <cell r="E361" t="str">
            <v>500323-C24L6H-PC 0011801172DL</v>
          </cell>
          <cell r="F361">
            <v>6732</v>
          </cell>
          <cell r="G361">
            <v>46139</v>
          </cell>
          <cell r="H361">
            <v>46140</v>
          </cell>
        </row>
        <row r="362">
          <cell r="D362">
            <v>110001303037</v>
          </cell>
          <cell r="E362" t="str">
            <v>693-C2532B-PC G0044 0011802020A</v>
          </cell>
          <cell r="F362">
            <v>2400</v>
          </cell>
          <cell r="G362">
            <v>46141</v>
          </cell>
          <cell r="H362">
            <v>46142</v>
          </cell>
        </row>
        <row r="363">
          <cell r="D363">
            <v>110001303038</v>
          </cell>
          <cell r="E363" t="str">
            <v>693-C2532B-PC 0011802020A</v>
          </cell>
          <cell r="F363">
            <v>2400</v>
          </cell>
          <cell r="G363">
            <v>46139</v>
          </cell>
          <cell r="H363">
            <v>46140</v>
          </cell>
        </row>
        <row r="364">
          <cell r="D364">
            <v>110001303049</v>
          </cell>
          <cell r="E364" t="str">
            <v>693-C24Q3B-PC G0044 0011801977F</v>
          </cell>
          <cell r="F364">
            <v>1000</v>
          </cell>
          <cell r="G364">
            <v>46141</v>
          </cell>
          <cell r="H364">
            <v>46142</v>
          </cell>
        </row>
        <row r="365">
          <cell r="D365">
            <v>110001303050</v>
          </cell>
          <cell r="E365" t="str">
            <v>693-C24Q3B-PC 0011801977F</v>
          </cell>
          <cell r="F365">
            <v>1000</v>
          </cell>
          <cell r="G365">
            <v>46139</v>
          </cell>
          <cell r="H365">
            <v>46140</v>
          </cell>
        </row>
        <row r="366">
          <cell r="D366">
            <v>110001303051</v>
          </cell>
          <cell r="E366" t="str">
            <v>693-C24Q3E-PC G0044 0011801977G</v>
          </cell>
          <cell r="F366">
            <v>400</v>
          </cell>
          <cell r="G366">
            <v>46141</v>
          </cell>
          <cell r="H366">
            <v>46142</v>
          </cell>
        </row>
        <row r="367">
          <cell r="D367">
            <v>110001303052</v>
          </cell>
          <cell r="E367" t="str">
            <v>693-C24Q3E-PC 0011801977G</v>
          </cell>
          <cell r="F367">
            <v>400</v>
          </cell>
          <cell r="G367">
            <v>46139</v>
          </cell>
          <cell r="H367">
            <v>46140</v>
          </cell>
        </row>
        <row r="368">
          <cell r="D368">
            <v>110001303053</v>
          </cell>
          <cell r="E368" t="str">
            <v>500323-C2492F-PC G0044 0011801424BP</v>
          </cell>
          <cell r="F368">
            <v>3400</v>
          </cell>
          <cell r="G368">
            <v>46141</v>
          </cell>
          <cell r="H368">
            <v>46142</v>
          </cell>
        </row>
        <row r="369">
          <cell r="D369">
            <v>110001303054</v>
          </cell>
          <cell r="E369" t="str">
            <v>500323-C2492F-PC 0011801424BP</v>
          </cell>
          <cell r="F369">
            <v>3400</v>
          </cell>
          <cell r="G369">
            <v>46139</v>
          </cell>
          <cell r="H369">
            <v>46140</v>
          </cell>
        </row>
        <row r="370">
          <cell r="D370">
            <v>110001303055</v>
          </cell>
          <cell r="E370" t="str">
            <v>500323-C24A2E-PC G0044 0011801675C 新</v>
          </cell>
          <cell r="F370">
            <v>400</v>
          </cell>
          <cell r="G370">
            <v>46141</v>
          </cell>
          <cell r="H370">
            <v>46142</v>
          </cell>
        </row>
        <row r="371">
          <cell r="D371">
            <v>110001303056</v>
          </cell>
          <cell r="E371" t="str">
            <v>500323-C24A2E-PC 0011801675C 新</v>
          </cell>
          <cell r="F371">
            <v>400</v>
          </cell>
          <cell r="G371">
            <v>46139</v>
          </cell>
          <cell r="H371">
            <v>46140</v>
          </cell>
        </row>
        <row r="372">
          <cell r="D372">
            <v>110001303065</v>
          </cell>
          <cell r="E372" t="str">
            <v>2189-B2505G G0020 20112794</v>
          </cell>
          <cell r="F372">
            <v>2000</v>
          </cell>
          <cell r="G372">
            <v>46150</v>
          </cell>
          <cell r="H372">
            <v>46151</v>
          </cell>
        </row>
        <row r="373">
          <cell r="D373">
            <v>110001303066</v>
          </cell>
          <cell r="E373" t="str">
            <v>2189-B2505G-D 20112794</v>
          </cell>
          <cell r="F373">
            <v>2000</v>
          </cell>
          <cell r="G373">
            <v>46150</v>
          </cell>
          <cell r="H373">
            <v>46151</v>
          </cell>
        </row>
        <row r="374">
          <cell r="D374">
            <v>110001303067</v>
          </cell>
          <cell r="E374" t="str">
            <v>2189-B2505A-KN 2489739</v>
          </cell>
          <cell r="F374">
            <v>2000</v>
          </cell>
          <cell r="G374">
            <v>46150</v>
          </cell>
          <cell r="H374">
            <v>46151</v>
          </cell>
        </row>
        <row r="375">
          <cell r="D375">
            <v>110001303068</v>
          </cell>
          <cell r="E375" t="str">
            <v>2189-B2505G-D 20112794</v>
          </cell>
          <cell r="F375">
            <v>2000</v>
          </cell>
          <cell r="G375">
            <v>46148</v>
          </cell>
          <cell r="H375">
            <v>46149</v>
          </cell>
        </row>
        <row r="376">
          <cell r="D376">
            <v>110001303089</v>
          </cell>
          <cell r="E376" t="str">
            <v>600766-A2505D-PC G0044 0011801843K</v>
          </cell>
          <cell r="F376">
            <v>6800</v>
          </cell>
          <cell r="G376">
            <v>46138</v>
          </cell>
          <cell r="H376">
            <v>46139</v>
          </cell>
        </row>
        <row r="377">
          <cell r="D377">
            <v>110001303090</v>
          </cell>
          <cell r="E377" t="str">
            <v>600766-A2505D-PC 0011801843K</v>
          </cell>
          <cell r="F377">
            <v>6800</v>
          </cell>
          <cell r="G377">
            <v>46136</v>
          </cell>
          <cell r="H377">
            <v>46137</v>
          </cell>
        </row>
        <row r="378">
          <cell r="D378">
            <v>110001303121</v>
          </cell>
          <cell r="E378" t="str">
            <v>2189-B2507A G0020 20127550</v>
          </cell>
          <cell r="F378">
            <v>2500</v>
          </cell>
          <cell r="G378">
            <v>46150</v>
          </cell>
          <cell r="H378">
            <v>46151</v>
          </cell>
        </row>
        <row r="379">
          <cell r="D379">
            <v>110001303122</v>
          </cell>
          <cell r="E379" t="str">
            <v>2189-B2507A-D 20127550</v>
          </cell>
          <cell r="F379">
            <v>2500</v>
          </cell>
          <cell r="G379">
            <v>46150</v>
          </cell>
          <cell r="H379">
            <v>46151</v>
          </cell>
        </row>
        <row r="380">
          <cell r="D380">
            <v>110001303123</v>
          </cell>
          <cell r="E380" t="str">
            <v>2189-B2505A-KN 2489739</v>
          </cell>
          <cell r="F380">
            <v>2500</v>
          </cell>
          <cell r="G380">
            <v>46150</v>
          </cell>
          <cell r="H380">
            <v>46151</v>
          </cell>
        </row>
        <row r="381">
          <cell r="D381">
            <v>110001303124</v>
          </cell>
          <cell r="E381" t="str">
            <v>2189-B2507A-D 20127550</v>
          </cell>
          <cell r="F381">
            <v>2500</v>
          </cell>
          <cell r="G381">
            <v>46148</v>
          </cell>
          <cell r="H381">
            <v>46149</v>
          </cell>
        </row>
        <row r="382">
          <cell r="D382">
            <v>110001303129</v>
          </cell>
          <cell r="E382" t="str">
            <v>2189-B2507C G0020 20135510</v>
          </cell>
          <cell r="F382">
            <v>2100</v>
          </cell>
          <cell r="G382">
            <v>46150</v>
          </cell>
          <cell r="H382">
            <v>46151</v>
          </cell>
        </row>
        <row r="383">
          <cell r="D383">
            <v>110001303130</v>
          </cell>
          <cell r="E383" t="str">
            <v>2189-B2507C-D 20135510</v>
          </cell>
          <cell r="F383">
            <v>2100</v>
          </cell>
          <cell r="G383">
            <v>46150</v>
          </cell>
          <cell r="H383">
            <v>46151</v>
          </cell>
        </row>
        <row r="384">
          <cell r="D384">
            <v>110001303131</v>
          </cell>
          <cell r="E384" t="str">
            <v>2189-B2505A-KN 2489739</v>
          </cell>
          <cell r="F384">
            <v>2100</v>
          </cell>
          <cell r="G384">
            <v>46150</v>
          </cell>
          <cell r="H384">
            <v>46151</v>
          </cell>
        </row>
        <row r="385">
          <cell r="D385">
            <v>110001303132</v>
          </cell>
          <cell r="E385" t="str">
            <v>2189-B2507C-D 20135510</v>
          </cell>
          <cell r="F385">
            <v>2100</v>
          </cell>
          <cell r="G385">
            <v>46148</v>
          </cell>
          <cell r="H385">
            <v>46149</v>
          </cell>
        </row>
        <row r="386">
          <cell r="D386">
            <v>110001303143</v>
          </cell>
          <cell r="E386" t="str">
            <v>693-B2548E-PC G0044 0011801922F</v>
          </cell>
          <cell r="F386">
            <v>1000</v>
          </cell>
          <cell r="G386">
            <v>46141</v>
          </cell>
          <cell r="H386">
            <v>46142</v>
          </cell>
        </row>
        <row r="387">
          <cell r="D387">
            <v>110001303144</v>
          </cell>
          <cell r="E387" t="str">
            <v>693-B2548E-PC 0011801922F</v>
          </cell>
          <cell r="F387">
            <v>1000</v>
          </cell>
          <cell r="G387">
            <v>46139</v>
          </cell>
          <cell r="H387">
            <v>46140</v>
          </cell>
        </row>
        <row r="388">
          <cell r="D388">
            <v>110001303145</v>
          </cell>
          <cell r="E388" t="str">
            <v>693-B2548E-PC G0044 0011801922F</v>
          </cell>
          <cell r="F388">
            <v>4000</v>
          </cell>
          <cell r="G388">
            <v>46141</v>
          </cell>
          <cell r="H388">
            <v>46142</v>
          </cell>
        </row>
        <row r="389">
          <cell r="D389">
            <v>110001303146</v>
          </cell>
          <cell r="E389" t="str">
            <v>693-B2548E-PC 0011801922F</v>
          </cell>
          <cell r="F389">
            <v>4000</v>
          </cell>
          <cell r="G389">
            <v>46139</v>
          </cell>
          <cell r="H389">
            <v>46140</v>
          </cell>
        </row>
        <row r="390">
          <cell r="D390">
            <v>110001303151</v>
          </cell>
          <cell r="E390" t="str">
            <v>693-B2548F-PC G0044 0011801922G</v>
          </cell>
          <cell r="F390">
            <v>2000</v>
          </cell>
          <cell r="G390">
            <v>46141</v>
          </cell>
          <cell r="H390">
            <v>46142</v>
          </cell>
        </row>
        <row r="391">
          <cell r="D391">
            <v>110001303152</v>
          </cell>
          <cell r="E391" t="str">
            <v>693-B2548F-PC 0011801922G</v>
          </cell>
          <cell r="F391">
            <v>2000</v>
          </cell>
          <cell r="G391">
            <v>46139</v>
          </cell>
          <cell r="H391">
            <v>46140</v>
          </cell>
        </row>
        <row r="392">
          <cell r="D392">
            <v>110001303177</v>
          </cell>
          <cell r="E392" t="str">
            <v>2189-B2507G G0020 20224798</v>
          </cell>
          <cell r="F392">
            <v>2150</v>
          </cell>
          <cell r="G392">
            <v>46151</v>
          </cell>
          <cell r="H392">
            <v>46152</v>
          </cell>
        </row>
        <row r="393">
          <cell r="D393">
            <v>110001303178</v>
          </cell>
          <cell r="E393" t="str">
            <v>2189-B2505A-KN 2489739</v>
          </cell>
          <cell r="F393">
            <v>2150</v>
          </cell>
          <cell r="G393">
            <v>46151</v>
          </cell>
          <cell r="H393">
            <v>46152</v>
          </cell>
        </row>
        <row r="394">
          <cell r="D394">
            <v>110001303179</v>
          </cell>
          <cell r="E394" t="str">
            <v>2189-B2507G-D 20224798</v>
          </cell>
          <cell r="F394">
            <v>2150</v>
          </cell>
          <cell r="G394">
            <v>46151</v>
          </cell>
          <cell r="H394">
            <v>46152</v>
          </cell>
        </row>
        <row r="395">
          <cell r="D395">
            <v>110001303180</v>
          </cell>
          <cell r="E395" t="str">
            <v>2189-B2507G-D 20224798</v>
          </cell>
          <cell r="F395">
            <v>2150</v>
          </cell>
          <cell r="G395">
            <v>46149</v>
          </cell>
          <cell r="H395">
            <v>46150</v>
          </cell>
        </row>
        <row r="396">
          <cell r="D396">
            <v>110001303217</v>
          </cell>
          <cell r="E396" t="str">
            <v>2189-B2505AK G0020 20246774</v>
          </cell>
          <cell r="F396">
            <v>2100</v>
          </cell>
          <cell r="G396">
            <v>46151</v>
          </cell>
          <cell r="H396">
            <v>46152</v>
          </cell>
        </row>
        <row r="397">
          <cell r="D397">
            <v>110001303218</v>
          </cell>
          <cell r="E397" t="str">
            <v>2189-B2505A-KN 2489739</v>
          </cell>
          <cell r="F397">
            <v>2100</v>
          </cell>
          <cell r="G397">
            <v>46151</v>
          </cell>
          <cell r="H397">
            <v>46152</v>
          </cell>
        </row>
        <row r="398">
          <cell r="D398">
            <v>110001303219</v>
          </cell>
          <cell r="E398" t="str">
            <v>2189-B2505AK-D 20246774</v>
          </cell>
          <cell r="F398">
            <v>2100</v>
          </cell>
          <cell r="G398">
            <v>46151</v>
          </cell>
          <cell r="H398">
            <v>46152</v>
          </cell>
        </row>
        <row r="399">
          <cell r="D399">
            <v>110001303220</v>
          </cell>
          <cell r="E399" t="str">
            <v>2189-B2505AK-D 20246774</v>
          </cell>
          <cell r="F399">
            <v>2100</v>
          </cell>
          <cell r="G399">
            <v>46149</v>
          </cell>
          <cell r="H399">
            <v>46150</v>
          </cell>
        </row>
        <row r="400">
          <cell r="D400">
            <v>110001303237</v>
          </cell>
          <cell r="E400" t="str">
            <v>2189-B2507N G0020 20239309</v>
          </cell>
          <cell r="F400">
            <v>400</v>
          </cell>
          <cell r="G400">
            <v>46146</v>
          </cell>
          <cell r="H400">
            <v>46147</v>
          </cell>
        </row>
        <row r="401">
          <cell r="D401">
            <v>110001303238</v>
          </cell>
          <cell r="E401" t="str">
            <v>2189-B2505A-KN 2489739</v>
          </cell>
          <cell r="F401">
            <v>400</v>
          </cell>
          <cell r="G401">
            <v>46146</v>
          </cell>
          <cell r="H401">
            <v>46147</v>
          </cell>
        </row>
        <row r="402">
          <cell r="D402">
            <v>110001303239</v>
          </cell>
          <cell r="E402" t="str">
            <v>2189-B2507N-D 20239309</v>
          </cell>
          <cell r="F402">
            <v>400</v>
          </cell>
          <cell r="G402">
            <v>46146</v>
          </cell>
          <cell r="H402">
            <v>46147</v>
          </cell>
        </row>
        <row r="403">
          <cell r="D403">
            <v>110001303240</v>
          </cell>
          <cell r="E403" t="str">
            <v>2189-B2507N-D 20239309</v>
          </cell>
          <cell r="F403">
            <v>400</v>
          </cell>
          <cell r="G403">
            <v>46144</v>
          </cell>
          <cell r="H403">
            <v>46145</v>
          </cell>
        </row>
        <row r="404">
          <cell r="D404">
            <v>110001303249</v>
          </cell>
          <cell r="E404" t="str">
            <v>2189-B2505AL G0020 20120049</v>
          </cell>
          <cell r="F404">
            <v>300</v>
          </cell>
          <cell r="G404">
            <v>46138</v>
          </cell>
          <cell r="H404">
            <v>46139</v>
          </cell>
        </row>
        <row r="405">
          <cell r="D405">
            <v>110001303250</v>
          </cell>
          <cell r="E405" t="str">
            <v>2189-B2505A-KN 2489739</v>
          </cell>
          <cell r="F405">
            <v>300</v>
          </cell>
          <cell r="G405">
            <v>46138</v>
          </cell>
          <cell r="H405">
            <v>46139</v>
          </cell>
        </row>
        <row r="406">
          <cell r="D406">
            <v>110001303251</v>
          </cell>
          <cell r="E406" t="str">
            <v>2189-B2505AL-D 20120049</v>
          </cell>
          <cell r="F406">
            <v>300</v>
          </cell>
          <cell r="G406">
            <v>46138</v>
          </cell>
          <cell r="H406">
            <v>46139</v>
          </cell>
        </row>
        <row r="407">
          <cell r="D407">
            <v>110001303252</v>
          </cell>
          <cell r="E407" t="str">
            <v>2189-B2505AL-D 20120049</v>
          </cell>
          <cell r="F407">
            <v>300</v>
          </cell>
          <cell r="G407">
            <v>46136</v>
          </cell>
          <cell r="H407">
            <v>46137</v>
          </cell>
        </row>
        <row r="408">
          <cell r="D408">
            <v>110001303253</v>
          </cell>
          <cell r="E408" t="str">
            <v>2189-B2505AL G0020 20120049</v>
          </cell>
          <cell r="F408">
            <v>1300</v>
          </cell>
          <cell r="G408">
            <v>46140</v>
          </cell>
          <cell r="H408">
            <v>46141</v>
          </cell>
        </row>
        <row r="409">
          <cell r="D409">
            <v>110001303254</v>
          </cell>
          <cell r="E409" t="str">
            <v>2189-B2505A-KN 2489739</v>
          </cell>
          <cell r="F409">
            <v>1300</v>
          </cell>
          <cell r="G409">
            <v>46140</v>
          </cell>
          <cell r="H409">
            <v>46141</v>
          </cell>
        </row>
        <row r="410">
          <cell r="D410">
            <v>110001303255</v>
          </cell>
          <cell r="E410" t="str">
            <v>2189-B2505AL-D 20120049</v>
          </cell>
          <cell r="F410">
            <v>1300</v>
          </cell>
          <cell r="G410">
            <v>46140</v>
          </cell>
          <cell r="H410">
            <v>46141</v>
          </cell>
        </row>
        <row r="411">
          <cell r="D411">
            <v>110001303256</v>
          </cell>
          <cell r="E411" t="str">
            <v>2189-B2505AL-D 20120049</v>
          </cell>
          <cell r="F411">
            <v>1300</v>
          </cell>
          <cell r="G411">
            <v>46138</v>
          </cell>
          <cell r="H411">
            <v>46139</v>
          </cell>
        </row>
        <row r="412">
          <cell r="D412">
            <v>110001303261</v>
          </cell>
          <cell r="E412" t="str">
            <v>500323-C2508A-PC 0011801824</v>
          </cell>
          <cell r="F412">
            <v>5000</v>
          </cell>
          <cell r="G412">
            <v>46151</v>
          </cell>
          <cell r="H412">
            <v>46152</v>
          </cell>
        </row>
        <row r="413">
          <cell r="D413">
            <v>110001303262</v>
          </cell>
          <cell r="E413" t="str">
            <v>500323-C2508A-PC 0011801824</v>
          </cell>
          <cell r="F413">
            <v>5000</v>
          </cell>
          <cell r="G413">
            <v>46149</v>
          </cell>
          <cell r="H413">
            <v>46150</v>
          </cell>
        </row>
        <row r="414">
          <cell r="D414">
            <v>110001303348</v>
          </cell>
          <cell r="E414" t="str">
            <v>693-B23G9A-PC  0011801424AT</v>
          </cell>
          <cell r="F414">
            <v>1000</v>
          </cell>
          <cell r="G414">
            <v>46141</v>
          </cell>
          <cell r="H414">
            <v>46142</v>
          </cell>
        </row>
        <row r="415">
          <cell r="D415">
            <v>110001303349</v>
          </cell>
          <cell r="E415" t="str">
            <v>693-B23G9A-PC 0011801424AT</v>
          </cell>
          <cell r="F415">
            <v>1000</v>
          </cell>
          <cell r="G415">
            <v>46139</v>
          </cell>
          <cell r="H415">
            <v>46140</v>
          </cell>
        </row>
        <row r="416">
          <cell r="D416">
            <v>110001304437</v>
          </cell>
          <cell r="E416" t="str">
            <v>693-C2413A-PC 0181800103 加水泥电阻</v>
          </cell>
          <cell r="F416">
            <v>20000</v>
          </cell>
          <cell r="G416">
            <v>46147</v>
          </cell>
          <cell r="H416">
            <v>46148</v>
          </cell>
        </row>
        <row r="417">
          <cell r="D417">
            <v>110001304438</v>
          </cell>
          <cell r="E417" t="str">
            <v>693-C2413A-PC 0181800103 加水泥电阻</v>
          </cell>
          <cell r="F417">
            <v>20000</v>
          </cell>
          <cell r="G417">
            <v>46145</v>
          </cell>
          <cell r="H417">
            <v>46146</v>
          </cell>
        </row>
        <row r="418">
          <cell r="D418">
            <v>110001304461</v>
          </cell>
          <cell r="E418" t="str">
            <v>501851-A2514A-D G0384 612101020026</v>
          </cell>
          <cell r="F418">
            <v>2000</v>
          </cell>
          <cell r="G418">
            <v>46137</v>
          </cell>
          <cell r="H418">
            <v>46138</v>
          </cell>
        </row>
        <row r="419">
          <cell r="D419">
            <v>110001304462</v>
          </cell>
          <cell r="E419" t="str">
            <v>501851-A2514A-D 612101020026</v>
          </cell>
          <cell r="F419">
            <v>2000</v>
          </cell>
          <cell r="G419">
            <v>46136</v>
          </cell>
          <cell r="H419">
            <v>46136</v>
          </cell>
        </row>
        <row r="420">
          <cell r="D420">
            <v>110001304463</v>
          </cell>
          <cell r="E420" t="str">
            <v>501851-A2514A-D G0384 612101020026</v>
          </cell>
          <cell r="F420">
            <v>4000</v>
          </cell>
          <cell r="G420">
            <v>46139</v>
          </cell>
          <cell r="H420">
            <v>46140</v>
          </cell>
        </row>
        <row r="421">
          <cell r="D421">
            <v>110001304464</v>
          </cell>
          <cell r="E421" t="str">
            <v>501851-A2514A-D 612101020026</v>
          </cell>
          <cell r="F421">
            <v>4000</v>
          </cell>
          <cell r="G421">
            <v>46137</v>
          </cell>
          <cell r="H421">
            <v>46138</v>
          </cell>
        </row>
        <row r="422">
          <cell r="D422">
            <v>110001304467</v>
          </cell>
          <cell r="E422" t="str">
            <v>501851-A2513A-D G0384 612101020027</v>
          </cell>
          <cell r="F422">
            <v>2000</v>
          </cell>
          <cell r="G422">
            <v>46137</v>
          </cell>
          <cell r="H422">
            <v>46138</v>
          </cell>
        </row>
        <row r="423">
          <cell r="D423">
            <v>110001304468</v>
          </cell>
          <cell r="E423" t="str">
            <v>501851-A2513A-D 612101020027</v>
          </cell>
          <cell r="F423">
            <v>2000</v>
          </cell>
          <cell r="G423">
            <v>46136</v>
          </cell>
          <cell r="H423">
            <v>46136</v>
          </cell>
        </row>
        <row r="424">
          <cell r="D424">
            <v>110001305098</v>
          </cell>
          <cell r="E424" t="str">
            <v>693-C2534F-PC G0044 0011801843X</v>
          </cell>
          <cell r="F424">
            <v>1000</v>
          </cell>
          <cell r="G424">
            <v>46141</v>
          </cell>
          <cell r="H424">
            <v>46142</v>
          </cell>
        </row>
        <row r="425">
          <cell r="D425">
            <v>110001305099</v>
          </cell>
          <cell r="E425" t="str">
            <v>693-C2534F-PC 0011801843X</v>
          </cell>
          <cell r="F425">
            <v>1000</v>
          </cell>
          <cell r="G425">
            <v>46139</v>
          </cell>
          <cell r="H425">
            <v>46140</v>
          </cell>
        </row>
        <row r="426">
          <cell r="D426">
            <v>110001305102</v>
          </cell>
          <cell r="E426" t="str">
            <v>500323-C24L6E-PC G0044 0011801172DK</v>
          </cell>
          <cell r="F426">
            <v>300</v>
          </cell>
          <cell r="G426">
            <v>46141</v>
          </cell>
          <cell r="H426">
            <v>46142</v>
          </cell>
        </row>
        <row r="427">
          <cell r="D427">
            <v>110001305103</v>
          </cell>
          <cell r="E427" t="str">
            <v>500323-C24L6E-PC 0011801172DK</v>
          </cell>
          <cell r="F427">
            <v>300</v>
          </cell>
          <cell r="G427">
            <v>46139</v>
          </cell>
          <cell r="H427">
            <v>46140</v>
          </cell>
        </row>
        <row r="428">
          <cell r="D428">
            <v>110001305104</v>
          </cell>
          <cell r="E428" t="str">
            <v>500323-C24L6I-PC G0044 0011801172DU</v>
          </cell>
          <cell r="F428">
            <v>1300</v>
          </cell>
          <cell r="G428">
            <v>46141</v>
          </cell>
          <cell r="H428">
            <v>46142</v>
          </cell>
        </row>
        <row r="429">
          <cell r="D429">
            <v>110001305105</v>
          </cell>
          <cell r="E429" t="str">
            <v>500323-C24L6I-PC 0011801172DU</v>
          </cell>
          <cell r="F429">
            <v>1300</v>
          </cell>
          <cell r="G429">
            <v>46139</v>
          </cell>
          <cell r="H429">
            <v>46140</v>
          </cell>
        </row>
        <row r="430">
          <cell r="D430">
            <v>110001305106</v>
          </cell>
          <cell r="E430" t="str">
            <v>693-C2608B-PC G0044 0011801656D</v>
          </cell>
          <cell r="F430">
            <v>1300</v>
          </cell>
          <cell r="G430">
            <v>46136</v>
          </cell>
          <cell r="H430">
            <v>46135</v>
          </cell>
        </row>
        <row r="431">
          <cell r="D431">
            <v>110001305107</v>
          </cell>
          <cell r="E431" t="str">
            <v>693-C2608B-PC 0011801656D</v>
          </cell>
          <cell r="F431">
            <v>1300</v>
          </cell>
          <cell r="G431">
            <v>46136</v>
          </cell>
          <cell r="H431">
            <v>46133</v>
          </cell>
        </row>
        <row r="432">
          <cell r="D432">
            <v>110001305145</v>
          </cell>
          <cell r="E432" t="str">
            <v>693-C2398A-PC 0151801003A</v>
          </cell>
          <cell r="F432">
            <v>461</v>
          </cell>
          <cell r="G432">
            <v>46148</v>
          </cell>
          <cell r="H432">
            <v>46149</v>
          </cell>
        </row>
        <row r="433">
          <cell r="D433">
            <v>110001305146</v>
          </cell>
          <cell r="E433" t="str">
            <v>693-C2398A-PC 0151801003A</v>
          </cell>
          <cell r="F433">
            <v>461</v>
          </cell>
          <cell r="G433">
            <v>46146</v>
          </cell>
          <cell r="H433">
            <v>46147</v>
          </cell>
        </row>
        <row r="434">
          <cell r="D434">
            <v>110001305147</v>
          </cell>
          <cell r="E434" t="str">
            <v>693-C2398A-PC 0151801003A</v>
          </cell>
          <cell r="F434">
            <v>300</v>
          </cell>
          <cell r="G434">
            <v>46148</v>
          </cell>
          <cell r="H434">
            <v>46149</v>
          </cell>
        </row>
        <row r="435">
          <cell r="D435">
            <v>110001305148</v>
          </cell>
          <cell r="E435" t="str">
            <v>693-C2398A-PC 0151801003A</v>
          </cell>
          <cell r="F435">
            <v>300</v>
          </cell>
          <cell r="G435">
            <v>46146</v>
          </cell>
          <cell r="H435">
            <v>46147</v>
          </cell>
        </row>
        <row r="436">
          <cell r="D436">
            <v>110001305153</v>
          </cell>
          <cell r="E436" t="str">
            <v>693-C2434A-PC 0031800138R</v>
          </cell>
          <cell r="F436">
            <v>5000</v>
          </cell>
          <cell r="G436">
            <v>46145</v>
          </cell>
          <cell r="H436">
            <v>46146</v>
          </cell>
        </row>
        <row r="437">
          <cell r="D437">
            <v>110001305154</v>
          </cell>
          <cell r="E437" t="str">
            <v>693-C2434A-PC 0031800138R</v>
          </cell>
          <cell r="F437">
            <v>5000</v>
          </cell>
          <cell r="G437">
            <v>46143</v>
          </cell>
          <cell r="H437">
            <v>46144</v>
          </cell>
        </row>
        <row r="438">
          <cell r="D438">
            <v>110001306087</v>
          </cell>
          <cell r="E438" t="str">
            <v>500323-C2491D-PC G0044 0011801656B</v>
          </cell>
          <cell r="F438">
            <v>700</v>
          </cell>
          <cell r="G438">
            <v>46136</v>
          </cell>
          <cell r="H438">
            <v>46135</v>
          </cell>
        </row>
        <row r="439">
          <cell r="D439">
            <v>110001306088</v>
          </cell>
          <cell r="E439" t="str">
            <v>500323-C2491D-PC 0011801656B</v>
          </cell>
          <cell r="F439">
            <v>700</v>
          </cell>
          <cell r="G439">
            <v>46136</v>
          </cell>
          <cell r="H439">
            <v>46133</v>
          </cell>
        </row>
        <row r="440">
          <cell r="D440">
            <v>110001306836</v>
          </cell>
          <cell r="E440" t="str">
            <v>693-A2179A-PC 0011800630K</v>
          </cell>
          <cell r="F440">
            <v>4000</v>
          </cell>
          <cell r="G440">
            <v>46138</v>
          </cell>
          <cell r="H440">
            <v>46139</v>
          </cell>
        </row>
        <row r="441">
          <cell r="D441">
            <v>110001306837</v>
          </cell>
          <cell r="E441" t="str">
            <v>693-A2179A-PC 0011800630K</v>
          </cell>
          <cell r="F441">
            <v>4000</v>
          </cell>
          <cell r="G441">
            <v>46136</v>
          </cell>
          <cell r="H441">
            <v>46137</v>
          </cell>
        </row>
        <row r="442">
          <cell r="D442">
            <v>110001306838</v>
          </cell>
          <cell r="E442" t="str">
            <v>693-A2179A-PC 0011800630K</v>
          </cell>
          <cell r="F442">
            <v>1500</v>
          </cell>
          <cell r="G442">
            <v>46141</v>
          </cell>
          <cell r="H442">
            <v>46142</v>
          </cell>
        </row>
        <row r="443">
          <cell r="D443">
            <v>110001306839</v>
          </cell>
          <cell r="E443" t="str">
            <v>693-A2179A-PC 0011800630K</v>
          </cell>
          <cell r="F443">
            <v>1500</v>
          </cell>
          <cell r="G443">
            <v>46139</v>
          </cell>
          <cell r="H443">
            <v>46140</v>
          </cell>
        </row>
        <row r="444">
          <cell r="D444">
            <v>110001306840</v>
          </cell>
          <cell r="E444" t="str">
            <v>693-A2179C-PC 0011800630L</v>
          </cell>
          <cell r="F444">
            <v>300</v>
          </cell>
          <cell r="G444">
            <v>46141</v>
          </cell>
          <cell r="H444">
            <v>46142</v>
          </cell>
        </row>
        <row r="445">
          <cell r="D445">
            <v>110001307001</v>
          </cell>
          <cell r="E445" t="str">
            <v>693-A2179C-PC 0011800630L</v>
          </cell>
          <cell r="F445">
            <v>300</v>
          </cell>
          <cell r="G445">
            <v>46139</v>
          </cell>
          <cell r="H445">
            <v>46140</v>
          </cell>
        </row>
        <row r="446">
          <cell r="D446">
            <v>110001307006</v>
          </cell>
          <cell r="E446" t="str">
            <v>693-C2256D-PC 0011801123H</v>
          </cell>
          <cell r="F446">
            <v>6000</v>
          </cell>
          <cell r="G446">
            <v>46141</v>
          </cell>
          <cell r="H446">
            <v>46142</v>
          </cell>
        </row>
        <row r="447">
          <cell r="D447">
            <v>110001307007</v>
          </cell>
          <cell r="E447" t="str">
            <v>693-C2256D-PC 0011801123H</v>
          </cell>
          <cell r="F447">
            <v>6000</v>
          </cell>
          <cell r="G447">
            <v>46139</v>
          </cell>
          <cell r="H447">
            <v>46140</v>
          </cell>
        </row>
        <row r="448">
          <cell r="D448">
            <v>110001307016</v>
          </cell>
          <cell r="E448" t="str">
            <v>693-B23G7A-PC  0011801048AE</v>
          </cell>
          <cell r="F448">
            <v>2500</v>
          </cell>
          <cell r="G448">
            <v>46141</v>
          </cell>
          <cell r="H448">
            <v>46142</v>
          </cell>
        </row>
        <row r="449">
          <cell r="D449">
            <v>110001307017</v>
          </cell>
          <cell r="E449" t="str">
            <v>693-B23G7A-PC</v>
          </cell>
          <cell r="F449">
            <v>2500</v>
          </cell>
          <cell r="G449">
            <v>46139</v>
          </cell>
          <cell r="H449">
            <v>46140</v>
          </cell>
        </row>
        <row r="450">
          <cell r="D450">
            <v>110001307026</v>
          </cell>
          <cell r="E450" t="str">
            <v>693-C2516E-PC G0044 0011801675AF</v>
          </cell>
          <cell r="F450">
            <v>500</v>
          </cell>
          <cell r="G450">
            <v>46141</v>
          </cell>
          <cell r="H450">
            <v>46142</v>
          </cell>
        </row>
        <row r="451">
          <cell r="D451">
            <v>110001307027</v>
          </cell>
          <cell r="E451" t="str">
            <v>693-C2516E-PC 0011801675AF</v>
          </cell>
          <cell r="F451">
            <v>500</v>
          </cell>
          <cell r="G451">
            <v>46139</v>
          </cell>
          <cell r="H451">
            <v>46140</v>
          </cell>
        </row>
        <row r="452">
          <cell r="D452">
            <v>110001307028</v>
          </cell>
          <cell r="E452" t="str">
            <v>693-B2548A-PC G0044 0011801922</v>
          </cell>
          <cell r="F452">
            <v>3000</v>
          </cell>
          <cell r="G452">
            <v>46141</v>
          </cell>
          <cell r="H452">
            <v>46142</v>
          </cell>
        </row>
        <row r="453">
          <cell r="D453">
            <v>110001307029</v>
          </cell>
          <cell r="E453" t="str">
            <v>693-B2548A-PC 0011801922</v>
          </cell>
          <cell r="F453">
            <v>3000</v>
          </cell>
          <cell r="G453">
            <v>46139</v>
          </cell>
          <cell r="H453">
            <v>46140</v>
          </cell>
        </row>
        <row r="454">
          <cell r="D454">
            <v>110001307034</v>
          </cell>
          <cell r="E454" t="str">
            <v>693-C25A7A-PC G0044 0151801031AA</v>
          </cell>
          <cell r="F454">
            <v>1000</v>
          </cell>
          <cell r="G454">
            <v>46141</v>
          </cell>
          <cell r="H454">
            <v>46142</v>
          </cell>
        </row>
        <row r="455">
          <cell r="D455">
            <v>110001307035</v>
          </cell>
          <cell r="E455" t="str">
            <v>693-C25A7A-PC 0151801031AA</v>
          </cell>
          <cell r="F455">
            <v>1000</v>
          </cell>
          <cell r="G455">
            <v>46139</v>
          </cell>
          <cell r="H455">
            <v>46140</v>
          </cell>
        </row>
        <row r="456">
          <cell r="D456">
            <v>110001307036</v>
          </cell>
          <cell r="E456" t="str">
            <v>693-C25A8A-PC G0044 0151801031B</v>
          </cell>
          <cell r="F456">
            <v>1200</v>
          </cell>
          <cell r="G456">
            <v>46139</v>
          </cell>
          <cell r="H456">
            <v>46140</v>
          </cell>
        </row>
        <row r="457">
          <cell r="D457">
            <v>110001307037</v>
          </cell>
          <cell r="E457" t="str">
            <v>693-C25A8A-PC 0151801031B</v>
          </cell>
          <cell r="F457">
            <v>1200</v>
          </cell>
          <cell r="G457">
            <v>46137</v>
          </cell>
          <cell r="H457">
            <v>46138</v>
          </cell>
        </row>
        <row r="458">
          <cell r="D458">
            <v>110001307048</v>
          </cell>
          <cell r="E458" t="str">
            <v>500323-C24A3E-PC G0044 0011801850C</v>
          </cell>
          <cell r="F458">
            <v>200</v>
          </cell>
          <cell r="G458">
            <v>46140</v>
          </cell>
          <cell r="H458">
            <v>46141</v>
          </cell>
        </row>
        <row r="459">
          <cell r="D459">
            <v>110001307049</v>
          </cell>
          <cell r="E459" t="str">
            <v>500323-C24A3E-PC 0011801850C</v>
          </cell>
          <cell r="F459">
            <v>200</v>
          </cell>
          <cell r="G459">
            <v>46138</v>
          </cell>
          <cell r="H459">
            <v>46139</v>
          </cell>
        </row>
        <row r="460">
          <cell r="D460">
            <v>110001307050</v>
          </cell>
          <cell r="E460" t="str">
            <v>500323-C24A3E-PC G0044 0011801850C</v>
          </cell>
          <cell r="F460">
            <v>1500</v>
          </cell>
          <cell r="G460">
            <v>46141</v>
          </cell>
          <cell r="H460">
            <v>46142</v>
          </cell>
        </row>
        <row r="461">
          <cell r="D461">
            <v>110001307051</v>
          </cell>
          <cell r="E461" t="str">
            <v>500323-C24A3E-PC 0011801850C</v>
          </cell>
          <cell r="F461">
            <v>1500</v>
          </cell>
          <cell r="G461">
            <v>46139</v>
          </cell>
          <cell r="H461">
            <v>46140</v>
          </cell>
        </row>
        <row r="462">
          <cell r="D462">
            <v>110001307229</v>
          </cell>
          <cell r="E462" t="str">
            <v>693-C2390A-D 0021800616</v>
          </cell>
          <cell r="F462">
            <v>1000</v>
          </cell>
          <cell r="G462">
            <v>46147</v>
          </cell>
          <cell r="H462">
            <v>46148</v>
          </cell>
        </row>
        <row r="463">
          <cell r="D463">
            <v>110001307230</v>
          </cell>
          <cell r="E463" t="str">
            <v>693-C2390A-D 0021800616</v>
          </cell>
          <cell r="F463">
            <v>1000</v>
          </cell>
          <cell r="G463">
            <v>46145</v>
          </cell>
          <cell r="H463">
            <v>46146</v>
          </cell>
        </row>
        <row r="464">
          <cell r="D464">
            <v>110001307231</v>
          </cell>
          <cell r="E464" t="str">
            <v>500323-C24D2A-D 0021800616B</v>
          </cell>
          <cell r="F464">
            <v>2000</v>
          </cell>
          <cell r="G464">
            <v>46144</v>
          </cell>
          <cell r="H464">
            <v>46145</v>
          </cell>
        </row>
        <row r="465">
          <cell r="D465">
            <v>110001307232</v>
          </cell>
          <cell r="E465" t="str">
            <v>500323-C24D2A-D 0021800616B</v>
          </cell>
          <cell r="F465">
            <v>2000</v>
          </cell>
          <cell r="G465">
            <v>46142</v>
          </cell>
          <cell r="H465">
            <v>46143</v>
          </cell>
        </row>
        <row r="466">
          <cell r="D466">
            <v>110001307239</v>
          </cell>
          <cell r="E466" t="str">
            <v>500323-C24D2B-D 0021800616C</v>
          </cell>
          <cell r="F466">
            <v>2000</v>
          </cell>
          <cell r="G466">
            <v>46145</v>
          </cell>
          <cell r="H466">
            <v>46146</v>
          </cell>
        </row>
        <row r="467">
          <cell r="D467">
            <v>110001307240</v>
          </cell>
          <cell r="E467" t="str">
            <v>500323-C24D2B-D 0021800616C</v>
          </cell>
          <cell r="F467">
            <v>2000</v>
          </cell>
          <cell r="G467">
            <v>46143</v>
          </cell>
          <cell r="H467">
            <v>46144</v>
          </cell>
        </row>
        <row r="468">
          <cell r="D468">
            <v>110001307347</v>
          </cell>
          <cell r="E468" t="str">
            <v>693-C2352A-PC 0011801516</v>
          </cell>
          <cell r="F468">
            <v>300</v>
          </cell>
          <cell r="G468">
            <v>46139</v>
          </cell>
          <cell r="H468">
            <v>46140</v>
          </cell>
        </row>
        <row r="469">
          <cell r="D469">
            <v>110001307348</v>
          </cell>
          <cell r="E469" t="str">
            <v>693-C2352A-PC 0011801516</v>
          </cell>
          <cell r="F469">
            <v>300</v>
          </cell>
          <cell r="G469">
            <v>46137</v>
          </cell>
          <cell r="H469">
            <v>46138</v>
          </cell>
        </row>
        <row r="470">
          <cell r="D470">
            <v>110001307353</v>
          </cell>
          <cell r="E470" t="str">
            <v>693-C2568A-PC G0044 0011800722GCH</v>
          </cell>
          <cell r="F470">
            <v>170</v>
          </cell>
          <cell r="G470">
            <v>46141</v>
          </cell>
          <cell r="H470">
            <v>46142</v>
          </cell>
        </row>
        <row r="471">
          <cell r="D471">
            <v>110001307354</v>
          </cell>
          <cell r="E471" t="str">
            <v>693-C2568A-PC 0011800722GCH</v>
          </cell>
          <cell r="F471">
            <v>170</v>
          </cell>
          <cell r="G471">
            <v>46139</v>
          </cell>
          <cell r="H471">
            <v>46140</v>
          </cell>
        </row>
        <row r="472">
          <cell r="D472">
            <v>110001307361</v>
          </cell>
          <cell r="E472" t="str">
            <v>500323-C2491D-PC G0044 0011801656B</v>
          </cell>
          <cell r="F472">
            <v>550</v>
          </cell>
          <cell r="G472">
            <v>46140</v>
          </cell>
          <cell r="H472">
            <v>46141</v>
          </cell>
        </row>
        <row r="473">
          <cell r="D473">
            <v>110001307362</v>
          </cell>
          <cell r="E473" t="str">
            <v>500323-C2491D-PC 0011801656B</v>
          </cell>
          <cell r="F473">
            <v>550</v>
          </cell>
          <cell r="G473">
            <v>46138</v>
          </cell>
          <cell r="H473">
            <v>46139</v>
          </cell>
        </row>
        <row r="474">
          <cell r="D474">
            <v>110001307367</v>
          </cell>
          <cell r="E474" t="str">
            <v>500323-C24D2F-D G0044 0021800616E</v>
          </cell>
          <cell r="F474">
            <v>2000</v>
          </cell>
          <cell r="G474">
            <v>46146</v>
          </cell>
          <cell r="H474">
            <v>46147</v>
          </cell>
        </row>
        <row r="475">
          <cell r="D475">
            <v>110001307368</v>
          </cell>
          <cell r="E475" t="str">
            <v>500323-C24D2F-D 0021800616E</v>
          </cell>
          <cell r="F475">
            <v>2000</v>
          </cell>
          <cell r="G475">
            <v>46144</v>
          </cell>
          <cell r="H475">
            <v>46145</v>
          </cell>
        </row>
        <row r="476">
          <cell r="D476">
            <v>110001307381</v>
          </cell>
          <cell r="E476" t="str">
            <v>500323-C24D2J-D G0044 0021800616J</v>
          </cell>
          <cell r="F476">
            <v>1000</v>
          </cell>
          <cell r="G476">
            <v>46146</v>
          </cell>
          <cell r="H476">
            <v>46147</v>
          </cell>
        </row>
        <row r="477">
          <cell r="D477">
            <v>110001307382</v>
          </cell>
          <cell r="E477" t="str">
            <v>500323-C24D2J-D 0021800616J</v>
          </cell>
          <cell r="F477">
            <v>1000</v>
          </cell>
          <cell r="G477">
            <v>46144</v>
          </cell>
          <cell r="H477">
            <v>46145</v>
          </cell>
        </row>
        <row r="478">
          <cell r="D478">
            <v>110001308219</v>
          </cell>
          <cell r="E478" t="str">
            <v>693-C2250A-PC 0011800980J</v>
          </cell>
          <cell r="F478">
            <v>300</v>
          </cell>
          <cell r="G478">
            <v>46141</v>
          </cell>
          <cell r="H478">
            <v>46142</v>
          </cell>
        </row>
        <row r="479">
          <cell r="D479">
            <v>110001308220</v>
          </cell>
          <cell r="E479" t="str">
            <v>693-C2250A-PC 0011800980J</v>
          </cell>
          <cell r="F479">
            <v>300</v>
          </cell>
          <cell r="G479">
            <v>46139</v>
          </cell>
          <cell r="H479">
            <v>46140</v>
          </cell>
        </row>
        <row r="480">
          <cell r="D480">
            <v>110001308381</v>
          </cell>
          <cell r="E480" t="str">
            <v>693-B2201M-PC 0011801424Z</v>
          </cell>
          <cell r="F480">
            <v>1200</v>
          </cell>
          <cell r="G480">
            <v>46141</v>
          </cell>
          <cell r="H480">
            <v>46142</v>
          </cell>
        </row>
        <row r="481">
          <cell r="D481">
            <v>110001308382</v>
          </cell>
          <cell r="E481" t="str">
            <v>693-B2201M-PC 0011801424Z</v>
          </cell>
          <cell r="F481">
            <v>1200</v>
          </cell>
          <cell r="G481">
            <v>46139</v>
          </cell>
          <cell r="H481">
            <v>46140</v>
          </cell>
        </row>
        <row r="482">
          <cell r="D482">
            <v>110001308385</v>
          </cell>
          <cell r="E482" t="str">
            <v>693-C23J5A-PC 0011801826</v>
          </cell>
          <cell r="F482">
            <v>200</v>
          </cell>
          <cell r="G482">
            <v>46141</v>
          </cell>
          <cell r="H482">
            <v>46142</v>
          </cell>
        </row>
        <row r="483">
          <cell r="D483">
            <v>110001308386</v>
          </cell>
          <cell r="E483" t="str">
            <v>693-C23J5A-PC 0011801826</v>
          </cell>
          <cell r="F483">
            <v>200</v>
          </cell>
          <cell r="G483">
            <v>46139</v>
          </cell>
          <cell r="H483">
            <v>46140</v>
          </cell>
        </row>
        <row r="484">
          <cell r="D484">
            <v>110001308387</v>
          </cell>
          <cell r="E484" t="str">
            <v>693-C23I2A-PC 0011801657</v>
          </cell>
          <cell r="F484">
            <v>200</v>
          </cell>
          <cell r="G484">
            <v>46141</v>
          </cell>
          <cell r="H484">
            <v>46142</v>
          </cell>
        </row>
        <row r="485">
          <cell r="D485">
            <v>110001308388</v>
          </cell>
          <cell r="E485" t="str">
            <v>693-C23I2A-PC 0011801657</v>
          </cell>
          <cell r="F485">
            <v>200</v>
          </cell>
          <cell r="G485">
            <v>46139</v>
          </cell>
          <cell r="H485">
            <v>46140</v>
          </cell>
        </row>
        <row r="486">
          <cell r="D486">
            <v>110001308391</v>
          </cell>
          <cell r="E486" t="str">
            <v>500323-C24L7A-PC 0011800977AA</v>
          </cell>
          <cell r="F486">
            <v>600</v>
          </cell>
          <cell r="G486">
            <v>46140</v>
          </cell>
          <cell r="H486">
            <v>46141</v>
          </cell>
        </row>
        <row r="487">
          <cell r="D487">
            <v>110001308392</v>
          </cell>
          <cell r="E487" t="str">
            <v>500323-C24L7A-PC 0011800977AA</v>
          </cell>
          <cell r="F487">
            <v>600</v>
          </cell>
          <cell r="G487">
            <v>46138</v>
          </cell>
          <cell r="H487">
            <v>46139</v>
          </cell>
        </row>
        <row r="488">
          <cell r="D488">
            <v>110001308393</v>
          </cell>
          <cell r="E488" t="str">
            <v>500323-C2501A-PC 0011801843D</v>
          </cell>
          <cell r="F488">
            <v>800</v>
          </cell>
          <cell r="G488">
            <v>46141</v>
          </cell>
          <cell r="H488">
            <v>46142</v>
          </cell>
        </row>
        <row r="489">
          <cell r="D489">
            <v>110001308394</v>
          </cell>
          <cell r="E489" t="str">
            <v>500323-C2501A-PC 0011801843D</v>
          </cell>
          <cell r="F489">
            <v>800</v>
          </cell>
          <cell r="G489">
            <v>46139</v>
          </cell>
          <cell r="H489">
            <v>46140</v>
          </cell>
        </row>
        <row r="490">
          <cell r="D490">
            <v>110001308395</v>
          </cell>
          <cell r="E490" t="str">
            <v>693-C2513A-PC G0044 0011800537F</v>
          </cell>
          <cell r="F490">
            <v>1000</v>
          </cell>
          <cell r="G490">
            <v>46137</v>
          </cell>
          <cell r="H490">
            <v>46138</v>
          </cell>
        </row>
        <row r="491">
          <cell r="D491">
            <v>110001308396</v>
          </cell>
          <cell r="E491" t="str">
            <v>693-C2513A-PC 0011800537F</v>
          </cell>
          <cell r="F491">
            <v>1000</v>
          </cell>
          <cell r="G491">
            <v>46136</v>
          </cell>
          <cell r="H491">
            <v>46136</v>
          </cell>
        </row>
        <row r="492">
          <cell r="D492">
            <v>110001308399</v>
          </cell>
          <cell r="E492" t="str">
            <v>693-C2534G-PC G0044 0011801843Y</v>
          </cell>
          <cell r="F492">
            <v>300</v>
          </cell>
          <cell r="G492">
            <v>46141</v>
          </cell>
          <cell r="H492">
            <v>46142</v>
          </cell>
        </row>
        <row r="493">
          <cell r="D493">
            <v>110001308400</v>
          </cell>
          <cell r="E493" t="str">
            <v>693-C2534G-PC 0011801843Y</v>
          </cell>
          <cell r="F493">
            <v>300</v>
          </cell>
          <cell r="G493">
            <v>46139</v>
          </cell>
          <cell r="H493">
            <v>46140</v>
          </cell>
        </row>
        <row r="494">
          <cell r="D494">
            <v>110001308401</v>
          </cell>
          <cell r="E494" t="str">
            <v>500323-C24J3B-PC G0044 0011801890C</v>
          </cell>
          <cell r="F494">
            <v>500</v>
          </cell>
          <cell r="G494">
            <v>46141</v>
          </cell>
          <cell r="H494">
            <v>46142</v>
          </cell>
        </row>
        <row r="495">
          <cell r="D495">
            <v>110001308402</v>
          </cell>
          <cell r="E495" t="str">
            <v>500323-C24J3B-PC 0011801890C</v>
          </cell>
          <cell r="F495">
            <v>500</v>
          </cell>
          <cell r="G495">
            <v>46139</v>
          </cell>
          <cell r="H495">
            <v>46140</v>
          </cell>
        </row>
        <row r="496">
          <cell r="D496">
            <v>110001308462</v>
          </cell>
          <cell r="E496" t="str">
            <v>2189-B2505R G0020 20187291</v>
          </cell>
          <cell r="F496">
            <v>900</v>
          </cell>
          <cell r="G496">
            <v>46139</v>
          </cell>
          <cell r="H496">
            <v>46140</v>
          </cell>
        </row>
        <row r="497">
          <cell r="D497">
            <v>110001308463</v>
          </cell>
          <cell r="E497" t="str">
            <v>2189-B2505A-KN 2489739</v>
          </cell>
          <cell r="F497">
            <v>900</v>
          </cell>
          <cell r="G497">
            <v>46139</v>
          </cell>
          <cell r="H497">
            <v>46140</v>
          </cell>
        </row>
        <row r="498">
          <cell r="D498">
            <v>110001308464</v>
          </cell>
          <cell r="E498" t="str">
            <v>2189-B2505R-D 20187291</v>
          </cell>
          <cell r="F498">
            <v>900</v>
          </cell>
          <cell r="G498">
            <v>46139</v>
          </cell>
          <cell r="H498">
            <v>46140</v>
          </cell>
        </row>
        <row r="499">
          <cell r="D499">
            <v>110001308465</v>
          </cell>
          <cell r="E499" t="str">
            <v>2189-B2505R-D 20187291</v>
          </cell>
          <cell r="F499">
            <v>900</v>
          </cell>
          <cell r="G499">
            <v>46137</v>
          </cell>
          <cell r="H499">
            <v>46138</v>
          </cell>
        </row>
        <row r="500">
          <cell r="D500">
            <v>110001308466</v>
          </cell>
          <cell r="E500" t="str">
            <v>501964-B2601A-PC G0020 2428928</v>
          </cell>
          <cell r="F500">
            <v>2000</v>
          </cell>
          <cell r="G500">
            <v>46147</v>
          </cell>
          <cell r="H500">
            <v>46148</v>
          </cell>
        </row>
        <row r="501">
          <cell r="D501">
            <v>110001308467</v>
          </cell>
          <cell r="E501" t="str">
            <v>501964-B2601A-PC 2428928</v>
          </cell>
          <cell r="F501">
            <v>2000</v>
          </cell>
          <cell r="G501">
            <v>46145</v>
          </cell>
          <cell r="H501">
            <v>46146</v>
          </cell>
        </row>
        <row r="502">
          <cell r="D502">
            <v>110001309367</v>
          </cell>
          <cell r="E502" t="str">
            <v>501964-B2602B G0020 2499050</v>
          </cell>
          <cell r="F502">
            <v>1600</v>
          </cell>
          <cell r="G502">
            <v>46147</v>
          </cell>
          <cell r="H502">
            <v>46148</v>
          </cell>
        </row>
        <row r="503">
          <cell r="D503">
            <v>110001309368</v>
          </cell>
          <cell r="E503" t="str">
            <v>501964-B2602B-PC 2499050</v>
          </cell>
          <cell r="F503">
            <v>1600</v>
          </cell>
          <cell r="G503">
            <v>46147</v>
          </cell>
          <cell r="H503">
            <v>46148</v>
          </cell>
        </row>
        <row r="504">
          <cell r="D504">
            <v>110001309369</v>
          </cell>
          <cell r="E504" t="str">
            <v>501964-B2602B-P 2499050</v>
          </cell>
          <cell r="F504">
            <v>1600</v>
          </cell>
          <cell r="G504">
            <v>46147</v>
          </cell>
          <cell r="H504">
            <v>46148</v>
          </cell>
        </row>
        <row r="505">
          <cell r="D505">
            <v>110001309370</v>
          </cell>
          <cell r="E505" t="str">
            <v>501964-B2602B-PC 2499050</v>
          </cell>
          <cell r="F505">
            <v>1600</v>
          </cell>
          <cell r="G505">
            <v>46145</v>
          </cell>
          <cell r="H505">
            <v>46146</v>
          </cell>
        </row>
        <row r="506">
          <cell r="D506">
            <v>110001309371</v>
          </cell>
          <cell r="E506" t="str">
            <v>501964-B2602B-P 2499050</v>
          </cell>
          <cell r="F506">
            <v>1600</v>
          </cell>
          <cell r="G506">
            <v>46145</v>
          </cell>
          <cell r="H506">
            <v>46146</v>
          </cell>
        </row>
        <row r="507">
          <cell r="D507">
            <v>110001310943</v>
          </cell>
          <cell r="E507" t="str">
            <v>2006-C2301A-PC 888000908</v>
          </cell>
          <cell r="F507">
            <v>3000</v>
          </cell>
          <cell r="G507">
            <v>46151</v>
          </cell>
          <cell r="H507">
            <v>46152</v>
          </cell>
        </row>
        <row r="508">
          <cell r="D508">
            <v>110001310944</v>
          </cell>
          <cell r="E508" t="str">
            <v>2006-C2301A-PC 888000908</v>
          </cell>
          <cell r="F508">
            <v>3000</v>
          </cell>
          <cell r="G508">
            <v>46149</v>
          </cell>
          <cell r="H508">
            <v>46150</v>
          </cell>
        </row>
        <row r="509">
          <cell r="D509">
            <v>110001310945</v>
          </cell>
          <cell r="E509" t="str">
            <v>2006-C2301B-PC 888001414</v>
          </cell>
          <cell r="F509">
            <v>2000</v>
          </cell>
          <cell r="G509">
            <v>46151</v>
          </cell>
          <cell r="H509">
            <v>46152</v>
          </cell>
        </row>
        <row r="510">
          <cell r="D510">
            <v>110001310946</v>
          </cell>
          <cell r="E510" t="str">
            <v>2006-C2301B-PC 888001414</v>
          </cell>
          <cell r="F510">
            <v>2000</v>
          </cell>
          <cell r="G510">
            <v>46149</v>
          </cell>
          <cell r="H510">
            <v>46150</v>
          </cell>
        </row>
        <row r="511">
          <cell r="D511">
            <v>110001310951</v>
          </cell>
          <cell r="E511" t="str">
            <v>693-C2588A-PC G0044 0151801031G</v>
          </cell>
          <cell r="F511">
            <v>200</v>
          </cell>
          <cell r="G511">
            <v>46151</v>
          </cell>
          <cell r="H511">
            <v>46152</v>
          </cell>
        </row>
        <row r="512">
          <cell r="D512">
            <v>110001310952</v>
          </cell>
          <cell r="E512" t="str">
            <v>693-C2588A-PC 0151801031G</v>
          </cell>
          <cell r="F512">
            <v>200</v>
          </cell>
          <cell r="G512">
            <v>46149</v>
          </cell>
          <cell r="H512">
            <v>46150</v>
          </cell>
        </row>
        <row r="513">
          <cell r="D513">
            <v>110001310953</v>
          </cell>
          <cell r="E513" t="str">
            <v>600766-A2505E-PC G0044 0011801843JCHHR</v>
          </cell>
          <cell r="F513">
            <v>2300</v>
          </cell>
          <cell r="G513">
            <v>46147</v>
          </cell>
          <cell r="H513">
            <v>46148</v>
          </cell>
        </row>
        <row r="514">
          <cell r="D514">
            <v>110001310954</v>
          </cell>
          <cell r="E514" t="str">
            <v>600766-A2505E-PC 0011801843JCHHR</v>
          </cell>
          <cell r="F514">
            <v>2300</v>
          </cell>
          <cell r="G514">
            <v>46145</v>
          </cell>
          <cell r="H514">
            <v>46146</v>
          </cell>
        </row>
        <row r="515">
          <cell r="D515">
            <v>110001310955</v>
          </cell>
          <cell r="E515" t="str">
            <v>600766-A2505E-PC G0044 0011801843JCHHR</v>
          </cell>
          <cell r="F515">
            <v>7700</v>
          </cell>
          <cell r="G515">
            <v>46150</v>
          </cell>
          <cell r="H515">
            <v>46151</v>
          </cell>
        </row>
        <row r="516">
          <cell r="D516">
            <v>110001310956</v>
          </cell>
          <cell r="E516" t="str">
            <v>600766-A2505E-PC 0011801843JCHHR</v>
          </cell>
          <cell r="F516">
            <v>7700</v>
          </cell>
          <cell r="G516">
            <v>46148</v>
          </cell>
          <cell r="H516">
            <v>46149</v>
          </cell>
        </row>
        <row r="517">
          <cell r="D517">
            <v>110001310957</v>
          </cell>
          <cell r="E517" t="str">
            <v>693-C25A7A-PC G0044 0151801031AA</v>
          </cell>
          <cell r="F517">
            <v>1000</v>
          </cell>
          <cell r="G517">
            <v>46147</v>
          </cell>
          <cell r="H517">
            <v>46148</v>
          </cell>
        </row>
        <row r="518">
          <cell r="D518">
            <v>110001310958</v>
          </cell>
          <cell r="E518" t="str">
            <v>693-C25A7A-PC 0151801031AA</v>
          </cell>
          <cell r="F518">
            <v>1000</v>
          </cell>
          <cell r="G518">
            <v>46145</v>
          </cell>
          <cell r="H518">
            <v>46146</v>
          </cell>
        </row>
        <row r="519">
          <cell r="D519">
            <v>110001310963</v>
          </cell>
          <cell r="E519" t="str">
            <v>693-C25A8A-PC G0044 0151801031B</v>
          </cell>
          <cell r="F519">
            <v>1500</v>
          </cell>
          <cell r="G519">
            <v>46150</v>
          </cell>
          <cell r="H519">
            <v>46151</v>
          </cell>
        </row>
        <row r="520">
          <cell r="D520">
            <v>110001310964</v>
          </cell>
          <cell r="E520" t="str">
            <v>693-C25A8A-PC 0151801031B</v>
          </cell>
          <cell r="F520">
            <v>1500</v>
          </cell>
          <cell r="G520">
            <v>46148</v>
          </cell>
          <cell r="H520">
            <v>46149</v>
          </cell>
        </row>
        <row r="521">
          <cell r="D521">
            <v>110001310965</v>
          </cell>
          <cell r="E521" t="str">
            <v>693-C25A9A-PC G0044 0151801003AB</v>
          </cell>
          <cell r="F521">
            <v>500</v>
          </cell>
          <cell r="G521">
            <v>46149</v>
          </cell>
          <cell r="H521">
            <v>46150</v>
          </cell>
        </row>
        <row r="522">
          <cell r="D522">
            <v>110001310966</v>
          </cell>
          <cell r="E522" t="str">
            <v>693-C25A9A-PC 0151801003AB</v>
          </cell>
          <cell r="F522">
            <v>500</v>
          </cell>
          <cell r="G522">
            <v>46147</v>
          </cell>
          <cell r="H522">
            <v>46148</v>
          </cell>
        </row>
        <row r="523">
          <cell r="D523">
            <v>110001311055</v>
          </cell>
          <cell r="E523" t="str">
            <v>693-C25A1A-PC G0044 0151801031FA</v>
          </cell>
          <cell r="F523">
            <v>200</v>
          </cell>
          <cell r="G523">
            <v>46151</v>
          </cell>
          <cell r="H523">
            <v>46152</v>
          </cell>
        </row>
        <row r="524">
          <cell r="D524">
            <v>110001311056</v>
          </cell>
          <cell r="E524" t="str">
            <v>693-C25A1A-PC 0151801031FA</v>
          </cell>
          <cell r="F524">
            <v>200</v>
          </cell>
          <cell r="G524">
            <v>46149</v>
          </cell>
          <cell r="H524">
            <v>46150</v>
          </cell>
        </row>
        <row r="525">
          <cell r="D525">
            <v>110001311057</v>
          </cell>
          <cell r="E525" t="str">
            <v>501851-A2514A-D G0384 612101020026</v>
          </cell>
          <cell r="F525">
            <v>4000</v>
          </cell>
          <cell r="G525">
            <v>46141</v>
          </cell>
          <cell r="H525">
            <v>46142</v>
          </cell>
        </row>
        <row r="526">
          <cell r="D526">
            <v>110001311058</v>
          </cell>
          <cell r="E526" t="str">
            <v>501851-A2514A-D 612101020026</v>
          </cell>
          <cell r="F526">
            <v>4000</v>
          </cell>
          <cell r="G526">
            <v>46139</v>
          </cell>
          <cell r="H526">
            <v>46140</v>
          </cell>
        </row>
        <row r="527">
          <cell r="D527">
            <v>110001311059</v>
          </cell>
          <cell r="E527" t="str">
            <v>501851-A2514A-D G0384 612101020026</v>
          </cell>
          <cell r="F527">
            <v>4000</v>
          </cell>
          <cell r="G527">
            <v>46144</v>
          </cell>
          <cell r="H527">
            <v>46145</v>
          </cell>
        </row>
        <row r="528">
          <cell r="D528">
            <v>110001311060</v>
          </cell>
          <cell r="E528" t="str">
            <v>501851-A2514A-D 612101020026</v>
          </cell>
          <cell r="F528">
            <v>4000</v>
          </cell>
          <cell r="G528">
            <v>46142</v>
          </cell>
          <cell r="H528">
            <v>46143</v>
          </cell>
        </row>
        <row r="529">
          <cell r="D529">
            <v>110001311067</v>
          </cell>
          <cell r="E529" t="str">
            <v>693-C2331D-PC 0011801593C</v>
          </cell>
          <cell r="F529">
            <v>100</v>
          </cell>
          <cell r="G529">
            <v>46140</v>
          </cell>
          <cell r="H529">
            <v>46141</v>
          </cell>
        </row>
        <row r="530">
          <cell r="D530">
            <v>110001311068</v>
          </cell>
          <cell r="E530" t="str">
            <v>693-C2331D-PC 0011801593C</v>
          </cell>
          <cell r="F530">
            <v>100</v>
          </cell>
          <cell r="G530">
            <v>46138</v>
          </cell>
          <cell r="H530">
            <v>46139</v>
          </cell>
        </row>
        <row r="531">
          <cell r="D531">
            <v>110001311069</v>
          </cell>
          <cell r="E531" t="str">
            <v>693-C23I5A-PC 0011801071E</v>
          </cell>
          <cell r="F531">
            <v>1250</v>
          </cell>
          <cell r="G531">
            <v>46137</v>
          </cell>
          <cell r="H531">
            <v>46138</v>
          </cell>
        </row>
        <row r="532">
          <cell r="D532">
            <v>110001311070</v>
          </cell>
          <cell r="E532" t="str">
            <v>693-C23I5A-PC 0011801071E</v>
          </cell>
          <cell r="F532">
            <v>1250</v>
          </cell>
          <cell r="G532">
            <v>46136</v>
          </cell>
          <cell r="H532">
            <v>46136</v>
          </cell>
        </row>
        <row r="533">
          <cell r="D533">
            <v>110001311071</v>
          </cell>
          <cell r="E533" t="str">
            <v>693-C23J4B-PC 0011801172CU</v>
          </cell>
          <cell r="F533">
            <v>100</v>
          </cell>
          <cell r="G533">
            <v>46141</v>
          </cell>
          <cell r="H533">
            <v>46142</v>
          </cell>
        </row>
        <row r="534">
          <cell r="D534">
            <v>110001311072</v>
          </cell>
          <cell r="E534" t="str">
            <v>693-C23J4B-PC 0011801172CU</v>
          </cell>
          <cell r="F534">
            <v>100</v>
          </cell>
          <cell r="G534">
            <v>46139</v>
          </cell>
          <cell r="H534">
            <v>46140</v>
          </cell>
        </row>
        <row r="535">
          <cell r="D535">
            <v>110001311073</v>
          </cell>
          <cell r="E535" t="str">
            <v>693-B23G2D-PC 0011801330C</v>
          </cell>
          <cell r="F535">
            <v>800</v>
          </cell>
          <cell r="G535">
            <v>46141</v>
          </cell>
          <cell r="H535">
            <v>46142</v>
          </cell>
        </row>
        <row r="536">
          <cell r="D536">
            <v>110001311074</v>
          </cell>
          <cell r="E536" t="str">
            <v>693-B23G2D-PC 0011801330C</v>
          </cell>
          <cell r="F536">
            <v>800</v>
          </cell>
          <cell r="G536">
            <v>46139</v>
          </cell>
          <cell r="H536">
            <v>46140</v>
          </cell>
        </row>
        <row r="537">
          <cell r="D537">
            <v>110001311083</v>
          </cell>
          <cell r="E537" t="str">
            <v>693-C2532C-PC G0044 0011802020B</v>
          </cell>
          <cell r="F537">
            <v>2400</v>
          </cell>
          <cell r="G537">
            <v>46141</v>
          </cell>
          <cell r="H537">
            <v>46142</v>
          </cell>
        </row>
        <row r="538">
          <cell r="D538">
            <v>110001311084</v>
          </cell>
          <cell r="E538" t="str">
            <v>693-C2532C-PC 0011802020B</v>
          </cell>
          <cell r="F538">
            <v>2400</v>
          </cell>
          <cell r="G538">
            <v>46139</v>
          </cell>
          <cell r="H538">
            <v>46140</v>
          </cell>
        </row>
        <row r="539">
          <cell r="D539">
            <v>110001311085</v>
          </cell>
          <cell r="E539" t="str">
            <v>693-C2576B-PC G0044 0011801490BS</v>
          </cell>
          <cell r="F539">
            <v>1700</v>
          </cell>
          <cell r="G539">
            <v>46141</v>
          </cell>
          <cell r="H539">
            <v>46142</v>
          </cell>
        </row>
        <row r="540">
          <cell r="D540">
            <v>110001311086</v>
          </cell>
          <cell r="E540" t="str">
            <v>693-C2576B-PC 0011801490BS</v>
          </cell>
          <cell r="F540">
            <v>1700</v>
          </cell>
          <cell r="G540">
            <v>46139</v>
          </cell>
          <cell r="H540">
            <v>46140</v>
          </cell>
        </row>
        <row r="541">
          <cell r="D541">
            <v>110001311101</v>
          </cell>
          <cell r="E541" t="str">
            <v>500323-C24A3E-PC G0044 0011801850C</v>
          </cell>
          <cell r="F541">
            <v>1000</v>
          </cell>
          <cell r="G541">
            <v>46141</v>
          </cell>
          <cell r="H541">
            <v>46142</v>
          </cell>
        </row>
        <row r="542">
          <cell r="D542">
            <v>110001311102</v>
          </cell>
          <cell r="E542" t="str">
            <v>500323-C24A3E-PC 0011801850C</v>
          </cell>
          <cell r="F542">
            <v>1000</v>
          </cell>
          <cell r="G542">
            <v>46139</v>
          </cell>
          <cell r="H542">
            <v>46140</v>
          </cell>
        </row>
        <row r="543">
          <cell r="D543">
            <v>110001311181</v>
          </cell>
          <cell r="E543" t="str">
            <v>500323-C24A9A-PC 0011801490S</v>
          </cell>
          <cell r="F543">
            <v>2000</v>
          </cell>
          <cell r="G543">
            <v>46141</v>
          </cell>
          <cell r="H543">
            <v>46142</v>
          </cell>
        </row>
        <row r="544">
          <cell r="D544">
            <v>110001311182</v>
          </cell>
          <cell r="E544" t="str">
            <v>500323-C24A9A-PC 0011801490S</v>
          </cell>
          <cell r="F544">
            <v>2000</v>
          </cell>
          <cell r="G544">
            <v>46139</v>
          </cell>
          <cell r="H544">
            <v>46140</v>
          </cell>
        </row>
        <row r="545">
          <cell r="D545">
            <v>110001311183</v>
          </cell>
          <cell r="E545" t="str">
            <v>500323-C24A9A-PC 0011801490S</v>
          </cell>
          <cell r="F545">
            <v>5000</v>
          </cell>
          <cell r="G545">
            <v>46141</v>
          </cell>
          <cell r="H545">
            <v>46142</v>
          </cell>
        </row>
        <row r="546">
          <cell r="D546">
            <v>110001311184</v>
          </cell>
          <cell r="E546" t="str">
            <v>500323-C24A9A-PC 0011801490S</v>
          </cell>
          <cell r="F546">
            <v>5000</v>
          </cell>
          <cell r="G546">
            <v>46139</v>
          </cell>
          <cell r="H546">
            <v>46140</v>
          </cell>
        </row>
        <row r="547">
          <cell r="D547">
            <v>110001311362</v>
          </cell>
          <cell r="E547" t="str">
            <v>501851-A2513A-D G0384 612101020027</v>
          </cell>
          <cell r="F547">
            <v>4000</v>
          </cell>
          <cell r="G547">
            <v>46138</v>
          </cell>
          <cell r="H547">
            <v>46139</v>
          </cell>
        </row>
        <row r="548">
          <cell r="D548">
            <v>110001311363</v>
          </cell>
          <cell r="E548" t="str">
            <v>501851-A2513A-D 612101020027</v>
          </cell>
          <cell r="F548">
            <v>4000</v>
          </cell>
          <cell r="G548">
            <v>46136</v>
          </cell>
          <cell r="H548">
            <v>46137</v>
          </cell>
        </row>
        <row r="549">
          <cell r="D549">
            <v>110001311364</v>
          </cell>
          <cell r="E549" t="str">
            <v>501851-A2513A-D G0384 612101020027</v>
          </cell>
          <cell r="F549">
            <v>4000</v>
          </cell>
          <cell r="G549">
            <v>46140</v>
          </cell>
          <cell r="H549">
            <v>46141</v>
          </cell>
        </row>
        <row r="550">
          <cell r="D550">
            <v>110001311365</v>
          </cell>
          <cell r="E550" t="str">
            <v>501851-A2513A-D 612101020027</v>
          </cell>
          <cell r="F550">
            <v>4000</v>
          </cell>
          <cell r="G550">
            <v>46138</v>
          </cell>
          <cell r="H550">
            <v>46139</v>
          </cell>
        </row>
        <row r="551">
          <cell r="D551">
            <v>110001311373</v>
          </cell>
          <cell r="E551" t="str">
            <v>500493-B2402E-D 2418237</v>
          </cell>
          <cell r="F551">
            <v>1000</v>
          </cell>
          <cell r="G551">
            <v>46147</v>
          </cell>
          <cell r="H551">
            <v>46148</v>
          </cell>
        </row>
        <row r="552">
          <cell r="D552">
            <v>110001311374</v>
          </cell>
          <cell r="E552" t="str">
            <v>500493-B2402E-D 2418237</v>
          </cell>
          <cell r="F552">
            <v>1000</v>
          </cell>
          <cell r="G552">
            <v>46145</v>
          </cell>
          <cell r="H552">
            <v>46146</v>
          </cell>
        </row>
        <row r="553">
          <cell r="D553">
            <v>110001311379</v>
          </cell>
          <cell r="E553" t="str">
            <v>500323-B24A6H-PC 0011801490Y</v>
          </cell>
          <cell r="F553">
            <v>1000</v>
          </cell>
          <cell r="G553">
            <v>46147</v>
          </cell>
          <cell r="H553">
            <v>46148</v>
          </cell>
        </row>
        <row r="554">
          <cell r="D554">
            <v>110001311380</v>
          </cell>
          <cell r="E554" t="str">
            <v>贴片部件 500323-B24A6H-PC 0011801490Y</v>
          </cell>
          <cell r="F554">
            <v>1000</v>
          </cell>
          <cell r="G554">
            <v>46145</v>
          </cell>
          <cell r="H554">
            <v>46146</v>
          </cell>
        </row>
        <row r="555">
          <cell r="D555">
            <v>110001311383</v>
          </cell>
          <cell r="E555" t="str">
            <v>500323-C2496G-PC 0011801423AV</v>
          </cell>
          <cell r="F555">
            <v>1000</v>
          </cell>
          <cell r="G555">
            <v>46148</v>
          </cell>
          <cell r="H555">
            <v>46149</v>
          </cell>
        </row>
        <row r="556">
          <cell r="D556">
            <v>110001311384</v>
          </cell>
          <cell r="E556" t="str">
            <v>500323-C2496G-PC 0011801423AV</v>
          </cell>
          <cell r="F556">
            <v>1000</v>
          </cell>
          <cell r="G556">
            <v>46146</v>
          </cell>
          <cell r="H556">
            <v>46147</v>
          </cell>
        </row>
        <row r="557">
          <cell r="D557">
            <v>110001311392</v>
          </cell>
          <cell r="E557" t="str">
            <v>500493-C2501A G0020 20105971</v>
          </cell>
          <cell r="F557">
            <v>1160</v>
          </cell>
          <cell r="G557">
            <v>46139</v>
          </cell>
          <cell r="H557">
            <v>46140</v>
          </cell>
        </row>
        <row r="558">
          <cell r="D558">
            <v>110001311393</v>
          </cell>
          <cell r="E558" t="str">
            <v>500493-C2501A-D 20105971-D</v>
          </cell>
          <cell r="F558">
            <v>1160</v>
          </cell>
          <cell r="G558">
            <v>46139</v>
          </cell>
          <cell r="H558">
            <v>46140</v>
          </cell>
        </row>
        <row r="559">
          <cell r="D559">
            <v>110001311394</v>
          </cell>
          <cell r="E559" t="str">
            <v>500493-C2501A-P 20105971-P</v>
          </cell>
          <cell r="F559">
            <v>1160</v>
          </cell>
          <cell r="G559">
            <v>46139</v>
          </cell>
          <cell r="H559">
            <v>46140</v>
          </cell>
        </row>
        <row r="560">
          <cell r="D560">
            <v>110001311395</v>
          </cell>
          <cell r="E560" t="str">
            <v>500493-C2501A-D 20105971-D</v>
          </cell>
          <cell r="F560">
            <v>1160</v>
          </cell>
          <cell r="G560">
            <v>46137</v>
          </cell>
          <cell r="H560">
            <v>46138</v>
          </cell>
        </row>
        <row r="561">
          <cell r="D561">
            <v>110001311396</v>
          </cell>
          <cell r="E561" t="str">
            <v>500493-C2501A-P 20105971-P</v>
          </cell>
          <cell r="F561">
            <v>1160</v>
          </cell>
          <cell r="G561">
            <v>46137</v>
          </cell>
          <cell r="H561">
            <v>46138</v>
          </cell>
        </row>
        <row r="562">
          <cell r="D562">
            <v>110001311497</v>
          </cell>
          <cell r="E562" t="str">
            <v>2189-B2507B G0020 20126720</v>
          </cell>
          <cell r="F562">
            <v>1200</v>
          </cell>
          <cell r="G562">
            <v>46138</v>
          </cell>
          <cell r="H562">
            <v>46139</v>
          </cell>
        </row>
        <row r="563">
          <cell r="D563">
            <v>110001311498</v>
          </cell>
          <cell r="E563" t="str">
            <v>2189-B2507B-D 20126720</v>
          </cell>
          <cell r="F563">
            <v>1200</v>
          </cell>
          <cell r="G563">
            <v>46138</v>
          </cell>
          <cell r="H563">
            <v>46139</v>
          </cell>
        </row>
        <row r="564">
          <cell r="D564">
            <v>110001311499</v>
          </cell>
          <cell r="E564" t="str">
            <v>2189-B2505A-KN 2489739</v>
          </cell>
          <cell r="F564">
            <v>1200</v>
          </cell>
          <cell r="G564">
            <v>46138</v>
          </cell>
          <cell r="H564">
            <v>46139</v>
          </cell>
        </row>
        <row r="565">
          <cell r="D565">
            <v>110001311500</v>
          </cell>
          <cell r="E565" t="str">
            <v>2189-B2507B-D 20126720</v>
          </cell>
          <cell r="F565">
            <v>1200</v>
          </cell>
          <cell r="G565">
            <v>46136</v>
          </cell>
          <cell r="H565">
            <v>46137</v>
          </cell>
        </row>
        <row r="566">
          <cell r="D566">
            <v>110001311589</v>
          </cell>
          <cell r="E566" t="str">
            <v>2189-B2507J G0020 20224801</v>
          </cell>
          <cell r="F566">
            <v>400</v>
          </cell>
          <cell r="G566">
            <v>46151</v>
          </cell>
          <cell r="H566">
            <v>46152</v>
          </cell>
        </row>
        <row r="567">
          <cell r="D567">
            <v>110001311590</v>
          </cell>
          <cell r="E567" t="str">
            <v>2189-B2505A-KN 2489739</v>
          </cell>
          <cell r="F567">
            <v>400</v>
          </cell>
          <cell r="G567">
            <v>46151</v>
          </cell>
          <cell r="H567">
            <v>46152</v>
          </cell>
        </row>
        <row r="568">
          <cell r="D568">
            <v>110001311591</v>
          </cell>
          <cell r="E568" t="str">
            <v>2189-B2507J-D 20224801</v>
          </cell>
          <cell r="F568">
            <v>400</v>
          </cell>
          <cell r="G568">
            <v>46151</v>
          </cell>
          <cell r="H568">
            <v>46152</v>
          </cell>
        </row>
        <row r="569">
          <cell r="D569">
            <v>110001311592</v>
          </cell>
          <cell r="E569" t="str">
            <v>2189-B2507J-D 20224801</v>
          </cell>
          <cell r="F569">
            <v>400</v>
          </cell>
          <cell r="G569">
            <v>46149</v>
          </cell>
          <cell r="H569">
            <v>46150</v>
          </cell>
        </row>
        <row r="570">
          <cell r="D570">
            <v>110001311613</v>
          </cell>
          <cell r="E570" t="str">
            <v>2189-B2507O G0020 20141243</v>
          </cell>
          <cell r="F570">
            <v>650</v>
          </cell>
          <cell r="G570">
            <v>46150</v>
          </cell>
          <cell r="H570">
            <v>46151</v>
          </cell>
        </row>
        <row r="571">
          <cell r="D571">
            <v>110001311614</v>
          </cell>
          <cell r="E571" t="str">
            <v>2189-B2505A-KN 2489739</v>
          </cell>
          <cell r="F571">
            <v>650</v>
          </cell>
          <cell r="G571">
            <v>46150</v>
          </cell>
          <cell r="H571">
            <v>46151</v>
          </cell>
        </row>
        <row r="572">
          <cell r="D572">
            <v>110001311615</v>
          </cell>
          <cell r="E572" t="str">
            <v>2189-B2507O-D 20141243</v>
          </cell>
          <cell r="F572">
            <v>650</v>
          </cell>
          <cell r="G572">
            <v>46150</v>
          </cell>
          <cell r="H572">
            <v>46151</v>
          </cell>
        </row>
        <row r="573">
          <cell r="D573">
            <v>110001311616</v>
          </cell>
          <cell r="E573" t="str">
            <v>2189-B2507O-D 20141243</v>
          </cell>
          <cell r="F573">
            <v>650</v>
          </cell>
          <cell r="G573">
            <v>46148</v>
          </cell>
          <cell r="H573">
            <v>46149</v>
          </cell>
        </row>
        <row r="574">
          <cell r="D574">
            <v>110001311629</v>
          </cell>
          <cell r="E574" t="str">
            <v>2189-B2505AM G0020 20120050</v>
          </cell>
          <cell r="F574">
            <v>300</v>
          </cell>
          <cell r="G574">
            <v>46138</v>
          </cell>
          <cell r="H574">
            <v>46139</v>
          </cell>
        </row>
        <row r="575">
          <cell r="D575">
            <v>110001311630</v>
          </cell>
          <cell r="E575" t="str">
            <v>2189-B2505A-KN 2489739</v>
          </cell>
          <cell r="F575">
            <v>300</v>
          </cell>
          <cell r="G575">
            <v>46138</v>
          </cell>
          <cell r="H575">
            <v>46139</v>
          </cell>
        </row>
        <row r="576">
          <cell r="D576">
            <v>110001311631</v>
          </cell>
          <cell r="E576" t="str">
            <v>2189-B2505AM-D 20120050</v>
          </cell>
          <cell r="F576">
            <v>300</v>
          </cell>
          <cell r="G576">
            <v>46138</v>
          </cell>
          <cell r="H576">
            <v>46139</v>
          </cell>
        </row>
        <row r="577">
          <cell r="D577">
            <v>110001311632</v>
          </cell>
          <cell r="E577" t="str">
            <v>2189-B2505AM-D 20120050</v>
          </cell>
          <cell r="F577">
            <v>300</v>
          </cell>
          <cell r="G577">
            <v>46136</v>
          </cell>
          <cell r="H577">
            <v>46137</v>
          </cell>
        </row>
        <row r="578">
          <cell r="D578">
            <v>110001311633</v>
          </cell>
          <cell r="E578" t="str">
            <v>2189-B2505AM G0020 20120050</v>
          </cell>
          <cell r="F578">
            <v>1500</v>
          </cell>
          <cell r="G578">
            <v>46140</v>
          </cell>
          <cell r="H578">
            <v>46141</v>
          </cell>
        </row>
        <row r="579">
          <cell r="D579">
            <v>110001311634</v>
          </cell>
          <cell r="E579" t="str">
            <v>2189-B2505A-KN 2489739</v>
          </cell>
          <cell r="F579">
            <v>1500</v>
          </cell>
          <cell r="G579">
            <v>46140</v>
          </cell>
          <cell r="H579">
            <v>46141</v>
          </cell>
        </row>
        <row r="580">
          <cell r="D580">
            <v>110001311635</v>
          </cell>
          <cell r="E580" t="str">
            <v>2189-B2505AM-D 20120050</v>
          </cell>
          <cell r="F580">
            <v>1500</v>
          </cell>
          <cell r="G580">
            <v>46140</v>
          </cell>
          <cell r="H580">
            <v>46141</v>
          </cell>
        </row>
        <row r="581">
          <cell r="D581">
            <v>110001311636</v>
          </cell>
          <cell r="E581" t="str">
            <v>2189-B2505AM-D 20120050</v>
          </cell>
          <cell r="F581">
            <v>1500</v>
          </cell>
          <cell r="G581">
            <v>46138</v>
          </cell>
          <cell r="H581">
            <v>46139</v>
          </cell>
        </row>
        <row r="582">
          <cell r="D582">
            <v>110001311637</v>
          </cell>
          <cell r="E582" t="str">
            <v>2189-B2505AM G0020 20120050</v>
          </cell>
          <cell r="F582">
            <v>1700</v>
          </cell>
          <cell r="G582">
            <v>46146</v>
          </cell>
          <cell r="H582">
            <v>46147</v>
          </cell>
        </row>
        <row r="583">
          <cell r="D583">
            <v>110001311638</v>
          </cell>
          <cell r="E583" t="str">
            <v>2189-B2505A-KN 2489739</v>
          </cell>
          <cell r="F583">
            <v>1700</v>
          </cell>
          <cell r="G583">
            <v>46146</v>
          </cell>
          <cell r="H583">
            <v>46147</v>
          </cell>
        </row>
        <row r="584">
          <cell r="D584">
            <v>110001311639</v>
          </cell>
          <cell r="E584" t="str">
            <v>2189-B2505AM-D 20120050</v>
          </cell>
          <cell r="F584">
            <v>1700</v>
          </cell>
          <cell r="G584">
            <v>46146</v>
          </cell>
          <cell r="H584">
            <v>46147</v>
          </cell>
        </row>
        <row r="585">
          <cell r="D585">
            <v>110001311640</v>
          </cell>
          <cell r="E585" t="str">
            <v>2189-B2505AM-D 20120050</v>
          </cell>
          <cell r="F585">
            <v>1700</v>
          </cell>
          <cell r="G585">
            <v>46144</v>
          </cell>
          <cell r="H585">
            <v>46145</v>
          </cell>
        </row>
        <row r="586">
          <cell r="D586">
            <v>110001311641</v>
          </cell>
          <cell r="E586" t="str">
            <v>2189-B2505AM G0020 20120050</v>
          </cell>
          <cell r="F586">
            <v>1000</v>
          </cell>
          <cell r="G586">
            <v>46151</v>
          </cell>
          <cell r="H586">
            <v>46152</v>
          </cell>
        </row>
        <row r="587">
          <cell r="D587">
            <v>110001311642</v>
          </cell>
          <cell r="E587" t="str">
            <v>2189-B2505A-KN 2489739</v>
          </cell>
          <cell r="F587">
            <v>1000</v>
          </cell>
          <cell r="G587">
            <v>46151</v>
          </cell>
          <cell r="H587">
            <v>46152</v>
          </cell>
        </row>
        <row r="588">
          <cell r="D588">
            <v>110001311643</v>
          </cell>
          <cell r="E588" t="str">
            <v>2189-B2505AM-D 20120050</v>
          </cell>
          <cell r="F588">
            <v>1000</v>
          </cell>
          <cell r="G588">
            <v>46151</v>
          </cell>
          <cell r="H588">
            <v>46152</v>
          </cell>
        </row>
        <row r="589">
          <cell r="D589">
            <v>110001311644</v>
          </cell>
          <cell r="E589" t="str">
            <v>2189-B2505AM-D 20120050</v>
          </cell>
          <cell r="F589">
            <v>1000</v>
          </cell>
          <cell r="G589">
            <v>46149</v>
          </cell>
          <cell r="H589">
            <v>46150</v>
          </cell>
        </row>
        <row r="590">
          <cell r="D590">
            <v>110001311645</v>
          </cell>
          <cell r="E590" t="str">
            <v>2189-B2505AL G0020 20120049</v>
          </cell>
          <cell r="F590">
            <v>700</v>
          </cell>
          <cell r="G590">
            <v>46148</v>
          </cell>
          <cell r="H590">
            <v>46149</v>
          </cell>
        </row>
        <row r="591">
          <cell r="D591">
            <v>110001311646</v>
          </cell>
          <cell r="E591" t="str">
            <v>2189-B2505A-KN 2489739</v>
          </cell>
          <cell r="F591">
            <v>700</v>
          </cell>
          <cell r="G591">
            <v>46148</v>
          </cell>
          <cell r="H591">
            <v>46149</v>
          </cell>
        </row>
        <row r="592">
          <cell r="D592">
            <v>110001311647</v>
          </cell>
          <cell r="E592" t="str">
            <v>2189-B2505AL-D 20120049</v>
          </cell>
          <cell r="F592">
            <v>700</v>
          </cell>
          <cell r="G592">
            <v>46148</v>
          </cell>
          <cell r="H592">
            <v>46149</v>
          </cell>
        </row>
        <row r="593">
          <cell r="D593">
            <v>110001311648</v>
          </cell>
          <cell r="E593" t="str">
            <v>2189-B2505AL-D 20120049</v>
          </cell>
          <cell r="F593">
            <v>700</v>
          </cell>
          <cell r="G593">
            <v>46146</v>
          </cell>
          <cell r="H593">
            <v>46147</v>
          </cell>
        </row>
        <row r="594">
          <cell r="D594">
            <v>110001313038</v>
          </cell>
          <cell r="E594" t="str">
            <v>693-A2179E-PC    0011800630J</v>
          </cell>
          <cell r="F594">
            <v>254</v>
          </cell>
          <cell r="G594">
            <v>46141</v>
          </cell>
          <cell r="H594">
            <v>46142</v>
          </cell>
        </row>
        <row r="595">
          <cell r="D595">
            <v>110001313039</v>
          </cell>
          <cell r="E595" t="str">
            <v>693-A2179E-PC 0011800630J</v>
          </cell>
          <cell r="F595">
            <v>254</v>
          </cell>
          <cell r="G595">
            <v>46139</v>
          </cell>
          <cell r="H595">
            <v>46140</v>
          </cell>
        </row>
        <row r="596">
          <cell r="D596">
            <v>110001313040</v>
          </cell>
          <cell r="E596" t="str">
            <v>693-C23G3A-PC 0011801172CW</v>
          </cell>
          <cell r="F596">
            <v>100</v>
          </cell>
          <cell r="G596">
            <v>46141</v>
          </cell>
          <cell r="H596">
            <v>46142</v>
          </cell>
        </row>
        <row r="597">
          <cell r="D597">
            <v>110001313081</v>
          </cell>
          <cell r="E597" t="str">
            <v>693-C23G3A-PC 0011801172CW</v>
          </cell>
          <cell r="F597">
            <v>100</v>
          </cell>
          <cell r="G597">
            <v>46139</v>
          </cell>
          <cell r="H597">
            <v>46140</v>
          </cell>
        </row>
        <row r="598">
          <cell r="D598">
            <v>110001313082</v>
          </cell>
          <cell r="E598" t="str">
            <v>500323-C24L7A-PC 0011800977AA</v>
          </cell>
          <cell r="F598">
            <v>700</v>
          </cell>
          <cell r="G598">
            <v>46141</v>
          </cell>
          <cell r="H598">
            <v>46142</v>
          </cell>
        </row>
        <row r="599">
          <cell r="D599">
            <v>110001313083</v>
          </cell>
          <cell r="E599" t="str">
            <v>500323-C24A2A-PC G0044 0011801675A 新</v>
          </cell>
          <cell r="F599">
            <v>400</v>
          </cell>
          <cell r="G599">
            <v>46141</v>
          </cell>
          <cell r="H599">
            <v>46142</v>
          </cell>
        </row>
        <row r="600">
          <cell r="D600">
            <v>110001313084</v>
          </cell>
          <cell r="E600" t="str">
            <v>500323-C24A2A-PC 0011801675A 新</v>
          </cell>
          <cell r="F600">
            <v>400</v>
          </cell>
          <cell r="G600">
            <v>46139</v>
          </cell>
          <cell r="H600">
            <v>46140</v>
          </cell>
        </row>
        <row r="601">
          <cell r="D601">
            <v>110001313421</v>
          </cell>
          <cell r="E601" t="str">
            <v>693-C2575A-D G0044 0021800841</v>
          </cell>
          <cell r="F601">
            <v>2600</v>
          </cell>
          <cell r="G601">
            <v>46150</v>
          </cell>
          <cell r="H601">
            <v>46151</v>
          </cell>
        </row>
        <row r="602">
          <cell r="D602">
            <v>110001313422</v>
          </cell>
          <cell r="E602" t="str">
            <v>693-C2575A-D BOT面 0021800841</v>
          </cell>
          <cell r="F602">
            <v>2600</v>
          </cell>
          <cell r="G602">
            <v>46148</v>
          </cell>
          <cell r="H602">
            <v>46149</v>
          </cell>
        </row>
        <row r="603">
          <cell r="D603">
            <v>110001313423</v>
          </cell>
          <cell r="E603" t="str">
            <v>693-C2575A-D TOP面 0021800841</v>
          </cell>
          <cell r="F603">
            <v>2600</v>
          </cell>
          <cell r="G603">
            <v>46148</v>
          </cell>
          <cell r="H603">
            <v>46149</v>
          </cell>
        </row>
        <row r="604">
          <cell r="D604">
            <v>110001313424</v>
          </cell>
          <cell r="E604" t="str">
            <v>501851-A2514A-D G0384 612101020026</v>
          </cell>
          <cell r="F604">
            <v>4000</v>
          </cell>
          <cell r="G604">
            <v>46146</v>
          </cell>
          <cell r="H604">
            <v>46147</v>
          </cell>
        </row>
        <row r="605">
          <cell r="D605">
            <v>110001313425</v>
          </cell>
          <cell r="E605" t="str">
            <v>501851-A2514A-D 612101020026</v>
          </cell>
          <cell r="F605">
            <v>4000</v>
          </cell>
          <cell r="G605">
            <v>46144</v>
          </cell>
          <cell r="H605">
            <v>46145</v>
          </cell>
        </row>
        <row r="606">
          <cell r="D606">
            <v>110001313428</v>
          </cell>
          <cell r="E606" t="str">
            <v>693-C2595C-D G0044 0021800866GA</v>
          </cell>
          <cell r="F606">
            <v>3000</v>
          </cell>
          <cell r="G606">
            <v>46148</v>
          </cell>
          <cell r="H606">
            <v>46149</v>
          </cell>
        </row>
        <row r="607">
          <cell r="D607">
            <v>110001313429</v>
          </cell>
          <cell r="E607" t="str">
            <v>693-C2595C-D 0021800866GA</v>
          </cell>
          <cell r="F607">
            <v>3000</v>
          </cell>
          <cell r="G607">
            <v>46146</v>
          </cell>
          <cell r="H607">
            <v>46147</v>
          </cell>
        </row>
        <row r="608">
          <cell r="D608">
            <v>880000120803</v>
          </cell>
          <cell r="E608" t="str">
            <v>2189-B2505N G0020 20120053</v>
          </cell>
          <cell r="F608">
            <v>360</v>
          </cell>
          <cell r="G608">
            <v>46147</v>
          </cell>
          <cell r="H608">
            <v>46148</v>
          </cell>
        </row>
        <row r="609">
          <cell r="D609">
            <v>880000120804</v>
          </cell>
          <cell r="E609" t="str">
            <v>2189-B2505A-KN 2489739</v>
          </cell>
          <cell r="F609">
            <v>360</v>
          </cell>
          <cell r="G609">
            <v>46147</v>
          </cell>
          <cell r="H609">
            <v>46148</v>
          </cell>
        </row>
        <row r="610">
          <cell r="D610">
            <v>880000120805</v>
          </cell>
          <cell r="E610" t="str">
            <v>2189-B2505N-D 20120053</v>
          </cell>
          <cell r="F610">
            <v>360</v>
          </cell>
          <cell r="G610">
            <v>46147</v>
          </cell>
          <cell r="H610">
            <v>46148</v>
          </cell>
        </row>
        <row r="611">
          <cell r="D611">
            <v>880000120806</v>
          </cell>
          <cell r="E611" t="str">
            <v>2189-B2505N-D 20120053</v>
          </cell>
          <cell r="F611">
            <v>360</v>
          </cell>
          <cell r="G611">
            <v>46145</v>
          </cell>
          <cell r="H611">
            <v>46146</v>
          </cell>
        </row>
        <row r="612">
          <cell r="D612">
            <v>880000120976</v>
          </cell>
          <cell r="E612" t="str">
            <v>693-C2516D-PC G0044 0011801675AP</v>
          </cell>
          <cell r="F612">
            <v>200</v>
          </cell>
          <cell r="G612">
            <v>46141</v>
          </cell>
          <cell r="H612">
            <v>46142</v>
          </cell>
        </row>
        <row r="613">
          <cell r="D613">
            <v>880000120977</v>
          </cell>
          <cell r="E613" t="str">
            <v>693-C2516D-PC 0011801675AP</v>
          </cell>
          <cell r="F613">
            <v>200</v>
          </cell>
          <cell r="G613">
            <v>46139</v>
          </cell>
          <cell r="H613">
            <v>46140</v>
          </cell>
        </row>
        <row r="614">
          <cell r="D614">
            <v>880000120978</v>
          </cell>
          <cell r="E614" t="str">
            <v>693-C2608A-PC G0044 0011801656C</v>
          </cell>
          <cell r="F614">
            <v>200</v>
          </cell>
          <cell r="G614">
            <v>46141</v>
          </cell>
          <cell r="H614">
            <v>46142</v>
          </cell>
        </row>
        <row r="615">
          <cell r="D615">
            <v>880000120979</v>
          </cell>
          <cell r="E615" t="str">
            <v>693-C2608A-PC 0011801656C</v>
          </cell>
          <cell r="F615">
            <v>200</v>
          </cell>
          <cell r="G615">
            <v>46139</v>
          </cell>
          <cell r="H615">
            <v>46140</v>
          </cell>
        </row>
        <row r="616">
          <cell r="D616">
            <v>880000121214</v>
          </cell>
          <cell r="E616" t="str">
            <v>2189-B2507O G0020 20141243</v>
          </cell>
          <cell r="F616">
            <v>230</v>
          </cell>
          <cell r="G616">
            <v>46146</v>
          </cell>
          <cell r="H616">
            <v>46147</v>
          </cell>
        </row>
        <row r="617">
          <cell r="D617">
            <v>880000121215</v>
          </cell>
          <cell r="E617" t="str">
            <v>2189-B2505A-KN 2489739</v>
          </cell>
          <cell r="F617">
            <v>230</v>
          </cell>
          <cell r="G617">
            <v>46146</v>
          </cell>
          <cell r="H617">
            <v>46147</v>
          </cell>
        </row>
        <row r="618">
          <cell r="D618">
            <v>880000121216</v>
          </cell>
          <cell r="E618" t="str">
            <v>2189-B2507O-D 20141243</v>
          </cell>
          <cell r="F618">
            <v>230</v>
          </cell>
          <cell r="G618">
            <v>46146</v>
          </cell>
          <cell r="H618">
            <v>46147</v>
          </cell>
        </row>
        <row r="619">
          <cell r="D619">
            <v>880000121217</v>
          </cell>
          <cell r="E619" t="str">
            <v>2189-B2507O-D 20141243</v>
          </cell>
          <cell r="F619">
            <v>230</v>
          </cell>
          <cell r="G619">
            <v>46144</v>
          </cell>
          <cell r="H619">
            <v>46145</v>
          </cell>
        </row>
        <row r="620">
          <cell r="D620">
            <v>880000121535</v>
          </cell>
          <cell r="E620" t="str">
            <v>2189-B2507R G0020 20127549</v>
          </cell>
          <cell r="F620">
            <v>250</v>
          </cell>
          <cell r="G620">
            <v>46150</v>
          </cell>
          <cell r="H620">
            <v>46151</v>
          </cell>
        </row>
        <row r="621">
          <cell r="D621">
            <v>880000121536</v>
          </cell>
          <cell r="E621" t="str">
            <v>2189-B2505A-KN 2489739</v>
          </cell>
          <cell r="F621">
            <v>250</v>
          </cell>
          <cell r="G621">
            <v>46150</v>
          </cell>
          <cell r="H621">
            <v>46151</v>
          </cell>
        </row>
        <row r="622">
          <cell r="D622">
            <v>880000121537</v>
          </cell>
          <cell r="E622" t="str">
            <v>2189-B2507R-D 20127549</v>
          </cell>
          <cell r="F622">
            <v>250</v>
          </cell>
          <cell r="G622">
            <v>46150</v>
          </cell>
          <cell r="H622">
            <v>46151</v>
          </cell>
        </row>
        <row r="623">
          <cell r="D623">
            <v>880000121608</v>
          </cell>
          <cell r="E623" t="str">
            <v>2189-B2507R-D 20127549</v>
          </cell>
          <cell r="F623">
            <v>250</v>
          </cell>
          <cell r="G623">
            <v>46148</v>
          </cell>
          <cell r="H623">
            <v>46149</v>
          </cell>
        </row>
        <row r="624">
          <cell r="D624">
            <v>880000121563</v>
          </cell>
          <cell r="E624" t="str">
            <v>2189-B2505AN G0020 20153401</v>
          </cell>
          <cell r="F624">
            <v>360</v>
          </cell>
          <cell r="G624">
            <v>46150</v>
          </cell>
          <cell r="H624">
            <v>46151</v>
          </cell>
        </row>
        <row r="625">
          <cell r="D625">
            <v>880000121564</v>
          </cell>
          <cell r="E625" t="str">
            <v>2189-B2505A-KN 2489739</v>
          </cell>
          <cell r="F625">
            <v>360</v>
          </cell>
          <cell r="G625">
            <v>46150</v>
          </cell>
          <cell r="H625">
            <v>46151</v>
          </cell>
        </row>
        <row r="626">
          <cell r="D626">
            <v>880000121565</v>
          </cell>
          <cell r="E626" t="str">
            <v>2189-B2505AN-D 20153401</v>
          </cell>
          <cell r="F626">
            <v>360</v>
          </cell>
          <cell r="G626">
            <v>46150</v>
          </cell>
          <cell r="H626">
            <v>46151</v>
          </cell>
        </row>
        <row r="627">
          <cell r="D627">
            <v>880000121566</v>
          </cell>
          <cell r="E627" t="str">
            <v>2189-B2505AN-D 20153401</v>
          </cell>
          <cell r="F627">
            <v>360</v>
          </cell>
          <cell r="G627">
            <v>46148</v>
          </cell>
          <cell r="H627">
            <v>46149</v>
          </cell>
        </row>
        <row r="628">
          <cell r="D628">
            <v>110001313430</v>
          </cell>
          <cell r="E628" t="str">
            <v>501851-A2513A-D G0384 612101020027</v>
          </cell>
          <cell r="F628">
            <v>4000</v>
          </cell>
          <cell r="G628">
            <v>46145</v>
          </cell>
          <cell r="H628">
            <v>46146</v>
          </cell>
        </row>
        <row r="629">
          <cell r="D629">
            <v>110001313431</v>
          </cell>
          <cell r="E629" t="str">
            <v>501851-A2513A-D 612101020027</v>
          </cell>
          <cell r="F629">
            <v>4000</v>
          </cell>
          <cell r="G629">
            <v>46143</v>
          </cell>
          <cell r="H629">
            <v>46144</v>
          </cell>
        </row>
        <row r="630">
          <cell r="D630">
            <v>880000121609</v>
          </cell>
          <cell r="E630" t="str">
            <v>501964-B2602B G0020 2499050</v>
          </cell>
          <cell r="F630">
            <v>400</v>
          </cell>
          <cell r="G630">
            <v>46138</v>
          </cell>
          <cell r="H630">
            <v>46139</v>
          </cell>
        </row>
        <row r="631">
          <cell r="D631">
            <v>880000121610</v>
          </cell>
          <cell r="E631" t="str">
            <v>501964-B2602B-PC 2499050</v>
          </cell>
          <cell r="F631">
            <v>400</v>
          </cell>
          <cell r="G631">
            <v>46138</v>
          </cell>
          <cell r="H631">
            <v>46139</v>
          </cell>
        </row>
        <row r="632">
          <cell r="D632">
            <v>880000121611</v>
          </cell>
          <cell r="E632" t="str">
            <v>501964-B2602B-P 2499050</v>
          </cell>
          <cell r="F632">
            <v>400</v>
          </cell>
          <cell r="G632">
            <v>46138</v>
          </cell>
          <cell r="H632">
            <v>46139</v>
          </cell>
        </row>
        <row r="633">
          <cell r="D633">
            <v>880000121612</v>
          </cell>
          <cell r="E633" t="str">
            <v>501964-B2602B-PC 2499050</v>
          </cell>
          <cell r="F633">
            <v>400</v>
          </cell>
          <cell r="G633">
            <v>46136</v>
          </cell>
          <cell r="H633">
            <v>46137</v>
          </cell>
        </row>
        <row r="634">
          <cell r="D634">
            <v>880000121613</v>
          </cell>
          <cell r="E634" t="str">
            <v>501964-B2602B-P 2499050</v>
          </cell>
          <cell r="F634">
            <v>400</v>
          </cell>
          <cell r="G634">
            <v>46136</v>
          </cell>
          <cell r="H634">
            <v>46137</v>
          </cell>
        </row>
        <row r="635">
          <cell r="D635">
            <v>110001313432</v>
          </cell>
          <cell r="E635" t="str">
            <v>600766-B2606B-PC G0044 0011801843BC</v>
          </cell>
          <cell r="F635">
            <v>1300</v>
          </cell>
          <cell r="G635">
            <v>46147</v>
          </cell>
          <cell r="H635">
            <v>0</v>
          </cell>
        </row>
        <row r="636">
          <cell r="D636">
            <v>110001313433</v>
          </cell>
          <cell r="E636" t="str">
            <v>600766-B2606B-PC 0011801843BC</v>
          </cell>
          <cell r="F636">
            <v>1300</v>
          </cell>
          <cell r="G636">
            <v>46145</v>
          </cell>
          <cell r="H636">
            <v>0</v>
          </cell>
        </row>
        <row r="637">
          <cell r="D637">
            <v>110001313434</v>
          </cell>
          <cell r="E637" t="str">
            <v>600766-B2606A-PC G0044 0011801843BA</v>
          </cell>
          <cell r="F637">
            <v>11000</v>
          </cell>
          <cell r="G637">
            <v>46148</v>
          </cell>
          <cell r="H637">
            <v>0</v>
          </cell>
        </row>
        <row r="638">
          <cell r="D638">
            <v>110001313435</v>
          </cell>
          <cell r="E638" t="str">
            <v>600766-B2606A-PC 0011801843BA</v>
          </cell>
          <cell r="F638">
            <v>11000</v>
          </cell>
          <cell r="G638">
            <v>46146</v>
          </cell>
          <cell r="H638">
            <v>0</v>
          </cell>
        </row>
        <row r="639">
          <cell r="D639">
            <v>110001313436</v>
          </cell>
          <cell r="E639" t="str">
            <v>600766-B2606A-PC G0044 0011801843BA</v>
          </cell>
          <cell r="F639">
            <v>2300</v>
          </cell>
          <cell r="G639">
            <v>46149</v>
          </cell>
          <cell r="H639">
            <v>0</v>
          </cell>
        </row>
        <row r="640">
          <cell r="D640">
            <v>110001313437</v>
          </cell>
          <cell r="E640" t="str">
            <v>600766-B2606A-PC 0011801843BA</v>
          </cell>
          <cell r="F640">
            <v>2300</v>
          </cell>
          <cell r="G640">
            <v>46147</v>
          </cell>
          <cell r="H640">
            <v>0</v>
          </cell>
        </row>
        <row r="641">
          <cell r="D641">
            <v>880000121614</v>
          </cell>
          <cell r="E641" t="str">
            <v>600766-B2606B-PC G0044 0011801843BC</v>
          </cell>
          <cell r="F641">
            <v>200</v>
          </cell>
          <cell r="G641">
            <v>46141</v>
          </cell>
          <cell r="H641">
            <v>0</v>
          </cell>
        </row>
        <row r="642">
          <cell r="D642">
            <v>880000121615</v>
          </cell>
          <cell r="E642" t="str">
            <v>600766-B2606B-PC 0011801843BC</v>
          </cell>
          <cell r="F642">
            <v>200</v>
          </cell>
          <cell r="G642">
            <v>46139</v>
          </cell>
          <cell r="H642">
            <v>0</v>
          </cell>
        </row>
        <row r="643">
          <cell r="D643">
            <v>880000121616</v>
          </cell>
          <cell r="E643" t="str">
            <v>600766-B2606A-PC G0044 0011801843BA</v>
          </cell>
          <cell r="F643">
            <v>200</v>
          </cell>
          <cell r="G643">
            <v>46141</v>
          </cell>
          <cell r="H643">
            <v>0</v>
          </cell>
        </row>
        <row r="644">
          <cell r="D644">
            <v>880000121617</v>
          </cell>
          <cell r="E644" t="str">
            <v>600766-B2606A-PC 0011801843BA</v>
          </cell>
          <cell r="F644">
            <v>200</v>
          </cell>
          <cell r="G644">
            <v>46139</v>
          </cell>
          <cell r="H644">
            <v>0</v>
          </cell>
        </row>
        <row r="645">
          <cell r="D645">
            <v>110001266519</v>
          </cell>
          <cell r="E645" t="str">
            <v>1886-C2512A G0020 20116662 干衣机面板</v>
          </cell>
          <cell r="F645">
            <v>160</v>
          </cell>
          <cell r="G645">
            <v>46141</v>
          </cell>
          <cell r="H645">
            <v>46142</v>
          </cell>
        </row>
        <row r="646">
          <cell r="D646">
            <v>110001266520</v>
          </cell>
          <cell r="E646" t="str">
            <v>1886-C2512A-X 20116662 干衣机通用板</v>
          </cell>
          <cell r="F646">
            <v>160</v>
          </cell>
          <cell r="G646">
            <v>46141</v>
          </cell>
          <cell r="H646">
            <v>46142</v>
          </cell>
        </row>
        <row r="647">
          <cell r="D647">
            <v>110001266541</v>
          </cell>
          <cell r="E647" t="str">
            <v>1886-C2512A-K 干洗衣机按键旋钮板</v>
          </cell>
          <cell r="F647">
            <v>160</v>
          </cell>
          <cell r="G647">
            <v>46141</v>
          </cell>
          <cell r="H647">
            <v>46142</v>
          </cell>
        </row>
        <row r="648">
          <cell r="D648">
            <v>110001266542</v>
          </cell>
          <cell r="E648" t="str">
            <v>1886-C2512A-X 20116662 干衣机通用板</v>
          </cell>
          <cell r="F648">
            <v>160</v>
          </cell>
          <cell r="G648">
            <v>46139</v>
          </cell>
          <cell r="H648">
            <v>46140</v>
          </cell>
        </row>
        <row r="649">
          <cell r="D649">
            <v>110001266543</v>
          </cell>
          <cell r="E649" t="str">
            <v>201-A2412A-X DMIC-70-02-001</v>
          </cell>
          <cell r="F649">
            <v>160</v>
          </cell>
          <cell r="G649">
            <v>46139</v>
          </cell>
          <cell r="H649">
            <v>46140</v>
          </cell>
        </row>
        <row r="650">
          <cell r="D650">
            <v>110001266581</v>
          </cell>
          <cell r="E650" t="str">
            <v>697-B2505A-DRV G0020 H7D39442C-D</v>
          </cell>
          <cell r="F650">
            <v>900</v>
          </cell>
          <cell r="G650">
            <v>46145</v>
          </cell>
          <cell r="H650">
            <v>46146</v>
          </cell>
        </row>
        <row r="651">
          <cell r="D651">
            <v>110001266582</v>
          </cell>
          <cell r="E651" t="str">
            <v>697-B2505A-DRV H7D39442C-D</v>
          </cell>
          <cell r="F651">
            <v>900</v>
          </cell>
          <cell r="G651">
            <v>46143</v>
          </cell>
          <cell r="H651">
            <v>46144</v>
          </cell>
        </row>
        <row r="652">
          <cell r="D652">
            <v>110001271295</v>
          </cell>
          <cell r="E652" t="str">
            <v>697-C2504A G0020 1235820 H7A09158D/PV22&amp;</v>
          </cell>
          <cell r="F652">
            <v>1700</v>
          </cell>
          <cell r="G652">
            <v>46146</v>
          </cell>
          <cell r="H652">
            <v>46147</v>
          </cell>
        </row>
        <row r="653">
          <cell r="D653">
            <v>110001271296</v>
          </cell>
          <cell r="E653" t="str">
            <v>697-C2504A-DRV H7A09502A/PV2229H</v>
          </cell>
          <cell r="F653">
            <v>1700</v>
          </cell>
          <cell r="G653">
            <v>46146</v>
          </cell>
          <cell r="H653">
            <v>46147</v>
          </cell>
        </row>
        <row r="654">
          <cell r="D654">
            <v>110001271297</v>
          </cell>
          <cell r="E654" t="str">
            <v>697-C2504A-DRV H7A09502A/PV2229H</v>
          </cell>
          <cell r="F654">
            <v>1700</v>
          </cell>
          <cell r="G654">
            <v>46146</v>
          </cell>
          <cell r="H654">
            <v>46147</v>
          </cell>
        </row>
        <row r="655">
          <cell r="D655">
            <v>110001271298</v>
          </cell>
          <cell r="E655" t="str">
            <v>697-C2504A-C H7A09528A/PE2306H</v>
          </cell>
          <cell r="F655">
            <v>1700</v>
          </cell>
          <cell r="G655">
            <v>46144</v>
          </cell>
          <cell r="H655">
            <v>46145</v>
          </cell>
        </row>
        <row r="656">
          <cell r="D656">
            <v>110001271299</v>
          </cell>
          <cell r="E656" t="str">
            <v>697-C2504A-C H7A09528A/PE2306H</v>
          </cell>
          <cell r="F656">
            <v>1700</v>
          </cell>
          <cell r="G656">
            <v>46144</v>
          </cell>
          <cell r="H656">
            <v>46145</v>
          </cell>
        </row>
        <row r="657">
          <cell r="D657">
            <v>110001271300</v>
          </cell>
          <cell r="E657" t="str">
            <v>697-C2503D G0020 1220211 H7A09529A/PV22&amp;</v>
          </cell>
          <cell r="F657">
            <v>850</v>
          </cell>
          <cell r="G657">
            <v>46151</v>
          </cell>
          <cell r="H657">
            <v>46152</v>
          </cell>
        </row>
        <row r="658">
          <cell r="D658">
            <v>110001271301</v>
          </cell>
          <cell r="E658" t="str">
            <v>697-C2503D-DRV H7A09502C/PV2229Q</v>
          </cell>
          <cell r="F658">
            <v>850</v>
          </cell>
          <cell r="G658">
            <v>46151</v>
          </cell>
          <cell r="H658">
            <v>46152</v>
          </cell>
        </row>
        <row r="659">
          <cell r="D659">
            <v>110001271302</v>
          </cell>
          <cell r="E659" t="str">
            <v>500268-C2501A-C H7A09528C PE2306Q</v>
          </cell>
          <cell r="F659">
            <v>850</v>
          </cell>
          <cell r="G659">
            <v>46151</v>
          </cell>
          <cell r="H659">
            <v>46152</v>
          </cell>
        </row>
        <row r="660">
          <cell r="D660">
            <v>110001271303</v>
          </cell>
          <cell r="E660" t="str">
            <v>697-C2503D-DRV H7A09502C/PV2229Q</v>
          </cell>
          <cell r="F660">
            <v>850</v>
          </cell>
          <cell r="G660">
            <v>46149</v>
          </cell>
          <cell r="H660">
            <v>46150</v>
          </cell>
        </row>
        <row r="661">
          <cell r="D661">
            <v>110001271304</v>
          </cell>
          <cell r="E661" t="str">
            <v>500268-C2501A-C H7A09528C PE2306Q</v>
          </cell>
          <cell r="F661">
            <v>850</v>
          </cell>
          <cell r="G661">
            <v>46149</v>
          </cell>
          <cell r="H661">
            <v>46150</v>
          </cell>
        </row>
        <row r="662">
          <cell r="D662">
            <v>110001278919</v>
          </cell>
          <cell r="E662" t="str">
            <v>697-C2504F G0020 1239204 H7A09158F/PV22&amp;</v>
          </cell>
          <cell r="F662">
            <v>98</v>
          </cell>
          <cell r="G662">
            <v>46141</v>
          </cell>
          <cell r="H662">
            <v>46142</v>
          </cell>
        </row>
        <row r="663">
          <cell r="D663">
            <v>110001278920</v>
          </cell>
          <cell r="E663" t="str">
            <v>697-C2504F-DRV H7A09502H/PV2229H</v>
          </cell>
          <cell r="F663">
            <v>98</v>
          </cell>
          <cell r="G663">
            <v>46141</v>
          </cell>
          <cell r="H663">
            <v>46142</v>
          </cell>
        </row>
        <row r="664">
          <cell r="D664">
            <v>110001278921</v>
          </cell>
          <cell r="E664" t="str">
            <v>500268-C2501A-C H7A09528C PE2306Q</v>
          </cell>
          <cell r="F664">
            <v>98</v>
          </cell>
          <cell r="G664">
            <v>46141</v>
          </cell>
          <cell r="H664">
            <v>46142</v>
          </cell>
        </row>
        <row r="665">
          <cell r="D665">
            <v>110001278922</v>
          </cell>
          <cell r="E665" t="str">
            <v>697-C2504F-DRV H7A09502H/PV2229H</v>
          </cell>
          <cell r="F665">
            <v>98</v>
          </cell>
          <cell r="G665">
            <v>46139</v>
          </cell>
          <cell r="H665">
            <v>46140</v>
          </cell>
        </row>
        <row r="666">
          <cell r="D666">
            <v>110001278923</v>
          </cell>
          <cell r="E666" t="str">
            <v>500268-C2501A-C H7A09528C PE2306Q</v>
          </cell>
          <cell r="F666">
            <v>98</v>
          </cell>
          <cell r="G666">
            <v>46139</v>
          </cell>
          <cell r="H666">
            <v>46140</v>
          </cell>
        </row>
        <row r="667">
          <cell r="D667">
            <v>110001292147</v>
          </cell>
          <cell r="E667" t="str">
            <v>201-A2381C-X 2297595 冼衣机面板(全球白)</v>
          </cell>
          <cell r="F667">
            <v>430</v>
          </cell>
          <cell r="G667">
            <v>46140</v>
          </cell>
          <cell r="H667">
            <v>46141</v>
          </cell>
        </row>
        <row r="668">
          <cell r="D668">
            <v>110001292148</v>
          </cell>
          <cell r="E668" t="str">
            <v>201-A2378A-O HLP5602-GWM.01</v>
          </cell>
          <cell r="F668">
            <v>430</v>
          </cell>
          <cell r="G668">
            <v>46140</v>
          </cell>
          <cell r="H668">
            <v>46141</v>
          </cell>
        </row>
        <row r="669">
          <cell r="D669">
            <v>110001292149</v>
          </cell>
          <cell r="E669" t="str">
            <v>201-A2379B-X 7S5602(天青墨)</v>
          </cell>
          <cell r="F669">
            <v>430</v>
          </cell>
          <cell r="G669">
            <v>46140</v>
          </cell>
          <cell r="H669">
            <v>46141</v>
          </cell>
        </row>
        <row r="670">
          <cell r="D670">
            <v>110001292150</v>
          </cell>
          <cell r="E670" t="str">
            <v>201-A2378A-O HLP5602-GWM.01</v>
          </cell>
          <cell r="F670">
            <v>430</v>
          </cell>
          <cell r="G670">
            <v>46138</v>
          </cell>
          <cell r="H670">
            <v>46139</v>
          </cell>
        </row>
        <row r="671">
          <cell r="D671">
            <v>110001292151</v>
          </cell>
          <cell r="E671" t="str">
            <v>201-A2379B-X 7S5602(天青墨)</v>
          </cell>
          <cell r="F671">
            <v>430</v>
          </cell>
          <cell r="G671">
            <v>46138</v>
          </cell>
          <cell r="H671">
            <v>46139</v>
          </cell>
        </row>
        <row r="672">
          <cell r="D672">
            <v>110001296161</v>
          </cell>
          <cell r="E672" t="str">
            <v>1886-C2512D G0020 20170752 7i洗衣机面板 天青墨</v>
          </cell>
          <cell r="F672">
            <v>420</v>
          </cell>
          <cell r="G672">
            <v>46149</v>
          </cell>
          <cell r="H672">
            <v>46150</v>
          </cell>
        </row>
        <row r="673">
          <cell r="D673">
            <v>110001296162</v>
          </cell>
          <cell r="E673" t="str">
            <v>1886-C2512A-K 干洗衣机按键旋钮板</v>
          </cell>
          <cell r="F673">
            <v>420</v>
          </cell>
          <cell r="G673">
            <v>46149</v>
          </cell>
          <cell r="H673">
            <v>46150</v>
          </cell>
        </row>
        <row r="674">
          <cell r="D674">
            <v>110001296163</v>
          </cell>
          <cell r="E674" t="str">
            <v>1886-C2512D-X 20170752 7i洗衣机通用板 天青墨</v>
          </cell>
          <cell r="F674">
            <v>420</v>
          </cell>
          <cell r="G674">
            <v>46149</v>
          </cell>
          <cell r="H674">
            <v>46150</v>
          </cell>
        </row>
        <row r="675">
          <cell r="D675">
            <v>110001296164</v>
          </cell>
          <cell r="E675" t="str">
            <v>1886-C2512D-X 20170752 7i洗衣机通用板 天青墨</v>
          </cell>
          <cell r="F675">
            <v>420</v>
          </cell>
          <cell r="G675">
            <v>46147</v>
          </cell>
          <cell r="H675">
            <v>46148</v>
          </cell>
        </row>
        <row r="676">
          <cell r="D676">
            <v>110001296165</v>
          </cell>
          <cell r="E676" t="str">
            <v>201-A2412A-X DMIC-70-02-001</v>
          </cell>
          <cell r="F676">
            <v>420</v>
          </cell>
          <cell r="G676">
            <v>46147</v>
          </cell>
          <cell r="H676">
            <v>46148</v>
          </cell>
        </row>
        <row r="677">
          <cell r="D677">
            <v>110001300013</v>
          </cell>
          <cell r="E677" t="str">
            <v>201-A2381B-X HLP5602-GWM(天青墨)</v>
          </cell>
          <cell r="F677">
            <v>700</v>
          </cell>
          <cell r="G677">
            <v>46140</v>
          </cell>
          <cell r="H677">
            <v>46141</v>
          </cell>
        </row>
        <row r="678">
          <cell r="D678">
            <v>110001300014</v>
          </cell>
          <cell r="E678" t="str">
            <v>201-A2378A-O HLP5602-GWM.01</v>
          </cell>
          <cell r="F678">
            <v>700</v>
          </cell>
          <cell r="G678">
            <v>46140</v>
          </cell>
          <cell r="H678">
            <v>46141</v>
          </cell>
        </row>
        <row r="679">
          <cell r="D679">
            <v>110001300015</v>
          </cell>
          <cell r="E679" t="str">
            <v>201-A2379B-X 7S5602(天青墨)</v>
          </cell>
          <cell r="F679">
            <v>700</v>
          </cell>
          <cell r="G679">
            <v>46140</v>
          </cell>
          <cell r="H679">
            <v>46141</v>
          </cell>
        </row>
        <row r="680">
          <cell r="D680">
            <v>110001300016</v>
          </cell>
          <cell r="E680" t="str">
            <v>201-A2378A-O HLP5602-GWM.01</v>
          </cell>
          <cell r="F680">
            <v>700</v>
          </cell>
          <cell r="G680">
            <v>46138</v>
          </cell>
          <cell r="H680">
            <v>46139</v>
          </cell>
        </row>
        <row r="681">
          <cell r="D681">
            <v>110001300017</v>
          </cell>
          <cell r="E681" t="str">
            <v>201-A2379B-X 7S5602(天青墨)</v>
          </cell>
          <cell r="F681">
            <v>700</v>
          </cell>
          <cell r="G681">
            <v>46138</v>
          </cell>
          <cell r="H681">
            <v>46139</v>
          </cell>
        </row>
        <row r="682">
          <cell r="D682">
            <v>110001300045</v>
          </cell>
          <cell r="E682" t="str">
            <v>1886-C2515A-X G0020 3677802 BCD-600W 屏显&amp;</v>
          </cell>
          <cell r="F682">
            <v>670</v>
          </cell>
          <cell r="G682">
            <v>46150</v>
          </cell>
          <cell r="H682">
            <v>46151</v>
          </cell>
        </row>
        <row r="683">
          <cell r="D683">
            <v>110001300046</v>
          </cell>
          <cell r="E683" t="str">
            <v>1886-C2515A-X 3677802 BCD-600W 屏显组件</v>
          </cell>
          <cell r="F683">
            <v>670</v>
          </cell>
          <cell r="G683">
            <v>46148</v>
          </cell>
          <cell r="H683">
            <v>46149</v>
          </cell>
        </row>
        <row r="684">
          <cell r="D684">
            <v>110001302790</v>
          </cell>
          <cell r="E684" t="str">
            <v>201-A2381B-X HLP5602-GWM(天青墨)</v>
          </cell>
          <cell r="F684">
            <v>450</v>
          </cell>
          <cell r="G684">
            <v>46151</v>
          </cell>
          <cell r="H684">
            <v>46152</v>
          </cell>
        </row>
        <row r="685">
          <cell r="D685">
            <v>110001302791</v>
          </cell>
          <cell r="E685" t="str">
            <v>201-A2378A-O HLP5602-GWM.01</v>
          </cell>
          <cell r="F685">
            <v>450</v>
          </cell>
          <cell r="G685">
            <v>46151</v>
          </cell>
          <cell r="H685">
            <v>46152</v>
          </cell>
        </row>
        <row r="686">
          <cell r="D686">
            <v>110001302792</v>
          </cell>
          <cell r="E686" t="str">
            <v>201-A2379B-X 7S5602(天青墨)</v>
          </cell>
          <cell r="F686">
            <v>450</v>
          </cell>
          <cell r="G686">
            <v>46151</v>
          </cell>
          <cell r="H686">
            <v>46152</v>
          </cell>
        </row>
        <row r="687">
          <cell r="D687">
            <v>110001302793</v>
          </cell>
          <cell r="E687" t="str">
            <v>201-A2378A-O HLP5602-GWM.01</v>
          </cell>
          <cell r="F687">
            <v>450</v>
          </cell>
          <cell r="G687">
            <v>46149</v>
          </cell>
          <cell r="H687">
            <v>46150</v>
          </cell>
        </row>
        <row r="688">
          <cell r="D688">
            <v>110001302794</v>
          </cell>
          <cell r="E688" t="str">
            <v>201-A2379B-X 7S5602(天青墨)</v>
          </cell>
          <cell r="F688">
            <v>450</v>
          </cell>
          <cell r="G688">
            <v>46149</v>
          </cell>
          <cell r="H688">
            <v>46150</v>
          </cell>
        </row>
        <row r="689">
          <cell r="D689">
            <v>110001302860</v>
          </cell>
          <cell r="E689" t="str">
            <v>697-C2504E G0020 1221254 H7A09158C/PV22&amp;</v>
          </cell>
          <cell r="F689">
            <v>300</v>
          </cell>
          <cell r="G689">
            <v>46147</v>
          </cell>
          <cell r="H689">
            <v>46148</v>
          </cell>
        </row>
        <row r="690">
          <cell r="D690">
            <v>110001302861</v>
          </cell>
          <cell r="E690" t="str">
            <v>697-C2504E-DRV H7A09502E/PV2229H</v>
          </cell>
          <cell r="F690">
            <v>300</v>
          </cell>
          <cell r="G690">
            <v>46147</v>
          </cell>
          <cell r="H690">
            <v>46148</v>
          </cell>
        </row>
        <row r="691">
          <cell r="D691">
            <v>110001302862</v>
          </cell>
          <cell r="E691" t="str">
            <v>697-C2504A-C H7A09528A/PE2306H</v>
          </cell>
          <cell r="F691">
            <v>300</v>
          </cell>
          <cell r="G691">
            <v>46147</v>
          </cell>
          <cell r="H691">
            <v>46148</v>
          </cell>
        </row>
        <row r="692">
          <cell r="D692">
            <v>110001302863</v>
          </cell>
          <cell r="E692" t="str">
            <v>697-C2504E-DRV H7A09502E/PV2229H</v>
          </cell>
          <cell r="F692">
            <v>300</v>
          </cell>
          <cell r="G692">
            <v>46145</v>
          </cell>
          <cell r="H692">
            <v>46146</v>
          </cell>
        </row>
        <row r="693">
          <cell r="D693">
            <v>110001302864</v>
          </cell>
          <cell r="E693" t="str">
            <v>697-C2504A-C H7A09528A/PE2306H</v>
          </cell>
          <cell r="F693">
            <v>300</v>
          </cell>
          <cell r="G693">
            <v>46145</v>
          </cell>
          <cell r="H693">
            <v>46146</v>
          </cell>
        </row>
        <row r="694">
          <cell r="D694">
            <v>110001302870</v>
          </cell>
          <cell r="E694" t="str">
            <v>500268-C2501F G0020 1242657 H7A10566F-D&amp;</v>
          </cell>
          <cell r="F694">
            <v>200</v>
          </cell>
          <cell r="G694">
            <v>46138</v>
          </cell>
          <cell r="H694">
            <v>46139</v>
          </cell>
        </row>
        <row r="695">
          <cell r="D695">
            <v>110001302871</v>
          </cell>
          <cell r="E695" t="str">
            <v>500268-C2501F-DRV H7A09502P/PV2229Y</v>
          </cell>
          <cell r="F695">
            <v>200</v>
          </cell>
          <cell r="G695">
            <v>46138</v>
          </cell>
          <cell r="H695">
            <v>46139</v>
          </cell>
        </row>
        <row r="696">
          <cell r="D696">
            <v>110001302872</v>
          </cell>
          <cell r="E696" t="str">
            <v>500268-C2501A-C H7A09528C PE2306Q</v>
          </cell>
          <cell r="F696">
            <v>200</v>
          </cell>
          <cell r="G696">
            <v>46138</v>
          </cell>
          <cell r="H696">
            <v>46139</v>
          </cell>
        </row>
        <row r="697">
          <cell r="D697">
            <v>110001302873</v>
          </cell>
          <cell r="E697" t="str">
            <v>500268-C2501F-DRV H7A09502P/PV2229Y</v>
          </cell>
          <cell r="F697">
            <v>200</v>
          </cell>
          <cell r="G697">
            <v>46136</v>
          </cell>
          <cell r="H697">
            <v>46137</v>
          </cell>
        </row>
        <row r="698">
          <cell r="D698">
            <v>110001302874</v>
          </cell>
          <cell r="E698" t="str">
            <v>500268-C2501A-C H7A09528C PE2306Q</v>
          </cell>
          <cell r="F698">
            <v>200</v>
          </cell>
          <cell r="G698">
            <v>46136</v>
          </cell>
          <cell r="H698">
            <v>46137</v>
          </cell>
        </row>
        <row r="699">
          <cell r="D699">
            <v>110001302880</v>
          </cell>
          <cell r="E699" t="str">
            <v>1886-C2512F G0020 20239594 7i干衣机面板 新能效天&amp;</v>
          </cell>
          <cell r="F699">
            <v>90</v>
          </cell>
          <cell r="G699">
            <v>46141</v>
          </cell>
          <cell r="H699">
            <v>46142</v>
          </cell>
        </row>
        <row r="700">
          <cell r="D700">
            <v>110001302881</v>
          </cell>
          <cell r="E700" t="str">
            <v>1886-C2512A-K 干洗衣机按键旋钮板</v>
          </cell>
          <cell r="F700">
            <v>90</v>
          </cell>
          <cell r="G700">
            <v>46141</v>
          </cell>
          <cell r="H700">
            <v>46142</v>
          </cell>
        </row>
        <row r="701">
          <cell r="D701">
            <v>110001302882</v>
          </cell>
          <cell r="E701" t="str">
            <v>1886-C2512F-X 20239594 7i干衣机通用板 新能效天青墨</v>
          </cell>
          <cell r="F701">
            <v>90</v>
          </cell>
          <cell r="G701">
            <v>46141</v>
          </cell>
          <cell r="H701">
            <v>46142</v>
          </cell>
        </row>
        <row r="702">
          <cell r="D702">
            <v>110001302883</v>
          </cell>
          <cell r="E702" t="str">
            <v>1886-C2512F-X 20239594 7i干衣机通用板 新能效天青墨</v>
          </cell>
          <cell r="F702">
            <v>90</v>
          </cell>
          <cell r="G702">
            <v>46139</v>
          </cell>
          <cell r="H702">
            <v>46140</v>
          </cell>
        </row>
        <row r="703">
          <cell r="D703">
            <v>110001302884</v>
          </cell>
          <cell r="E703" t="str">
            <v>201-A2412A-X DMIC-70-02-001</v>
          </cell>
          <cell r="F703">
            <v>90</v>
          </cell>
          <cell r="G703">
            <v>46139</v>
          </cell>
          <cell r="H703">
            <v>46140</v>
          </cell>
        </row>
        <row r="704">
          <cell r="D704">
            <v>110001307182</v>
          </cell>
          <cell r="E704" t="str">
            <v>697-C2504B G0020 1201684 H7A09158A/PV22&amp;</v>
          </cell>
          <cell r="F704">
            <v>700</v>
          </cell>
          <cell r="G704">
            <v>46148</v>
          </cell>
          <cell r="H704">
            <v>46149</v>
          </cell>
        </row>
        <row r="705">
          <cell r="D705">
            <v>110001307183</v>
          </cell>
          <cell r="E705" t="str">
            <v>697-C2504B-DRV H7A09502A/PV2229H</v>
          </cell>
          <cell r="F705">
            <v>700</v>
          </cell>
          <cell r="G705">
            <v>46148</v>
          </cell>
          <cell r="H705">
            <v>46149</v>
          </cell>
        </row>
        <row r="706">
          <cell r="D706">
            <v>110001307184</v>
          </cell>
          <cell r="E706" t="str">
            <v>697-C2504A-C H7A09528A/PE2306H</v>
          </cell>
          <cell r="F706">
            <v>700</v>
          </cell>
          <cell r="G706">
            <v>46148</v>
          </cell>
          <cell r="H706">
            <v>46149</v>
          </cell>
        </row>
        <row r="707">
          <cell r="D707">
            <v>110001307185</v>
          </cell>
          <cell r="E707" t="str">
            <v>697-C2504B-DRV H7A09502A/PV2229H</v>
          </cell>
          <cell r="F707">
            <v>700</v>
          </cell>
          <cell r="G707">
            <v>46146</v>
          </cell>
          <cell r="H707">
            <v>46147</v>
          </cell>
        </row>
        <row r="708">
          <cell r="D708">
            <v>110001307186</v>
          </cell>
          <cell r="E708" t="str">
            <v>697-C2504A-C H7A09528A/PE2306H</v>
          </cell>
          <cell r="F708">
            <v>700</v>
          </cell>
          <cell r="G708">
            <v>46146</v>
          </cell>
          <cell r="H708">
            <v>46147</v>
          </cell>
        </row>
        <row r="709">
          <cell r="D709">
            <v>110001307204</v>
          </cell>
          <cell r="E709" t="str">
            <v>1886-C2512D G0020 20170752 7i洗衣机面板 天青墨</v>
          </cell>
          <cell r="F709">
            <v>300</v>
          </cell>
          <cell r="G709">
            <v>46150</v>
          </cell>
          <cell r="H709">
            <v>46151</v>
          </cell>
        </row>
        <row r="710">
          <cell r="D710">
            <v>110001307205</v>
          </cell>
          <cell r="E710" t="str">
            <v>1886-C2512A-K 干洗衣机按键旋钮板</v>
          </cell>
          <cell r="F710">
            <v>300</v>
          </cell>
          <cell r="G710">
            <v>46148</v>
          </cell>
          <cell r="H710">
            <v>46149</v>
          </cell>
        </row>
        <row r="711">
          <cell r="D711">
            <v>110001307206</v>
          </cell>
          <cell r="E711" t="str">
            <v>1886-C2512D-X 20170752 7i洗衣机通用板 天青墨</v>
          </cell>
          <cell r="F711">
            <v>300</v>
          </cell>
          <cell r="G711">
            <v>46148</v>
          </cell>
          <cell r="H711">
            <v>46149</v>
          </cell>
        </row>
        <row r="712">
          <cell r="D712">
            <v>110001307207</v>
          </cell>
          <cell r="E712" t="str">
            <v>1886-C2512D-X 20170752 7i洗衣机通用板 天青墨</v>
          </cell>
          <cell r="F712">
            <v>300</v>
          </cell>
          <cell r="G712">
            <v>46148</v>
          </cell>
          <cell r="H712">
            <v>46149</v>
          </cell>
        </row>
        <row r="713">
          <cell r="D713">
            <v>110001307208</v>
          </cell>
          <cell r="E713" t="str">
            <v>201-A2412A-X DMIC-70-02-001</v>
          </cell>
          <cell r="F713">
            <v>300</v>
          </cell>
          <cell r="G713">
            <v>46148</v>
          </cell>
          <cell r="H713">
            <v>46149</v>
          </cell>
        </row>
        <row r="714">
          <cell r="D714">
            <v>110001307395</v>
          </cell>
          <cell r="E714" t="str">
            <v>500269-C2405A-X 2446112 天青墨</v>
          </cell>
          <cell r="F714">
            <v>600</v>
          </cell>
          <cell r="G714">
            <v>46138</v>
          </cell>
          <cell r="H714">
            <v>46139</v>
          </cell>
        </row>
        <row r="715">
          <cell r="D715">
            <v>110001307396</v>
          </cell>
          <cell r="E715" t="str">
            <v>201-A2378A-O HLP5602-GWM.01</v>
          </cell>
          <cell r="F715">
            <v>600</v>
          </cell>
          <cell r="G715">
            <v>46138</v>
          </cell>
          <cell r="H715">
            <v>46139</v>
          </cell>
        </row>
        <row r="716">
          <cell r="D716">
            <v>110001307397</v>
          </cell>
          <cell r="E716" t="str">
            <v>500269-C2407A-X 2446112</v>
          </cell>
          <cell r="F716">
            <v>600</v>
          </cell>
          <cell r="G716">
            <v>46138</v>
          </cell>
          <cell r="H716">
            <v>46139</v>
          </cell>
        </row>
        <row r="717">
          <cell r="D717">
            <v>110001307398</v>
          </cell>
          <cell r="E717" t="str">
            <v>201-A2378A-O HLP5602-GWM.01</v>
          </cell>
          <cell r="F717">
            <v>600</v>
          </cell>
          <cell r="G717">
            <v>46136</v>
          </cell>
          <cell r="H717">
            <v>46137</v>
          </cell>
        </row>
        <row r="718">
          <cell r="D718">
            <v>110001307399</v>
          </cell>
          <cell r="E718" t="str">
            <v>500269-C2407A-X 2446112 新欧标</v>
          </cell>
          <cell r="F718">
            <v>600</v>
          </cell>
          <cell r="G718">
            <v>46136</v>
          </cell>
          <cell r="H718">
            <v>46137</v>
          </cell>
        </row>
        <row r="719">
          <cell r="D719">
            <v>110001307405</v>
          </cell>
          <cell r="E719" t="str">
            <v>697-C2503C G0020 1235823 H7A09529D/PV22&amp;</v>
          </cell>
          <cell r="F719">
            <v>1300</v>
          </cell>
          <cell r="G719">
            <v>46148</v>
          </cell>
          <cell r="H719">
            <v>46149</v>
          </cell>
        </row>
        <row r="720">
          <cell r="D720">
            <v>110001307406</v>
          </cell>
          <cell r="E720" t="str">
            <v>697-C2503C-DRV H7A09502C/PV2229Q</v>
          </cell>
          <cell r="F720">
            <v>1300</v>
          </cell>
          <cell r="G720">
            <v>46146</v>
          </cell>
          <cell r="H720">
            <v>46147</v>
          </cell>
        </row>
        <row r="721">
          <cell r="D721">
            <v>110001307407</v>
          </cell>
          <cell r="E721" t="str">
            <v>500268-C2501A-C H7A09528C PE2306Q</v>
          </cell>
          <cell r="F721">
            <v>1300</v>
          </cell>
          <cell r="G721">
            <v>46146</v>
          </cell>
          <cell r="H721">
            <v>46147</v>
          </cell>
        </row>
        <row r="722">
          <cell r="D722">
            <v>110001307408</v>
          </cell>
          <cell r="E722" t="str">
            <v>697-C2503C-DRV H7A09502C/PV2229Q</v>
          </cell>
          <cell r="F722">
            <v>1300</v>
          </cell>
          <cell r="G722">
            <v>46146</v>
          </cell>
          <cell r="H722">
            <v>46147</v>
          </cell>
        </row>
        <row r="723">
          <cell r="D723">
            <v>110001307409</v>
          </cell>
          <cell r="E723" t="str">
            <v>500268-C2501A-C H7A09528C PE2306Q</v>
          </cell>
          <cell r="F723">
            <v>1300</v>
          </cell>
          <cell r="G723">
            <v>46146</v>
          </cell>
          <cell r="H723">
            <v>46147</v>
          </cell>
        </row>
        <row r="724">
          <cell r="D724">
            <v>110001307410</v>
          </cell>
          <cell r="E724" t="str">
            <v>697-C2504C G0020 1201685 H7A09158B/PV22&amp;</v>
          </cell>
          <cell r="F724">
            <v>429</v>
          </cell>
          <cell r="G724">
            <v>46149</v>
          </cell>
          <cell r="H724">
            <v>46150</v>
          </cell>
        </row>
        <row r="725">
          <cell r="D725">
            <v>110001307411</v>
          </cell>
          <cell r="E725" t="str">
            <v>697-C2504C-DRV H7A09502B/PV2229H</v>
          </cell>
          <cell r="F725">
            <v>429</v>
          </cell>
          <cell r="G725">
            <v>46147</v>
          </cell>
          <cell r="H725">
            <v>46148</v>
          </cell>
        </row>
        <row r="726">
          <cell r="D726">
            <v>110001307412</v>
          </cell>
          <cell r="E726" t="str">
            <v>697-C2504A-C H7A09528A/PE2306H</v>
          </cell>
          <cell r="F726">
            <v>429</v>
          </cell>
          <cell r="G726">
            <v>46147</v>
          </cell>
          <cell r="H726">
            <v>46148</v>
          </cell>
        </row>
        <row r="727">
          <cell r="D727">
            <v>110001307413</v>
          </cell>
          <cell r="E727" t="str">
            <v>697-C2504C-DRV H7A09502B/PV2229H</v>
          </cell>
          <cell r="F727">
            <v>429</v>
          </cell>
          <cell r="G727">
            <v>46147</v>
          </cell>
          <cell r="H727">
            <v>46148</v>
          </cell>
        </row>
        <row r="728">
          <cell r="D728">
            <v>110001307414</v>
          </cell>
          <cell r="E728" t="str">
            <v>697-C2504A-C H7A09528A/PE2306H</v>
          </cell>
          <cell r="F728">
            <v>429</v>
          </cell>
          <cell r="G728">
            <v>46147</v>
          </cell>
          <cell r="H728">
            <v>46148</v>
          </cell>
        </row>
        <row r="729">
          <cell r="D729">
            <v>110001307415</v>
          </cell>
          <cell r="E729" t="str">
            <v>697-C2504D G0020 1239203 H7A09158E/PV22&amp;</v>
          </cell>
          <cell r="F729">
            <v>550</v>
          </cell>
          <cell r="G729">
            <v>46137</v>
          </cell>
          <cell r="H729">
            <v>46138</v>
          </cell>
        </row>
        <row r="730">
          <cell r="D730">
            <v>110001307416</v>
          </cell>
          <cell r="E730" t="str">
            <v>697-C2504D-DRV H7A09502G/PV2229H</v>
          </cell>
          <cell r="F730">
            <v>550</v>
          </cell>
          <cell r="G730">
            <v>46136</v>
          </cell>
          <cell r="H730">
            <v>46136</v>
          </cell>
        </row>
        <row r="731">
          <cell r="D731">
            <v>110001307417</v>
          </cell>
          <cell r="E731" t="str">
            <v>500268-C2501A-C H7A09528C PE2306Q</v>
          </cell>
          <cell r="F731">
            <v>550</v>
          </cell>
          <cell r="G731">
            <v>46136</v>
          </cell>
          <cell r="H731">
            <v>46136</v>
          </cell>
        </row>
        <row r="732">
          <cell r="D732">
            <v>110001307418</v>
          </cell>
          <cell r="E732" t="str">
            <v>697-C2504D-DRV H7A09502G/PV2229H</v>
          </cell>
          <cell r="F732">
            <v>550</v>
          </cell>
          <cell r="G732">
            <v>46136</v>
          </cell>
          <cell r="H732">
            <v>46136</v>
          </cell>
        </row>
        <row r="733">
          <cell r="D733">
            <v>110001307419</v>
          </cell>
          <cell r="E733" t="str">
            <v>500268-C2501A-C H7A09528C PE2306Q</v>
          </cell>
          <cell r="F733">
            <v>550</v>
          </cell>
          <cell r="G733">
            <v>46136</v>
          </cell>
          <cell r="H733">
            <v>46136</v>
          </cell>
        </row>
        <row r="734">
          <cell r="D734">
            <v>110001307420</v>
          </cell>
          <cell r="E734" t="str">
            <v>697-C2503E G0020 1220212 H7A09529B/PV22&amp;</v>
          </cell>
          <cell r="F734">
            <v>300</v>
          </cell>
          <cell r="G734">
            <v>46144</v>
          </cell>
          <cell r="H734">
            <v>46145</v>
          </cell>
        </row>
        <row r="735">
          <cell r="D735">
            <v>110001307421</v>
          </cell>
          <cell r="E735" t="str">
            <v>697-C2503E-DRV H7A09502D/PV2229Q</v>
          </cell>
          <cell r="F735">
            <v>300</v>
          </cell>
          <cell r="G735">
            <v>46142</v>
          </cell>
          <cell r="H735">
            <v>46143</v>
          </cell>
        </row>
        <row r="736">
          <cell r="D736">
            <v>110001307422</v>
          </cell>
          <cell r="E736" t="str">
            <v>500268-C2501A-C H7A09528C PE2306Q</v>
          </cell>
          <cell r="F736">
            <v>300</v>
          </cell>
          <cell r="G736">
            <v>46142</v>
          </cell>
          <cell r="H736">
            <v>46143</v>
          </cell>
        </row>
        <row r="737">
          <cell r="D737">
            <v>110001307423</v>
          </cell>
          <cell r="E737" t="str">
            <v>697-C2503E-DRV H7A09502D/PV2229Q</v>
          </cell>
          <cell r="F737">
            <v>300</v>
          </cell>
          <cell r="G737">
            <v>46142</v>
          </cell>
          <cell r="H737">
            <v>46143</v>
          </cell>
        </row>
        <row r="738">
          <cell r="D738">
            <v>110001307424</v>
          </cell>
          <cell r="E738" t="str">
            <v>500268-C2501A-C H7A09528C PE2306Q</v>
          </cell>
          <cell r="F738">
            <v>300</v>
          </cell>
          <cell r="G738">
            <v>46142</v>
          </cell>
          <cell r="H738">
            <v>46143</v>
          </cell>
        </row>
        <row r="739">
          <cell r="D739">
            <v>110001310836</v>
          </cell>
          <cell r="E739" t="str">
            <v>697-C2503A G0020 1240104 H7A09529E/PV22&amp;</v>
          </cell>
          <cell r="F739">
            <v>145</v>
          </cell>
          <cell r="G739">
            <v>46140</v>
          </cell>
          <cell r="H739">
            <v>46141</v>
          </cell>
        </row>
        <row r="740">
          <cell r="D740">
            <v>110001310837</v>
          </cell>
          <cell r="E740" t="str">
            <v>697-C2503A-DRV H7A09502J/PV2229Q</v>
          </cell>
          <cell r="F740">
            <v>145</v>
          </cell>
          <cell r="G740">
            <v>46138</v>
          </cell>
          <cell r="H740">
            <v>46139</v>
          </cell>
        </row>
        <row r="741">
          <cell r="D741">
            <v>110001310838</v>
          </cell>
          <cell r="E741" t="str">
            <v>500268-C2501A-C H7A09528C PE2306Q</v>
          </cell>
          <cell r="F741">
            <v>145</v>
          </cell>
          <cell r="G741">
            <v>46138</v>
          </cell>
          <cell r="H741">
            <v>46139</v>
          </cell>
        </row>
        <row r="742">
          <cell r="D742">
            <v>110001310839</v>
          </cell>
          <cell r="E742" t="str">
            <v>697-C2503A-DRV H7A09502J/PV2229Q</v>
          </cell>
          <cell r="F742">
            <v>145</v>
          </cell>
          <cell r="G742">
            <v>46138</v>
          </cell>
          <cell r="H742">
            <v>46139</v>
          </cell>
        </row>
        <row r="743">
          <cell r="D743">
            <v>110001310840</v>
          </cell>
          <cell r="E743" t="str">
            <v>500268-C2501A-C H7A09528C PE2306Q</v>
          </cell>
          <cell r="F743">
            <v>145</v>
          </cell>
          <cell r="G743">
            <v>46138</v>
          </cell>
          <cell r="H743">
            <v>46139</v>
          </cell>
        </row>
        <row r="744">
          <cell r="D744">
            <v>110001310981</v>
          </cell>
          <cell r="E744" t="str">
            <v>697-C2504A G0020 1235820 H7A09158D/PV22&amp;</v>
          </cell>
          <cell r="F744">
            <v>650</v>
          </cell>
          <cell r="G744">
            <v>46140</v>
          </cell>
          <cell r="H744">
            <v>46141</v>
          </cell>
        </row>
        <row r="745">
          <cell r="D745">
            <v>110001310982</v>
          </cell>
          <cell r="E745" t="str">
            <v>697-C2504A-DRV H7A09502A/PV2229H</v>
          </cell>
          <cell r="F745">
            <v>650</v>
          </cell>
          <cell r="G745">
            <v>46138</v>
          </cell>
          <cell r="H745">
            <v>46139</v>
          </cell>
        </row>
        <row r="746">
          <cell r="D746">
            <v>110001310983</v>
          </cell>
          <cell r="E746" t="str">
            <v>697-C2504A-DRV H7A09502A/PV2229H</v>
          </cell>
          <cell r="F746">
            <v>650</v>
          </cell>
          <cell r="G746">
            <v>46138</v>
          </cell>
          <cell r="H746">
            <v>46139</v>
          </cell>
        </row>
        <row r="747">
          <cell r="D747">
            <v>110001310984</v>
          </cell>
          <cell r="E747" t="str">
            <v>697-C2504A-C H7A09528A/PE2306H</v>
          </cell>
          <cell r="F747">
            <v>650</v>
          </cell>
          <cell r="G747">
            <v>46138</v>
          </cell>
          <cell r="H747">
            <v>46139</v>
          </cell>
        </row>
        <row r="748">
          <cell r="D748">
            <v>110001310985</v>
          </cell>
          <cell r="E748" t="str">
            <v>697-C2504A-C H7A09528A/PE2306H</v>
          </cell>
          <cell r="F748">
            <v>650</v>
          </cell>
          <cell r="G748">
            <v>46138</v>
          </cell>
          <cell r="H748">
            <v>46139</v>
          </cell>
        </row>
        <row r="749">
          <cell r="D749">
            <v>110001310996</v>
          </cell>
          <cell r="E749" t="str">
            <v>697-C2503D G0020 1220211 H7A09529A/PV22&amp;</v>
          </cell>
          <cell r="F749">
            <v>300</v>
          </cell>
          <cell r="G749">
            <v>46141</v>
          </cell>
          <cell r="H749">
            <v>46142</v>
          </cell>
        </row>
        <row r="750">
          <cell r="D750">
            <v>110001310997</v>
          </cell>
          <cell r="E750" t="str">
            <v>697-C2503D-DRV H7A09502C/PV2229Q</v>
          </cell>
          <cell r="F750">
            <v>300</v>
          </cell>
          <cell r="G750">
            <v>46141</v>
          </cell>
          <cell r="H750">
            <v>46142</v>
          </cell>
        </row>
        <row r="751">
          <cell r="D751">
            <v>110001310998</v>
          </cell>
          <cell r="E751" t="str">
            <v>500268-C2501A-C H7A09528C PE2306Q</v>
          </cell>
          <cell r="F751">
            <v>300</v>
          </cell>
          <cell r="G751">
            <v>46141</v>
          </cell>
          <cell r="H751">
            <v>46142</v>
          </cell>
        </row>
        <row r="752">
          <cell r="D752">
            <v>110001310999</v>
          </cell>
          <cell r="E752" t="str">
            <v>697-C2503D-DRV H7A09502C/PV2229Q</v>
          </cell>
          <cell r="F752">
            <v>300</v>
          </cell>
          <cell r="G752">
            <v>46139</v>
          </cell>
          <cell r="H752">
            <v>46140</v>
          </cell>
        </row>
        <row r="753">
          <cell r="D753">
            <v>110001311000</v>
          </cell>
          <cell r="E753" t="str">
            <v>500268-C2501A-C H7A09528C PE2306Q</v>
          </cell>
          <cell r="F753">
            <v>300</v>
          </cell>
          <cell r="G753">
            <v>46139</v>
          </cell>
          <cell r="H753">
            <v>46140</v>
          </cell>
        </row>
        <row r="754">
          <cell r="D754">
            <v>880000121458</v>
          </cell>
          <cell r="E754" t="str">
            <v>697-B2505A-DRV G0020 H7D39442C-D</v>
          </cell>
          <cell r="F754">
            <v>100</v>
          </cell>
          <cell r="G754">
            <v>46145</v>
          </cell>
          <cell r="H754">
            <v>46146</v>
          </cell>
        </row>
        <row r="755">
          <cell r="D755">
            <v>880000121459</v>
          </cell>
          <cell r="E755" t="str">
            <v>697-B2505A-DRV H7D39442C-D</v>
          </cell>
          <cell r="F755">
            <v>100</v>
          </cell>
          <cell r="G755">
            <v>46143</v>
          </cell>
          <cell r="H755">
            <v>46144</v>
          </cell>
        </row>
        <row r="756">
          <cell r="D756">
            <v>880000121533</v>
          </cell>
          <cell r="E756" t="str">
            <v>1886-C2515B-X G0020 BCD-640W-屏显组件</v>
          </cell>
          <cell r="F756">
            <v>420</v>
          </cell>
          <cell r="G756">
            <v>46140</v>
          </cell>
          <cell r="H756">
            <v>46141</v>
          </cell>
        </row>
        <row r="757">
          <cell r="D757">
            <v>880000121534</v>
          </cell>
          <cell r="E757" t="str">
            <v>1886-C2515B-X BCD-640W-屏显组件</v>
          </cell>
          <cell r="F757">
            <v>420</v>
          </cell>
          <cell r="G757">
            <v>46138</v>
          </cell>
          <cell r="H757">
            <v>46139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完成订单"/>
      <sheetName val="Sheet1"/>
      <sheetName val="返工"/>
      <sheetName val="Sheet3"/>
      <sheetName val="Sheet2"/>
      <sheetName val="Sheet4"/>
    </sheetNames>
    <sheetDataSet>
      <sheetData sheetId="0" refreshError="1">
        <row r="1">
          <cell r="D1" t="str">
            <v>物料</v>
          </cell>
        </row>
        <row r="2">
          <cell r="D2">
            <v>10880013354</v>
          </cell>
        </row>
        <row r="3">
          <cell r="D3">
            <v>10880018850</v>
          </cell>
        </row>
        <row r="4">
          <cell r="D4">
            <v>10880018846</v>
          </cell>
        </row>
        <row r="5">
          <cell r="D5">
            <v>10880017526</v>
          </cell>
        </row>
        <row r="6">
          <cell r="D6">
            <v>10880013354</v>
          </cell>
        </row>
        <row r="7">
          <cell r="D7">
            <v>10880018847</v>
          </cell>
        </row>
        <row r="8">
          <cell r="D8">
            <v>10880017516</v>
          </cell>
        </row>
        <row r="9">
          <cell r="D9">
            <v>10880017525</v>
          </cell>
        </row>
        <row r="10">
          <cell r="D10">
            <v>10880018850</v>
          </cell>
        </row>
        <row r="11">
          <cell r="D11">
            <v>10880018850</v>
          </cell>
        </row>
        <row r="12">
          <cell r="D12">
            <v>10880012825</v>
          </cell>
        </row>
        <row r="13">
          <cell r="D13">
            <v>10880017516</v>
          </cell>
        </row>
        <row r="14">
          <cell r="D14">
            <v>10880017525</v>
          </cell>
        </row>
        <row r="15">
          <cell r="D15">
            <v>10880018846</v>
          </cell>
        </row>
        <row r="16">
          <cell r="D16">
            <v>10880018847</v>
          </cell>
        </row>
        <row r="17">
          <cell r="D17">
            <v>10880018847</v>
          </cell>
        </row>
        <row r="18">
          <cell r="D18">
            <v>10880018847</v>
          </cell>
        </row>
        <row r="19">
          <cell r="D19">
            <v>10880018846</v>
          </cell>
        </row>
        <row r="20">
          <cell r="D20">
            <v>10880017525</v>
          </cell>
        </row>
        <row r="21">
          <cell r="D21">
            <v>10880017525</v>
          </cell>
        </row>
        <row r="22">
          <cell r="D22">
            <v>10880017516</v>
          </cell>
        </row>
        <row r="23">
          <cell r="D23">
            <v>10880017526</v>
          </cell>
        </row>
        <row r="24">
          <cell r="D24">
            <v>10880017531</v>
          </cell>
        </row>
        <row r="25">
          <cell r="D25">
            <v>10880017516</v>
          </cell>
        </row>
        <row r="26">
          <cell r="D26">
            <v>10880017516</v>
          </cell>
        </row>
        <row r="27">
          <cell r="D27">
            <v>10880017525</v>
          </cell>
        </row>
        <row r="28">
          <cell r="D28">
            <v>10880017533</v>
          </cell>
        </row>
        <row r="29">
          <cell r="D29">
            <v>10880017531</v>
          </cell>
        </row>
        <row r="30">
          <cell r="D30">
            <v>10880017536</v>
          </cell>
        </row>
        <row r="31">
          <cell r="D31">
            <v>10880017537</v>
          </cell>
        </row>
        <row r="32">
          <cell r="D32">
            <v>10880017531</v>
          </cell>
        </row>
        <row r="33">
          <cell r="D33">
            <v>10880017530</v>
          </cell>
        </row>
        <row r="34">
          <cell r="D34">
            <v>10880017534</v>
          </cell>
        </row>
        <row r="35">
          <cell r="D35">
            <v>10880017532</v>
          </cell>
        </row>
        <row r="36">
          <cell r="D36">
            <v>10880017533</v>
          </cell>
        </row>
        <row r="37">
          <cell r="D37">
            <v>10880017524</v>
          </cell>
        </row>
        <row r="38">
          <cell r="D38">
            <v>10880017525</v>
          </cell>
        </row>
        <row r="39">
          <cell r="D39">
            <v>10880017949</v>
          </cell>
        </row>
        <row r="40">
          <cell r="D40">
            <v>10880017949</v>
          </cell>
        </row>
        <row r="41">
          <cell r="D41">
            <v>10880019039</v>
          </cell>
        </row>
        <row r="42">
          <cell r="D42">
            <v>10880019040</v>
          </cell>
        </row>
        <row r="43">
          <cell r="D43">
            <v>10880017531</v>
          </cell>
        </row>
        <row r="44">
          <cell r="D44">
            <v>10880017530</v>
          </cell>
        </row>
        <row r="45">
          <cell r="D45">
            <v>10880017533</v>
          </cell>
        </row>
        <row r="46">
          <cell r="D46">
            <v>10880017537</v>
          </cell>
        </row>
        <row r="47">
          <cell r="D47">
            <v>10880017537</v>
          </cell>
        </row>
        <row r="48">
          <cell r="D48">
            <v>10880017534</v>
          </cell>
        </row>
        <row r="49">
          <cell r="D49">
            <v>10880017535</v>
          </cell>
        </row>
        <row r="50">
          <cell r="D50">
            <v>10880017536</v>
          </cell>
        </row>
        <row r="51">
          <cell r="D51">
            <v>10880017536</v>
          </cell>
        </row>
        <row r="52">
          <cell r="D52">
            <v>10880019041</v>
          </cell>
        </row>
        <row r="53">
          <cell r="D53">
            <v>10880019041</v>
          </cell>
        </row>
        <row r="54">
          <cell r="D54">
            <v>10880018096</v>
          </cell>
        </row>
        <row r="55">
          <cell r="D55">
            <v>10880019042</v>
          </cell>
        </row>
        <row r="56">
          <cell r="D56">
            <v>10880018097</v>
          </cell>
        </row>
        <row r="57">
          <cell r="D57">
            <v>10880018093</v>
          </cell>
        </row>
        <row r="58">
          <cell r="D58">
            <v>10880019039</v>
          </cell>
        </row>
        <row r="59">
          <cell r="D59">
            <v>10880017524</v>
          </cell>
        </row>
        <row r="60">
          <cell r="D60">
            <v>10880018848</v>
          </cell>
        </row>
        <row r="61">
          <cell r="D61">
            <v>10880017948</v>
          </cell>
        </row>
        <row r="62">
          <cell r="D62">
            <v>10880017949</v>
          </cell>
        </row>
        <row r="63">
          <cell r="D63">
            <v>10880017948</v>
          </cell>
        </row>
        <row r="64">
          <cell r="D64">
            <v>10880017949</v>
          </cell>
        </row>
        <row r="65">
          <cell r="D65">
            <v>10880017949</v>
          </cell>
        </row>
        <row r="66">
          <cell r="D66">
            <v>10880017535</v>
          </cell>
        </row>
        <row r="67">
          <cell r="D67">
            <v>10880018093</v>
          </cell>
        </row>
        <row r="68">
          <cell r="D68">
            <v>10880019039</v>
          </cell>
        </row>
        <row r="69">
          <cell r="D69">
            <v>10880019039</v>
          </cell>
        </row>
        <row r="70">
          <cell r="D70">
            <v>10880017524</v>
          </cell>
        </row>
        <row r="71">
          <cell r="D71">
            <v>10880019265</v>
          </cell>
        </row>
        <row r="72">
          <cell r="D72">
            <v>10880019265</v>
          </cell>
        </row>
        <row r="73">
          <cell r="D73">
            <v>10880017524</v>
          </cell>
        </row>
        <row r="74">
          <cell r="D74">
            <v>10880019040</v>
          </cell>
        </row>
        <row r="75">
          <cell r="D75">
            <v>10880017527</v>
          </cell>
        </row>
        <row r="76">
          <cell r="D76">
            <v>10880017527</v>
          </cell>
        </row>
        <row r="77">
          <cell r="D77">
            <v>10880019036</v>
          </cell>
        </row>
        <row r="78">
          <cell r="D78">
            <v>10880017949</v>
          </cell>
        </row>
        <row r="79">
          <cell r="D79">
            <v>10880017949</v>
          </cell>
        </row>
        <row r="80">
          <cell r="D80">
            <v>10880017524</v>
          </cell>
        </row>
        <row r="81">
          <cell r="D81">
            <v>10880017526</v>
          </cell>
        </row>
        <row r="82">
          <cell r="D82">
            <v>10880018849</v>
          </cell>
        </row>
        <row r="83">
          <cell r="D83">
            <v>10880019040</v>
          </cell>
        </row>
        <row r="84">
          <cell r="D84">
            <v>10880019039</v>
          </cell>
        </row>
        <row r="85">
          <cell r="D85">
            <v>10880019039</v>
          </cell>
        </row>
        <row r="86">
          <cell r="D86">
            <v>10880018845</v>
          </cell>
        </row>
        <row r="87">
          <cell r="D87">
            <v>10880017535</v>
          </cell>
        </row>
        <row r="88">
          <cell r="D88">
            <v>10880017949</v>
          </cell>
        </row>
        <row r="89">
          <cell r="D89">
            <v>10880017949</v>
          </cell>
        </row>
        <row r="90">
          <cell r="D90">
            <v>10880017537</v>
          </cell>
        </row>
        <row r="91">
          <cell r="D91">
            <v>10880017948</v>
          </cell>
        </row>
        <row r="92">
          <cell r="D92">
            <v>10880018850</v>
          </cell>
        </row>
        <row r="93">
          <cell r="D93">
            <v>10880017533</v>
          </cell>
        </row>
        <row r="94">
          <cell r="D94">
            <v>10880017536</v>
          </cell>
        </row>
        <row r="95">
          <cell r="D95">
            <v>10880017530</v>
          </cell>
        </row>
        <row r="96">
          <cell r="D96">
            <v>10880017516</v>
          </cell>
        </row>
        <row r="97">
          <cell r="D97">
            <v>10880018093</v>
          </cell>
        </row>
        <row r="98">
          <cell r="D98">
            <v>10880012825</v>
          </cell>
        </row>
        <row r="99">
          <cell r="D99">
            <v>10880017516</v>
          </cell>
        </row>
        <row r="100">
          <cell r="D100">
            <v>10880019920</v>
          </cell>
        </row>
        <row r="101">
          <cell r="D101">
            <v>10880017948</v>
          </cell>
        </row>
        <row r="102">
          <cell r="D102">
            <v>10880017948</v>
          </cell>
        </row>
        <row r="103">
          <cell r="D103">
            <v>10880017525</v>
          </cell>
        </row>
        <row r="104">
          <cell r="D104">
            <v>10880017532</v>
          </cell>
        </row>
        <row r="105">
          <cell r="D105">
            <v>10880018850</v>
          </cell>
        </row>
        <row r="106">
          <cell r="D106">
            <v>10880017533</v>
          </cell>
        </row>
        <row r="107">
          <cell r="D107">
            <v>10880017526</v>
          </cell>
        </row>
        <row r="108">
          <cell r="D108">
            <v>10880017524</v>
          </cell>
        </row>
        <row r="109">
          <cell r="D109">
            <v>10880017516</v>
          </cell>
        </row>
        <row r="110">
          <cell r="D110">
            <v>10880018853</v>
          </cell>
        </row>
        <row r="111">
          <cell r="D111">
            <v>10880018849</v>
          </cell>
        </row>
        <row r="112">
          <cell r="D112">
            <v>10880018097</v>
          </cell>
        </row>
        <row r="113">
          <cell r="D113">
            <v>10880017949</v>
          </cell>
        </row>
        <row r="114">
          <cell r="D114">
            <v>10880019923</v>
          </cell>
        </row>
        <row r="115">
          <cell r="D115">
            <v>10880020228</v>
          </cell>
        </row>
        <row r="116">
          <cell r="D116">
            <v>10880021005</v>
          </cell>
        </row>
        <row r="118">
          <cell r="D118">
            <v>10880018097</v>
          </cell>
        </row>
        <row r="119">
          <cell r="D119">
            <v>10880018097</v>
          </cell>
        </row>
        <row r="120">
          <cell r="D120">
            <v>10880017516</v>
          </cell>
        </row>
        <row r="121">
          <cell r="D121">
            <v>10880018097</v>
          </cell>
        </row>
        <row r="122">
          <cell r="D122">
            <v>10880018093</v>
          </cell>
        </row>
        <row r="123">
          <cell r="D123">
            <v>10880020279</v>
          </cell>
        </row>
        <row r="124">
          <cell r="D124">
            <v>10880018850</v>
          </cell>
        </row>
        <row r="125">
          <cell r="D125">
            <v>10880018097</v>
          </cell>
        </row>
        <row r="126">
          <cell r="D126">
            <v>10880018850</v>
          </cell>
        </row>
        <row r="127">
          <cell r="D127">
            <v>10880018850</v>
          </cell>
        </row>
        <row r="128">
          <cell r="D128">
            <v>10880020276</v>
          </cell>
        </row>
        <row r="129">
          <cell r="D129">
            <v>10880018097</v>
          </cell>
        </row>
        <row r="130">
          <cell r="D130">
            <v>10880019040</v>
          </cell>
        </row>
        <row r="131">
          <cell r="D131">
            <v>10880017534</v>
          </cell>
        </row>
        <row r="132">
          <cell r="D132">
            <v>10880017530</v>
          </cell>
        </row>
        <row r="133">
          <cell r="D133">
            <v>10880019040</v>
          </cell>
        </row>
        <row r="134">
          <cell r="D134">
            <v>10880019039</v>
          </cell>
        </row>
        <row r="135">
          <cell r="D135">
            <v>10880018096</v>
          </cell>
        </row>
        <row r="136">
          <cell r="D136">
            <v>10880018093</v>
          </cell>
        </row>
        <row r="137">
          <cell r="D137">
            <v>10880018847</v>
          </cell>
        </row>
        <row r="138">
          <cell r="D138">
            <v>10880017948</v>
          </cell>
        </row>
        <row r="139">
          <cell r="D139">
            <v>10880018847</v>
          </cell>
        </row>
        <row r="140">
          <cell r="D140">
            <v>10880019205</v>
          </cell>
        </row>
        <row r="141">
          <cell r="D141">
            <v>10880020677</v>
          </cell>
        </row>
        <row r="142">
          <cell r="D142">
            <v>10880018096</v>
          </cell>
        </row>
        <row r="143">
          <cell r="D143">
            <v>10880018850</v>
          </cell>
        </row>
        <row r="144">
          <cell r="D144">
            <v>10880018097</v>
          </cell>
        </row>
        <row r="145">
          <cell r="D145">
            <v>10880020208</v>
          </cell>
        </row>
        <row r="146">
          <cell r="D146">
            <v>10880018097</v>
          </cell>
        </row>
        <row r="147">
          <cell r="D147">
            <v>10880020208</v>
          </cell>
        </row>
        <row r="148">
          <cell r="D148">
            <v>10880020208</v>
          </cell>
        </row>
        <row r="149">
          <cell r="D149">
            <v>10880020681</v>
          </cell>
        </row>
        <row r="150">
          <cell r="D150">
            <v>10880018097</v>
          </cell>
        </row>
        <row r="151">
          <cell r="D151">
            <v>10880020940</v>
          </cell>
        </row>
        <row r="152">
          <cell r="D152">
            <v>10880020208</v>
          </cell>
        </row>
        <row r="153">
          <cell r="D153">
            <v>10880020230</v>
          </cell>
        </row>
        <row r="154">
          <cell r="D154">
            <v>10880021161</v>
          </cell>
        </row>
        <row r="155">
          <cell r="D155">
            <v>10880017949</v>
          </cell>
        </row>
        <row r="156">
          <cell r="D156">
            <v>10880020694</v>
          </cell>
        </row>
        <row r="157">
          <cell r="D157">
            <v>10880012825</v>
          </cell>
        </row>
        <row r="158">
          <cell r="D158">
            <v>10880020209</v>
          </cell>
        </row>
        <row r="159">
          <cell r="D159">
            <v>10880020940</v>
          </cell>
        </row>
        <row r="160">
          <cell r="D160">
            <v>10880020681</v>
          </cell>
        </row>
        <row r="161">
          <cell r="D161">
            <v>10880012825</v>
          </cell>
        </row>
        <row r="162">
          <cell r="D162">
            <v>10880019266</v>
          </cell>
        </row>
        <row r="163">
          <cell r="D163">
            <v>10880019266</v>
          </cell>
        </row>
        <row r="164">
          <cell r="D164">
            <v>10880020209</v>
          </cell>
        </row>
        <row r="165">
          <cell r="D165">
            <v>10880020209</v>
          </cell>
        </row>
        <row r="166">
          <cell r="D166">
            <v>10880020677</v>
          </cell>
        </row>
        <row r="167">
          <cell r="D167">
            <v>10880020677</v>
          </cell>
        </row>
        <row r="168">
          <cell r="D168">
            <v>10880019434</v>
          </cell>
        </row>
        <row r="169">
          <cell r="D169">
            <v>10880020677</v>
          </cell>
        </row>
        <row r="170">
          <cell r="D170">
            <v>10880020677</v>
          </cell>
        </row>
        <row r="171">
          <cell r="D171">
            <v>10880020940</v>
          </cell>
        </row>
        <row r="172">
          <cell r="D172">
            <v>10880020209</v>
          </cell>
        </row>
        <row r="173">
          <cell r="D173">
            <v>10880019205</v>
          </cell>
        </row>
        <row r="174">
          <cell r="D174">
            <v>10880021029</v>
          </cell>
        </row>
        <row r="175">
          <cell r="D175">
            <v>10880017536</v>
          </cell>
        </row>
        <row r="176">
          <cell r="D176">
            <v>10880016827</v>
          </cell>
        </row>
        <row r="177">
          <cell r="D177">
            <v>10880020678</v>
          </cell>
        </row>
        <row r="178">
          <cell r="D178">
            <v>10880020208</v>
          </cell>
        </row>
        <row r="179">
          <cell r="D179">
            <v>10880020678</v>
          </cell>
        </row>
        <row r="180">
          <cell r="D180">
            <v>10880017530</v>
          </cell>
        </row>
        <row r="181">
          <cell r="D181">
            <v>10880020672</v>
          </cell>
        </row>
        <row r="182">
          <cell r="D182">
            <v>10880018847</v>
          </cell>
        </row>
        <row r="183">
          <cell r="D183">
            <v>10880021029</v>
          </cell>
        </row>
        <row r="184">
          <cell r="D184">
            <v>10880020681</v>
          </cell>
        </row>
        <row r="185">
          <cell r="D185">
            <v>10880020209</v>
          </cell>
        </row>
        <row r="186">
          <cell r="D186">
            <v>10880019921</v>
          </cell>
        </row>
        <row r="187">
          <cell r="D187">
            <v>10880019922</v>
          </cell>
        </row>
        <row r="188">
          <cell r="D188">
            <v>10880020203</v>
          </cell>
        </row>
        <row r="189">
          <cell r="D189">
            <v>10880020677</v>
          </cell>
        </row>
        <row r="190">
          <cell r="D190">
            <v>10880021029</v>
          </cell>
        </row>
        <row r="191">
          <cell r="D191">
            <v>10880019266</v>
          </cell>
        </row>
        <row r="192">
          <cell r="D192">
            <v>10880020677</v>
          </cell>
        </row>
        <row r="193">
          <cell r="D193">
            <v>10880020678</v>
          </cell>
        </row>
        <row r="194">
          <cell r="D194">
            <v>10880020678</v>
          </cell>
        </row>
        <row r="195">
          <cell r="D195">
            <v>10880018097</v>
          </cell>
        </row>
        <row r="196">
          <cell r="D196">
            <v>10880020678</v>
          </cell>
        </row>
        <row r="197">
          <cell r="D197">
            <v>10880018097</v>
          </cell>
        </row>
        <row r="198">
          <cell r="D198">
            <v>10880018105</v>
          </cell>
        </row>
        <row r="199">
          <cell r="D199">
            <v>10880019266</v>
          </cell>
        </row>
        <row r="200">
          <cell r="D200">
            <v>10880017949</v>
          </cell>
        </row>
        <row r="201">
          <cell r="D201">
            <v>10880020678</v>
          </cell>
        </row>
        <row r="202">
          <cell r="D202">
            <v>10880018105</v>
          </cell>
        </row>
        <row r="203">
          <cell r="D203">
            <v>10880017949</v>
          </cell>
        </row>
        <row r="204">
          <cell r="D204">
            <v>10880018105</v>
          </cell>
        </row>
        <row r="205">
          <cell r="D205">
            <v>10880020678</v>
          </cell>
        </row>
        <row r="206">
          <cell r="D206">
            <v>10880020209</v>
          </cell>
        </row>
        <row r="207">
          <cell r="D207">
            <v>10880020209</v>
          </cell>
        </row>
        <row r="208">
          <cell r="D208">
            <v>10880017531</v>
          </cell>
        </row>
        <row r="209">
          <cell r="D209">
            <v>10880018096</v>
          </cell>
        </row>
        <row r="210">
          <cell r="D210">
            <v>10880017948</v>
          </cell>
        </row>
        <row r="211">
          <cell r="D211">
            <v>10880020940</v>
          </cell>
        </row>
        <row r="212">
          <cell r="D212">
            <v>10880018097</v>
          </cell>
        </row>
        <row r="213">
          <cell r="D213">
            <v>10880018097</v>
          </cell>
        </row>
        <row r="214">
          <cell r="D214">
            <v>10880012825</v>
          </cell>
        </row>
        <row r="215">
          <cell r="D215">
            <v>10880020209</v>
          </cell>
        </row>
        <row r="216">
          <cell r="D216">
            <v>10880020209</v>
          </cell>
        </row>
        <row r="217">
          <cell r="D217">
            <v>10880020681</v>
          </cell>
        </row>
        <row r="218">
          <cell r="D218">
            <v>10880020681</v>
          </cell>
        </row>
        <row r="219">
          <cell r="D219">
            <v>10880021029</v>
          </cell>
        </row>
        <row r="220">
          <cell r="D220">
            <v>10880018105</v>
          </cell>
        </row>
        <row r="221">
          <cell r="D221">
            <v>10880017526</v>
          </cell>
        </row>
        <row r="222">
          <cell r="D222">
            <v>10880017536</v>
          </cell>
        </row>
        <row r="223">
          <cell r="D223">
            <v>10880020208</v>
          </cell>
        </row>
        <row r="224">
          <cell r="D224">
            <v>10880020208</v>
          </cell>
        </row>
        <row r="225">
          <cell r="D225">
            <v>10880017536</v>
          </cell>
        </row>
        <row r="226">
          <cell r="D226">
            <v>10880017949</v>
          </cell>
        </row>
        <row r="227">
          <cell r="D227">
            <v>10880020224</v>
          </cell>
        </row>
        <row r="228">
          <cell r="D228">
            <v>10880020225</v>
          </cell>
        </row>
        <row r="229">
          <cell r="D229">
            <v>10880018105</v>
          </cell>
        </row>
        <row r="230">
          <cell r="D230">
            <v>10880020678</v>
          </cell>
        </row>
        <row r="231">
          <cell r="D231">
            <v>10880018097</v>
          </cell>
        </row>
        <row r="232">
          <cell r="D232">
            <v>10880020940</v>
          </cell>
        </row>
        <row r="233">
          <cell r="D233">
            <v>10880019434</v>
          </cell>
        </row>
        <row r="234">
          <cell r="D234">
            <v>10880018093</v>
          </cell>
        </row>
        <row r="235">
          <cell r="D235">
            <v>10880020678</v>
          </cell>
        </row>
        <row r="236">
          <cell r="D236">
            <v>10880018096</v>
          </cell>
        </row>
        <row r="237">
          <cell r="D237">
            <v>10880016827</v>
          </cell>
        </row>
        <row r="238">
          <cell r="D238">
            <v>10880020678</v>
          </cell>
        </row>
        <row r="239">
          <cell r="D239">
            <v>10880020940</v>
          </cell>
        </row>
        <row r="240">
          <cell r="D240">
            <v>10880018851</v>
          </cell>
        </row>
        <row r="241">
          <cell r="D241">
            <v>10880012825</v>
          </cell>
        </row>
        <row r="242">
          <cell r="D242">
            <v>10880019205</v>
          </cell>
        </row>
        <row r="243">
          <cell r="D243">
            <v>10880018093</v>
          </cell>
        </row>
        <row r="244">
          <cell r="D244">
            <v>10880018850</v>
          </cell>
        </row>
        <row r="245">
          <cell r="D245">
            <v>10880018851</v>
          </cell>
        </row>
        <row r="246">
          <cell r="D246">
            <v>10880018851</v>
          </cell>
        </row>
        <row r="247">
          <cell r="D247">
            <v>10880020681</v>
          </cell>
        </row>
        <row r="248">
          <cell r="D248">
            <v>10880020209</v>
          </cell>
        </row>
        <row r="249">
          <cell r="D249">
            <v>10880020728</v>
          </cell>
        </row>
        <row r="250">
          <cell r="D250">
            <v>10880020729</v>
          </cell>
        </row>
        <row r="251">
          <cell r="D251">
            <v>10880020681</v>
          </cell>
        </row>
        <row r="252">
          <cell r="D252">
            <v>10880017949</v>
          </cell>
        </row>
        <row r="253">
          <cell r="D253">
            <v>10880018847</v>
          </cell>
        </row>
        <row r="254">
          <cell r="D254">
            <v>10880018105</v>
          </cell>
        </row>
        <row r="255">
          <cell r="D255">
            <v>10880020697</v>
          </cell>
        </row>
        <row r="256">
          <cell r="D256">
            <v>10880020678</v>
          </cell>
        </row>
        <row r="257">
          <cell r="D257">
            <v>10880017531</v>
          </cell>
        </row>
        <row r="258">
          <cell r="D258">
            <v>10880018093</v>
          </cell>
        </row>
        <row r="259">
          <cell r="D259">
            <v>10880020677</v>
          </cell>
        </row>
        <row r="260">
          <cell r="D260">
            <v>10880018105</v>
          </cell>
        </row>
        <row r="261">
          <cell r="D261">
            <v>10880020681</v>
          </cell>
        </row>
        <row r="262">
          <cell r="D262">
            <v>10880018097</v>
          </cell>
        </row>
        <row r="263">
          <cell r="D263">
            <v>10880021311</v>
          </cell>
        </row>
        <row r="264">
          <cell r="D264">
            <v>10880021029</v>
          </cell>
        </row>
        <row r="265">
          <cell r="D265">
            <v>10880018850</v>
          </cell>
        </row>
        <row r="266">
          <cell r="D266">
            <v>10880019205</v>
          </cell>
        </row>
        <row r="267">
          <cell r="D267">
            <v>10880018845</v>
          </cell>
        </row>
        <row r="268">
          <cell r="D268">
            <v>10880020678</v>
          </cell>
        </row>
        <row r="269">
          <cell r="D269">
            <v>10880017948</v>
          </cell>
        </row>
        <row r="270">
          <cell r="D270">
            <v>10880017531</v>
          </cell>
        </row>
        <row r="271">
          <cell r="D271">
            <v>10880017535</v>
          </cell>
        </row>
        <row r="272">
          <cell r="D272">
            <v>10880020209</v>
          </cell>
        </row>
        <row r="273">
          <cell r="D273">
            <v>10880017530</v>
          </cell>
        </row>
        <row r="274">
          <cell r="D274">
            <v>10880017536</v>
          </cell>
        </row>
        <row r="275">
          <cell r="D275">
            <v>10880018845</v>
          </cell>
        </row>
        <row r="276">
          <cell r="D276">
            <v>10880020940</v>
          </cell>
        </row>
        <row r="277">
          <cell r="D277">
            <v>10880017536</v>
          </cell>
        </row>
        <row r="278">
          <cell r="D278">
            <v>10880021015</v>
          </cell>
        </row>
        <row r="279">
          <cell r="D279">
            <v>10880018091</v>
          </cell>
        </row>
        <row r="280">
          <cell r="D280">
            <v>10880019265</v>
          </cell>
        </row>
        <row r="281">
          <cell r="D281">
            <v>10880019266</v>
          </cell>
        </row>
        <row r="282">
          <cell r="D282">
            <v>10880017525</v>
          </cell>
        </row>
        <row r="283">
          <cell r="D283">
            <v>10880018851</v>
          </cell>
        </row>
        <row r="284">
          <cell r="D284">
            <v>10880020940</v>
          </cell>
        </row>
        <row r="285">
          <cell r="D285">
            <v>10880017531</v>
          </cell>
        </row>
        <row r="286">
          <cell r="D286">
            <v>10880017530</v>
          </cell>
        </row>
        <row r="287">
          <cell r="D287">
            <v>10880019205</v>
          </cell>
        </row>
        <row r="288">
          <cell r="D288">
            <v>10880018105</v>
          </cell>
        </row>
        <row r="289">
          <cell r="D289">
            <v>10880017949</v>
          </cell>
        </row>
        <row r="290">
          <cell r="D290">
            <v>10880018850</v>
          </cell>
        </row>
        <row r="291">
          <cell r="D291">
            <v>10880020940</v>
          </cell>
        </row>
        <row r="292">
          <cell r="D292">
            <v>10880013354</v>
          </cell>
        </row>
        <row r="293">
          <cell r="D293">
            <v>10880018093</v>
          </cell>
        </row>
        <row r="294">
          <cell r="D294">
            <v>10880012825</v>
          </cell>
        </row>
        <row r="295">
          <cell r="D295">
            <v>10880020940</v>
          </cell>
        </row>
        <row r="296">
          <cell r="D296">
            <v>10880012825</v>
          </cell>
        </row>
        <row r="297">
          <cell r="D297">
            <v>10880017530</v>
          </cell>
        </row>
        <row r="298">
          <cell r="D298">
            <v>10880020677</v>
          </cell>
        </row>
        <row r="299">
          <cell r="D299">
            <v>10880018097</v>
          </cell>
        </row>
        <row r="300">
          <cell r="D300">
            <v>10880021019</v>
          </cell>
        </row>
        <row r="301">
          <cell r="D301">
            <v>10880020678</v>
          </cell>
        </row>
        <row r="302">
          <cell r="D302">
            <v>10880021311</v>
          </cell>
        </row>
        <row r="303">
          <cell r="D303">
            <v>10880021311</v>
          </cell>
        </row>
        <row r="304">
          <cell r="D304">
            <v>10880018096</v>
          </cell>
        </row>
        <row r="305">
          <cell r="D305">
            <v>10880018093</v>
          </cell>
        </row>
        <row r="306">
          <cell r="D306">
            <v>10880017948</v>
          </cell>
        </row>
        <row r="307">
          <cell r="D307">
            <v>10880017525</v>
          </cell>
        </row>
        <row r="308">
          <cell r="D308">
            <v>10880019921</v>
          </cell>
        </row>
        <row r="309">
          <cell r="D309">
            <v>10880017525</v>
          </cell>
        </row>
        <row r="310">
          <cell r="D310">
            <v>10880018093</v>
          </cell>
        </row>
        <row r="311">
          <cell r="D311">
            <v>10880021173</v>
          </cell>
        </row>
        <row r="312">
          <cell r="D312">
            <v>10880021172</v>
          </cell>
        </row>
        <row r="313">
          <cell r="D313">
            <v>10880017949</v>
          </cell>
        </row>
        <row r="314">
          <cell r="D314">
            <v>10880021015</v>
          </cell>
        </row>
        <row r="315">
          <cell r="D315">
            <v>10880012825</v>
          </cell>
        </row>
        <row r="316">
          <cell r="D316">
            <v>10880018851</v>
          </cell>
        </row>
        <row r="317">
          <cell r="D317">
            <v>10880019266</v>
          </cell>
        </row>
        <row r="318">
          <cell r="D318">
            <v>10880012825</v>
          </cell>
        </row>
        <row r="319">
          <cell r="D319">
            <v>10880017525</v>
          </cell>
        </row>
        <row r="320">
          <cell r="D320">
            <v>10880018093</v>
          </cell>
        </row>
        <row r="321">
          <cell r="D321">
            <v>10880020681</v>
          </cell>
        </row>
        <row r="322">
          <cell r="D322">
            <v>10880018097</v>
          </cell>
        </row>
        <row r="323">
          <cell r="D323">
            <v>10880016827</v>
          </cell>
        </row>
        <row r="324">
          <cell r="D324">
            <v>10880020678</v>
          </cell>
        </row>
        <row r="325">
          <cell r="D325">
            <v>10880013354</v>
          </cell>
        </row>
        <row r="326">
          <cell r="D326">
            <v>10880018093</v>
          </cell>
        </row>
        <row r="327">
          <cell r="D327">
            <v>10880021175</v>
          </cell>
        </row>
        <row r="328">
          <cell r="D328">
            <v>10880021174</v>
          </cell>
        </row>
        <row r="329">
          <cell r="D329">
            <v>10880019922</v>
          </cell>
        </row>
        <row r="330">
          <cell r="D330">
            <v>10880013354</v>
          </cell>
        </row>
        <row r="331">
          <cell r="D331">
            <v>10880021019</v>
          </cell>
        </row>
        <row r="332">
          <cell r="D332">
            <v>10880017530</v>
          </cell>
        </row>
        <row r="333">
          <cell r="D333">
            <v>10880020678</v>
          </cell>
        </row>
        <row r="334">
          <cell r="D334">
            <v>10880021029</v>
          </cell>
        </row>
        <row r="335">
          <cell r="D335">
            <v>10880021318</v>
          </cell>
        </row>
        <row r="336">
          <cell r="D336">
            <v>10880021416</v>
          </cell>
        </row>
        <row r="337">
          <cell r="D337">
            <v>10880017536</v>
          </cell>
        </row>
        <row r="338">
          <cell r="D338">
            <v>10880017536</v>
          </cell>
        </row>
        <row r="339">
          <cell r="D339">
            <v>10880012825</v>
          </cell>
        </row>
        <row r="340">
          <cell r="D340">
            <v>10880017525</v>
          </cell>
        </row>
        <row r="341">
          <cell r="D341">
            <v>10880017525</v>
          </cell>
        </row>
        <row r="342">
          <cell r="D342">
            <v>10880016827</v>
          </cell>
        </row>
        <row r="343">
          <cell r="D343">
            <v>10880012825</v>
          </cell>
        </row>
        <row r="344">
          <cell r="D344">
            <v>10880017526</v>
          </cell>
        </row>
        <row r="345">
          <cell r="D345">
            <v>10880019434</v>
          </cell>
        </row>
        <row r="346">
          <cell r="D346">
            <v>10880019265</v>
          </cell>
        </row>
        <row r="347">
          <cell r="D347">
            <v>10880019434</v>
          </cell>
        </row>
        <row r="348">
          <cell r="D348">
            <v>10880019205</v>
          </cell>
        </row>
        <row r="349">
          <cell r="D349">
            <v>10880020203</v>
          </cell>
        </row>
        <row r="350">
          <cell r="D350">
            <v>10880019923</v>
          </cell>
        </row>
        <row r="351">
          <cell r="D351">
            <v>10880018105</v>
          </cell>
        </row>
        <row r="352">
          <cell r="D352">
            <v>10880019921</v>
          </cell>
        </row>
        <row r="353">
          <cell r="D353">
            <v>10880020677</v>
          </cell>
        </row>
        <row r="354">
          <cell r="D354">
            <v>10880019205</v>
          </cell>
        </row>
        <row r="355">
          <cell r="D355">
            <v>10880019266</v>
          </cell>
        </row>
        <row r="356">
          <cell r="D356">
            <v>10880012825</v>
          </cell>
        </row>
        <row r="357">
          <cell r="D357">
            <v>10880018097</v>
          </cell>
        </row>
        <row r="358">
          <cell r="D358">
            <v>10880022044</v>
          </cell>
        </row>
        <row r="359">
          <cell r="D359">
            <v>10880017536</v>
          </cell>
        </row>
        <row r="360">
          <cell r="D360">
            <v>10880021029</v>
          </cell>
        </row>
        <row r="361">
          <cell r="D361">
            <v>10880021416</v>
          </cell>
        </row>
        <row r="362">
          <cell r="D362">
            <v>10880020157</v>
          </cell>
        </row>
        <row r="363">
          <cell r="D363">
            <v>10880020187</v>
          </cell>
        </row>
        <row r="364">
          <cell r="D364">
            <v>10880017536</v>
          </cell>
        </row>
        <row r="365">
          <cell r="D365">
            <v>10880016827</v>
          </cell>
        </row>
        <row r="366">
          <cell r="D366">
            <v>10880019920</v>
          </cell>
        </row>
        <row r="367">
          <cell r="D367">
            <v>10880017949</v>
          </cell>
        </row>
        <row r="368">
          <cell r="D368">
            <v>10880016827</v>
          </cell>
        </row>
        <row r="369">
          <cell r="D369">
            <v>10880018097</v>
          </cell>
        </row>
        <row r="370">
          <cell r="D370">
            <v>10880019921</v>
          </cell>
        </row>
        <row r="371">
          <cell r="D371">
            <v>10880018097</v>
          </cell>
        </row>
        <row r="372">
          <cell r="D372">
            <v>10880012825</v>
          </cell>
        </row>
        <row r="373">
          <cell r="D373">
            <v>10880019922</v>
          </cell>
        </row>
        <row r="374">
          <cell r="D374">
            <v>10880018097</v>
          </cell>
        </row>
        <row r="375">
          <cell r="D375">
            <v>10880018096</v>
          </cell>
        </row>
        <row r="376">
          <cell r="D376">
            <v>10880019266</v>
          </cell>
        </row>
        <row r="377">
          <cell r="D377">
            <v>10880020677</v>
          </cell>
        </row>
        <row r="378">
          <cell r="D378">
            <v>10880020192</v>
          </cell>
        </row>
        <row r="379">
          <cell r="D379">
            <v>10880020187</v>
          </cell>
        </row>
        <row r="380">
          <cell r="D380">
            <v>10880012825</v>
          </cell>
        </row>
        <row r="381">
          <cell r="D381">
            <v>10880018093</v>
          </cell>
        </row>
        <row r="382">
          <cell r="D382">
            <v>10880021416</v>
          </cell>
        </row>
        <row r="383">
          <cell r="D383">
            <v>10880017949</v>
          </cell>
        </row>
        <row r="384">
          <cell r="D384">
            <v>10880017949</v>
          </cell>
        </row>
        <row r="385">
          <cell r="D385">
            <v>10880012825</v>
          </cell>
        </row>
        <row r="386">
          <cell r="D386">
            <v>10880016827</v>
          </cell>
        </row>
        <row r="387">
          <cell r="D387">
            <v>10880012825</v>
          </cell>
        </row>
        <row r="388">
          <cell r="D388">
            <v>10880012825</v>
          </cell>
        </row>
        <row r="389">
          <cell r="D389">
            <v>10880019265</v>
          </cell>
        </row>
        <row r="390">
          <cell r="D390">
            <v>10880017525</v>
          </cell>
        </row>
        <row r="391">
          <cell r="D391">
            <v>10880019920</v>
          </cell>
        </row>
        <row r="392">
          <cell r="D392">
            <v>10880012825</v>
          </cell>
        </row>
        <row r="393">
          <cell r="D393">
            <v>10880017525</v>
          </cell>
        </row>
        <row r="394">
          <cell r="D394">
            <v>10880017536</v>
          </cell>
        </row>
        <row r="395">
          <cell r="D395">
            <v>10880012825</v>
          </cell>
        </row>
        <row r="396">
          <cell r="D396">
            <v>10880021029</v>
          </cell>
        </row>
        <row r="397">
          <cell r="D397">
            <v>10880021029</v>
          </cell>
        </row>
        <row r="398">
          <cell r="D398">
            <v>10880019921</v>
          </cell>
        </row>
        <row r="399">
          <cell r="D399">
            <v>10880012825</v>
          </cell>
        </row>
        <row r="400">
          <cell r="D400">
            <v>10880020940</v>
          </cell>
        </row>
        <row r="401">
          <cell r="D401">
            <v>10880019921</v>
          </cell>
        </row>
        <row r="402">
          <cell r="D402">
            <v>10880020940</v>
          </cell>
        </row>
        <row r="403">
          <cell r="D403">
            <v>10880018093</v>
          </cell>
        </row>
        <row r="404">
          <cell r="D404">
            <v>10880020557</v>
          </cell>
        </row>
        <row r="405">
          <cell r="D405">
            <v>10880019923</v>
          </cell>
        </row>
        <row r="406">
          <cell r="D406">
            <v>10880018097</v>
          </cell>
        </row>
        <row r="407">
          <cell r="D407">
            <v>10880018097</v>
          </cell>
        </row>
        <row r="408">
          <cell r="D408">
            <v>10880018097</v>
          </cell>
        </row>
        <row r="409">
          <cell r="D409">
            <v>10880019777</v>
          </cell>
        </row>
        <row r="410">
          <cell r="D410">
            <v>10880017526</v>
          </cell>
        </row>
        <row r="411">
          <cell r="D411">
            <v>10880018847</v>
          </cell>
        </row>
        <row r="412">
          <cell r="D412">
            <v>10880016827</v>
          </cell>
        </row>
        <row r="413">
          <cell r="D413">
            <v>10880019265</v>
          </cell>
        </row>
        <row r="414">
          <cell r="D414">
            <v>10880017525</v>
          </cell>
        </row>
        <row r="415">
          <cell r="D415">
            <v>10880020192</v>
          </cell>
        </row>
        <row r="416">
          <cell r="D416">
            <v>10880020187</v>
          </cell>
        </row>
        <row r="417">
          <cell r="D417">
            <v>10880022123</v>
          </cell>
        </row>
        <row r="418">
          <cell r="D418">
            <v>10880017530</v>
          </cell>
        </row>
        <row r="419">
          <cell r="D419">
            <v>10880022123</v>
          </cell>
        </row>
        <row r="420">
          <cell r="D420">
            <v>10880018093</v>
          </cell>
        </row>
        <row r="421">
          <cell r="D421">
            <v>10880020557</v>
          </cell>
        </row>
        <row r="422">
          <cell r="D422">
            <v>10880020275</v>
          </cell>
        </row>
        <row r="423">
          <cell r="D423">
            <v>10880014776</v>
          </cell>
        </row>
        <row r="424">
          <cell r="D424">
            <v>10880019266</v>
          </cell>
        </row>
        <row r="425">
          <cell r="D425">
            <v>10880017516</v>
          </cell>
        </row>
        <row r="426">
          <cell r="D426">
            <v>10880012825</v>
          </cell>
        </row>
        <row r="427">
          <cell r="D427">
            <v>10880018093</v>
          </cell>
        </row>
        <row r="428">
          <cell r="D428">
            <v>10880019921</v>
          </cell>
        </row>
        <row r="429">
          <cell r="D429">
            <v>10880020203</v>
          </cell>
        </row>
        <row r="430">
          <cell r="D430">
            <v>10880020203</v>
          </cell>
        </row>
        <row r="431">
          <cell r="D431">
            <v>10880018093</v>
          </cell>
        </row>
        <row r="432">
          <cell r="D432">
            <v>10880020697</v>
          </cell>
        </row>
        <row r="433">
          <cell r="D433">
            <v>10880020729</v>
          </cell>
        </row>
        <row r="434">
          <cell r="D434">
            <v>10880019240</v>
          </cell>
        </row>
        <row r="435">
          <cell r="D435">
            <v>10880019240</v>
          </cell>
        </row>
        <row r="436">
          <cell r="D436">
            <v>10880018096</v>
          </cell>
        </row>
        <row r="437">
          <cell r="D437">
            <v>10880020728</v>
          </cell>
        </row>
        <row r="438">
          <cell r="D438">
            <v>10880020697</v>
          </cell>
        </row>
        <row r="439">
          <cell r="D439">
            <v>10880018850</v>
          </cell>
        </row>
        <row r="440">
          <cell r="D440">
            <v>10880018850</v>
          </cell>
        </row>
        <row r="441">
          <cell r="D441">
            <v>10880017526</v>
          </cell>
        </row>
        <row r="442">
          <cell r="D442">
            <v>10880020275</v>
          </cell>
        </row>
        <row r="443">
          <cell r="D443">
            <v>10880019777</v>
          </cell>
        </row>
        <row r="444">
          <cell r="D444">
            <v>10880019777</v>
          </cell>
        </row>
        <row r="445">
          <cell r="D445">
            <v>10880016827</v>
          </cell>
        </row>
        <row r="446">
          <cell r="D446">
            <v>10880018845</v>
          </cell>
        </row>
        <row r="447">
          <cell r="D447">
            <v>10880017536</v>
          </cell>
        </row>
        <row r="448">
          <cell r="D448">
            <v>10880019222</v>
          </cell>
        </row>
        <row r="449">
          <cell r="D449">
            <v>10880017531</v>
          </cell>
        </row>
        <row r="450">
          <cell r="D450">
            <v>10880021311</v>
          </cell>
        </row>
        <row r="451">
          <cell r="D451">
            <v>10880021311</v>
          </cell>
        </row>
        <row r="452">
          <cell r="D452">
            <v>10880019706</v>
          </cell>
        </row>
        <row r="453">
          <cell r="D453">
            <v>10880020678</v>
          </cell>
        </row>
        <row r="454">
          <cell r="D454">
            <v>10880017949</v>
          </cell>
        </row>
        <row r="455">
          <cell r="D455">
            <v>10880019777</v>
          </cell>
        </row>
        <row r="456">
          <cell r="D456">
            <v>10880019706</v>
          </cell>
        </row>
        <row r="457">
          <cell r="D457">
            <v>10880019266</v>
          </cell>
        </row>
        <row r="458">
          <cell r="D458">
            <v>10880018093</v>
          </cell>
        </row>
        <row r="459">
          <cell r="D459">
            <v>10880017531</v>
          </cell>
        </row>
        <row r="460">
          <cell r="D460">
            <v>10880017526</v>
          </cell>
        </row>
        <row r="461">
          <cell r="D461">
            <v>10880019682</v>
          </cell>
        </row>
        <row r="462">
          <cell r="D462">
            <v>10880019682</v>
          </cell>
        </row>
        <row r="463">
          <cell r="D463">
            <v>10880019706</v>
          </cell>
        </row>
        <row r="464">
          <cell r="D464">
            <v>10880017950</v>
          </cell>
        </row>
        <row r="465">
          <cell r="D465">
            <v>10880015830</v>
          </cell>
        </row>
        <row r="466">
          <cell r="D466">
            <v>10880015829</v>
          </cell>
        </row>
        <row r="467">
          <cell r="D467">
            <v>10880016526</v>
          </cell>
        </row>
        <row r="468">
          <cell r="D468">
            <v>10880018093</v>
          </cell>
        </row>
        <row r="469">
          <cell r="D469">
            <v>10880016827</v>
          </cell>
        </row>
        <row r="470">
          <cell r="D470">
            <v>10880018847</v>
          </cell>
        </row>
        <row r="471">
          <cell r="D471">
            <v>10880020728</v>
          </cell>
        </row>
        <row r="472">
          <cell r="D472">
            <v>10880020728</v>
          </cell>
        </row>
        <row r="473">
          <cell r="D473">
            <v>10880017516</v>
          </cell>
        </row>
        <row r="474">
          <cell r="D474">
            <v>10880016526</v>
          </cell>
        </row>
        <row r="475">
          <cell r="D475">
            <v>10880019240</v>
          </cell>
        </row>
        <row r="476">
          <cell r="D476">
            <v>10880019241</v>
          </cell>
        </row>
        <row r="477">
          <cell r="D477">
            <v>10880018097</v>
          </cell>
        </row>
        <row r="478">
          <cell r="D478">
            <v>10880019706</v>
          </cell>
        </row>
        <row r="479">
          <cell r="D479">
            <v>10880018093</v>
          </cell>
        </row>
        <row r="480">
          <cell r="D480">
            <v>10880020729</v>
          </cell>
        </row>
        <row r="481">
          <cell r="D481">
            <v>10880020728</v>
          </cell>
        </row>
        <row r="482">
          <cell r="D482">
            <v>10880020203</v>
          </cell>
        </row>
        <row r="483">
          <cell r="D483">
            <v>10880019241</v>
          </cell>
        </row>
        <row r="484">
          <cell r="D484">
            <v>10880020654</v>
          </cell>
        </row>
        <row r="485">
          <cell r="D485">
            <v>10880021311</v>
          </cell>
        </row>
        <row r="486">
          <cell r="D486">
            <v>10880019222</v>
          </cell>
        </row>
        <row r="487">
          <cell r="D487">
            <v>10880020275</v>
          </cell>
        </row>
        <row r="488">
          <cell r="D488">
            <v>10880019922</v>
          </cell>
        </row>
        <row r="489">
          <cell r="D489">
            <v>10880020940</v>
          </cell>
        </row>
        <row r="490">
          <cell r="D490">
            <v>10880020940</v>
          </cell>
        </row>
        <row r="491">
          <cell r="D491">
            <v>10880020677</v>
          </cell>
        </row>
        <row r="492">
          <cell r="D492">
            <v>10880020677</v>
          </cell>
        </row>
        <row r="493">
          <cell r="D493">
            <v>10880018105</v>
          </cell>
        </row>
        <row r="494">
          <cell r="D494">
            <v>10880020654</v>
          </cell>
        </row>
        <row r="495">
          <cell r="D495">
            <v>10880020654</v>
          </cell>
        </row>
        <row r="496">
          <cell r="D496">
            <v>10880016827</v>
          </cell>
        </row>
        <row r="497">
          <cell r="D497">
            <v>10880020654</v>
          </cell>
        </row>
        <row r="498">
          <cell r="D498">
            <v>10880020555</v>
          </cell>
        </row>
        <row r="499">
          <cell r="D499">
            <v>10880020557</v>
          </cell>
        </row>
        <row r="500">
          <cell r="D500">
            <v>10880020275</v>
          </cell>
        </row>
        <row r="501">
          <cell r="D501">
            <v>10880016867</v>
          </cell>
        </row>
        <row r="502">
          <cell r="D502">
            <v>10880015829</v>
          </cell>
        </row>
        <row r="503">
          <cell r="D503">
            <v>10880020940</v>
          </cell>
        </row>
        <row r="504">
          <cell r="D504">
            <v>10880021029</v>
          </cell>
        </row>
        <row r="505">
          <cell r="D505">
            <v>10880022044</v>
          </cell>
        </row>
        <row r="506">
          <cell r="D506">
            <v>10880019706</v>
          </cell>
        </row>
        <row r="507">
          <cell r="D507">
            <v>10880019777</v>
          </cell>
        </row>
        <row r="508">
          <cell r="D508">
            <v>10880016862</v>
          </cell>
        </row>
        <row r="509">
          <cell r="D509">
            <v>10880019266</v>
          </cell>
        </row>
        <row r="510">
          <cell r="D510">
            <v>10880018105</v>
          </cell>
        </row>
        <row r="511">
          <cell r="D511">
            <v>10880019265</v>
          </cell>
        </row>
        <row r="512">
          <cell r="D512">
            <v>10880017525</v>
          </cell>
        </row>
        <row r="513">
          <cell r="D513">
            <v>10880017516</v>
          </cell>
        </row>
        <row r="514">
          <cell r="D514">
            <v>10880019682</v>
          </cell>
        </row>
        <row r="515">
          <cell r="D515">
            <v>10880019706</v>
          </cell>
        </row>
        <row r="516">
          <cell r="D516">
            <v>10880019434</v>
          </cell>
        </row>
        <row r="517">
          <cell r="D517">
            <v>10880016862</v>
          </cell>
        </row>
        <row r="518">
          <cell r="D518">
            <v>10880016867</v>
          </cell>
        </row>
        <row r="519">
          <cell r="D519">
            <v>10880020678</v>
          </cell>
        </row>
        <row r="520">
          <cell r="D520">
            <v>10880018847</v>
          </cell>
        </row>
        <row r="521">
          <cell r="D521">
            <v>10880018850</v>
          </cell>
        </row>
        <row r="522">
          <cell r="D522">
            <v>10880018850</v>
          </cell>
        </row>
        <row r="523">
          <cell r="D523">
            <v>10880015830</v>
          </cell>
        </row>
        <row r="524">
          <cell r="D524">
            <v>10880020678</v>
          </cell>
        </row>
        <row r="525">
          <cell r="D525">
            <v>10880020654</v>
          </cell>
        </row>
        <row r="526">
          <cell r="D526">
            <v>10880022044</v>
          </cell>
        </row>
        <row r="527">
          <cell r="D527">
            <v>10880022406</v>
          </cell>
        </row>
        <row r="528">
          <cell r="D528">
            <v>10880020677</v>
          </cell>
        </row>
        <row r="529">
          <cell r="D529">
            <v>10880017534</v>
          </cell>
        </row>
        <row r="530">
          <cell r="D530">
            <v>10880017531</v>
          </cell>
        </row>
        <row r="531">
          <cell r="D531">
            <v>10880015829</v>
          </cell>
        </row>
        <row r="532">
          <cell r="D532">
            <v>10880016827</v>
          </cell>
        </row>
        <row r="533">
          <cell r="D533">
            <v>10880020729</v>
          </cell>
        </row>
        <row r="534">
          <cell r="D534">
            <v>10880017536</v>
          </cell>
        </row>
        <row r="535">
          <cell r="D535">
            <v>10880022443</v>
          </cell>
        </row>
        <row r="536">
          <cell r="D536">
            <v>10880022405</v>
          </cell>
        </row>
        <row r="537">
          <cell r="D537">
            <v>10880019923</v>
          </cell>
        </row>
        <row r="538">
          <cell r="D538">
            <v>10880017525</v>
          </cell>
        </row>
        <row r="539">
          <cell r="D539">
            <v>10880021029</v>
          </cell>
        </row>
        <row r="540">
          <cell r="D540">
            <v>10880021029</v>
          </cell>
        </row>
        <row r="541">
          <cell r="D541">
            <v>10880021416</v>
          </cell>
        </row>
        <row r="542">
          <cell r="D542">
            <v>10880019921</v>
          </cell>
        </row>
        <row r="543">
          <cell r="D543">
            <v>10880017525</v>
          </cell>
        </row>
        <row r="544">
          <cell r="D544">
            <v>10880020940</v>
          </cell>
        </row>
        <row r="545">
          <cell r="D545">
            <v>10880020940</v>
          </cell>
        </row>
        <row r="546">
          <cell r="D546">
            <v>10880022123</v>
          </cell>
        </row>
        <row r="547">
          <cell r="D547">
            <v>10880020654</v>
          </cell>
        </row>
        <row r="548">
          <cell r="D548">
            <v>10880019922</v>
          </cell>
        </row>
        <row r="549">
          <cell r="D549">
            <v>10880021029</v>
          </cell>
        </row>
        <row r="550">
          <cell r="D550">
            <v>10880012825</v>
          </cell>
        </row>
        <row r="551">
          <cell r="D551">
            <v>10880020654</v>
          </cell>
        </row>
        <row r="552">
          <cell r="D552">
            <v>10880022044</v>
          </cell>
        </row>
        <row r="553">
          <cell r="D553">
            <v>10880018851</v>
          </cell>
        </row>
        <row r="554">
          <cell r="D554">
            <v>10880020678</v>
          </cell>
        </row>
        <row r="555">
          <cell r="D555">
            <v>10880018851</v>
          </cell>
        </row>
        <row r="556">
          <cell r="D556">
            <v>10880018851</v>
          </cell>
        </row>
        <row r="557">
          <cell r="D557">
            <v>10880019434</v>
          </cell>
        </row>
        <row r="558">
          <cell r="D558">
            <v>10880019434</v>
          </cell>
        </row>
        <row r="559">
          <cell r="D559">
            <v>10880020654</v>
          </cell>
        </row>
        <row r="560">
          <cell r="D560">
            <v>10880020557</v>
          </cell>
        </row>
        <row r="561">
          <cell r="D561">
            <v>10880017948</v>
          </cell>
        </row>
        <row r="562">
          <cell r="D562">
            <v>10880017949</v>
          </cell>
        </row>
        <row r="563">
          <cell r="D563">
            <v>10880020555</v>
          </cell>
        </row>
        <row r="564">
          <cell r="D564">
            <v>10880020555</v>
          </cell>
        </row>
        <row r="565">
          <cell r="D565">
            <v>10880021983</v>
          </cell>
        </row>
        <row r="566">
          <cell r="D566">
            <v>10880012825</v>
          </cell>
        </row>
        <row r="567">
          <cell r="D567">
            <v>10880021767</v>
          </cell>
        </row>
        <row r="568">
          <cell r="D568">
            <v>10880014778</v>
          </cell>
        </row>
        <row r="569">
          <cell r="D569">
            <v>10880020557</v>
          </cell>
        </row>
        <row r="570">
          <cell r="D570">
            <v>10880020654</v>
          </cell>
        </row>
        <row r="571">
          <cell r="D571">
            <v>10880018097</v>
          </cell>
        </row>
        <row r="572">
          <cell r="D572">
            <v>10880020654</v>
          </cell>
        </row>
        <row r="573">
          <cell r="D573">
            <v>10880020555</v>
          </cell>
        </row>
        <row r="574">
          <cell r="D574">
            <v>10880020555</v>
          </cell>
        </row>
        <row r="575">
          <cell r="D575">
            <v>10880020940</v>
          </cell>
        </row>
        <row r="576">
          <cell r="D576">
            <v>10880012825</v>
          </cell>
        </row>
        <row r="577">
          <cell r="D577">
            <v>10880020677</v>
          </cell>
        </row>
        <row r="578">
          <cell r="D578">
            <v>10880020678</v>
          </cell>
        </row>
        <row r="579">
          <cell r="D579">
            <v>10880019682</v>
          </cell>
        </row>
        <row r="580">
          <cell r="D580">
            <v>10880019706</v>
          </cell>
        </row>
        <row r="581">
          <cell r="D581">
            <v>10880020678</v>
          </cell>
        </row>
        <row r="582">
          <cell r="D582">
            <v>10880018093</v>
          </cell>
        </row>
        <row r="583">
          <cell r="D583">
            <v>10880019777</v>
          </cell>
        </row>
        <row r="584">
          <cell r="D584">
            <v>10880019222</v>
          </cell>
        </row>
        <row r="585">
          <cell r="D585">
            <v>10880020678</v>
          </cell>
        </row>
        <row r="586">
          <cell r="D586">
            <v>10880020678</v>
          </cell>
        </row>
        <row r="587">
          <cell r="D587">
            <v>10880018093</v>
          </cell>
        </row>
        <row r="588">
          <cell r="D588">
            <v>10880021983</v>
          </cell>
        </row>
        <row r="589">
          <cell r="D589">
            <v>10880021983</v>
          </cell>
        </row>
        <row r="590">
          <cell r="D590">
            <v>10880021985</v>
          </cell>
        </row>
        <row r="591">
          <cell r="D591">
            <v>10880021985</v>
          </cell>
        </row>
        <row r="592">
          <cell r="D592">
            <v>10880021985</v>
          </cell>
        </row>
        <row r="593">
          <cell r="D593">
            <v>10880020555</v>
          </cell>
        </row>
        <row r="594">
          <cell r="D594">
            <v>10880020555</v>
          </cell>
        </row>
        <row r="595">
          <cell r="D595">
            <v>10880022123</v>
          </cell>
        </row>
        <row r="596">
          <cell r="D596">
            <v>10880022044</v>
          </cell>
        </row>
        <row r="597">
          <cell r="D597">
            <v>10880020275</v>
          </cell>
        </row>
        <row r="598">
          <cell r="D598">
            <v>10880015830</v>
          </cell>
        </row>
        <row r="599">
          <cell r="D599">
            <v>10880020678</v>
          </cell>
        </row>
        <row r="600">
          <cell r="D600">
            <v>10880018093</v>
          </cell>
        </row>
        <row r="601">
          <cell r="D601">
            <v>10880020728</v>
          </cell>
        </row>
        <row r="602">
          <cell r="D602">
            <v>10880020728</v>
          </cell>
        </row>
        <row r="603">
          <cell r="D603">
            <v>10880020697</v>
          </cell>
        </row>
        <row r="604">
          <cell r="D604">
            <v>10880020681</v>
          </cell>
        </row>
        <row r="605">
          <cell r="D605">
            <v>10880019923</v>
          </cell>
        </row>
        <row r="606">
          <cell r="D606">
            <v>10880019920</v>
          </cell>
        </row>
        <row r="607">
          <cell r="D607">
            <v>10880021029</v>
          </cell>
        </row>
        <row r="608">
          <cell r="D608">
            <v>10880021029</v>
          </cell>
        </row>
        <row r="609">
          <cell r="D609">
            <v>10880019706</v>
          </cell>
        </row>
        <row r="610">
          <cell r="D610">
            <v>10880020654</v>
          </cell>
        </row>
        <row r="611">
          <cell r="D611">
            <v>10880012825</v>
          </cell>
        </row>
        <row r="612">
          <cell r="D612">
            <v>10880020678</v>
          </cell>
        </row>
        <row r="613">
          <cell r="D613">
            <v>10880020654</v>
          </cell>
        </row>
        <row r="614">
          <cell r="D614">
            <v>10880017516</v>
          </cell>
        </row>
        <row r="615">
          <cell r="D615">
            <v>10880020654</v>
          </cell>
        </row>
        <row r="616">
          <cell r="D616">
            <v>10880020557</v>
          </cell>
        </row>
        <row r="617">
          <cell r="D617">
            <v>10880020681</v>
          </cell>
        </row>
        <row r="618">
          <cell r="D618">
            <v>10880022434</v>
          </cell>
        </row>
        <row r="619">
          <cell r="D619">
            <v>10880022435</v>
          </cell>
        </row>
        <row r="620">
          <cell r="D620">
            <v>10880020940</v>
          </cell>
        </row>
        <row r="621">
          <cell r="D621">
            <v>10880020654</v>
          </cell>
        </row>
        <row r="622">
          <cell r="D622">
            <v>10880019706</v>
          </cell>
        </row>
        <row r="623">
          <cell r="D623">
            <v>10880017949</v>
          </cell>
        </row>
        <row r="624">
          <cell r="D624">
            <v>10880018093</v>
          </cell>
        </row>
        <row r="625">
          <cell r="D625">
            <v>10880020555</v>
          </cell>
        </row>
        <row r="626">
          <cell r="D626">
            <v>10880021029</v>
          </cell>
        </row>
        <row r="627">
          <cell r="D627">
            <v>10880020557</v>
          </cell>
        </row>
        <row r="628">
          <cell r="D628">
            <v>10880018851</v>
          </cell>
        </row>
        <row r="629">
          <cell r="D629">
            <v>10880018851</v>
          </cell>
        </row>
        <row r="630">
          <cell r="D630">
            <v>10880018851</v>
          </cell>
        </row>
        <row r="631">
          <cell r="D631">
            <v>10880018851</v>
          </cell>
        </row>
        <row r="632">
          <cell r="D632">
            <v>10880017536</v>
          </cell>
        </row>
        <row r="633">
          <cell r="D633">
            <v>10880017531</v>
          </cell>
        </row>
        <row r="634">
          <cell r="D634">
            <v>10880019222</v>
          </cell>
        </row>
        <row r="635">
          <cell r="D635">
            <v>10880022441</v>
          </cell>
        </row>
        <row r="636">
          <cell r="D636">
            <v>10880021029</v>
          </cell>
        </row>
        <row r="637">
          <cell r="D637">
            <v>10880027989</v>
          </cell>
        </row>
        <row r="638">
          <cell r="D638">
            <v>10880020275</v>
          </cell>
        </row>
        <row r="639">
          <cell r="D639">
            <v>10880019222</v>
          </cell>
        </row>
        <row r="640">
          <cell r="D640">
            <v>10880019777</v>
          </cell>
        </row>
        <row r="641">
          <cell r="D641">
            <v>10880019777</v>
          </cell>
        </row>
        <row r="642">
          <cell r="D642">
            <v>10880014778</v>
          </cell>
        </row>
        <row r="643">
          <cell r="D643">
            <v>10880020678</v>
          </cell>
        </row>
        <row r="644">
          <cell r="D644">
            <v>10880020940</v>
          </cell>
        </row>
        <row r="645">
          <cell r="D645">
            <v>10880020654</v>
          </cell>
        </row>
        <row r="646">
          <cell r="D646">
            <v>10880018105</v>
          </cell>
        </row>
        <row r="647">
          <cell r="D647">
            <v>10880017525</v>
          </cell>
        </row>
        <row r="648">
          <cell r="D648">
            <v>10880020940</v>
          </cell>
        </row>
        <row r="649">
          <cell r="D649">
            <v>10880020654</v>
          </cell>
        </row>
        <row r="650">
          <cell r="D650">
            <v>10880020275</v>
          </cell>
        </row>
        <row r="651">
          <cell r="D651">
            <v>10880017531</v>
          </cell>
        </row>
        <row r="652">
          <cell r="D652">
            <v>10880017525</v>
          </cell>
        </row>
        <row r="653">
          <cell r="D653">
            <v>10880022044</v>
          </cell>
        </row>
        <row r="654">
          <cell r="D654">
            <v>10880017531</v>
          </cell>
        </row>
        <row r="655">
          <cell r="D655">
            <v>10880017531</v>
          </cell>
        </row>
        <row r="656">
          <cell r="D656">
            <v>10880017536</v>
          </cell>
        </row>
        <row r="657">
          <cell r="D657">
            <v>10880022436</v>
          </cell>
        </row>
        <row r="658">
          <cell r="D658">
            <v>10880017525</v>
          </cell>
        </row>
        <row r="659">
          <cell r="D659">
            <v>10880017525</v>
          </cell>
        </row>
        <row r="660">
          <cell r="D660">
            <v>10880017526</v>
          </cell>
        </row>
        <row r="661">
          <cell r="D661">
            <v>10880017526</v>
          </cell>
        </row>
        <row r="662">
          <cell r="D662">
            <v>10880020678</v>
          </cell>
        </row>
        <row r="663">
          <cell r="D663">
            <v>10880018096</v>
          </cell>
        </row>
        <row r="664">
          <cell r="D664">
            <v>10880018097</v>
          </cell>
        </row>
        <row r="665">
          <cell r="D665">
            <v>10880020557</v>
          </cell>
        </row>
        <row r="666">
          <cell r="D666">
            <v>10880019265</v>
          </cell>
        </row>
        <row r="667">
          <cell r="D667">
            <v>10880019920</v>
          </cell>
        </row>
        <row r="668">
          <cell r="D668">
            <v>10880019266</v>
          </cell>
        </row>
        <row r="669">
          <cell r="D669">
            <v>10880020678</v>
          </cell>
        </row>
        <row r="670">
          <cell r="D670">
            <v>10880018097</v>
          </cell>
        </row>
        <row r="671">
          <cell r="D671">
            <v>10880016827</v>
          </cell>
        </row>
        <row r="672">
          <cell r="D672">
            <v>10880017949</v>
          </cell>
        </row>
        <row r="673">
          <cell r="D673">
            <v>10880017949</v>
          </cell>
        </row>
        <row r="674">
          <cell r="D674">
            <v>10880019923</v>
          </cell>
        </row>
        <row r="675">
          <cell r="D675">
            <v>10880020677</v>
          </cell>
        </row>
        <row r="676">
          <cell r="D676">
            <v>10880021015</v>
          </cell>
        </row>
        <row r="677">
          <cell r="D677">
            <v>10880020940</v>
          </cell>
        </row>
        <row r="678">
          <cell r="D678">
            <v>10880017527</v>
          </cell>
        </row>
        <row r="679">
          <cell r="D679">
            <v>10880017516</v>
          </cell>
        </row>
        <row r="680">
          <cell r="D680">
            <v>10880022123</v>
          </cell>
        </row>
        <row r="681">
          <cell r="D681">
            <v>10880019222</v>
          </cell>
        </row>
        <row r="682">
          <cell r="D682">
            <v>10880019777</v>
          </cell>
        </row>
        <row r="683">
          <cell r="D683">
            <v>10880021029</v>
          </cell>
        </row>
        <row r="684">
          <cell r="D684">
            <v>10880020275</v>
          </cell>
        </row>
        <row r="685">
          <cell r="D685">
            <v>10880020275</v>
          </cell>
        </row>
        <row r="686">
          <cell r="D686">
            <v>10880019706</v>
          </cell>
        </row>
        <row r="687">
          <cell r="D687">
            <v>10880019682</v>
          </cell>
        </row>
        <row r="688">
          <cell r="D688">
            <v>10880020677</v>
          </cell>
        </row>
        <row r="689">
          <cell r="D689">
            <v>10880017516</v>
          </cell>
        </row>
        <row r="690">
          <cell r="D690">
            <v>10880019205</v>
          </cell>
        </row>
        <row r="691">
          <cell r="D691">
            <v>10880019682</v>
          </cell>
        </row>
        <row r="692">
          <cell r="D692">
            <v>10880020940</v>
          </cell>
        </row>
        <row r="693">
          <cell r="D693">
            <v>10880020940</v>
          </cell>
        </row>
        <row r="694">
          <cell r="D694">
            <v>10880020681</v>
          </cell>
        </row>
        <row r="695">
          <cell r="D695">
            <v>10880018105</v>
          </cell>
        </row>
        <row r="696">
          <cell r="D696">
            <v>10880016827</v>
          </cell>
        </row>
        <row r="697">
          <cell r="D697">
            <v>10880019923</v>
          </cell>
        </row>
        <row r="698">
          <cell r="D698">
            <v>10880020940</v>
          </cell>
        </row>
        <row r="699">
          <cell r="D699">
            <v>10880018105</v>
          </cell>
        </row>
        <row r="700">
          <cell r="D700">
            <v>10880019920</v>
          </cell>
        </row>
        <row r="701">
          <cell r="D701">
            <v>10880020940</v>
          </cell>
        </row>
        <row r="702">
          <cell r="D702">
            <v>10880018093</v>
          </cell>
        </row>
        <row r="703">
          <cell r="D703">
            <v>10880021029</v>
          </cell>
        </row>
        <row r="704">
          <cell r="D704">
            <v>10880018845</v>
          </cell>
        </row>
        <row r="705">
          <cell r="D705">
            <v>10880020940</v>
          </cell>
        </row>
        <row r="706">
          <cell r="D706">
            <v>10880017525</v>
          </cell>
        </row>
        <row r="707">
          <cell r="D707">
            <v>10880022123</v>
          </cell>
        </row>
        <row r="708">
          <cell r="D708">
            <v>10880020940</v>
          </cell>
        </row>
        <row r="709">
          <cell r="D709">
            <v>10880017525</v>
          </cell>
        </row>
        <row r="710">
          <cell r="D710">
            <v>10880017526</v>
          </cell>
        </row>
        <row r="711">
          <cell r="D711">
            <v>10880017526</v>
          </cell>
        </row>
        <row r="712">
          <cell r="D712">
            <v>10880017526</v>
          </cell>
        </row>
        <row r="713">
          <cell r="D713">
            <v>10880020677</v>
          </cell>
        </row>
        <row r="714">
          <cell r="D714">
            <v>10880020677</v>
          </cell>
        </row>
        <row r="715">
          <cell r="D715">
            <v>10880017949</v>
          </cell>
        </row>
        <row r="716">
          <cell r="D716">
            <v>10880018105</v>
          </cell>
        </row>
        <row r="717">
          <cell r="D717">
            <v>10880019265</v>
          </cell>
        </row>
        <row r="718">
          <cell r="D718">
            <v>10880019265</v>
          </cell>
        </row>
        <row r="719">
          <cell r="D719">
            <v>10880018850</v>
          </cell>
        </row>
        <row r="720">
          <cell r="D720">
            <v>10880018850</v>
          </cell>
        </row>
        <row r="721">
          <cell r="D721">
            <v>10880018850</v>
          </cell>
        </row>
        <row r="722">
          <cell r="D722">
            <v>10880017949</v>
          </cell>
        </row>
        <row r="723">
          <cell r="D723">
            <v>10880021985</v>
          </cell>
        </row>
        <row r="724">
          <cell r="D724">
            <v>10880021983</v>
          </cell>
        </row>
        <row r="725">
          <cell r="D725">
            <v>10880019222</v>
          </cell>
        </row>
        <row r="726">
          <cell r="D726">
            <v>10880022123</v>
          </cell>
        </row>
        <row r="727">
          <cell r="D727">
            <v>10880018845</v>
          </cell>
        </row>
        <row r="728">
          <cell r="D728">
            <v>10880019777</v>
          </cell>
        </row>
        <row r="729">
          <cell r="D729">
            <v>10880019266</v>
          </cell>
        </row>
        <row r="730">
          <cell r="D730">
            <v>10880018105</v>
          </cell>
        </row>
        <row r="731">
          <cell r="D731">
            <v>10880019777</v>
          </cell>
        </row>
        <row r="732">
          <cell r="D732">
            <v>10880020275</v>
          </cell>
        </row>
        <row r="733">
          <cell r="D733">
            <v>10880020275</v>
          </cell>
        </row>
        <row r="734">
          <cell r="D734">
            <v>10880020677</v>
          </cell>
        </row>
        <row r="735">
          <cell r="D735">
            <v>10880020275</v>
          </cell>
        </row>
        <row r="736">
          <cell r="D736">
            <v>10880016525</v>
          </cell>
        </row>
        <row r="737">
          <cell r="D737">
            <v>10880016827</v>
          </cell>
        </row>
        <row r="738">
          <cell r="D738">
            <v>10880020678</v>
          </cell>
        </row>
        <row r="739">
          <cell r="D739">
            <v>10880021796</v>
          </cell>
        </row>
        <row r="740">
          <cell r="D740">
            <v>10880020729</v>
          </cell>
        </row>
        <row r="741">
          <cell r="D741">
            <v>10880019920</v>
          </cell>
        </row>
        <row r="742">
          <cell r="D742">
            <v>10880019920</v>
          </cell>
        </row>
        <row r="743">
          <cell r="D743">
            <v>10880017525</v>
          </cell>
        </row>
        <row r="744">
          <cell r="D744">
            <v>10880017525</v>
          </cell>
        </row>
        <row r="745">
          <cell r="D745">
            <v>10880019920</v>
          </cell>
        </row>
        <row r="746">
          <cell r="D746">
            <v>10880017516</v>
          </cell>
        </row>
        <row r="747">
          <cell r="D747">
            <v>10880019706</v>
          </cell>
        </row>
        <row r="748">
          <cell r="D748">
            <v>10880018847</v>
          </cell>
        </row>
        <row r="749">
          <cell r="D749">
            <v>10880020192</v>
          </cell>
        </row>
        <row r="750">
          <cell r="D750">
            <v>10880017516</v>
          </cell>
        </row>
        <row r="751">
          <cell r="D751">
            <v>10880017525</v>
          </cell>
        </row>
        <row r="752">
          <cell r="D752">
            <v>10880022123</v>
          </cell>
        </row>
        <row r="753">
          <cell r="D753">
            <v>10880019921</v>
          </cell>
        </row>
        <row r="754">
          <cell r="D754">
            <v>10880020728</v>
          </cell>
        </row>
        <row r="755">
          <cell r="D755">
            <v>10880019682</v>
          </cell>
        </row>
        <row r="756">
          <cell r="D756">
            <v>10880022434</v>
          </cell>
        </row>
        <row r="757">
          <cell r="D757">
            <v>10880022435</v>
          </cell>
        </row>
        <row r="758">
          <cell r="D758">
            <v>10880022436</v>
          </cell>
        </row>
        <row r="759">
          <cell r="D759">
            <v>10880017530</v>
          </cell>
        </row>
        <row r="760">
          <cell r="D760">
            <v>10880015830</v>
          </cell>
        </row>
        <row r="761">
          <cell r="D761">
            <v>10880015830</v>
          </cell>
        </row>
        <row r="762">
          <cell r="D762">
            <v>10880015829</v>
          </cell>
        </row>
        <row r="763">
          <cell r="D763">
            <v>10880020203</v>
          </cell>
        </row>
        <row r="764">
          <cell r="D764">
            <v>10880019923</v>
          </cell>
        </row>
        <row r="765">
          <cell r="D765">
            <v>10880020940</v>
          </cell>
        </row>
        <row r="766">
          <cell r="D766">
            <v>10880020940</v>
          </cell>
        </row>
        <row r="767">
          <cell r="D767">
            <v>10880018847</v>
          </cell>
        </row>
        <row r="768">
          <cell r="D768">
            <v>10880022123</v>
          </cell>
        </row>
        <row r="769">
          <cell r="D769">
            <v>10880020647</v>
          </cell>
        </row>
        <row r="770">
          <cell r="D770">
            <v>10880018850</v>
          </cell>
        </row>
        <row r="771">
          <cell r="D771">
            <v>10880018850</v>
          </cell>
        </row>
        <row r="772">
          <cell r="D772">
            <v>10880019222</v>
          </cell>
        </row>
        <row r="773">
          <cell r="D773">
            <v>10880016827</v>
          </cell>
        </row>
        <row r="774">
          <cell r="D774">
            <v>10880017525</v>
          </cell>
        </row>
        <row r="775">
          <cell r="D775">
            <v>10880017525</v>
          </cell>
        </row>
        <row r="776">
          <cell r="D776">
            <v>10880017949</v>
          </cell>
        </row>
        <row r="777">
          <cell r="D777">
            <v>10880021767</v>
          </cell>
        </row>
        <row r="778">
          <cell r="D778">
            <v>10880020728</v>
          </cell>
        </row>
        <row r="779">
          <cell r="D779">
            <v>10880017525</v>
          </cell>
        </row>
        <row r="780">
          <cell r="D780">
            <v>10880020677</v>
          </cell>
        </row>
        <row r="781">
          <cell r="D781">
            <v>10880021767</v>
          </cell>
        </row>
        <row r="782">
          <cell r="D782">
            <v>10880021767</v>
          </cell>
        </row>
        <row r="783">
          <cell r="D783">
            <v>10880020222</v>
          </cell>
        </row>
        <row r="784">
          <cell r="D784">
            <v>10880020940</v>
          </cell>
        </row>
        <row r="785">
          <cell r="D785">
            <v>10880017949</v>
          </cell>
        </row>
        <row r="786">
          <cell r="D786">
            <v>10880019266</v>
          </cell>
        </row>
        <row r="787">
          <cell r="D787">
            <v>10880021767</v>
          </cell>
        </row>
        <row r="788">
          <cell r="D788">
            <v>10880021767</v>
          </cell>
        </row>
        <row r="789">
          <cell r="D789">
            <v>10880022406</v>
          </cell>
        </row>
        <row r="790">
          <cell r="D790">
            <v>10880022405</v>
          </cell>
        </row>
        <row r="791">
          <cell r="D791">
            <v>10880022501</v>
          </cell>
        </row>
        <row r="792">
          <cell r="D792">
            <v>10880015879</v>
          </cell>
        </row>
        <row r="793">
          <cell r="D793">
            <v>10880019922</v>
          </cell>
        </row>
        <row r="794">
          <cell r="D794">
            <v>10880019265</v>
          </cell>
        </row>
        <row r="795">
          <cell r="D795">
            <v>10880020729</v>
          </cell>
        </row>
        <row r="796">
          <cell r="D796">
            <v>10880017516</v>
          </cell>
        </row>
        <row r="797">
          <cell r="D797">
            <v>10880017526</v>
          </cell>
        </row>
        <row r="798">
          <cell r="D798">
            <v>10880020192</v>
          </cell>
        </row>
        <row r="799">
          <cell r="D799">
            <v>10880019706</v>
          </cell>
        </row>
        <row r="800">
          <cell r="D800">
            <v>10880016827</v>
          </cell>
        </row>
        <row r="801">
          <cell r="D801">
            <v>10880020222</v>
          </cell>
        </row>
        <row r="802">
          <cell r="D802">
            <v>10880022123</v>
          </cell>
        </row>
        <row r="803">
          <cell r="D803">
            <v>10880018850</v>
          </cell>
        </row>
        <row r="804">
          <cell r="D804">
            <v>10880020677</v>
          </cell>
        </row>
        <row r="805">
          <cell r="D805">
            <v>10880020222</v>
          </cell>
        </row>
        <row r="806">
          <cell r="D806">
            <v>10880020222</v>
          </cell>
        </row>
        <row r="807">
          <cell r="D807">
            <v>10880018850</v>
          </cell>
        </row>
        <row r="808">
          <cell r="D808">
            <v>10880014815</v>
          </cell>
        </row>
        <row r="809">
          <cell r="D809">
            <v>10880012825</v>
          </cell>
        </row>
        <row r="810">
          <cell r="D810">
            <v>10880012825</v>
          </cell>
        </row>
        <row r="811">
          <cell r="D811">
            <v>10880012825</v>
          </cell>
        </row>
        <row r="812">
          <cell r="D812">
            <v>10880020940</v>
          </cell>
        </row>
        <row r="813">
          <cell r="D813">
            <v>10880015879</v>
          </cell>
        </row>
        <row r="814">
          <cell r="D814">
            <v>10880020192</v>
          </cell>
        </row>
        <row r="815">
          <cell r="D815">
            <v>10880020192</v>
          </cell>
        </row>
        <row r="816">
          <cell r="D816">
            <v>10880020940</v>
          </cell>
        </row>
        <row r="817">
          <cell r="D817">
            <v>10880017950</v>
          </cell>
        </row>
        <row r="818">
          <cell r="D818">
            <v>10880018847</v>
          </cell>
        </row>
        <row r="819">
          <cell r="D819">
            <v>10880016827</v>
          </cell>
        </row>
        <row r="820">
          <cell r="D820">
            <v>10880020203</v>
          </cell>
        </row>
        <row r="821">
          <cell r="D821">
            <v>10880020940</v>
          </cell>
        </row>
        <row r="822">
          <cell r="D822">
            <v>10880020728</v>
          </cell>
        </row>
        <row r="823">
          <cell r="D823">
            <v>10880020677</v>
          </cell>
        </row>
        <row r="824">
          <cell r="D824">
            <v>10880019920</v>
          </cell>
        </row>
        <row r="825">
          <cell r="D825">
            <v>10880022123</v>
          </cell>
        </row>
        <row r="826">
          <cell r="D826">
            <v>10880018847</v>
          </cell>
        </row>
        <row r="827">
          <cell r="D827">
            <v>10880017949</v>
          </cell>
        </row>
        <row r="828">
          <cell r="D828">
            <v>10880016827</v>
          </cell>
        </row>
        <row r="829">
          <cell r="D829">
            <v>10880022044</v>
          </cell>
        </row>
        <row r="830">
          <cell r="D830">
            <v>10880017516</v>
          </cell>
        </row>
        <row r="831">
          <cell r="D831">
            <v>10880017949</v>
          </cell>
        </row>
        <row r="832">
          <cell r="D832">
            <v>10880017949</v>
          </cell>
        </row>
        <row r="833">
          <cell r="D833">
            <v>10880018096</v>
          </cell>
        </row>
        <row r="834">
          <cell r="D834">
            <v>10880018093</v>
          </cell>
        </row>
        <row r="835">
          <cell r="D835">
            <v>10880021029</v>
          </cell>
        </row>
        <row r="836">
          <cell r="D836">
            <v>10880016188</v>
          </cell>
        </row>
        <row r="837">
          <cell r="D837">
            <v>10880018105</v>
          </cell>
        </row>
        <row r="838">
          <cell r="D838">
            <v>10880018847</v>
          </cell>
        </row>
        <row r="839">
          <cell r="D839">
            <v>10880012825</v>
          </cell>
        </row>
        <row r="840">
          <cell r="D840">
            <v>10880020654</v>
          </cell>
        </row>
        <row r="841">
          <cell r="D841">
            <v>10880021985</v>
          </cell>
        </row>
        <row r="842">
          <cell r="D842">
            <v>10880021985</v>
          </cell>
        </row>
        <row r="843">
          <cell r="D843">
            <v>10880014777</v>
          </cell>
        </row>
        <row r="844">
          <cell r="D844">
            <v>10880017949</v>
          </cell>
        </row>
        <row r="845">
          <cell r="D845">
            <v>10880022123</v>
          </cell>
        </row>
        <row r="846">
          <cell r="D846">
            <v>10880017526</v>
          </cell>
        </row>
        <row r="847">
          <cell r="D847">
            <v>10880017526</v>
          </cell>
        </row>
        <row r="848">
          <cell r="D848">
            <v>10880015879</v>
          </cell>
        </row>
        <row r="849">
          <cell r="D849">
            <v>10880012825</v>
          </cell>
        </row>
        <row r="850">
          <cell r="D850">
            <v>10880019205</v>
          </cell>
        </row>
        <row r="851">
          <cell r="D851">
            <v>10880020187</v>
          </cell>
        </row>
        <row r="852">
          <cell r="D852">
            <v>10880020192</v>
          </cell>
        </row>
        <row r="853">
          <cell r="D853">
            <v>10880020192</v>
          </cell>
        </row>
        <row r="854">
          <cell r="D854">
            <v>10880018850</v>
          </cell>
        </row>
        <row r="855">
          <cell r="D855">
            <v>10880018093</v>
          </cell>
        </row>
        <row r="856">
          <cell r="D856">
            <v>10880015829</v>
          </cell>
        </row>
        <row r="857">
          <cell r="D857">
            <v>10880019706</v>
          </cell>
        </row>
        <row r="858">
          <cell r="D858">
            <v>10880019706</v>
          </cell>
        </row>
        <row r="859">
          <cell r="D859">
            <v>10880020654</v>
          </cell>
        </row>
        <row r="860">
          <cell r="D860">
            <v>10880021767</v>
          </cell>
        </row>
        <row r="861">
          <cell r="D861">
            <v>10880021767</v>
          </cell>
        </row>
        <row r="862">
          <cell r="D862">
            <v>10880019222</v>
          </cell>
        </row>
        <row r="863">
          <cell r="D863">
            <v>10880020677</v>
          </cell>
        </row>
        <row r="864">
          <cell r="D864">
            <v>10880017949</v>
          </cell>
        </row>
        <row r="865">
          <cell r="D865">
            <v>10880021029</v>
          </cell>
        </row>
        <row r="866">
          <cell r="D866">
            <v>10880019222</v>
          </cell>
        </row>
        <row r="867">
          <cell r="D867">
            <v>10880021203</v>
          </cell>
        </row>
        <row r="868">
          <cell r="D868">
            <v>10880021318</v>
          </cell>
        </row>
        <row r="869">
          <cell r="D869">
            <v>10880017949</v>
          </cell>
        </row>
        <row r="870">
          <cell r="D870">
            <v>10880014815</v>
          </cell>
        </row>
        <row r="871">
          <cell r="D871">
            <v>10880013354</v>
          </cell>
        </row>
        <row r="872">
          <cell r="D872">
            <v>10880017949</v>
          </cell>
        </row>
        <row r="873">
          <cell r="D873">
            <v>10880020940</v>
          </cell>
        </row>
        <row r="874">
          <cell r="D874">
            <v>10880014812</v>
          </cell>
        </row>
        <row r="875">
          <cell r="D875">
            <v>10880015879</v>
          </cell>
        </row>
        <row r="876">
          <cell r="D876">
            <v>10880017516</v>
          </cell>
        </row>
        <row r="877">
          <cell r="D877">
            <v>10880020222</v>
          </cell>
        </row>
        <row r="878">
          <cell r="D878">
            <v>10880020222</v>
          </cell>
        </row>
        <row r="879">
          <cell r="D879">
            <v>10880017526</v>
          </cell>
        </row>
        <row r="880">
          <cell r="D880">
            <v>10880018845</v>
          </cell>
        </row>
        <row r="881">
          <cell r="D881">
            <v>10880022444</v>
          </cell>
        </row>
        <row r="882">
          <cell r="D882">
            <v>10880021983</v>
          </cell>
        </row>
        <row r="883">
          <cell r="D883">
            <v>10880021983</v>
          </cell>
        </row>
        <row r="884">
          <cell r="D884">
            <v>10880021985</v>
          </cell>
        </row>
        <row r="885">
          <cell r="D885">
            <v>10880021985</v>
          </cell>
        </row>
        <row r="886">
          <cell r="D886">
            <v>10880016827</v>
          </cell>
        </row>
        <row r="887">
          <cell r="D887">
            <v>10880019777</v>
          </cell>
        </row>
        <row r="888">
          <cell r="D888">
            <v>10880018850</v>
          </cell>
        </row>
        <row r="889">
          <cell r="D889">
            <v>10880014815</v>
          </cell>
        </row>
        <row r="890">
          <cell r="D890">
            <v>10880019777</v>
          </cell>
        </row>
        <row r="891">
          <cell r="D891">
            <v>10880019266</v>
          </cell>
        </row>
        <row r="892">
          <cell r="D892">
            <v>10880014812</v>
          </cell>
        </row>
        <row r="893">
          <cell r="D893">
            <v>10880020677</v>
          </cell>
        </row>
        <row r="894">
          <cell r="D894">
            <v>10880018847</v>
          </cell>
        </row>
        <row r="895">
          <cell r="D895">
            <v>10880021173</v>
          </cell>
        </row>
        <row r="896">
          <cell r="D896">
            <v>10880017531</v>
          </cell>
        </row>
        <row r="897">
          <cell r="D897">
            <v>10880017531</v>
          </cell>
        </row>
        <row r="898">
          <cell r="D898">
            <v>10880016827</v>
          </cell>
        </row>
        <row r="899">
          <cell r="D899">
            <v>10880014812</v>
          </cell>
        </row>
        <row r="900">
          <cell r="D900">
            <v>10880014812</v>
          </cell>
        </row>
        <row r="901">
          <cell r="D901">
            <v>10880019773</v>
          </cell>
        </row>
        <row r="902">
          <cell r="D902">
            <v>10880021767</v>
          </cell>
        </row>
        <row r="903">
          <cell r="D903">
            <v>10880020192</v>
          </cell>
        </row>
        <row r="904">
          <cell r="D904">
            <v>10880020677</v>
          </cell>
        </row>
        <row r="905">
          <cell r="D905">
            <v>10880028169</v>
          </cell>
        </row>
        <row r="906">
          <cell r="D906">
            <v>10880028169</v>
          </cell>
        </row>
        <row r="907">
          <cell r="D907">
            <v>10880021318</v>
          </cell>
        </row>
        <row r="908">
          <cell r="D908">
            <v>10880018845</v>
          </cell>
        </row>
        <row r="909">
          <cell r="D909">
            <v>10880021029</v>
          </cell>
        </row>
        <row r="910">
          <cell r="D910">
            <v>10880020940</v>
          </cell>
        </row>
        <row r="911">
          <cell r="D911">
            <v>10880017949</v>
          </cell>
        </row>
        <row r="912">
          <cell r="D912">
            <v>10880017525</v>
          </cell>
        </row>
        <row r="913">
          <cell r="D913">
            <v>10880014815</v>
          </cell>
        </row>
        <row r="914">
          <cell r="D914">
            <v>10880017949</v>
          </cell>
        </row>
        <row r="915">
          <cell r="D915">
            <v>10880020557</v>
          </cell>
        </row>
        <row r="916">
          <cell r="D916">
            <v>10880017949</v>
          </cell>
        </row>
        <row r="917">
          <cell r="D917">
            <v>10880016827</v>
          </cell>
        </row>
        <row r="918">
          <cell r="D918">
            <v>10880020557</v>
          </cell>
        </row>
        <row r="919">
          <cell r="D919">
            <v>10880017536</v>
          </cell>
        </row>
        <row r="920">
          <cell r="D920">
            <v>10880018850</v>
          </cell>
        </row>
        <row r="921">
          <cell r="D921">
            <v>10880018847</v>
          </cell>
        </row>
        <row r="922">
          <cell r="D922">
            <v>10880019923</v>
          </cell>
        </row>
        <row r="923">
          <cell r="D923">
            <v>10880019923</v>
          </cell>
        </row>
        <row r="924">
          <cell r="D924">
            <v>10880017536</v>
          </cell>
        </row>
        <row r="925">
          <cell r="D925">
            <v>10880020654</v>
          </cell>
        </row>
        <row r="926">
          <cell r="D926">
            <v>10880017516</v>
          </cell>
        </row>
        <row r="927">
          <cell r="D927">
            <v>10880018847</v>
          </cell>
        </row>
        <row r="928">
          <cell r="D928">
            <v>10880019920</v>
          </cell>
        </row>
        <row r="929">
          <cell r="D929">
            <v>10880020203</v>
          </cell>
        </row>
        <row r="930">
          <cell r="D930">
            <v>10880019923</v>
          </cell>
        </row>
        <row r="931">
          <cell r="D931">
            <v>10880014815</v>
          </cell>
        </row>
        <row r="932">
          <cell r="D932">
            <v>10880020209</v>
          </cell>
        </row>
        <row r="933">
          <cell r="D933">
            <v>10880018093</v>
          </cell>
        </row>
        <row r="934">
          <cell r="D934">
            <v>10880030021</v>
          </cell>
        </row>
        <row r="935">
          <cell r="D935">
            <v>10880020940</v>
          </cell>
        </row>
        <row r="936">
          <cell r="D936">
            <v>10880020555</v>
          </cell>
        </row>
        <row r="937">
          <cell r="D937">
            <v>10880020555</v>
          </cell>
        </row>
        <row r="938">
          <cell r="D938">
            <v>10880018105</v>
          </cell>
        </row>
        <row r="939">
          <cell r="D939">
            <v>10880020208</v>
          </cell>
        </row>
        <row r="940">
          <cell r="D940">
            <v>10880028346</v>
          </cell>
        </row>
        <row r="941">
          <cell r="D941">
            <v>10880021029</v>
          </cell>
        </row>
        <row r="942">
          <cell r="D942">
            <v>10880021983</v>
          </cell>
        </row>
        <row r="943">
          <cell r="D943">
            <v>10880021983</v>
          </cell>
        </row>
        <row r="944">
          <cell r="D944">
            <v>10880020677</v>
          </cell>
        </row>
        <row r="945">
          <cell r="D945">
            <v>10880017531</v>
          </cell>
        </row>
        <row r="946">
          <cell r="D946">
            <v>10880017531</v>
          </cell>
        </row>
        <row r="947">
          <cell r="D947">
            <v>10880019706</v>
          </cell>
        </row>
        <row r="948">
          <cell r="D948">
            <v>10880020677</v>
          </cell>
        </row>
        <row r="949">
          <cell r="D949">
            <v>10880018850</v>
          </cell>
        </row>
        <row r="950">
          <cell r="D950">
            <v>10880020677</v>
          </cell>
        </row>
        <row r="951">
          <cell r="D951">
            <v>10880020209</v>
          </cell>
        </row>
        <row r="952">
          <cell r="D952">
            <v>10880020555</v>
          </cell>
        </row>
        <row r="953">
          <cell r="D953">
            <v>10880014812</v>
          </cell>
        </row>
        <row r="954">
          <cell r="D954">
            <v>10880014815</v>
          </cell>
        </row>
        <row r="955">
          <cell r="D955">
            <v>10880019706</v>
          </cell>
        </row>
        <row r="956">
          <cell r="D956">
            <v>10880014815</v>
          </cell>
        </row>
        <row r="957">
          <cell r="D957">
            <v>10880020677</v>
          </cell>
        </row>
        <row r="958">
          <cell r="D958">
            <v>10880020555</v>
          </cell>
        </row>
        <row r="959">
          <cell r="D959">
            <v>10880021318</v>
          </cell>
        </row>
        <row r="960">
          <cell r="D960">
            <v>10880020677</v>
          </cell>
        </row>
        <row r="961">
          <cell r="D961">
            <v>10880021174</v>
          </cell>
        </row>
        <row r="962">
          <cell r="D962">
            <v>10880021173</v>
          </cell>
        </row>
        <row r="963">
          <cell r="D963">
            <v>10880018105</v>
          </cell>
        </row>
        <row r="964">
          <cell r="D964">
            <v>10880020940</v>
          </cell>
        </row>
        <row r="965">
          <cell r="D965">
            <v>10880021172</v>
          </cell>
        </row>
        <row r="966">
          <cell r="D966">
            <v>10880028833</v>
          </cell>
        </row>
        <row r="967">
          <cell r="D967">
            <v>10880021029</v>
          </cell>
        </row>
        <row r="968">
          <cell r="D968">
            <v>10880014812</v>
          </cell>
        </row>
        <row r="969">
          <cell r="D969">
            <v>10880020940</v>
          </cell>
        </row>
        <row r="970">
          <cell r="D970">
            <v>10880016188</v>
          </cell>
        </row>
        <row r="971">
          <cell r="D971">
            <v>10880020222</v>
          </cell>
        </row>
        <row r="972">
          <cell r="D972">
            <v>10880017949</v>
          </cell>
        </row>
        <row r="973">
          <cell r="D973">
            <v>10880017516</v>
          </cell>
        </row>
        <row r="974">
          <cell r="D974">
            <v>10880017531</v>
          </cell>
        </row>
        <row r="975">
          <cell r="D975">
            <v>10880019222</v>
          </cell>
        </row>
        <row r="976">
          <cell r="D976">
            <v>10880017949</v>
          </cell>
        </row>
        <row r="977">
          <cell r="D977">
            <v>10880020192</v>
          </cell>
        </row>
        <row r="978">
          <cell r="D978">
            <v>10880017949</v>
          </cell>
        </row>
        <row r="979">
          <cell r="D979">
            <v>10880019266</v>
          </cell>
        </row>
        <row r="980">
          <cell r="D980">
            <v>10880021767</v>
          </cell>
        </row>
        <row r="981">
          <cell r="D981">
            <v>10880021029</v>
          </cell>
        </row>
        <row r="982">
          <cell r="D982">
            <v>10880020555</v>
          </cell>
        </row>
        <row r="983">
          <cell r="D983">
            <v>10880020728</v>
          </cell>
        </row>
        <row r="984">
          <cell r="D984">
            <v>10880014775</v>
          </cell>
        </row>
        <row r="985">
          <cell r="D985">
            <v>10880021985</v>
          </cell>
        </row>
        <row r="986">
          <cell r="D986">
            <v>10880014815</v>
          </cell>
        </row>
        <row r="987">
          <cell r="D987">
            <v>10880021029</v>
          </cell>
        </row>
        <row r="988">
          <cell r="D988">
            <v>10880020555</v>
          </cell>
        </row>
        <row r="989">
          <cell r="D989">
            <v>10880020555</v>
          </cell>
        </row>
        <row r="990">
          <cell r="D990">
            <v>10880020647</v>
          </cell>
        </row>
        <row r="991">
          <cell r="D991">
            <v>10880020940</v>
          </cell>
        </row>
        <row r="992">
          <cell r="D992">
            <v>10880028169</v>
          </cell>
        </row>
        <row r="993">
          <cell r="D993">
            <v>10880017950</v>
          </cell>
        </row>
        <row r="994">
          <cell r="D994">
            <v>10880019920</v>
          </cell>
        </row>
        <row r="995">
          <cell r="D995">
            <v>10880018093</v>
          </cell>
        </row>
        <row r="996">
          <cell r="D996">
            <v>10880018850</v>
          </cell>
        </row>
        <row r="997">
          <cell r="D997">
            <v>10880028833</v>
          </cell>
        </row>
        <row r="998">
          <cell r="D998">
            <v>10880019706</v>
          </cell>
        </row>
        <row r="999">
          <cell r="D999">
            <v>10880018847</v>
          </cell>
        </row>
        <row r="1000">
          <cell r="D1000">
            <v>10880028833</v>
          </cell>
        </row>
        <row r="1001">
          <cell r="D1001">
            <v>10880027854</v>
          </cell>
        </row>
        <row r="1002">
          <cell r="D1002">
            <v>10880020728</v>
          </cell>
        </row>
        <row r="1003">
          <cell r="D1003">
            <v>10880020728</v>
          </cell>
        </row>
        <row r="1004">
          <cell r="D1004">
            <v>10880019706</v>
          </cell>
        </row>
        <row r="1005">
          <cell r="D1005">
            <v>10880017525</v>
          </cell>
        </row>
        <row r="1006">
          <cell r="D1006">
            <v>10880028307</v>
          </cell>
        </row>
        <row r="1007">
          <cell r="D1007">
            <v>10880017526</v>
          </cell>
        </row>
        <row r="1008">
          <cell r="D1008">
            <v>10880017526</v>
          </cell>
        </row>
        <row r="1009">
          <cell r="D1009">
            <v>10880028833</v>
          </cell>
        </row>
        <row r="1010">
          <cell r="D1010">
            <v>10880028833</v>
          </cell>
        </row>
        <row r="1011">
          <cell r="D1011">
            <v>10880020192</v>
          </cell>
        </row>
        <row r="1012">
          <cell r="D1012">
            <v>10880014812</v>
          </cell>
        </row>
        <row r="1013">
          <cell r="D1013">
            <v>10880014812</v>
          </cell>
        </row>
        <row r="1014">
          <cell r="D1014">
            <v>10880028833</v>
          </cell>
        </row>
        <row r="1015">
          <cell r="D1015">
            <v>10880017949</v>
          </cell>
        </row>
        <row r="1016">
          <cell r="D1016">
            <v>10880019923</v>
          </cell>
        </row>
        <row r="1017">
          <cell r="D1017">
            <v>10880015879</v>
          </cell>
        </row>
        <row r="1018">
          <cell r="D1018">
            <v>10880019706</v>
          </cell>
        </row>
        <row r="1019">
          <cell r="D1019">
            <v>10880019205</v>
          </cell>
        </row>
        <row r="1020">
          <cell r="D1020">
            <v>10880017949</v>
          </cell>
        </row>
        <row r="1021">
          <cell r="D1021">
            <v>10880018093</v>
          </cell>
        </row>
        <row r="1022">
          <cell r="D1022">
            <v>10880013354</v>
          </cell>
        </row>
        <row r="1023">
          <cell r="D1023">
            <v>10880015830</v>
          </cell>
        </row>
        <row r="1024">
          <cell r="D1024">
            <v>10880018105</v>
          </cell>
        </row>
        <row r="1025">
          <cell r="D1025">
            <v>10880019266</v>
          </cell>
        </row>
        <row r="1026">
          <cell r="D1026">
            <v>10880012825</v>
          </cell>
        </row>
        <row r="1027">
          <cell r="D1027">
            <v>10880017949</v>
          </cell>
        </row>
        <row r="1028">
          <cell r="D1028">
            <v>10880017949</v>
          </cell>
        </row>
        <row r="1029">
          <cell r="D1029">
            <v>10880021767</v>
          </cell>
        </row>
        <row r="1030">
          <cell r="D1030">
            <v>10880017950</v>
          </cell>
        </row>
        <row r="1031">
          <cell r="D1031">
            <v>10880029078</v>
          </cell>
        </row>
        <row r="1032">
          <cell r="D1032">
            <v>10880020557</v>
          </cell>
        </row>
        <row r="1033">
          <cell r="D1033">
            <v>10880019923</v>
          </cell>
        </row>
        <row r="1034">
          <cell r="D1034">
            <v>10880012825</v>
          </cell>
        </row>
        <row r="1035">
          <cell r="D1035">
            <v>10880020557</v>
          </cell>
        </row>
        <row r="1036">
          <cell r="D1036">
            <v>10880028306</v>
          </cell>
        </row>
        <row r="1037">
          <cell r="D1037">
            <v>10880018845</v>
          </cell>
        </row>
        <row r="1038">
          <cell r="D1038">
            <v>10880017527</v>
          </cell>
        </row>
        <row r="1039">
          <cell r="D1039">
            <v>10880012825</v>
          </cell>
        </row>
        <row r="1040">
          <cell r="D1040">
            <v>10880017526</v>
          </cell>
        </row>
        <row r="1041">
          <cell r="D1041">
            <v>10880017526</v>
          </cell>
        </row>
        <row r="1042">
          <cell r="D1042">
            <v>10880017526</v>
          </cell>
        </row>
        <row r="1043">
          <cell r="D1043">
            <v>10880029079</v>
          </cell>
        </row>
        <row r="1044">
          <cell r="D1044">
            <v>10880012825</v>
          </cell>
        </row>
        <row r="1045">
          <cell r="D1045">
            <v>10880019706</v>
          </cell>
        </row>
        <row r="1046">
          <cell r="D1046">
            <v>10880020192</v>
          </cell>
        </row>
        <row r="1047">
          <cell r="D1047">
            <v>10880020192</v>
          </cell>
        </row>
        <row r="1048">
          <cell r="D1048">
            <v>10880012825</v>
          </cell>
        </row>
        <row r="1049">
          <cell r="D1049">
            <v>10880019777</v>
          </cell>
        </row>
        <row r="1050">
          <cell r="D1050">
            <v>10880017526</v>
          </cell>
        </row>
        <row r="1051">
          <cell r="D1051">
            <v>10880017526</v>
          </cell>
        </row>
        <row r="1052">
          <cell r="D1052">
            <v>10880019922</v>
          </cell>
        </row>
        <row r="1053">
          <cell r="D1053">
            <v>10880028306</v>
          </cell>
        </row>
        <row r="1054">
          <cell r="D1054">
            <v>10880017516</v>
          </cell>
        </row>
        <row r="1055">
          <cell r="D1055">
            <v>10880019920</v>
          </cell>
        </row>
        <row r="1056">
          <cell r="D1056">
            <v>10880019920</v>
          </cell>
        </row>
        <row r="1057">
          <cell r="D1057">
            <v>10880028306</v>
          </cell>
        </row>
        <row r="1058">
          <cell r="D1058">
            <v>10880017516</v>
          </cell>
        </row>
        <row r="1059">
          <cell r="D1059">
            <v>10880017516</v>
          </cell>
        </row>
        <row r="1060">
          <cell r="D1060">
            <v>10880019706</v>
          </cell>
        </row>
        <row r="1061">
          <cell r="D1061">
            <v>10880028306</v>
          </cell>
        </row>
        <row r="1062">
          <cell r="D1062">
            <v>10880017516</v>
          </cell>
        </row>
        <row r="1063">
          <cell r="D1063">
            <v>10880028344</v>
          </cell>
        </row>
        <row r="1064">
          <cell r="D1064">
            <v>10880028306</v>
          </cell>
        </row>
        <row r="1065">
          <cell r="D1065">
            <v>10880018105</v>
          </cell>
        </row>
        <row r="1066">
          <cell r="D1066">
            <v>10880018847</v>
          </cell>
        </row>
        <row r="1067">
          <cell r="D1067">
            <v>10880028328</v>
          </cell>
        </row>
        <row r="1068">
          <cell r="D1068">
            <v>10880029836</v>
          </cell>
        </row>
        <row r="1069">
          <cell r="D1069">
            <v>10880029836</v>
          </cell>
        </row>
        <row r="1070">
          <cell r="D1070">
            <v>10880028306</v>
          </cell>
        </row>
        <row r="1071">
          <cell r="D1071">
            <v>10880028169</v>
          </cell>
        </row>
        <row r="1072">
          <cell r="D1072">
            <v>10880028306</v>
          </cell>
        </row>
        <row r="1073">
          <cell r="D1073">
            <v>10880028833</v>
          </cell>
        </row>
        <row r="1074">
          <cell r="D1074">
            <v>10880028833</v>
          </cell>
        </row>
        <row r="1075">
          <cell r="D1075">
            <v>10880028344</v>
          </cell>
        </row>
        <row r="1076">
          <cell r="D1076">
            <v>10880019266</v>
          </cell>
        </row>
        <row r="1077">
          <cell r="D1077">
            <v>10880020697</v>
          </cell>
        </row>
        <row r="1078">
          <cell r="D1078">
            <v>10880028833</v>
          </cell>
        </row>
        <row r="1079">
          <cell r="D1079">
            <v>10880020697</v>
          </cell>
        </row>
        <row r="1080">
          <cell r="D1080">
            <v>10880020678</v>
          </cell>
        </row>
        <row r="1081">
          <cell r="D1081">
            <v>10880020678</v>
          </cell>
        </row>
        <row r="1082">
          <cell r="D1082">
            <v>10880018093</v>
          </cell>
        </row>
        <row r="1083">
          <cell r="D1083">
            <v>10880016827</v>
          </cell>
        </row>
        <row r="1084">
          <cell r="D1084">
            <v>10880019922</v>
          </cell>
        </row>
        <row r="1085">
          <cell r="D1085">
            <v>10880028328</v>
          </cell>
        </row>
        <row r="1086">
          <cell r="D1086">
            <v>10880020209</v>
          </cell>
        </row>
        <row r="1087">
          <cell r="D1087">
            <v>10880020647</v>
          </cell>
        </row>
        <row r="1088">
          <cell r="D1088">
            <v>10880028833</v>
          </cell>
        </row>
        <row r="1089">
          <cell r="D1089">
            <v>10880029836</v>
          </cell>
        </row>
        <row r="1090">
          <cell r="D1090">
            <v>10880016827</v>
          </cell>
        </row>
        <row r="1091">
          <cell r="D1091">
            <v>10880019222</v>
          </cell>
        </row>
        <row r="1092">
          <cell r="D1092">
            <v>10880030296</v>
          </cell>
        </row>
        <row r="1093">
          <cell r="D1093">
            <v>10880019773</v>
          </cell>
        </row>
        <row r="1094">
          <cell r="D1094">
            <v>10880019266</v>
          </cell>
        </row>
        <row r="1095">
          <cell r="D1095">
            <v>10880020940</v>
          </cell>
        </row>
        <row r="1096">
          <cell r="D1096">
            <v>10880028306</v>
          </cell>
        </row>
        <row r="1097">
          <cell r="D1097">
            <v>10880018093</v>
          </cell>
        </row>
        <row r="1098">
          <cell r="D1098">
            <v>10880028306</v>
          </cell>
        </row>
        <row r="1099">
          <cell r="D1099">
            <v>10880017527</v>
          </cell>
        </row>
        <row r="1100">
          <cell r="D1100">
            <v>10880018850</v>
          </cell>
        </row>
        <row r="1101">
          <cell r="D1101">
            <v>10880020678</v>
          </cell>
        </row>
        <row r="1102">
          <cell r="D1102">
            <v>10880018850</v>
          </cell>
        </row>
        <row r="1103">
          <cell r="D1103">
            <v>10880018850</v>
          </cell>
        </row>
        <row r="1104">
          <cell r="D1104">
            <v>10880019434</v>
          </cell>
        </row>
        <row r="1105">
          <cell r="D1105">
            <v>10880030021</v>
          </cell>
        </row>
        <row r="1106">
          <cell r="D1106">
            <v>10880020678</v>
          </cell>
        </row>
        <row r="1107">
          <cell r="D1107">
            <v>10880018097</v>
          </cell>
        </row>
        <row r="1108">
          <cell r="D1108">
            <v>10880021344</v>
          </cell>
        </row>
        <row r="1109">
          <cell r="D1109">
            <v>10880028306</v>
          </cell>
        </row>
        <row r="1110">
          <cell r="D1110">
            <v>10880018105</v>
          </cell>
        </row>
        <row r="1111">
          <cell r="D1111">
            <v>10880016827</v>
          </cell>
        </row>
        <row r="1112">
          <cell r="D1112">
            <v>10880020681</v>
          </cell>
        </row>
        <row r="1113">
          <cell r="D1113">
            <v>10880017536</v>
          </cell>
        </row>
        <row r="1114">
          <cell r="D1114">
            <v>10880017526</v>
          </cell>
        </row>
        <row r="1115">
          <cell r="D1115">
            <v>10880017526</v>
          </cell>
        </row>
        <row r="1116">
          <cell r="D1116">
            <v>10880015879</v>
          </cell>
        </row>
        <row r="1117">
          <cell r="D1117">
            <v>10880028328</v>
          </cell>
        </row>
        <row r="1118">
          <cell r="D1118">
            <v>10880028344</v>
          </cell>
        </row>
        <row r="1119">
          <cell r="D1119">
            <v>10880017527</v>
          </cell>
        </row>
        <row r="1120">
          <cell r="D1120">
            <v>10880018105</v>
          </cell>
        </row>
        <row r="1121">
          <cell r="D1121">
            <v>10880019706</v>
          </cell>
        </row>
        <row r="1122">
          <cell r="D1122">
            <v>10880021767</v>
          </cell>
        </row>
        <row r="1123">
          <cell r="D1123">
            <v>10880015879</v>
          </cell>
        </row>
        <row r="1124">
          <cell r="D1124">
            <v>10880019923</v>
          </cell>
        </row>
        <row r="1125">
          <cell r="D1125">
            <v>10880017527</v>
          </cell>
        </row>
        <row r="1126">
          <cell r="D1126">
            <v>10880021345</v>
          </cell>
        </row>
        <row r="1127">
          <cell r="D1127">
            <v>10880021345</v>
          </cell>
        </row>
        <row r="1128">
          <cell r="D1128">
            <v>10880021345</v>
          </cell>
        </row>
        <row r="1129">
          <cell r="D1129">
            <v>10880018847</v>
          </cell>
        </row>
        <row r="1130">
          <cell r="D1130">
            <v>10880020208</v>
          </cell>
        </row>
        <row r="1131">
          <cell r="D1131">
            <v>10880027854</v>
          </cell>
        </row>
        <row r="1132">
          <cell r="D1132">
            <v>10880027854</v>
          </cell>
        </row>
        <row r="1133">
          <cell r="D1133">
            <v>10880020678</v>
          </cell>
        </row>
        <row r="1134">
          <cell r="D1134">
            <v>10880018097</v>
          </cell>
        </row>
        <row r="1135">
          <cell r="D1135">
            <v>10880028394</v>
          </cell>
        </row>
        <row r="1136">
          <cell r="D1136">
            <v>10880016827</v>
          </cell>
        </row>
        <row r="1137">
          <cell r="D1137">
            <v>10880021767</v>
          </cell>
        </row>
        <row r="1138">
          <cell r="D1138">
            <v>10880020678</v>
          </cell>
        </row>
        <row r="1139">
          <cell r="D1139">
            <v>10880017949</v>
          </cell>
        </row>
        <row r="1140">
          <cell r="D1140">
            <v>10880020209</v>
          </cell>
        </row>
        <row r="1141">
          <cell r="D1141">
            <v>10880017949</v>
          </cell>
        </row>
        <row r="1142">
          <cell r="D1142">
            <v>10880028833</v>
          </cell>
        </row>
        <row r="1143">
          <cell r="D1143">
            <v>10880030447</v>
          </cell>
        </row>
        <row r="1144">
          <cell r="D1144">
            <v>10880030447</v>
          </cell>
        </row>
        <row r="1145">
          <cell r="D1145">
            <v>10880016188</v>
          </cell>
        </row>
        <row r="1146">
          <cell r="D1146">
            <v>10880020678</v>
          </cell>
        </row>
        <row r="1147">
          <cell r="D1147">
            <v>10880028394</v>
          </cell>
        </row>
        <row r="1148">
          <cell r="D1148">
            <v>10880028394</v>
          </cell>
        </row>
        <row r="1149">
          <cell r="D1149">
            <v>10880017949</v>
          </cell>
        </row>
        <row r="1150">
          <cell r="D1150">
            <v>10880018097</v>
          </cell>
        </row>
        <row r="1151">
          <cell r="D1151">
            <v>10880018097</v>
          </cell>
        </row>
        <row r="1152">
          <cell r="D1152">
            <v>10880028344</v>
          </cell>
        </row>
        <row r="1153">
          <cell r="D1153">
            <v>10880028344</v>
          </cell>
        </row>
        <row r="1154">
          <cell r="D1154">
            <v>10880021767</v>
          </cell>
        </row>
        <row r="1155">
          <cell r="D1155">
            <v>10880017527</v>
          </cell>
        </row>
        <row r="1156">
          <cell r="D1156">
            <v>10880017536</v>
          </cell>
        </row>
        <row r="1157">
          <cell r="D1157">
            <v>10880018096</v>
          </cell>
        </row>
        <row r="1158">
          <cell r="D1158">
            <v>10880014812</v>
          </cell>
        </row>
        <row r="1159">
          <cell r="D1159">
            <v>10880014815</v>
          </cell>
        </row>
        <row r="1160">
          <cell r="D1160">
            <v>10880022123</v>
          </cell>
        </row>
        <row r="1161">
          <cell r="D1161">
            <v>10880017527</v>
          </cell>
        </row>
        <row r="1162">
          <cell r="D1162">
            <v>10880017527</v>
          </cell>
        </row>
        <row r="1163">
          <cell r="D1163">
            <v>10880017516</v>
          </cell>
        </row>
        <row r="1164">
          <cell r="D1164">
            <v>10880020203</v>
          </cell>
        </row>
        <row r="1165">
          <cell r="D1165">
            <v>10880017526</v>
          </cell>
        </row>
        <row r="1166">
          <cell r="D1166">
            <v>10880020677</v>
          </cell>
        </row>
        <row r="1167">
          <cell r="D1167">
            <v>10880020187</v>
          </cell>
        </row>
        <row r="1168">
          <cell r="D1168">
            <v>10880021767</v>
          </cell>
        </row>
        <row r="1169">
          <cell r="D1169">
            <v>10880019706</v>
          </cell>
        </row>
        <row r="1170">
          <cell r="D1170">
            <v>10880019706</v>
          </cell>
        </row>
        <row r="1171">
          <cell r="D1171">
            <v>10880019923</v>
          </cell>
        </row>
        <row r="1172">
          <cell r="D1172">
            <v>10880020681</v>
          </cell>
        </row>
        <row r="1173">
          <cell r="D1173">
            <v>10880017949</v>
          </cell>
        </row>
        <row r="1174">
          <cell r="D1174">
            <v>10880029836</v>
          </cell>
        </row>
        <row r="1175">
          <cell r="D1175">
            <v>10880019266</v>
          </cell>
        </row>
        <row r="1176">
          <cell r="D1176">
            <v>10880020678</v>
          </cell>
        </row>
        <row r="1177">
          <cell r="D1177">
            <v>10880022406</v>
          </cell>
        </row>
        <row r="1178">
          <cell r="D1178">
            <v>10880021416</v>
          </cell>
        </row>
        <row r="1179">
          <cell r="D1179">
            <v>10880021416</v>
          </cell>
        </row>
        <row r="1180">
          <cell r="D1180">
            <v>10880021416</v>
          </cell>
        </row>
        <row r="1181">
          <cell r="D1181">
            <v>10880029156</v>
          </cell>
        </row>
        <row r="1182">
          <cell r="D1182">
            <v>10880028328</v>
          </cell>
        </row>
        <row r="1183">
          <cell r="D1183">
            <v>10880020647</v>
          </cell>
        </row>
        <row r="1184">
          <cell r="D1184">
            <v>10880028834</v>
          </cell>
        </row>
        <row r="1185">
          <cell r="D1185">
            <v>10880028345</v>
          </cell>
        </row>
        <row r="1186">
          <cell r="D1186">
            <v>10880019922</v>
          </cell>
        </row>
        <row r="1187">
          <cell r="D1187">
            <v>10880019920</v>
          </cell>
        </row>
        <row r="1188">
          <cell r="D1188">
            <v>10880020728</v>
          </cell>
        </row>
        <row r="1189">
          <cell r="D1189">
            <v>10880020678</v>
          </cell>
        </row>
        <row r="1190">
          <cell r="D1190">
            <v>10880027958</v>
          </cell>
        </row>
        <row r="1191">
          <cell r="D1191">
            <v>10880027957</v>
          </cell>
        </row>
        <row r="1192">
          <cell r="D1192">
            <v>10880028306</v>
          </cell>
        </row>
        <row r="1193">
          <cell r="D1193">
            <v>10880028306</v>
          </cell>
        </row>
        <row r="1194">
          <cell r="D1194">
            <v>10880017949</v>
          </cell>
        </row>
        <row r="1195">
          <cell r="D1195">
            <v>10880028306</v>
          </cell>
        </row>
        <row r="1196">
          <cell r="D1196">
            <v>10880017949</v>
          </cell>
        </row>
        <row r="1197">
          <cell r="D1197">
            <v>10880028345</v>
          </cell>
        </row>
        <row r="1198">
          <cell r="D1198">
            <v>10880021767</v>
          </cell>
        </row>
        <row r="1199">
          <cell r="D1199">
            <v>10880017525</v>
          </cell>
        </row>
        <row r="1200">
          <cell r="D1200">
            <v>10880018093</v>
          </cell>
        </row>
        <row r="1201">
          <cell r="D1201">
            <v>10880021203</v>
          </cell>
        </row>
        <row r="1202">
          <cell r="D1202">
            <v>10880018097</v>
          </cell>
        </row>
        <row r="1203">
          <cell r="D1203">
            <v>10880018097</v>
          </cell>
        </row>
        <row r="1204">
          <cell r="D1204">
            <v>10880020677</v>
          </cell>
        </row>
        <row r="1205">
          <cell r="D1205">
            <v>10880021767</v>
          </cell>
        </row>
        <row r="1206">
          <cell r="D1206">
            <v>10880020940</v>
          </cell>
        </row>
        <row r="1207">
          <cell r="D1207">
            <v>10880021345</v>
          </cell>
        </row>
        <row r="1208">
          <cell r="D1208">
            <v>10880021344</v>
          </cell>
        </row>
        <row r="1209">
          <cell r="D1209">
            <v>10880017948</v>
          </cell>
        </row>
        <row r="1210">
          <cell r="D1210">
            <v>10880028328</v>
          </cell>
        </row>
        <row r="1211">
          <cell r="D1211">
            <v>10880020678</v>
          </cell>
        </row>
        <row r="1212">
          <cell r="D1212">
            <v>10880017948</v>
          </cell>
        </row>
        <row r="1213">
          <cell r="D1213">
            <v>10880017948</v>
          </cell>
        </row>
        <row r="1214">
          <cell r="D1214">
            <v>10880017948</v>
          </cell>
        </row>
        <row r="1215">
          <cell r="D1215">
            <v>10880017948</v>
          </cell>
        </row>
        <row r="1216">
          <cell r="D1216">
            <v>10880017948</v>
          </cell>
        </row>
        <row r="1217">
          <cell r="D1217">
            <v>10880019706</v>
          </cell>
        </row>
        <row r="1218">
          <cell r="D1218">
            <v>10880019706</v>
          </cell>
        </row>
        <row r="1219">
          <cell r="D1219">
            <v>10880030021</v>
          </cell>
        </row>
        <row r="1220">
          <cell r="D1220">
            <v>10880020678</v>
          </cell>
        </row>
        <row r="1221">
          <cell r="D1221">
            <v>10880020678</v>
          </cell>
        </row>
        <row r="1222">
          <cell r="D1222">
            <v>10880017948</v>
          </cell>
        </row>
        <row r="1223">
          <cell r="D1223">
            <v>10880017948</v>
          </cell>
        </row>
        <row r="1224">
          <cell r="D1224">
            <v>10880028833</v>
          </cell>
        </row>
        <row r="1225">
          <cell r="D1225">
            <v>10880028169</v>
          </cell>
        </row>
        <row r="1226">
          <cell r="D1226">
            <v>10880014815</v>
          </cell>
        </row>
        <row r="1227">
          <cell r="D1227">
            <v>10880017948</v>
          </cell>
        </row>
        <row r="1228">
          <cell r="D1228">
            <v>10880022406</v>
          </cell>
        </row>
        <row r="1229">
          <cell r="D1229">
            <v>10880022406</v>
          </cell>
        </row>
        <row r="1230">
          <cell r="D1230">
            <v>10880020555</v>
          </cell>
        </row>
        <row r="1231">
          <cell r="D1231">
            <v>10880021318</v>
          </cell>
        </row>
        <row r="1232">
          <cell r="D1232">
            <v>10880021318</v>
          </cell>
        </row>
        <row r="1233">
          <cell r="D1233">
            <v>10880017531</v>
          </cell>
        </row>
        <row r="1234">
          <cell r="D1234">
            <v>10880027957</v>
          </cell>
        </row>
        <row r="1235">
          <cell r="D1235">
            <v>10880022123</v>
          </cell>
        </row>
        <row r="1236">
          <cell r="D1236">
            <v>10880017948</v>
          </cell>
        </row>
        <row r="1237">
          <cell r="D1237">
            <v>10880030296</v>
          </cell>
        </row>
        <row r="1238">
          <cell r="D1238">
            <v>10880014815</v>
          </cell>
        </row>
        <row r="1239">
          <cell r="D1239">
            <v>10880017536</v>
          </cell>
        </row>
        <row r="1240">
          <cell r="D1240">
            <v>10880020209</v>
          </cell>
        </row>
        <row r="1241">
          <cell r="D1241">
            <v>10880021175</v>
          </cell>
        </row>
        <row r="1242">
          <cell r="D1242">
            <v>10880021175</v>
          </cell>
        </row>
        <row r="1243">
          <cell r="D1243">
            <v>10880018847</v>
          </cell>
        </row>
        <row r="1244">
          <cell r="D1244">
            <v>10880021029</v>
          </cell>
        </row>
        <row r="1245">
          <cell r="D1245">
            <v>10880016188</v>
          </cell>
        </row>
        <row r="1246">
          <cell r="D1246">
            <v>10880020557</v>
          </cell>
        </row>
        <row r="1247">
          <cell r="D1247">
            <v>10880020557</v>
          </cell>
        </row>
        <row r="1248">
          <cell r="D1248">
            <v>10880020208</v>
          </cell>
        </row>
        <row r="1249">
          <cell r="D1249">
            <v>10880018097</v>
          </cell>
        </row>
        <row r="1250">
          <cell r="D1250">
            <v>10880021173</v>
          </cell>
        </row>
        <row r="1251">
          <cell r="D1251">
            <v>10880028345</v>
          </cell>
        </row>
        <row r="1252">
          <cell r="D1252">
            <v>10880016827</v>
          </cell>
        </row>
        <row r="1253">
          <cell r="D1253">
            <v>10880014812</v>
          </cell>
        </row>
        <row r="1254">
          <cell r="D1254">
            <v>10880021767</v>
          </cell>
        </row>
        <row r="1255">
          <cell r="D1255">
            <v>10880021029</v>
          </cell>
        </row>
        <row r="1256">
          <cell r="D1256">
            <v>10880018845</v>
          </cell>
        </row>
        <row r="1257">
          <cell r="D1257">
            <v>10880019434</v>
          </cell>
        </row>
        <row r="1258">
          <cell r="D1258">
            <v>10880019434</v>
          </cell>
        </row>
        <row r="1259">
          <cell r="D1259">
            <v>10880020555</v>
          </cell>
        </row>
        <row r="1260">
          <cell r="D1260">
            <v>10880020555</v>
          </cell>
        </row>
        <row r="1261">
          <cell r="D1261">
            <v>10880021767</v>
          </cell>
        </row>
        <row r="1262">
          <cell r="D1262">
            <v>10880021029</v>
          </cell>
        </row>
        <row r="1263">
          <cell r="D1263">
            <v>10880027958</v>
          </cell>
        </row>
        <row r="1264">
          <cell r="D1264">
            <v>10880020654</v>
          </cell>
        </row>
        <row r="1265">
          <cell r="D1265">
            <v>10880022123</v>
          </cell>
        </row>
        <row r="1266">
          <cell r="D1266">
            <v>10880027958</v>
          </cell>
        </row>
        <row r="1267">
          <cell r="D1267">
            <v>10880017526</v>
          </cell>
        </row>
        <row r="1268">
          <cell r="D1268">
            <v>10880017526</v>
          </cell>
        </row>
        <row r="1269">
          <cell r="D1269">
            <v>10880017949</v>
          </cell>
        </row>
        <row r="1270">
          <cell r="D1270">
            <v>10880020654</v>
          </cell>
        </row>
        <row r="1271">
          <cell r="D1271">
            <v>10880020275</v>
          </cell>
        </row>
        <row r="1272">
          <cell r="D1272">
            <v>10880019266</v>
          </cell>
        </row>
        <row r="1273">
          <cell r="D1273">
            <v>10880030338</v>
          </cell>
        </row>
        <row r="1274">
          <cell r="D1274">
            <v>10880020209</v>
          </cell>
        </row>
        <row r="1275">
          <cell r="D1275">
            <v>10880020222</v>
          </cell>
        </row>
        <row r="1276">
          <cell r="D1276">
            <v>10880022405</v>
          </cell>
        </row>
        <row r="1277">
          <cell r="D1277">
            <v>10880019222</v>
          </cell>
        </row>
        <row r="1278">
          <cell r="D1278">
            <v>10880028833</v>
          </cell>
        </row>
        <row r="1279">
          <cell r="D1279">
            <v>10880014812</v>
          </cell>
        </row>
        <row r="1280">
          <cell r="D1280">
            <v>10880017527</v>
          </cell>
        </row>
        <row r="1281">
          <cell r="D1281">
            <v>10880017525</v>
          </cell>
        </row>
        <row r="1282">
          <cell r="D1282">
            <v>10880020647</v>
          </cell>
        </row>
        <row r="1283">
          <cell r="D1283">
            <v>10880018097</v>
          </cell>
        </row>
        <row r="1284">
          <cell r="D1284">
            <v>10880019777</v>
          </cell>
        </row>
        <row r="1285">
          <cell r="D1285">
            <v>10880029837</v>
          </cell>
        </row>
        <row r="1286">
          <cell r="D1286">
            <v>10880028328</v>
          </cell>
        </row>
        <row r="1287">
          <cell r="D1287">
            <v>10880028328</v>
          </cell>
        </row>
        <row r="1288">
          <cell r="D1288">
            <v>10880020681</v>
          </cell>
        </row>
        <row r="1289">
          <cell r="D1289">
            <v>10880020681</v>
          </cell>
        </row>
        <row r="1290">
          <cell r="D1290">
            <v>10880018097</v>
          </cell>
        </row>
        <row r="1291">
          <cell r="D1291">
            <v>10880028345</v>
          </cell>
        </row>
        <row r="1292">
          <cell r="D1292">
            <v>10880018093</v>
          </cell>
        </row>
        <row r="1293">
          <cell r="D1293">
            <v>10880019706</v>
          </cell>
        </row>
        <row r="1294">
          <cell r="D1294">
            <v>10880020678</v>
          </cell>
        </row>
        <row r="1295">
          <cell r="D1295">
            <v>10880020678</v>
          </cell>
        </row>
        <row r="1296">
          <cell r="D1296">
            <v>10880020555</v>
          </cell>
        </row>
        <row r="1297">
          <cell r="D1297">
            <v>10880027854</v>
          </cell>
        </row>
        <row r="1298">
          <cell r="D1298">
            <v>10880021767</v>
          </cell>
        </row>
        <row r="1299">
          <cell r="D1299">
            <v>10880020678</v>
          </cell>
        </row>
        <row r="1300">
          <cell r="D1300">
            <v>10880030920</v>
          </cell>
        </row>
        <row r="1301">
          <cell r="D1301">
            <v>10880030920</v>
          </cell>
        </row>
        <row r="1302">
          <cell r="D1302">
            <v>10880020557</v>
          </cell>
        </row>
        <row r="1303">
          <cell r="D1303">
            <v>10880019921</v>
          </cell>
        </row>
        <row r="1304">
          <cell r="D1304">
            <v>10880020678</v>
          </cell>
        </row>
        <row r="1305">
          <cell r="D1305">
            <v>10880018097</v>
          </cell>
        </row>
        <row r="1306">
          <cell r="D1306">
            <v>10880030607</v>
          </cell>
        </row>
        <row r="1307">
          <cell r="D1307">
            <v>10880017525</v>
          </cell>
        </row>
        <row r="1308">
          <cell r="D1308">
            <v>10880020555</v>
          </cell>
        </row>
        <row r="1309">
          <cell r="D1309">
            <v>10880020209</v>
          </cell>
        </row>
        <row r="1310">
          <cell r="D1310">
            <v>10880027957</v>
          </cell>
        </row>
        <row r="1311">
          <cell r="D1311">
            <v>10880027958</v>
          </cell>
        </row>
        <row r="1312">
          <cell r="D1312">
            <v>10880017525</v>
          </cell>
        </row>
        <row r="1313">
          <cell r="D1313">
            <v>10880017525</v>
          </cell>
        </row>
        <row r="1314">
          <cell r="D1314">
            <v>10880017526</v>
          </cell>
        </row>
        <row r="1315">
          <cell r="D1315">
            <v>10880030023</v>
          </cell>
        </row>
        <row r="1316">
          <cell r="D1316">
            <v>10880028393</v>
          </cell>
        </row>
        <row r="1317">
          <cell r="D1317">
            <v>10880021342</v>
          </cell>
        </row>
        <row r="1318">
          <cell r="D1318">
            <v>10880020654</v>
          </cell>
        </row>
        <row r="1319">
          <cell r="D1319">
            <v>10880027958</v>
          </cell>
        </row>
        <row r="1320">
          <cell r="D1320">
            <v>10880021203</v>
          </cell>
        </row>
        <row r="1321">
          <cell r="D1321">
            <v>10880020654</v>
          </cell>
        </row>
        <row r="1322">
          <cell r="D1322">
            <v>10880018105</v>
          </cell>
        </row>
        <row r="1323">
          <cell r="D1323">
            <v>10880028169</v>
          </cell>
        </row>
        <row r="1324">
          <cell r="D1324">
            <v>10880020647</v>
          </cell>
        </row>
        <row r="1325">
          <cell r="D1325">
            <v>10880020647</v>
          </cell>
        </row>
        <row r="1326">
          <cell r="D1326">
            <v>10880021315</v>
          </cell>
        </row>
        <row r="1327">
          <cell r="D1327">
            <v>10880021767</v>
          </cell>
        </row>
        <row r="1328">
          <cell r="D1328">
            <v>10880028328</v>
          </cell>
        </row>
        <row r="1329">
          <cell r="D1329">
            <v>10880018105</v>
          </cell>
        </row>
        <row r="1330">
          <cell r="D1330">
            <v>10880020678</v>
          </cell>
        </row>
        <row r="1331">
          <cell r="D1331">
            <v>10880020681</v>
          </cell>
        </row>
        <row r="1332">
          <cell r="D1332">
            <v>10880018850</v>
          </cell>
        </row>
        <row r="1333">
          <cell r="D1333">
            <v>10880022444</v>
          </cell>
        </row>
        <row r="1334">
          <cell r="D1334">
            <v>10880028345</v>
          </cell>
        </row>
        <row r="1335">
          <cell r="D1335">
            <v>10880020654</v>
          </cell>
        </row>
        <row r="1336">
          <cell r="D1336">
            <v>10880020557</v>
          </cell>
        </row>
        <row r="1337">
          <cell r="D1337">
            <v>10880019923</v>
          </cell>
        </row>
        <row r="1338">
          <cell r="D1338">
            <v>10880020681</v>
          </cell>
        </row>
        <row r="1339">
          <cell r="D1339">
            <v>10880022406</v>
          </cell>
        </row>
        <row r="1340">
          <cell r="D1340">
            <v>10880018097</v>
          </cell>
        </row>
        <row r="1341">
          <cell r="D1341">
            <v>10880028905</v>
          </cell>
        </row>
        <row r="1342">
          <cell r="D1342">
            <v>10880018105</v>
          </cell>
        </row>
        <row r="1343">
          <cell r="D1343">
            <v>10880030296</v>
          </cell>
        </row>
        <row r="1344">
          <cell r="D1344">
            <v>10880028833</v>
          </cell>
        </row>
        <row r="1345">
          <cell r="D1345">
            <v>10880020729</v>
          </cell>
        </row>
        <row r="1346">
          <cell r="D1346">
            <v>10880019205</v>
          </cell>
        </row>
        <row r="1347">
          <cell r="D1347">
            <v>10880019222</v>
          </cell>
        </row>
        <row r="1348">
          <cell r="D1348">
            <v>10880019222</v>
          </cell>
        </row>
        <row r="1349">
          <cell r="D1349">
            <v>10880019222</v>
          </cell>
        </row>
        <row r="1350">
          <cell r="D1350">
            <v>10880022443</v>
          </cell>
        </row>
        <row r="1351">
          <cell r="D1351">
            <v>10880018093</v>
          </cell>
        </row>
        <row r="1352">
          <cell r="D1352">
            <v>10880021767</v>
          </cell>
        </row>
        <row r="1353">
          <cell r="D1353">
            <v>10880019777</v>
          </cell>
        </row>
        <row r="1354">
          <cell r="D1354">
            <v>10880019777</v>
          </cell>
        </row>
        <row r="1355">
          <cell r="D1355">
            <v>10880022123</v>
          </cell>
        </row>
        <row r="1356">
          <cell r="D1356">
            <v>10880019205</v>
          </cell>
        </row>
        <row r="1357">
          <cell r="D1357">
            <v>10880018850</v>
          </cell>
        </row>
        <row r="1358">
          <cell r="D1358">
            <v>10880030920</v>
          </cell>
        </row>
        <row r="1359">
          <cell r="D1359">
            <v>10880030920</v>
          </cell>
        </row>
        <row r="1360">
          <cell r="D1360">
            <v>10880027958</v>
          </cell>
        </row>
        <row r="1361">
          <cell r="D1361">
            <v>10880020275</v>
          </cell>
        </row>
        <row r="1362">
          <cell r="D1362">
            <v>10880020654</v>
          </cell>
        </row>
        <row r="1363">
          <cell r="D1363">
            <v>10880019266</v>
          </cell>
        </row>
        <row r="1364">
          <cell r="D1364">
            <v>10880017524</v>
          </cell>
        </row>
        <row r="1365">
          <cell r="D1365">
            <v>10880019777</v>
          </cell>
        </row>
        <row r="1366">
          <cell r="D1366">
            <v>10880020681</v>
          </cell>
        </row>
        <row r="1367">
          <cell r="D1367">
            <v>10880018847</v>
          </cell>
        </row>
        <row r="1368">
          <cell r="D1368">
            <v>10880017516</v>
          </cell>
        </row>
        <row r="1369">
          <cell r="D1369">
            <v>10880030598</v>
          </cell>
        </row>
        <row r="1370">
          <cell r="D1370">
            <v>10880020203</v>
          </cell>
        </row>
        <row r="1371">
          <cell r="D1371">
            <v>10880020681</v>
          </cell>
        </row>
        <row r="1372">
          <cell r="D1372">
            <v>10880018847</v>
          </cell>
        </row>
        <row r="1373">
          <cell r="D1373">
            <v>10880030296</v>
          </cell>
        </row>
        <row r="1374">
          <cell r="D1374">
            <v>10880030447</v>
          </cell>
        </row>
        <row r="1375">
          <cell r="D1375">
            <v>10880020275</v>
          </cell>
        </row>
        <row r="1376">
          <cell r="D1376">
            <v>10880017516</v>
          </cell>
        </row>
        <row r="1377">
          <cell r="D1377">
            <v>10880020654</v>
          </cell>
        </row>
        <row r="1378">
          <cell r="D1378">
            <v>10880020678</v>
          </cell>
        </row>
        <row r="1379">
          <cell r="D1379">
            <v>10880022501</v>
          </cell>
        </row>
        <row r="1380">
          <cell r="D1380">
            <v>10880030285</v>
          </cell>
        </row>
        <row r="1381">
          <cell r="D1381">
            <v>10880016188</v>
          </cell>
        </row>
        <row r="1382">
          <cell r="D1382">
            <v>10880020555</v>
          </cell>
        </row>
        <row r="1383">
          <cell r="D1383">
            <v>10880020678</v>
          </cell>
        </row>
        <row r="1384">
          <cell r="D1384">
            <v>10880020678</v>
          </cell>
        </row>
        <row r="1385">
          <cell r="D1385">
            <v>10880022444</v>
          </cell>
        </row>
        <row r="1386">
          <cell r="D1386">
            <v>10880022406</v>
          </cell>
        </row>
        <row r="1387">
          <cell r="D1387">
            <v>10880020654</v>
          </cell>
        </row>
        <row r="1388">
          <cell r="D1388">
            <v>10880020654</v>
          </cell>
        </row>
        <row r="1389">
          <cell r="D1389">
            <v>10880030021</v>
          </cell>
        </row>
        <row r="1390">
          <cell r="D1390">
            <v>10880030491</v>
          </cell>
        </row>
        <row r="1391">
          <cell r="D1391">
            <v>10880019706</v>
          </cell>
        </row>
        <row r="1392">
          <cell r="D1392">
            <v>10880020654</v>
          </cell>
        </row>
        <row r="1393">
          <cell r="D1393">
            <v>10880022123</v>
          </cell>
        </row>
        <row r="1394">
          <cell r="D1394">
            <v>10880027957</v>
          </cell>
        </row>
        <row r="1395">
          <cell r="D1395">
            <v>10880020678</v>
          </cell>
        </row>
        <row r="1396">
          <cell r="D1396">
            <v>10880022406</v>
          </cell>
        </row>
        <row r="1397">
          <cell r="D1397">
            <v>10880021203</v>
          </cell>
        </row>
        <row r="1398">
          <cell r="D1398">
            <v>10880021029</v>
          </cell>
        </row>
        <row r="1399">
          <cell r="D1399">
            <v>10880017531</v>
          </cell>
        </row>
        <row r="1400">
          <cell r="D1400">
            <v>10880017536</v>
          </cell>
        </row>
        <row r="1401">
          <cell r="D1401">
            <v>10880017534</v>
          </cell>
        </row>
        <row r="1402">
          <cell r="D1402">
            <v>10880021315</v>
          </cell>
        </row>
        <row r="1403">
          <cell r="D1403">
            <v>10880021342</v>
          </cell>
        </row>
        <row r="1404">
          <cell r="D1404">
            <v>10880020654</v>
          </cell>
        </row>
        <row r="1405">
          <cell r="D1405">
            <v>10880021029</v>
          </cell>
        </row>
        <row r="1406">
          <cell r="D1406" t="str">
            <v>10880018096 </v>
          </cell>
        </row>
        <row r="1407">
          <cell r="D1407">
            <v>10880017524</v>
          </cell>
        </row>
        <row r="1408">
          <cell r="D1408">
            <v>10880018093</v>
          </cell>
        </row>
        <row r="1409">
          <cell r="D1409">
            <v>10880027854</v>
          </cell>
        </row>
        <row r="1410">
          <cell r="D1410">
            <v>10880021985</v>
          </cell>
        </row>
        <row r="1411">
          <cell r="D1411">
            <v>10880021983</v>
          </cell>
        </row>
        <row r="1412">
          <cell r="D1412">
            <v>10880018845</v>
          </cell>
        </row>
        <row r="1413">
          <cell r="D1413">
            <v>10880017527</v>
          </cell>
        </row>
        <row r="1414">
          <cell r="D1414">
            <v>10880017527</v>
          </cell>
        </row>
        <row r="1415">
          <cell r="D1415">
            <v>10880030920</v>
          </cell>
        </row>
        <row r="1416">
          <cell r="D1416">
            <v>10880028833</v>
          </cell>
        </row>
        <row r="1417">
          <cell r="D1417">
            <v>10880019920</v>
          </cell>
        </row>
        <row r="1418">
          <cell r="D1418">
            <v>10880020209</v>
          </cell>
        </row>
        <row r="1419">
          <cell r="D1419">
            <v>10880030920</v>
          </cell>
        </row>
        <row r="1420">
          <cell r="D1420">
            <v>10880028833</v>
          </cell>
        </row>
        <row r="1421">
          <cell r="D1421">
            <v>10880028394</v>
          </cell>
        </row>
        <row r="1422">
          <cell r="D1422">
            <v>10880020555</v>
          </cell>
        </row>
        <row r="1423">
          <cell r="D1423">
            <v>10880019266</v>
          </cell>
        </row>
        <row r="1424">
          <cell r="D1424">
            <v>10880020728</v>
          </cell>
        </row>
        <row r="1425">
          <cell r="D1425">
            <v>10880020728</v>
          </cell>
        </row>
        <row r="1426">
          <cell r="D1426">
            <v>10880020208</v>
          </cell>
        </row>
        <row r="1427">
          <cell r="D1427">
            <v>10880020681</v>
          </cell>
        </row>
        <row r="1428">
          <cell r="D1428">
            <v>10880030920</v>
          </cell>
        </row>
        <row r="1429">
          <cell r="D1429">
            <v>10880022405</v>
          </cell>
        </row>
        <row r="1430">
          <cell r="D1430">
            <v>10880030296</v>
          </cell>
        </row>
        <row r="1431">
          <cell r="D1431">
            <v>10880020557</v>
          </cell>
        </row>
        <row r="1432">
          <cell r="D1432">
            <v>10880020654</v>
          </cell>
        </row>
        <row r="1433">
          <cell r="D1433">
            <v>10880019921</v>
          </cell>
        </row>
        <row r="1434">
          <cell r="D1434">
            <v>10880027958</v>
          </cell>
        </row>
        <row r="1435">
          <cell r="D1435">
            <v>10880028929</v>
          </cell>
        </row>
        <row r="1436">
          <cell r="D1436">
            <v>10880028307</v>
          </cell>
        </row>
        <row r="1437">
          <cell r="D1437">
            <v>10880021345</v>
          </cell>
        </row>
        <row r="1438">
          <cell r="D1438">
            <v>10880020555</v>
          </cell>
        </row>
        <row r="1439">
          <cell r="D1439">
            <v>10880014812</v>
          </cell>
        </row>
        <row r="1440">
          <cell r="D1440">
            <v>10880030296</v>
          </cell>
        </row>
        <row r="1441">
          <cell r="D1441">
            <v>10880028307</v>
          </cell>
        </row>
        <row r="1442">
          <cell r="D1442">
            <v>10880018096</v>
          </cell>
        </row>
        <row r="1443">
          <cell r="D1443">
            <v>10880030296</v>
          </cell>
        </row>
        <row r="1444">
          <cell r="D1444">
            <v>10880018105</v>
          </cell>
        </row>
        <row r="1445">
          <cell r="D1445">
            <v>10880028169</v>
          </cell>
        </row>
        <row r="1446">
          <cell r="D1446">
            <v>10880020678</v>
          </cell>
        </row>
        <row r="1447">
          <cell r="D1447">
            <v>10880030021</v>
          </cell>
        </row>
        <row r="1448">
          <cell r="D1448">
            <v>10880028929</v>
          </cell>
        </row>
        <row r="1449">
          <cell r="D1449">
            <v>10880022406</v>
          </cell>
        </row>
        <row r="1450">
          <cell r="D1450">
            <v>10880030450</v>
          </cell>
        </row>
        <row r="1451">
          <cell r="D1451">
            <v>10880022123</v>
          </cell>
        </row>
        <row r="1452">
          <cell r="D1452">
            <v>10880030243</v>
          </cell>
        </row>
        <row r="1453">
          <cell r="D1453">
            <v>10880020654</v>
          </cell>
        </row>
        <row r="1454">
          <cell r="D1454">
            <v>10880028929</v>
          </cell>
        </row>
        <row r="1455">
          <cell r="D1455">
            <v>10880017516</v>
          </cell>
        </row>
        <row r="1456">
          <cell r="D1456">
            <v>10880019205</v>
          </cell>
        </row>
        <row r="1457">
          <cell r="D1457">
            <v>10880030620</v>
          </cell>
        </row>
        <row r="1458">
          <cell r="D1458">
            <v>10880019266</v>
          </cell>
        </row>
        <row r="1459">
          <cell r="D1459">
            <v>10880020678</v>
          </cell>
        </row>
        <row r="1460">
          <cell r="D1460">
            <v>10880019773</v>
          </cell>
        </row>
        <row r="1461">
          <cell r="D1461">
            <v>10880020555</v>
          </cell>
        </row>
        <row r="1462">
          <cell r="D1462">
            <v>10880017530</v>
          </cell>
        </row>
        <row r="1463">
          <cell r="D1463">
            <v>10880020647</v>
          </cell>
        </row>
        <row r="1464">
          <cell r="D1464">
            <v>10880021767</v>
          </cell>
        </row>
        <row r="1465">
          <cell r="D1465">
            <v>10880030296</v>
          </cell>
        </row>
        <row r="1466">
          <cell r="D1466">
            <v>10880020654</v>
          </cell>
        </row>
        <row r="1467">
          <cell r="D1467">
            <v>10880028306</v>
          </cell>
        </row>
        <row r="1468">
          <cell r="D1468">
            <v>10880018093</v>
          </cell>
        </row>
        <row r="1469">
          <cell r="D1469">
            <v>10880017527</v>
          </cell>
        </row>
        <row r="1470">
          <cell r="D1470">
            <v>10880020555</v>
          </cell>
        </row>
        <row r="1471">
          <cell r="D1471">
            <v>10880020557</v>
          </cell>
        </row>
        <row r="1472">
          <cell r="D1472">
            <v>10880028393</v>
          </cell>
        </row>
        <row r="1473">
          <cell r="D1473">
            <v>10880021203</v>
          </cell>
        </row>
        <row r="1474">
          <cell r="D1474">
            <v>10880015879</v>
          </cell>
        </row>
        <row r="1475">
          <cell r="D1475">
            <v>10880030021</v>
          </cell>
        </row>
        <row r="1476">
          <cell r="D1476">
            <v>10880019205</v>
          </cell>
        </row>
        <row r="1477">
          <cell r="D1477">
            <v>10880017524</v>
          </cell>
        </row>
        <row r="1478">
          <cell r="D1478">
            <v>10880022406</v>
          </cell>
        </row>
        <row r="1479">
          <cell r="D1479">
            <v>10880019773</v>
          </cell>
        </row>
        <row r="1480">
          <cell r="D1480">
            <v>10880018850</v>
          </cell>
        </row>
        <row r="1481">
          <cell r="D1481">
            <v>10880022123</v>
          </cell>
        </row>
        <row r="1482">
          <cell r="D1482">
            <v>10880020654</v>
          </cell>
        </row>
        <row r="1483">
          <cell r="D1483">
            <v>10880014815</v>
          </cell>
        </row>
        <row r="1484">
          <cell r="D1484">
            <v>10880014815</v>
          </cell>
        </row>
        <row r="1485">
          <cell r="D1485">
            <v>10880017526</v>
          </cell>
        </row>
        <row r="1486">
          <cell r="D1486">
            <v>10880017525</v>
          </cell>
        </row>
        <row r="1487">
          <cell r="D1487">
            <v>10880030285</v>
          </cell>
        </row>
        <row r="1488">
          <cell r="D1488">
            <v>10880015829</v>
          </cell>
        </row>
        <row r="1489">
          <cell r="D1489">
            <v>10880015830</v>
          </cell>
        </row>
        <row r="1490">
          <cell r="D1490">
            <v>10880021767</v>
          </cell>
        </row>
        <row r="1491">
          <cell r="D1491">
            <v>10880020654</v>
          </cell>
        </row>
        <row r="1492">
          <cell r="D1492">
            <v>10880020555</v>
          </cell>
        </row>
        <row r="1493">
          <cell r="D1493">
            <v>10880028929</v>
          </cell>
        </row>
        <row r="1494">
          <cell r="D1494">
            <v>10880019920</v>
          </cell>
        </row>
        <row r="1495">
          <cell r="D1495">
            <v>10880020728</v>
          </cell>
        </row>
        <row r="1496">
          <cell r="D1496">
            <v>10880028832</v>
          </cell>
        </row>
        <row r="1497">
          <cell r="D1497">
            <v>10880020681</v>
          </cell>
        </row>
        <row r="1498">
          <cell r="D1498">
            <v>10880030620</v>
          </cell>
        </row>
        <row r="1499">
          <cell r="D1499">
            <v>10880029958</v>
          </cell>
        </row>
        <row r="1500">
          <cell r="D1500">
            <v>10880029958</v>
          </cell>
        </row>
        <row r="1501">
          <cell r="D1501">
            <v>10880029156</v>
          </cell>
        </row>
        <row r="1502">
          <cell r="D1502">
            <v>10880028328</v>
          </cell>
        </row>
        <row r="1503">
          <cell r="D1503">
            <v>10880030285</v>
          </cell>
        </row>
        <row r="1504">
          <cell r="D1504">
            <v>10880021767</v>
          </cell>
        </row>
        <row r="1505">
          <cell r="D1505">
            <v>10880030491</v>
          </cell>
        </row>
        <row r="1506">
          <cell r="D1506">
            <v>10880019923</v>
          </cell>
        </row>
        <row r="1507">
          <cell r="D1507">
            <v>10880020678</v>
          </cell>
        </row>
        <row r="1508">
          <cell r="D1508">
            <v>10880018097</v>
          </cell>
        </row>
        <row r="1509">
          <cell r="D1509">
            <v>10880020275</v>
          </cell>
        </row>
        <row r="1510">
          <cell r="D1510">
            <v>10880028929</v>
          </cell>
        </row>
        <row r="1511">
          <cell r="D1511">
            <v>10880017530</v>
          </cell>
        </row>
        <row r="1512">
          <cell r="D1512">
            <v>10880017531</v>
          </cell>
        </row>
        <row r="1513">
          <cell r="D1513">
            <v>10880017531</v>
          </cell>
        </row>
        <row r="1514">
          <cell r="D1514">
            <v>10880018097</v>
          </cell>
        </row>
        <row r="1515">
          <cell r="D1515">
            <v>10880030296</v>
          </cell>
        </row>
        <row r="1516">
          <cell r="D1516">
            <v>10880028394</v>
          </cell>
        </row>
        <row r="1517">
          <cell r="D1517">
            <v>10880020275</v>
          </cell>
        </row>
        <row r="1518">
          <cell r="D1518">
            <v>10880012825</v>
          </cell>
        </row>
        <row r="1519">
          <cell r="D1519">
            <v>10880021985</v>
          </cell>
        </row>
        <row r="1520">
          <cell r="D1520">
            <v>10880020654</v>
          </cell>
        </row>
        <row r="1521">
          <cell r="D1521">
            <v>10880020555</v>
          </cell>
        </row>
        <row r="1522">
          <cell r="D1522">
            <v>10880022123</v>
          </cell>
        </row>
        <row r="1523">
          <cell r="D1523">
            <v>10880030620</v>
          </cell>
        </row>
        <row r="1524">
          <cell r="D1524">
            <v>10880030920</v>
          </cell>
        </row>
        <row r="1525">
          <cell r="D1525">
            <v>10880028831</v>
          </cell>
        </row>
        <row r="1526">
          <cell r="D1526">
            <v>10880030491</v>
          </cell>
        </row>
        <row r="1527">
          <cell r="D1527">
            <v>10880028393</v>
          </cell>
        </row>
        <row r="1528">
          <cell r="D1528">
            <v>10880019923</v>
          </cell>
        </row>
        <row r="1529">
          <cell r="D1529">
            <v>10880020678</v>
          </cell>
        </row>
        <row r="1530">
          <cell r="D1530">
            <v>10880028306</v>
          </cell>
        </row>
        <row r="1531">
          <cell r="D1531">
            <v>10880030784</v>
          </cell>
        </row>
        <row r="1532">
          <cell r="D1532">
            <v>10880022406</v>
          </cell>
        </row>
        <row r="1533">
          <cell r="D1533">
            <v>10880028345</v>
          </cell>
        </row>
        <row r="1534">
          <cell r="D1534">
            <v>10880028345</v>
          </cell>
        </row>
        <row r="1535">
          <cell r="D1535">
            <v>10880012825</v>
          </cell>
        </row>
        <row r="1536">
          <cell r="D1536">
            <v>10880029957</v>
          </cell>
        </row>
        <row r="1537">
          <cell r="D1537">
            <v>10880029957</v>
          </cell>
        </row>
        <row r="1538">
          <cell r="D1538">
            <v>10880030977</v>
          </cell>
        </row>
        <row r="1539">
          <cell r="D1539">
            <v>10880022405</v>
          </cell>
        </row>
        <row r="1540">
          <cell r="D1540">
            <v>10880029958</v>
          </cell>
        </row>
        <row r="1541">
          <cell r="D1541">
            <v>10880029958</v>
          </cell>
        </row>
        <row r="1542">
          <cell r="D1542">
            <v>10880020654</v>
          </cell>
        </row>
        <row r="1543">
          <cell r="D1543">
            <v>10880019923</v>
          </cell>
        </row>
        <row r="1544">
          <cell r="D1544">
            <v>10880018105</v>
          </cell>
        </row>
        <row r="1545">
          <cell r="D1545">
            <v>10880030920</v>
          </cell>
        </row>
        <row r="1546">
          <cell r="D1546">
            <v>10880028328</v>
          </cell>
        </row>
        <row r="1547">
          <cell r="D1547">
            <v>10880030491</v>
          </cell>
        </row>
        <row r="1548">
          <cell r="D1548">
            <v>10880020654</v>
          </cell>
        </row>
        <row r="1549">
          <cell r="D1549">
            <v>10880020555</v>
          </cell>
        </row>
        <row r="1550">
          <cell r="D1550">
            <v>10880020557</v>
          </cell>
        </row>
        <row r="1551">
          <cell r="D1551">
            <v>10880012825</v>
          </cell>
        </row>
        <row r="1552">
          <cell r="D1552">
            <v>10880028832</v>
          </cell>
        </row>
        <row r="1553">
          <cell r="D1553">
            <v>10880028307</v>
          </cell>
        </row>
        <row r="1554">
          <cell r="D1554">
            <v>10880030450</v>
          </cell>
        </row>
        <row r="1555">
          <cell r="D1555">
            <v>10880030620</v>
          </cell>
        </row>
        <row r="1556">
          <cell r="D1556">
            <v>10880028306</v>
          </cell>
        </row>
        <row r="1557">
          <cell r="D1557">
            <v>10880020654</v>
          </cell>
        </row>
        <row r="1558">
          <cell r="D1558">
            <v>10880012825</v>
          </cell>
        </row>
        <row r="1559">
          <cell r="D1559">
            <v>10880030620</v>
          </cell>
        </row>
        <row r="1560">
          <cell r="D1560">
            <v>10880015829</v>
          </cell>
        </row>
        <row r="1561">
          <cell r="D1561">
            <v>10880015830</v>
          </cell>
        </row>
        <row r="1562">
          <cell r="D1562">
            <v>10880012825</v>
          </cell>
        </row>
        <row r="1563">
          <cell r="D1563">
            <v>10880019205</v>
          </cell>
        </row>
        <row r="1564">
          <cell r="D1564">
            <v>10880028832</v>
          </cell>
        </row>
        <row r="1565">
          <cell r="D1565">
            <v>10880018093</v>
          </cell>
        </row>
        <row r="1566">
          <cell r="D1566">
            <v>10880030920</v>
          </cell>
        </row>
        <row r="1567">
          <cell r="D1567">
            <v>10880021315</v>
          </cell>
        </row>
        <row r="1568">
          <cell r="D1568">
            <v>10880020654</v>
          </cell>
        </row>
        <row r="1569">
          <cell r="D1569">
            <v>10880019205</v>
          </cell>
        </row>
        <row r="1570">
          <cell r="D1570">
            <v>10880017536</v>
          </cell>
        </row>
        <row r="1571">
          <cell r="D1571">
            <v>10880022406</v>
          </cell>
        </row>
        <row r="1572">
          <cell r="D1572">
            <v>10880020647</v>
          </cell>
        </row>
        <row r="1573">
          <cell r="D1573">
            <v>10880020647</v>
          </cell>
        </row>
        <row r="1574">
          <cell r="D1574">
            <v>10880014812</v>
          </cell>
        </row>
        <row r="1575">
          <cell r="D1575">
            <v>10880014812</v>
          </cell>
        </row>
        <row r="1576">
          <cell r="D1576">
            <v>10880028306</v>
          </cell>
        </row>
        <row r="1577">
          <cell r="D1577">
            <v>10880020555</v>
          </cell>
        </row>
        <row r="1578">
          <cell r="D1578">
            <v>10880017525</v>
          </cell>
        </row>
        <row r="1579">
          <cell r="D1579">
            <v>10880017531</v>
          </cell>
        </row>
        <row r="1580">
          <cell r="D1580">
            <v>10880021318</v>
          </cell>
        </row>
        <row r="1581">
          <cell r="D1581">
            <v>10880030021</v>
          </cell>
        </row>
        <row r="1582">
          <cell r="D1582">
            <v>10880020697</v>
          </cell>
        </row>
        <row r="1583">
          <cell r="D1583">
            <v>10880019205</v>
          </cell>
        </row>
        <row r="1584">
          <cell r="D1584">
            <v>10880017526</v>
          </cell>
        </row>
        <row r="1585">
          <cell r="D1585">
            <v>10880017527</v>
          </cell>
        </row>
        <row r="1586">
          <cell r="D1586">
            <v>10880015879</v>
          </cell>
        </row>
        <row r="1587">
          <cell r="D1587">
            <v>10880021983</v>
          </cell>
        </row>
        <row r="1588">
          <cell r="D1588">
            <v>10880015879</v>
          </cell>
        </row>
        <row r="1589">
          <cell r="D1589">
            <v>10880015879</v>
          </cell>
        </row>
        <row r="1590">
          <cell r="D1590">
            <v>10880012825</v>
          </cell>
        </row>
        <row r="1591">
          <cell r="D1591">
            <v>10880020203</v>
          </cell>
        </row>
        <row r="1592">
          <cell r="D1592">
            <v>10880020729</v>
          </cell>
        </row>
        <row r="1593">
          <cell r="D1593">
            <v>10880027958</v>
          </cell>
        </row>
        <row r="1594">
          <cell r="D1594">
            <v>10880028832</v>
          </cell>
        </row>
        <row r="1595">
          <cell r="D1595">
            <v>10880017527</v>
          </cell>
        </row>
        <row r="1596">
          <cell r="D1596">
            <v>10880017527</v>
          </cell>
        </row>
        <row r="1597">
          <cell r="D1597">
            <v>10880031307</v>
          </cell>
        </row>
        <row r="1598">
          <cell r="D1598">
            <v>10880030491</v>
          </cell>
        </row>
        <row r="1599">
          <cell r="D1599">
            <v>10880020654</v>
          </cell>
        </row>
        <row r="1600">
          <cell r="D1600">
            <v>10880020654</v>
          </cell>
        </row>
        <row r="1601">
          <cell r="D1601">
            <v>10880028929</v>
          </cell>
        </row>
        <row r="1602">
          <cell r="D1602">
            <v>10880027957</v>
          </cell>
        </row>
        <row r="1603">
          <cell r="D1603">
            <v>10880029958</v>
          </cell>
        </row>
        <row r="1604">
          <cell r="D1604">
            <v>10880028306</v>
          </cell>
        </row>
        <row r="1605">
          <cell r="D1605">
            <v>10880020678</v>
          </cell>
        </row>
        <row r="1606">
          <cell r="D1606">
            <v>10880019706</v>
          </cell>
        </row>
        <row r="1607">
          <cell r="D1607">
            <v>10880029836</v>
          </cell>
        </row>
        <row r="1608">
          <cell r="D1608">
            <v>10880020654</v>
          </cell>
        </row>
        <row r="1609">
          <cell r="D1609">
            <v>10880012825</v>
          </cell>
        </row>
        <row r="1610">
          <cell r="D1610">
            <v>10880030021</v>
          </cell>
        </row>
        <row r="1611">
          <cell r="D1611">
            <v>10880019923</v>
          </cell>
        </row>
        <row r="1612">
          <cell r="D1612">
            <v>10880020681</v>
          </cell>
        </row>
        <row r="1613">
          <cell r="D1613">
            <v>10880028306</v>
          </cell>
        </row>
        <row r="1614">
          <cell r="D1614">
            <v>10880022406</v>
          </cell>
        </row>
        <row r="1615">
          <cell r="D1615">
            <v>10880020557</v>
          </cell>
        </row>
        <row r="1616">
          <cell r="D1616">
            <v>10880028394</v>
          </cell>
        </row>
        <row r="1617">
          <cell r="D1617">
            <v>10880022123</v>
          </cell>
        </row>
        <row r="1618">
          <cell r="D1618">
            <v>10880020555</v>
          </cell>
        </row>
        <row r="1619">
          <cell r="D1619">
            <v>10880012825</v>
          </cell>
        </row>
        <row r="1620">
          <cell r="D1620">
            <v>10880018093</v>
          </cell>
        </row>
        <row r="1621">
          <cell r="D1621">
            <v>10880028306</v>
          </cell>
        </row>
        <row r="1622">
          <cell r="D1622">
            <v>10880028307</v>
          </cell>
        </row>
        <row r="1623">
          <cell r="D1623">
            <v>10880029957</v>
          </cell>
        </row>
        <row r="1624">
          <cell r="D1624">
            <v>10880028833</v>
          </cell>
        </row>
        <row r="1625">
          <cell r="D1625">
            <v>10880029958</v>
          </cell>
        </row>
        <row r="1626">
          <cell r="D1626">
            <v>10880020555</v>
          </cell>
        </row>
        <row r="1627">
          <cell r="D1627">
            <v>10880021029</v>
          </cell>
        </row>
        <row r="1628">
          <cell r="D1628">
            <v>10880018093</v>
          </cell>
        </row>
        <row r="1629">
          <cell r="D1629">
            <v>10880019240</v>
          </cell>
        </row>
        <row r="1630">
          <cell r="D1630">
            <v>10880031015</v>
          </cell>
        </row>
        <row r="1631">
          <cell r="D1631">
            <v>10880031015</v>
          </cell>
        </row>
        <row r="1632">
          <cell r="D1632">
            <v>10880030491</v>
          </cell>
        </row>
        <row r="1633">
          <cell r="D1633">
            <v>10880031183</v>
          </cell>
        </row>
        <row r="1634">
          <cell r="D1634">
            <v>10880031182</v>
          </cell>
        </row>
        <row r="1635">
          <cell r="D1635">
            <v>10880017516</v>
          </cell>
        </row>
        <row r="1636">
          <cell r="D1636">
            <v>10880020678</v>
          </cell>
        </row>
        <row r="1637">
          <cell r="D1637">
            <v>10880020192</v>
          </cell>
        </row>
        <row r="1638">
          <cell r="D1638">
            <v>10880020555</v>
          </cell>
        </row>
        <row r="1639">
          <cell r="D1639">
            <v>10880030431</v>
          </cell>
        </row>
        <row r="1640">
          <cell r="D1640">
            <v>10880030432</v>
          </cell>
        </row>
        <row r="1641">
          <cell r="D1641">
            <v>10880019923</v>
          </cell>
        </row>
        <row r="1642">
          <cell r="D1642">
            <v>10880020192</v>
          </cell>
        </row>
        <row r="1643">
          <cell r="D1643">
            <v>10880020192</v>
          </cell>
        </row>
        <row r="1644">
          <cell r="D1644">
            <v>10880020654</v>
          </cell>
        </row>
        <row r="1645">
          <cell r="D1645">
            <v>10880020678</v>
          </cell>
        </row>
        <row r="1646">
          <cell r="D1646">
            <v>10880028169</v>
          </cell>
        </row>
        <row r="1647">
          <cell r="D1647">
            <v>10880030977</v>
          </cell>
        </row>
        <row r="1648">
          <cell r="D1648">
            <v>10880022406</v>
          </cell>
        </row>
        <row r="1649">
          <cell r="D1649">
            <v>10880030491</v>
          </cell>
        </row>
        <row r="1650">
          <cell r="D1650">
            <v>10880020654</v>
          </cell>
        </row>
        <row r="1651">
          <cell r="D1651">
            <v>10880018097</v>
          </cell>
        </row>
        <row r="1652">
          <cell r="D1652">
            <v>10880022123</v>
          </cell>
        </row>
        <row r="1653">
          <cell r="D1653">
            <v>10880028832</v>
          </cell>
        </row>
        <row r="1654">
          <cell r="D1654">
            <v>10880018097</v>
          </cell>
        </row>
        <row r="1655">
          <cell r="D1655">
            <v>10880022044</v>
          </cell>
        </row>
        <row r="1656">
          <cell r="D1656">
            <v>10880018093</v>
          </cell>
        </row>
        <row r="1657">
          <cell r="D1657">
            <v>10880018093</v>
          </cell>
        </row>
        <row r="1658">
          <cell r="D1658">
            <v>10880017534</v>
          </cell>
        </row>
        <row r="1659">
          <cell r="D1659">
            <v>10880017536</v>
          </cell>
        </row>
        <row r="1660">
          <cell r="D1660">
            <v>10880017516</v>
          </cell>
        </row>
        <row r="1661">
          <cell r="D1661">
            <v>10880017516</v>
          </cell>
        </row>
        <row r="1662">
          <cell r="D1662">
            <v>10880030920</v>
          </cell>
        </row>
        <row r="1663">
          <cell r="D1663">
            <v>10880030620</v>
          </cell>
        </row>
        <row r="1664">
          <cell r="D1664">
            <v>10880031183</v>
          </cell>
        </row>
        <row r="1665">
          <cell r="D1665">
            <v>10880021029</v>
          </cell>
        </row>
        <row r="1666">
          <cell r="D1666">
            <v>10880017530</v>
          </cell>
        </row>
        <row r="1667">
          <cell r="D1667">
            <v>10880030738</v>
          </cell>
        </row>
        <row r="1668">
          <cell r="D1668">
            <v>10880030738</v>
          </cell>
        </row>
        <row r="1669">
          <cell r="D1669">
            <v>10880028905</v>
          </cell>
        </row>
        <row r="1670">
          <cell r="D1670">
            <v>10880015829</v>
          </cell>
        </row>
        <row r="1671">
          <cell r="D1671">
            <v>10880031182</v>
          </cell>
        </row>
        <row r="1672">
          <cell r="D1672">
            <v>10880031011</v>
          </cell>
        </row>
        <row r="1673">
          <cell r="D1673">
            <v>10880030551</v>
          </cell>
        </row>
        <row r="1674">
          <cell r="D1674">
            <v>10880018850</v>
          </cell>
        </row>
        <row r="1675">
          <cell r="D1675">
            <v>10880018097</v>
          </cell>
        </row>
        <row r="1676">
          <cell r="D1676">
            <v>10880018847</v>
          </cell>
        </row>
        <row r="1677">
          <cell r="D1677">
            <v>10880018845</v>
          </cell>
        </row>
        <row r="1678">
          <cell r="D1678">
            <v>10880018097</v>
          </cell>
        </row>
        <row r="1679">
          <cell r="D1679">
            <v>10880030450</v>
          </cell>
        </row>
        <row r="1680">
          <cell r="D1680">
            <v>10880018845</v>
          </cell>
        </row>
        <row r="1681">
          <cell r="D1681">
            <v>10880017531</v>
          </cell>
        </row>
        <row r="1682">
          <cell r="D1682">
            <v>10880028929</v>
          </cell>
        </row>
        <row r="1683">
          <cell r="D1683">
            <v>10880028929</v>
          </cell>
        </row>
        <row r="1684">
          <cell r="D1684">
            <v>10880020678</v>
          </cell>
        </row>
        <row r="1685">
          <cell r="D1685">
            <v>10880030608</v>
          </cell>
        </row>
        <row r="1686">
          <cell r="D1686">
            <v>10880017536</v>
          </cell>
        </row>
        <row r="1687">
          <cell r="D1687">
            <v>10880017536</v>
          </cell>
        </row>
        <row r="1688">
          <cell r="D1688">
            <v>10880028929</v>
          </cell>
        </row>
        <row r="1689">
          <cell r="D1689">
            <v>10880020222</v>
          </cell>
        </row>
        <row r="1690">
          <cell r="D1690">
            <v>10880020678</v>
          </cell>
        </row>
        <row r="1691">
          <cell r="D1691">
            <v>10880020209</v>
          </cell>
        </row>
        <row r="1692">
          <cell r="D1692">
            <v>10880030491</v>
          </cell>
        </row>
        <row r="1693">
          <cell r="D1693">
            <v>10880017526</v>
          </cell>
        </row>
        <row r="1694">
          <cell r="D1694">
            <v>10880019922</v>
          </cell>
        </row>
        <row r="1695">
          <cell r="D1695">
            <v>10880020728</v>
          </cell>
        </row>
        <row r="1696">
          <cell r="D1696">
            <v>10880020729</v>
          </cell>
        </row>
        <row r="1697">
          <cell r="D1697">
            <v>10880020677</v>
          </cell>
        </row>
        <row r="1698">
          <cell r="D1698">
            <v>10880018097</v>
          </cell>
        </row>
        <row r="1699">
          <cell r="D1699">
            <v>10880030491</v>
          </cell>
        </row>
        <row r="1700">
          <cell r="D1700">
            <v>10880020681</v>
          </cell>
        </row>
        <row r="1701">
          <cell r="D1701">
            <v>10880030243</v>
          </cell>
        </row>
        <row r="1702">
          <cell r="D1702">
            <v>10880017516</v>
          </cell>
        </row>
        <row r="1703">
          <cell r="D1703">
            <v>10880017516</v>
          </cell>
        </row>
        <row r="1704">
          <cell r="D1704">
            <v>10880031525</v>
          </cell>
        </row>
        <row r="1705">
          <cell r="D1705">
            <v>10880031563</v>
          </cell>
        </row>
        <row r="1706">
          <cell r="D1706">
            <v>10880018093</v>
          </cell>
        </row>
        <row r="1707">
          <cell r="D1707">
            <v>10880030493</v>
          </cell>
        </row>
        <row r="1708">
          <cell r="D1708">
            <v>10880018096</v>
          </cell>
        </row>
        <row r="1709">
          <cell r="D1709">
            <v>10880021895</v>
          </cell>
        </row>
        <row r="1710">
          <cell r="D1710">
            <v>10880021175</v>
          </cell>
        </row>
        <row r="1711">
          <cell r="D1711">
            <v>10880031136</v>
          </cell>
        </row>
        <row r="1712">
          <cell r="D1712">
            <v>10880030296</v>
          </cell>
        </row>
        <row r="1713">
          <cell r="D1713">
            <v>10880020681</v>
          </cell>
        </row>
        <row r="1714">
          <cell r="D1714">
            <v>10880020275</v>
          </cell>
        </row>
        <row r="1715">
          <cell r="D1715">
            <v>10880020275</v>
          </cell>
        </row>
        <row r="1716">
          <cell r="D1716">
            <v>10880029958</v>
          </cell>
        </row>
        <row r="1717">
          <cell r="D1717">
            <v>10880029958</v>
          </cell>
        </row>
        <row r="1718">
          <cell r="D1718">
            <v>10880031304</v>
          </cell>
        </row>
        <row r="1719">
          <cell r="D1719">
            <v>10880012825</v>
          </cell>
        </row>
        <row r="1720">
          <cell r="D1720">
            <v>10880028169</v>
          </cell>
        </row>
        <row r="1721">
          <cell r="D1721">
            <v>10880029957</v>
          </cell>
        </row>
        <row r="1722">
          <cell r="D1722">
            <v>10880030784</v>
          </cell>
        </row>
        <row r="1723">
          <cell r="D1723">
            <v>10880030977</v>
          </cell>
        </row>
        <row r="1724">
          <cell r="D1724">
            <v>10880030977</v>
          </cell>
        </row>
        <row r="1725">
          <cell r="D1725">
            <v>10880030920</v>
          </cell>
        </row>
        <row r="1726">
          <cell r="D1726">
            <v>10880031015</v>
          </cell>
        </row>
        <row r="1727">
          <cell r="D1727">
            <v>10880012825</v>
          </cell>
        </row>
        <row r="1728">
          <cell r="D1728">
            <v>10880028832</v>
          </cell>
        </row>
        <row r="1729">
          <cell r="D1729">
            <v>10880018097</v>
          </cell>
        </row>
        <row r="1730">
          <cell r="D1730">
            <v>10880030491</v>
          </cell>
        </row>
        <row r="1731">
          <cell r="D1731">
            <v>10880021767</v>
          </cell>
        </row>
        <row r="1732">
          <cell r="D1732">
            <v>10880020681</v>
          </cell>
        </row>
        <row r="1733">
          <cell r="D1733">
            <v>10880020681</v>
          </cell>
        </row>
        <row r="1734">
          <cell r="D1734">
            <v>10880030742</v>
          </cell>
        </row>
        <row r="1735">
          <cell r="D1735">
            <v>10880030734</v>
          </cell>
        </row>
        <row r="1736">
          <cell r="D1736">
            <v>10880022123</v>
          </cell>
        </row>
        <row r="1737">
          <cell r="D1737">
            <v>10880031304</v>
          </cell>
        </row>
        <row r="1738">
          <cell r="D1738">
            <v>10880028929</v>
          </cell>
        </row>
        <row r="1739">
          <cell r="D1739">
            <v>10880030431</v>
          </cell>
        </row>
        <row r="1740">
          <cell r="D1740">
            <v>10880030432</v>
          </cell>
        </row>
        <row r="1741">
          <cell r="D1741">
            <v>10880018097</v>
          </cell>
        </row>
        <row r="1742">
          <cell r="D1742">
            <v>10880030734</v>
          </cell>
        </row>
        <row r="1743">
          <cell r="D1743">
            <v>10880030742</v>
          </cell>
        </row>
        <row r="1744">
          <cell r="D1744">
            <v>10880030285</v>
          </cell>
        </row>
        <row r="1745">
          <cell r="D1745">
            <v>10880031304</v>
          </cell>
        </row>
        <row r="1746">
          <cell r="D1746">
            <v>10880031304</v>
          </cell>
        </row>
        <row r="1747">
          <cell r="D1747">
            <v>10880020678</v>
          </cell>
        </row>
        <row r="1748">
          <cell r="D1748">
            <v>10880030738</v>
          </cell>
        </row>
        <row r="1749">
          <cell r="D1749">
            <v>10880031072</v>
          </cell>
        </row>
        <row r="1750">
          <cell r="D1750">
            <v>10880028929</v>
          </cell>
        </row>
        <row r="1751">
          <cell r="D1751">
            <v>10880031183</v>
          </cell>
        </row>
        <row r="1752">
          <cell r="D1752">
            <v>10880020678</v>
          </cell>
        </row>
        <row r="1753">
          <cell r="D1753">
            <v>10880018097</v>
          </cell>
        </row>
        <row r="1754">
          <cell r="D1754">
            <v>10880031072</v>
          </cell>
        </row>
        <row r="1755">
          <cell r="D1755">
            <v>10880030491</v>
          </cell>
        </row>
        <row r="1756">
          <cell r="D1756">
            <v>10880020654</v>
          </cell>
        </row>
        <row r="1757">
          <cell r="D1757">
            <v>10880020647</v>
          </cell>
        </row>
        <row r="1758">
          <cell r="D1758">
            <v>10880028832</v>
          </cell>
        </row>
        <row r="1759">
          <cell r="D1759">
            <v>10880021341</v>
          </cell>
        </row>
        <row r="1760">
          <cell r="D1760">
            <v>10880014812</v>
          </cell>
        </row>
        <row r="1761">
          <cell r="D1761">
            <v>10880020555</v>
          </cell>
        </row>
        <row r="1762">
          <cell r="D1762">
            <v>10880020555</v>
          </cell>
        </row>
        <row r="1763">
          <cell r="D1763">
            <v>10880031182</v>
          </cell>
        </row>
        <row r="1764">
          <cell r="D1764">
            <v>10880031182</v>
          </cell>
        </row>
        <row r="1765">
          <cell r="D1765">
            <v>10880031184</v>
          </cell>
        </row>
        <row r="1766">
          <cell r="D1766">
            <v>10880029957</v>
          </cell>
        </row>
        <row r="1767">
          <cell r="D1767">
            <v>10880030493</v>
          </cell>
        </row>
        <row r="1768">
          <cell r="D1768">
            <v>10880018097</v>
          </cell>
        </row>
        <row r="1769">
          <cell r="D1769">
            <v>10880014812</v>
          </cell>
        </row>
        <row r="1770">
          <cell r="D1770">
            <v>10880028345</v>
          </cell>
        </row>
        <row r="1771">
          <cell r="D1771">
            <v>10880021342</v>
          </cell>
        </row>
        <row r="1772">
          <cell r="D1772">
            <v>10880019773</v>
          </cell>
        </row>
        <row r="1773">
          <cell r="D1773">
            <v>10880019773</v>
          </cell>
        </row>
        <row r="1774">
          <cell r="D1774">
            <v>10880030608</v>
          </cell>
        </row>
        <row r="1775">
          <cell r="D1775">
            <v>10880030551</v>
          </cell>
        </row>
        <row r="1776">
          <cell r="D1776">
            <v>10880017525</v>
          </cell>
        </row>
        <row r="1777">
          <cell r="D1777">
            <v>10880030977</v>
          </cell>
        </row>
        <row r="1778">
          <cell r="D1778">
            <v>10880028306</v>
          </cell>
        </row>
        <row r="1779">
          <cell r="D1779">
            <v>10880018097</v>
          </cell>
        </row>
        <row r="1780">
          <cell r="D1780">
            <v>10880012988</v>
          </cell>
        </row>
        <row r="1781">
          <cell r="D1781">
            <v>10880012988</v>
          </cell>
        </row>
        <row r="1782">
          <cell r="D1782">
            <v>10880021767</v>
          </cell>
        </row>
        <row r="1783">
          <cell r="D1783">
            <v>10880021767</v>
          </cell>
        </row>
        <row r="1784">
          <cell r="D1784">
            <v>10880031018</v>
          </cell>
        </row>
        <row r="1785">
          <cell r="D1785">
            <v>10880020557</v>
          </cell>
        </row>
        <row r="1786">
          <cell r="D1786">
            <v>10880030607</v>
          </cell>
        </row>
        <row r="1787">
          <cell r="D1787">
            <v>10880030132</v>
          </cell>
        </row>
        <row r="1788">
          <cell r="D1788">
            <v>10880017516</v>
          </cell>
        </row>
        <row r="1789">
          <cell r="D1789">
            <v>10880030432</v>
          </cell>
        </row>
        <row r="1790">
          <cell r="D1790">
            <v>10880028306</v>
          </cell>
        </row>
        <row r="1791">
          <cell r="D1791">
            <v>10880017516</v>
          </cell>
        </row>
        <row r="1792">
          <cell r="D1792">
            <v>10880017516</v>
          </cell>
        </row>
        <row r="1793">
          <cell r="D1793">
            <v>10880028306</v>
          </cell>
        </row>
        <row r="1794">
          <cell r="D1794">
            <v>10880028169</v>
          </cell>
        </row>
        <row r="1795">
          <cell r="D1795">
            <v>10880031307</v>
          </cell>
        </row>
        <row r="1796">
          <cell r="D1796">
            <v>10880030920</v>
          </cell>
        </row>
        <row r="1797">
          <cell r="D1797">
            <v>10880028328</v>
          </cell>
        </row>
        <row r="1798">
          <cell r="D1798">
            <v>10880021767</v>
          </cell>
        </row>
        <row r="1799">
          <cell r="D1799">
            <v>10880018093</v>
          </cell>
        </row>
        <row r="1800">
          <cell r="D1800">
            <v>10880012825</v>
          </cell>
        </row>
        <row r="1801">
          <cell r="D1801">
            <v>10880030599</v>
          </cell>
        </row>
        <row r="1802">
          <cell r="D1802">
            <v>10880018845</v>
          </cell>
        </row>
        <row r="1803">
          <cell r="D1803">
            <v>10880031135</v>
          </cell>
        </row>
        <row r="1804">
          <cell r="D1804">
            <v>10880018105</v>
          </cell>
        </row>
        <row r="1805">
          <cell r="D1805">
            <v>10880030432</v>
          </cell>
        </row>
        <row r="1806">
          <cell r="D1806">
            <v>10880020678</v>
          </cell>
        </row>
        <row r="1807">
          <cell r="D1807">
            <v>10880030742</v>
          </cell>
        </row>
        <row r="1808">
          <cell r="D1808">
            <v>10880030491</v>
          </cell>
        </row>
        <row r="1809">
          <cell r="D1809">
            <v>10880015879</v>
          </cell>
        </row>
        <row r="1810">
          <cell r="D1810">
            <v>10880015879</v>
          </cell>
        </row>
        <row r="1811">
          <cell r="D1811">
            <v>10880015879</v>
          </cell>
        </row>
        <row r="1812">
          <cell r="D1812">
            <v>10880031304</v>
          </cell>
        </row>
        <row r="1813">
          <cell r="D1813">
            <v>10880030004</v>
          </cell>
        </row>
        <row r="1814">
          <cell r="D1814">
            <v>10880031570</v>
          </cell>
        </row>
        <row r="1815">
          <cell r="D1815">
            <v>10880027958</v>
          </cell>
        </row>
        <row r="1816">
          <cell r="D1816">
            <v>10880020678</v>
          </cell>
        </row>
        <row r="1817">
          <cell r="D1817">
            <v>10880019205</v>
          </cell>
        </row>
        <row r="1818">
          <cell r="D1818">
            <v>10880018097</v>
          </cell>
        </row>
        <row r="1819">
          <cell r="D1819">
            <v>10880030491</v>
          </cell>
        </row>
        <row r="1820">
          <cell r="D1820">
            <v>10880030004</v>
          </cell>
        </row>
        <row r="1821">
          <cell r="D1821">
            <v>10880028905</v>
          </cell>
        </row>
        <row r="1822">
          <cell r="D1822">
            <v>10880020555</v>
          </cell>
        </row>
        <row r="1823">
          <cell r="D1823">
            <v>10880030620</v>
          </cell>
        </row>
        <row r="1824">
          <cell r="D1824">
            <v>10880030608</v>
          </cell>
        </row>
        <row r="1825">
          <cell r="D1825">
            <v>10880031182</v>
          </cell>
        </row>
        <row r="1826">
          <cell r="D1826">
            <v>10880030432</v>
          </cell>
        </row>
        <row r="1827">
          <cell r="D1827">
            <v>10880031015</v>
          </cell>
        </row>
        <row r="1828">
          <cell r="D1828">
            <v>10880019205</v>
          </cell>
        </row>
        <row r="1829">
          <cell r="D1829">
            <v>10880018097</v>
          </cell>
        </row>
        <row r="1830">
          <cell r="D1830">
            <v>10880020555</v>
          </cell>
        </row>
        <row r="1831">
          <cell r="D1831">
            <v>10880030607</v>
          </cell>
        </row>
        <row r="1832">
          <cell r="D1832">
            <v>10880031570</v>
          </cell>
        </row>
        <row r="1833">
          <cell r="D1833">
            <v>10880018093</v>
          </cell>
        </row>
        <row r="1834">
          <cell r="D1834">
            <v>10880030432</v>
          </cell>
        </row>
        <row r="1835">
          <cell r="D1835">
            <v>10880028832</v>
          </cell>
        </row>
        <row r="1836">
          <cell r="D1836">
            <v>10880030734</v>
          </cell>
        </row>
        <row r="1837">
          <cell r="D1837">
            <v>10880016862</v>
          </cell>
        </row>
        <row r="1838">
          <cell r="D1838">
            <v>10880029958</v>
          </cell>
        </row>
        <row r="1839">
          <cell r="D1839">
            <v>10880020654</v>
          </cell>
        </row>
        <row r="1840">
          <cell r="D1840">
            <v>10880020654</v>
          </cell>
        </row>
        <row r="1841">
          <cell r="D1841">
            <v>10880018093</v>
          </cell>
        </row>
        <row r="1842">
          <cell r="D1842">
            <v>10880012825</v>
          </cell>
        </row>
        <row r="1843">
          <cell r="D1843">
            <v>10880031015</v>
          </cell>
        </row>
        <row r="1844">
          <cell r="D1844">
            <v>10880031184</v>
          </cell>
        </row>
        <row r="1845">
          <cell r="D1845">
            <v>10880017948</v>
          </cell>
        </row>
        <row r="1846">
          <cell r="D1846">
            <v>10880029957</v>
          </cell>
        </row>
        <row r="1847">
          <cell r="D1847">
            <v>10880030432</v>
          </cell>
        </row>
        <row r="1848">
          <cell r="D1848">
            <v>10880020678</v>
          </cell>
        </row>
        <row r="1849">
          <cell r="D1849">
            <v>10880017534</v>
          </cell>
        </row>
        <row r="1850">
          <cell r="D1850">
            <v>10880022123</v>
          </cell>
        </row>
        <row r="1851">
          <cell r="D1851">
            <v>10880031096</v>
          </cell>
        </row>
        <row r="1852">
          <cell r="D1852">
            <v>10880030932</v>
          </cell>
        </row>
        <row r="1853">
          <cell r="D1853">
            <v>10880020555</v>
          </cell>
        </row>
        <row r="1854">
          <cell r="D1854">
            <v>10880030598</v>
          </cell>
        </row>
        <row r="1855">
          <cell r="D1855">
            <v>10880019434</v>
          </cell>
        </row>
        <row r="1856">
          <cell r="D1856">
            <v>10880019434</v>
          </cell>
        </row>
        <row r="1857">
          <cell r="D1857">
            <v>10880030976</v>
          </cell>
        </row>
        <row r="1858">
          <cell r="D1858">
            <v>10880020681</v>
          </cell>
        </row>
        <row r="1859">
          <cell r="D1859">
            <v>10880018097</v>
          </cell>
        </row>
        <row r="1860">
          <cell r="D1860">
            <v>10880017536</v>
          </cell>
        </row>
        <row r="1861">
          <cell r="D1861">
            <v>10880030243</v>
          </cell>
        </row>
        <row r="1862">
          <cell r="D1862">
            <v>10880029837</v>
          </cell>
        </row>
        <row r="1863">
          <cell r="D1863">
            <v>10880020555</v>
          </cell>
        </row>
        <row r="1864">
          <cell r="D1864">
            <v>10880022405</v>
          </cell>
        </row>
        <row r="1865">
          <cell r="D1865">
            <v>10880022406</v>
          </cell>
        </row>
        <row r="1866">
          <cell r="D1866">
            <v>10880028306</v>
          </cell>
        </row>
        <row r="1867">
          <cell r="D1867">
            <v>10880030551</v>
          </cell>
        </row>
        <row r="1868">
          <cell r="D1868">
            <v>10880031242</v>
          </cell>
        </row>
        <row r="1869">
          <cell r="D1869">
            <v>10880031243</v>
          </cell>
        </row>
        <row r="1870">
          <cell r="D1870">
            <v>10880031560</v>
          </cell>
        </row>
        <row r="1871">
          <cell r="D1871">
            <v>10880028169</v>
          </cell>
        </row>
        <row r="1872">
          <cell r="D1872">
            <v>10880030742</v>
          </cell>
        </row>
        <row r="1873">
          <cell r="D1873">
            <v>10880030742</v>
          </cell>
        </row>
        <row r="1874">
          <cell r="D1874">
            <v>10880014812</v>
          </cell>
        </row>
        <row r="1875">
          <cell r="D1875">
            <v>10880014778</v>
          </cell>
        </row>
        <row r="1876">
          <cell r="D1876">
            <v>10880021985</v>
          </cell>
        </row>
        <row r="1877">
          <cell r="D1877">
            <v>10880021983</v>
          </cell>
        </row>
        <row r="1878">
          <cell r="D1878">
            <v>10880022406</v>
          </cell>
        </row>
        <row r="1879">
          <cell r="D1879">
            <v>10880028306</v>
          </cell>
        </row>
        <row r="1880">
          <cell r="D1880">
            <v>10880021029</v>
          </cell>
        </row>
        <row r="1881">
          <cell r="D1881">
            <v>10880017949</v>
          </cell>
        </row>
        <row r="1882">
          <cell r="D1882">
            <v>10880031184</v>
          </cell>
        </row>
        <row r="1883">
          <cell r="D1883">
            <v>10880031304</v>
          </cell>
        </row>
        <row r="1884">
          <cell r="D1884">
            <v>10880019205</v>
          </cell>
        </row>
        <row r="1885">
          <cell r="D1885">
            <v>10880020678</v>
          </cell>
        </row>
        <row r="1886">
          <cell r="D1886">
            <v>10880030734</v>
          </cell>
        </row>
        <row r="1887">
          <cell r="D1887">
            <v>10880030491</v>
          </cell>
        </row>
        <row r="1888">
          <cell r="D1888">
            <v>10880020654</v>
          </cell>
        </row>
        <row r="1889">
          <cell r="D1889">
            <v>10880021029</v>
          </cell>
        </row>
        <row r="1890">
          <cell r="D1890">
            <v>10880017949</v>
          </cell>
        </row>
        <row r="1891">
          <cell r="D1891">
            <v>10880019205</v>
          </cell>
        </row>
        <row r="1892">
          <cell r="D1892">
            <v>10880027958</v>
          </cell>
        </row>
        <row r="1893">
          <cell r="D1893">
            <v>10880031560</v>
          </cell>
        </row>
        <row r="1894">
          <cell r="D1894">
            <v>10880020678</v>
          </cell>
        </row>
        <row r="1895">
          <cell r="D1895">
            <v>10880030734</v>
          </cell>
        </row>
        <row r="1896">
          <cell r="D1896">
            <v>10880021767</v>
          </cell>
        </row>
        <row r="1897">
          <cell r="D1897">
            <v>10880031018</v>
          </cell>
        </row>
        <row r="1898">
          <cell r="D1898">
            <v>10880021029</v>
          </cell>
        </row>
        <row r="1899">
          <cell r="D1899">
            <v>10880027958</v>
          </cell>
        </row>
        <row r="1900">
          <cell r="D1900">
            <v>10880031560</v>
          </cell>
        </row>
        <row r="1901">
          <cell r="D1901">
            <v>10880020681</v>
          </cell>
        </row>
        <row r="1902">
          <cell r="D1902">
            <v>10880017536</v>
          </cell>
        </row>
        <row r="1903">
          <cell r="D1903">
            <v>10880018096</v>
          </cell>
        </row>
        <row r="1904">
          <cell r="D1904">
            <v>10880018105</v>
          </cell>
        </row>
        <row r="1905">
          <cell r="D1905">
            <v>10880020555</v>
          </cell>
        </row>
        <row r="1906">
          <cell r="D1906">
            <v>10880021029</v>
          </cell>
        </row>
        <row r="1907">
          <cell r="D1907">
            <v>10880017949</v>
          </cell>
        </row>
        <row r="1908">
          <cell r="D1908">
            <v>10880027957</v>
          </cell>
        </row>
        <row r="1909">
          <cell r="D1909">
            <v>10880017526</v>
          </cell>
        </row>
        <row r="1910">
          <cell r="D1910">
            <v>10880019205</v>
          </cell>
        </row>
        <row r="1911">
          <cell r="D1911">
            <v>10880020940</v>
          </cell>
        </row>
        <row r="1912">
          <cell r="D1912">
            <v>10880018097</v>
          </cell>
        </row>
        <row r="1913">
          <cell r="D1913">
            <v>10880015830</v>
          </cell>
        </row>
        <row r="1914">
          <cell r="D1914">
            <v>10880021315</v>
          </cell>
        </row>
        <row r="1915">
          <cell r="D1915">
            <v>10880019777</v>
          </cell>
        </row>
        <row r="1916">
          <cell r="D1916">
            <v>10880031304</v>
          </cell>
        </row>
        <row r="1917">
          <cell r="D1917">
            <v>10880028307</v>
          </cell>
        </row>
        <row r="1918">
          <cell r="D1918">
            <v>10880031560</v>
          </cell>
        </row>
        <row r="1919">
          <cell r="D1919">
            <v>10880031525</v>
          </cell>
        </row>
        <row r="1920">
          <cell r="D1920">
            <v>10880031563</v>
          </cell>
        </row>
        <row r="1921">
          <cell r="D1921">
            <v>10880020697</v>
          </cell>
        </row>
        <row r="1922">
          <cell r="D1922">
            <v>10880020678</v>
          </cell>
        </row>
        <row r="1923">
          <cell r="D1923">
            <v>10880030920</v>
          </cell>
        </row>
        <row r="1924">
          <cell r="D1924">
            <v>10880027854</v>
          </cell>
        </row>
        <row r="1925">
          <cell r="D1925">
            <v>10880019222</v>
          </cell>
        </row>
        <row r="1926">
          <cell r="D1926">
            <v>10880031304</v>
          </cell>
        </row>
        <row r="1927">
          <cell r="D1927">
            <v>10880028306</v>
          </cell>
        </row>
        <row r="1928">
          <cell r="D1928">
            <v>10880020203</v>
          </cell>
        </row>
        <row r="1929">
          <cell r="D1929">
            <v>10880028832</v>
          </cell>
        </row>
        <row r="1930">
          <cell r="D1930">
            <v>10880028169</v>
          </cell>
        </row>
        <row r="1931">
          <cell r="D1931">
            <v>10880028169</v>
          </cell>
        </row>
        <row r="1932">
          <cell r="D1932">
            <v>10880030004</v>
          </cell>
        </row>
        <row r="1933">
          <cell r="D1933">
            <v>10880022406</v>
          </cell>
        </row>
        <row r="1934">
          <cell r="D1934">
            <v>10880020654</v>
          </cell>
        </row>
        <row r="1935">
          <cell r="D1935">
            <v>10880020681</v>
          </cell>
        </row>
        <row r="1936">
          <cell r="D1936">
            <v>10880018097</v>
          </cell>
        </row>
        <row r="1937">
          <cell r="D1937">
            <v>10880029156</v>
          </cell>
        </row>
        <row r="1938">
          <cell r="D1938">
            <v>10880030004</v>
          </cell>
        </row>
        <row r="1939">
          <cell r="D1939">
            <v>10880020654</v>
          </cell>
        </row>
        <row r="1940">
          <cell r="D1940">
            <v>10880020557</v>
          </cell>
        </row>
        <row r="1941">
          <cell r="D1941">
            <v>10880012825</v>
          </cell>
        </row>
        <row r="1942">
          <cell r="D1942">
            <v>10880031018</v>
          </cell>
        </row>
        <row r="1943">
          <cell r="D1943">
            <v>10880017531</v>
          </cell>
        </row>
        <row r="1944">
          <cell r="D1944">
            <v>10880018093</v>
          </cell>
        </row>
        <row r="1945">
          <cell r="D1945">
            <v>10880028306</v>
          </cell>
        </row>
        <row r="1946">
          <cell r="D1946">
            <v>10880020192</v>
          </cell>
        </row>
        <row r="1947">
          <cell r="D1947">
            <v>10880030920</v>
          </cell>
        </row>
        <row r="1948">
          <cell r="D1948">
            <v>10880030932</v>
          </cell>
        </row>
        <row r="1949">
          <cell r="D1949">
            <v>10880018105</v>
          </cell>
        </row>
        <row r="1950">
          <cell r="D1950">
            <v>10880028345</v>
          </cell>
        </row>
        <row r="1951">
          <cell r="D1951">
            <v>10880028328</v>
          </cell>
        </row>
        <row r="1952">
          <cell r="D1952">
            <v>10880017532</v>
          </cell>
        </row>
        <row r="1953">
          <cell r="D1953">
            <v>10880017516</v>
          </cell>
        </row>
        <row r="1954">
          <cell r="D1954">
            <v>10880031570</v>
          </cell>
        </row>
        <row r="1955">
          <cell r="D1955">
            <v>10880019434</v>
          </cell>
        </row>
        <row r="1956">
          <cell r="D1956">
            <v>10880031600</v>
          </cell>
        </row>
        <row r="1957">
          <cell r="D1957">
            <v>10880020203</v>
          </cell>
        </row>
        <row r="1958">
          <cell r="D1958">
            <v>10880020697</v>
          </cell>
        </row>
        <row r="1959">
          <cell r="D1959">
            <v>10880030608</v>
          </cell>
        </row>
        <row r="1960">
          <cell r="D1960">
            <v>10880018097</v>
          </cell>
        </row>
        <row r="1961">
          <cell r="D1961">
            <v>10880012825</v>
          </cell>
        </row>
        <row r="1962">
          <cell r="D1962">
            <v>10880018093</v>
          </cell>
        </row>
        <row r="1963">
          <cell r="D1963">
            <v>10880028306</v>
          </cell>
        </row>
        <row r="1964">
          <cell r="D1964">
            <v>10880018096</v>
          </cell>
        </row>
        <row r="1965">
          <cell r="D1965">
            <v>10880018105</v>
          </cell>
        </row>
        <row r="1966">
          <cell r="D1966">
            <v>10880031304</v>
          </cell>
        </row>
        <row r="1967">
          <cell r="D1967">
            <v>10880019434</v>
          </cell>
        </row>
        <row r="1968">
          <cell r="D1968">
            <v>10880030599</v>
          </cell>
        </row>
        <row r="1969">
          <cell r="D1969">
            <v>10880028306</v>
          </cell>
        </row>
        <row r="1970">
          <cell r="D1970">
            <v>10880029156</v>
          </cell>
        </row>
        <row r="1971">
          <cell r="D1971">
            <v>10880021895</v>
          </cell>
        </row>
        <row r="1972">
          <cell r="D1972">
            <v>10880019240</v>
          </cell>
        </row>
        <row r="1973">
          <cell r="D1973">
            <v>10880030491</v>
          </cell>
        </row>
        <row r="1974">
          <cell r="D1974">
            <v>10880021767</v>
          </cell>
        </row>
        <row r="1975">
          <cell r="D1975">
            <v>10880029999</v>
          </cell>
        </row>
        <row r="1976">
          <cell r="D1976">
            <v>10880020555</v>
          </cell>
        </row>
        <row r="1977">
          <cell r="D1977">
            <v>10880017516</v>
          </cell>
        </row>
        <row r="1978">
          <cell r="D1978">
            <v>10880017516</v>
          </cell>
        </row>
        <row r="1979">
          <cell r="D1979">
            <v>10880021612</v>
          </cell>
        </row>
        <row r="1980">
          <cell r="D1980">
            <v>10880017949</v>
          </cell>
        </row>
        <row r="1981">
          <cell r="D1981">
            <v>10880028306</v>
          </cell>
        </row>
        <row r="1982">
          <cell r="D1982">
            <v>10880021767</v>
          </cell>
        </row>
        <row r="1983">
          <cell r="D1983">
            <v>10880020555</v>
          </cell>
        </row>
        <row r="1984">
          <cell r="D1984">
            <v>10880022123</v>
          </cell>
        </row>
        <row r="1985">
          <cell r="D1985">
            <v>10880017949</v>
          </cell>
        </row>
        <row r="1986">
          <cell r="D1986">
            <v>10880018093</v>
          </cell>
        </row>
        <row r="1987">
          <cell r="D1987">
            <v>10880030551</v>
          </cell>
        </row>
        <row r="1988">
          <cell r="D1988">
            <v>10880029957</v>
          </cell>
        </row>
        <row r="1989">
          <cell r="D1989">
            <v>10880030607</v>
          </cell>
        </row>
        <row r="1990">
          <cell r="D1990">
            <v>10880028834</v>
          </cell>
        </row>
        <row r="1991">
          <cell r="D1991">
            <v>10880031072</v>
          </cell>
        </row>
        <row r="1992">
          <cell r="D1992">
            <v>10880028929</v>
          </cell>
        </row>
        <row r="1993">
          <cell r="D1993">
            <v>10880030620</v>
          </cell>
        </row>
        <row r="1994">
          <cell r="D1994">
            <v>10880030620</v>
          </cell>
        </row>
        <row r="1995">
          <cell r="D1995">
            <v>10880031185</v>
          </cell>
        </row>
        <row r="1996">
          <cell r="D1996">
            <v>10880029957</v>
          </cell>
        </row>
        <row r="1997">
          <cell r="D1997">
            <v>10880030285</v>
          </cell>
        </row>
        <row r="1998">
          <cell r="D1998">
            <v>10880022044</v>
          </cell>
        </row>
        <row r="1999">
          <cell r="D1999">
            <v>10880031182</v>
          </cell>
        </row>
        <row r="2000">
          <cell r="D2000">
            <v>10880031183</v>
          </cell>
        </row>
        <row r="2001">
          <cell r="D2001">
            <v>10880018093</v>
          </cell>
        </row>
        <row r="2002">
          <cell r="D2002">
            <v>10880031560</v>
          </cell>
        </row>
        <row r="2003">
          <cell r="D2003">
            <v>10880031760</v>
          </cell>
        </row>
        <row r="2004">
          <cell r="D2004">
            <v>10880020681</v>
          </cell>
        </row>
        <row r="2005">
          <cell r="D2005">
            <v>10880030920</v>
          </cell>
        </row>
        <row r="2006">
          <cell r="D2006">
            <v>10880030244</v>
          </cell>
        </row>
        <row r="2007">
          <cell r="D2007">
            <v>10880020275</v>
          </cell>
        </row>
        <row r="2008">
          <cell r="D2008">
            <v>10880020654</v>
          </cell>
        </row>
        <row r="2009">
          <cell r="D2009">
            <v>10880030299</v>
          </cell>
        </row>
        <row r="2010">
          <cell r="D2010">
            <v>10880021029</v>
          </cell>
        </row>
        <row r="2011">
          <cell r="D2011">
            <v>10880017949</v>
          </cell>
        </row>
        <row r="2012">
          <cell r="D2012">
            <v>10880020192</v>
          </cell>
        </row>
        <row r="2013">
          <cell r="D2013">
            <v>10880020192</v>
          </cell>
        </row>
        <row r="2014">
          <cell r="D2014">
            <v>10880020678</v>
          </cell>
        </row>
        <row r="2015">
          <cell r="D2015">
            <v>10880030977</v>
          </cell>
        </row>
        <row r="2016">
          <cell r="D2016">
            <v>10880018097</v>
          </cell>
        </row>
        <row r="2017">
          <cell r="D2017">
            <v>10880028905</v>
          </cell>
        </row>
        <row r="2018">
          <cell r="D2018">
            <v>10880029958</v>
          </cell>
        </row>
        <row r="2019">
          <cell r="D2019">
            <v>10880020555</v>
          </cell>
        </row>
        <row r="2020">
          <cell r="D2020">
            <v>10880017948</v>
          </cell>
        </row>
        <row r="2021">
          <cell r="D2021">
            <v>10880017516</v>
          </cell>
        </row>
        <row r="2022">
          <cell r="D2022">
            <v>10880017516</v>
          </cell>
        </row>
        <row r="2023">
          <cell r="D2023">
            <v>10880031560</v>
          </cell>
        </row>
        <row r="2024">
          <cell r="D2024">
            <v>10880017531</v>
          </cell>
        </row>
        <row r="2025">
          <cell r="D2025">
            <v>10880017536</v>
          </cell>
        </row>
        <row r="2026">
          <cell r="D2026">
            <v>10880018097</v>
          </cell>
        </row>
        <row r="2027">
          <cell r="D2027">
            <v>10880028753</v>
          </cell>
        </row>
        <row r="2028">
          <cell r="D2028">
            <v>10880018105</v>
          </cell>
        </row>
        <row r="2029">
          <cell r="D2029">
            <v>10880020555</v>
          </cell>
        </row>
        <row r="2030">
          <cell r="D2030">
            <v>10880017525</v>
          </cell>
        </row>
        <row r="2031">
          <cell r="D2031">
            <v>10880030608</v>
          </cell>
        </row>
        <row r="2032">
          <cell r="D2032">
            <v>10880022406</v>
          </cell>
        </row>
        <row r="2033">
          <cell r="D2033">
            <v>10880017949</v>
          </cell>
        </row>
        <row r="2034">
          <cell r="D2034">
            <v>10880017516</v>
          </cell>
        </row>
        <row r="2035">
          <cell r="D2035">
            <v>10880017526</v>
          </cell>
        </row>
        <row r="2036">
          <cell r="D2036">
            <v>10880030784</v>
          </cell>
        </row>
        <row r="2037">
          <cell r="D2037">
            <v>10880028832</v>
          </cell>
        </row>
        <row r="2038">
          <cell r="D2038">
            <v>10880019777</v>
          </cell>
        </row>
        <row r="2039">
          <cell r="D2039">
            <v>10880019777</v>
          </cell>
        </row>
        <row r="2040">
          <cell r="D2040">
            <v>10880014414</v>
          </cell>
        </row>
        <row r="2041">
          <cell r="D2041">
            <v>10880021612</v>
          </cell>
        </row>
        <row r="2042">
          <cell r="D2042">
            <v>10880018847</v>
          </cell>
        </row>
        <row r="2043">
          <cell r="D2043">
            <v>10880017527</v>
          </cell>
        </row>
        <row r="2044">
          <cell r="D2044">
            <v>10880028306</v>
          </cell>
        </row>
        <row r="2045">
          <cell r="D2045">
            <v>10880022443</v>
          </cell>
        </row>
        <row r="2046">
          <cell r="D2046">
            <v>10880021172</v>
          </cell>
        </row>
        <row r="2047">
          <cell r="D2047">
            <v>10880018096</v>
          </cell>
        </row>
        <row r="2048">
          <cell r="D2048">
            <v>10880022123</v>
          </cell>
        </row>
        <row r="2049">
          <cell r="D2049">
            <v>10880021767</v>
          </cell>
        </row>
        <row r="2050">
          <cell r="D2050">
            <v>10880020555</v>
          </cell>
        </row>
        <row r="2051">
          <cell r="D2051">
            <v>10880020555</v>
          </cell>
        </row>
        <row r="2052">
          <cell r="D2052">
            <v>10880018845</v>
          </cell>
        </row>
        <row r="2053">
          <cell r="D2053">
            <v>10880019222</v>
          </cell>
        </row>
        <row r="2054">
          <cell r="D2054">
            <v>10880020802</v>
          </cell>
        </row>
        <row r="2055">
          <cell r="D2055">
            <v>10880030432</v>
          </cell>
        </row>
        <row r="2056">
          <cell r="D2056">
            <v>10880018093</v>
          </cell>
        </row>
        <row r="2057">
          <cell r="D2057">
            <v>10880018097</v>
          </cell>
        </row>
        <row r="2058">
          <cell r="D2058">
            <v>10880031072</v>
          </cell>
        </row>
        <row r="2059">
          <cell r="D2059">
            <v>10880022405</v>
          </cell>
        </row>
        <row r="2060">
          <cell r="D2060">
            <v>10880016525</v>
          </cell>
        </row>
        <row r="2061">
          <cell r="D2061">
            <v>10880016864</v>
          </cell>
        </row>
        <row r="2062">
          <cell r="D2062">
            <v>10880018850</v>
          </cell>
        </row>
        <row r="2063">
          <cell r="D2063">
            <v>10880018850</v>
          </cell>
        </row>
        <row r="2064">
          <cell r="D2064">
            <v>10880031560</v>
          </cell>
        </row>
        <row r="2065">
          <cell r="D2065">
            <v>10880017531</v>
          </cell>
        </row>
        <row r="2066">
          <cell r="D2066">
            <v>10880020208</v>
          </cell>
        </row>
        <row r="2067">
          <cell r="D2067">
            <v>10880031135</v>
          </cell>
        </row>
        <row r="2068">
          <cell r="D2068">
            <v>10880031072</v>
          </cell>
        </row>
        <row r="2069">
          <cell r="D2069">
            <v>10880021767</v>
          </cell>
        </row>
        <row r="2070">
          <cell r="D2070">
            <v>10880029999</v>
          </cell>
        </row>
        <row r="2071">
          <cell r="D2071">
            <v>10880018105</v>
          </cell>
        </row>
        <row r="2072">
          <cell r="D2072">
            <v>10880021029</v>
          </cell>
        </row>
        <row r="2073">
          <cell r="D2073">
            <v>10880020681</v>
          </cell>
        </row>
        <row r="2074">
          <cell r="D2074">
            <v>10880030920</v>
          </cell>
        </row>
        <row r="2075">
          <cell r="D2075">
            <v>10880021172</v>
          </cell>
        </row>
        <row r="2076">
          <cell r="D2076">
            <v>10880031570</v>
          </cell>
        </row>
        <row r="2077">
          <cell r="D2077">
            <v>10880031570</v>
          </cell>
        </row>
        <row r="2078">
          <cell r="D2078">
            <v>10880018105</v>
          </cell>
        </row>
        <row r="2079">
          <cell r="D2079">
            <v>10880014812</v>
          </cell>
        </row>
        <row r="2080">
          <cell r="D2080">
            <v>10880031304</v>
          </cell>
        </row>
        <row r="2081">
          <cell r="D2081">
            <v>10880017516</v>
          </cell>
        </row>
        <row r="2082">
          <cell r="D2082">
            <v>10880017516</v>
          </cell>
        </row>
        <row r="2083">
          <cell r="D2083">
            <v>10880031760</v>
          </cell>
        </row>
        <row r="2084">
          <cell r="D2084">
            <v>10880020678</v>
          </cell>
        </row>
        <row r="2085">
          <cell r="D2085">
            <v>10880031570</v>
          </cell>
        </row>
        <row r="2086">
          <cell r="D2086">
            <v>10880031570</v>
          </cell>
        </row>
        <row r="2087">
          <cell r="D2087">
            <v>10880020557</v>
          </cell>
        </row>
        <row r="2088">
          <cell r="D2088">
            <v>10880021612</v>
          </cell>
        </row>
        <row r="2089">
          <cell r="D2089">
            <v>10880017948</v>
          </cell>
        </row>
        <row r="2090">
          <cell r="D2090">
            <v>10880030598</v>
          </cell>
        </row>
        <row r="2091">
          <cell r="D2091">
            <v>10880028832</v>
          </cell>
        </row>
        <row r="2092">
          <cell r="D2092">
            <v>10880017536</v>
          </cell>
        </row>
        <row r="2093">
          <cell r="D2093">
            <v>10880031570</v>
          </cell>
        </row>
        <row r="2094">
          <cell r="D2094">
            <v>10880027854</v>
          </cell>
        </row>
        <row r="2095">
          <cell r="D2095">
            <v>10880015830</v>
          </cell>
        </row>
        <row r="2096">
          <cell r="D2096">
            <v>10880015829</v>
          </cell>
        </row>
        <row r="2097">
          <cell r="D2097">
            <v>10880022406</v>
          </cell>
        </row>
        <row r="2098">
          <cell r="D2098">
            <v>10880028929</v>
          </cell>
        </row>
        <row r="2099">
          <cell r="D2099">
            <v>10880030608</v>
          </cell>
        </row>
        <row r="2100">
          <cell r="D2100">
            <v>10880030432</v>
          </cell>
        </row>
        <row r="2101">
          <cell r="D2101">
            <v>10880032043</v>
          </cell>
        </row>
        <row r="2102">
          <cell r="D2102">
            <v>10880032042</v>
          </cell>
        </row>
        <row r="2103">
          <cell r="D2103">
            <v>10880032035</v>
          </cell>
        </row>
        <row r="2104">
          <cell r="D2104">
            <v>10880028169</v>
          </cell>
        </row>
        <row r="2105">
          <cell r="D2105">
            <v>10880020681</v>
          </cell>
        </row>
        <row r="2106">
          <cell r="D2106">
            <v>10880030920</v>
          </cell>
        </row>
        <row r="2107">
          <cell r="D2107">
            <v>10880021019</v>
          </cell>
        </row>
        <row r="2108">
          <cell r="D2108">
            <v>10880018105</v>
          </cell>
        </row>
        <row r="2109">
          <cell r="D2109">
            <v>10880014414</v>
          </cell>
        </row>
        <row r="2110">
          <cell r="D2110">
            <v>10880014363</v>
          </cell>
        </row>
        <row r="2111">
          <cell r="D2111">
            <v>10880016525</v>
          </cell>
        </row>
        <row r="2112">
          <cell r="D2112">
            <v>10880016864</v>
          </cell>
        </row>
        <row r="2113">
          <cell r="D2113">
            <v>10880016864</v>
          </cell>
        </row>
        <row r="2114">
          <cell r="D2114">
            <v>10880031164</v>
          </cell>
        </row>
        <row r="2115">
          <cell r="D2115">
            <v>10880020209</v>
          </cell>
        </row>
        <row r="2116">
          <cell r="D2116">
            <v>10880022443</v>
          </cell>
        </row>
        <row r="2117">
          <cell r="D2117">
            <v>10880022123</v>
          </cell>
        </row>
        <row r="2118">
          <cell r="D2118">
            <v>10880030243</v>
          </cell>
        </row>
        <row r="2119">
          <cell r="D2119">
            <v>10880030243</v>
          </cell>
        </row>
        <row r="2120">
          <cell r="D2120">
            <v>10880012825</v>
          </cell>
        </row>
        <row r="2121">
          <cell r="D2121">
            <v>10880017949</v>
          </cell>
        </row>
        <row r="2122">
          <cell r="D2122">
            <v>10880028306</v>
          </cell>
        </row>
        <row r="2123">
          <cell r="D2123">
            <v>10880030607</v>
          </cell>
        </row>
        <row r="2124">
          <cell r="D2124">
            <v>10880020555</v>
          </cell>
        </row>
        <row r="2125">
          <cell r="D2125">
            <v>10880028306</v>
          </cell>
        </row>
        <row r="2126">
          <cell r="D2126">
            <v>10880031560</v>
          </cell>
        </row>
        <row r="2127">
          <cell r="D2127">
            <v>10880032036</v>
          </cell>
        </row>
        <row r="2128">
          <cell r="D2128">
            <v>10880032046</v>
          </cell>
        </row>
        <row r="2129">
          <cell r="D2129">
            <v>10880032045</v>
          </cell>
        </row>
        <row r="2130">
          <cell r="D2130">
            <v>10880021015</v>
          </cell>
        </row>
        <row r="2131">
          <cell r="D2131">
            <v>10880028328</v>
          </cell>
        </row>
        <row r="2132">
          <cell r="D2132">
            <v>10880021767</v>
          </cell>
        </row>
        <row r="2133">
          <cell r="D2133">
            <v>10880030932</v>
          </cell>
        </row>
        <row r="2134">
          <cell r="D2134">
            <v>10880031072</v>
          </cell>
        </row>
        <row r="2135">
          <cell r="D2135">
            <v>10880031185</v>
          </cell>
        </row>
        <row r="2136">
          <cell r="D2136">
            <v>10880017516</v>
          </cell>
        </row>
        <row r="2137">
          <cell r="D2137">
            <v>10880020208</v>
          </cell>
        </row>
        <row r="2138">
          <cell r="D2138">
            <v>10880030608</v>
          </cell>
        </row>
        <row r="2139">
          <cell r="D2139">
            <v>10880018097</v>
          </cell>
        </row>
        <row r="2140">
          <cell r="D2140">
            <v>10880018105</v>
          </cell>
        </row>
        <row r="2141">
          <cell r="D2141">
            <v>10880027854</v>
          </cell>
        </row>
        <row r="2142">
          <cell r="D2142">
            <v>10880031164</v>
          </cell>
        </row>
        <row r="2143">
          <cell r="D2143">
            <v>10880022442</v>
          </cell>
        </row>
        <row r="2144">
          <cell r="D2144">
            <v>10880017532</v>
          </cell>
        </row>
        <row r="2145">
          <cell r="D2145">
            <v>10880030608</v>
          </cell>
        </row>
        <row r="2146">
          <cell r="D2146">
            <v>10880020678</v>
          </cell>
        </row>
        <row r="2147">
          <cell r="D2147">
            <v>10880030450</v>
          </cell>
        </row>
        <row r="2149">
          <cell r="D2149">
            <v>10880017536</v>
          </cell>
        </row>
        <row r="2150">
          <cell r="D2150">
            <v>10880030608</v>
          </cell>
        </row>
        <row r="2151">
          <cell r="D2151">
            <v>10880030920</v>
          </cell>
        </row>
        <row r="2152">
          <cell r="D2152">
            <v>10880018105</v>
          </cell>
        </row>
        <row r="2153">
          <cell r="D2153">
            <v>10880018105</v>
          </cell>
        </row>
        <row r="2154">
          <cell r="D2154">
            <v>10880021612</v>
          </cell>
        </row>
        <row r="2155">
          <cell r="D2155">
            <v>10880021029</v>
          </cell>
        </row>
        <row r="2156">
          <cell r="D2156">
            <v>10880017527</v>
          </cell>
        </row>
        <row r="2157">
          <cell r="D2157">
            <v>10880017527</v>
          </cell>
        </row>
        <row r="2158">
          <cell r="D2158">
            <v>10880030493</v>
          </cell>
        </row>
        <row r="2159">
          <cell r="D2159">
            <v>10880030493</v>
          </cell>
        </row>
        <row r="2160">
          <cell r="D2160">
            <v>10880019773</v>
          </cell>
        </row>
        <row r="2161">
          <cell r="D2161">
            <v>10880030608</v>
          </cell>
        </row>
        <row r="2162">
          <cell r="D2162">
            <v>10880018096</v>
          </cell>
        </row>
        <row r="2163">
          <cell r="D2163">
            <v>10880030734</v>
          </cell>
        </row>
        <row r="2164">
          <cell r="D2164">
            <v>10880018105</v>
          </cell>
        </row>
        <row r="2165">
          <cell r="D2165">
            <v>10880022044</v>
          </cell>
        </row>
        <row r="2166">
          <cell r="D2166">
            <v>10880030620</v>
          </cell>
        </row>
        <row r="2167">
          <cell r="D2167">
            <v>10880028929</v>
          </cell>
        </row>
        <row r="2168">
          <cell r="D2168">
            <v>10880017516</v>
          </cell>
        </row>
        <row r="2169">
          <cell r="D2169">
            <v>10880018847</v>
          </cell>
        </row>
        <row r="2170">
          <cell r="D2170">
            <v>10880031766</v>
          </cell>
        </row>
        <row r="2171">
          <cell r="D2171">
            <v>10880031766</v>
          </cell>
        </row>
        <row r="2172">
          <cell r="D2172">
            <v>10880020697</v>
          </cell>
        </row>
        <row r="2173">
          <cell r="D2173">
            <v>10880020275</v>
          </cell>
        </row>
        <row r="2174">
          <cell r="D2174">
            <v>10880030607</v>
          </cell>
        </row>
        <row r="2175">
          <cell r="D2175">
            <v>10880018097</v>
          </cell>
        </row>
        <row r="2176">
          <cell r="D2176">
            <v>10880014415</v>
          </cell>
        </row>
        <row r="2177">
          <cell r="D2177">
            <v>10880021316</v>
          </cell>
        </row>
        <row r="2178">
          <cell r="D2178">
            <v>10880016188</v>
          </cell>
        </row>
        <row r="2179">
          <cell r="D2179">
            <v>10880028929</v>
          </cell>
        </row>
        <row r="2180">
          <cell r="D2180">
            <v>10880030843</v>
          </cell>
        </row>
        <row r="2181">
          <cell r="D2181">
            <v>10880017525</v>
          </cell>
        </row>
        <row r="2182">
          <cell r="D2182">
            <v>10880017516</v>
          </cell>
        </row>
        <row r="2183">
          <cell r="D2183">
            <v>10880019205</v>
          </cell>
        </row>
        <row r="2184">
          <cell r="D2184">
            <v>10880027957</v>
          </cell>
        </row>
        <row r="2185">
          <cell r="D2185">
            <v>10880030607</v>
          </cell>
        </row>
        <row r="2186">
          <cell r="D2186">
            <v>10880021985</v>
          </cell>
        </row>
        <row r="2187">
          <cell r="D2187">
            <v>10880021983</v>
          </cell>
        </row>
        <row r="2188">
          <cell r="D2188">
            <v>10880028753</v>
          </cell>
        </row>
        <row r="2189">
          <cell r="D2189">
            <v>10880020555</v>
          </cell>
        </row>
        <row r="2190">
          <cell r="D2190">
            <v>10880020654</v>
          </cell>
        </row>
        <row r="2191">
          <cell r="D2191">
            <v>10880031185</v>
          </cell>
        </row>
        <row r="2192">
          <cell r="D2192">
            <v>10880027958</v>
          </cell>
        </row>
        <row r="2193">
          <cell r="D2193">
            <v>10880020802</v>
          </cell>
        </row>
        <row r="2194">
          <cell r="D2194">
            <v>10880028169</v>
          </cell>
        </row>
        <row r="2195">
          <cell r="D2195">
            <v>10880030920</v>
          </cell>
        </row>
        <row r="2196">
          <cell r="D2196">
            <v>10880021019</v>
          </cell>
        </row>
        <row r="2197">
          <cell r="D2197">
            <v>10880029999</v>
          </cell>
        </row>
        <row r="2198">
          <cell r="D2198">
            <v>10880014778</v>
          </cell>
        </row>
        <row r="2199">
          <cell r="D2199">
            <v>10880031812</v>
          </cell>
        </row>
        <row r="2200">
          <cell r="D2200">
            <v>10880030932</v>
          </cell>
        </row>
        <row r="2201">
          <cell r="D2201">
            <v>10880032024</v>
          </cell>
        </row>
        <row r="2202">
          <cell r="D2202">
            <v>10880031072</v>
          </cell>
        </row>
        <row r="2203">
          <cell r="D2203">
            <v>10880020558</v>
          </cell>
        </row>
        <row r="2204">
          <cell r="D2204">
            <v>10880028832</v>
          </cell>
        </row>
        <row r="2205">
          <cell r="D2205">
            <v>10880021015</v>
          </cell>
        </row>
        <row r="2206">
          <cell r="D2206">
            <v>10880030742</v>
          </cell>
        </row>
        <row r="2207">
          <cell r="D2207">
            <v>10880030734</v>
          </cell>
        </row>
        <row r="2208">
          <cell r="D2208">
            <v>10880020640</v>
          </cell>
        </row>
        <row r="2209">
          <cell r="D2209">
            <v>10880031135</v>
          </cell>
        </row>
        <row r="2210">
          <cell r="D2210">
            <v>10880012988</v>
          </cell>
        </row>
        <row r="2211">
          <cell r="D2211">
            <v>10880016864</v>
          </cell>
        </row>
        <row r="2212">
          <cell r="D2212">
            <v>10880021612</v>
          </cell>
        </row>
        <row r="2213">
          <cell r="D2213">
            <v>10880028306</v>
          </cell>
        </row>
        <row r="2214">
          <cell r="D2214">
            <v>10880028307</v>
          </cell>
        </row>
        <row r="2215">
          <cell r="D2215">
            <v>10880020800</v>
          </cell>
        </row>
        <row r="2216">
          <cell r="D2216">
            <v>10880030550</v>
          </cell>
        </row>
        <row r="2217">
          <cell r="D2217">
            <v>10880030551</v>
          </cell>
        </row>
        <row r="2218">
          <cell r="D2218">
            <v>10880020209</v>
          </cell>
        </row>
        <row r="2219">
          <cell r="D2219">
            <v>10880031304</v>
          </cell>
        </row>
        <row r="2220">
          <cell r="D2220">
            <v>10880031304</v>
          </cell>
        </row>
        <row r="2221">
          <cell r="D2221">
            <v>10880012825</v>
          </cell>
        </row>
        <row r="2222">
          <cell r="D2222">
            <v>10880020222</v>
          </cell>
        </row>
        <row r="2223">
          <cell r="D2223">
            <v>10880030493</v>
          </cell>
        </row>
        <row r="2224">
          <cell r="D2224">
            <v>10880030491</v>
          </cell>
        </row>
        <row r="2225">
          <cell r="D2225">
            <v>10880021767</v>
          </cell>
        </row>
        <row r="2226">
          <cell r="D2226">
            <v>10880014815</v>
          </cell>
        </row>
        <row r="2227">
          <cell r="D2227">
            <v>10880017532</v>
          </cell>
        </row>
        <row r="2228">
          <cell r="D2228">
            <v>10880031182</v>
          </cell>
        </row>
        <row r="2229">
          <cell r="D2229">
            <v>10880031186</v>
          </cell>
        </row>
        <row r="2230">
          <cell r="D2230">
            <v>10880030920</v>
          </cell>
        </row>
        <row r="2231">
          <cell r="D2231">
            <v>10880031072</v>
          </cell>
        </row>
        <row r="2232">
          <cell r="D2232">
            <v>10880031096</v>
          </cell>
        </row>
        <row r="2233">
          <cell r="D2233">
            <v>10880020555</v>
          </cell>
        </row>
        <row r="2234">
          <cell r="D2234">
            <v>10880027957</v>
          </cell>
        </row>
        <row r="2235">
          <cell r="D2235">
            <v>10880031184</v>
          </cell>
        </row>
        <row r="2236">
          <cell r="D2236">
            <v>10880031183</v>
          </cell>
        </row>
        <row r="2237">
          <cell r="D2237">
            <v>10880020802</v>
          </cell>
        </row>
        <row r="2238">
          <cell r="D2238">
            <v>10880020681</v>
          </cell>
        </row>
        <row r="2239">
          <cell r="D2239">
            <v>10880018093</v>
          </cell>
        </row>
        <row r="2240">
          <cell r="D2240">
            <v>10880030920</v>
          </cell>
        </row>
        <row r="2241">
          <cell r="D2241">
            <v>10880030004</v>
          </cell>
        </row>
        <row r="2242">
          <cell r="D2242">
            <v>10880020555</v>
          </cell>
        </row>
        <row r="2243">
          <cell r="D2243">
            <v>10880017531</v>
          </cell>
        </row>
        <row r="2244">
          <cell r="D2244">
            <v>10880017531</v>
          </cell>
        </row>
        <row r="2245">
          <cell r="D2245">
            <v>10880017516</v>
          </cell>
        </row>
        <row r="2246">
          <cell r="D2246">
            <v>10880017516</v>
          </cell>
        </row>
        <row r="2247">
          <cell r="D2247">
            <v>10880030338</v>
          </cell>
        </row>
        <row r="2248">
          <cell r="D2248">
            <v>10880030608</v>
          </cell>
        </row>
        <row r="2249">
          <cell r="D2249">
            <v>10880018097</v>
          </cell>
        </row>
        <row r="2250">
          <cell r="D2250">
            <v>10880030491</v>
          </cell>
        </row>
        <row r="2251">
          <cell r="D2251">
            <v>10880031164</v>
          </cell>
        </row>
        <row r="2252">
          <cell r="D2252">
            <v>10880031164</v>
          </cell>
        </row>
        <row r="2253">
          <cell r="D2253">
            <v>10880022406</v>
          </cell>
        </row>
        <row r="2254">
          <cell r="D2254">
            <v>10880021796</v>
          </cell>
        </row>
        <row r="2255">
          <cell r="D2255">
            <v>10880018845</v>
          </cell>
        </row>
        <row r="2256">
          <cell r="D2256">
            <v>10880018847</v>
          </cell>
        </row>
        <row r="2257">
          <cell r="D2257">
            <v>10880017948</v>
          </cell>
        </row>
        <row r="2258">
          <cell r="D2258">
            <v>10880031011</v>
          </cell>
        </row>
        <row r="2259">
          <cell r="D2259">
            <v>10880031011</v>
          </cell>
        </row>
        <row r="2260">
          <cell r="D2260">
            <v>10880030551</v>
          </cell>
        </row>
        <row r="2261">
          <cell r="D2261">
            <v>10880030607</v>
          </cell>
        </row>
        <row r="2262">
          <cell r="D2262">
            <v>10880020654</v>
          </cell>
        </row>
        <row r="2263">
          <cell r="D2263">
            <v>10880020654</v>
          </cell>
        </row>
        <row r="2264">
          <cell r="D2264">
            <v>10880021029</v>
          </cell>
        </row>
        <row r="2265">
          <cell r="D2265">
            <v>10880031304</v>
          </cell>
        </row>
        <row r="2266">
          <cell r="D2266">
            <v>10880017530</v>
          </cell>
        </row>
        <row r="2267">
          <cell r="D2267">
            <v>10880017516</v>
          </cell>
        </row>
        <row r="2268">
          <cell r="D2268">
            <v>10880030608</v>
          </cell>
        </row>
        <row r="2269">
          <cell r="D2269">
            <v>10880022443</v>
          </cell>
        </row>
        <row r="2270">
          <cell r="D2270">
            <v>10880018105</v>
          </cell>
        </row>
        <row r="2271">
          <cell r="D2271">
            <v>10880022123</v>
          </cell>
        </row>
        <row r="2272">
          <cell r="D2272">
            <v>10880020555</v>
          </cell>
        </row>
        <row r="2273">
          <cell r="D2273">
            <v>10880012825</v>
          </cell>
        </row>
        <row r="2274">
          <cell r="D2274">
            <v>10880031113</v>
          </cell>
        </row>
        <row r="2275">
          <cell r="D2275">
            <v>10880031114</v>
          </cell>
        </row>
        <row r="2276">
          <cell r="D2276">
            <v>10880021029</v>
          </cell>
        </row>
        <row r="2277">
          <cell r="D2277">
            <v>10880022444</v>
          </cell>
        </row>
        <row r="2278">
          <cell r="D2278">
            <v>10880031096</v>
          </cell>
        </row>
        <row r="2279">
          <cell r="D2279">
            <v>10880014363</v>
          </cell>
        </row>
        <row r="2280">
          <cell r="D2280">
            <v>10880014414</v>
          </cell>
        </row>
        <row r="2281">
          <cell r="D2281">
            <v>10880022406</v>
          </cell>
        </row>
        <row r="2282">
          <cell r="D2282">
            <v>10880017949</v>
          </cell>
        </row>
        <row r="2283">
          <cell r="D2283">
            <v>10880031011</v>
          </cell>
        </row>
        <row r="2284">
          <cell r="D2284">
            <v>10880021311</v>
          </cell>
        </row>
        <row r="2285">
          <cell r="D2285">
            <v>10880020681</v>
          </cell>
        </row>
        <row r="2286">
          <cell r="D2286">
            <v>10880030932</v>
          </cell>
        </row>
        <row r="2287">
          <cell r="D2287">
            <v>10880029958</v>
          </cell>
        </row>
        <row r="2288">
          <cell r="D2288">
            <v>10880020654</v>
          </cell>
        </row>
        <row r="2289">
          <cell r="D2289">
            <v>10880030608</v>
          </cell>
        </row>
        <row r="2290">
          <cell r="D2290">
            <v>10880020558</v>
          </cell>
        </row>
        <row r="2291">
          <cell r="D2291">
            <v>10880030734</v>
          </cell>
        </row>
        <row r="2292">
          <cell r="D2292">
            <v>10880030491</v>
          </cell>
        </row>
        <row r="2293">
          <cell r="D2293">
            <v>10880020555</v>
          </cell>
        </row>
        <row r="2294">
          <cell r="D2294">
            <v>10880020555</v>
          </cell>
        </row>
        <row r="2295">
          <cell r="D2295">
            <v>10880021612</v>
          </cell>
        </row>
        <row r="2296">
          <cell r="D2296">
            <v>10880017526</v>
          </cell>
        </row>
        <row r="2297">
          <cell r="D2297">
            <v>10880031304</v>
          </cell>
        </row>
        <row r="2298">
          <cell r="D2298">
            <v>10880028307</v>
          </cell>
        </row>
        <row r="2299">
          <cell r="D2299">
            <v>10880021029</v>
          </cell>
        </row>
        <row r="2300">
          <cell r="D2300">
            <v>10880021029</v>
          </cell>
        </row>
        <row r="2301">
          <cell r="D2301">
            <v>10880020677</v>
          </cell>
        </row>
        <row r="2302">
          <cell r="D2302">
            <v>10880019434</v>
          </cell>
        </row>
        <row r="2303">
          <cell r="D2303">
            <v>10880031072</v>
          </cell>
        </row>
        <row r="2304">
          <cell r="D2304">
            <v>10880031072</v>
          </cell>
        </row>
        <row r="2305">
          <cell r="D2305">
            <v>10880020275</v>
          </cell>
        </row>
        <row r="2306">
          <cell r="D2306">
            <v>10880014415</v>
          </cell>
        </row>
        <row r="2307">
          <cell r="D2307">
            <v>10880017527</v>
          </cell>
        </row>
        <row r="2308">
          <cell r="D2308">
            <v>10880017524</v>
          </cell>
        </row>
        <row r="2309">
          <cell r="D2309">
            <v>10880020678</v>
          </cell>
        </row>
        <row r="2310">
          <cell r="D2310">
            <v>10880030838</v>
          </cell>
        </row>
        <row r="2311">
          <cell r="D2311">
            <v>10880020192</v>
          </cell>
        </row>
        <row r="2312">
          <cell r="D2312">
            <v>10880030004</v>
          </cell>
        </row>
        <row r="2313">
          <cell r="D2313">
            <v>10880019777</v>
          </cell>
        </row>
        <row r="2314">
          <cell r="D2314">
            <v>10880031182</v>
          </cell>
        </row>
        <row r="2315">
          <cell r="D2315">
            <v>10880017516</v>
          </cell>
        </row>
        <row r="2316">
          <cell r="D2316">
            <v>10880017949</v>
          </cell>
        </row>
        <row r="2317">
          <cell r="D2317">
            <v>10880029957</v>
          </cell>
        </row>
        <row r="2318">
          <cell r="D2318">
            <v>10880030920</v>
          </cell>
        </row>
        <row r="2319">
          <cell r="D2319">
            <v>10880019039</v>
          </cell>
        </row>
        <row r="2320">
          <cell r="D2320">
            <v>10880031164</v>
          </cell>
        </row>
        <row r="2321">
          <cell r="D2321">
            <v>10880032024</v>
          </cell>
        </row>
        <row r="2322">
          <cell r="D2322">
            <v>10880031183</v>
          </cell>
        </row>
        <row r="2323">
          <cell r="D2323">
            <v>10880019222</v>
          </cell>
        </row>
        <row r="2324">
          <cell r="D2324">
            <v>10880028929</v>
          </cell>
        </row>
        <row r="2325">
          <cell r="D2325">
            <v>10880018850</v>
          </cell>
        </row>
        <row r="2326">
          <cell r="D2326">
            <v>10880018845</v>
          </cell>
        </row>
        <row r="2327">
          <cell r="D2327">
            <v>10880032488</v>
          </cell>
        </row>
        <row r="2328">
          <cell r="D2328">
            <v>10880032496</v>
          </cell>
        </row>
        <row r="2329">
          <cell r="D2329">
            <v>10880032499</v>
          </cell>
        </row>
        <row r="2330">
          <cell r="D2330">
            <v>10880020203</v>
          </cell>
        </row>
        <row r="2331">
          <cell r="D2331">
            <v>10880031525</v>
          </cell>
        </row>
        <row r="2332">
          <cell r="D2332">
            <v>10880020681</v>
          </cell>
        </row>
        <row r="2333">
          <cell r="D2333">
            <v>10880019040</v>
          </cell>
        </row>
        <row r="2334">
          <cell r="D2334">
            <v>10880030491</v>
          </cell>
        </row>
        <row r="2335">
          <cell r="D2335">
            <v>10880022123</v>
          </cell>
        </row>
        <row r="2336">
          <cell r="D2336">
            <v>10880032322</v>
          </cell>
        </row>
        <row r="2337">
          <cell r="D2337">
            <v>10880032609</v>
          </cell>
        </row>
        <row r="2338">
          <cell r="D2338">
            <v>10880018847</v>
          </cell>
        </row>
        <row r="2339">
          <cell r="D2339">
            <v>10880018848</v>
          </cell>
        </row>
        <row r="2340">
          <cell r="D2340">
            <v>10880020940</v>
          </cell>
        </row>
        <row r="2341">
          <cell r="D2341">
            <v>10880021767</v>
          </cell>
        </row>
        <row r="2342">
          <cell r="D2342">
            <v>10880022406</v>
          </cell>
        </row>
        <row r="2343">
          <cell r="D2343">
            <v>10880017949</v>
          </cell>
        </row>
        <row r="2344">
          <cell r="D2344">
            <v>10880020677</v>
          </cell>
        </row>
        <row r="2345">
          <cell r="D2345">
            <v>10880020208</v>
          </cell>
        </row>
        <row r="2346">
          <cell r="D2346">
            <v>10880020558</v>
          </cell>
        </row>
        <row r="2347">
          <cell r="D2347">
            <v>10880022010</v>
          </cell>
        </row>
        <row r="2348">
          <cell r="D2348">
            <v>10880021015</v>
          </cell>
        </row>
        <row r="2349">
          <cell r="D2349">
            <v>10880022123</v>
          </cell>
        </row>
        <row r="2350">
          <cell r="D2350">
            <v>10880022406</v>
          </cell>
        </row>
        <row r="2351">
          <cell r="D2351">
            <v>10880017949</v>
          </cell>
        </row>
        <row r="2352">
          <cell r="D2352">
            <v>10880031011</v>
          </cell>
        </row>
        <row r="2353">
          <cell r="D2353">
            <v>10880028169</v>
          </cell>
        </row>
        <row r="2354">
          <cell r="D2354">
            <v>10880021895</v>
          </cell>
        </row>
        <row r="2355">
          <cell r="D2355">
            <v>10880021895</v>
          </cell>
        </row>
        <row r="2356">
          <cell r="D2356">
            <v>10880032043</v>
          </cell>
        </row>
        <row r="2357">
          <cell r="D2357">
            <v>10880030431</v>
          </cell>
        </row>
        <row r="2358">
          <cell r="D2358">
            <v>10880018093</v>
          </cell>
        </row>
        <row r="2359">
          <cell r="D2359">
            <v>10880017532</v>
          </cell>
        </row>
        <row r="2360">
          <cell r="D2360">
            <v>10880017536</v>
          </cell>
        </row>
        <row r="2361">
          <cell r="D2361">
            <v>10880030920</v>
          </cell>
        </row>
        <row r="2362">
          <cell r="D2362">
            <v>10880020555</v>
          </cell>
        </row>
        <row r="2363">
          <cell r="D2363">
            <v>10880020557</v>
          </cell>
        </row>
        <row r="2364">
          <cell r="D2364">
            <v>10880021767</v>
          </cell>
        </row>
        <row r="2365">
          <cell r="D2365">
            <v>10880017531</v>
          </cell>
        </row>
        <row r="2366">
          <cell r="D2366">
            <v>10880018845</v>
          </cell>
        </row>
        <row r="2367">
          <cell r="D2367">
            <v>10880020678</v>
          </cell>
        </row>
        <row r="2368">
          <cell r="D2368">
            <v>10880030920</v>
          </cell>
        </row>
        <row r="2369">
          <cell r="D2369">
            <v>10880030742</v>
          </cell>
        </row>
        <row r="2370">
          <cell r="D2370">
            <v>10880020802</v>
          </cell>
        </row>
        <row r="2371">
          <cell r="D2371">
            <v>10880018105</v>
          </cell>
        </row>
        <row r="2372">
          <cell r="D2372">
            <v>10880031812</v>
          </cell>
        </row>
        <row r="2373">
          <cell r="D2373">
            <v>10880020555</v>
          </cell>
        </row>
        <row r="2374">
          <cell r="D2374">
            <v>10880031096</v>
          </cell>
        </row>
        <row r="2375">
          <cell r="D2375">
            <v>10880031096</v>
          </cell>
        </row>
        <row r="2376">
          <cell r="D2376">
            <v>10880018847</v>
          </cell>
        </row>
        <row r="2377">
          <cell r="D2377">
            <v>10880031164</v>
          </cell>
        </row>
        <row r="2378">
          <cell r="D2378">
            <v>10880030004</v>
          </cell>
        </row>
        <row r="2379">
          <cell r="D2379">
            <v>10880019777</v>
          </cell>
        </row>
        <row r="2380">
          <cell r="D2380">
            <v>10880031183</v>
          </cell>
        </row>
        <row r="2381">
          <cell r="D2381">
            <v>10880020681</v>
          </cell>
        </row>
        <row r="2382">
          <cell r="D2382">
            <v>10880032322</v>
          </cell>
        </row>
        <row r="2383">
          <cell r="D2383">
            <v>10880032322</v>
          </cell>
        </row>
        <row r="2384">
          <cell r="D2384">
            <v>10880030932</v>
          </cell>
        </row>
        <row r="2385">
          <cell r="D2385">
            <v>10880031760</v>
          </cell>
        </row>
        <row r="2386">
          <cell r="D2386">
            <v>10880031760</v>
          </cell>
        </row>
        <row r="2387">
          <cell r="D2387">
            <v>10880030493</v>
          </cell>
        </row>
        <row r="2388">
          <cell r="D2388">
            <v>10880030738</v>
          </cell>
        </row>
        <row r="2389">
          <cell r="D2389">
            <v>10880030599</v>
          </cell>
        </row>
        <row r="2390">
          <cell r="D2390">
            <v>10880030599</v>
          </cell>
        </row>
        <row r="2391">
          <cell r="D2391">
            <v>10880032024</v>
          </cell>
        </row>
        <row r="2392">
          <cell r="D2392">
            <v>10880028905</v>
          </cell>
        </row>
        <row r="2393">
          <cell r="D2393">
            <v>10880031096</v>
          </cell>
        </row>
        <row r="2394">
          <cell r="D2394">
            <v>10880032298</v>
          </cell>
        </row>
        <row r="2395">
          <cell r="D2395">
            <v>10880020203</v>
          </cell>
        </row>
        <row r="2396">
          <cell r="D2396">
            <v>10880020697</v>
          </cell>
        </row>
        <row r="2397">
          <cell r="D2397">
            <v>10880030551</v>
          </cell>
        </row>
        <row r="2398">
          <cell r="D2398">
            <v>10880020677</v>
          </cell>
        </row>
        <row r="2399">
          <cell r="D2399">
            <v>10880020209</v>
          </cell>
        </row>
        <row r="2400">
          <cell r="D2400">
            <v>10880030607</v>
          </cell>
        </row>
        <row r="2401">
          <cell r="D2401">
            <v>10880029957</v>
          </cell>
        </row>
        <row r="2402">
          <cell r="D2402">
            <v>10880017531</v>
          </cell>
        </row>
        <row r="2403">
          <cell r="D2403">
            <v>10880020800</v>
          </cell>
        </row>
        <row r="2404">
          <cell r="D2404">
            <v>10880020558</v>
          </cell>
        </row>
        <row r="2405">
          <cell r="D2405">
            <v>10880031812</v>
          </cell>
        </row>
        <row r="2406">
          <cell r="D2406">
            <v>10880029999</v>
          </cell>
        </row>
        <row r="2407">
          <cell r="D2407">
            <v>10880032609</v>
          </cell>
        </row>
        <row r="2408">
          <cell r="D2408">
            <v>10880032609</v>
          </cell>
        </row>
        <row r="2409">
          <cell r="D2409">
            <v>10880020654</v>
          </cell>
        </row>
        <row r="2410">
          <cell r="D2410">
            <v>10880030843</v>
          </cell>
        </row>
        <row r="2411">
          <cell r="D2411">
            <v>10880031185</v>
          </cell>
        </row>
        <row r="2412">
          <cell r="D2412">
            <v>10880020225</v>
          </cell>
        </row>
        <row r="2413">
          <cell r="D2413">
            <v>10880031600</v>
          </cell>
        </row>
        <row r="2414">
          <cell r="D2414">
            <v>10880017531</v>
          </cell>
        </row>
        <row r="2415">
          <cell r="D2415">
            <v>10880028169</v>
          </cell>
        </row>
        <row r="2416">
          <cell r="D2416">
            <v>10880020802</v>
          </cell>
        </row>
        <row r="2417">
          <cell r="D2417">
            <v>10880019240</v>
          </cell>
        </row>
        <row r="2418">
          <cell r="D2418">
            <v>10880031072</v>
          </cell>
        </row>
        <row r="2419">
          <cell r="D2419">
            <v>10880031304</v>
          </cell>
        </row>
        <row r="2420">
          <cell r="D2420">
            <v>10880017536</v>
          </cell>
        </row>
        <row r="2421">
          <cell r="D2421">
            <v>10880030838</v>
          </cell>
        </row>
        <row r="2422">
          <cell r="D2422">
            <v>10880022443</v>
          </cell>
        </row>
        <row r="2423">
          <cell r="D2423">
            <v>10880030188</v>
          </cell>
        </row>
        <row r="2424">
          <cell r="D2424">
            <v>10880018524</v>
          </cell>
        </row>
        <row r="2425">
          <cell r="D2425">
            <v>10880018105</v>
          </cell>
        </row>
        <row r="2426">
          <cell r="D2426">
            <v>10880020555</v>
          </cell>
        </row>
        <row r="2427">
          <cell r="D2427">
            <v>10880022406</v>
          </cell>
        </row>
        <row r="2428">
          <cell r="D2428">
            <v>10880030843</v>
          </cell>
        </row>
        <row r="2429">
          <cell r="D2429">
            <v>10880030493</v>
          </cell>
        </row>
        <row r="2430">
          <cell r="D2430">
            <v>10880030920</v>
          </cell>
        </row>
        <row r="2431">
          <cell r="D2431">
            <v>10880031096</v>
          </cell>
        </row>
        <row r="2432">
          <cell r="D2432">
            <v>10880031096</v>
          </cell>
        </row>
        <row r="2433">
          <cell r="D2433">
            <v>10880020557</v>
          </cell>
        </row>
        <row r="2434">
          <cell r="D2434">
            <v>10880020557</v>
          </cell>
        </row>
        <row r="2435">
          <cell r="D2435">
            <v>10880012825</v>
          </cell>
        </row>
        <row r="2436">
          <cell r="D2436">
            <v>10880017527</v>
          </cell>
        </row>
        <row r="2437">
          <cell r="D2437">
            <v>10880030432</v>
          </cell>
        </row>
        <row r="2438">
          <cell r="D2438">
            <v>10880030431</v>
          </cell>
        </row>
        <row r="2439">
          <cell r="D2439">
            <v>10880020209</v>
          </cell>
        </row>
        <row r="2440">
          <cell r="D2440">
            <v>10880020800</v>
          </cell>
        </row>
        <row r="2441">
          <cell r="D2441">
            <v>10880020640</v>
          </cell>
        </row>
        <row r="2442">
          <cell r="D2442">
            <v>10880030734</v>
          </cell>
        </row>
        <row r="2443">
          <cell r="D2443">
            <v>10880022406</v>
          </cell>
        </row>
        <row r="2444">
          <cell r="D2444">
            <v>10880028306</v>
          </cell>
        </row>
        <row r="2445">
          <cell r="D2445">
            <v>10880032046</v>
          </cell>
        </row>
        <row r="2446">
          <cell r="D2446">
            <v>10880032501</v>
          </cell>
        </row>
        <row r="2447">
          <cell r="D2447">
            <v>10880032548</v>
          </cell>
        </row>
        <row r="2448">
          <cell r="D2448">
            <v>10880032573</v>
          </cell>
        </row>
        <row r="2449">
          <cell r="D2449">
            <v>10880032574</v>
          </cell>
        </row>
        <row r="2450">
          <cell r="D2450">
            <v>10880020940</v>
          </cell>
        </row>
        <row r="2451">
          <cell r="D2451">
            <v>10880022443</v>
          </cell>
        </row>
        <row r="2452">
          <cell r="D2452">
            <v>10880018524</v>
          </cell>
        </row>
        <row r="2453">
          <cell r="D2453">
            <v>10880020275</v>
          </cell>
        </row>
        <row r="2454">
          <cell r="D2454">
            <v>10880020275</v>
          </cell>
        </row>
        <row r="2455">
          <cell r="D2455">
            <v>10880030023</v>
          </cell>
        </row>
        <row r="2456">
          <cell r="D2456">
            <v>10880020637</v>
          </cell>
        </row>
        <row r="2457">
          <cell r="D2457">
            <v>10880027854</v>
          </cell>
        </row>
        <row r="2458">
          <cell r="D2458">
            <v>10880020654</v>
          </cell>
        </row>
        <row r="2459">
          <cell r="D2459">
            <v>10880019777</v>
          </cell>
        </row>
        <row r="2460">
          <cell r="D2460">
            <v>10880017525</v>
          </cell>
        </row>
        <row r="2461">
          <cell r="D2461">
            <v>10880032036</v>
          </cell>
        </row>
        <row r="2462">
          <cell r="D2462">
            <v>10880030545</v>
          </cell>
        </row>
        <row r="2463">
          <cell r="D2463">
            <v>10880031020</v>
          </cell>
        </row>
        <row r="2464">
          <cell r="D2464">
            <v>10880032708</v>
          </cell>
        </row>
        <row r="2465">
          <cell r="D2465">
            <v>10880020677</v>
          </cell>
        </row>
        <row r="2466">
          <cell r="D2466">
            <v>10880021416</v>
          </cell>
        </row>
        <row r="2467">
          <cell r="D2467">
            <v>10880021416</v>
          </cell>
        </row>
        <row r="2468">
          <cell r="D2468">
            <v>10880021416</v>
          </cell>
        </row>
        <row r="2469">
          <cell r="D2469">
            <v>10880019205</v>
          </cell>
        </row>
        <row r="2470">
          <cell r="D2470">
            <v>10880031164</v>
          </cell>
        </row>
        <row r="2471">
          <cell r="D2471">
            <v>10880030491</v>
          </cell>
        </row>
        <row r="2472">
          <cell r="D2472">
            <v>10880019222</v>
          </cell>
        </row>
        <row r="2473">
          <cell r="D2473">
            <v>10880019222</v>
          </cell>
        </row>
        <row r="2474">
          <cell r="D2474">
            <v>10880017516</v>
          </cell>
        </row>
        <row r="2475">
          <cell r="D2475">
            <v>10880032708</v>
          </cell>
        </row>
        <row r="2476">
          <cell r="D2476">
            <v>10880032708</v>
          </cell>
        </row>
        <row r="2477">
          <cell r="D2477">
            <v>10880032042</v>
          </cell>
        </row>
        <row r="2478">
          <cell r="D2478">
            <v>10880021029</v>
          </cell>
        </row>
        <row r="2479">
          <cell r="D2479">
            <v>10880019205</v>
          </cell>
        </row>
        <row r="2480">
          <cell r="D2480">
            <v>10880022443</v>
          </cell>
        </row>
        <row r="2481">
          <cell r="D2481">
            <v>10880014363</v>
          </cell>
        </row>
        <row r="2482">
          <cell r="D2482">
            <v>10880018524</v>
          </cell>
        </row>
        <row r="2483">
          <cell r="D2483">
            <v>10880029106</v>
          </cell>
        </row>
        <row r="2484">
          <cell r="D2484">
            <v>10880022501</v>
          </cell>
        </row>
        <row r="2485">
          <cell r="D2485">
            <v>10880018093</v>
          </cell>
        </row>
        <row r="2486">
          <cell r="D2486">
            <v>10880017531</v>
          </cell>
        </row>
        <row r="2487">
          <cell r="D2487">
            <v>10880020031</v>
          </cell>
        </row>
        <row r="2488">
          <cell r="D2488">
            <v>10880021545</v>
          </cell>
        </row>
        <row r="2489">
          <cell r="D2489">
            <v>10880027925</v>
          </cell>
        </row>
        <row r="2490">
          <cell r="D2490">
            <v>10880031011</v>
          </cell>
        </row>
        <row r="2492">
          <cell r="D2492">
            <v>10880020697</v>
          </cell>
        </row>
        <row r="2493">
          <cell r="D2493">
            <v>10880020940</v>
          </cell>
        </row>
        <row r="2494">
          <cell r="D2494">
            <v>10880027958</v>
          </cell>
        </row>
        <row r="2495">
          <cell r="D2495">
            <v>10880027958</v>
          </cell>
        </row>
        <row r="2496">
          <cell r="D2496">
            <v>10880029033</v>
          </cell>
        </row>
        <row r="2497">
          <cell r="D2497">
            <v>10880031072</v>
          </cell>
        </row>
        <row r="2498">
          <cell r="D2498">
            <v>10880029999</v>
          </cell>
        </row>
        <row r="2499">
          <cell r="D2499">
            <v>10880030123</v>
          </cell>
        </row>
        <row r="2500">
          <cell r="D2500">
            <v>10880019777</v>
          </cell>
        </row>
        <row r="2501">
          <cell r="D2501">
            <v>10880032036</v>
          </cell>
        </row>
        <row r="2502">
          <cell r="D2502">
            <v>10880032694</v>
          </cell>
        </row>
        <row r="2503">
          <cell r="D2503">
            <v>10880032692</v>
          </cell>
        </row>
        <row r="2504">
          <cell r="D2504">
            <v>10880022443</v>
          </cell>
        </row>
        <row r="2505">
          <cell r="D2505">
            <v>10880030124</v>
          </cell>
        </row>
        <row r="2506">
          <cell r="D2506">
            <v>10880030335</v>
          </cell>
        </row>
        <row r="2507">
          <cell r="D2507">
            <v>10880020187</v>
          </cell>
        </row>
        <row r="2508">
          <cell r="D2508">
            <v>10880029078</v>
          </cell>
        </row>
        <row r="2509">
          <cell r="D2509">
            <v>10880030936</v>
          </cell>
        </row>
        <row r="2510">
          <cell r="D2510">
            <v>10880030934</v>
          </cell>
        </row>
        <row r="2511">
          <cell r="D2511">
            <v>10880030491</v>
          </cell>
        </row>
        <row r="2512">
          <cell r="D2512">
            <v>10880021545</v>
          </cell>
        </row>
        <row r="2513">
          <cell r="D2513">
            <v>10880032697</v>
          </cell>
        </row>
        <row r="2514">
          <cell r="D2514">
            <v>10880032698</v>
          </cell>
        </row>
        <row r="2515">
          <cell r="D2515">
            <v>10880032698</v>
          </cell>
        </row>
        <row r="2516">
          <cell r="D2516">
            <v>10880022442</v>
          </cell>
        </row>
        <row r="2517">
          <cell r="D2517">
            <v>10880028831</v>
          </cell>
        </row>
        <row r="2518">
          <cell r="D2518">
            <v>10880020678</v>
          </cell>
        </row>
        <row r="2519">
          <cell r="D2519">
            <v>10880020187</v>
          </cell>
        </row>
        <row r="2520">
          <cell r="D2520">
            <v>10880027924</v>
          </cell>
        </row>
        <row r="2521">
          <cell r="D2521">
            <v>10880030203</v>
          </cell>
        </row>
        <row r="2522">
          <cell r="D2522">
            <v>10880020681</v>
          </cell>
        </row>
        <row r="2523">
          <cell r="D2523">
            <v>10880031097</v>
          </cell>
        </row>
        <row r="2524">
          <cell r="D2524">
            <v>10880030841</v>
          </cell>
        </row>
        <row r="2525">
          <cell r="D2525">
            <v>10880018097</v>
          </cell>
        </row>
        <row r="2526">
          <cell r="D2526">
            <v>10880030920</v>
          </cell>
        </row>
        <row r="2527">
          <cell r="D2527">
            <v>10880030920</v>
          </cell>
        </row>
        <row r="2528">
          <cell r="D2528">
            <v>10880017530</v>
          </cell>
        </row>
        <row r="2529">
          <cell r="D2529">
            <v>10880018524</v>
          </cell>
        </row>
        <row r="2530">
          <cell r="D2530">
            <v>10880017516</v>
          </cell>
        </row>
        <row r="2531">
          <cell r="D2531">
            <v>10880030545</v>
          </cell>
        </row>
        <row r="2532">
          <cell r="D2532">
            <v>10880030545</v>
          </cell>
        </row>
        <row r="2533">
          <cell r="D2533">
            <v>10880031020</v>
          </cell>
        </row>
        <row r="2534">
          <cell r="D2534">
            <v>10880031020</v>
          </cell>
        </row>
        <row r="2535">
          <cell r="D2535">
            <v>10880030493</v>
          </cell>
        </row>
        <row r="2536">
          <cell r="D2536">
            <v>10880030920</v>
          </cell>
        </row>
        <row r="2537">
          <cell r="D2537">
            <v>10880019040</v>
          </cell>
        </row>
        <row r="2538">
          <cell r="D2538">
            <v>10880028881</v>
          </cell>
        </row>
        <row r="2539">
          <cell r="D2539">
            <v>10880020555</v>
          </cell>
        </row>
        <row r="2540">
          <cell r="D2540">
            <v>10880017516</v>
          </cell>
        </row>
        <row r="2541">
          <cell r="D2541">
            <v>10880031011</v>
          </cell>
        </row>
        <row r="2542">
          <cell r="D2542">
            <v>10880031011</v>
          </cell>
        </row>
        <row r="2543">
          <cell r="D2543">
            <v>10880020678</v>
          </cell>
        </row>
        <row r="2544">
          <cell r="D2544">
            <v>10880020654</v>
          </cell>
        </row>
        <row r="2545">
          <cell r="D2545">
            <v>10880017525</v>
          </cell>
        </row>
        <row r="2546">
          <cell r="D2546">
            <v>10880030123</v>
          </cell>
        </row>
        <row r="2547">
          <cell r="D2547">
            <v>10880030188</v>
          </cell>
        </row>
        <row r="2548">
          <cell r="D2548">
            <v>10880029156</v>
          </cell>
        </row>
        <row r="2549">
          <cell r="D2549">
            <v>10880021174</v>
          </cell>
        </row>
        <row r="2550">
          <cell r="D2550">
            <v>10880018524</v>
          </cell>
        </row>
        <row r="2551">
          <cell r="D2551">
            <v>10880018847</v>
          </cell>
        </row>
        <row r="2552">
          <cell r="D2552">
            <v>10880031560</v>
          </cell>
        </row>
        <row r="2553">
          <cell r="D2553">
            <v>10880014777</v>
          </cell>
        </row>
        <row r="2554">
          <cell r="D2554">
            <v>10880020940</v>
          </cell>
        </row>
        <row r="2555">
          <cell r="D2555">
            <v>10880020677</v>
          </cell>
        </row>
        <row r="2556">
          <cell r="D2556">
            <v>10880028881</v>
          </cell>
        </row>
        <row r="2557">
          <cell r="D2557">
            <v>10880029156</v>
          </cell>
        </row>
        <row r="2558">
          <cell r="D2558">
            <v>10880018850</v>
          </cell>
        </row>
        <row r="2559">
          <cell r="D2559">
            <v>10880030243</v>
          </cell>
        </row>
        <row r="2560">
          <cell r="D2560">
            <v>10880031307</v>
          </cell>
        </row>
        <row r="2561">
          <cell r="D2561">
            <v>10880032575</v>
          </cell>
        </row>
        <row r="2562">
          <cell r="D2562">
            <v>10880020647</v>
          </cell>
        </row>
        <row r="2563">
          <cell r="D2563">
            <v>10880022443</v>
          </cell>
        </row>
        <row r="2564">
          <cell r="D2564">
            <v>10880030491</v>
          </cell>
        </row>
        <row r="2565">
          <cell r="D2565">
            <v>10880031570</v>
          </cell>
        </row>
        <row r="2566">
          <cell r="D2566">
            <v>10880020647</v>
          </cell>
        </row>
        <row r="2567">
          <cell r="D2567">
            <v>10880022443</v>
          </cell>
        </row>
        <row r="2568">
          <cell r="D2568">
            <v>10880019777</v>
          </cell>
        </row>
        <row r="2569">
          <cell r="D2569">
            <v>10880019777</v>
          </cell>
        </row>
        <row r="2570">
          <cell r="D2570">
            <v>10880021612</v>
          </cell>
        </row>
        <row r="2571">
          <cell r="D2571">
            <v>10880027925</v>
          </cell>
        </row>
        <row r="2572">
          <cell r="D2572">
            <v>10880019222</v>
          </cell>
        </row>
        <row r="2573">
          <cell r="D2573">
            <v>10880022471</v>
          </cell>
        </row>
        <row r="2574">
          <cell r="D2574">
            <v>10880030841</v>
          </cell>
        </row>
        <row r="2575">
          <cell r="D2575">
            <v>10880019777</v>
          </cell>
        </row>
        <row r="2576">
          <cell r="D2576">
            <v>10880030188</v>
          </cell>
        </row>
        <row r="2577">
          <cell r="D2577">
            <v>10880018105</v>
          </cell>
        </row>
        <row r="2578">
          <cell r="D2578">
            <v>10880020557</v>
          </cell>
        </row>
        <row r="2579">
          <cell r="D2579">
            <v>10880021545</v>
          </cell>
        </row>
        <row r="2580">
          <cell r="D2580">
            <v>10880030545</v>
          </cell>
        </row>
        <row r="2581">
          <cell r="D2581">
            <v>10880030545</v>
          </cell>
        </row>
        <row r="2582">
          <cell r="D2582">
            <v>10880030545</v>
          </cell>
        </row>
        <row r="2583">
          <cell r="D2583">
            <v>10880031020</v>
          </cell>
        </row>
        <row r="2584">
          <cell r="D2584">
            <v>10880031020</v>
          </cell>
        </row>
        <row r="2585">
          <cell r="D2585">
            <v>10880030550</v>
          </cell>
        </row>
        <row r="2586">
          <cell r="D2586">
            <v>10880020940</v>
          </cell>
        </row>
        <row r="2587">
          <cell r="D2587">
            <v>10880021545</v>
          </cell>
        </row>
        <row r="2588">
          <cell r="D2588">
            <v>10880031760</v>
          </cell>
        </row>
        <row r="2589">
          <cell r="D2589">
            <v>10880031766</v>
          </cell>
        </row>
        <row r="2590">
          <cell r="D2590">
            <v>10880017531</v>
          </cell>
        </row>
        <row r="2591">
          <cell r="D2591">
            <v>10880030920</v>
          </cell>
        </row>
        <row r="2592">
          <cell r="D2592">
            <v>10880030338</v>
          </cell>
        </row>
        <row r="2593">
          <cell r="D2593">
            <v>10880017949</v>
          </cell>
        </row>
        <row r="2594">
          <cell r="D2594">
            <v>10880020677</v>
          </cell>
        </row>
        <row r="2595">
          <cell r="D2595">
            <v>10880020208</v>
          </cell>
        </row>
        <row r="2596">
          <cell r="D2596">
            <v>10880028169</v>
          </cell>
        </row>
        <row r="2597">
          <cell r="D2597">
            <v>10880028881</v>
          </cell>
        </row>
        <row r="2598">
          <cell r="D2598">
            <v>10880020556</v>
          </cell>
        </row>
        <row r="2599">
          <cell r="D2599">
            <v>10880029054</v>
          </cell>
        </row>
        <row r="2600">
          <cell r="D2600">
            <v>10880012796</v>
          </cell>
        </row>
        <row r="2601">
          <cell r="D2601">
            <v>10880012795</v>
          </cell>
        </row>
        <row r="2602">
          <cell r="D2602">
            <v>10880017948</v>
          </cell>
        </row>
        <row r="2603">
          <cell r="D2603">
            <v>10880028169</v>
          </cell>
        </row>
        <row r="2604">
          <cell r="D2604">
            <v>10880028834</v>
          </cell>
        </row>
        <row r="2605">
          <cell r="D2605">
            <v>10880019773</v>
          </cell>
        </row>
        <row r="2606">
          <cell r="D2606">
            <v>10880031164</v>
          </cell>
        </row>
        <row r="2607">
          <cell r="D2607">
            <v>10880022123</v>
          </cell>
        </row>
        <row r="2608">
          <cell r="D2608">
            <v>10880017516</v>
          </cell>
        </row>
        <row r="2609">
          <cell r="D2609">
            <v>10880019773</v>
          </cell>
        </row>
        <row r="2610">
          <cell r="D2610">
            <v>10880019777</v>
          </cell>
        </row>
        <row r="2611">
          <cell r="D2611">
            <v>10880022471</v>
          </cell>
        </row>
        <row r="2612">
          <cell r="D2612">
            <v>10880020557</v>
          </cell>
        </row>
        <row r="2613">
          <cell r="D2613">
            <v>10880020557</v>
          </cell>
        </row>
        <row r="2614">
          <cell r="D2614">
            <v>10880020275</v>
          </cell>
        </row>
        <row r="2615">
          <cell r="D2615">
            <v>10880031072</v>
          </cell>
        </row>
        <row r="2616">
          <cell r="D2616">
            <v>10880020555</v>
          </cell>
        </row>
        <row r="2617">
          <cell r="D2617">
            <v>10880020654</v>
          </cell>
        </row>
        <row r="2618">
          <cell r="D2618">
            <v>10880018847</v>
          </cell>
        </row>
        <row r="2619">
          <cell r="D2619">
            <v>10880020031</v>
          </cell>
        </row>
        <row r="2620">
          <cell r="D2620">
            <v>10880028832</v>
          </cell>
        </row>
        <row r="2621">
          <cell r="D2621">
            <v>10880028832</v>
          </cell>
        </row>
        <row r="2622">
          <cell r="D2622">
            <v>10880029106</v>
          </cell>
        </row>
        <row r="2623">
          <cell r="D2623">
            <v>10880020940</v>
          </cell>
        </row>
        <row r="2624">
          <cell r="D2624">
            <v>10880029999</v>
          </cell>
        </row>
        <row r="2625">
          <cell r="D2625">
            <v>10880015879</v>
          </cell>
        </row>
        <row r="2626">
          <cell r="D2626">
            <v>10880014415</v>
          </cell>
        </row>
        <row r="2627">
          <cell r="D2627">
            <v>10880020654</v>
          </cell>
        </row>
        <row r="2628">
          <cell r="D2628">
            <v>10880020654</v>
          </cell>
        </row>
        <row r="2629">
          <cell r="D2629">
            <v>10880027925</v>
          </cell>
        </row>
        <row r="2630">
          <cell r="D2630">
            <v>10880030545</v>
          </cell>
        </row>
        <row r="2631">
          <cell r="D2631">
            <v>10880030545</v>
          </cell>
        </row>
        <row r="2632">
          <cell r="D2632">
            <v>10880030550</v>
          </cell>
        </row>
        <row r="2633">
          <cell r="D2633">
            <v>10880030550</v>
          </cell>
        </row>
        <row r="2634">
          <cell r="D2634">
            <v>10880020677</v>
          </cell>
        </row>
        <row r="2635">
          <cell r="D2635">
            <v>10880020654</v>
          </cell>
        </row>
        <row r="2636">
          <cell r="D2636">
            <v>10880020654</v>
          </cell>
        </row>
        <row r="2637">
          <cell r="D2637">
            <v>10880021545</v>
          </cell>
        </row>
        <row r="2638">
          <cell r="D2638">
            <v>10880031011</v>
          </cell>
        </row>
        <row r="2639">
          <cell r="D2639">
            <v>10880021029</v>
          </cell>
        </row>
        <row r="2640">
          <cell r="D2640">
            <v>10880029957</v>
          </cell>
        </row>
        <row r="2641">
          <cell r="D2641">
            <v>10880017531</v>
          </cell>
        </row>
        <row r="2642">
          <cell r="D2642">
            <v>10880017530</v>
          </cell>
        </row>
        <row r="2643">
          <cell r="D2643">
            <v>10880029156</v>
          </cell>
        </row>
        <row r="2644">
          <cell r="D2644">
            <v>10880029156</v>
          </cell>
        </row>
        <row r="2645">
          <cell r="D2645">
            <v>10880030243</v>
          </cell>
        </row>
        <row r="2646">
          <cell r="D2646">
            <v>10880022123</v>
          </cell>
        </row>
        <row r="2647">
          <cell r="D2647">
            <v>10880021203</v>
          </cell>
        </row>
        <row r="2648">
          <cell r="D2648">
            <v>10880020654</v>
          </cell>
        </row>
        <row r="2649">
          <cell r="D2649">
            <v>10880028929</v>
          </cell>
        </row>
        <row r="2650">
          <cell r="D2650">
            <v>10880028929</v>
          </cell>
        </row>
        <row r="2651">
          <cell r="D2651">
            <v>10880030545</v>
          </cell>
        </row>
        <row r="2652">
          <cell r="D2652">
            <v>10880031020</v>
          </cell>
        </row>
        <row r="2653">
          <cell r="D2653">
            <v>10880030551</v>
          </cell>
        </row>
        <row r="2654">
          <cell r="D2654">
            <v>10880028834</v>
          </cell>
        </row>
        <row r="2655">
          <cell r="D2655">
            <v>10880018093</v>
          </cell>
        </row>
        <row r="2656">
          <cell r="D2656">
            <v>10880028881</v>
          </cell>
        </row>
        <row r="2657">
          <cell r="D2657">
            <v>10880020556</v>
          </cell>
        </row>
        <row r="2658">
          <cell r="D2658">
            <v>10880029054</v>
          </cell>
        </row>
        <row r="2659">
          <cell r="D2659">
            <v>10880015830</v>
          </cell>
        </row>
        <row r="2660">
          <cell r="D2660">
            <v>10880021767</v>
          </cell>
        </row>
        <row r="2661">
          <cell r="D2661">
            <v>10880020555</v>
          </cell>
        </row>
        <row r="2662">
          <cell r="D2662">
            <v>10880020654</v>
          </cell>
        </row>
        <row r="2663">
          <cell r="D2663">
            <v>10880017949</v>
          </cell>
        </row>
        <row r="2664">
          <cell r="D2664">
            <v>10880012825</v>
          </cell>
        </row>
        <row r="2665">
          <cell r="D2665">
            <v>10880018850</v>
          </cell>
        </row>
        <row r="2666">
          <cell r="D2666">
            <v>10880031760</v>
          </cell>
        </row>
        <row r="2667">
          <cell r="D2667">
            <v>10880031766</v>
          </cell>
        </row>
        <row r="2668">
          <cell r="D2668">
            <v>10880019205</v>
          </cell>
        </row>
        <row r="2669">
          <cell r="D2669">
            <v>10880028306</v>
          </cell>
        </row>
        <row r="2670">
          <cell r="D2670">
            <v>10880018097</v>
          </cell>
        </row>
        <row r="2671">
          <cell r="D2671">
            <v>10880018093</v>
          </cell>
        </row>
        <row r="2672">
          <cell r="D2672">
            <v>10880020940</v>
          </cell>
        </row>
        <row r="2673">
          <cell r="D2673">
            <v>10880020048</v>
          </cell>
        </row>
        <row r="2674">
          <cell r="D2674">
            <v>10880031097</v>
          </cell>
        </row>
        <row r="2675">
          <cell r="D2675">
            <v>10880020555</v>
          </cell>
        </row>
        <row r="2676">
          <cell r="D2676">
            <v>10880031599</v>
          </cell>
        </row>
        <row r="2677">
          <cell r="D2677">
            <v>10880017516</v>
          </cell>
        </row>
        <row r="2678">
          <cell r="D2678">
            <v>10880018848</v>
          </cell>
        </row>
        <row r="2679">
          <cell r="D2679">
            <v>10880018848</v>
          </cell>
        </row>
        <row r="2680">
          <cell r="D2680">
            <v>10880012825</v>
          </cell>
        </row>
        <row r="2681">
          <cell r="D2681">
            <v>10880020940</v>
          </cell>
        </row>
        <row r="2682">
          <cell r="D2682">
            <v>10880020802</v>
          </cell>
        </row>
        <row r="2683">
          <cell r="D2683">
            <v>10880020557</v>
          </cell>
        </row>
        <row r="2684">
          <cell r="D2684">
            <v>10880030004</v>
          </cell>
        </row>
        <row r="2685">
          <cell r="D2685">
            <v>10880014414</v>
          </cell>
        </row>
        <row r="2686">
          <cell r="D2686">
            <v>10880021318</v>
          </cell>
        </row>
        <row r="2687">
          <cell r="D2687">
            <v>10880031766</v>
          </cell>
        </row>
        <row r="2688">
          <cell r="D2688">
            <v>10880030551</v>
          </cell>
        </row>
        <row r="2689">
          <cell r="D2689">
            <v>10880031760</v>
          </cell>
        </row>
        <row r="2690">
          <cell r="D2690">
            <v>10880028169</v>
          </cell>
        </row>
        <row r="2691">
          <cell r="D2691">
            <v>10880028881</v>
          </cell>
        </row>
        <row r="2692">
          <cell r="D2692">
            <v>10880030599</v>
          </cell>
        </row>
        <row r="2693">
          <cell r="D2693">
            <v>10880027957</v>
          </cell>
        </row>
        <row r="2694">
          <cell r="D2694">
            <v>10880021545</v>
          </cell>
        </row>
        <row r="2695">
          <cell r="D2695">
            <v>10880018093</v>
          </cell>
        </row>
        <row r="2696">
          <cell r="D2696">
            <v>10880028929</v>
          </cell>
        </row>
        <row r="2697">
          <cell r="D2697">
            <v>10880020697</v>
          </cell>
        </row>
        <row r="2698">
          <cell r="D2698">
            <v>10880030493</v>
          </cell>
        </row>
        <row r="2699">
          <cell r="D2699">
            <v>10880030620</v>
          </cell>
        </row>
        <row r="2700">
          <cell r="D2700">
            <v>10880018524</v>
          </cell>
        </row>
        <row r="2701">
          <cell r="D2701">
            <v>10880029033</v>
          </cell>
        </row>
        <row r="2702">
          <cell r="D2702">
            <v>10880017516</v>
          </cell>
        </row>
        <row r="2703">
          <cell r="D2703">
            <v>10880031115</v>
          </cell>
        </row>
        <row r="2704">
          <cell r="D2704">
            <v>10880019205</v>
          </cell>
        </row>
        <row r="2705">
          <cell r="D2705">
            <v>10880021029</v>
          </cell>
        </row>
        <row r="2706">
          <cell r="D2706">
            <v>10880031600</v>
          </cell>
        </row>
        <row r="2707">
          <cell r="D2707">
            <v>10880020678</v>
          </cell>
        </row>
        <row r="2708">
          <cell r="D2708">
            <v>10880019205</v>
          </cell>
        </row>
        <row r="2709">
          <cell r="D2709">
            <v>10880027958</v>
          </cell>
        </row>
        <row r="2710">
          <cell r="D2710">
            <v>10880017516</v>
          </cell>
        </row>
        <row r="2711">
          <cell r="D2711">
            <v>10880020940</v>
          </cell>
        </row>
        <row r="2712">
          <cell r="D2712">
            <v>10880031139</v>
          </cell>
        </row>
        <row r="2713">
          <cell r="D2713">
            <v>10880019040</v>
          </cell>
        </row>
        <row r="2714">
          <cell r="D2714">
            <v>10880019039</v>
          </cell>
        </row>
        <row r="2715">
          <cell r="D2715">
            <v>10880019773</v>
          </cell>
        </row>
        <row r="2716">
          <cell r="D2716">
            <v>10880020275</v>
          </cell>
        </row>
        <row r="2717">
          <cell r="D2717">
            <v>10880029033</v>
          </cell>
        </row>
        <row r="2718">
          <cell r="D2718">
            <v>10880018105</v>
          </cell>
        </row>
        <row r="2719">
          <cell r="D2719">
            <v>10880027924</v>
          </cell>
        </row>
        <row r="2720">
          <cell r="D2720">
            <v>10880031560</v>
          </cell>
        </row>
        <row r="2721">
          <cell r="D2721">
            <v>10880030431</v>
          </cell>
        </row>
        <row r="2722">
          <cell r="D2722">
            <v>10880030599</v>
          </cell>
        </row>
        <row r="2723">
          <cell r="D2723">
            <v>10880018105</v>
          </cell>
        </row>
        <row r="2724">
          <cell r="D2724">
            <v>10880027925</v>
          </cell>
        </row>
        <row r="2725">
          <cell r="D2725">
            <v>10880030545</v>
          </cell>
        </row>
        <row r="2726">
          <cell r="D2726">
            <v>10880030550</v>
          </cell>
        </row>
        <row r="2727">
          <cell r="D2727">
            <v>10880020677</v>
          </cell>
        </row>
        <row r="2728">
          <cell r="D2728">
            <v>10880019777</v>
          </cell>
        </row>
        <row r="2729">
          <cell r="D2729">
            <v>10880020654</v>
          </cell>
        </row>
        <row r="2730">
          <cell r="D2730">
            <v>10880017949</v>
          </cell>
        </row>
        <row r="2731">
          <cell r="D2731">
            <v>10880022443</v>
          </cell>
        </row>
        <row r="2732">
          <cell r="D2732">
            <v>10880019205</v>
          </cell>
        </row>
        <row r="2733">
          <cell r="D2733">
            <v>10880031570</v>
          </cell>
        </row>
        <row r="2734">
          <cell r="D2734">
            <v>10880029033</v>
          </cell>
        </row>
        <row r="2735">
          <cell r="D2735">
            <v>10880020555</v>
          </cell>
        </row>
        <row r="2736">
          <cell r="D2736">
            <v>10880031560</v>
          </cell>
        </row>
        <row r="2737">
          <cell r="D2737">
            <v>10880032759</v>
          </cell>
        </row>
        <row r="2738">
          <cell r="D2738">
            <v>10880031317</v>
          </cell>
        </row>
        <row r="2739">
          <cell r="D2739">
            <v>10880022123</v>
          </cell>
        </row>
        <row r="2740">
          <cell r="D2740">
            <v>10880017949</v>
          </cell>
        </row>
        <row r="2741">
          <cell r="D2741">
            <v>10880020222</v>
          </cell>
        </row>
        <row r="2742">
          <cell r="D2742">
            <v>10880021029</v>
          </cell>
        </row>
        <row r="2743">
          <cell r="D2743">
            <v>10880028169</v>
          </cell>
        </row>
        <row r="2744">
          <cell r="D2744">
            <v>10880028881</v>
          </cell>
        </row>
        <row r="2745">
          <cell r="D2745">
            <v>10880029054</v>
          </cell>
        </row>
        <row r="2746">
          <cell r="D2746">
            <v>10880032745</v>
          </cell>
        </row>
        <row r="2747">
          <cell r="D2747">
            <v>10880018850</v>
          </cell>
        </row>
        <row r="2748">
          <cell r="D2748">
            <v>10880018524</v>
          </cell>
        </row>
        <row r="2749">
          <cell r="D2749">
            <v>10880022406</v>
          </cell>
        </row>
        <row r="2750">
          <cell r="D2750">
            <v>10880020557</v>
          </cell>
        </row>
        <row r="2751">
          <cell r="D2751">
            <v>10880031570</v>
          </cell>
        </row>
        <row r="2752">
          <cell r="D2752">
            <v>10880020654</v>
          </cell>
        </row>
        <row r="2753">
          <cell r="D2753">
            <v>10880017516</v>
          </cell>
        </row>
        <row r="2754">
          <cell r="D2754">
            <v>10880027925</v>
          </cell>
        </row>
        <row r="2755">
          <cell r="D2755">
            <v>10880020677</v>
          </cell>
        </row>
        <row r="2756">
          <cell r="D2756">
            <v>10880028831</v>
          </cell>
        </row>
        <row r="2757">
          <cell r="D2757">
            <v>10880027924</v>
          </cell>
        </row>
        <row r="2758">
          <cell r="D2758">
            <v>10880017526</v>
          </cell>
        </row>
        <row r="2759">
          <cell r="D2759">
            <v>10880020697</v>
          </cell>
        </row>
        <row r="2760">
          <cell r="D2760">
            <v>10880018524</v>
          </cell>
        </row>
        <row r="2761">
          <cell r="D2761">
            <v>10880030599</v>
          </cell>
        </row>
        <row r="2762">
          <cell r="D2762">
            <v>10880029957</v>
          </cell>
        </row>
        <row r="2763">
          <cell r="D2763">
            <v>10880018097</v>
          </cell>
        </row>
        <row r="2764">
          <cell r="D2764">
            <v>10880032759</v>
          </cell>
        </row>
        <row r="2765">
          <cell r="D2765">
            <v>10880022471</v>
          </cell>
        </row>
        <row r="2766">
          <cell r="D2766">
            <v>10880029054</v>
          </cell>
        </row>
        <row r="2767">
          <cell r="D2767">
            <v>10880018105</v>
          </cell>
        </row>
        <row r="2768">
          <cell r="D2768">
            <v>10880018105</v>
          </cell>
        </row>
        <row r="2769">
          <cell r="D2769">
            <v>10880020555</v>
          </cell>
        </row>
        <row r="2770">
          <cell r="D2770">
            <v>10880020048</v>
          </cell>
        </row>
        <row r="2771">
          <cell r="D2771">
            <v>10880019434</v>
          </cell>
        </row>
        <row r="2772">
          <cell r="D2772">
            <v>10880029055</v>
          </cell>
        </row>
        <row r="2773">
          <cell r="D2773">
            <v>10880019039</v>
          </cell>
        </row>
        <row r="2774">
          <cell r="D2774">
            <v>10880019040</v>
          </cell>
        </row>
        <row r="2775">
          <cell r="D2775">
            <v>10880020557</v>
          </cell>
        </row>
        <row r="2776">
          <cell r="D2776">
            <v>10880031570</v>
          </cell>
        </row>
        <row r="2777">
          <cell r="D2777">
            <v>10880020654</v>
          </cell>
        </row>
        <row r="2778">
          <cell r="D2778">
            <v>10880020031</v>
          </cell>
        </row>
        <row r="2779">
          <cell r="D2779">
            <v>10880029078</v>
          </cell>
        </row>
        <row r="2780">
          <cell r="D2780">
            <v>10880027958</v>
          </cell>
        </row>
        <row r="2781">
          <cell r="D2781">
            <v>10880021029</v>
          </cell>
        </row>
        <row r="2782">
          <cell r="D2782">
            <v>10880021545</v>
          </cell>
        </row>
        <row r="2783">
          <cell r="D2783">
            <v>10880030551</v>
          </cell>
        </row>
        <row r="2784">
          <cell r="D2784">
            <v>10880028832</v>
          </cell>
        </row>
        <row r="2785">
          <cell r="D2785">
            <v>10880020677</v>
          </cell>
        </row>
        <row r="2786">
          <cell r="D2786">
            <v>10880017516</v>
          </cell>
        </row>
        <row r="2787">
          <cell r="D2787">
            <v>10880022123</v>
          </cell>
        </row>
        <row r="2788">
          <cell r="D2788">
            <v>10880029033</v>
          </cell>
        </row>
        <row r="2789">
          <cell r="D2789">
            <v>10880014812</v>
          </cell>
        </row>
        <row r="2790">
          <cell r="D2790">
            <v>10880020555</v>
          </cell>
        </row>
        <row r="2791">
          <cell r="D2791">
            <v>10880030123</v>
          </cell>
        </row>
        <row r="2792">
          <cell r="D2792">
            <v>10880014815</v>
          </cell>
        </row>
        <row r="2793">
          <cell r="D2793">
            <v>10880030243</v>
          </cell>
        </row>
        <row r="2794">
          <cell r="D2794">
            <v>10880017949</v>
          </cell>
        </row>
        <row r="2795">
          <cell r="D2795">
            <v>10880020940</v>
          </cell>
        </row>
        <row r="2796">
          <cell r="D2796">
            <v>10880018850</v>
          </cell>
        </row>
        <row r="2797">
          <cell r="D2797">
            <v>10880018105</v>
          </cell>
        </row>
        <row r="2798">
          <cell r="D2798">
            <v>10880018524</v>
          </cell>
        </row>
        <row r="2799">
          <cell r="D2799">
            <v>10880020209</v>
          </cell>
        </row>
        <row r="2800">
          <cell r="D2800">
            <v>10880020208</v>
          </cell>
        </row>
        <row r="2801">
          <cell r="D2801">
            <v>10880030840</v>
          </cell>
        </row>
        <row r="2802">
          <cell r="D2802">
            <v>10880028169</v>
          </cell>
        </row>
        <row r="2803">
          <cell r="D2803">
            <v>10880031096</v>
          </cell>
        </row>
        <row r="2804">
          <cell r="D2804">
            <v>10880022406</v>
          </cell>
        </row>
        <row r="2805">
          <cell r="D2805">
            <v>10880017948</v>
          </cell>
        </row>
        <row r="2806">
          <cell r="D2806">
            <v>10880031560</v>
          </cell>
        </row>
        <row r="2807">
          <cell r="D2807">
            <v>10880020203</v>
          </cell>
        </row>
        <row r="2808">
          <cell r="D2808">
            <v>10880030607</v>
          </cell>
        </row>
        <row r="2809">
          <cell r="D2809">
            <v>10880028393</v>
          </cell>
        </row>
        <row r="2810">
          <cell r="D2810">
            <v>10880029999</v>
          </cell>
        </row>
        <row r="2811">
          <cell r="D2811">
            <v>10880020555</v>
          </cell>
        </row>
        <row r="2812">
          <cell r="D2812">
            <v>10880018524</v>
          </cell>
        </row>
        <row r="2813">
          <cell r="D2813">
            <v>10880015879</v>
          </cell>
        </row>
        <row r="2814">
          <cell r="D2814">
            <v>10880017524</v>
          </cell>
        </row>
        <row r="2815">
          <cell r="D2815">
            <v>10880031600</v>
          </cell>
        </row>
        <row r="2816">
          <cell r="D2816">
            <v>10880020192</v>
          </cell>
        </row>
        <row r="2817">
          <cell r="D2817">
            <v>10880022443</v>
          </cell>
        </row>
        <row r="2818">
          <cell r="D2818">
            <v>10880012796</v>
          </cell>
        </row>
        <row r="2819">
          <cell r="D2819">
            <v>10880021173</v>
          </cell>
        </row>
        <row r="2820">
          <cell r="D2820">
            <v>10880021174</v>
          </cell>
        </row>
        <row r="2821">
          <cell r="D2821">
            <v>10880021767</v>
          </cell>
        </row>
        <row r="2822">
          <cell r="D2822">
            <v>10880030203</v>
          </cell>
        </row>
        <row r="2823">
          <cell r="D2823">
            <v>10880017525</v>
          </cell>
        </row>
        <row r="2824">
          <cell r="D2824">
            <v>10880020677</v>
          </cell>
        </row>
        <row r="2825">
          <cell r="D2825">
            <v>10880022123</v>
          </cell>
        </row>
        <row r="2826">
          <cell r="D2826">
            <v>10880022044</v>
          </cell>
        </row>
        <row r="2827">
          <cell r="D2827">
            <v>10880030004</v>
          </cell>
        </row>
        <row r="2828">
          <cell r="D2828">
            <v>10880021796</v>
          </cell>
        </row>
        <row r="2829">
          <cell r="D2829">
            <v>10880030203</v>
          </cell>
        </row>
        <row r="2830">
          <cell r="D2830">
            <v>10880020209</v>
          </cell>
        </row>
        <row r="2831">
          <cell r="D2831">
            <v>10880020678</v>
          </cell>
        </row>
        <row r="2832">
          <cell r="D2832">
            <v>10880021029</v>
          </cell>
        </row>
        <row r="2833">
          <cell r="D2833">
            <v>10880021318</v>
          </cell>
        </row>
        <row r="2834">
          <cell r="D2834">
            <v>10880018524</v>
          </cell>
        </row>
        <row r="2835">
          <cell r="D2835">
            <v>10880021545</v>
          </cell>
        </row>
        <row r="2836">
          <cell r="D2836">
            <v>10880017948</v>
          </cell>
        </row>
        <row r="2837">
          <cell r="D2837">
            <v>10880020222</v>
          </cell>
        </row>
        <row r="2838">
          <cell r="D2838">
            <v>10880031560</v>
          </cell>
        </row>
        <row r="2839">
          <cell r="D2839">
            <v>10880020940</v>
          </cell>
        </row>
        <row r="2840">
          <cell r="D2840">
            <v>10880017531</v>
          </cell>
        </row>
        <row r="2841">
          <cell r="D2841">
            <v>10880018097</v>
          </cell>
        </row>
        <row r="2842">
          <cell r="D2842">
            <v>10880031072</v>
          </cell>
        </row>
        <row r="2843">
          <cell r="D2843">
            <v>10880020557</v>
          </cell>
        </row>
        <row r="2844">
          <cell r="D2844">
            <v>10880022406</v>
          </cell>
        </row>
        <row r="2845">
          <cell r="D2845">
            <v>10880029033</v>
          </cell>
        </row>
        <row r="2846">
          <cell r="D2846">
            <v>10880031600</v>
          </cell>
        </row>
        <row r="2847">
          <cell r="D2847">
            <v>10880017536</v>
          </cell>
        </row>
        <row r="2848">
          <cell r="D2848">
            <v>10880018093</v>
          </cell>
        </row>
        <row r="2849">
          <cell r="D2849">
            <v>10880022443</v>
          </cell>
        </row>
        <row r="2850">
          <cell r="D2850">
            <v>10880017516</v>
          </cell>
        </row>
        <row r="2851">
          <cell r="D2851">
            <v>10880020208</v>
          </cell>
        </row>
        <row r="2852">
          <cell r="D2852">
            <v>10880030608</v>
          </cell>
        </row>
        <row r="2853">
          <cell r="D2853">
            <v>10880028881</v>
          </cell>
        </row>
        <row r="2854">
          <cell r="D2854">
            <v>10880018524</v>
          </cell>
        </row>
        <row r="2855">
          <cell r="D2855">
            <v>10880017527</v>
          </cell>
        </row>
        <row r="2856">
          <cell r="D2856">
            <v>10880031185</v>
          </cell>
        </row>
        <row r="2857">
          <cell r="D2857">
            <v>10880019205</v>
          </cell>
        </row>
        <row r="2858">
          <cell r="D2858">
            <v>10880020802</v>
          </cell>
        </row>
        <row r="2859">
          <cell r="D2859">
            <v>10880022123</v>
          </cell>
        </row>
        <row r="2860">
          <cell r="D2860">
            <v>10880033130</v>
          </cell>
        </row>
        <row r="2861">
          <cell r="D2861">
            <v>10880029033</v>
          </cell>
        </row>
        <row r="2862">
          <cell r="D2862">
            <v>10880028306</v>
          </cell>
        </row>
        <row r="2863">
          <cell r="D2863">
            <v>10880028307</v>
          </cell>
        </row>
        <row r="2864">
          <cell r="D2864">
            <v>10880031560</v>
          </cell>
        </row>
        <row r="2865">
          <cell r="D2865">
            <v>10880030545</v>
          </cell>
        </row>
        <row r="2866">
          <cell r="D2866">
            <v>10880030545</v>
          </cell>
        </row>
        <row r="2867">
          <cell r="D2867">
            <v>10880031020</v>
          </cell>
        </row>
        <row r="2868">
          <cell r="D2868">
            <v>10880031020</v>
          </cell>
        </row>
        <row r="2869">
          <cell r="D2869">
            <v>10880019205</v>
          </cell>
        </row>
        <row r="2870">
          <cell r="D2870">
            <v>10880020802</v>
          </cell>
        </row>
        <row r="2871">
          <cell r="D2871">
            <v>10880018105</v>
          </cell>
        </row>
        <row r="2872">
          <cell r="D2872">
            <v>10880031599</v>
          </cell>
        </row>
        <row r="2873">
          <cell r="D2873">
            <v>10880031011</v>
          </cell>
        </row>
        <row r="2874">
          <cell r="D2874">
            <v>10880019205</v>
          </cell>
        </row>
        <row r="2875">
          <cell r="D2875">
            <v>10880027957</v>
          </cell>
        </row>
        <row r="2876">
          <cell r="D2876">
            <v>10880020802</v>
          </cell>
        </row>
        <row r="2877">
          <cell r="D2877">
            <v>10880012795</v>
          </cell>
        </row>
        <row r="2878">
          <cell r="D2878">
            <v>10880030188</v>
          </cell>
        </row>
        <row r="2879">
          <cell r="D2879">
            <v>10880017516</v>
          </cell>
        </row>
        <row r="2880">
          <cell r="D2880">
            <v>10880021767</v>
          </cell>
        </row>
        <row r="2881">
          <cell r="D2881">
            <v>10880021029</v>
          </cell>
        </row>
        <row r="2882">
          <cell r="D2882">
            <v>10880028169</v>
          </cell>
        </row>
        <row r="2883">
          <cell r="D2883">
            <v>10880022444</v>
          </cell>
        </row>
        <row r="2884">
          <cell r="D2884">
            <v>10880020224</v>
          </cell>
        </row>
        <row r="2885">
          <cell r="D2885">
            <v>10880020555</v>
          </cell>
        </row>
        <row r="2886">
          <cell r="D2886">
            <v>10880012825</v>
          </cell>
        </row>
        <row r="2887">
          <cell r="D2887">
            <v>10880027958</v>
          </cell>
        </row>
        <row r="2888">
          <cell r="D2888">
            <v>10880028469</v>
          </cell>
        </row>
        <row r="2889">
          <cell r="D2889">
            <v>10880021269</v>
          </cell>
        </row>
        <row r="2890">
          <cell r="D2890">
            <v>10880030433</v>
          </cell>
        </row>
        <row r="2891">
          <cell r="D2891">
            <v>10880021476</v>
          </cell>
        </row>
        <row r="2892">
          <cell r="D2892">
            <v>10880031570</v>
          </cell>
        </row>
        <row r="2893">
          <cell r="D2893">
            <v>10880028831</v>
          </cell>
        </row>
        <row r="2894">
          <cell r="D2894">
            <v>10880022442</v>
          </cell>
        </row>
        <row r="2895">
          <cell r="D2895">
            <v>10880012825</v>
          </cell>
        </row>
        <row r="2896">
          <cell r="D2896">
            <v>10880030545</v>
          </cell>
        </row>
        <row r="2897">
          <cell r="D2897">
            <v>10880030550</v>
          </cell>
        </row>
        <row r="2898">
          <cell r="D2898">
            <v>10880029156</v>
          </cell>
        </row>
        <row r="2899">
          <cell r="D2899">
            <v>10880030920</v>
          </cell>
        </row>
        <row r="2900">
          <cell r="D2900">
            <v>10880018096</v>
          </cell>
        </row>
        <row r="2901">
          <cell r="D2901">
            <v>10880018097</v>
          </cell>
        </row>
        <row r="2902">
          <cell r="D2902">
            <v>10880029055</v>
          </cell>
        </row>
        <row r="2903">
          <cell r="D2903">
            <v>10880028881</v>
          </cell>
        </row>
        <row r="2904">
          <cell r="D2904">
            <v>10880022406</v>
          </cell>
        </row>
        <row r="2905">
          <cell r="D2905">
            <v>10880031164</v>
          </cell>
        </row>
        <row r="2906">
          <cell r="D2906">
            <v>10880028929</v>
          </cell>
        </row>
        <row r="2907">
          <cell r="D2907">
            <v>10880031011</v>
          </cell>
        </row>
        <row r="2908">
          <cell r="D2908">
            <v>10880030551</v>
          </cell>
        </row>
        <row r="2909">
          <cell r="D2909">
            <v>10880020647</v>
          </cell>
        </row>
        <row r="2910">
          <cell r="D2910">
            <v>10880018093</v>
          </cell>
        </row>
        <row r="2911">
          <cell r="D2911">
            <v>10880020800</v>
          </cell>
        </row>
        <row r="2912">
          <cell r="D2912">
            <v>10880020048</v>
          </cell>
        </row>
        <row r="2913">
          <cell r="D2913">
            <v>10880014362</v>
          </cell>
        </row>
        <row r="2914">
          <cell r="D2914">
            <v>10880022123</v>
          </cell>
        </row>
        <row r="2915">
          <cell r="D2915">
            <v>10880031599</v>
          </cell>
        </row>
        <row r="2916">
          <cell r="D2916">
            <v>10880028929</v>
          </cell>
        </row>
        <row r="2917">
          <cell r="D2917">
            <v>10880017526</v>
          </cell>
        </row>
        <row r="2918">
          <cell r="D2918">
            <v>10880017527</v>
          </cell>
        </row>
        <row r="2919">
          <cell r="D2919">
            <v>10880020697</v>
          </cell>
        </row>
        <row r="2920">
          <cell r="D2920">
            <v>10880020729</v>
          </cell>
        </row>
        <row r="2921">
          <cell r="D2921">
            <v>10880030431</v>
          </cell>
        </row>
        <row r="2922">
          <cell r="D2922">
            <v>10880029079</v>
          </cell>
        </row>
        <row r="2923">
          <cell r="D2923">
            <v>10880030608</v>
          </cell>
        </row>
        <row r="2924">
          <cell r="D2924">
            <v>10880021895</v>
          </cell>
        </row>
        <row r="2925">
          <cell r="D2925">
            <v>10880018093</v>
          </cell>
        </row>
        <row r="2926">
          <cell r="D2926">
            <v>10880020802</v>
          </cell>
        </row>
        <row r="2927">
          <cell r="D2927">
            <v>10880030620</v>
          </cell>
        </row>
        <row r="2928">
          <cell r="D2928">
            <v>10880020555</v>
          </cell>
        </row>
        <row r="2929">
          <cell r="D2929">
            <v>10880017531</v>
          </cell>
        </row>
        <row r="2930">
          <cell r="D2930">
            <v>10880021029</v>
          </cell>
        </row>
        <row r="2931">
          <cell r="D2931">
            <v>10880018105</v>
          </cell>
        </row>
        <row r="2932">
          <cell r="D2932">
            <v>10880018105</v>
          </cell>
        </row>
        <row r="2933">
          <cell r="D2933">
            <v>10880018524</v>
          </cell>
        </row>
        <row r="2934">
          <cell r="D2934">
            <v>10880021796</v>
          </cell>
        </row>
        <row r="2935">
          <cell r="D2935">
            <v>10880017949</v>
          </cell>
        </row>
        <row r="2936">
          <cell r="D2936">
            <v>10880030265</v>
          </cell>
        </row>
        <row r="2937">
          <cell r="D2937">
            <v>10880030432</v>
          </cell>
        </row>
        <row r="2938">
          <cell r="D2938">
            <v>10880020678</v>
          </cell>
        </row>
        <row r="2939">
          <cell r="D2939">
            <v>10880020802</v>
          </cell>
        </row>
        <row r="2940">
          <cell r="D2940">
            <v>10880022044</v>
          </cell>
        </row>
        <row r="2941">
          <cell r="D2941">
            <v>10880030296</v>
          </cell>
        </row>
        <row r="2942">
          <cell r="D2942">
            <v>10880020275</v>
          </cell>
        </row>
        <row r="2943">
          <cell r="D2943">
            <v>10880017948</v>
          </cell>
        </row>
        <row r="2944">
          <cell r="D2944">
            <v>10880017525</v>
          </cell>
        </row>
        <row r="2945">
          <cell r="D2945">
            <v>10880021767</v>
          </cell>
        </row>
        <row r="2946">
          <cell r="D2946">
            <v>10880022443</v>
          </cell>
        </row>
        <row r="2947">
          <cell r="D2947">
            <v>10880030493</v>
          </cell>
        </row>
        <row r="2948">
          <cell r="D2948">
            <v>10880030607</v>
          </cell>
        </row>
        <row r="2949">
          <cell r="D2949">
            <v>10880022123</v>
          </cell>
        </row>
        <row r="2950">
          <cell r="D2950">
            <v>10880029033</v>
          </cell>
        </row>
        <row r="2951">
          <cell r="D2951">
            <v>10880017516</v>
          </cell>
        </row>
        <row r="2952">
          <cell r="D2952">
            <v>10880021315</v>
          </cell>
        </row>
        <row r="2953">
          <cell r="D2953">
            <v>10880028905</v>
          </cell>
        </row>
        <row r="2954">
          <cell r="D2954">
            <v>10880014815</v>
          </cell>
        </row>
        <row r="2955">
          <cell r="D2955">
            <v>10880020677</v>
          </cell>
        </row>
        <row r="2956">
          <cell r="D2956">
            <v>10880019042</v>
          </cell>
        </row>
        <row r="2957">
          <cell r="D2957">
            <v>10880030433</v>
          </cell>
        </row>
        <row r="2958">
          <cell r="D2958">
            <v>10880018105</v>
          </cell>
        </row>
        <row r="2959">
          <cell r="D2959">
            <v>10880030004</v>
          </cell>
        </row>
        <row r="2960">
          <cell r="D2960">
            <v>10880029999</v>
          </cell>
        </row>
        <row r="2961">
          <cell r="D2961">
            <v>10880022406</v>
          </cell>
        </row>
        <row r="2962">
          <cell r="D2962">
            <v>10880020031</v>
          </cell>
        </row>
        <row r="2963">
          <cell r="D2963">
            <v>10880020940</v>
          </cell>
        </row>
        <row r="2964">
          <cell r="D2964">
            <v>10880018105</v>
          </cell>
        </row>
        <row r="2965">
          <cell r="D2965">
            <v>10880031599</v>
          </cell>
        </row>
        <row r="2966">
          <cell r="D2966">
            <v>10880031599</v>
          </cell>
        </row>
        <row r="2967">
          <cell r="D2967">
            <v>10880028306</v>
          </cell>
        </row>
        <row r="2968">
          <cell r="D2968">
            <v>10880021545</v>
          </cell>
        </row>
        <row r="2969">
          <cell r="D2969">
            <v>10880030203</v>
          </cell>
        </row>
        <row r="2970">
          <cell r="D2970">
            <v>10880021342</v>
          </cell>
        </row>
        <row r="2971">
          <cell r="D2971">
            <v>10880020209</v>
          </cell>
        </row>
        <row r="2972">
          <cell r="D2972">
            <v>10880030493</v>
          </cell>
        </row>
        <row r="2973">
          <cell r="D2973">
            <v>10880020558</v>
          </cell>
        </row>
        <row r="2974">
          <cell r="D2974">
            <v>10880028306</v>
          </cell>
        </row>
        <row r="2975">
          <cell r="D2975">
            <v>10880021105</v>
          </cell>
        </row>
        <row r="2976">
          <cell r="D2976">
            <v>10880017948</v>
          </cell>
        </row>
        <row r="2977">
          <cell r="D2977">
            <v>10880020209</v>
          </cell>
        </row>
        <row r="2978">
          <cell r="D2978">
            <v>10880030607</v>
          </cell>
        </row>
        <row r="2979">
          <cell r="D2979">
            <v>10880021029</v>
          </cell>
        </row>
        <row r="2980">
          <cell r="D2980">
            <v>10880022123</v>
          </cell>
        </row>
        <row r="2981">
          <cell r="D2981">
            <v>10880029108</v>
          </cell>
        </row>
        <row r="2982">
          <cell r="D2982">
            <v>10880029033</v>
          </cell>
        </row>
        <row r="2983">
          <cell r="D2983">
            <v>10880031307</v>
          </cell>
        </row>
        <row r="2984">
          <cell r="D2984">
            <v>10880028393</v>
          </cell>
        </row>
        <row r="2985">
          <cell r="D2985">
            <v>10880030550</v>
          </cell>
        </row>
        <row r="2986">
          <cell r="D2986">
            <v>10880030545</v>
          </cell>
        </row>
        <row r="2987">
          <cell r="D2987">
            <v>10880031020</v>
          </cell>
        </row>
        <row r="2988">
          <cell r="D2988">
            <v>10880030545</v>
          </cell>
        </row>
        <row r="2989">
          <cell r="D2989">
            <v>10880028169</v>
          </cell>
        </row>
        <row r="2990">
          <cell r="D2990">
            <v>10880030334</v>
          </cell>
        </row>
        <row r="2991">
          <cell r="D2991">
            <v>10880021029</v>
          </cell>
        </row>
        <row r="2992">
          <cell r="D2992">
            <v>10880031072</v>
          </cell>
        </row>
        <row r="2993">
          <cell r="D2993">
            <v>10880019682</v>
          </cell>
        </row>
        <row r="2994">
          <cell r="D2994">
            <v>10880031871</v>
          </cell>
        </row>
        <row r="2995">
          <cell r="D2995">
            <v>10880015829</v>
          </cell>
        </row>
        <row r="2996">
          <cell r="D2996">
            <v>10880015830</v>
          </cell>
        </row>
        <row r="2997">
          <cell r="D2997">
            <v>10880021612</v>
          </cell>
        </row>
        <row r="2998">
          <cell r="D2998">
            <v>10880017516</v>
          </cell>
        </row>
        <row r="2999">
          <cell r="D2999">
            <v>10880031766</v>
          </cell>
        </row>
        <row r="3000">
          <cell r="D3000">
            <v>10880020678</v>
          </cell>
        </row>
        <row r="3001">
          <cell r="D3001">
            <v>10880031599</v>
          </cell>
        </row>
        <row r="3002">
          <cell r="D3002">
            <v>10880014812</v>
          </cell>
        </row>
        <row r="3003">
          <cell r="D3003">
            <v>10880020677</v>
          </cell>
        </row>
        <row r="3004">
          <cell r="D3004">
            <v>10880022443</v>
          </cell>
        </row>
        <row r="3005">
          <cell r="D3005">
            <v>10880018096</v>
          </cell>
        </row>
        <row r="3006">
          <cell r="D3006">
            <v>10880030742</v>
          </cell>
        </row>
        <row r="3007">
          <cell r="D3007">
            <v>10880018524</v>
          </cell>
        </row>
        <row r="3008">
          <cell r="D3008">
            <v>10880028307</v>
          </cell>
        </row>
        <row r="3009">
          <cell r="D3009">
            <v>10880021796</v>
          </cell>
        </row>
        <row r="3010">
          <cell r="D3010">
            <v>10880021796</v>
          </cell>
        </row>
        <row r="3011">
          <cell r="D3011">
            <v>10880017949</v>
          </cell>
        </row>
        <row r="3012">
          <cell r="D3012">
            <v>10880020031</v>
          </cell>
        </row>
        <row r="3013">
          <cell r="D3013">
            <v>10880030203</v>
          </cell>
        </row>
        <row r="3014">
          <cell r="D3014">
            <v>10880031760</v>
          </cell>
        </row>
        <row r="3015">
          <cell r="D3015">
            <v>10880032708</v>
          </cell>
        </row>
        <row r="3016">
          <cell r="D3016">
            <v>10880032708</v>
          </cell>
        </row>
        <row r="3017">
          <cell r="D3017">
            <v>10880032692</v>
          </cell>
        </row>
        <row r="3018">
          <cell r="D3018">
            <v>10880032694</v>
          </cell>
        </row>
        <row r="3019">
          <cell r="D3019">
            <v>10880031020</v>
          </cell>
        </row>
        <row r="3020">
          <cell r="D3020">
            <v>10880030545</v>
          </cell>
        </row>
        <row r="3021">
          <cell r="D3021">
            <v>10880020208</v>
          </cell>
        </row>
        <row r="3022">
          <cell r="D3022">
            <v>10880020208</v>
          </cell>
        </row>
        <row r="3023">
          <cell r="D3023">
            <v>10880030734</v>
          </cell>
        </row>
        <row r="3024">
          <cell r="D3024">
            <v>10880019039</v>
          </cell>
        </row>
        <row r="3025">
          <cell r="D3025">
            <v>10880031183</v>
          </cell>
        </row>
        <row r="3026">
          <cell r="D3026">
            <v>10880028929</v>
          </cell>
        </row>
        <row r="3027">
          <cell r="D3027">
            <v>10880017524</v>
          </cell>
        </row>
        <row r="3028">
          <cell r="D3028">
            <v>10880017516</v>
          </cell>
        </row>
        <row r="3029">
          <cell r="D3029">
            <v>10880028393</v>
          </cell>
        </row>
        <row r="3030">
          <cell r="D3030">
            <v>10880020677</v>
          </cell>
        </row>
        <row r="3031">
          <cell r="D3031">
            <v>10880030608</v>
          </cell>
        </row>
        <row r="3032">
          <cell r="D3032">
            <v>10880022442</v>
          </cell>
        </row>
        <row r="3033">
          <cell r="D3033">
            <v>10880021767</v>
          </cell>
        </row>
        <row r="3034">
          <cell r="D3034">
            <v>10880017516</v>
          </cell>
        </row>
        <row r="3035">
          <cell r="D3035">
            <v>10880017949</v>
          </cell>
        </row>
        <row r="3036">
          <cell r="D3036">
            <v>10880031011</v>
          </cell>
        </row>
        <row r="3037">
          <cell r="D3037">
            <v>10880032697</v>
          </cell>
        </row>
        <row r="3038">
          <cell r="D3038">
            <v>10880032698</v>
          </cell>
        </row>
        <row r="3039">
          <cell r="D3039">
            <v>10880030450</v>
          </cell>
        </row>
        <row r="3040">
          <cell r="D3040">
            <v>10880030493</v>
          </cell>
        </row>
        <row r="3041">
          <cell r="D3041">
            <v>10880018097</v>
          </cell>
        </row>
        <row r="3042">
          <cell r="D3042">
            <v>10880030742</v>
          </cell>
        </row>
        <row r="3043">
          <cell r="D3043">
            <v>10880030188</v>
          </cell>
        </row>
        <row r="3044">
          <cell r="D3044">
            <v>10880031599</v>
          </cell>
        </row>
        <row r="3045">
          <cell r="D3045">
            <v>10880018524</v>
          </cell>
        </row>
        <row r="3046">
          <cell r="D3046">
            <v>10880017527</v>
          </cell>
        </row>
        <row r="3047">
          <cell r="D3047">
            <v>10880030203</v>
          </cell>
        </row>
        <row r="3048">
          <cell r="D3048">
            <v>10880030550</v>
          </cell>
        </row>
        <row r="3049">
          <cell r="D3049">
            <v>10880030545</v>
          </cell>
        </row>
        <row r="3050">
          <cell r="D3050">
            <v>10880022444</v>
          </cell>
        </row>
        <row r="3051">
          <cell r="D3051">
            <v>10880017948</v>
          </cell>
        </row>
        <row r="3052">
          <cell r="D3052">
            <v>10880021029</v>
          </cell>
        </row>
        <row r="3053">
          <cell r="D3053">
            <v>10880021029</v>
          </cell>
        </row>
        <row r="3054">
          <cell r="D3054">
            <v>10880030551</v>
          </cell>
        </row>
        <row r="3055">
          <cell r="D3055">
            <v>10880020678</v>
          </cell>
        </row>
        <row r="3056">
          <cell r="D3056">
            <v>10880020558</v>
          </cell>
        </row>
        <row r="3057">
          <cell r="D3057">
            <v>10880022405</v>
          </cell>
        </row>
        <row r="3058">
          <cell r="D3058">
            <v>10880031304</v>
          </cell>
        </row>
        <row r="3059">
          <cell r="D3059">
            <v>10880029999</v>
          </cell>
        </row>
        <row r="3060">
          <cell r="D3060">
            <v>10880030545</v>
          </cell>
        </row>
        <row r="3061">
          <cell r="D3061">
            <v>10880030545</v>
          </cell>
        </row>
        <row r="3062">
          <cell r="D3062">
            <v>10880030550</v>
          </cell>
        </row>
        <row r="3063">
          <cell r="D3063">
            <v>10880031020</v>
          </cell>
        </row>
        <row r="3064">
          <cell r="D3064">
            <v>10880020677</v>
          </cell>
        </row>
        <row r="3065">
          <cell r="D3065">
            <v>10880018093</v>
          </cell>
        </row>
        <row r="3066">
          <cell r="D3066">
            <v>10880030447</v>
          </cell>
        </row>
        <row r="3067">
          <cell r="D3067">
            <v>10880021545</v>
          </cell>
        </row>
        <row r="3068">
          <cell r="D3068">
            <v>10880031114</v>
          </cell>
        </row>
        <row r="3069">
          <cell r="D3069">
            <v>10880031114</v>
          </cell>
        </row>
        <row r="3070">
          <cell r="D3070">
            <v>10880021029</v>
          </cell>
        </row>
        <row r="3071">
          <cell r="D3071">
            <v>10880015879</v>
          </cell>
        </row>
        <row r="3072">
          <cell r="D3072">
            <v>10880020940</v>
          </cell>
        </row>
        <row r="3073">
          <cell r="D3073">
            <v>10880022443</v>
          </cell>
        </row>
        <row r="3074">
          <cell r="D3074">
            <v>10880020800</v>
          </cell>
        </row>
        <row r="3075">
          <cell r="D3075">
            <v>10880028881</v>
          </cell>
        </row>
        <row r="3076">
          <cell r="D3076">
            <v>10880030447</v>
          </cell>
        </row>
        <row r="3077">
          <cell r="D3077">
            <v>10880031113</v>
          </cell>
        </row>
        <row r="3078">
          <cell r="D3078">
            <v>10880031113</v>
          </cell>
        </row>
        <row r="3079">
          <cell r="D3079">
            <v>10880028306</v>
          </cell>
        </row>
        <row r="3080">
          <cell r="D3080">
            <v>10880028905</v>
          </cell>
        </row>
        <row r="3081">
          <cell r="D3081">
            <v>10880030599</v>
          </cell>
        </row>
        <row r="3082">
          <cell r="D3082">
            <v>10880020940</v>
          </cell>
        </row>
        <row r="3083">
          <cell r="D3083">
            <v>10880031072</v>
          </cell>
        </row>
        <row r="3084">
          <cell r="D3084">
            <v>10880022442</v>
          </cell>
        </row>
        <row r="3085">
          <cell r="D3085">
            <v>10880028831</v>
          </cell>
        </row>
        <row r="3086">
          <cell r="D3086">
            <v>10880027925</v>
          </cell>
        </row>
        <row r="3087">
          <cell r="D3087">
            <v>10880027924</v>
          </cell>
        </row>
        <row r="3088">
          <cell r="D3088">
            <v>10880028306</v>
          </cell>
        </row>
        <row r="3089">
          <cell r="D3089">
            <v>10880017948</v>
          </cell>
        </row>
        <row r="3090">
          <cell r="D3090">
            <v>10880031760</v>
          </cell>
        </row>
        <row r="3091">
          <cell r="D3091">
            <v>10880020940</v>
          </cell>
        </row>
        <row r="3092">
          <cell r="D3092">
            <v>10880030607</v>
          </cell>
        </row>
        <row r="3093">
          <cell r="D3093">
            <v>10880031138</v>
          </cell>
        </row>
        <row r="3094">
          <cell r="D3094">
            <v>10880031139</v>
          </cell>
        </row>
        <row r="3095">
          <cell r="D3095">
            <v>10880031184</v>
          </cell>
        </row>
        <row r="3096">
          <cell r="D3096">
            <v>10880020048</v>
          </cell>
        </row>
        <row r="3097">
          <cell r="D3097">
            <v>10880018524</v>
          </cell>
        </row>
        <row r="3098">
          <cell r="D3098">
            <v>10880031072</v>
          </cell>
        </row>
        <row r="3099">
          <cell r="D3099">
            <v>10880027924</v>
          </cell>
        </row>
        <row r="3100">
          <cell r="D3100">
            <v>10880020940</v>
          </cell>
        </row>
        <row r="3101">
          <cell r="D3101">
            <v>10880030608</v>
          </cell>
        </row>
        <row r="3102">
          <cell r="D3102">
            <v>10880022406</v>
          </cell>
        </row>
        <row r="3103">
          <cell r="D3103">
            <v>10880030004</v>
          </cell>
        </row>
        <row r="3104">
          <cell r="D3104">
            <v>10880017949</v>
          </cell>
        </row>
        <row r="3105">
          <cell r="D3105">
            <v>10880031766</v>
          </cell>
        </row>
        <row r="3106">
          <cell r="D3106">
            <v>10880020209</v>
          </cell>
        </row>
        <row r="3107">
          <cell r="D3107">
            <v>10880020940</v>
          </cell>
        </row>
        <row r="3108">
          <cell r="D3108">
            <v>10880028469</v>
          </cell>
        </row>
        <row r="3109">
          <cell r="D3109">
            <v>10880018097</v>
          </cell>
        </row>
        <row r="3110">
          <cell r="D3110">
            <v>10880017524</v>
          </cell>
        </row>
        <row r="3111">
          <cell r="D3111">
            <v>10880021029</v>
          </cell>
        </row>
        <row r="3112">
          <cell r="D3112">
            <v>10880021029</v>
          </cell>
        </row>
        <row r="3113">
          <cell r="D3113">
            <v>10880018096</v>
          </cell>
        </row>
        <row r="3114">
          <cell r="D3114">
            <v>10880012795</v>
          </cell>
        </row>
        <row r="3115">
          <cell r="D3115">
            <v>10880030004</v>
          </cell>
        </row>
        <row r="3116">
          <cell r="D3116">
            <v>10880017527</v>
          </cell>
        </row>
        <row r="3117">
          <cell r="D3117">
            <v>10880017949</v>
          </cell>
        </row>
        <row r="3118">
          <cell r="D3118">
            <v>10880021105</v>
          </cell>
        </row>
        <row r="3119">
          <cell r="D3119">
            <v>10880020681</v>
          </cell>
        </row>
        <row r="3120">
          <cell r="D3120">
            <v>10880019205</v>
          </cell>
        </row>
        <row r="3121">
          <cell r="D3121">
            <v>10880017516</v>
          </cell>
        </row>
        <row r="3122">
          <cell r="D3122">
            <v>10880028307</v>
          </cell>
        </row>
        <row r="3123">
          <cell r="D3123">
            <v>10880012825</v>
          </cell>
        </row>
        <row r="3124">
          <cell r="D3124">
            <v>10880013354</v>
          </cell>
        </row>
        <row r="3125">
          <cell r="D3125">
            <v>10880020678</v>
          </cell>
        </row>
        <row r="3126">
          <cell r="D3126">
            <v>10880020802</v>
          </cell>
        </row>
        <row r="3127">
          <cell r="D3127">
            <v>10880020192</v>
          </cell>
        </row>
        <row r="3128">
          <cell r="D3128">
            <v>10880029054</v>
          </cell>
        </row>
        <row r="3129">
          <cell r="D3129">
            <v>10880018093</v>
          </cell>
        </row>
        <row r="3130">
          <cell r="D3130">
            <v>10880030976</v>
          </cell>
        </row>
        <row r="3131">
          <cell r="D3131">
            <v>10880020940</v>
          </cell>
        </row>
        <row r="3132">
          <cell r="D3132">
            <v>10880018097</v>
          </cell>
        </row>
        <row r="3133">
          <cell r="D3133">
            <v>10880021796</v>
          </cell>
        </row>
        <row r="3134">
          <cell r="D3134">
            <v>10880031113</v>
          </cell>
        </row>
        <row r="3135">
          <cell r="D3135">
            <v>10880019682</v>
          </cell>
        </row>
        <row r="3136">
          <cell r="D3136">
            <v>10880031072</v>
          </cell>
        </row>
        <row r="3137">
          <cell r="D3137">
            <v>10880021545</v>
          </cell>
        </row>
        <row r="3138">
          <cell r="D3138">
            <v>10880029033</v>
          </cell>
        </row>
        <row r="3139">
          <cell r="D3139">
            <v>10880018524</v>
          </cell>
        </row>
        <row r="3140">
          <cell r="D3140">
            <v>10880021767</v>
          </cell>
        </row>
        <row r="3141">
          <cell r="D3141">
            <v>10880029078</v>
          </cell>
        </row>
        <row r="3142">
          <cell r="D3142">
            <v>10880020678</v>
          </cell>
        </row>
        <row r="3143">
          <cell r="D3143">
            <v>10880022471</v>
          </cell>
        </row>
        <row r="3144">
          <cell r="D3144">
            <v>10880028834</v>
          </cell>
        </row>
        <row r="3145">
          <cell r="D3145">
            <v>10880017524</v>
          </cell>
        </row>
        <row r="3146">
          <cell r="D3146">
            <v>10880030607</v>
          </cell>
        </row>
        <row r="3147">
          <cell r="D3147">
            <v>10880017949</v>
          </cell>
        </row>
        <row r="3148">
          <cell r="D3148">
            <v>10880033325</v>
          </cell>
        </row>
        <row r="3149">
          <cell r="D3149">
            <v>10880015879</v>
          </cell>
        </row>
        <row r="3150">
          <cell r="D3150">
            <v>10880015879</v>
          </cell>
        </row>
        <row r="3151">
          <cell r="D3151">
            <v>10880020677</v>
          </cell>
        </row>
        <row r="3152">
          <cell r="D3152">
            <v>10880017536</v>
          </cell>
        </row>
        <row r="3153">
          <cell r="D3153">
            <v>10880018524</v>
          </cell>
        </row>
        <row r="3154">
          <cell r="D3154">
            <v>10880018524</v>
          </cell>
        </row>
        <row r="3155">
          <cell r="D3155">
            <v>10880028306</v>
          </cell>
        </row>
        <row r="3156">
          <cell r="D3156">
            <v>10880030920</v>
          </cell>
        </row>
        <row r="3157">
          <cell r="D3157">
            <v>10880019039</v>
          </cell>
        </row>
        <row r="3158">
          <cell r="D3158">
            <v>10880019205</v>
          </cell>
        </row>
        <row r="3159">
          <cell r="D3159">
            <v>10880030608</v>
          </cell>
        </row>
        <row r="3160">
          <cell r="D3160">
            <v>10880030188</v>
          </cell>
        </row>
        <row r="3161">
          <cell r="D3161">
            <v>10880028881</v>
          </cell>
        </row>
        <row r="3162">
          <cell r="D3162">
            <v>10880031599</v>
          </cell>
        </row>
        <row r="3163">
          <cell r="D3163">
            <v>10880028306</v>
          </cell>
        </row>
        <row r="3164">
          <cell r="D3164">
            <v>10880020031</v>
          </cell>
        </row>
        <row r="3165">
          <cell r="D3165">
            <v>10880030296</v>
          </cell>
        </row>
        <row r="3166">
          <cell r="D3166">
            <v>10880017536</v>
          </cell>
        </row>
        <row r="3167">
          <cell r="D3167">
            <v>10880022443</v>
          </cell>
        </row>
        <row r="3168">
          <cell r="D3168">
            <v>10880029055</v>
          </cell>
        </row>
        <row r="3169">
          <cell r="D3169">
            <v>10880022472</v>
          </cell>
        </row>
        <row r="3170">
          <cell r="D3170">
            <v>10880030608</v>
          </cell>
        </row>
        <row r="3171">
          <cell r="D3171">
            <v>10880029999</v>
          </cell>
        </row>
        <row r="3172">
          <cell r="D3172">
            <v>10880030296</v>
          </cell>
        </row>
        <row r="3173">
          <cell r="D3173">
            <v>10880022443</v>
          </cell>
        </row>
        <row r="3174">
          <cell r="D3174">
            <v>10880029106</v>
          </cell>
        </row>
        <row r="3175">
          <cell r="D3175">
            <v>10880020940</v>
          </cell>
        </row>
        <row r="3176">
          <cell r="D3176">
            <v>10880030608</v>
          </cell>
        </row>
        <row r="3177">
          <cell r="D3177">
            <v>10880030188</v>
          </cell>
        </row>
        <row r="3178">
          <cell r="D3178">
            <v>10880022406</v>
          </cell>
        </row>
        <row r="3179">
          <cell r="D3179">
            <v>10880031113</v>
          </cell>
        </row>
        <row r="3180">
          <cell r="D3180">
            <v>10880031113</v>
          </cell>
        </row>
        <row r="3181">
          <cell r="D3181">
            <v>10880030296</v>
          </cell>
        </row>
        <row r="3182">
          <cell r="D3182">
            <v>10880030296</v>
          </cell>
        </row>
        <row r="3183">
          <cell r="D3183">
            <v>10880031020</v>
          </cell>
        </row>
        <row r="3184">
          <cell r="D3184">
            <v>10880031020</v>
          </cell>
        </row>
        <row r="3185">
          <cell r="D3185">
            <v>10880030545</v>
          </cell>
        </row>
        <row r="3186">
          <cell r="D3186">
            <v>10880030545</v>
          </cell>
        </row>
        <row r="3187">
          <cell r="D3187">
            <v>10880021029</v>
          </cell>
        </row>
        <row r="3188">
          <cell r="D3188">
            <v>10880029033</v>
          </cell>
        </row>
        <row r="3189">
          <cell r="D3189">
            <v>10880017516</v>
          </cell>
        </row>
        <row r="3190">
          <cell r="D3190">
            <v>10880017516</v>
          </cell>
        </row>
        <row r="3191">
          <cell r="D3191">
            <v>10880031011</v>
          </cell>
        </row>
        <row r="3192">
          <cell r="D3192">
            <v>10880020802</v>
          </cell>
        </row>
        <row r="3193">
          <cell r="D3193">
            <v>10880030608</v>
          </cell>
        </row>
        <row r="3194">
          <cell r="D3194">
            <v>10880020225</v>
          </cell>
        </row>
        <row r="3195">
          <cell r="D3195">
            <v>10880033367</v>
          </cell>
        </row>
        <row r="3196">
          <cell r="D3196">
            <v>10880021612</v>
          </cell>
        </row>
        <row r="3197">
          <cell r="D3197">
            <v>10880017949</v>
          </cell>
        </row>
        <row r="3198">
          <cell r="D3198">
            <v>10880030607</v>
          </cell>
        </row>
        <row r="3199">
          <cell r="D3199">
            <v>10880021767</v>
          </cell>
        </row>
        <row r="3200">
          <cell r="D3200">
            <v>10880028306</v>
          </cell>
        </row>
        <row r="3201">
          <cell r="D3201">
            <v>10880020802</v>
          </cell>
        </row>
        <row r="3202">
          <cell r="D3202">
            <v>10880021342</v>
          </cell>
        </row>
        <row r="3203">
          <cell r="D3203">
            <v>10880028307</v>
          </cell>
        </row>
        <row r="3204">
          <cell r="D3204">
            <v>10880017949</v>
          </cell>
        </row>
        <row r="3205">
          <cell r="D3205">
            <v>10880012825</v>
          </cell>
        </row>
        <row r="3206">
          <cell r="D3206">
            <v>10880017525</v>
          </cell>
        </row>
        <row r="3207">
          <cell r="D3207">
            <v>10880020802</v>
          </cell>
        </row>
        <row r="3208">
          <cell r="D3208">
            <v>10880018850</v>
          </cell>
        </row>
        <row r="3209">
          <cell r="D3209">
            <v>10880020640</v>
          </cell>
        </row>
        <row r="3210">
          <cell r="D3210">
            <v>10880030920</v>
          </cell>
        </row>
        <row r="3211">
          <cell r="D3211">
            <v>10880021203</v>
          </cell>
        </row>
        <row r="3212">
          <cell r="D3212">
            <v>10880029078</v>
          </cell>
        </row>
        <row r="3213">
          <cell r="D3213">
            <v>10880030188</v>
          </cell>
        </row>
        <row r="3214">
          <cell r="D3214">
            <v>10880017527</v>
          </cell>
        </row>
        <row r="3215">
          <cell r="D3215">
            <v>10880019205</v>
          </cell>
        </row>
        <row r="3216">
          <cell r="D3216">
            <v>10880020677</v>
          </cell>
        </row>
        <row r="3217">
          <cell r="D3217">
            <v>10880031015</v>
          </cell>
        </row>
        <row r="3218">
          <cell r="D3218">
            <v>10880022123</v>
          </cell>
        </row>
        <row r="3219">
          <cell r="D3219">
            <v>10880031096</v>
          </cell>
        </row>
        <row r="3220">
          <cell r="D3220">
            <v>10880012825</v>
          </cell>
        </row>
        <row r="3221">
          <cell r="D3221">
            <v>10880017527</v>
          </cell>
        </row>
        <row r="3222">
          <cell r="D3222">
            <v>10880031760</v>
          </cell>
        </row>
        <row r="3223">
          <cell r="D3223">
            <v>10880030920</v>
          </cell>
        </row>
        <row r="3224">
          <cell r="D3224">
            <v>10880032683</v>
          </cell>
        </row>
        <row r="3225">
          <cell r="D3225">
            <v>10880018524</v>
          </cell>
        </row>
        <row r="3226">
          <cell r="D3226">
            <v>10880021545</v>
          </cell>
        </row>
        <row r="3227">
          <cell r="D3227">
            <v>10880020558</v>
          </cell>
        </row>
        <row r="3228">
          <cell r="D3228">
            <v>10880021342</v>
          </cell>
        </row>
        <row r="3229">
          <cell r="D3229">
            <v>10880022405</v>
          </cell>
        </row>
        <row r="3230">
          <cell r="D3230">
            <v>10880028306</v>
          </cell>
        </row>
        <row r="3231">
          <cell r="D3231">
            <v>10880013354</v>
          </cell>
        </row>
        <row r="3232">
          <cell r="D3232">
            <v>10880017949</v>
          </cell>
        </row>
        <row r="3233">
          <cell r="D3233">
            <v>10880020802</v>
          </cell>
        </row>
        <row r="3234">
          <cell r="D3234">
            <v>10880030608</v>
          </cell>
        </row>
        <row r="3235">
          <cell r="D3235">
            <v>10880020224</v>
          </cell>
        </row>
        <row r="3236">
          <cell r="D3236">
            <v>10880033325</v>
          </cell>
        </row>
        <row r="3237">
          <cell r="D3237">
            <v>10880030004</v>
          </cell>
        </row>
        <row r="3238">
          <cell r="D3238">
            <v>10880021545</v>
          </cell>
        </row>
        <row r="3239">
          <cell r="D3239">
            <v>10880017525</v>
          </cell>
        </row>
        <row r="3240">
          <cell r="D3240">
            <v>10880020800</v>
          </cell>
        </row>
        <row r="3241">
          <cell r="D3241">
            <v>10880020225</v>
          </cell>
        </row>
        <row r="3242">
          <cell r="D3242">
            <v>10880018093</v>
          </cell>
        </row>
        <row r="3243">
          <cell r="D3243">
            <v>10880030188</v>
          </cell>
        </row>
        <row r="3244">
          <cell r="D3244">
            <v>10880028831</v>
          </cell>
        </row>
        <row r="3245">
          <cell r="D3245">
            <v>10880031570</v>
          </cell>
        </row>
        <row r="3246">
          <cell r="D3246">
            <v>10880029078</v>
          </cell>
        </row>
        <row r="3247">
          <cell r="D3247">
            <v>10880028929</v>
          </cell>
        </row>
        <row r="3248">
          <cell r="D3248">
            <v>10880028306</v>
          </cell>
        </row>
        <row r="3249">
          <cell r="D3249">
            <v>10880030545</v>
          </cell>
        </row>
        <row r="3250">
          <cell r="D3250">
            <v>10880030545</v>
          </cell>
        </row>
        <row r="3251">
          <cell r="D3251">
            <v>10880030550</v>
          </cell>
        </row>
        <row r="3252">
          <cell r="D3252">
            <v>10880030550</v>
          </cell>
        </row>
        <row r="3253">
          <cell r="D3253">
            <v>10880020802</v>
          </cell>
        </row>
        <row r="3254">
          <cell r="D3254">
            <v>10880030920</v>
          </cell>
        </row>
        <row r="3255">
          <cell r="D3255">
            <v>10880031164</v>
          </cell>
        </row>
        <row r="3256">
          <cell r="D3256">
            <v>10880031113</v>
          </cell>
        </row>
        <row r="3257">
          <cell r="D3257">
            <v>10880028306</v>
          </cell>
        </row>
        <row r="3258">
          <cell r="D3258">
            <v>10880031072</v>
          </cell>
        </row>
        <row r="3259">
          <cell r="D3259">
            <v>10880031766</v>
          </cell>
        </row>
        <row r="3260">
          <cell r="D3260">
            <v>10880030551</v>
          </cell>
        </row>
        <row r="3261">
          <cell r="D3261">
            <v>10880020802</v>
          </cell>
        </row>
        <row r="3262">
          <cell r="D3262">
            <v>10880020048</v>
          </cell>
        </row>
        <row r="3263">
          <cell r="D3263">
            <v>10880019205</v>
          </cell>
        </row>
        <row r="3264">
          <cell r="D3264">
            <v>10880031599</v>
          </cell>
        </row>
        <row r="3265">
          <cell r="D3265">
            <v>10880031461</v>
          </cell>
        </row>
        <row r="3266">
          <cell r="D3266">
            <v>10880021767</v>
          </cell>
        </row>
        <row r="3267">
          <cell r="D3267">
            <v>10880031164</v>
          </cell>
        </row>
        <row r="3268">
          <cell r="D3268">
            <v>10880012825</v>
          </cell>
        </row>
        <row r="3269">
          <cell r="D3269">
            <v>10880030608</v>
          </cell>
        </row>
        <row r="3270">
          <cell r="D3270">
            <v>10880021545</v>
          </cell>
        </row>
        <row r="3271">
          <cell r="D3271">
            <v>10880032625</v>
          </cell>
        </row>
        <row r="3272">
          <cell r="D3272">
            <v>10880028688</v>
          </cell>
        </row>
        <row r="3273">
          <cell r="D3273">
            <v>10880033291</v>
          </cell>
        </row>
        <row r="3274">
          <cell r="D3274">
            <v>10880031871</v>
          </cell>
        </row>
        <row r="3275">
          <cell r="D3275">
            <v>10880031096</v>
          </cell>
        </row>
        <row r="3276">
          <cell r="D3276">
            <v>10880028929</v>
          </cell>
        </row>
        <row r="3277">
          <cell r="D3277">
            <v>10880022444</v>
          </cell>
        </row>
        <row r="3278">
          <cell r="D3278">
            <v>10880017525</v>
          </cell>
        </row>
        <row r="3279">
          <cell r="D3279">
            <v>10880031599</v>
          </cell>
        </row>
        <row r="3280">
          <cell r="D3280">
            <v>10880031599</v>
          </cell>
        </row>
        <row r="3281">
          <cell r="D3281">
            <v>10880031113</v>
          </cell>
        </row>
        <row r="3282">
          <cell r="D3282">
            <v>10880017949</v>
          </cell>
        </row>
        <row r="3283">
          <cell r="D3283">
            <v>10880021767</v>
          </cell>
        </row>
        <row r="3284">
          <cell r="D3284">
            <v>10880022470</v>
          </cell>
        </row>
        <row r="3285">
          <cell r="D3285">
            <v>10880030545</v>
          </cell>
        </row>
        <row r="3286">
          <cell r="D3286">
            <v>10880031020</v>
          </cell>
        </row>
        <row r="3287">
          <cell r="D3287">
            <v>10880033130</v>
          </cell>
        </row>
        <row r="3288">
          <cell r="D3288">
            <v>10880021269</v>
          </cell>
        </row>
        <row r="3289">
          <cell r="D3289">
            <v>10880020802</v>
          </cell>
        </row>
        <row r="3290">
          <cell r="D3290">
            <v>10880021476</v>
          </cell>
        </row>
        <row r="3291">
          <cell r="D3291">
            <v>10880017536</v>
          </cell>
        </row>
        <row r="3292">
          <cell r="D3292">
            <v>10880017527</v>
          </cell>
        </row>
        <row r="3293">
          <cell r="D3293">
            <v>10880028306</v>
          </cell>
        </row>
        <row r="3294">
          <cell r="D3294">
            <v>10880017949</v>
          </cell>
        </row>
        <row r="3295">
          <cell r="D3295">
            <v>10880020031</v>
          </cell>
        </row>
        <row r="3296">
          <cell r="D3296">
            <v>10880031011</v>
          </cell>
        </row>
        <row r="3297">
          <cell r="D3297">
            <v>10880020208</v>
          </cell>
        </row>
        <row r="3298">
          <cell r="D3298">
            <v>10880022406</v>
          </cell>
        </row>
        <row r="3299">
          <cell r="D3299">
            <v>10880029033</v>
          </cell>
        </row>
        <row r="3300">
          <cell r="D3300">
            <v>10880028306</v>
          </cell>
        </row>
        <row r="3301">
          <cell r="D3301">
            <v>10880020048</v>
          </cell>
        </row>
        <row r="3302">
          <cell r="D3302">
            <v>10880022443</v>
          </cell>
        </row>
        <row r="3303">
          <cell r="D3303">
            <v>10880029078</v>
          </cell>
        </row>
        <row r="3304">
          <cell r="D3304">
            <v>10880021029</v>
          </cell>
        </row>
        <row r="3305">
          <cell r="D3305">
            <v>10880028307</v>
          </cell>
        </row>
        <row r="3306">
          <cell r="D3306">
            <v>10880021545</v>
          </cell>
        </row>
        <row r="3307">
          <cell r="D3307">
            <v>10880012825</v>
          </cell>
        </row>
        <row r="3308">
          <cell r="D3308">
            <v>10880028345</v>
          </cell>
        </row>
        <row r="3309">
          <cell r="D3309">
            <v>10880019682</v>
          </cell>
        </row>
        <row r="3310">
          <cell r="D3310">
            <v>10880030545</v>
          </cell>
        </row>
        <row r="3311">
          <cell r="D3311">
            <v>10880031020</v>
          </cell>
        </row>
        <row r="3312">
          <cell r="D3312">
            <v>10880020209</v>
          </cell>
        </row>
        <row r="3313">
          <cell r="D3313">
            <v>10880030188</v>
          </cell>
        </row>
        <row r="3314">
          <cell r="D3314">
            <v>10880028394</v>
          </cell>
        </row>
        <row r="3315">
          <cell r="D3315">
            <v>10880028306</v>
          </cell>
        </row>
        <row r="3316">
          <cell r="D3316">
            <v>10880031760</v>
          </cell>
        </row>
        <row r="3317">
          <cell r="D3317">
            <v>10880020209</v>
          </cell>
        </row>
        <row r="3318">
          <cell r="D3318">
            <v>10880017527</v>
          </cell>
        </row>
        <row r="3319">
          <cell r="D3319">
            <v>10880032759</v>
          </cell>
        </row>
        <row r="3320">
          <cell r="D3320">
            <v>10880030447</v>
          </cell>
        </row>
        <row r="3321">
          <cell r="D3321">
            <v>10880029078</v>
          </cell>
        </row>
        <row r="3322">
          <cell r="D3322">
            <v>10880029079</v>
          </cell>
        </row>
        <row r="3323">
          <cell r="D3323">
            <v>10880031015</v>
          </cell>
        </row>
        <row r="3324">
          <cell r="D3324">
            <v>10880030920</v>
          </cell>
        </row>
        <row r="3325">
          <cell r="D3325">
            <v>10880030447</v>
          </cell>
        </row>
        <row r="3326">
          <cell r="D3326">
            <v>10880021767</v>
          </cell>
        </row>
        <row r="3327">
          <cell r="D3327">
            <v>10880021767</v>
          </cell>
        </row>
        <row r="3328">
          <cell r="D3328">
            <v>10880020031</v>
          </cell>
        </row>
        <row r="3329">
          <cell r="D3329">
            <v>10880033367</v>
          </cell>
        </row>
        <row r="3330">
          <cell r="D3330">
            <v>10880012825</v>
          </cell>
        </row>
        <row r="3331">
          <cell r="D3331">
            <v>10880017948</v>
          </cell>
        </row>
        <row r="3332">
          <cell r="D3332">
            <v>10880031870</v>
          </cell>
        </row>
        <row r="3333">
          <cell r="D3333">
            <v>10880022444</v>
          </cell>
        </row>
        <row r="3334">
          <cell r="D3334">
            <v>10880028834</v>
          </cell>
        </row>
        <row r="3335">
          <cell r="D3335">
            <v>10880030920</v>
          </cell>
        </row>
        <row r="3336">
          <cell r="D3336">
            <v>10880030296</v>
          </cell>
        </row>
        <row r="3337">
          <cell r="D3337">
            <v>10880031599</v>
          </cell>
        </row>
        <row r="3338">
          <cell r="D3338">
            <v>10880030203</v>
          </cell>
        </row>
        <row r="3339">
          <cell r="D3339">
            <v>10880030599</v>
          </cell>
        </row>
        <row r="3340">
          <cell r="D3340">
            <v>10880031362</v>
          </cell>
        </row>
        <row r="3341">
          <cell r="D3341">
            <v>10880019205</v>
          </cell>
        </row>
        <row r="3342">
          <cell r="D3342">
            <v>10880022406</v>
          </cell>
        </row>
        <row r="3343">
          <cell r="D3343">
            <v>10880028929</v>
          </cell>
        </row>
        <row r="3344">
          <cell r="D3344">
            <v>10880022470</v>
          </cell>
        </row>
        <row r="3345">
          <cell r="D3345">
            <v>10880019434</v>
          </cell>
        </row>
        <row r="3346">
          <cell r="D3346">
            <v>10880030920</v>
          </cell>
        </row>
        <row r="3347">
          <cell r="D3347">
            <v>10880030920</v>
          </cell>
        </row>
        <row r="3348">
          <cell r="D3348">
            <v>10880031570</v>
          </cell>
        </row>
        <row r="3349">
          <cell r="D3349">
            <v>10880030244</v>
          </cell>
        </row>
        <row r="3350">
          <cell r="D3350">
            <v>10880029078</v>
          </cell>
        </row>
        <row r="3351">
          <cell r="D3351">
            <v>10880030296</v>
          </cell>
        </row>
        <row r="3352">
          <cell r="D3352">
            <v>10880031164</v>
          </cell>
        </row>
        <row r="3353">
          <cell r="D3353">
            <v>10880027854</v>
          </cell>
        </row>
        <row r="3354">
          <cell r="D3354">
            <v>10880028929</v>
          </cell>
        </row>
        <row r="3355">
          <cell r="D3355">
            <v>10880017949</v>
          </cell>
        </row>
        <row r="3356">
          <cell r="D3356">
            <v>10880017948</v>
          </cell>
        </row>
        <row r="3357">
          <cell r="D3357">
            <v>10880019682</v>
          </cell>
        </row>
        <row r="3358">
          <cell r="D3358">
            <v>10880030598</v>
          </cell>
        </row>
        <row r="3359">
          <cell r="D3359">
            <v>10880030920</v>
          </cell>
        </row>
        <row r="3360">
          <cell r="D3360">
            <v>10880030296</v>
          </cell>
        </row>
        <row r="3361">
          <cell r="D3361">
            <v>10880031072</v>
          </cell>
        </row>
        <row r="3362">
          <cell r="D3362">
            <v>10880021796</v>
          </cell>
        </row>
        <row r="3363">
          <cell r="D3363">
            <v>10880028929</v>
          </cell>
        </row>
        <row r="3364">
          <cell r="D3364">
            <v>10880028306</v>
          </cell>
        </row>
        <row r="3365">
          <cell r="D3365">
            <v>10880028881</v>
          </cell>
        </row>
        <row r="3366">
          <cell r="D3366">
            <v>10880029055</v>
          </cell>
        </row>
        <row r="3367">
          <cell r="D3367">
            <v>10880029054</v>
          </cell>
        </row>
        <row r="3368">
          <cell r="D3368">
            <v>10880029033</v>
          </cell>
        </row>
        <row r="3369">
          <cell r="D3369">
            <v>10880028831</v>
          </cell>
        </row>
        <row r="3370">
          <cell r="D3370">
            <v>10880021545</v>
          </cell>
        </row>
        <row r="3371">
          <cell r="D3371">
            <v>10880030132</v>
          </cell>
        </row>
        <row r="3372">
          <cell r="D3372">
            <v>10880030179</v>
          </cell>
        </row>
        <row r="3373">
          <cell r="D3373">
            <v>10880030178</v>
          </cell>
        </row>
        <row r="3374">
          <cell r="D3374">
            <v>10880020678</v>
          </cell>
        </row>
        <row r="3375">
          <cell r="D3375">
            <v>10880029957</v>
          </cell>
        </row>
        <row r="3376">
          <cell r="D3376">
            <v>10880019039</v>
          </cell>
        </row>
        <row r="3377">
          <cell r="D3377">
            <v>10880021767</v>
          </cell>
        </row>
        <row r="3378">
          <cell r="D3378">
            <v>10880021545</v>
          </cell>
        </row>
        <row r="3379">
          <cell r="D3379">
            <v>10880030203</v>
          </cell>
        </row>
        <row r="3380">
          <cell r="D3380">
            <v>10880017524</v>
          </cell>
        </row>
        <row r="3381">
          <cell r="D3381">
            <v>10880017525</v>
          </cell>
        </row>
        <row r="3382">
          <cell r="D3382">
            <v>10880030920</v>
          </cell>
        </row>
        <row r="3383">
          <cell r="D3383">
            <v>10880020558</v>
          </cell>
        </row>
        <row r="3384">
          <cell r="D3384">
            <v>10880030447</v>
          </cell>
        </row>
        <row r="3385">
          <cell r="D3385">
            <v>10880028394</v>
          </cell>
        </row>
        <row r="3386">
          <cell r="D3386">
            <v>10880029078</v>
          </cell>
        </row>
        <row r="3387">
          <cell r="D3387">
            <v>10880028306</v>
          </cell>
        </row>
        <row r="3388">
          <cell r="D3388">
            <v>10880017949</v>
          </cell>
        </row>
        <row r="3389">
          <cell r="D3389">
            <v>10880022470</v>
          </cell>
        </row>
        <row r="3390">
          <cell r="D3390">
            <v>10880031869</v>
          </cell>
        </row>
        <row r="3391">
          <cell r="D3391">
            <v>10880020802</v>
          </cell>
        </row>
        <row r="3392">
          <cell r="D3392">
            <v>10880030188</v>
          </cell>
        </row>
        <row r="3393">
          <cell r="D3393">
            <v>10880031072</v>
          </cell>
        </row>
        <row r="3394">
          <cell r="D3394">
            <v>10880031599</v>
          </cell>
        </row>
        <row r="3395">
          <cell r="D3395">
            <v>10880021545</v>
          </cell>
        </row>
        <row r="3396">
          <cell r="D3396">
            <v>10880029078</v>
          </cell>
        </row>
        <row r="3397">
          <cell r="D3397">
            <v>10880030920</v>
          </cell>
        </row>
        <row r="3398">
          <cell r="D3398">
            <v>10880030976</v>
          </cell>
        </row>
        <row r="3399">
          <cell r="D3399">
            <v>10880031096</v>
          </cell>
        </row>
        <row r="3400">
          <cell r="D3400">
            <v>10880018524</v>
          </cell>
        </row>
        <row r="3401">
          <cell r="D3401">
            <v>10880021545</v>
          </cell>
        </row>
        <row r="3402">
          <cell r="D3402">
            <v>10880017949</v>
          </cell>
        </row>
        <row r="3403">
          <cell r="D3403">
            <v>10880027957</v>
          </cell>
        </row>
        <row r="3404">
          <cell r="D3404">
            <v>10880028832</v>
          </cell>
        </row>
        <row r="3405">
          <cell r="D3405">
            <v>10880028832</v>
          </cell>
        </row>
        <row r="3406">
          <cell r="D3406">
            <v>10880022443</v>
          </cell>
        </row>
        <row r="3407">
          <cell r="D3407">
            <v>10880018524</v>
          </cell>
        </row>
        <row r="3408">
          <cell r="D3408">
            <v>10880030936</v>
          </cell>
        </row>
        <row r="3409">
          <cell r="D3409">
            <v>10880030934</v>
          </cell>
        </row>
        <row r="3410">
          <cell r="D3410">
            <v>10880022406</v>
          </cell>
        </row>
        <row r="3411">
          <cell r="D3411">
            <v>10880027924</v>
          </cell>
        </row>
        <row r="3412">
          <cell r="D3412">
            <v>10880017527</v>
          </cell>
        </row>
        <row r="3413">
          <cell r="D3413">
            <v>10880020678</v>
          </cell>
        </row>
        <row r="3414">
          <cell r="D3414">
            <v>10880022444</v>
          </cell>
        </row>
        <row r="3415">
          <cell r="D3415">
            <v>10880022123</v>
          </cell>
        </row>
        <row r="3416">
          <cell r="D3416">
            <v>10880021767</v>
          </cell>
        </row>
        <row r="3417">
          <cell r="D3417">
            <v>10880028929</v>
          </cell>
        </row>
        <row r="3418">
          <cell r="D3418">
            <v>10880017527</v>
          </cell>
        </row>
        <row r="3419">
          <cell r="D3419">
            <v>10880027957</v>
          </cell>
        </row>
        <row r="3420">
          <cell r="D3420">
            <v>10880027958</v>
          </cell>
        </row>
        <row r="3421">
          <cell r="D3421">
            <v>10880033273</v>
          </cell>
        </row>
        <row r="3422">
          <cell r="D3422">
            <v>10880020640</v>
          </cell>
        </row>
        <row r="3423">
          <cell r="D3423">
            <v>10880028394</v>
          </cell>
        </row>
        <row r="3424">
          <cell r="D3424">
            <v>10880028394</v>
          </cell>
        </row>
        <row r="3425">
          <cell r="D3425">
            <v>10880033325</v>
          </cell>
        </row>
        <row r="3426">
          <cell r="D3426">
            <v>10880020555</v>
          </cell>
        </row>
        <row r="3427">
          <cell r="D3427">
            <v>10880020555</v>
          </cell>
        </row>
        <row r="3428">
          <cell r="D3428">
            <v>10880017516</v>
          </cell>
        </row>
        <row r="3429">
          <cell r="D3429">
            <v>10880017525</v>
          </cell>
        </row>
        <row r="3430">
          <cell r="D3430">
            <v>10880030545</v>
          </cell>
        </row>
        <row r="3431">
          <cell r="D3431">
            <v>10880030545</v>
          </cell>
        </row>
        <row r="3432">
          <cell r="D3432">
            <v>10880020558</v>
          </cell>
        </row>
        <row r="3433">
          <cell r="D3433">
            <v>10880028169</v>
          </cell>
        </row>
        <row r="3434">
          <cell r="D3434">
            <v>10880020640</v>
          </cell>
        </row>
        <row r="3435">
          <cell r="D3435">
            <v>10880030004</v>
          </cell>
        </row>
        <row r="3436">
          <cell r="D3436">
            <v>10880021983</v>
          </cell>
        </row>
        <row r="3437">
          <cell r="D3437">
            <v>10880021985</v>
          </cell>
        </row>
        <row r="3438">
          <cell r="D3438">
            <v>10880031164</v>
          </cell>
        </row>
        <row r="3439">
          <cell r="D3439">
            <v>10880020557</v>
          </cell>
        </row>
        <row r="3440">
          <cell r="D3440">
            <v>10880020557</v>
          </cell>
        </row>
        <row r="3441">
          <cell r="D3441">
            <v>10880028929</v>
          </cell>
        </row>
        <row r="3442">
          <cell r="D3442">
            <v>10880020224</v>
          </cell>
        </row>
        <row r="3443">
          <cell r="D3443">
            <v>10880030550</v>
          </cell>
        </row>
        <row r="3444">
          <cell r="D3444">
            <v>10880031020</v>
          </cell>
        </row>
        <row r="3445">
          <cell r="D3445">
            <v>10880033634</v>
          </cell>
        </row>
        <row r="3446">
          <cell r="D3446">
            <v>10880033635</v>
          </cell>
        </row>
        <row r="3447">
          <cell r="D3447">
            <v>10880022470</v>
          </cell>
        </row>
        <row r="3448">
          <cell r="D3448">
            <v>10880031461</v>
          </cell>
        </row>
        <row r="3449">
          <cell r="D3449">
            <v>10880031015</v>
          </cell>
        </row>
        <row r="3450">
          <cell r="D3450">
            <v>10880030920</v>
          </cell>
        </row>
        <row r="3451">
          <cell r="D3451">
            <v>10880029078</v>
          </cell>
        </row>
        <row r="3452">
          <cell r="D3452">
            <v>10880029078</v>
          </cell>
        </row>
        <row r="3453">
          <cell r="D3453">
            <v>10880030296</v>
          </cell>
        </row>
        <row r="3454">
          <cell r="D3454">
            <v>10880031599</v>
          </cell>
        </row>
        <row r="3455">
          <cell r="D3455">
            <v>10880012825</v>
          </cell>
        </row>
        <row r="3456">
          <cell r="D3456">
            <v>10880012825</v>
          </cell>
        </row>
        <row r="3457">
          <cell r="D3457">
            <v>10880020225</v>
          </cell>
        </row>
        <row r="3458">
          <cell r="D3458">
            <v>10880030334</v>
          </cell>
        </row>
        <row r="3459">
          <cell r="D3459">
            <v>10880012796</v>
          </cell>
        </row>
        <row r="3460">
          <cell r="D3460">
            <v>10880030296</v>
          </cell>
        </row>
        <row r="3461">
          <cell r="D3461">
            <v>10880029106</v>
          </cell>
        </row>
        <row r="3462">
          <cell r="D3462">
            <v>10880029033</v>
          </cell>
        </row>
        <row r="3463">
          <cell r="D3463">
            <v>10880021029</v>
          </cell>
        </row>
        <row r="3464">
          <cell r="D3464">
            <v>10880017948</v>
          </cell>
        </row>
        <row r="3465">
          <cell r="D3465">
            <v>10880017949</v>
          </cell>
        </row>
        <row r="3466">
          <cell r="D3466">
            <v>10880030450</v>
          </cell>
        </row>
        <row r="3467">
          <cell r="D3467">
            <v>10880033216</v>
          </cell>
        </row>
        <row r="3468">
          <cell r="D3468">
            <v>10880022443</v>
          </cell>
        </row>
        <row r="3469">
          <cell r="D3469">
            <v>10880018097</v>
          </cell>
        </row>
        <row r="3470">
          <cell r="D3470">
            <v>10880030296</v>
          </cell>
        </row>
        <row r="3471">
          <cell r="D3471">
            <v>10880022406</v>
          </cell>
        </row>
        <row r="3472">
          <cell r="D3472">
            <v>10880021545</v>
          </cell>
        </row>
        <row r="3473">
          <cell r="D3473">
            <v>10880021612</v>
          </cell>
        </row>
        <row r="3474">
          <cell r="D3474">
            <v>10880027958</v>
          </cell>
        </row>
        <row r="3475">
          <cell r="D3475">
            <v>10880030493</v>
          </cell>
        </row>
        <row r="3476">
          <cell r="D3476">
            <v>10880022443</v>
          </cell>
        </row>
        <row r="3477">
          <cell r="D3477">
            <v>10880030920</v>
          </cell>
        </row>
        <row r="3478">
          <cell r="D3478">
            <v>10880032683</v>
          </cell>
        </row>
        <row r="3479">
          <cell r="D3479">
            <v>10880032945</v>
          </cell>
        </row>
        <row r="3480">
          <cell r="D3480">
            <v>10880029078</v>
          </cell>
        </row>
        <row r="3481">
          <cell r="D3481">
            <v>10880029078</v>
          </cell>
        </row>
        <row r="3482">
          <cell r="D3482">
            <v>10880012825</v>
          </cell>
        </row>
        <row r="3483">
          <cell r="D3483">
            <v>10880017949</v>
          </cell>
        </row>
        <row r="3484">
          <cell r="D3484">
            <v>10880027958</v>
          </cell>
        </row>
        <row r="3485">
          <cell r="D3485">
            <v>10880030607</v>
          </cell>
        </row>
        <row r="3486">
          <cell r="D3486">
            <v>10880032943</v>
          </cell>
        </row>
        <row r="3487">
          <cell r="D3487">
            <v>10880033400</v>
          </cell>
        </row>
        <row r="3488">
          <cell r="D3488">
            <v>10880021545</v>
          </cell>
        </row>
        <row r="3489">
          <cell r="D3489">
            <v>10880017949</v>
          </cell>
        </row>
        <row r="3490">
          <cell r="D3490">
            <v>10880019434</v>
          </cell>
        </row>
        <row r="3491">
          <cell r="D3491">
            <v>10880022471</v>
          </cell>
        </row>
        <row r="3492">
          <cell r="D3492">
            <v>10880022471</v>
          </cell>
        </row>
        <row r="3493">
          <cell r="D3493">
            <v>10880030598</v>
          </cell>
        </row>
        <row r="3494">
          <cell r="D3494">
            <v>10880018524</v>
          </cell>
        </row>
        <row r="3495">
          <cell r="D3495">
            <v>10880029033</v>
          </cell>
        </row>
        <row r="3496">
          <cell r="D3496">
            <v>10880029837</v>
          </cell>
        </row>
        <row r="3497">
          <cell r="D3497">
            <v>10880030243</v>
          </cell>
        </row>
        <row r="3498">
          <cell r="D3498">
            <v>10880031599</v>
          </cell>
        </row>
        <row r="3499">
          <cell r="D3499">
            <v>10880021796</v>
          </cell>
        </row>
        <row r="3500">
          <cell r="D3500">
            <v>10880033367</v>
          </cell>
        </row>
        <row r="3501">
          <cell r="D3501">
            <v>10880017536</v>
          </cell>
        </row>
        <row r="3502">
          <cell r="D3502">
            <v>10880017524</v>
          </cell>
        </row>
        <row r="3503">
          <cell r="D3503">
            <v>10880017527</v>
          </cell>
        </row>
        <row r="3504">
          <cell r="D3504">
            <v>10880019434</v>
          </cell>
        </row>
        <row r="3505">
          <cell r="D3505">
            <v>10880032708</v>
          </cell>
        </row>
        <row r="3506">
          <cell r="D3506">
            <v>10880032708</v>
          </cell>
        </row>
        <row r="3507">
          <cell r="D3507">
            <v>10880032692</v>
          </cell>
        </row>
        <row r="3508">
          <cell r="D3508">
            <v>10880032694</v>
          </cell>
        </row>
        <row r="3509">
          <cell r="D3509">
            <v>10880030599</v>
          </cell>
        </row>
        <row r="3510">
          <cell r="D3510">
            <v>10880028394</v>
          </cell>
        </row>
        <row r="3511">
          <cell r="D3511">
            <v>10880027924</v>
          </cell>
        </row>
        <row r="3512">
          <cell r="D3512">
            <v>10880028307</v>
          </cell>
        </row>
        <row r="3513">
          <cell r="D3513">
            <v>10880032697</v>
          </cell>
        </row>
        <row r="3514">
          <cell r="D3514">
            <v>10880032698</v>
          </cell>
        </row>
        <row r="3515">
          <cell r="D3515">
            <v>10880030545</v>
          </cell>
        </row>
        <row r="3516">
          <cell r="D3516">
            <v>10880031020</v>
          </cell>
        </row>
        <row r="3517">
          <cell r="D3517">
            <v>10880030608</v>
          </cell>
        </row>
        <row r="3518">
          <cell r="D3518">
            <v>10880020048</v>
          </cell>
        </row>
        <row r="3519">
          <cell r="D3519">
            <v>10880030599</v>
          </cell>
        </row>
        <row r="3520">
          <cell r="D3520">
            <v>10880020275</v>
          </cell>
        </row>
        <row r="3521">
          <cell r="D3521">
            <v>10880032933</v>
          </cell>
        </row>
        <row r="3522">
          <cell r="D3522">
            <v>10880032937</v>
          </cell>
        </row>
        <row r="3523">
          <cell r="D3523">
            <v>10880032942</v>
          </cell>
        </row>
        <row r="3524">
          <cell r="D3524">
            <v>10880030124</v>
          </cell>
        </row>
        <row r="3525">
          <cell r="D3525">
            <v>10880020557</v>
          </cell>
        </row>
        <row r="3526">
          <cell r="D3526">
            <v>10880027924</v>
          </cell>
        </row>
        <row r="3527">
          <cell r="D3527">
            <v>10880033367</v>
          </cell>
        </row>
        <row r="3528">
          <cell r="D3528">
            <v>10880031114</v>
          </cell>
        </row>
        <row r="3529">
          <cell r="D3529">
            <v>10880028306</v>
          </cell>
        </row>
        <row r="3530">
          <cell r="D3530">
            <v>10880022470</v>
          </cell>
        </row>
        <row r="3531">
          <cell r="D3531">
            <v>10880020678</v>
          </cell>
        </row>
        <row r="3532">
          <cell r="D3532">
            <v>10880028469</v>
          </cell>
        </row>
        <row r="3533">
          <cell r="D3533">
            <v>10880020654</v>
          </cell>
        </row>
        <row r="3534">
          <cell r="D3534">
            <v>10880021767</v>
          </cell>
        </row>
        <row r="3535">
          <cell r="D3535">
            <v>10880018093</v>
          </cell>
        </row>
        <row r="3536">
          <cell r="D3536">
            <v>10880028306</v>
          </cell>
        </row>
        <row r="3537">
          <cell r="D3537">
            <v>10880022470</v>
          </cell>
        </row>
        <row r="3538">
          <cell r="D3538">
            <v>10880022442</v>
          </cell>
        </row>
        <row r="3539">
          <cell r="D3539">
            <v>10880030188</v>
          </cell>
        </row>
        <row r="3540">
          <cell r="D3540">
            <v>10880030188</v>
          </cell>
        </row>
        <row r="3541">
          <cell r="D3541">
            <v>10880031599</v>
          </cell>
        </row>
        <row r="3542">
          <cell r="D3542">
            <v>10880027925</v>
          </cell>
        </row>
        <row r="3543">
          <cell r="D3543">
            <v>10880020678</v>
          </cell>
        </row>
        <row r="3544">
          <cell r="D3544">
            <v>10880028832</v>
          </cell>
        </row>
        <row r="3545">
          <cell r="D3545">
            <v>10880021029</v>
          </cell>
        </row>
        <row r="3546">
          <cell r="D3546">
            <v>10880030599</v>
          </cell>
        </row>
        <row r="3547">
          <cell r="D3547">
            <v>10880030920</v>
          </cell>
        </row>
        <row r="3548">
          <cell r="D3548">
            <v>10880030491</v>
          </cell>
        </row>
        <row r="3549">
          <cell r="D3549">
            <v>10880019682</v>
          </cell>
        </row>
        <row r="3550">
          <cell r="D3550">
            <v>10880031599</v>
          </cell>
        </row>
        <row r="3551">
          <cell r="D3551">
            <v>10880027925</v>
          </cell>
        </row>
        <row r="3552">
          <cell r="D3552">
            <v>10880012825</v>
          </cell>
        </row>
        <row r="3553">
          <cell r="D3553">
            <v>10880017949</v>
          </cell>
        </row>
        <row r="3554">
          <cell r="D3554">
            <v>10880018096</v>
          </cell>
        </row>
        <row r="3555">
          <cell r="D3555">
            <v>10880030447</v>
          </cell>
        </row>
        <row r="3556">
          <cell r="D3556">
            <v>10880018524</v>
          </cell>
        </row>
        <row r="3557">
          <cell r="D3557">
            <v>10880022406</v>
          </cell>
        </row>
        <row r="3558">
          <cell r="D3558">
            <v>10880022405</v>
          </cell>
        </row>
        <row r="3559">
          <cell r="D3559">
            <v>10880012825</v>
          </cell>
        </row>
        <row r="3560">
          <cell r="D3560">
            <v>10880028929</v>
          </cell>
        </row>
        <row r="3561">
          <cell r="D3561">
            <v>10880017536</v>
          </cell>
        </row>
        <row r="3562">
          <cell r="D3562">
            <v>10880020681</v>
          </cell>
        </row>
        <row r="3563">
          <cell r="D3563">
            <v>10880022123</v>
          </cell>
        </row>
        <row r="3564">
          <cell r="D3564">
            <v>10880020555</v>
          </cell>
        </row>
        <row r="3565">
          <cell r="D3565">
            <v>10880027925</v>
          </cell>
        </row>
        <row r="3566">
          <cell r="D3566">
            <v>10880017949</v>
          </cell>
        </row>
        <row r="3567">
          <cell r="D3567">
            <v>10880017948</v>
          </cell>
        </row>
        <row r="3568">
          <cell r="D3568">
            <v>10880032759</v>
          </cell>
        </row>
        <row r="3569">
          <cell r="D3569">
            <v>10880020209</v>
          </cell>
        </row>
        <row r="3570">
          <cell r="D3570">
            <v>10880018097</v>
          </cell>
        </row>
        <row r="3571">
          <cell r="D3571">
            <v>10880022123</v>
          </cell>
        </row>
        <row r="3572">
          <cell r="D3572">
            <v>10880022044</v>
          </cell>
        </row>
        <row r="3573">
          <cell r="D3573">
            <v>10880020654</v>
          </cell>
        </row>
        <row r="3574">
          <cell r="D3574">
            <v>10880020557</v>
          </cell>
        </row>
        <row r="3575">
          <cell r="D3575">
            <v>10880021545</v>
          </cell>
        </row>
        <row r="3576">
          <cell r="D3576">
            <v>10880028929</v>
          </cell>
        </row>
        <row r="3577">
          <cell r="D3577">
            <v>10880031115</v>
          </cell>
        </row>
        <row r="3578">
          <cell r="D3578">
            <v>10880027958</v>
          </cell>
        </row>
        <row r="3579">
          <cell r="D3579">
            <v>10880030132</v>
          </cell>
        </row>
        <row r="3580">
          <cell r="D3580">
            <v>10880022443</v>
          </cell>
        </row>
        <row r="3581">
          <cell r="D3581">
            <v>10880029957</v>
          </cell>
        </row>
        <row r="3582">
          <cell r="D3582">
            <v>10880021767</v>
          </cell>
        </row>
        <row r="3583">
          <cell r="D3583">
            <v>10880033654</v>
          </cell>
        </row>
        <row r="3584">
          <cell r="D3584">
            <v>10880029078</v>
          </cell>
        </row>
        <row r="3585">
          <cell r="D3585">
            <v>10880031599</v>
          </cell>
        </row>
        <row r="3586">
          <cell r="D3586">
            <v>10880021545</v>
          </cell>
        </row>
        <row r="3587">
          <cell r="D3587">
            <v>10880017949</v>
          </cell>
        </row>
        <row r="3588">
          <cell r="D3588">
            <v>10880027957</v>
          </cell>
        </row>
        <row r="3589">
          <cell r="D3589">
            <v>10880030608</v>
          </cell>
        </row>
        <row r="3590">
          <cell r="D3590">
            <v>10880028394</v>
          </cell>
        </row>
        <row r="3591">
          <cell r="D3591">
            <v>10880021796</v>
          </cell>
        </row>
        <row r="3592">
          <cell r="D3592">
            <v>10880028306</v>
          </cell>
        </row>
        <row r="3593">
          <cell r="D3593">
            <v>10880028306</v>
          </cell>
        </row>
        <row r="3594">
          <cell r="D3594">
            <v>10880027958</v>
          </cell>
        </row>
        <row r="3595">
          <cell r="D3595">
            <v>10880022472</v>
          </cell>
        </row>
        <row r="3596">
          <cell r="D3596">
            <v>10880020681</v>
          </cell>
        </row>
        <row r="3597">
          <cell r="D3597">
            <v>10880021269</v>
          </cell>
        </row>
        <row r="3598">
          <cell r="D3598">
            <v>10880020681</v>
          </cell>
        </row>
        <row r="3599">
          <cell r="D3599">
            <v>10880030608</v>
          </cell>
        </row>
        <row r="3600">
          <cell r="D3600">
            <v>10880033534</v>
          </cell>
        </row>
        <row r="3601">
          <cell r="D3601">
            <v>10880031164</v>
          </cell>
        </row>
        <row r="3602">
          <cell r="D3602">
            <v>10880031096</v>
          </cell>
        </row>
        <row r="3603">
          <cell r="D3603">
            <v>10880021983</v>
          </cell>
        </row>
        <row r="3604">
          <cell r="D3604">
            <v>10880021545</v>
          </cell>
        </row>
        <row r="3605">
          <cell r="D3605">
            <v>10880033367</v>
          </cell>
        </row>
        <row r="3606">
          <cell r="D3606">
            <v>10880032759</v>
          </cell>
        </row>
        <row r="3607">
          <cell r="D3607">
            <v>10880030607</v>
          </cell>
        </row>
        <row r="3608">
          <cell r="D3608">
            <v>10880030296</v>
          </cell>
        </row>
        <row r="3609">
          <cell r="D3609">
            <v>10880018093</v>
          </cell>
        </row>
        <row r="3610">
          <cell r="D3610">
            <v>10880017530</v>
          </cell>
        </row>
        <row r="3611">
          <cell r="D3611">
            <v>10880017530</v>
          </cell>
        </row>
        <row r="3612">
          <cell r="D3612">
            <v>10880017948</v>
          </cell>
        </row>
        <row r="3613">
          <cell r="D3613">
            <v>10880027958</v>
          </cell>
        </row>
        <row r="3614">
          <cell r="D3614">
            <v>10880027958</v>
          </cell>
        </row>
        <row r="3615">
          <cell r="D3615">
            <v>10880020558</v>
          </cell>
        </row>
        <row r="3616">
          <cell r="D3616">
            <v>10880028169</v>
          </cell>
        </row>
        <row r="3617">
          <cell r="D3617">
            <v>10880030920</v>
          </cell>
        </row>
        <row r="3618">
          <cell r="D3618">
            <v>10880030296</v>
          </cell>
        </row>
        <row r="3619">
          <cell r="D3619">
            <v>10880020222</v>
          </cell>
        </row>
        <row r="3620">
          <cell r="D3620">
            <v>10880018093</v>
          </cell>
        </row>
        <row r="3621">
          <cell r="D3621">
            <v>10880028307</v>
          </cell>
        </row>
        <row r="3622">
          <cell r="D3622">
            <v>10880021767</v>
          </cell>
        </row>
        <row r="3623">
          <cell r="D3623">
            <v>10880020678</v>
          </cell>
        </row>
        <row r="3624">
          <cell r="D3624">
            <v>10880031139</v>
          </cell>
        </row>
        <row r="3625">
          <cell r="D3625">
            <v>10880031138</v>
          </cell>
        </row>
        <row r="3626">
          <cell r="D3626">
            <v>10880029999</v>
          </cell>
        </row>
        <row r="3627">
          <cell r="D3627">
            <v>10880033535</v>
          </cell>
        </row>
        <row r="3628">
          <cell r="D3628">
            <v>10880018845</v>
          </cell>
        </row>
        <row r="3629">
          <cell r="D3629">
            <v>10880018847</v>
          </cell>
        </row>
        <row r="3630">
          <cell r="D3630">
            <v>10880021545</v>
          </cell>
        </row>
        <row r="3631">
          <cell r="D3631">
            <v>10880031011</v>
          </cell>
        </row>
        <row r="3632">
          <cell r="D3632">
            <v>10880030608</v>
          </cell>
        </row>
        <row r="3633">
          <cell r="D3633">
            <v>10880030608</v>
          </cell>
        </row>
        <row r="3634">
          <cell r="D3634">
            <v>10880022123</v>
          </cell>
        </row>
        <row r="3635">
          <cell r="D3635">
            <v>10880018847</v>
          </cell>
        </row>
        <row r="3636">
          <cell r="D3636">
            <v>10880018847</v>
          </cell>
        </row>
        <row r="3637">
          <cell r="D3637">
            <v>10880027925</v>
          </cell>
        </row>
        <row r="3638">
          <cell r="D3638">
            <v>10880033367</v>
          </cell>
        </row>
        <row r="3639">
          <cell r="D3639">
            <v>10880028306</v>
          </cell>
        </row>
        <row r="3640">
          <cell r="D3640">
            <v>10880033216</v>
          </cell>
        </row>
        <row r="3641">
          <cell r="D3641">
            <v>10880020192</v>
          </cell>
        </row>
        <row r="3642">
          <cell r="D3642">
            <v>10880020678</v>
          </cell>
        </row>
        <row r="3643">
          <cell r="D3643">
            <v>10880030599</v>
          </cell>
        </row>
        <row r="3644">
          <cell r="D3644">
            <v>10880031362</v>
          </cell>
        </row>
        <row r="3645">
          <cell r="D3645">
            <v>10880019777</v>
          </cell>
        </row>
        <row r="3646">
          <cell r="D3646">
            <v>10880018524</v>
          </cell>
        </row>
        <row r="3647">
          <cell r="D3647">
            <v>10880022406</v>
          </cell>
        </row>
        <row r="3648">
          <cell r="D3648">
            <v>10880028834</v>
          </cell>
        </row>
        <row r="3649">
          <cell r="D3649">
            <v>10880027925</v>
          </cell>
        </row>
        <row r="3650">
          <cell r="D3650">
            <v>10880017531</v>
          </cell>
        </row>
        <row r="3651">
          <cell r="D3651">
            <v>10880028307</v>
          </cell>
        </row>
        <row r="3652">
          <cell r="D3652">
            <v>10880017525</v>
          </cell>
        </row>
        <row r="3653">
          <cell r="D3653">
            <v>10880033610</v>
          </cell>
        </row>
        <row r="3654">
          <cell r="D3654">
            <v>10880027958</v>
          </cell>
        </row>
        <row r="3655">
          <cell r="D3655">
            <v>10880020678</v>
          </cell>
        </row>
        <row r="3656">
          <cell r="D3656">
            <v>10880020208</v>
          </cell>
        </row>
        <row r="3657">
          <cell r="D3657">
            <v>10880029054</v>
          </cell>
        </row>
        <row r="3658">
          <cell r="D3658">
            <v>10880029055</v>
          </cell>
        </row>
        <row r="3659">
          <cell r="D3659">
            <v>10880033654</v>
          </cell>
        </row>
        <row r="3660">
          <cell r="D3660">
            <v>10880031570</v>
          </cell>
        </row>
        <row r="3661">
          <cell r="D3661">
            <v>10880022406</v>
          </cell>
        </row>
        <row r="3662">
          <cell r="D3662">
            <v>10880021029</v>
          </cell>
        </row>
        <row r="3663">
          <cell r="D3663">
            <v>10880034093</v>
          </cell>
        </row>
        <row r="3664">
          <cell r="D3664">
            <v>10880028306</v>
          </cell>
        </row>
        <row r="3665">
          <cell r="D3665">
            <v>10880017949</v>
          </cell>
        </row>
        <row r="3666">
          <cell r="D3666">
            <v>10880031072</v>
          </cell>
        </row>
        <row r="3667">
          <cell r="D3667">
            <v>10880028469</v>
          </cell>
        </row>
        <row r="3668">
          <cell r="D3668">
            <v>10880020558</v>
          </cell>
        </row>
        <row r="3669">
          <cell r="D3669">
            <v>10880020556</v>
          </cell>
        </row>
        <row r="3670">
          <cell r="D3670">
            <v>10880021345</v>
          </cell>
        </row>
        <row r="3671">
          <cell r="D3671">
            <v>10880019240</v>
          </cell>
        </row>
        <row r="3672">
          <cell r="D3672">
            <v>10880019777</v>
          </cell>
        </row>
        <row r="3673">
          <cell r="D3673">
            <v>10880020654</v>
          </cell>
        </row>
        <row r="3674">
          <cell r="D3674">
            <v>10880027924</v>
          </cell>
        </row>
        <row r="3675">
          <cell r="D3675">
            <v>10880021545</v>
          </cell>
        </row>
        <row r="3676">
          <cell r="D3676">
            <v>10880033367</v>
          </cell>
        </row>
        <row r="3677">
          <cell r="D3677">
            <v>10880022470</v>
          </cell>
        </row>
        <row r="3678">
          <cell r="D3678">
            <v>10880031461</v>
          </cell>
        </row>
        <row r="3679">
          <cell r="D3679">
            <v>10880033745</v>
          </cell>
        </row>
        <row r="3680">
          <cell r="D3680">
            <v>10880031599</v>
          </cell>
        </row>
        <row r="3681">
          <cell r="D3681">
            <v>10880031113</v>
          </cell>
        </row>
        <row r="3682">
          <cell r="D3682">
            <v>10880017526</v>
          </cell>
        </row>
        <row r="3683">
          <cell r="D3683">
            <v>10880017949</v>
          </cell>
        </row>
        <row r="3684">
          <cell r="D3684">
            <v>10880028881</v>
          </cell>
        </row>
        <row r="3685">
          <cell r="D3685">
            <v>10880020681</v>
          </cell>
        </row>
        <row r="3686">
          <cell r="D3686">
            <v>10880033722</v>
          </cell>
        </row>
        <row r="3687">
          <cell r="D3687">
            <v>10880022123</v>
          </cell>
        </row>
        <row r="3688">
          <cell r="D3688">
            <v>10880022044</v>
          </cell>
        </row>
        <row r="3689">
          <cell r="D3689">
            <v>10880018845</v>
          </cell>
        </row>
        <row r="3690">
          <cell r="D3690">
            <v>10880017536</v>
          </cell>
        </row>
        <row r="3691">
          <cell r="D3691">
            <v>10880027957</v>
          </cell>
        </row>
        <row r="3692">
          <cell r="D3692">
            <v>10880021767</v>
          </cell>
        </row>
        <row r="3693">
          <cell r="D3693">
            <v>10880020209</v>
          </cell>
        </row>
        <row r="3694">
          <cell r="D3694">
            <v>10880033273</v>
          </cell>
        </row>
        <row r="3695">
          <cell r="D3695">
            <v>10880032945</v>
          </cell>
        </row>
        <row r="3696">
          <cell r="D3696">
            <v>10880031599</v>
          </cell>
        </row>
        <row r="3697">
          <cell r="D3697">
            <v>10880029106</v>
          </cell>
        </row>
        <row r="3698">
          <cell r="D3698">
            <v>10880028905</v>
          </cell>
        </row>
        <row r="3699">
          <cell r="D3699">
            <v>10880027925</v>
          </cell>
        </row>
        <row r="3700">
          <cell r="D3700">
            <v>10880027924</v>
          </cell>
        </row>
        <row r="3701">
          <cell r="D3701">
            <v>10880017949</v>
          </cell>
        </row>
        <row r="3702">
          <cell r="D3702">
            <v>10880021767</v>
          </cell>
        </row>
        <row r="3703">
          <cell r="D3703">
            <v>10880029054</v>
          </cell>
        </row>
        <row r="3704">
          <cell r="D3704">
            <v>10880032683</v>
          </cell>
        </row>
        <row r="3705">
          <cell r="D3705">
            <v>10880033534</v>
          </cell>
        </row>
        <row r="3706">
          <cell r="D3706">
            <v>10880028345</v>
          </cell>
        </row>
        <row r="3707">
          <cell r="D3707">
            <v>10880028345</v>
          </cell>
        </row>
        <row r="3708">
          <cell r="D3708">
            <v>10880030188</v>
          </cell>
        </row>
        <row r="3709">
          <cell r="D3709">
            <v>10880021983</v>
          </cell>
        </row>
        <row r="3710">
          <cell r="D3710">
            <v>10880019682</v>
          </cell>
        </row>
        <row r="3711">
          <cell r="D3711">
            <v>10880027924</v>
          </cell>
        </row>
        <row r="3712">
          <cell r="D3712">
            <v>10880017516</v>
          </cell>
        </row>
        <row r="3713">
          <cell r="D3713">
            <v>10880020678</v>
          </cell>
        </row>
        <row r="3714">
          <cell r="D3714">
            <v>10880033273</v>
          </cell>
        </row>
        <row r="3715">
          <cell r="D3715">
            <v>10880030599</v>
          </cell>
        </row>
        <row r="3716">
          <cell r="D3716">
            <v>10880032945</v>
          </cell>
        </row>
        <row r="3717">
          <cell r="D3717">
            <v>10880031164</v>
          </cell>
        </row>
        <row r="3718">
          <cell r="D3718">
            <v>10880032885</v>
          </cell>
        </row>
        <row r="3719">
          <cell r="D3719">
            <v>10880027924</v>
          </cell>
        </row>
        <row r="3720">
          <cell r="D3720">
            <v>10880020031</v>
          </cell>
        </row>
        <row r="3721">
          <cell r="D3721">
            <v>10880033367</v>
          </cell>
        </row>
        <row r="3722">
          <cell r="D3722">
            <v>10880031115</v>
          </cell>
        </row>
        <row r="3723">
          <cell r="D3723">
            <v>10880034093</v>
          </cell>
        </row>
        <row r="3724">
          <cell r="D3724">
            <v>10880017525</v>
          </cell>
        </row>
        <row r="3725">
          <cell r="D3725">
            <v>10880031015</v>
          </cell>
        </row>
        <row r="3726">
          <cell r="D3726">
            <v>10880031015</v>
          </cell>
        </row>
        <row r="3727">
          <cell r="D3727">
            <v>10880030545</v>
          </cell>
        </row>
        <row r="3728">
          <cell r="D3728">
            <v>10880030550</v>
          </cell>
        </row>
        <row r="3729">
          <cell r="D3729">
            <v>10880022443</v>
          </cell>
        </row>
        <row r="3730">
          <cell r="D3730">
            <v>10880033722</v>
          </cell>
        </row>
        <row r="3731">
          <cell r="D3731">
            <v>10880020678</v>
          </cell>
        </row>
        <row r="3732">
          <cell r="D3732">
            <v>10880032945</v>
          </cell>
        </row>
        <row r="3733">
          <cell r="D3733">
            <v>10880032937</v>
          </cell>
        </row>
        <row r="3734">
          <cell r="D3734">
            <v>10880031599</v>
          </cell>
        </row>
        <row r="3735">
          <cell r="D3735">
            <v>10880027925</v>
          </cell>
        </row>
        <row r="3736">
          <cell r="D3736">
            <v>10880028929</v>
          </cell>
        </row>
        <row r="3737">
          <cell r="D3737">
            <v>10880030551</v>
          </cell>
        </row>
        <row r="3738">
          <cell r="D3738">
            <v>10880031461</v>
          </cell>
        </row>
        <row r="3739">
          <cell r="D3739">
            <v>10880031139</v>
          </cell>
        </row>
        <row r="3740">
          <cell r="D3740">
            <v>10880020678</v>
          </cell>
        </row>
        <row r="3741">
          <cell r="D3741">
            <v>10880032943</v>
          </cell>
        </row>
        <row r="3742">
          <cell r="D3742">
            <v>10880032943</v>
          </cell>
        </row>
        <row r="3743">
          <cell r="D3743">
            <v>10880032943</v>
          </cell>
        </row>
        <row r="3744">
          <cell r="D3744">
            <v>10880031599</v>
          </cell>
        </row>
        <row r="3745">
          <cell r="D3745">
            <v>10880028831</v>
          </cell>
        </row>
        <row r="3746">
          <cell r="D3746">
            <v>10880031183</v>
          </cell>
        </row>
        <row r="3747">
          <cell r="D3747">
            <v>10880012825</v>
          </cell>
        </row>
        <row r="3748">
          <cell r="D3748">
            <v>10880028306</v>
          </cell>
        </row>
        <row r="3749">
          <cell r="D3749">
            <v>10880022471</v>
          </cell>
        </row>
        <row r="3750">
          <cell r="D3750">
            <v>10880020558</v>
          </cell>
        </row>
        <row r="3751">
          <cell r="D3751">
            <v>10880020681</v>
          </cell>
        </row>
        <row r="3752">
          <cell r="D3752">
            <v>10880021175</v>
          </cell>
        </row>
        <row r="3753">
          <cell r="D3753">
            <v>10880031317</v>
          </cell>
        </row>
        <row r="3754">
          <cell r="D3754">
            <v>10880032933</v>
          </cell>
        </row>
        <row r="3755">
          <cell r="D3755">
            <v>10880032683</v>
          </cell>
        </row>
        <row r="3756">
          <cell r="D3756">
            <v>10880030491</v>
          </cell>
        </row>
        <row r="3757">
          <cell r="D3757">
            <v>10880014812</v>
          </cell>
        </row>
        <row r="3758">
          <cell r="D3758">
            <v>10880020654</v>
          </cell>
        </row>
        <row r="3759">
          <cell r="D3759">
            <v>10880021545</v>
          </cell>
        </row>
        <row r="3760">
          <cell r="D3760">
            <v>10880028929</v>
          </cell>
        </row>
        <row r="3761">
          <cell r="D3761">
            <v>10880028307</v>
          </cell>
        </row>
        <row r="3762">
          <cell r="D3762">
            <v>10880028306</v>
          </cell>
        </row>
        <row r="3763">
          <cell r="D3763">
            <v>10880028469</v>
          </cell>
        </row>
        <row r="3764">
          <cell r="D3764">
            <v>10880022010</v>
          </cell>
        </row>
        <row r="3765">
          <cell r="D3765">
            <v>10880033136</v>
          </cell>
        </row>
        <row r="3766">
          <cell r="D3766">
            <v>10880022123</v>
          </cell>
        </row>
        <row r="3767">
          <cell r="D3767">
            <v>10880031871</v>
          </cell>
        </row>
        <row r="3768">
          <cell r="D3768">
            <v>10880033721</v>
          </cell>
        </row>
        <row r="3769">
          <cell r="D3769">
            <v>10880014815</v>
          </cell>
        </row>
        <row r="3770">
          <cell r="D3770">
            <v>10880021545</v>
          </cell>
        </row>
        <row r="3771">
          <cell r="D3771">
            <v>10880017536</v>
          </cell>
        </row>
        <row r="3772">
          <cell r="D3772">
            <v>10880021029</v>
          </cell>
        </row>
        <row r="3773">
          <cell r="D3773">
            <v>10880031020</v>
          </cell>
        </row>
        <row r="3774">
          <cell r="D3774">
            <v>10880030545</v>
          </cell>
        </row>
        <row r="3775">
          <cell r="D3775">
            <v>10880031011</v>
          </cell>
        </row>
        <row r="3776">
          <cell r="D3776">
            <v>10880018097</v>
          </cell>
        </row>
        <row r="3777">
          <cell r="D3777">
            <v>10880020275</v>
          </cell>
        </row>
        <row r="3778">
          <cell r="D3778">
            <v>10880033534</v>
          </cell>
        </row>
        <row r="3779">
          <cell r="D3779">
            <v>10880031599</v>
          </cell>
        </row>
        <row r="3780">
          <cell r="D3780">
            <v>10880027925</v>
          </cell>
        </row>
        <row r="3781">
          <cell r="D3781">
            <v>10880033965</v>
          </cell>
        </row>
        <row r="3782">
          <cell r="D3782">
            <v>10880031869</v>
          </cell>
        </row>
        <row r="3783">
          <cell r="D3783">
            <v>10880031870</v>
          </cell>
        </row>
        <row r="3784">
          <cell r="D3784">
            <v>10880020678</v>
          </cell>
        </row>
        <row r="3785">
          <cell r="D3785">
            <v>10880020681</v>
          </cell>
        </row>
        <row r="3786">
          <cell r="D3786">
            <v>10880018097</v>
          </cell>
        </row>
        <row r="3787">
          <cell r="D3787">
            <v>10880018524</v>
          </cell>
        </row>
        <row r="3788">
          <cell r="D3788">
            <v>10880030188</v>
          </cell>
        </row>
        <row r="3789">
          <cell r="D3789">
            <v>10880031599</v>
          </cell>
        </row>
        <row r="3790">
          <cell r="D3790">
            <v>10880027924</v>
          </cell>
        </row>
        <row r="3791">
          <cell r="D3791">
            <v>10880033400</v>
          </cell>
        </row>
        <row r="3792">
          <cell r="D3792">
            <v>10880033400</v>
          </cell>
        </row>
        <row r="3793">
          <cell r="D3793">
            <v>10880033325</v>
          </cell>
        </row>
        <row r="3794">
          <cell r="D3794">
            <v>10880029999</v>
          </cell>
        </row>
        <row r="3795">
          <cell r="D3795">
            <v>10880032759</v>
          </cell>
        </row>
        <row r="3796">
          <cell r="D3796">
            <v>10880031461</v>
          </cell>
        </row>
        <row r="3797">
          <cell r="D3797">
            <v>10880031072</v>
          </cell>
        </row>
        <row r="3798">
          <cell r="D3798">
            <v>10880028832</v>
          </cell>
        </row>
        <row r="3799">
          <cell r="D3799">
            <v>10880019773</v>
          </cell>
        </row>
        <row r="3800">
          <cell r="D3800">
            <v>10880030608</v>
          </cell>
        </row>
        <row r="3801">
          <cell r="D3801">
            <v>10880030335</v>
          </cell>
        </row>
        <row r="3802">
          <cell r="D3802">
            <v>10880032683</v>
          </cell>
        </row>
        <row r="3803">
          <cell r="D3803">
            <v>10880032683</v>
          </cell>
        </row>
        <row r="3804">
          <cell r="D3804">
            <v>10880027924</v>
          </cell>
        </row>
        <row r="3805">
          <cell r="D3805">
            <v>10880031570</v>
          </cell>
        </row>
        <row r="3806">
          <cell r="D3806">
            <v>10880031114</v>
          </cell>
        </row>
        <row r="3807">
          <cell r="D3807">
            <v>10880028306</v>
          </cell>
        </row>
        <row r="3808">
          <cell r="D3808">
            <v>10880018093</v>
          </cell>
        </row>
        <row r="3809">
          <cell r="D3809">
            <v>10880031096</v>
          </cell>
        </row>
        <row r="3810">
          <cell r="D3810">
            <v>10880022442</v>
          </cell>
        </row>
        <row r="3811">
          <cell r="D3811">
            <v>10880022471</v>
          </cell>
        </row>
        <row r="3812">
          <cell r="D3812">
            <v>10880027957</v>
          </cell>
        </row>
        <row r="3813">
          <cell r="D3813">
            <v>10880018096</v>
          </cell>
        </row>
        <row r="3814">
          <cell r="D3814">
            <v>10880032933</v>
          </cell>
        </row>
        <row r="3815">
          <cell r="D3815">
            <v>10880030447</v>
          </cell>
        </row>
        <row r="3816">
          <cell r="D3816">
            <v>10880032885</v>
          </cell>
        </row>
        <row r="3817">
          <cell r="D3817">
            <v>10880031599</v>
          </cell>
        </row>
        <row r="3818">
          <cell r="D3818">
            <v>10880021545</v>
          </cell>
        </row>
        <row r="3819">
          <cell r="D3819">
            <v>10880031113</v>
          </cell>
        </row>
        <row r="3820">
          <cell r="D3820">
            <v>10880018093</v>
          </cell>
        </row>
        <row r="3821">
          <cell r="D3821">
            <v>10880033721</v>
          </cell>
        </row>
        <row r="3822">
          <cell r="D3822">
            <v>10880032885</v>
          </cell>
        </row>
        <row r="3823">
          <cell r="D3823">
            <v>10880012825</v>
          </cell>
        </row>
        <row r="3824">
          <cell r="D3824">
            <v>10880018845</v>
          </cell>
        </row>
        <row r="3825">
          <cell r="D3825">
            <v>10880022470</v>
          </cell>
        </row>
        <row r="3826">
          <cell r="D3826">
            <v>10880028469</v>
          </cell>
        </row>
        <row r="3827">
          <cell r="D3827">
            <v>10880020678</v>
          </cell>
        </row>
        <row r="3828">
          <cell r="D3828">
            <v>10880020209</v>
          </cell>
        </row>
        <row r="3829">
          <cell r="D3829">
            <v>10880018524</v>
          </cell>
        </row>
        <row r="3830">
          <cell r="D3830">
            <v>10880031599</v>
          </cell>
        </row>
        <row r="3831">
          <cell r="D3831">
            <v>10880021545</v>
          </cell>
        </row>
        <row r="3832">
          <cell r="D3832">
            <v>10880012825</v>
          </cell>
        </row>
        <row r="3833">
          <cell r="D3833">
            <v>10880017525</v>
          </cell>
        </row>
        <row r="3834">
          <cell r="D3834">
            <v>10880034384</v>
          </cell>
        </row>
        <row r="3835">
          <cell r="D3835">
            <v>10880033130</v>
          </cell>
        </row>
        <row r="3836">
          <cell r="D3836">
            <v>10880031164</v>
          </cell>
        </row>
        <row r="3837">
          <cell r="D3837">
            <v>10880028328</v>
          </cell>
        </row>
        <row r="3838">
          <cell r="D3838">
            <v>10880033745</v>
          </cell>
        </row>
        <row r="3839">
          <cell r="D3839">
            <v>10880030607</v>
          </cell>
        </row>
        <row r="3840">
          <cell r="D3840">
            <v>10880028834</v>
          </cell>
        </row>
        <row r="3841">
          <cell r="D3841">
            <v>10880029957</v>
          </cell>
        </row>
        <row r="3842">
          <cell r="D3842">
            <v>10880031097</v>
          </cell>
        </row>
        <row r="3843">
          <cell r="D3843">
            <v>10880020208</v>
          </cell>
        </row>
        <row r="3844">
          <cell r="D3844">
            <v>10880022123</v>
          </cell>
        </row>
        <row r="3845">
          <cell r="D3845">
            <v>10880022123</v>
          </cell>
        </row>
        <row r="3846">
          <cell r="D3846">
            <v>10880022044</v>
          </cell>
        </row>
        <row r="3847">
          <cell r="D3847">
            <v>10880021545</v>
          </cell>
        </row>
        <row r="3848">
          <cell r="D3848">
            <v>10880012825</v>
          </cell>
        </row>
        <row r="3849">
          <cell r="D3849">
            <v>10880031185</v>
          </cell>
        </row>
        <row r="3850">
          <cell r="D3850">
            <v>10880027958</v>
          </cell>
        </row>
        <row r="3851">
          <cell r="D3851">
            <v>10880020678</v>
          </cell>
        </row>
        <row r="3852">
          <cell r="D3852">
            <v>10880030188</v>
          </cell>
        </row>
        <row r="3853">
          <cell r="D3853">
            <v>10880032942</v>
          </cell>
        </row>
        <row r="3854">
          <cell r="D3854">
            <v>10880031599</v>
          </cell>
        </row>
        <row r="3855">
          <cell r="D3855">
            <v>10880028929</v>
          </cell>
        </row>
        <row r="3856">
          <cell r="D3856">
            <v>10880030004</v>
          </cell>
        </row>
        <row r="3857">
          <cell r="D3857">
            <v>10880033785</v>
          </cell>
        </row>
        <row r="3858">
          <cell r="D3858">
            <v>10880028306</v>
          </cell>
        </row>
        <row r="3859">
          <cell r="D3859">
            <v>10880020557</v>
          </cell>
        </row>
        <row r="3860">
          <cell r="D3860">
            <v>10880034385</v>
          </cell>
        </row>
        <row r="3861">
          <cell r="D3861">
            <v>10880018097</v>
          </cell>
        </row>
        <row r="3862">
          <cell r="D3862">
            <v>10880020048</v>
          </cell>
        </row>
        <row r="3863">
          <cell r="D3863">
            <v>10880020678</v>
          </cell>
        </row>
        <row r="3864">
          <cell r="D3864">
            <v>10880032937</v>
          </cell>
        </row>
        <row r="3865">
          <cell r="D3865">
            <v>10880022406</v>
          </cell>
        </row>
        <row r="3866">
          <cell r="D3866">
            <v>10880033367</v>
          </cell>
        </row>
        <row r="3867">
          <cell r="D3867">
            <v>10880020555</v>
          </cell>
        </row>
        <row r="3868">
          <cell r="D3868">
            <v>10880021767</v>
          </cell>
        </row>
        <row r="3869">
          <cell r="D3869">
            <v>10880030976</v>
          </cell>
        </row>
        <row r="3870">
          <cell r="D3870">
            <v>10880030976</v>
          </cell>
        </row>
        <row r="3871">
          <cell r="D3871">
            <v>10880020678</v>
          </cell>
        </row>
        <row r="3872">
          <cell r="D3872">
            <v>10880032945</v>
          </cell>
        </row>
        <row r="3873">
          <cell r="D3873">
            <v>10880033535</v>
          </cell>
        </row>
        <row r="3874">
          <cell r="D3874">
            <v>10880033534</v>
          </cell>
        </row>
        <row r="3875">
          <cell r="D3875">
            <v>10880033534</v>
          </cell>
        </row>
        <row r="3876">
          <cell r="D3876">
            <v>10880022406</v>
          </cell>
        </row>
        <row r="3877">
          <cell r="D3877">
            <v>10880021545</v>
          </cell>
        </row>
        <row r="3878">
          <cell r="D3878">
            <v>10880012825</v>
          </cell>
        </row>
        <row r="3879">
          <cell r="D3879">
            <v>10880031870</v>
          </cell>
        </row>
        <row r="3880">
          <cell r="D3880">
            <v>10880031461</v>
          </cell>
        </row>
        <row r="3881">
          <cell r="D3881">
            <v>10880022443</v>
          </cell>
        </row>
        <row r="3882">
          <cell r="D3882">
            <v>10880021172</v>
          </cell>
        </row>
        <row r="3883">
          <cell r="D3883">
            <v>10880021269</v>
          </cell>
        </row>
        <row r="3884">
          <cell r="D3884">
            <v>10880018524</v>
          </cell>
        </row>
        <row r="3885">
          <cell r="D3885">
            <v>10880033855</v>
          </cell>
        </row>
        <row r="3886">
          <cell r="D3886">
            <v>10880028929</v>
          </cell>
        </row>
        <row r="3887">
          <cell r="D3887">
            <v>10880033367</v>
          </cell>
        </row>
        <row r="3888">
          <cell r="D3888">
            <v>10880033325</v>
          </cell>
        </row>
        <row r="3889">
          <cell r="D3889">
            <v>10880021311</v>
          </cell>
        </row>
        <row r="3890">
          <cell r="D3890">
            <v>10880018850</v>
          </cell>
        </row>
        <row r="3891">
          <cell r="D3891">
            <v>10880020654</v>
          </cell>
        </row>
        <row r="3892">
          <cell r="D3892">
            <v>10880020208</v>
          </cell>
        </row>
        <row r="3893">
          <cell r="D3893">
            <v>10880032708</v>
          </cell>
        </row>
        <row r="3894">
          <cell r="D3894">
            <v>10880032692</v>
          </cell>
        </row>
        <row r="3895">
          <cell r="D3895">
            <v>10880032708</v>
          </cell>
        </row>
        <row r="3896">
          <cell r="D3896">
            <v>10880032694</v>
          </cell>
        </row>
        <row r="3897">
          <cell r="D3897">
            <v>10880021767</v>
          </cell>
        </row>
        <row r="3898">
          <cell r="D3898">
            <v>10880032945</v>
          </cell>
        </row>
        <row r="3899">
          <cell r="D3899">
            <v>10880022405</v>
          </cell>
        </row>
        <row r="3900">
          <cell r="D3900">
            <v>10880030620</v>
          </cell>
        </row>
        <row r="3901">
          <cell r="D3901">
            <v>10880028881</v>
          </cell>
        </row>
        <row r="3902">
          <cell r="D3902">
            <v>10880020556</v>
          </cell>
        </row>
        <row r="3903">
          <cell r="D3903">
            <v>10880017949</v>
          </cell>
        </row>
        <row r="3904">
          <cell r="D3904">
            <v>10880032697</v>
          </cell>
        </row>
        <row r="3905">
          <cell r="D3905">
            <v>10880032698</v>
          </cell>
        </row>
        <row r="3906">
          <cell r="D3906">
            <v>10880030545</v>
          </cell>
        </row>
        <row r="3907">
          <cell r="D3907">
            <v>10880030550</v>
          </cell>
        </row>
        <row r="3908">
          <cell r="D3908">
            <v>10880033745</v>
          </cell>
        </row>
        <row r="3909">
          <cell r="D3909">
            <v>10880020558</v>
          </cell>
        </row>
        <row r="3910">
          <cell r="D3910">
            <v>10880019240</v>
          </cell>
        </row>
        <row r="3911">
          <cell r="D3911">
            <v>10880020681</v>
          </cell>
        </row>
        <row r="3912">
          <cell r="D3912">
            <v>10880032943</v>
          </cell>
        </row>
        <row r="3913">
          <cell r="D3913">
            <v>10880032885</v>
          </cell>
        </row>
        <row r="3914">
          <cell r="D3914">
            <v>10880029106</v>
          </cell>
        </row>
        <row r="3915">
          <cell r="D3915">
            <v>10880021796</v>
          </cell>
        </row>
        <row r="3916">
          <cell r="D3916">
            <v>10880029055</v>
          </cell>
        </row>
        <row r="3917">
          <cell r="D3917">
            <v>10880029999</v>
          </cell>
        </row>
        <row r="3918">
          <cell r="D3918">
            <v>10880031115</v>
          </cell>
        </row>
        <row r="3919">
          <cell r="D3919">
            <v>10880017524</v>
          </cell>
        </row>
        <row r="3920">
          <cell r="D3920">
            <v>10880031570</v>
          </cell>
        </row>
        <row r="3921">
          <cell r="D3921">
            <v>10880028306</v>
          </cell>
        </row>
        <row r="3922">
          <cell r="D3922">
            <v>10880017948</v>
          </cell>
        </row>
        <row r="3923">
          <cell r="D3923">
            <v>10880030551</v>
          </cell>
        </row>
        <row r="3924">
          <cell r="D3924">
            <v>10880022443</v>
          </cell>
        </row>
        <row r="3925">
          <cell r="D3925">
            <v>10880020208</v>
          </cell>
        </row>
        <row r="3926">
          <cell r="D3926">
            <v>10880032683</v>
          </cell>
        </row>
        <row r="3927">
          <cell r="D3927">
            <v>10880022044</v>
          </cell>
        </row>
        <row r="3928">
          <cell r="D3928">
            <v>10880021545</v>
          </cell>
        </row>
        <row r="3929">
          <cell r="D3929">
            <v>10880033400</v>
          </cell>
        </row>
        <row r="3930">
          <cell r="D3930">
            <v>10880033785</v>
          </cell>
        </row>
        <row r="3931">
          <cell r="D3931">
            <v>10880030132</v>
          </cell>
        </row>
        <row r="3932">
          <cell r="D3932">
            <v>10880031164</v>
          </cell>
        </row>
        <row r="3933">
          <cell r="D3933">
            <v>10880022471</v>
          </cell>
        </row>
        <row r="3934">
          <cell r="D3934">
            <v>10880028832</v>
          </cell>
        </row>
        <row r="3935">
          <cell r="D3935">
            <v>10880020681</v>
          </cell>
        </row>
        <row r="3936">
          <cell r="D3936">
            <v>10880030188</v>
          </cell>
        </row>
        <row r="3937">
          <cell r="D3937">
            <v>10880033721</v>
          </cell>
        </row>
        <row r="3938">
          <cell r="D3938">
            <v>10880031599</v>
          </cell>
        </row>
        <row r="3939">
          <cell r="D3939">
            <v>10880021545</v>
          </cell>
        </row>
        <row r="3940">
          <cell r="D3940">
            <v>10880012825</v>
          </cell>
        </row>
        <row r="3941">
          <cell r="D3941">
            <v>10880030004</v>
          </cell>
        </row>
        <row r="3942">
          <cell r="D3942">
            <v>10880031139</v>
          </cell>
        </row>
        <row r="3943">
          <cell r="D3943">
            <v>10880020209</v>
          </cell>
        </row>
        <row r="3944">
          <cell r="D3944">
            <v>10880029078</v>
          </cell>
        </row>
        <row r="3945">
          <cell r="D3945">
            <v>10880027925</v>
          </cell>
        </row>
        <row r="3946">
          <cell r="D3946">
            <v>10880017531</v>
          </cell>
        </row>
        <row r="3947">
          <cell r="D3947">
            <v>10880020555</v>
          </cell>
        </row>
        <row r="3948">
          <cell r="D3948">
            <v>10880021767</v>
          </cell>
        </row>
        <row r="3949">
          <cell r="D3949">
            <v>10880020558</v>
          </cell>
        </row>
        <row r="3950">
          <cell r="D3950">
            <v>10880018097</v>
          </cell>
        </row>
        <row r="3951">
          <cell r="D3951">
            <v>10880022123</v>
          </cell>
        </row>
        <row r="3952">
          <cell r="D3952">
            <v>10880031599</v>
          </cell>
        </row>
        <row r="3953">
          <cell r="D3953">
            <v>10880027924</v>
          </cell>
        </row>
        <row r="3954">
          <cell r="D3954">
            <v>10880028306</v>
          </cell>
        </row>
        <row r="3955">
          <cell r="D3955">
            <v>10880017949</v>
          </cell>
        </row>
        <row r="3956">
          <cell r="D3956">
            <v>10880030491</v>
          </cell>
        </row>
        <row r="3957">
          <cell r="D3957">
            <v>10880015829</v>
          </cell>
        </row>
        <row r="3958">
          <cell r="D3958">
            <v>10880020558</v>
          </cell>
        </row>
        <row r="3959">
          <cell r="D3959">
            <v>10880031186</v>
          </cell>
        </row>
        <row r="3960">
          <cell r="D3960">
            <v>10880020681</v>
          </cell>
        </row>
        <row r="3961">
          <cell r="D3961">
            <v>10880033654</v>
          </cell>
        </row>
        <row r="3962">
          <cell r="D3962">
            <v>10880029078</v>
          </cell>
        </row>
        <row r="3963">
          <cell r="D3963">
            <v>10880030203</v>
          </cell>
        </row>
        <row r="3964">
          <cell r="D3964">
            <v>10880028306</v>
          </cell>
        </row>
        <row r="3965">
          <cell r="D3965">
            <v>10880015830</v>
          </cell>
        </row>
        <row r="3966">
          <cell r="D3966">
            <v>10880034385</v>
          </cell>
        </row>
        <row r="3967">
          <cell r="D3967">
            <v>10880033689</v>
          </cell>
        </row>
        <row r="3968">
          <cell r="D3968">
            <v>10880031440</v>
          </cell>
        </row>
        <row r="3969">
          <cell r="D3969">
            <v>10880033460</v>
          </cell>
        </row>
        <row r="3970">
          <cell r="D3970">
            <v>10880020681</v>
          </cell>
        </row>
        <row r="3971">
          <cell r="D3971">
            <v>10880033456</v>
          </cell>
        </row>
        <row r="3972">
          <cell r="D3972">
            <v>10880030188</v>
          </cell>
        </row>
        <row r="3973">
          <cell r="D3973">
            <v>10880030244</v>
          </cell>
        </row>
        <row r="3974">
          <cell r="D3974">
            <v>10880031871</v>
          </cell>
        </row>
        <row r="3975">
          <cell r="D3975">
            <v>10880030299</v>
          </cell>
        </row>
        <row r="3976">
          <cell r="D3976">
            <v>10880022406</v>
          </cell>
        </row>
        <row r="3977">
          <cell r="D3977">
            <v>10880031182</v>
          </cell>
        </row>
        <row r="3978">
          <cell r="D3978">
            <v>10880031183</v>
          </cell>
        </row>
        <row r="3979">
          <cell r="D3979">
            <v>10880017949</v>
          </cell>
        </row>
        <row r="3980">
          <cell r="D3980">
            <v>10880030608</v>
          </cell>
        </row>
        <row r="3981">
          <cell r="D3981">
            <v>10880030608</v>
          </cell>
        </row>
        <row r="3982">
          <cell r="D3982">
            <v>10880030520</v>
          </cell>
        </row>
        <row r="3983">
          <cell r="D3983">
            <v>10880030519</v>
          </cell>
        </row>
        <row r="3984">
          <cell r="D3984">
            <v>10880030187</v>
          </cell>
        </row>
        <row r="3985">
          <cell r="D3985">
            <v>10880022470</v>
          </cell>
        </row>
        <row r="3986">
          <cell r="D3986">
            <v>10880033312</v>
          </cell>
        </row>
        <row r="3987">
          <cell r="D3987">
            <v>10880020558</v>
          </cell>
        </row>
        <row r="3988">
          <cell r="D3988">
            <v>10880033534</v>
          </cell>
        </row>
        <row r="3989">
          <cell r="D3989">
            <v>10880022406</v>
          </cell>
        </row>
        <row r="3990">
          <cell r="D3990">
            <v>10880029053</v>
          </cell>
        </row>
        <row r="3991">
          <cell r="D3991">
            <v>10880031139</v>
          </cell>
        </row>
        <row r="3992">
          <cell r="D3992">
            <v>10880033252</v>
          </cell>
        </row>
        <row r="3993">
          <cell r="D3993">
            <v>10880033722</v>
          </cell>
        </row>
        <row r="3994">
          <cell r="D3994">
            <v>10880020208</v>
          </cell>
        </row>
        <row r="3995">
          <cell r="D3995">
            <v>10880012795</v>
          </cell>
        </row>
        <row r="3996">
          <cell r="D3996">
            <v>10880022123</v>
          </cell>
        </row>
        <row r="3997">
          <cell r="D3997">
            <v>10880033535</v>
          </cell>
        </row>
        <row r="3998">
          <cell r="D3998">
            <v>10880028929</v>
          </cell>
        </row>
        <row r="3999">
          <cell r="D3999">
            <v>10880031138</v>
          </cell>
        </row>
        <row r="4000">
          <cell r="D4000">
            <v>10880030607</v>
          </cell>
        </row>
        <row r="4001">
          <cell r="D4001">
            <v>10880019042</v>
          </cell>
        </row>
        <row r="4002">
          <cell r="D4002">
            <v>10880022443</v>
          </cell>
        </row>
        <row r="4003">
          <cell r="D4003">
            <v>10880020209</v>
          </cell>
        </row>
        <row r="4004">
          <cell r="D4004">
            <v>10880033535</v>
          </cell>
        </row>
        <row r="4005">
          <cell r="D4005">
            <v>10880032885</v>
          </cell>
        </row>
        <row r="4006">
          <cell r="D4006">
            <v>10880029106</v>
          </cell>
        </row>
        <row r="4007">
          <cell r="D4007">
            <v>10880018097</v>
          </cell>
        </row>
        <row r="4008">
          <cell r="D4008">
            <v>10880030545</v>
          </cell>
        </row>
        <row r="4009">
          <cell r="D4009">
            <v>10880031020</v>
          </cell>
        </row>
        <row r="4010">
          <cell r="D4010">
            <v>10880031869</v>
          </cell>
        </row>
        <row r="4011">
          <cell r="D4011">
            <v>10880028345</v>
          </cell>
        </row>
        <row r="4012">
          <cell r="D4012">
            <v>10880033279</v>
          </cell>
        </row>
        <row r="4013">
          <cell r="D4013">
            <v>10880033279</v>
          </cell>
        </row>
        <row r="4014">
          <cell r="D4014">
            <v>10880033280</v>
          </cell>
        </row>
        <row r="4015">
          <cell r="D4015">
            <v>10880033329</v>
          </cell>
        </row>
        <row r="4016">
          <cell r="D4016">
            <v>10880020558</v>
          </cell>
        </row>
        <row r="4017">
          <cell r="D4017">
            <v>10880020209</v>
          </cell>
        </row>
        <row r="4018">
          <cell r="D4018">
            <v>10880033911</v>
          </cell>
        </row>
        <row r="4019">
          <cell r="D4019">
            <v>10880031599</v>
          </cell>
        </row>
        <row r="4020">
          <cell r="D4020">
            <v>10880028929</v>
          </cell>
        </row>
        <row r="4021">
          <cell r="D4021">
            <v>10880029053</v>
          </cell>
        </row>
        <row r="4022">
          <cell r="D4022">
            <v>10880018093</v>
          </cell>
        </row>
        <row r="4023">
          <cell r="D4023">
            <v>10880033251</v>
          </cell>
        </row>
        <row r="4024">
          <cell r="D4024">
            <v>10880018091</v>
          </cell>
        </row>
        <row r="4025">
          <cell r="D4025">
            <v>10880030545</v>
          </cell>
        </row>
        <row r="4026">
          <cell r="D4026">
            <v>10880031020</v>
          </cell>
        </row>
        <row r="4027">
          <cell r="D4027">
            <v>10880029078</v>
          </cell>
        </row>
        <row r="4028">
          <cell r="D4028">
            <v>10880031599</v>
          </cell>
        </row>
        <row r="4029">
          <cell r="D4029">
            <v>10880031599</v>
          </cell>
        </row>
        <row r="4030">
          <cell r="D4030">
            <v>10880012825</v>
          </cell>
        </row>
        <row r="4031">
          <cell r="D4031">
            <v>10880020637</v>
          </cell>
        </row>
        <row r="4032">
          <cell r="D4032">
            <v>10880017525</v>
          </cell>
        </row>
        <row r="4033">
          <cell r="D4033">
            <v>10880018848</v>
          </cell>
        </row>
        <row r="4034">
          <cell r="D4034">
            <v>10880018848</v>
          </cell>
        </row>
        <row r="4035">
          <cell r="D4035">
            <v>10880020192</v>
          </cell>
        </row>
        <row r="4036">
          <cell r="D4036">
            <v>10880031011</v>
          </cell>
        </row>
        <row r="4037">
          <cell r="D4037">
            <v>10880028345</v>
          </cell>
        </row>
        <row r="4038">
          <cell r="D4038">
            <v>10880020558</v>
          </cell>
        </row>
        <row r="4039">
          <cell r="D4039">
            <v>10880020678</v>
          </cell>
        </row>
        <row r="4040">
          <cell r="D4040">
            <v>10880033654</v>
          </cell>
        </row>
        <row r="4041">
          <cell r="D4041">
            <v>10880012825</v>
          </cell>
        </row>
        <row r="4042">
          <cell r="D4042">
            <v>10880033367</v>
          </cell>
        </row>
        <row r="4043">
          <cell r="D4043">
            <v>10880018845</v>
          </cell>
        </row>
        <row r="4044">
          <cell r="D4044">
            <v>10880030491</v>
          </cell>
        </row>
        <row r="4045">
          <cell r="D4045">
            <v>10880020558</v>
          </cell>
        </row>
        <row r="4046">
          <cell r="D4046">
            <v>10880020681</v>
          </cell>
        </row>
        <row r="4047">
          <cell r="D4047">
            <v>10880022123</v>
          </cell>
        </row>
        <row r="4048">
          <cell r="D4048">
            <v>10880033695</v>
          </cell>
        </row>
        <row r="4049">
          <cell r="D4049">
            <v>10880030296</v>
          </cell>
        </row>
        <row r="4050">
          <cell r="D4050">
            <v>10880031599</v>
          </cell>
        </row>
        <row r="4051">
          <cell r="D4051">
            <v>10880017516</v>
          </cell>
        </row>
        <row r="4052">
          <cell r="D4052">
            <v>10880033785</v>
          </cell>
        </row>
        <row r="4053">
          <cell r="D4053">
            <v>10880033216</v>
          </cell>
        </row>
        <row r="4054">
          <cell r="D4054">
            <v>10880017948</v>
          </cell>
        </row>
        <row r="4055">
          <cell r="D4055">
            <v>10880033689</v>
          </cell>
        </row>
        <row r="4056">
          <cell r="D4056">
            <v>10880031760</v>
          </cell>
        </row>
        <row r="4057">
          <cell r="D4057">
            <v>10880021269</v>
          </cell>
        </row>
        <row r="4058">
          <cell r="D4058">
            <v>10880031097</v>
          </cell>
        </row>
        <row r="4059">
          <cell r="D4059">
            <v>10880020678</v>
          </cell>
        </row>
        <row r="4060">
          <cell r="D4060">
            <v>10880033456</v>
          </cell>
        </row>
        <row r="4061">
          <cell r="D4061">
            <v>10880031096</v>
          </cell>
        </row>
        <row r="4062">
          <cell r="D4062">
            <v>10880028834</v>
          </cell>
        </row>
        <row r="4063">
          <cell r="D4063">
            <v>10880021545</v>
          </cell>
        </row>
        <row r="4064">
          <cell r="D4064">
            <v>10880031182</v>
          </cell>
        </row>
        <row r="4065">
          <cell r="D4065">
            <v>10880033312</v>
          </cell>
        </row>
        <row r="4066">
          <cell r="D4066">
            <v>10880022444</v>
          </cell>
        </row>
        <row r="4067">
          <cell r="D4067">
            <v>10880020678</v>
          </cell>
        </row>
        <row r="4068">
          <cell r="D4068">
            <v>10880022123</v>
          </cell>
        </row>
        <row r="4069">
          <cell r="D4069">
            <v>10880029958</v>
          </cell>
        </row>
        <row r="4070">
          <cell r="D4070">
            <v>10880021545</v>
          </cell>
        </row>
        <row r="4071">
          <cell r="D4071">
            <v>10880033367</v>
          </cell>
        </row>
        <row r="4072">
          <cell r="D4072">
            <v>10880028306</v>
          </cell>
        </row>
        <row r="4073">
          <cell r="D4073">
            <v>10880033273</v>
          </cell>
        </row>
        <row r="4074">
          <cell r="D4074">
            <v>10880022470</v>
          </cell>
        </row>
        <row r="4075">
          <cell r="D4075">
            <v>10880029957</v>
          </cell>
        </row>
        <row r="4076">
          <cell r="D4076">
            <v>10880022443</v>
          </cell>
        </row>
        <row r="4077">
          <cell r="D4077">
            <v>10880020208</v>
          </cell>
        </row>
        <row r="4078">
          <cell r="D4078">
            <v>10880019777</v>
          </cell>
        </row>
        <row r="4079">
          <cell r="D4079">
            <v>10880030491</v>
          </cell>
        </row>
        <row r="4080">
          <cell r="D4080">
            <v>10880033654</v>
          </cell>
        </row>
        <row r="4081">
          <cell r="D4081">
            <v>10880012825</v>
          </cell>
        </row>
        <row r="4082">
          <cell r="D4082">
            <v>10880033273</v>
          </cell>
        </row>
        <row r="4083">
          <cell r="D4083">
            <v>10880021172</v>
          </cell>
        </row>
        <row r="4084">
          <cell r="D4084">
            <v>10880021173</v>
          </cell>
        </row>
        <row r="4085">
          <cell r="D4085">
            <v>10880019240</v>
          </cell>
        </row>
        <row r="4086">
          <cell r="D4086">
            <v>10880031870</v>
          </cell>
        </row>
        <row r="4087">
          <cell r="D4087">
            <v>10880012795</v>
          </cell>
        </row>
        <row r="4088">
          <cell r="D4088">
            <v>10880022442</v>
          </cell>
        </row>
        <row r="4089">
          <cell r="D4089">
            <v>10880020678</v>
          </cell>
        </row>
        <row r="4090">
          <cell r="D4090">
            <v>10880031599</v>
          </cell>
        </row>
        <row r="4091">
          <cell r="D4091">
            <v>10880028929</v>
          </cell>
        </row>
        <row r="4092">
          <cell r="D4092">
            <v>10880029053</v>
          </cell>
        </row>
        <row r="4093">
          <cell r="D4093">
            <v>10880021318</v>
          </cell>
        </row>
        <row r="4094">
          <cell r="D4094">
            <v>10880021311</v>
          </cell>
        </row>
        <row r="4095">
          <cell r="D4095">
            <v>10880033251</v>
          </cell>
        </row>
        <row r="4096">
          <cell r="D4096">
            <v>10880033252</v>
          </cell>
        </row>
        <row r="4097">
          <cell r="D4097">
            <v>10880020209</v>
          </cell>
        </row>
        <row r="4098">
          <cell r="D4098">
            <v>10880022123</v>
          </cell>
        </row>
        <row r="4099">
          <cell r="D4099">
            <v>10880032322</v>
          </cell>
        </row>
        <row r="4100">
          <cell r="D4100">
            <v>10880033745</v>
          </cell>
        </row>
        <row r="4101">
          <cell r="D4101">
            <v>10880032885</v>
          </cell>
        </row>
        <row r="4102">
          <cell r="D4102">
            <v>10880033301</v>
          </cell>
        </row>
        <row r="4103">
          <cell r="D4103">
            <v>10880033216</v>
          </cell>
        </row>
        <row r="4104">
          <cell r="D4104">
            <v>10880021767</v>
          </cell>
        </row>
        <row r="4105">
          <cell r="D4105">
            <v>10880034384</v>
          </cell>
        </row>
        <row r="4106">
          <cell r="D4106">
            <v>10880033297</v>
          </cell>
        </row>
        <row r="4107">
          <cell r="D4107">
            <v>10880022443</v>
          </cell>
        </row>
        <row r="4108">
          <cell r="D4108">
            <v>10880017536</v>
          </cell>
        </row>
        <row r="4109">
          <cell r="D4109">
            <v>10880030738</v>
          </cell>
        </row>
        <row r="4110">
          <cell r="D4110">
            <v>10880030334</v>
          </cell>
        </row>
        <row r="4111">
          <cell r="D4111">
            <v>10880030334</v>
          </cell>
        </row>
        <row r="4112">
          <cell r="D4112">
            <v>10880033534</v>
          </cell>
        </row>
        <row r="4113">
          <cell r="D4113">
            <v>10880028929</v>
          </cell>
        </row>
        <row r="4114">
          <cell r="D4114">
            <v>10880033367</v>
          </cell>
        </row>
        <row r="4115">
          <cell r="D4115">
            <v>10880033325</v>
          </cell>
        </row>
        <row r="4116">
          <cell r="D4116">
            <v>10880020192</v>
          </cell>
        </row>
        <row r="4117">
          <cell r="D4117">
            <v>10880033293</v>
          </cell>
        </row>
        <row r="4118">
          <cell r="D4118">
            <v>10880034622</v>
          </cell>
        </row>
        <row r="4119">
          <cell r="D4119">
            <v>10880030545</v>
          </cell>
        </row>
        <row r="4120">
          <cell r="D4120">
            <v>10880034622</v>
          </cell>
        </row>
        <row r="4121">
          <cell r="D4121">
            <v>10880030545</v>
          </cell>
        </row>
        <row r="4122">
          <cell r="D4122">
            <v>10880034621</v>
          </cell>
        </row>
        <row r="4123">
          <cell r="D4123">
            <v>10880033296</v>
          </cell>
        </row>
        <row r="4124">
          <cell r="D4124">
            <v>10880018097</v>
          </cell>
        </row>
        <row r="4125">
          <cell r="D4125">
            <v>10880020681</v>
          </cell>
        </row>
        <row r="4126">
          <cell r="D4126">
            <v>10880020677</v>
          </cell>
        </row>
        <row r="4127">
          <cell r="D4127">
            <v>10880033535</v>
          </cell>
        </row>
        <row r="4128">
          <cell r="D4128">
            <v>10880032885</v>
          </cell>
        </row>
        <row r="4129">
          <cell r="D4129">
            <v>10880012825</v>
          </cell>
        </row>
        <row r="4130">
          <cell r="D4130">
            <v>10880021416</v>
          </cell>
        </row>
        <row r="4131">
          <cell r="D4131">
            <v>10880021416</v>
          </cell>
        </row>
        <row r="4132">
          <cell r="D4132">
            <v>10880020187</v>
          </cell>
        </row>
        <row r="4133">
          <cell r="D4133">
            <v>10880020187</v>
          </cell>
        </row>
        <row r="4134">
          <cell r="D4134">
            <v>10880034619</v>
          </cell>
        </row>
        <row r="4135">
          <cell r="D4135">
            <v>10880022471</v>
          </cell>
        </row>
        <row r="4136">
          <cell r="D4136">
            <v>10880017948</v>
          </cell>
        </row>
        <row r="4137">
          <cell r="D4137">
            <v>10880030433</v>
          </cell>
        </row>
        <row r="4138">
          <cell r="D4138">
            <v>10880020048</v>
          </cell>
        </row>
        <row r="4139">
          <cell r="D4139">
            <v>10880028832</v>
          </cell>
        </row>
        <row r="4140">
          <cell r="D4140">
            <v>10880020209</v>
          </cell>
        </row>
        <row r="4141">
          <cell r="D4141">
            <v>10880022123</v>
          </cell>
        </row>
        <row r="4142">
          <cell r="D4142">
            <v>10880028394</v>
          </cell>
        </row>
        <row r="4143">
          <cell r="D4143">
            <v>10880017516</v>
          </cell>
        </row>
        <row r="4144">
          <cell r="D4144">
            <v>10880028929</v>
          </cell>
        </row>
        <row r="4145">
          <cell r="D4145">
            <v>10880033217</v>
          </cell>
        </row>
        <row r="4146">
          <cell r="D4146">
            <v>10880020187</v>
          </cell>
        </row>
        <row r="4147">
          <cell r="D4147">
            <v>10880033311</v>
          </cell>
        </row>
        <row r="4148">
          <cell r="D4148">
            <v>10880030188</v>
          </cell>
        </row>
        <row r="4149">
          <cell r="D4149">
            <v>10880030124</v>
          </cell>
        </row>
        <row r="4150">
          <cell r="D4150">
            <v>10880030936</v>
          </cell>
        </row>
        <row r="4151">
          <cell r="D4151">
            <v>10880020654</v>
          </cell>
        </row>
        <row r="4152">
          <cell r="D4152">
            <v>10880029106</v>
          </cell>
        </row>
        <row r="4153">
          <cell r="D4153">
            <v>10880017524</v>
          </cell>
        </row>
        <row r="4154">
          <cell r="D4154">
            <v>10880031304</v>
          </cell>
        </row>
        <row r="4155">
          <cell r="D4155">
            <v>10880031113</v>
          </cell>
        </row>
        <row r="4156">
          <cell r="D4156">
            <v>10880018850</v>
          </cell>
        </row>
        <row r="4157">
          <cell r="D4157">
            <v>10880031015</v>
          </cell>
        </row>
        <row r="4158">
          <cell r="D4158">
            <v>10880033635</v>
          </cell>
        </row>
        <row r="4159">
          <cell r="D4159">
            <v>10880033634</v>
          </cell>
        </row>
        <row r="4160">
          <cell r="D4160">
            <v>10880017531</v>
          </cell>
        </row>
        <row r="4161">
          <cell r="D4161">
            <v>10880020209</v>
          </cell>
        </row>
        <row r="4162">
          <cell r="D4162">
            <v>10880031362</v>
          </cell>
        </row>
        <row r="4163">
          <cell r="D4163">
            <v>10880033535</v>
          </cell>
        </row>
        <row r="4164">
          <cell r="D4164">
            <v>10880033534</v>
          </cell>
        </row>
        <row r="4165">
          <cell r="D4165">
            <v>10880031599</v>
          </cell>
        </row>
        <row r="4166">
          <cell r="D4166">
            <v>10880021545</v>
          </cell>
        </row>
        <row r="4167">
          <cell r="D4167">
            <v>10880031307</v>
          </cell>
        </row>
        <row r="4168">
          <cell r="D4168">
            <v>10880018093</v>
          </cell>
        </row>
        <row r="4169">
          <cell r="D4169">
            <v>10880021767</v>
          </cell>
        </row>
        <row r="4170">
          <cell r="D4170">
            <v>10880033610</v>
          </cell>
        </row>
        <row r="4171">
          <cell r="D4171">
            <v>10880022443</v>
          </cell>
        </row>
        <row r="4172">
          <cell r="D4172">
            <v>10880030493</v>
          </cell>
        </row>
        <row r="4173">
          <cell r="D4173">
            <v>10880020678</v>
          </cell>
        </row>
        <row r="4174">
          <cell r="D4174">
            <v>10880030607</v>
          </cell>
        </row>
        <row r="4175">
          <cell r="D4175">
            <v>10880030243</v>
          </cell>
        </row>
        <row r="4176">
          <cell r="D4176">
            <v>10880031599</v>
          </cell>
        </row>
        <row r="4177">
          <cell r="D4177">
            <v>10880029053</v>
          </cell>
        </row>
        <row r="4178">
          <cell r="D4178">
            <v>10880018093</v>
          </cell>
        </row>
        <row r="4179">
          <cell r="D4179">
            <v>10880030545</v>
          </cell>
        </row>
        <row r="4180">
          <cell r="D4180">
            <v>10880030545</v>
          </cell>
        </row>
        <row r="4181">
          <cell r="D4181">
            <v>10880034622</v>
          </cell>
        </row>
        <row r="4182">
          <cell r="D4182">
            <v>10880034622</v>
          </cell>
        </row>
        <row r="4183">
          <cell r="D4183">
            <v>10880022123</v>
          </cell>
        </row>
        <row r="4184">
          <cell r="D4184">
            <v>10880030491</v>
          </cell>
        </row>
        <row r="4185">
          <cell r="D4185">
            <v>10880033297</v>
          </cell>
        </row>
        <row r="4186">
          <cell r="D4186">
            <v>10880021612</v>
          </cell>
        </row>
        <row r="4187">
          <cell r="D4187">
            <v>10880033325</v>
          </cell>
        </row>
        <row r="4188">
          <cell r="D4188">
            <v>10880033785</v>
          </cell>
        </row>
        <row r="4189">
          <cell r="D4189">
            <v>10880034621</v>
          </cell>
        </row>
        <row r="4190">
          <cell r="D4190">
            <v>10880034619</v>
          </cell>
        </row>
        <row r="4191">
          <cell r="D4191">
            <v>10880033566</v>
          </cell>
        </row>
        <row r="4192">
          <cell r="D4192">
            <v>10880022443</v>
          </cell>
        </row>
        <row r="4193">
          <cell r="D4193">
            <v>10880030608</v>
          </cell>
        </row>
        <row r="4194">
          <cell r="D4194">
            <v>10880031139</v>
          </cell>
        </row>
        <row r="4195">
          <cell r="D4195">
            <v>10880032943</v>
          </cell>
        </row>
        <row r="4196">
          <cell r="D4196">
            <v>10880032945</v>
          </cell>
        </row>
        <row r="4197">
          <cell r="D4197">
            <v>10880032945</v>
          </cell>
        </row>
        <row r="4198">
          <cell r="D4198">
            <v>10880033293</v>
          </cell>
        </row>
        <row r="4199">
          <cell r="D4199">
            <v>10880034384</v>
          </cell>
        </row>
        <row r="4200">
          <cell r="D4200">
            <v>10880028345</v>
          </cell>
        </row>
        <row r="4201">
          <cell r="D4201">
            <v>10880021796</v>
          </cell>
        </row>
        <row r="4202">
          <cell r="D4202">
            <v>10880021545</v>
          </cell>
        </row>
        <row r="4203">
          <cell r="D4203">
            <v>10880017949</v>
          </cell>
        </row>
        <row r="4204">
          <cell r="D4204">
            <v>10880017536</v>
          </cell>
        </row>
        <row r="4205">
          <cell r="D4205">
            <v>10880030132</v>
          </cell>
        </row>
        <row r="4206">
          <cell r="D4206">
            <v>10880033567</v>
          </cell>
        </row>
        <row r="4207">
          <cell r="D4207">
            <v>10880022444</v>
          </cell>
        </row>
        <row r="4208">
          <cell r="D4208">
            <v>10880028832</v>
          </cell>
        </row>
        <row r="4209">
          <cell r="D4209">
            <v>10880030920</v>
          </cell>
        </row>
        <row r="4210">
          <cell r="D4210">
            <v>10880032945</v>
          </cell>
        </row>
        <row r="4211">
          <cell r="D4211">
            <v>10880032945</v>
          </cell>
        </row>
        <row r="4212">
          <cell r="D4212">
            <v>10880033855</v>
          </cell>
        </row>
        <row r="4213">
          <cell r="D4213">
            <v>10880030123</v>
          </cell>
        </row>
        <row r="4214">
          <cell r="D4214">
            <v>10880020556</v>
          </cell>
        </row>
        <row r="4215">
          <cell r="D4215">
            <v>10880029054</v>
          </cell>
        </row>
        <row r="4216">
          <cell r="D4216">
            <v>10880033661</v>
          </cell>
        </row>
        <row r="4217">
          <cell r="D4217">
            <v>10880029053</v>
          </cell>
        </row>
        <row r="4218">
          <cell r="D4218">
            <v>10880020654</v>
          </cell>
        </row>
        <row r="4219">
          <cell r="D4219">
            <v>10880022470</v>
          </cell>
        </row>
        <row r="4220">
          <cell r="D4220">
            <v>10880033329</v>
          </cell>
        </row>
        <row r="4221">
          <cell r="D4221">
            <v>10880030920</v>
          </cell>
        </row>
        <row r="4222">
          <cell r="D4222">
            <v>10880033273</v>
          </cell>
        </row>
        <row r="4223">
          <cell r="D4223">
            <v>10880032945</v>
          </cell>
        </row>
        <row r="4224">
          <cell r="D4224">
            <v>10880033745</v>
          </cell>
        </row>
        <row r="4225">
          <cell r="D4225">
            <v>10880029053</v>
          </cell>
        </row>
        <row r="4226">
          <cell r="D4226">
            <v>10880029078</v>
          </cell>
        </row>
        <row r="4227">
          <cell r="D4227">
            <v>10880028832</v>
          </cell>
        </row>
        <row r="4228">
          <cell r="D4228">
            <v>10880022123</v>
          </cell>
        </row>
        <row r="4229">
          <cell r="D4229">
            <v>10880030491</v>
          </cell>
        </row>
        <row r="4230">
          <cell r="D4230">
            <v>10880021545</v>
          </cell>
        </row>
        <row r="4231">
          <cell r="D4231">
            <v>10880033367</v>
          </cell>
        </row>
        <row r="4232">
          <cell r="D4232">
            <v>10880031307</v>
          </cell>
        </row>
        <row r="4233">
          <cell r="D4233">
            <v>10880020555</v>
          </cell>
        </row>
        <row r="4234">
          <cell r="D4234">
            <v>10880033654</v>
          </cell>
        </row>
        <row r="4235">
          <cell r="D4235">
            <v>10880018524</v>
          </cell>
        </row>
        <row r="4236">
          <cell r="D4236">
            <v>10880018524</v>
          </cell>
        </row>
        <row r="4237">
          <cell r="D4237">
            <v>10880033654</v>
          </cell>
        </row>
        <row r="4238">
          <cell r="D4238">
            <v>10880020187</v>
          </cell>
        </row>
        <row r="4239">
          <cell r="D4239">
            <v>10880031020</v>
          </cell>
        </row>
        <row r="4240">
          <cell r="D4240">
            <v>10880030920</v>
          </cell>
        </row>
        <row r="4241">
          <cell r="D4241">
            <v>10880030920</v>
          </cell>
        </row>
        <row r="4242">
          <cell r="D4242">
            <v>10880030934</v>
          </cell>
        </row>
        <row r="4243">
          <cell r="D4243">
            <v>10880032933</v>
          </cell>
        </row>
        <row r="4244">
          <cell r="D4244">
            <v>10880034669</v>
          </cell>
        </row>
        <row r="4245">
          <cell r="D4245">
            <v>10880021545</v>
          </cell>
        </row>
        <row r="4246">
          <cell r="D4246">
            <v>10880018093</v>
          </cell>
        </row>
        <row r="4247">
          <cell r="D4247">
            <v>10880030004</v>
          </cell>
        </row>
        <row r="4248">
          <cell r="D4248">
            <v>10880028307</v>
          </cell>
        </row>
        <row r="4249">
          <cell r="D4249">
            <v>10880030450</v>
          </cell>
        </row>
        <row r="4250">
          <cell r="D4250">
            <v>10880030545</v>
          </cell>
        </row>
        <row r="4251">
          <cell r="D4251">
            <v>10880021029</v>
          </cell>
        </row>
        <row r="4252">
          <cell r="D4252">
            <v>10880030920</v>
          </cell>
        </row>
        <row r="4253">
          <cell r="D4253">
            <v>10880028394</v>
          </cell>
        </row>
        <row r="4254">
          <cell r="D4254">
            <v>10880022123</v>
          </cell>
        </row>
        <row r="4255">
          <cell r="D4255">
            <v>10880018093</v>
          </cell>
        </row>
        <row r="4256">
          <cell r="D4256">
            <v>10880031304</v>
          </cell>
        </row>
        <row r="4257">
          <cell r="D4257">
            <v>10880018850</v>
          </cell>
        </row>
        <row r="4258">
          <cell r="D4258">
            <v>10880017525</v>
          </cell>
        </row>
        <row r="4259">
          <cell r="D4259">
            <v>10880017536</v>
          </cell>
        </row>
        <row r="4260">
          <cell r="D4260">
            <v>10880033296</v>
          </cell>
        </row>
        <row r="4261">
          <cell r="D4261">
            <v>10880033297</v>
          </cell>
        </row>
        <row r="4262">
          <cell r="D4262">
            <v>10880032943</v>
          </cell>
        </row>
        <row r="4263">
          <cell r="D4263">
            <v>10880032885</v>
          </cell>
        </row>
        <row r="4264">
          <cell r="D4264">
            <v>10880031570</v>
          </cell>
        </row>
        <row r="4265">
          <cell r="D4265">
            <v>10880034251</v>
          </cell>
        </row>
        <row r="4266">
          <cell r="D4266">
            <v>10880031011</v>
          </cell>
        </row>
        <row r="4267">
          <cell r="D4267">
            <v>10880034384</v>
          </cell>
        </row>
        <row r="4268">
          <cell r="D4268">
            <v>10880034385</v>
          </cell>
        </row>
        <row r="4269">
          <cell r="D4269">
            <v>10880033291</v>
          </cell>
        </row>
        <row r="4270">
          <cell r="D4270">
            <v>10880033293</v>
          </cell>
        </row>
        <row r="4271">
          <cell r="D4271">
            <v>10880030545</v>
          </cell>
        </row>
        <row r="4272">
          <cell r="D4272">
            <v>10880034622</v>
          </cell>
        </row>
        <row r="4273">
          <cell r="D4273">
            <v>10880020681</v>
          </cell>
        </row>
        <row r="4274">
          <cell r="D4274">
            <v>10880020209</v>
          </cell>
        </row>
        <row r="4275">
          <cell r="D4275">
            <v>10880020208</v>
          </cell>
        </row>
        <row r="4276">
          <cell r="D4276">
            <v>10880030920</v>
          </cell>
        </row>
        <row r="4277">
          <cell r="D4277">
            <v>10880028345</v>
          </cell>
        </row>
        <row r="4278">
          <cell r="D4278">
            <v>10880020637</v>
          </cell>
        </row>
        <row r="4279">
          <cell r="D4279">
            <v>10880029958</v>
          </cell>
        </row>
        <row r="4280">
          <cell r="D4280">
            <v>10880033911</v>
          </cell>
        </row>
        <row r="4281">
          <cell r="D4281">
            <v>10880021029</v>
          </cell>
        </row>
        <row r="4282">
          <cell r="D4282">
            <v>10880031113</v>
          </cell>
        </row>
        <row r="4283">
          <cell r="D4283">
            <v>10880031114</v>
          </cell>
        </row>
        <row r="4284">
          <cell r="D4284">
            <v>10880017949</v>
          </cell>
        </row>
        <row r="4285">
          <cell r="D4285">
            <v>10880034619</v>
          </cell>
        </row>
        <row r="4286">
          <cell r="D4286">
            <v>10880033745</v>
          </cell>
        </row>
        <row r="4287">
          <cell r="D4287">
            <v>10880030976</v>
          </cell>
        </row>
        <row r="4288">
          <cell r="D4288">
            <v>10880030976</v>
          </cell>
        </row>
        <row r="4289">
          <cell r="D4289">
            <v>10880030920</v>
          </cell>
        </row>
        <row r="4290">
          <cell r="D4290">
            <v>10880028831</v>
          </cell>
        </row>
        <row r="4291">
          <cell r="D4291">
            <v>10880030934</v>
          </cell>
        </row>
        <row r="4292">
          <cell r="D4292">
            <v>10880022123</v>
          </cell>
        </row>
        <row r="4293">
          <cell r="D4293">
            <v>10880021416</v>
          </cell>
        </row>
        <row r="4294">
          <cell r="D4294">
            <v>10880018848</v>
          </cell>
        </row>
        <row r="4295">
          <cell r="D4295">
            <v>10880020031</v>
          </cell>
        </row>
        <row r="4296">
          <cell r="D4296">
            <v>10880033367</v>
          </cell>
        </row>
        <row r="4297">
          <cell r="D4297">
            <v>10880033654</v>
          </cell>
        </row>
        <row r="4298">
          <cell r="D4298">
            <v>10880018524</v>
          </cell>
        </row>
        <row r="4299">
          <cell r="D4299">
            <v>10880033689</v>
          </cell>
        </row>
        <row r="4300">
          <cell r="D4300">
            <v>10880033692</v>
          </cell>
        </row>
        <row r="4301">
          <cell r="D4301">
            <v>10880028832</v>
          </cell>
        </row>
        <row r="4302">
          <cell r="D4302">
            <v>10880028832</v>
          </cell>
        </row>
        <row r="4303">
          <cell r="D4303">
            <v>10880020678</v>
          </cell>
        </row>
        <row r="4304">
          <cell r="D4304">
            <v>10880020678</v>
          </cell>
        </row>
        <row r="4305">
          <cell r="D4305">
            <v>10880033695</v>
          </cell>
        </row>
        <row r="4306">
          <cell r="D4306">
            <v>10880033720</v>
          </cell>
        </row>
        <row r="4307">
          <cell r="D4307">
            <v>10880030491</v>
          </cell>
        </row>
        <row r="4308">
          <cell r="D4308">
            <v>10880031871</v>
          </cell>
        </row>
        <row r="4309">
          <cell r="D4309">
            <v>10880021545</v>
          </cell>
        </row>
        <row r="4310">
          <cell r="D4310">
            <v>10880029053</v>
          </cell>
        </row>
        <row r="4311">
          <cell r="D4311">
            <v>10880031185</v>
          </cell>
        </row>
        <row r="4312">
          <cell r="D4312">
            <v>10880017525</v>
          </cell>
        </row>
        <row r="4313">
          <cell r="D4313">
            <v>10880021767</v>
          </cell>
        </row>
        <row r="4314">
          <cell r="D4314">
            <v>10880032298</v>
          </cell>
        </row>
        <row r="4315">
          <cell r="D4315">
            <v>10880021985</v>
          </cell>
        </row>
        <row r="4316">
          <cell r="D4316">
            <v>10880021983</v>
          </cell>
        </row>
        <row r="4317">
          <cell r="D4317">
            <v>10880028832</v>
          </cell>
        </row>
        <row r="4318">
          <cell r="D4318">
            <v>10880030784</v>
          </cell>
        </row>
        <row r="4319">
          <cell r="D4319">
            <v>10880022443</v>
          </cell>
        </row>
        <row r="4320">
          <cell r="D4320">
            <v>10880021545</v>
          </cell>
        </row>
        <row r="4321">
          <cell r="D4321">
            <v>10880029053</v>
          </cell>
        </row>
        <row r="4322">
          <cell r="D4322">
            <v>10880033400</v>
          </cell>
        </row>
        <row r="4323">
          <cell r="D4323">
            <v>10880033325</v>
          </cell>
        </row>
        <row r="4324">
          <cell r="D4324">
            <v>10880020222</v>
          </cell>
        </row>
        <row r="4325">
          <cell r="D4325">
            <v>10880033251</v>
          </cell>
        </row>
        <row r="4326">
          <cell r="D4326">
            <v>10880033252</v>
          </cell>
        </row>
        <row r="4327">
          <cell r="D4327">
            <v>10880033564</v>
          </cell>
        </row>
        <row r="4328">
          <cell r="D4328">
            <v>10880033560</v>
          </cell>
        </row>
        <row r="4329">
          <cell r="D4329">
            <v>10880029957</v>
          </cell>
        </row>
        <row r="4330">
          <cell r="D4330">
            <v>10880030977</v>
          </cell>
        </row>
        <row r="4331">
          <cell r="D4331">
            <v>10880033280</v>
          </cell>
        </row>
        <row r="4332">
          <cell r="D4332">
            <v>10880030920</v>
          </cell>
        </row>
        <row r="4333">
          <cell r="D4333">
            <v>10880032945</v>
          </cell>
        </row>
        <row r="4334">
          <cell r="D4334">
            <v>10880022123</v>
          </cell>
        </row>
        <row r="4335">
          <cell r="D4335">
            <v>10880028929</v>
          </cell>
        </row>
        <row r="4336">
          <cell r="D4336">
            <v>10880033661</v>
          </cell>
        </row>
        <row r="4337">
          <cell r="D4337">
            <v>10880033566</v>
          </cell>
        </row>
        <row r="4338">
          <cell r="D4338">
            <v>10880029078</v>
          </cell>
        </row>
        <row r="4339">
          <cell r="D4339">
            <v>10880033279</v>
          </cell>
        </row>
        <row r="4340">
          <cell r="D4340">
            <v>10880020048</v>
          </cell>
        </row>
        <row r="4341">
          <cell r="D4341">
            <v>10880021015</v>
          </cell>
        </row>
        <row r="4342">
          <cell r="D4342">
            <v>10880030188</v>
          </cell>
        </row>
        <row r="4343">
          <cell r="D4343">
            <v>10880029106</v>
          </cell>
        </row>
        <row r="4344">
          <cell r="D4344">
            <v>10880020555</v>
          </cell>
        </row>
        <row r="4345">
          <cell r="D4345">
            <v>10880030598</v>
          </cell>
        </row>
        <row r="4346">
          <cell r="D4346">
            <v>10880027957</v>
          </cell>
        </row>
        <row r="4347">
          <cell r="D4347">
            <v>10880022443</v>
          </cell>
        </row>
        <row r="4348">
          <cell r="D4348">
            <v>10880028881</v>
          </cell>
        </row>
        <row r="4349">
          <cell r="D4349">
            <v>10880028831</v>
          </cell>
        </row>
        <row r="4350">
          <cell r="D4350">
            <v>10880031599</v>
          </cell>
        </row>
        <row r="4351">
          <cell r="D4351">
            <v>10880028929</v>
          </cell>
        </row>
        <row r="4352">
          <cell r="D4352">
            <v>10880020654</v>
          </cell>
        </row>
        <row r="4353">
          <cell r="D4353">
            <v>10880030491</v>
          </cell>
        </row>
        <row r="4354">
          <cell r="D4354">
            <v>10880033692</v>
          </cell>
        </row>
        <row r="4355">
          <cell r="D4355">
            <v>10880033689</v>
          </cell>
        </row>
        <row r="4356">
          <cell r="D4356">
            <v>10880030545</v>
          </cell>
        </row>
        <row r="4357">
          <cell r="D4357">
            <v>10880030545</v>
          </cell>
        </row>
        <row r="4358">
          <cell r="D4358">
            <v>10880031020</v>
          </cell>
        </row>
        <row r="4359">
          <cell r="D4359">
            <v>10880034622</v>
          </cell>
        </row>
        <row r="4360">
          <cell r="D4360">
            <v>10880020222</v>
          </cell>
        </row>
        <row r="4361">
          <cell r="D4361">
            <v>10880033273</v>
          </cell>
        </row>
        <row r="4362">
          <cell r="D4362">
            <v>10880022123</v>
          </cell>
        </row>
        <row r="4363">
          <cell r="D4363">
            <v>10880014775</v>
          </cell>
        </row>
        <row r="4364">
          <cell r="D4364">
            <v>10880033654</v>
          </cell>
        </row>
        <row r="4365">
          <cell r="D4365">
            <v>10880031011</v>
          </cell>
        </row>
        <row r="4366">
          <cell r="D4366">
            <v>10880034619</v>
          </cell>
        </row>
        <row r="4367">
          <cell r="D4367">
            <v>10880021172</v>
          </cell>
        </row>
        <row r="4368">
          <cell r="D4368">
            <v>10880033720</v>
          </cell>
        </row>
        <row r="4369">
          <cell r="D4369">
            <v>10880033695</v>
          </cell>
        </row>
        <row r="4370">
          <cell r="D4370">
            <v>10880030243</v>
          </cell>
        </row>
        <row r="4371">
          <cell r="D4371">
            <v>10880033663</v>
          </cell>
        </row>
        <row r="4372">
          <cell r="D4372">
            <v>10880034251</v>
          </cell>
        </row>
        <row r="4373">
          <cell r="D4373">
            <v>10880034251</v>
          </cell>
        </row>
        <row r="4374">
          <cell r="D4374">
            <v>10880031114</v>
          </cell>
        </row>
        <row r="4375">
          <cell r="D4375">
            <v>10880029053</v>
          </cell>
        </row>
        <row r="4376">
          <cell r="D4376">
            <v>10880020558</v>
          </cell>
        </row>
        <row r="4377">
          <cell r="D4377">
            <v>10880020678</v>
          </cell>
        </row>
        <row r="4378">
          <cell r="D4378">
            <v>10880033785</v>
          </cell>
        </row>
        <row r="4379">
          <cell r="D4379">
            <v>10880021029</v>
          </cell>
        </row>
        <row r="4380">
          <cell r="D4380">
            <v>10880020187</v>
          </cell>
        </row>
        <row r="4381">
          <cell r="D4381">
            <v>10880028469</v>
          </cell>
        </row>
        <row r="4382">
          <cell r="D4382">
            <v>10880020048</v>
          </cell>
        </row>
        <row r="4383">
          <cell r="D4383">
            <v>10880021416</v>
          </cell>
        </row>
        <row r="4384">
          <cell r="D4384">
            <v>10880022123</v>
          </cell>
        </row>
        <row r="4385">
          <cell r="D4385">
            <v>10880030934</v>
          </cell>
        </row>
        <row r="4386">
          <cell r="D4386">
            <v>10880031599</v>
          </cell>
        </row>
        <row r="4387">
          <cell r="D4387">
            <v>10880033976</v>
          </cell>
        </row>
        <row r="4388">
          <cell r="D4388">
            <v>10880033564</v>
          </cell>
        </row>
        <row r="4389">
          <cell r="D4389">
            <v>10880029957</v>
          </cell>
        </row>
        <row r="4390">
          <cell r="D4390">
            <v>10880028832</v>
          </cell>
        </row>
        <row r="4391">
          <cell r="D4391">
            <v>10880021416</v>
          </cell>
        </row>
        <row r="4392">
          <cell r="D4392">
            <v>10880030934</v>
          </cell>
        </row>
        <row r="4393">
          <cell r="D4393">
            <v>10880031185</v>
          </cell>
        </row>
        <row r="4394">
          <cell r="D4394">
            <v>10880020187</v>
          </cell>
        </row>
        <row r="4395">
          <cell r="D4395">
            <v>10880030450</v>
          </cell>
        </row>
        <row r="4396">
          <cell r="D4396">
            <v>10880033560</v>
          </cell>
        </row>
        <row r="4397">
          <cell r="D4397">
            <v>10880033400</v>
          </cell>
        </row>
        <row r="4398">
          <cell r="D4398">
            <v>10880030187</v>
          </cell>
        </row>
        <row r="4399">
          <cell r="D4399">
            <v>10880032646</v>
          </cell>
        </row>
        <row r="4400">
          <cell r="D4400">
            <v>10880033329</v>
          </cell>
        </row>
        <row r="4401">
          <cell r="D4401">
            <v>10880030607</v>
          </cell>
        </row>
        <row r="4402">
          <cell r="D4402">
            <v>10880030607</v>
          </cell>
        </row>
        <row r="4403">
          <cell r="D4403">
            <v>10880030934</v>
          </cell>
        </row>
        <row r="4404">
          <cell r="D4404">
            <v>10880032683</v>
          </cell>
        </row>
        <row r="4405">
          <cell r="D4405">
            <v>10880033722</v>
          </cell>
        </row>
        <row r="4406">
          <cell r="D4406">
            <v>10880021545</v>
          </cell>
        </row>
        <row r="4407">
          <cell r="D4407">
            <v>10880032942</v>
          </cell>
        </row>
        <row r="4408">
          <cell r="D4408">
            <v>10880032885</v>
          </cell>
        </row>
        <row r="4409">
          <cell r="D4409">
            <v>10880033654</v>
          </cell>
        </row>
        <row r="4410">
          <cell r="D4410">
            <v>10880033655</v>
          </cell>
        </row>
        <row r="4411">
          <cell r="D4411">
            <v>10880033325</v>
          </cell>
        </row>
        <row r="4412">
          <cell r="D4412">
            <v>10880030187</v>
          </cell>
        </row>
        <row r="4413">
          <cell r="D4413">
            <v>10880032646</v>
          </cell>
        </row>
        <row r="4414">
          <cell r="D4414">
            <v>10880021767</v>
          </cell>
        </row>
        <row r="4415">
          <cell r="D4415">
            <v>10880030608</v>
          </cell>
        </row>
        <row r="4416">
          <cell r="D4416">
            <v>10880017536</v>
          </cell>
        </row>
        <row r="4417">
          <cell r="D4417">
            <v>10880030738</v>
          </cell>
        </row>
        <row r="4418">
          <cell r="D4418">
            <v>10880022123</v>
          </cell>
        </row>
        <row r="4419">
          <cell r="D4419">
            <v>10880018524</v>
          </cell>
        </row>
        <row r="4420">
          <cell r="D4420">
            <v>10880030545</v>
          </cell>
        </row>
        <row r="4421">
          <cell r="D4421">
            <v>10880030545</v>
          </cell>
        </row>
        <row r="4422">
          <cell r="D4422">
            <v>10880030545</v>
          </cell>
        </row>
        <row r="4423">
          <cell r="D4423">
            <v>10880022443</v>
          </cell>
        </row>
        <row r="4424">
          <cell r="D4424">
            <v>10880018096</v>
          </cell>
        </row>
        <row r="4425">
          <cell r="D4425">
            <v>10880032647</v>
          </cell>
        </row>
        <row r="4426">
          <cell r="D4426">
            <v>10880012825</v>
          </cell>
        </row>
        <row r="4427">
          <cell r="D4427">
            <v>10880031182</v>
          </cell>
        </row>
        <row r="4428">
          <cell r="D4428">
            <v>10880017536</v>
          </cell>
        </row>
        <row r="4429">
          <cell r="D4429">
            <v>10880017516</v>
          </cell>
        </row>
        <row r="4430">
          <cell r="D4430">
            <v>10880031869</v>
          </cell>
        </row>
        <row r="4431">
          <cell r="D4431">
            <v>10880030187</v>
          </cell>
        </row>
        <row r="4432">
          <cell r="D4432">
            <v>10880030976</v>
          </cell>
        </row>
        <row r="4433">
          <cell r="D4433">
            <v>10880030519</v>
          </cell>
        </row>
        <row r="4434">
          <cell r="D4434">
            <v>10880028881</v>
          </cell>
        </row>
        <row r="4435">
          <cell r="D4435">
            <v>10880030742</v>
          </cell>
        </row>
        <row r="4436">
          <cell r="D4436">
            <v>10880030742</v>
          </cell>
        </row>
        <row r="4437">
          <cell r="D4437">
            <v>10880034385</v>
          </cell>
        </row>
        <row r="4438">
          <cell r="D4438">
            <v>10880033654</v>
          </cell>
        </row>
        <row r="4439">
          <cell r="D4439">
            <v>10880012825</v>
          </cell>
        </row>
        <row r="4440">
          <cell r="D4440">
            <v>10880030519</v>
          </cell>
        </row>
        <row r="4441">
          <cell r="D4441">
            <v>10880030519</v>
          </cell>
        </row>
        <row r="4442">
          <cell r="D4442">
            <v>10880033216</v>
          </cell>
        </row>
        <row r="4443">
          <cell r="D4443">
            <v>10880030432</v>
          </cell>
        </row>
        <row r="4444">
          <cell r="D4444">
            <v>10880031020</v>
          </cell>
        </row>
        <row r="4445">
          <cell r="D4445">
            <v>10880031020</v>
          </cell>
        </row>
        <row r="4446">
          <cell r="D4446">
            <v>10880034622</v>
          </cell>
        </row>
        <row r="4447">
          <cell r="D4447">
            <v>10880020681</v>
          </cell>
        </row>
        <row r="4448">
          <cell r="D4448">
            <v>10880030004</v>
          </cell>
        </row>
        <row r="4449">
          <cell r="D4449">
            <v>10880033916</v>
          </cell>
        </row>
        <row r="4450">
          <cell r="D4450">
            <v>10880029079</v>
          </cell>
        </row>
        <row r="4451">
          <cell r="D4451">
            <v>10880012825</v>
          </cell>
        </row>
        <row r="4452">
          <cell r="D4452">
            <v>10880029053</v>
          </cell>
        </row>
        <row r="4453">
          <cell r="D4453">
            <v>10880020681</v>
          </cell>
        </row>
        <row r="4454">
          <cell r="D4454">
            <v>10880018097</v>
          </cell>
        </row>
        <row r="4455">
          <cell r="D4455">
            <v>10880032648</v>
          </cell>
        </row>
        <row r="4456">
          <cell r="D4456">
            <v>10880033523</v>
          </cell>
        </row>
        <row r="4457">
          <cell r="D4457">
            <v>10880031114</v>
          </cell>
        </row>
        <row r="4458">
          <cell r="D4458">
            <v>10880031011</v>
          </cell>
        </row>
        <row r="4459">
          <cell r="D4459">
            <v>10880031760</v>
          </cell>
        </row>
        <row r="4460">
          <cell r="D4460">
            <v>10880034619</v>
          </cell>
        </row>
        <row r="4461">
          <cell r="D4461">
            <v>10880033329</v>
          </cell>
        </row>
        <row r="4462">
          <cell r="D4462">
            <v>10880032648</v>
          </cell>
        </row>
        <row r="4463">
          <cell r="D4463">
            <v>10880030520</v>
          </cell>
        </row>
        <row r="4464">
          <cell r="D4464">
            <v>10880033720</v>
          </cell>
        </row>
        <row r="4465">
          <cell r="D4465">
            <v>10880033720</v>
          </cell>
        </row>
        <row r="4466">
          <cell r="D4466">
            <v>10880029999</v>
          </cell>
        </row>
        <row r="4467">
          <cell r="D4467">
            <v>10880018524</v>
          </cell>
        </row>
        <row r="4468">
          <cell r="D4468">
            <v>10880033654</v>
          </cell>
        </row>
        <row r="4469">
          <cell r="D4469">
            <v>10880031183</v>
          </cell>
        </row>
        <row r="4470">
          <cell r="D4470">
            <v>10880030520</v>
          </cell>
        </row>
        <row r="4471">
          <cell r="D4471">
            <v>10880031560</v>
          </cell>
        </row>
        <row r="4472">
          <cell r="D4472">
            <v>10880028832</v>
          </cell>
        </row>
        <row r="4473">
          <cell r="D4473">
            <v>10880030520</v>
          </cell>
        </row>
        <row r="4474">
          <cell r="D4474">
            <v>10880032322</v>
          </cell>
        </row>
        <row r="4475">
          <cell r="D4475">
            <v>10880022443</v>
          </cell>
        </row>
        <row r="4476">
          <cell r="D4476">
            <v>10880032945</v>
          </cell>
        </row>
        <row r="4477">
          <cell r="D4477">
            <v>10880033785</v>
          </cell>
        </row>
        <row r="4478">
          <cell r="D4478">
            <v>10880034669</v>
          </cell>
        </row>
        <row r="4479">
          <cell r="D4479">
            <v>10880021545</v>
          </cell>
        </row>
        <row r="4480">
          <cell r="D4480">
            <v>10880031304</v>
          </cell>
        </row>
        <row r="4481">
          <cell r="D4481">
            <v>10880033976</v>
          </cell>
        </row>
        <row r="4482">
          <cell r="D4482">
            <v>10880033692</v>
          </cell>
        </row>
        <row r="4483">
          <cell r="D4483">
            <v>10880030920</v>
          </cell>
        </row>
        <row r="4484">
          <cell r="D4484">
            <v>10880033720</v>
          </cell>
        </row>
        <row r="4485">
          <cell r="D4485">
            <v>10880031599</v>
          </cell>
        </row>
        <row r="4486">
          <cell r="D4486">
            <v>10880033301</v>
          </cell>
        </row>
        <row r="4487">
          <cell r="D4487">
            <v>10880030493</v>
          </cell>
        </row>
        <row r="4488">
          <cell r="D4488">
            <v>10880020678</v>
          </cell>
        </row>
        <row r="4489">
          <cell r="D4489">
            <v>10880028832</v>
          </cell>
        </row>
        <row r="4490">
          <cell r="D4490">
            <v>10880029957</v>
          </cell>
        </row>
        <row r="4491">
          <cell r="D4491">
            <v>10880018097</v>
          </cell>
        </row>
        <row r="4492">
          <cell r="D4492">
            <v>10880033217</v>
          </cell>
        </row>
        <row r="4493">
          <cell r="D4493">
            <v>10880033523</v>
          </cell>
        </row>
        <row r="4494">
          <cell r="D4494">
            <v>10880017949</v>
          </cell>
        </row>
        <row r="4495">
          <cell r="D4495">
            <v>10880028345</v>
          </cell>
        </row>
        <row r="4496">
          <cell r="D4496">
            <v>10880032609</v>
          </cell>
        </row>
        <row r="4497">
          <cell r="D4497">
            <v>10880029078</v>
          </cell>
        </row>
        <row r="4498">
          <cell r="D4498">
            <v>10880033251</v>
          </cell>
        </row>
        <row r="4499">
          <cell r="D4499">
            <v>10880030596</v>
          </cell>
        </row>
        <row r="4500">
          <cell r="D4500">
            <v>10880031846</v>
          </cell>
        </row>
        <row r="4501">
          <cell r="D4501">
            <v>10880031139</v>
          </cell>
        </row>
        <row r="4502">
          <cell r="D4502">
            <v>10880033566</v>
          </cell>
        </row>
        <row r="4503">
          <cell r="D4503">
            <v>10880033654</v>
          </cell>
        </row>
        <row r="4504">
          <cell r="D4504">
            <v>10880016525</v>
          </cell>
        </row>
        <row r="4505">
          <cell r="D4505">
            <v>10880014362</v>
          </cell>
        </row>
        <row r="4506">
          <cell r="D4506">
            <v>10880020031</v>
          </cell>
        </row>
        <row r="4507">
          <cell r="D4507">
            <v>10880030320</v>
          </cell>
        </row>
        <row r="4508">
          <cell r="D4508">
            <v>10880031157</v>
          </cell>
        </row>
        <row r="4509">
          <cell r="D4509">
            <v>10880032322</v>
          </cell>
        </row>
        <row r="4510">
          <cell r="D4510">
            <v>10880033745</v>
          </cell>
        </row>
        <row r="4511">
          <cell r="D4511">
            <v>10880031560</v>
          </cell>
        </row>
        <row r="4512">
          <cell r="D4512">
            <v>10880033329</v>
          </cell>
        </row>
        <row r="4513">
          <cell r="D4513">
            <v>10880033564</v>
          </cell>
        </row>
        <row r="4514">
          <cell r="D4514">
            <v>10880033654</v>
          </cell>
        </row>
        <row r="4515">
          <cell r="D4515">
            <v>10880030188</v>
          </cell>
        </row>
        <row r="4516">
          <cell r="D4516">
            <v>10880033456</v>
          </cell>
        </row>
        <row r="4517">
          <cell r="D4517">
            <v>10880030203</v>
          </cell>
        </row>
        <row r="4518">
          <cell r="D4518">
            <v>10880031113</v>
          </cell>
        </row>
        <row r="4519">
          <cell r="D4519">
            <v>10880031114</v>
          </cell>
        </row>
        <row r="4520">
          <cell r="D4520">
            <v>10880033911</v>
          </cell>
        </row>
        <row r="4521">
          <cell r="D4521">
            <v>10880031870</v>
          </cell>
        </row>
        <row r="4522">
          <cell r="D4522">
            <v>10880033279</v>
          </cell>
        </row>
        <row r="4523">
          <cell r="D4523">
            <v>10880020558</v>
          </cell>
        </row>
        <row r="4524">
          <cell r="D4524">
            <v>10880018093</v>
          </cell>
        </row>
        <row r="4525">
          <cell r="D4525">
            <v>10880017525</v>
          </cell>
        </row>
        <row r="4526">
          <cell r="D4526">
            <v>10880029958</v>
          </cell>
        </row>
        <row r="4527">
          <cell r="D4527">
            <v>10880032943</v>
          </cell>
        </row>
        <row r="4528">
          <cell r="D4528">
            <v>10880032942</v>
          </cell>
        </row>
        <row r="4529">
          <cell r="D4529">
            <v>10880030545</v>
          </cell>
        </row>
        <row r="4530">
          <cell r="D4530">
            <v>10880031020</v>
          </cell>
        </row>
        <row r="4531">
          <cell r="D4531">
            <v>10880030545</v>
          </cell>
        </row>
        <row r="4532">
          <cell r="D4532">
            <v>10880031020</v>
          </cell>
        </row>
        <row r="4533">
          <cell r="D4533">
            <v>10880033692</v>
          </cell>
        </row>
        <row r="4534">
          <cell r="D4534">
            <v>10880030976</v>
          </cell>
        </row>
        <row r="4535">
          <cell r="D4535">
            <v>10880031015</v>
          </cell>
        </row>
        <row r="4536">
          <cell r="D4536">
            <v>10880020802</v>
          </cell>
        </row>
        <row r="4537">
          <cell r="D4537">
            <v>10880020558</v>
          </cell>
        </row>
        <row r="4538">
          <cell r="D4538">
            <v>10880033689</v>
          </cell>
        </row>
        <row r="4539">
          <cell r="D4539">
            <v>10880028306</v>
          </cell>
        </row>
        <row r="4540">
          <cell r="D4540">
            <v>10880033654</v>
          </cell>
        </row>
        <row r="4541">
          <cell r="D4541">
            <v>10880029079</v>
          </cell>
        </row>
        <row r="4542">
          <cell r="D4542">
            <v>10880020031</v>
          </cell>
        </row>
        <row r="4543">
          <cell r="D4543">
            <v>10880033301</v>
          </cell>
        </row>
        <row r="4544">
          <cell r="D4544">
            <v>10880017536</v>
          </cell>
        </row>
        <row r="4545">
          <cell r="D4545">
            <v>10880029053</v>
          </cell>
        </row>
        <row r="4546">
          <cell r="D4546">
            <v>10880018096</v>
          </cell>
        </row>
        <row r="4547">
          <cell r="D4547">
            <v>10880022123</v>
          </cell>
        </row>
        <row r="4548">
          <cell r="D4548">
            <v>10880032648</v>
          </cell>
        </row>
        <row r="4549">
          <cell r="D4549">
            <v>10880031011</v>
          </cell>
        </row>
        <row r="4550">
          <cell r="D4550">
            <v>10880031760</v>
          </cell>
        </row>
        <row r="4551">
          <cell r="D4551">
            <v>10880030934</v>
          </cell>
        </row>
        <row r="4552">
          <cell r="D4552">
            <v>10880029053</v>
          </cell>
        </row>
        <row r="4553">
          <cell r="D4553">
            <v>10880021029</v>
          </cell>
        </row>
        <row r="4554">
          <cell r="D4554">
            <v>10880021311</v>
          </cell>
        </row>
        <row r="4555">
          <cell r="D4555">
            <v>10880022123</v>
          </cell>
        </row>
        <row r="4556">
          <cell r="D4556">
            <v>10880033535</v>
          </cell>
        </row>
        <row r="4557">
          <cell r="D4557">
            <v>10880033534</v>
          </cell>
        </row>
        <row r="4558">
          <cell r="D4558">
            <v>10880022444</v>
          </cell>
        </row>
        <row r="4559">
          <cell r="D4559">
            <v>10880022443</v>
          </cell>
        </row>
        <row r="4560">
          <cell r="D4560">
            <v>10880033329</v>
          </cell>
        </row>
        <row r="4561">
          <cell r="D4561">
            <v>10880020681</v>
          </cell>
        </row>
        <row r="4562">
          <cell r="D4562">
            <v>10880031847</v>
          </cell>
        </row>
        <row r="4563">
          <cell r="D4563">
            <v>10880028306</v>
          </cell>
        </row>
        <row r="4564">
          <cell r="D4564">
            <v>10880012825</v>
          </cell>
        </row>
        <row r="4565">
          <cell r="D4565">
            <v>10880030734</v>
          </cell>
        </row>
        <row r="4566">
          <cell r="D4566">
            <v>10880020555</v>
          </cell>
        </row>
        <row r="4567">
          <cell r="D4567">
            <v>10880030520</v>
          </cell>
        </row>
        <row r="4568">
          <cell r="D4568">
            <v>10880030545</v>
          </cell>
        </row>
        <row r="4569">
          <cell r="D4569">
            <v>10880031020</v>
          </cell>
        </row>
        <row r="4570">
          <cell r="D4570">
            <v>10880031856</v>
          </cell>
        </row>
        <row r="4571">
          <cell r="D4571">
            <v>10880028306</v>
          </cell>
        </row>
        <row r="4572">
          <cell r="D4572">
            <v>10880012825</v>
          </cell>
        </row>
        <row r="4573">
          <cell r="D4573">
            <v>10880029055</v>
          </cell>
        </row>
        <row r="4574">
          <cell r="D4574">
            <v>10880020555</v>
          </cell>
        </row>
        <row r="4575">
          <cell r="D4575">
            <v>10880020654</v>
          </cell>
        </row>
        <row r="4576">
          <cell r="D4576">
            <v>10880033720</v>
          </cell>
        </row>
        <row r="4577">
          <cell r="D4577">
            <v>10880021476</v>
          </cell>
        </row>
        <row r="4578">
          <cell r="D4578">
            <v>10880020802</v>
          </cell>
        </row>
        <row r="4579">
          <cell r="D4579">
            <v>10880018097</v>
          </cell>
        </row>
        <row r="4580">
          <cell r="D4580">
            <v>10880021015</v>
          </cell>
        </row>
        <row r="4581">
          <cell r="D4581">
            <v>10880018096</v>
          </cell>
        </row>
        <row r="4582">
          <cell r="D4582">
            <v>10880030188</v>
          </cell>
        </row>
        <row r="4583">
          <cell r="D4583">
            <v>10880033661</v>
          </cell>
        </row>
        <row r="4584">
          <cell r="D4584">
            <v>10880020556</v>
          </cell>
        </row>
        <row r="4585">
          <cell r="D4585">
            <v>10880031113</v>
          </cell>
        </row>
        <row r="4586">
          <cell r="D4586">
            <v>10880032683</v>
          </cell>
        </row>
        <row r="4587">
          <cell r="D4587">
            <v>10880031011</v>
          </cell>
        </row>
        <row r="4588">
          <cell r="D4588">
            <v>10880030432</v>
          </cell>
        </row>
        <row r="4589">
          <cell r="D4589">
            <v>10880028832</v>
          </cell>
        </row>
        <row r="4590">
          <cell r="D4590">
            <v>10880030493</v>
          </cell>
        </row>
        <row r="4591">
          <cell r="D4591">
            <v>10880030596</v>
          </cell>
        </row>
        <row r="4592">
          <cell r="D4592">
            <v>10880031847</v>
          </cell>
        </row>
        <row r="4593">
          <cell r="D4593">
            <v>10880031161</v>
          </cell>
        </row>
        <row r="4594">
          <cell r="D4594">
            <v>10880031161</v>
          </cell>
        </row>
        <row r="4595">
          <cell r="D4595">
            <v>10880031161</v>
          </cell>
        </row>
        <row r="4596">
          <cell r="D4596">
            <v>10880033523</v>
          </cell>
        </row>
        <row r="4597">
          <cell r="D4597">
            <v>10880029053</v>
          </cell>
        </row>
        <row r="4598">
          <cell r="D4598">
            <v>10880030432</v>
          </cell>
        </row>
        <row r="4599">
          <cell r="D4599">
            <v>10880030493</v>
          </cell>
        </row>
        <row r="4600">
          <cell r="D4600">
            <v>10880031856</v>
          </cell>
        </row>
        <row r="4601">
          <cell r="D4601">
            <v>10880031846</v>
          </cell>
        </row>
        <row r="4602">
          <cell r="D4602">
            <v>10880020678</v>
          </cell>
        </row>
        <row r="4603">
          <cell r="D4603">
            <v>10880031157</v>
          </cell>
        </row>
        <row r="4604">
          <cell r="D4604">
            <v>10880033654</v>
          </cell>
        </row>
        <row r="4605">
          <cell r="D4605">
            <v>10880031113</v>
          </cell>
        </row>
        <row r="4606">
          <cell r="D4606">
            <v>10880018097</v>
          </cell>
        </row>
        <row r="4607">
          <cell r="D4607">
            <v>10880020654</v>
          </cell>
        </row>
        <row r="4608">
          <cell r="D4608">
            <v>10880033720</v>
          </cell>
        </row>
        <row r="4609">
          <cell r="D4609">
            <v>10880022044</v>
          </cell>
        </row>
        <row r="4610">
          <cell r="D4610">
            <v>10880022443</v>
          </cell>
        </row>
        <row r="4611">
          <cell r="D4611">
            <v>10880018097</v>
          </cell>
        </row>
        <row r="4612">
          <cell r="D4612">
            <v>10880031157</v>
          </cell>
        </row>
        <row r="4613">
          <cell r="D4613">
            <v>10880030320</v>
          </cell>
        </row>
        <row r="4614">
          <cell r="D4614">
            <v>10880020677</v>
          </cell>
        </row>
        <row r="4615">
          <cell r="D4615">
            <v>10880033301</v>
          </cell>
        </row>
        <row r="4616">
          <cell r="D4616">
            <v>10880028881</v>
          </cell>
        </row>
        <row r="4617">
          <cell r="D4617">
            <v>10880029054</v>
          </cell>
        </row>
        <row r="4618">
          <cell r="D4618">
            <v>10880028306</v>
          </cell>
        </row>
        <row r="4619">
          <cell r="D4619">
            <v>10880033661</v>
          </cell>
        </row>
        <row r="4620">
          <cell r="D4620">
            <v>10880031114</v>
          </cell>
        </row>
        <row r="4621">
          <cell r="D4621">
            <v>10880029053</v>
          </cell>
        </row>
        <row r="4622">
          <cell r="D4622">
            <v>10880031304</v>
          </cell>
        </row>
        <row r="4623">
          <cell r="D4623">
            <v>10880033785</v>
          </cell>
        </row>
        <row r="4624">
          <cell r="D4624">
            <v>10880030545</v>
          </cell>
        </row>
        <row r="4625">
          <cell r="D4625">
            <v>10880031020</v>
          </cell>
        </row>
        <row r="4626">
          <cell r="D4626">
            <v>10880031760</v>
          </cell>
        </row>
        <row r="4627">
          <cell r="D4627">
            <v>10880030545</v>
          </cell>
        </row>
        <row r="4628">
          <cell r="D4628">
            <v>10880034622</v>
          </cell>
        </row>
        <row r="4629">
          <cell r="D4629">
            <v>10880033604</v>
          </cell>
        </row>
        <row r="4630">
          <cell r="D4630">
            <v>10880034619</v>
          </cell>
        </row>
        <row r="4631">
          <cell r="D4631">
            <v>10880020048</v>
          </cell>
        </row>
        <row r="4632">
          <cell r="D4632">
            <v>10880034669</v>
          </cell>
        </row>
        <row r="4633">
          <cell r="D4633">
            <v>10880033692</v>
          </cell>
        </row>
        <row r="4634">
          <cell r="D4634">
            <v>10880020555</v>
          </cell>
        </row>
        <row r="4635">
          <cell r="D4635">
            <v>10880030545</v>
          </cell>
        </row>
        <row r="4636">
          <cell r="D4636">
            <v>10880031020</v>
          </cell>
        </row>
        <row r="4637">
          <cell r="D4637">
            <v>10880030545</v>
          </cell>
        </row>
        <row r="4638">
          <cell r="D4638">
            <v>10880031020</v>
          </cell>
        </row>
        <row r="4639">
          <cell r="D4639">
            <v>10880030545</v>
          </cell>
        </row>
        <row r="4640">
          <cell r="D4640">
            <v>10880034622</v>
          </cell>
        </row>
        <row r="4641">
          <cell r="D4641">
            <v>10880031011</v>
          </cell>
        </row>
        <row r="4642">
          <cell r="D4642">
            <v>10880031760</v>
          </cell>
        </row>
        <row r="4643">
          <cell r="D4643">
            <v>10880034621</v>
          </cell>
        </row>
        <row r="4644">
          <cell r="D4644">
            <v>10880031560</v>
          </cell>
        </row>
        <row r="4645">
          <cell r="D4645">
            <v>10880030608</v>
          </cell>
        </row>
        <row r="4646">
          <cell r="D4646">
            <v>10880031138</v>
          </cell>
        </row>
        <row r="4647">
          <cell r="D4647">
            <v>10880018097</v>
          </cell>
        </row>
        <row r="4648">
          <cell r="D4648">
            <v>10880020940</v>
          </cell>
        </row>
        <row r="4649">
          <cell r="D4649">
            <v>10880019682</v>
          </cell>
        </row>
        <row r="4650">
          <cell r="D4650">
            <v>10880021029</v>
          </cell>
        </row>
        <row r="4651">
          <cell r="D4651">
            <v>10880029053</v>
          </cell>
        </row>
        <row r="4652">
          <cell r="D4652">
            <v>10880031114</v>
          </cell>
        </row>
        <row r="4653">
          <cell r="D4653">
            <v>10880017525</v>
          </cell>
        </row>
        <row r="4654">
          <cell r="D4654">
            <v>10880033325</v>
          </cell>
        </row>
        <row r="4655">
          <cell r="D4655">
            <v>10880031560</v>
          </cell>
        </row>
        <row r="4656">
          <cell r="D4656">
            <v>10880030493</v>
          </cell>
        </row>
        <row r="4657">
          <cell r="D4657">
            <v>10880030920</v>
          </cell>
        </row>
        <row r="4658">
          <cell r="D4658">
            <v>10880018096</v>
          </cell>
        </row>
        <row r="4659">
          <cell r="D4659">
            <v>10880022442</v>
          </cell>
        </row>
        <row r="4660">
          <cell r="D4660">
            <v>10880020031</v>
          </cell>
        </row>
        <row r="4661">
          <cell r="D4661">
            <v>10880030203</v>
          </cell>
        </row>
        <row r="4662">
          <cell r="D4662">
            <v>10880030004</v>
          </cell>
        </row>
        <row r="4663">
          <cell r="D4663">
            <v>10880017516</v>
          </cell>
        </row>
        <row r="4664">
          <cell r="D4664">
            <v>10880032945</v>
          </cell>
        </row>
        <row r="4665">
          <cell r="D4665">
            <v>10880020558</v>
          </cell>
        </row>
        <row r="4666">
          <cell r="D4666">
            <v>10880033329</v>
          </cell>
        </row>
        <row r="4667">
          <cell r="D4667">
            <v>10880030607</v>
          </cell>
        </row>
        <row r="4668">
          <cell r="D4668">
            <v>10880020637</v>
          </cell>
        </row>
        <row r="4669">
          <cell r="D4669">
            <v>10880028831</v>
          </cell>
        </row>
        <row r="4670">
          <cell r="D4670">
            <v>10880028307</v>
          </cell>
        </row>
        <row r="4671">
          <cell r="D4671">
            <v>10880033692</v>
          </cell>
        </row>
        <row r="4672">
          <cell r="D4672">
            <v>10880031015</v>
          </cell>
        </row>
        <row r="4673">
          <cell r="D4673">
            <v>10880033720</v>
          </cell>
        </row>
        <row r="4674">
          <cell r="D4674">
            <v>10880032647</v>
          </cell>
        </row>
        <row r="4675">
          <cell r="D4675">
            <v>10880030432</v>
          </cell>
        </row>
        <row r="4676">
          <cell r="D4676">
            <v>10880019434</v>
          </cell>
        </row>
        <row r="4677">
          <cell r="D4677">
            <v>10880019434</v>
          </cell>
        </row>
        <row r="4678">
          <cell r="D4678">
            <v>10880033654</v>
          </cell>
        </row>
        <row r="4679">
          <cell r="D4679">
            <v>10880033692</v>
          </cell>
        </row>
        <row r="4680">
          <cell r="D4680">
            <v>10880034932</v>
          </cell>
        </row>
        <row r="4681">
          <cell r="D4681">
            <v>10880029958</v>
          </cell>
        </row>
        <row r="4682">
          <cell r="D4682">
            <v>10880032683</v>
          </cell>
        </row>
        <row r="4683">
          <cell r="D4683">
            <v>10880033329</v>
          </cell>
        </row>
        <row r="4684">
          <cell r="D4684">
            <v>10880030976</v>
          </cell>
        </row>
        <row r="4685">
          <cell r="D4685">
            <v>10880029957</v>
          </cell>
        </row>
        <row r="4686">
          <cell r="D4686">
            <v>10880020048</v>
          </cell>
        </row>
        <row r="4687">
          <cell r="D4687">
            <v>10880030608</v>
          </cell>
        </row>
        <row r="4688">
          <cell r="D4688">
            <v>10880030920</v>
          </cell>
        </row>
        <row r="4689">
          <cell r="D4689">
            <v>10880035119</v>
          </cell>
        </row>
        <row r="4690">
          <cell r="D4690">
            <v>10880030519</v>
          </cell>
        </row>
        <row r="4691">
          <cell r="D4691">
            <v>10880030608</v>
          </cell>
        </row>
        <row r="4692">
          <cell r="D4692">
            <v>10880020678</v>
          </cell>
        </row>
        <row r="4693">
          <cell r="D4693">
            <v>10880028929</v>
          </cell>
        </row>
        <row r="4694">
          <cell r="D4694">
            <v>10880032943</v>
          </cell>
        </row>
        <row r="4695">
          <cell r="D4695">
            <v>10880031072</v>
          </cell>
        </row>
        <row r="4696">
          <cell r="D4696">
            <v>10880033654</v>
          </cell>
        </row>
        <row r="4697">
          <cell r="D4697">
            <v>10880031560</v>
          </cell>
        </row>
        <row r="4698">
          <cell r="D4698">
            <v>10880032648</v>
          </cell>
        </row>
        <row r="4699">
          <cell r="D4699">
            <v>10880020802</v>
          </cell>
        </row>
        <row r="4700">
          <cell r="D4700">
            <v>10880021269</v>
          </cell>
        </row>
        <row r="4701">
          <cell r="D4701">
            <v>10880031097</v>
          </cell>
        </row>
        <row r="4702">
          <cell r="D4702">
            <v>10880031871</v>
          </cell>
        </row>
        <row r="4703">
          <cell r="D4703">
            <v>10880020681</v>
          </cell>
        </row>
        <row r="4704">
          <cell r="D4704">
            <v>10880033523</v>
          </cell>
        </row>
        <row r="4705">
          <cell r="D4705">
            <v>10880035119</v>
          </cell>
        </row>
        <row r="4706">
          <cell r="D4706">
            <v>10880017525</v>
          </cell>
        </row>
        <row r="4707">
          <cell r="D4707">
            <v>10880033785</v>
          </cell>
        </row>
        <row r="4708">
          <cell r="D4708">
            <v>10880022123</v>
          </cell>
        </row>
        <row r="4709">
          <cell r="D4709">
            <v>10880033654</v>
          </cell>
        </row>
        <row r="4710">
          <cell r="D4710">
            <v>10880030432</v>
          </cell>
        </row>
        <row r="4711">
          <cell r="D4711">
            <v>10880031560</v>
          </cell>
        </row>
        <row r="4712">
          <cell r="D4712">
            <v>10880030545</v>
          </cell>
        </row>
        <row r="4713">
          <cell r="D4713">
            <v>10880030545</v>
          </cell>
        </row>
        <row r="4714">
          <cell r="D4714">
            <v>10880030450</v>
          </cell>
        </row>
        <row r="4715">
          <cell r="D4715">
            <v>10880030520</v>
          </cell>
        </row>
        <row r="4716">
          <cell r="D4716">
            <v>10880033312</v>
          </cell>
        </row>
        <row r="4717">
          <cell r="D4717">
            <v>10880033560</v>
          </cell>
        </row>
        <row r="4718">
          <cell r="D4718">
            <v>10880030188</v>
          </cell>
        </row>
        <row r="4719">
          <cell r="D4719">
            <v>10880033534</v>
          </cell>
        </row>
        <row r="4720">
          <cell r="D4720">
            <v>10880020208</v>
          </cell>
        </row>
        <row r="4721">
          <cell r="D4721">
            <v>10880028929</v>
          </cell>
        </row>
        <row r="4722">
          <cell r="D4722">
            <v>10880033301</v>
          </cell>
        </row>
        <row r="4723">
          <cell r="D4723">
            <v>10880033689</v>
          </cell>
        </row>
        <row r="4724">
          <cell r="D4724">
            <v>10880033311</v>
          </cell>
        </row>
        <row r="4725">
          <cell r="D4725">
            <v>10880017948</v>
          </cell>
        </row>
        <row r="4726">
          <cell r="D4726">
            <v>10880033654</v>
          </cell>
        </row>
        <row r="4727">
          <cell r="D4727">
            <v>10880033654</v>
          </cell>
        </row>
        <row r="4728">
          <cell r="D4728">
            <v>10880031020</v>
          </cell>
        </row>
        <row r="4729">
          <cell r="D4729">
            <v>10880031020</v>
          </cell>
        </row>
        <row r="4730">
          <cell r="D4730">
            <v>10880031011</v>
          </cell>
        </row>
        <row r="4731">
          <cell r="D4731">
            <v>10880034523</v>
          </cell>
        </row>
        <row r="4732">
          <cell r="D4732">
            <v>10880029957</v>
          </cell>
        </row>
        <row r="4733">
          <cell r="D4733">
            <v>10880033564</v>
          </cell>
        </row>
        <row r="4734">
          <cell r="D4734">
            <v>10880029054</v>
          </cell>
        </row>
        <row r="4735">
          <cell r="D4735">
            <v>10880029055</v>
          </cell>
        </row>
        <row r="4736">
          <cell r="D4736">
            <v>10880021289</v>
          </cell>
        </row>
        <row r="4737">
          <cell r="D4737">
            <v>10880020209</v>
          </cell>
        </row>
        <row r="4738">
          <cell r="D4738">
            <v>10880018093</v>
          </cell>
        </row>
        <row r="4739">
          <cell r="D4739">
            <v>10880033692</v>
          </cell>
        </row>
        <row r="4740">
          <cell r="D4740">
            <v>10880017524</v>
          </cell>
        </row>
        <row r="4741">
          <cell r="D4741">
            <v>10880022044</v>
          </cell>
        </row>
        <row r="4742">
          <cell r="D4742">
            <v>10880033368</v>
          </cell>
        </row>
        <row r="4743">
          <cell r="D4743">
            <v>10880033456</v>
          </cell>
        </row>
        <row r="4744">
          <cell r="D4744">
            <v>10880029958</v>
          </cell>
        </row>
        <row r="4745">
          <cell r="D4745">
            <v>10880030432</v>
          </cell>
        </row>
        <row r="4746">
          <cell r="D4746">
            <v>10880034957</v>
          </cell>
        </row>
        <row r="4747">
          <cell r="D4747">
            <v>10880033585</v>
          </cell>
        </row>
        <row r="4748">
          <cell r="D4748">
            <v>10880028881</v>
          </cell>
        </row>
        <row r="4749">
          <cell r="D4749">
            <v>10880020556</v>
          </cell>
        </row>
        <row r="4750">
          <cell r="D4750">
            <v>10880033605</v>
          </cell>
        </row>
        <row r="4751">
          <cell r="D4751">
            <v>10880031139</v>
          </cell>
        </row>
        <row r="4752">
          <cell r="D4752">
            <v>10880032885</v>
          </cell>
        </row>
        <row r="4753">
          <cell r="D4753">
            <v>10880021015</v>
          </cell>
        </row>
        <row r="4754">
          <cell r="D4754">
            <v>10880033720</v>
          </cell>
        </row>
        <row r="4755">
          <cell r="D4755">
            <v>10880032937</v>
          </cell>
        </row>
        <row r="4756">
          <cell r="D4756">
            <v>10880030432</v>
          </cell>
        </row>
        <row r="4757">
          <cell r="D4757">
            <v>10880033329</v>
          </cell>
        </row>
        <row r="4758">
          <cell r="D4758">
            <v>10880034195</v>
          </cell>
        </row>
        <row r="4759">
          <cell r="D4759">
            <v>10880020192</v>
          </cell>
        </row>
        <row r="4760">
          <cell r="D4760">
            <v>10880027957</v>
          </cell>
        </row>
        <row r="4761">
          <cell r="D4761">
            <v>10880028306</v>
          </cell>
        </row>
        <row r="4762">
          <cell r="D4762">
            <v>10880033523</v>
          </cell>
        </row>
        <row r="4763">
          <cell r="D4763">
            <v>10880017531</v>
          </cell>
        </row>
        <row r="4764">
          <cell r="D4764">
            <v>10880020555</v>
          </cell>
        </row>
        <row r="4765">
          <cell r="D4765">
            <v>10880033311</v>
          </cell>
        </row>
        <row r="4766">
          <cell r="D4766">
            <v>10880032933</v>
          </cell>
        </row>
        <row r="4767">
          <cell r="D4767">
            <v>10880034417</v>
          </cell>
        </row>
        <row r="4768">
          <cell r="D4768">
            <v>10880031164</v>
          </cell>
        </row>
        <row r="4769">
          <cell r="D4769">
            <v>10880031072</v>
          </cell>
        </row>
        <row r="4770">
          <cell r="D4770">
            <v>10880031096</v>
          </cell>
        </row>
        <row r="4771">
          <cell r="D4771">
            <v>10880033722</v>
          </cell>
        </row>
        <row r="4772">
          <cell r="D4772">
            <v>10880022444</v>
          </cell>
        </row>
        <row r="4773">
          <cell r="D4773">
            <v>10880030608</v>
          </cell>
        </row>
        <row r="4774">
          <cell r="D4774">
            <v>10880034669</v>
          </cell>
        </row>
        <row r="4775">
          <cell r="D4775">
            <v>10880033535</v>
          </cell>
        </row>
        <row r="4776">
          <cell r="D4776">
            <v>10880028306</v>
          </cell>
        </row>
        <row r="4777">
          <cell r="D4777">
            <v>10880022123</v>
          </cell>
        </row>
        <row r="4778">
          <cell r="D4778">
            <v>10880033911</v>
          </cell>
        </row>
        <row r="4779">
          <cell r="D4779">
            <v>10880031560</v>
          </cell>
        </row>
        <row r="4780">
          <cell r="D4780">
            <v>10880031525</v>
          </cell>
        </row>
        <row r="4781">
          <cell r="D4781">
            <v>10880028832</v>
          </cell>
        </row>
        <row r="4782">
          <cell r="D4782">
            <v>10880030493</v>
          </cell>
        </row>
        <row r="4783">
          <cell r="D4783">
            <v>10880030608</v>
          </cell>
        </row>
        <row r="4784">
          <cell r="D4784">
            <v>10880030188</v>
          </cell>
        </row>
        <row r="4785">
          <cell r="D4785">
            <v>10880021545</v>
          </cell>
        </row>
        <row r="4786">
          <cell r="D4786">
            <v>10880031114</v>
          </cell>
        </row>
        <row r="4787">
          <cell r="D4787">
            <v>10880033785</v>
          </cell>
        </row>
        <row r="4788">
          <cell r="D4788">
            <v>10880033311</v>
          </cell>
        </row>
        <row r="4789">
          <cell r="D4789">
            <v>10880028834</v>
          </cell>
        </row>
        <row r="4790">
          <cell r="D4790">
            <v>10880029078</v>
          </cell>
        </row>
        <row r="4791">
          <cell r="D4791">
            <v>10880014812</v>
          </cell>
        </row>
        <row r="4792">
          <cell r="D4792">
            <v>10880020557</v>
          </cell>
        </row>
        <row r="4793">
          <cell r="D4793">
            <v>10880031018</v>
          </cell>
        </row>
        <row r="4794">
          <cell r="D4794">
            <v>10880030920</v>
          </cell>
        </row>
        <row r="4795">
          <cell r="D4795">
            <v>10880018097</v>
          </cell>
        </row>
        <row r="4796">
          <cell r="D4796">
            <v>10880021545</v>
          </cell>
        </row>
        <row r="4797">
          <cell r="D4797">
            <v>10880018093</v>
          </cell>
        </row>
        <row r="4798">
          <cell r="D4798">
            <v>10880033301</v>
          </cell>
        </row>
        <row r="4799">
          <cell r="D4799">
            <v>10880020654</v>
          </cell>
        </row>
        <row r="4800">
          <cell r="D4800">
            <v>10880033721</v>
          </cell>
        </row>
        <row r="4801">
          <cell r="D4801">
            <v>10880033785</v>
          </cell>
        </row>
        <row r="4802">
          <cell r="D4802">
            <v>10880021767</v>
          </cell>
        </row>
        <row r="4803">
          <cell r="D4803">
            <v>10880032573</v>
          </cell>
        </row>
        <row r="4804">
          <cell r="D4804">
            <v>10880022443</v>
          </cell>
        </row>
        <row r="4805">
          <cell r="D4805">
            <v>10880030493</v>
          </cell>
        </row>
        <row r="4806">
          <cell r="D4806">
            <v>10880020802</v>
          </cell>
        </row>
        <row r="4807">
          <cell r="D4807">
            <v>10880028469</v>
          </cell>
        </row>
        <row r="4808">
          <cell r="D4808">
            <v>10880033564</v>
          </cell>
        </row>
        <row r="4809">
          <cell r="D4809">
            <v>10880033564</v>
          </cell>
        </row>
        <row r="4810">
          <cell r="D4810">
            <v>10880018096</v>
          </cell>
        </row>
        <row r="4811">
          <cell r="D4811">
            <v>10880033301</v>
          </cell>
        </row>
        <row r="4812">
          <cell r="D4812">
            <v>10880033654</v>
          </cell>
        </row>
        <row r="4813">
          <cell r="D4813">
            <v>10880033325</v>
          </cell>
        </row>
        <row r="4814">
          <cell r="D4814">
            <v>10880020637</v>
          </cell>
        </row>
        <row r="4815">
          <cell r="D4815">
            <v>10880031072</v>
          </cell>
        </row>
        <row r="4816">
          <cell r="D4816">
            <v>10880031072</v>
          </cell>
        </row>
        <row r="4817">
          <cell r="D4817">
            <v>10880018524</v>
          </cell>
        </row>
        <row r="4818">
          <cell r="D4818">
            <v>10880030432</v>
          </cell>
        </row>
        <row r="4819">
          <cell r="D4819">
            <v>10880030178</v>
          </cell>
        </row>
        <row r="4820">
          <cell r="D4820">
            <v>10880034957</v>
          </cell>
        </row>
        <row r="4821">
          <cell r="D4821">
            <v>10880034575</v>
          </cell>
        </row>
        <row r="4822">
          <cell r="D4822">
            <v>10880034576</v>
          </cell>
        </row>
        <row r="4823">
          <cell r="D4823">
            <v>10880033692</v>
          </cell>
        </row>
        <row r="4824">
          <cell r="D4824">
            <v>10880020224</v>
          </cell>
        </row>
        <row r="4825">
          <cell r="D4825">
            <v>10880020225</v>
          </cell>
        </row>
        <row r="4826">
          <cell r="D4826">
            <v>10880033584</v>
          </cell>
        </row>
        <row r="4827">
          <cell r="D4827">
            <v>10880034142</v>
          </cell>
        </row>
        <row r="4828">
          <cell r="D4828">
            <v>10880033311</v>
          </cell>
        </row>
        <row r="4829">
          <cell r="D4829">
            <v>10880030243</v>
          </cell>
        </row>
        <row r="4830">
          <cell r="D4830">
            <v>10880034518</v>
          </cell>
        </row>
        <row r="4831">
          <cell r="D4831">
            <v>10880031096</v>
          </cell>
        </row>
        <row r="4832">
          <cell r="D4832">
            <v>10880030545</v>
          </cell>
        </row>
        <row r="4833">
          <cell r="D4833">
            <v>10880034622</v>
          </cell>
        </row>
        <row r="4834">
          <cell r="D4834">
            <v>10880032708</v>
          </cell>
        </row>
        <row r="4835">
          <cell r="D4835">
            <v>10880032708</v>
          </cell>
        </row>
        <row r="4836">
          <cell r="D4836">
            <v>10880032692</v>
          </cell>
        </row>
        <row r="4837">
          <cell r="D4837">
            <v>10880032694</v>
          </cell>
        </row>
        <row r="4838">
          <cell r="D4838">
            <v>10880034621</v>
          </cell>
        </row>
        <row r="4839">
          <cell r="D4839">
            <v>10880031760</v>
          </cell>
        </row>
        <row r="4840">
          <cell r="D4840">
            <v>10880032697</v>
          </cell>
        </row>
        <row r="4841">
          <cell r="D4841">
            <v>10880032698</v>
          </cell>
        </row>
        <row r="4842">
          <cell r="D4842">
            <v>10880030519</v>
          </cell>
        </row>
        <row r="4843">
          <cell r="D4843">
            <v>10880019773</v>
          </cell>
        </row>
        <row r="4844">
          <cell r="D4844">
            <v>10880030596</v>
          </cell>
        </row>
        <row r="4845">
          <cell r="D4845">
            <v>10880031847</v>
          </cell>
        </row>
        <row r="4846">
          <cell r="D4846">
            <v>10880031186</v>
          </cell>
        </row>
        <row r="4847">
          <cell r="D4847">
            <v>10880020802</v>
          </cell>
        </row>
        <row r="4848">
          <cell r="D4848">
            <v>10880034669</v>
          </cell>
        </row>
        <row r="4849">
          <cell r="D4849">
            <v>10880030491</v>
          </cell>
        </row>
        <row r="4850">
          <cell r="D4850">
            <v>10880030491</v>
          </cell>
        </row>
        <row r="4851">
          <cell r="D4851">
            <v>10880018097</v>
          </cell>
        </row>
        <row r="4852">
          <cell r="D4852">
            <v>10880033368</v>
          </cell>
        </row>
        <row r="4853">
          <cell r="D4853">
            <v>10880035223</v>
          </cell>
        </row>
        <row r="4854">
          <cell r="D4854">
            <v>10880031304</v>
          </cell>
        </row>
        <row r="4855">
          <cell r="D4855">
            <v>10880030607</v>
          </cell>
        </row>
        <row r="4856">
          <cell r="D4856">
            <v>10880033720</v>
          </cell>
        </row>
        <row r="4857">
          <cell r="D4857">
            <v>10880033916</v>
          </cell>
        </row>
        <row r="4858">
          <cell r="D4858">
            <v>10880029999</v>
          </cell>
        </row>
        <row r="4859">
          <cell r="D4859">
            <v>10880022044</v>
          </cell>
        </row>
        <row r="4860">
          <cell r="D4860">
            <v>10880033329</v>
          </cell>
        </row>
        <row r="4861">
          <cell r="D4861">
            <v>10880020555</v>
          </cell>
        </row>
        <row r="4862">
          <cell r="D4862">
            <v>10880030920</v>
          </cell>
        </row>
        <row r="4863">
          <cell r="D4863">
            <v>10880033301</v>
          </cell>
        </row>
        <row r="4864">
          <cell r="D4864">
            <v>10880029958</v>
          </cell>
        </row>
        <row r="4865">
          <cell r="D4865">
            <v>10880033655</v>
          </cell>
        </row>
        <row r="4866">
          <cell r="D4866">
            <v>10880031440</v>
          </cell>
        </row>
        <row r="4867">
          <cell r="D4867">
            <v>10880031560</v>
          </cell>
        </row>
        <row r="4868">
          <cell r="D4868">
            <v>10880033280</v>
          </cell>
        </row>
        <row r="4869">
          <cell r="D4869">
            <v>10880033279</v>
          </cell>
        </row>
        <row r="4870">
          <cell r="D4870">
            <v>10880020802</v>
          </cell>
        </row>
        <row r="4871">
          <cell r="D4871">
            <v>10880030433</v>
          </cell>
        </row>
        <row r="4872">
          <cell r="D4872">
            <v>10880030920</v>
          </cell>
        </row>
        <row r="4873">
          <cell r="D4873">
            <v>10880033273</v>
          </cell>
        </row>
        <row r="4874">
          <cell r="D4874">
            <v>10880028929</v>
          </cell>
        </row>
        <row r="4875">
          <cell r="D4875">
            <v>10880033523</v>
          </cell>
        </row>
        <row r="4876">
          <cell r="D4876">
            <v>10880028306</v>
          </cell>
        </row>
        <row r="4877">
          <cell r="D4877">
            <v>10880028307</v>
          </cell>
        </row>
        <row r="4878">
          <cell r="D4878">
            <v>10880028834</v>
          </cell>
        </row>
        <row r="4879">
          <cell r="D4879">
            <v>10880030976</v>
          </cell>
        </row>
        <row r="4880">
          <cell r="D4880">
            <v>10880029957</v>
          </cell>
        </row>
        <row r="4881">
          <cell r="D4881">
            <v>10880029957</v>
          </cell>
        </row>
        <row r="4882">
          <cell r="D4882">
            <v>10880017527</v>
          </cell>
        </row>
        <row r="4883">
          <cell r="D4883">
            <v>10880017516</v>
          </cell>
        </row>
        <row r="4884">
          <cell r="D4884">
            <v>10880017536</v>
          </cell>
        </row>
        <row r="4885">
          <cell r="D4885">
            <v>10880034251</v>
          </cell>
        </row>
        <row r="4886">
          <cell r="D4886">
            <v>10880030004</v>
          </cell>
        </row>
        <row r="4887">
          <cell r="D4887">
            <v>10880028306</v>
          </cell>
        </row>
        <row r="4888">
          <cell r="D4888">
            <v>10880033602</v>
          </cell>
        </row>
        <row r="4889">
          <cell r="D4889">
            <v>10880029053</v>
          </cell>
        </row>
        <row r="4890">
          <cell r="D4890">
            <v>10880018524</v>
          </cell>
        </row>
        <row r="4891">
          <cell r="D4891">
            <v>10880032945</v>
          </cell>
        </row>
        <row r="4892">
          <cell r="D4892">
            <v>10880031560</v>
          </cell>
        </row>
        <row r="4893">
          <cell r="D4893">
            <v>10880030431</v>
          </cell>
        </row>
        <row r="4894">
          <cell r="D4894">
            <v>10880020048</v>
          </cell>
        </row>
        <row r="4895">
          <cell r="D4895">
            <v>10880030493</v>
          </cell>
        </row>
        <row r="4896">
          <cell r="D4896">
            <v>10880020802</v>
          </cell>
        </row>
        <row r="4897">
          <cell r="D4897">
            <v>10880020654</v>
          </cell>
        </row>
        <row r="4898">
          <cell r="D4898">
            <v>10880018097</v>
          </cell>
        </row>
        <row r="4899">
          <cell r="D4899">
            <v>10880031185</v>
          </cell>
        </row>
        <row r="4900">
          <cell r="D4900">
            <v>10880021545</v>
          </cell>
        </row>
        <row r="4901">
          <cell r="D4901">
            <v>10880028929</v>
          </cell>
        </row>
        <row r="4902">
          <cell r="D4902">
            <v>10880033301</v>
          </cell>
        </row>
        <row r="4903">
          <cell r="D4903">
            <v>10880021029</v>
          </cell>
        </row>
        <row r="4904">
          <cell r="D4904">
            <v>10880021029</v>
          </cell>
        </row>
        <row r="4905">
          <cell r="D4905">
            <v>10880032937</v>
          </cell>
        </row>
        <row r="4906">
          <cell r="D4906">
            <v>10880032942</v>
          </cell>
        </row>
        <row r="4907">
          <cell r="D4907">
            <v>10880022123</v>
          </cell>
        </row>
        <row r="4908">
          <cell r="D4908">
            <v>10880033654</v>
          </cell>
        </row>
        <row r="4909">
          <cell r="D4909">
            <v>10880031600</v>
          </cell>
        </row>
        <row r="4910">
          <cell r="D4910">
            <v>10880030545</v>
          </cell>
        </row>
        <row r="4911">
          <cell r="D4911">
            <v>10880030545</v>
          </cell>
        </row>
        <row r="4912">
          <cell r="D4912">
            <v>10880034142</v>
          </cell>
        </row>
        <row r="4913">
          <cell r="D4913">
            <v>10880032774</v>
          </cell>
        </row>
        <row r="4914">
          <cell r="D4914">
            <v>10880033585</v>
          </cell>
        </row>
        <row r="4915">
          <cell r="D4915">
            <v>10880030187</v>
          </cell>
        </row>
        <row r="4916">
          <cell r="D4916">
            <v>10880020802</v>
          </cell>
        </row>
        <row r="4917">
          <cell r="D4917">
            <v>10880021476</v>
          </cell>
        </row>
        <row r="4918">
          <cell r="D4918">
            <v>10880034564</v>
          </cell>
        </row>
        <row r="4919">
          <cell r="D4919">
            <v>10880033605</v>
          </cell>
        </row>
        <row r="4920">
          <cell r="D4920">
            <v>10880020557</v>
          </cell>
        </row>
        <row r="4921">
          <cell r="D4921">
            <v>10880022044</v>
          </cell>
        </row>
        <row r="4922">
          <cell r="D4922">
            <v>10880031113</v>
          </cell>
        </row>
        <row r="4923">
          <cell r="D4923">
            <v>10880033692</v>
          </cell>
        </row>
        <row r="4924">
          <cell r="D4924">
            <v>10880033689</v>
          </cell>
        </row>
        <row r="4925">
          <cell r="D4925">
            <v>10880033690</v>
          </cell>
        </row>
        <row r="4926">
          <cell r="D4926">
            <v>10880034576</v>
          </cell>
        </row>
        <row r="4927">
          <cell r="D4927">
            <v>10880034417</v>
          </cell>
        </row>
        <row r="4928">
          <cell r="D4928">
            <v>10880033654</v>
          </cell>
        </row>
        <row r="4929">
          <cell r="D4929">
            <v>10880031020</v>
          </cell>
        </row>
        <row r="4930">
          <cell r="D4930">
            <v>10880031020</v>
          </cell>
        </row>
        <row r="4931">
          <cell r="D4931">
            <v>10880030545</v>
          </cell>
        </row>
        <row r="4932">
          <cell r="D4932">
            <v>10880030550</v>
          </cell>
        </row>
        <row r="4933">
          <cell r="D4933">
            <v>10880022443</v>
          </cell>
        </row>
        <row r="4934">
          <cell r="D4934">
            <v>10880021174</v>
          </cell>
        </row>
        <row r="4935">
          <cell r="D4935">
            <v>10880031846</v>
          </cell>
        </row>
        <row r="4936">
          <cell r="D4936">
            <v>10880030596</v>
          </cell>
        </row>
        <row r="4937">
          <cell r="D4937">
            <v>10880012825</v>
          </cell>
        </row>
        <row r="4938">
          <cell r="D4938">
            <v>10880033584</v>
          </cell>
        </row>
        <row r="4939">
          <cell r="D4939">
            <v>10880034518</v>
          </cell>
        </row>
        <row r="4940">
          <cell r="D4940">
            <v>10880031570</v>
          </cell>
        </row>
        <row r="4941">
          <cell r="D4941">
            <v>10880030520</v>
          </cell>
        </row>
        <row r="4942">
          <cell r="D4942">
            <v>10880033654</v>
          </cell>
        </row>
        <row r="4943">
          <cell r="D4943">
            <v>10880031011</v>
          </cell>
        </row>
        <row r="4944">
          <cell r="D4944">
            <v>10880031760</v>
          </cell>
        </row>
        <row r="4945">
          <cell r="D4945">
            <v>10880030551</v>
          </cell>
        </row>
        <row r="4946">
          <cell r="D4946">
            <v>10880033722</v>
          </cell>
        </row>
        <row r="4947">
          <cell r="D4947">
            <v>10880030608</v>
          </cell>
        </row>
        <row r="4948">
          <cell r="D4948">
            <v>10880022442</v>
          </cell>
        </row>
        <row r="4949">
          <cell r="D4949">
            <v>10880030734</v>
          </cell>
        </row>
        <row r="4950">
          <cell r="D4950">
            <v>10880031135</v>
          </cell>
        </row>
        <row r="4951">
          <cell r="D4951">
            <v>10880030742</v>
          </cell>
        </row>
        <row r="4952">
          <cell r="D4952">
            <v>10880031182</v>
          </cell>
        </row>
        <row r="4953">
          <cell r="D4953">
            <v>10880021318</v>
          </cell>
        </row>
        <row r="4954">
          <cell r="D4954">
            <v>10880021311</v>
          </cell>
        </row>
        <row r="4955">
          <cell r="D4955">
            <v>10880034575</v>
          </cell>
        </row>
        <row r="4956">
          <cell r="D4956">
            <v>10880032933</v>
          </cell>
        </row>
        <row r="4957">
          <cell r="D4957">
            <v>10880028345</v>
          </cell>
        </row>
        <row r="4958">
          <cell r="D4958">
            <v>10880030519</v>
          </cell>
        </row>
        <row r="4959">
          <cell r="D4959">
            <v>10880013146</v>
          </cell>
        </row>
        <row r="4960">
          <cell r="D4960">
            <v>10880033279</v>
          </cell>
        </row>
        <row r="4961">
          <cell r="D4961">
            <v>10880030976</v>
          </cell>
        </row>
        <row r="4962">
          <cell r="D4962">
            <v>10880034957</v>
          </cell>
        </row>
        <row r="4963">
          <cell r="D4963">
            <v>10880033137</v>
          </cell>
        </row>
        <row r="4964">
          <cell r="D4964">
            <v>10880030608</v>
          </cell>
        </row>
        <row r="4965">
          <cell r="D4965">
            <v>10880031138</v>
          </cell>
        </row>
        <row r="4966">
          <cell r="D4966">
            <v>10880034669</v>
          </cell>
        </row>
        <row r="4967">
          <cell r="D4967">
            <v>10880030738</v>
          </cell>
        </row>
        <row r="4968">
          <cell r="D4968">
            <v>10880021173</v>
          </cell>
        </row>
        <row r="4969">
          <cell r="D4969">
            <v>10880031113</v>
          </cell>
        </row>
        <row r="4970">
          <cell r="D4970">
            <v>10880031115</v>
          </cell>
        </row>
        <row r="4971">
          <cell r="D4971">
            <v>10880033217</v>
          </cell>
        </row>
        <row r="4972">
          <cell r="D4972">
            <v>10880034562</v>
          </cell>
        </row>
        <row r="4973">
          <cell r="D4973">
            <v>10880034563</v>
          </cell>
        </row>
        <row r="4974">
          <cell r="D4974">
            <v>10880033311</v>
          </cell>
        </row>
        <row r="4975">
          <cell r="D4975">
            <v>10880032683</v>
          </cell>
        </row>
        <row r="4976">
          <cell r="D4976">
            <v>10880029958</v>
          </cell>
        </row>
        <row r="4977">
          <cell r="D4977">
            <v>10880035234</v>
          </cell>
        </row>
        <row r="4978">
          <cell r="D4978">
            <v>10880032683</v>
          </cell>
        </row>
        <row r="4979">
          <cell r="D4979">
            <v>10880014812</v>
          </cell>
        </row>
        <row r="4980">
          <cell r="D4980">
            <v>10880033654</v>
          </cell>
        </row>
        <row r="4981">
          <cell r="D4981">
            <v>10880031560</v>
          </cell>
        </row>
        <row r="4982">
          <cell r="D4982">
            <v>10880030520</v>
          </cell>
        </row>
        <row r="4983">
          <cell r="D4983">
            <v>10880033329</v>
          </cell>
        </row>
        <row r="4984">
          <cell r="D4984">
            <v>10880030838</v>
          </cell>
        </row>
        <row r="4985">
          <cell r="D4985">
            <v>10880029957</v>
          </cell>
        </row>
        <row r="4986">
          <cell r="D4986">
            <v>10880018096</v>
          </cell>
        </row>
        <row r="4987">
          <cell r="D4987">
            <v>10880017516</v>
          </cell>
        </row>
        <row r="4988">
          <cell r="D4988">
            <v>10880020192</v>
          </cell>
        </row>
        <row r="4989">
          <cell r="D4989">
            <v>10880031160</v>
          </cell>
        </row>
        <row r="4990">
          <cell r="D4990">
            <v>10880030320</v>
          </cell>
        </row>
        <row r="4991">
          <cell r="D4991">
            <v>10880030203</v>
          </cell>
        </row>
        <row r="4992">
          <cell r="D4992">
            <v>10880012825</v>
          </cell>
        </row>
        <row r="4993">
          <cell r="D4993">
            <v>10880029999</v>
          </cell>
        </row>
        <row r="4994">
          <cell r="D4994">
            <v>10880033325</v>
          </cell>
        </row>
        <row r="4995">
          <cell r="D4995">
            <v>10880017948</v>
          </cell>
        </row>
        <row r="4996">
          <cell r="D4996">
            <v>10880032945</v>
          </cell>
        </row>
        <row r="4997">
          <cell r="D4997">
            <v>10880022123</v>
          </cell>
        </row>
        <row r="4998">
          <cell r="D4998">
            <v>10880030491</v>
          </cell>
        </row>
        <row r="4999">
          <cell r="D4999">
            <v>10880020654</v>
          </cell>
        </row>
        <row r="5000">
          <cell r="D5000">
            <v>10880020031</v>
          </cell>
        </row>
        <row r="5001">
          <cell r="D5001">
            <v>10880028929</v>
          </cell>
        </row>
        <row r="5002">
          <cell r="D5002">
            <v>10880033311</v>
          </cell>
        </row>
        <row r="5003">
          <cell r="D5003">
            <v>10880033717</v>
          </cell>
        </row>
        <row r="5004">
          <cell r="D5004">
            <v>10880031560</v>
          </cell>
        </row>
        <row r="5005">
          <cell r="D5005">
            <v>10880032573</v>
          </cell>
        </row>
        <row r="5006">
          <cell r="D5006">
            <v>10880034957</v>
          </cell>
        </row>
        <row r="5007">
          <cell r="D5007">
            <v>10880020802</v>
          </cell>
        </row>
        <row r="5008">
          <cell r="D5008">
            <v>10880030920</v>
          </cell>
        </row>
        <row r="5009">
          <cell r="D5009">
            <v>10880033692</v>
          </cell>
        </row>
        <row r="5010">
          <cell r="D5010">
            <v>10880035126</v>
          </cell>
        </row>
        <row r="5011">
          <cell r="D5011">
            <v>10880031304</v>
          </cell>
        </row>
        <row r="5012">
          <cell r="D5012">
            <v>10880034575</v>
          </cell>
        </row>
        <row r="5013">
          <cell r="D5013">
            <v>10880033720</v>
          </cell>
        </row>
        <row r="5014">
          <cell r="D5014">
            <v>10880034417</v>
          </cell>
        </row>
        <row r="5015">
          <cell r="D5015">
            <v>10880034518</v>
          </cell>
        </row>
        <row r="5016">
          <cell r="D5016">
            <v>10880021767</v>
          </cell>
        </row>
        <row r="5017">
          <cell r="D5017">
            <v>10880033523</v>
          </cell>
        </row>
        <row r="5018">
          <cell r="D5018">
            <v>10880029053</v>
          </cell>
        </row>
        <row r="5019">
          <cell r="D5019">
            <v>10880030843</v>
          </cell>
        </row>
        <row r="5020">
          <cell r="D5020">
            <v>10880034957</v>
          </cell>
        </row>
        <row r="5021">
          <cell r="D5021">
            <v>10880030607</v>
          </cell>
        </row>
        <row r="5022">
          <cell r="D5022">
            <v>10880033911</v>
          </cell>
        </row>
        <row r="5023">
          <cell r="D5023">
            <v>10880021983</v>
          </cell>
        </row>
        <row r="5024">
          <cell r="D5024">
            <v>10880020555</v>
          </cell>
        </row>
        <row r="5025">
          <cell r="D5025">
            <v>10880021545</v>
          </cell>
        </row>
        <row r="5026">
          <cell r="D5026">
            <v>10880033692</v>
          </cell>
        </row>
        <row r="5027">
          <cell r="D5027">
            <v>10880033690</v>
          </cell>
        </row>
        <row r="5028">
          <cell r="D5028">
            <v>10880031307</v>
          </cell>
        </row>
        <row r="5029">
          <cell r="D5029">
            <v>10880031182</v>
          </cell>
        </row>
        <row r="5030">
          <cell r="D5030">
            <v>10880033785</v>
          </cell>
        </row>
        <row r="5031">
          <cell r="D5031">
            <v>10880022471</v>
          </cell>
        </row>
        <row r="5032">
          <cell r="D5032">
            <v>10880034562</v>
          </cell>
        </row>
        <row r="5033">
          <cell r="D5033">
            <v>10880022123</v>
          </cell>
        </row>
        <row r="5034">
          <cell r="D5034">
            <v>10880029999</v>
          </cell>
        </row>
        <row r="5035">
          <cell r="D5035">
            <v>10880031096</v>
          </cell>
        </row>
        <row r="5036">
          <cell r="D5036">
            <v>10880033654</v>
          </cell>
        </row>
        <row r="5037">
          <cell r="D5037">
            <v>10880020192</v>
          </cell>
        </row>
        <row r="5038">
          <cell r="D5038">
            <v>10880031560</v>
          </cell>
        </row>
        <row r="5039">
          <cell r="D5039">
            <v>10880030607</v>
          </cell>
        </row>
        <row r="5040">
          <cell r="D5040">
            <v>10880020558</v>
          </cell>
        </row>
        <row r="5041">
          <cell r="D5041">
            <v>10880028469</v>
          </cell>
        </row>
        <row r="5042">
          <cell r="D5042">
            <v>10880021269</v>
          </cell>
        </row>
        <row r="5043">
          <cell r="D5043">
            <v>10880031164</v>
          </cell>
        </row>
        <row r="5044">
          <cell r="D5044">
            <v>10880032885</v>
          </cell>
        </row>
        <row r="5045">
          <cell r="D5045">
            <v>10880020678</v>
          </cell>
        </row>
        <row r="5046">
          <cell r="D5046">
            <v>10880020940</v>
          </cell>
        </row>
        <row r="5047">
          <cell r="D5047">
            <v>10880020209</v>
          </cell>
        </row>
        <row r="5048">
          <cell r="D5048">
            <v>10880031185</v>
          </cell>
        </row>
        <row r="5049">
          <cell r="D5049">
            <v>10880012825</v>
          </cell>
        </row>
        <row r="5050">
          <cell r="D5050">
            <v>10880031113</v>
          </cell>
        </row>
        <row r="5051">
          <cell r="D5051">
            <v>10880034564</v>
          </cell>
        </row>
        <row r="5052">
          <cell r="D5052">
            <v>10880034563</v>
          </cell>
        </row>
        <row r="5053">
          <cell r="D5053">
            <v>10880033251</v>
          </cell>
        </row>
        <row r="5054">
          <cell r="D5054">
            <v>10880033400</v>
          </cell>
        </row>
        <row r="5055">
          <cell r="D5055">
            <v>10880020637</v>
          </cell>
        </row>
        <row r="5056">
          <cell r="D5056">
            <v>10880029958</v>
          </cell>
        </row>
        <row r="5057">
          <cell r="D5057">
            <v>10880033655</v>
          </cell>
        </row>
        <row r="5058">
          <cell r="D5058">
            <v>10880031072</v>
          </cell>
        </row>
        <row r="5059">
          <cell r="D5059">
            <v>10880019434</v>
          </cell>
        </row>
        <row r="5060">
          <cell r="D5060">
            <v>10880030608</v>
          </cell>
        </row>
        <row r="5061">
          <cell r="D5061">
            <v>10880030976</v>
          </cell>
        </row>
        <row r="5062">
          <cell r="D5062">
            <v>10880030596</v>
          </cell>
        </row>
        <row r="5063">
          <cell r="D5063">
            <v>10880030931</v>
          </cell>
        </row>
        <row r="5064">
          <cell r="D5064">
            <v>10880028929</v>
          </cell>
        </row>
        <row r="5065">
          <cell r="D5065">
            <v>10880017531</v>
          </cell>
        </row>
        <row r="5066">
          <cell r="D5066">
            <v>10880018845</v>
          </cell>
        </row>
        <row r="5067">
          <cell r="D5067">
            <v>10880021105</v>
          </cell>
        </row>
        <row r="5068">
          <cell r="D5068">
            <v>10880030243</v>
          </cell>
        </row>
        <row r="5069">
          <cell r="D5069">
            <v>10880033654</v>
          </cell>
        </row>
        <row r="5070">
          <cell r="D5070">
            <v>10880029053</v>
          </cell>
        </row>
        <row r="5071">
          <cell r="D5071">
            <v>10880035325</v>
          </cell>
        </row>
        <row r="5072">
          <cell r="D5072">
            <v>10880030545</v>
          </cell>
        </row>
        <row r="5073">
          <cell r="D5073">
            <v>10880031020</v>
          </cell>
        </row>
        <row r="5074">
          <cell r="D5074">
            <v>10880030545</v>
          </cell>
        </row>
        <row r="5075">
          <cell r="D5075">
            <v>10880031020</v>
          </cell>
        </row>
        <row r="5076">
          <cell r="D5076">
            <v>10880033661</v>
          </cell>
        </row>
        <row r="5077">
          <cell r="D5077">
            <v>10880012795</v>
          </cell>
        </row>
        <row r="5078">
          <cell r="D5078">
            <v>10880020802</v>
          </cell>
        </row>
        <row r="5079">
          <cell r="D5079">
            <v>10880028307</v>
          </cell>
        </row>
        <row r="5080">
          <cell r="D5080">
            <v>10880017949</v>
          </cell>
        </row>
        <row r="5081">
          <cell r="D5081">
            <v>10880034575</v>
          </cell>
        </row>
        <row r="5082">
          <cell r="D5082">
            <v>10880033654</v>
          </cell>
        </row>
        <row r="5083">
          <cell r="D5083">
            <v>10880031011</v>
          </cell>
        </row>
        <row r="5084">
          <cell r="D5084">
            <v>10880030545</v>
          </cell>
        </row>
        <row r="5085">
          <cell r="D5085">
            <v>10880030545</v>
          </cell>
        </row>
        <row r="5086">
          <cell r="D5086">
            <v>10880034622</v>
          </cell>
        </row>
        <row r="5087">
          <cell r="D5087">
            <v>10880030550</v>
          </cell>
        </row>
        <row r="5088">
          <cell r="D5088">
            <v>10880031856</v>
          </cell>
        </row>
        <row r="5089">
          <cell r="D5089">
            <v>10880033564</v>
          </cell>
        </row>
        <row r="5090">
          <cell r="D5090">
            <v>10880032885</v>
          </cell>
        </row>
        <row r="5091">
          <cell r="D5091">
            <v>10880030920</v>
          </cell>
        </row>
        <row r="5092">
          <cell r="D5092">
            <v>10880031072</v>
          </cell>
        </row>
        <row r="5093">
          <cell r="D5093">
            <v>10880031304</v>
          </cell>
        </row>
        <row r="5094">
          <cell r="D5094">
            <v>10880021029</v>
          </cell>
        </row>
        <row r="5095">
          <cell r="D5095">
            <v>10880018093</v>
          </cell>
        </row>
        <row r="5096">
          <cell r="D5096">
            <v>10880031157</v>
          </cell>
        </row>
        <row r="5097">
          <cell r="D5097">
            <v>10880031157</v>
          </cell>
        </row>
        <row r="5098">
          <cell r="D5098">
            <v>10880030320</v>
          </cell>
        </row>
        <row r="5099">
          <cell r="D5099">
            <v>10880017524</v>
          </cell>
        </row>
        <row r="5100">
          <cell r="D5100">
            <v>10880017526</v>
          </cell>
        </row>
        <row r="5101">
          <cell r="D5101">
            <v>10880034417</v>
          </cell>
        </row>
        <row r="5102">
          <cell r="D5102">
            <v>10880033720</v>
          </cell>
        </row>
        <row r="5103">
          <cell r="D5103">
            <v>10880031760</v>
          </cell>
        </row>
        <row r="5104">
          <cell r="D5104">
            <v>10880034621</v>
          </cell>
        </row>
        <row r="5105">
          <cell r="D5105">
            <v>10880022470</v>
          </cell>
        </row>
        <row r="5106">
          <cell r="D5106">
            <v>10880034957</v>
          </cell>
        </row>
        <row r="5107">
          <cell r="D5107">
            <v>10880034563</v>
          </cell>
        </row>
        <row r="5108">
          <cell r="D5108">
            <v>10880033460</v>
          </cell>
        </row>
        <row r="5109">
          <cell r="D5109">
            <v>10880033855</v>
          </cell>
        </row>
        <row r="5110">
          <cell r="D5110">
            <v>10880028306</v>
          </cell>
        </row>
        <row r="5111">
          <cell r="D5111">
            <v>10880021895</v>
          </cell>
        </row>
        <row r="5112">
          <cell r="D5112">
            <v>10880021545</v>
          </cell>
        </row>
        <row r="5113">
          <cell r="D5113">
            <v>10880020031</v>
          </cell>
        </row>
        <row r="5114">
          <cell r="D5114">
            <v>10880012825</v>
          </cell>
        </row>
        <row r="5115">
          <cell r="D5115">
            <v>10880033689</v>
          </cell>
        </row>
        <row r="5116">
          <cell r="D5116">
            <v>10880017948</v>
          </cell>
        </row>
        <row r="5117">
          <cell r="D5117">
            <v>10880033252</v>
          </cell>
        </row>
        <row r="5118">
          <cell r="D5118">
            <v>10880033251</v>
          </cell>
        </row>
        <row r="5119">
          <cell r="D5119">
            <v>10880030551</v>
          </cell>
        </row>
        <row r="5120">
          <cell r="D5120">
            <v>10880033216</v>
          </cell>
        </row>
        <row r="5121">
          <cell r="D5121">
            <v>10880020209</v>
          </cell>
        </row>
        <row r="5122">
          <cell r="D5122">
            <v>10880034562</v>
          </cell>
        </row>
        <row r="5123">
          <cell r="D5123">
            <v>10880034564</v>
          </cell>
        </row>
        <row r="5124">
          <cell r="D5124">
            <v>10880021476</v>
          </cell>
        </row>
        <row r="5125">
          <cell r="D5125">
            <v>10880030433</v>
          </cell>
        </row>
        <row r="5126">
          <cell r="D5126">
            <v>10880021983</v>
          </cell>
        </row>
        <row r="5127">
          <cell r="D5127">
            <v>10880032298</v>
          </cell>
        </row>
        <row r="5128">
          <cell r="D5128">
            <v>10880033745</v>
          </cell>
        </row>
        <row r="5129">
          <cell r="D5129">
            <v>10880021015</v>
          </cell>
        </row>
        <row r="5130">
          <cell r="D5130">
            <v>10880018096</v>
          </cell>
        </row>
        <row r="5131">
          <cell r="D5131">
            <v>10880033692</v>
          </cell>
        </row>
        <row r="5132">
          <cell r="D5132">
            <v>10880034575</v>
          </cell>
        </row>
        <row r="5133">
          <cell r="D5133">
            <v>10880033325</v>
          </cell>
        </row>
        <row r="5134">
          <cell r="D5134">
            <v>10880033654</v>
          </cell>
        </row>
        <row r="5135">
          <cell r="D5135">
            <v>10880033301</v>
          </cell>
        </row>
        <row r="5136">
          <cell r="D5136">
            <v>10880031015</v>
          </cell>
        </row>
        <row r="5137">
          <cell r="D5137">
            <v>10880020208</v>
          </cell>
        </row>
        <row r="5138">
          <cell r="D5138">
            <v>10880033279</v>
          </cell>
        </row>
        <row r="5139">
          <cell r="D5139">
            <v>10880029957</v>
          </cell>
        </row>
        <row r="5140">
          <cell r="D5140">
            <v>10880020640</v>
          </cell>
        </row>
        <row r="5141">
          <cell r="D5141">
            <v>10880031307</v>
          </cell>
        </row>
        <row r="5142">
          <cell r="D5142">
            <v>10880029054</v>
          </cell>
        </row>
        <row r="5143">
          <cell r="D5143">
            <v>10880028881</v>
          </cell>
        </row>
        <row r="5144">
          <cell r="D5144">
            <v>10880022472</v>
          </cell>
        </row>
        <row r="5145">
          <cell r="D5145">
            <v>10880028929</v>
          </cell>
        </row>
        <row r="5146">
          <cell r="D5146">
            <v>10880035126</v>
          </cell>
        </row>
        <row r="5147">
          <cell r="D5147">
            <v>10880034576</v>
          </cell>
        </row>
        <row r="5148">
          <cell r="D5148">
            <v>10880034417</v>
          </cell>
        </row>
        <row r="5149">
          <cell r="D5149">
            <v>10880020557</v>
          </cell>
        </row>
        <row r="5150">
          <cell r="D5150">
            <v>10880030491</v>
          </cell>
        </row>
        <row r="5151">
          <cell r="D5151">
            <v>10880033655</v>
          </cell>
        </row>
        <row r="5152">
          <cell r="D5152">
            <v>10880027957</v>
          </cell>
        </row>
        <row r="5153">
          <cell r="D5153">
            <v>10880033273</v>
          </cell>
        </row>
        <row r="5154">
          <cell r="D5154">
            <v>10880021895</v>
          </cell>
        </row>
        <row r="5155">
          <cell r="D5155">
            <v>10880030608</v>
          </cell>
        </row>
        <row r="5156">
          <cell r="D5156">
            <v>10880030607</v>
          </cell>
        </row>
        <row r="5157">
          <cell r="D5157">
            <v>10880020555</v>
          </cell>
        </row>
        <row r="5158">
          <cell r="D5158">
            <v>10880020654</v>
          </cell>
        </row>
        <row r="5159">
          <cell r="D5159">
            <v>10880012825</v>
          </cell>
        </row>
        <row r="5160">
          <cell r="D5160">
            <v>10880033717</v>
          </cell>
        </row>
        <row r="5161">
          <cell r="D5161">
            <v>10880033400</v>
          </cell>
        </row>
        <row r="5162">
          <cell r="D5162">
            <v>10880035119</v>
          </cell>
        </row>
        <row r="5163">
          <cell r="D5163">
            <v>10880030545</v>
          </cell>
        </row>
        <row r="5164">
          <cell r="D5164">
            <v>10880031020</v>
          </cell>
        </row>
        <row r="5165">
          <cell r="D5165">
            <v>10880030545</v>
          </cell>
        </row>
        <row r="5166">
          <cell r="D5166">
            <v>10880031020</v>
          </cell>
        </row>
        <row r="5167">
          <cell r="D5167">
            <v>10880030519</v>
          </cell>
        </row>
        <row r="5168">
          <cell r="D5168">
            <v>10880020802</v>
          </cell>
        </row>
        <row r="5169">
          <cell r="D5169">
            <v>10880012825</v>
          </cell>
        </row>
        <row r="5170">
          <cell r="D5170">
            <v>10880030203</v>
          </cell>
        </row>
        <row r="5171">
          <cell r="D5171">
            <v>10880031185</v>
          </cell>
        </row>
        <row r="5172">
          <cell r="D5172">
            <v>10880031185</v>
          </cell>
        </row>
        <row r="5173">
          <cell r="D5173">
            <v>10880031115</v>
          </cell>
        </row>
        <row r="5174">
          <cell r="D5174">
            <v>10880028307</v>
          </cell>
        </row>
        <row r="5175">
          <cell r="D5175">
            <v>10880017525</v>
          </cell>
        </row>
        <row r="5176">
          <cell r="D5176">
            <v>10880017531</v>
          </cell>
        </row>
        <row r="5177">
          <cell r="D5177">
            <v>10880017536</v>
          </cell>
        </row>
        <row r="5178">
          <cell r="D5178">
            <v>10880034575</v>
          </cell>
        </row>
        <row r="5179">
          <cell r="D5179">
            <v>10880029999</v>
          </cell>
        </row>
        <row r="5180">
          <cell r="D5180">
            <v>10880032945</v>
          </cell>
        </row>
        <row r="5181">
          <cell r="D5181">
            <v>10880033785</v>
          </cell>
        </row>
        <row r="5182">
          <cell r="D5182">
            <v>10880031096</v>
          </cell>
        </row>
        <row r="5183">
          <cell r="D5183">
            <v>10880033654</v>
          </cell>
        </row>
        <row r="5184">
          <cell r="D5184">
            <v>10880031011</v>
          </cell>
        </row>
        <row r="5185">
          <cell r="D5185">
            <v>10880030520</v>
          </cell>
        </row>
        <row r="5186">
          <cell r="D5186">
            <v>10880033329</v>
          </cell>
        </row>
        <row r="5187">
          <cell r="D5187">
            <v>10880018097</v>
          </cell>
        </row>
        <row r="5188">
          <cell r="D5188">
            <v>10880032885</v>
          </cell>
        </row>
        <row r="5189">
          <cell r="D5189">
            <v>10880019434</v>
          </cell>
        </row>
        <row r="5190">
          <cell r="D5190">
            <v>10880029055</v>
          </cell>
        </row>
        <row r="5191">
          <cell r="D5191">
            <v>10880022472</v>
          </cell>
        </row>
        <row r="5192">
          <cell r="D5192">
            <v>10880033661</v>
          </cell>
        </row>
        <row r="5193">
          <cell r="D5193">
            <v>10880028929</v>
          </cell>
        </row>
        <row r="5194">
          <cell r="D5194">
            <v>10880031113</v>
          </cell>
        </row>
        <row r="5195">
          <cell r="D5195">
            <v>10880018093</v>
          </cell>
        </row>
        <row r="5196">
          <cell r="D5196">
            <v>10880034575</v>
          </cell>
        </row>
        <row r="5197">
          <cell r="D5197">
            <v>10880033584</v>
          </cell>
        </row>
        <row r="5198">
          <cell r="D5198">
            <v>10880034142</v>
          </cell>
        </row>
        <row r="5199">
          <cell r="D5199">
            <v>10880032943</v>
          </cell>
        </row>
        <row r="5200">
          <cell r="D5200">
            <v>10880034995</v>
          </cell>
        </row>
        <row r="5201">
          <cell r="D5201">
            <v>10880030004</v>
          </cell>
        </row>
        <row r="5202">
          <cell r="D5202">
            <v>10880033654</v>
          </cell>
        </row>
        <row r="5203">
          <cell r="D5203">
            <v>10880035119</v>
          </cell>
        </row>
        <row r="5204">
          <cell r="D5204">
            <v>10880033523</v>
          </cell>
        </row>
        <row r="5205">
          <cell r="D5205">
            <v>10880018097</v>
          </cell>
        </row>
        <row r="5206">
          <cell r="D5206">
            <v>10880030920</v>
          </cell>
        </row>
        <row r="5207">
          <cell r="D5207">
            <v>10880034669</v>
          </cell>
        </row>
        <row r="5208">
          <cell r="D5208">
            <v>10880029054</v>
          </cell>
        </row>
        <row r="5209">
          <cell r="D5209">
            <v>10880033692</v>
          </cell>
        </row>
        <row r="5210">
          <cell r="D5210">
            <v>10880033560</v>
          </cell>
        </row>
        <row r="5211">
          <cell r="D5211">
            <v>10880034385</v>
          </cell>
        </row>
        <row r="5212">
          <cell r="D5212">
            <v>10880032609</v>
          </cell>
        </row>
        <row r="5213">
          <cell r="D5213">
            <v>10880031760</v>
          </cell>
        </row>
        <row r="5214">
          <cell r="D5214">
            <v>10880030187</v>
          </cell>
        </row>
        <row r="5215">
          <cell r="D5215">
            <v>10880034622</v>
          </cell>
        </row>
        <row r="5216">
          <cell r="D5216">
            <v>10880030545</v>
          </cell>
        </row>
        <row r="5217">
          <cell r="D5217">
            <v>10880034619</v>
          </cell>
        </row>
        <row r="5218">
          <cell r="D5218">
            <v>10880030545</v>
          </cell>
        </row>
        <row r="5219">
          <cell r="D5219">
            <v>10880034622</v>
          </cell>
        </row>
        <row r="5220">
          <cell r="D5220">
            <v>10880020558</v>
          </cell>
        </row>
        <row r="5221">
          <cell r="D5221">
            <v>10880021476</v>
          </cell>
        </row>
        <row r="5222">
          <cell r="D5222">
            <v>10880031097</v>
          </cell>
        </row>
        <row r="5223">
          <cell r="D5223">
            <v>10880033273</v>
          </cell>
        </row>
        <row r="5224">
          <cell r="D5224">
            <v>10880030920</v>
          </cell>
        </row>
        <row r="5225">
          <cell r="D5225">
            <v>10880021345</v>
          </cell>
        </row>
        <row r="5226">
          <cell r="D5226">
            <v>10880031135</v>
          </cell>
        </row>
        <row r="5227">
          <cell r="D5227">
            <v>10880030738</v>
          </cell>
        </row>
        <row r="5228">
          <cell r="D5228">
            <v>10880034669</v>
          </cell>
        </row>
        <row r="5229">
          <cell r="D5229">
            <v>10880020209</v>
          </cell>
        </row>
        <row r="5230">
          <cell r="D5230">
            <v>10880020208</v>
          </cell>
        </row>
        <row r="5231">
          <cell r="D5231">
            <v>10880028307</v>
          </cell>
        </row>
        <row r="5232">
          <cell r="D5232">
            <v>10880012825</v>
          </cell>
        </row>
        <row r="5233">
          <cell r="D5233">
            <v>10880033690</v>
          </cell>
        </row>
        <row r="5234">
          <cell r="D5234">
            <v>10880035126</v>
          </cell>
        </row>
        <row r="5235">
          <cell r="D5235">
            <v>10880032683</v>
          </cell>
        </row>
        <row r="5236">
          <cell r="D5236">
            <v>10880033654</v>
          </cell>
        </row>
        <row r="5237">
          <cell r="D5237">
            <v>10880032386</v>
          </cell>
        </row>
        <row r="5238">
          <cell r="D5238">
            <v>10880032383</v>
          </cell>
        </row>
        <row r="5239">
          <cell r="D5239">
            <v>10880030545</v>
          </cell>
        </row>
        <row r="5240">
          <cell r="D5240">
            <v>10880030519</v>
          </cell>
        </row>
        <row r="5241">
          <cell r="D5241">
            <v>10880030976</v>
          </cell>
        </row>
        <row r="5242">
          <cell r="D5242">
            <v>10880019240</v>
          </cell>
        </row>
        <row r="5243">
          <cell r="D5243">
            <v>10880020209</v>
          </cell>
        </row>
        <row r="5244">
          <cell r="D5244">
            <v>10880030203</v>
          </cell>
        </row>
        <row r="5245">
          <cell r="D5245">
            <v>10880020048</v>
          </cell>
        </row>
        <row r="5246">
          <cell r="D5246">
            <v>10880034564</v>
          </cell>
        </row>
        <row r="5247">
          <cell r="D5247">
            <v>10880032937</v>
          </cell>
        </row>
        <row r="5248">
          <cell r="D5248">
            <v>10880032933</v>
          </cell>
        </row>
        <row r="5249">
          <cell r="D5249">
            <v>10880032942</v>
          </cell>
        </row>
        <row r="5250">
          <cell r="D5250">
            <v>10880034417</v>
          </cell>
        </row>
        <row r="5251">
          <cell r="D5251">
            <v>10880034518</v>
          </cell>
        </row>
        <row r="5252">
          <cell r="D5252">
            <v>10880030491</v>
          </cell>
        </row>
        <row r="5253">
          <cell r="D5253">
            <v>10880035119</v>
          </cell>
        </row>
        <row r="5254">
          <cell r="D5254">
            <v>10880033634</v>
          </cell>
        </row>
        <row r="5255">
          <cell r="D5255">
            <v>10880033635</v>
          </cell>
        </row>
        <row r="5256">
          <cell r="D5256">
            <v>10880033610</v>
          </cell>
        </row>
        <row r="5257">
          <cell r="D5257">
            <v>10880029957</v>
          </cell>
        </row>
        <row r="5258">
          <cell r="D5258">
            <v>10880028881</v>
          </cell>
        </row>
        <row r="5259">
          <cell r="D5259">
            <v>10880029055</v>
          </cell>
        </row>
        <row r="5260">
          <cell r="D5260">
            <v>10880028834</v>
          </cell>
        </row>
        <row r="5261">
          <cell r="D5261">
            <v>10880028306</v>
          </cell>
        </row>
        <row r="5262">
          <cell r="D5262">
            <v>10880021545</v>
          </cell>
        </row>
        <row r="5263">
          <cell r="D5263">
            <v>10880020031</v>
          </cell>
        </row>
        <row r="5264">
          <cell r="D5264">
            <v>10880033976</v>
          </cell>
        </row>
        <row r="5265">
          <cell r="D5265">
            <v>10880017948</v>
          </cell>
        </row>
        <row r="5266">
          <cell r="D5266">
            <v>10880033564</v>
          </cell>
        </row>
        <row r="5267">
          <cell r="D5267">
            <v>10880034563</v>
          </cell>
        </row>
        <row r="5268">
          <cell r="D5268">
            <v>10880034562</v>
          </cell>
        </row>
        <row r="5269">
          <cell r="D5269">
            <v>10880019773</v>
          </cell>
        </row>
        <row r="5270">
          <cell r="D5270">
            <v>10880033717</v>
          </cell>
        </row>
        <row r="5271">
          <cell r="D5271">
            <v>10880034621</v>
          </cell>
        </row>
        <row r="5272">
          <cell r="D5272">
            <v>10880031020</v>
          </cell>
        </row>
        <row r="5273">
          <cell r="D5273">
            <v>10880031560</v>
          </cell>
        </row>
        <row r="5274">
          <cell r="D5274">
            <v>10880031186</v>
          </cell>
        </row>
        <row r="5275">
          <cell r="D5275">
            <v>10880033273</v>
          </cell>
        </row>
        <row r="5276">
          <cell r="D5276">
            <v>10880022406</v>
          </cell>
        </row>
        <row r="5277">
          <cell r="D5277">
            <v>10880018097</v>
          </cell>
        </row>
        <row r="5278">
          <cell r="D5278">
            <v>10880012825</v>
          </cell>
        </row>
        <row r="5279">
          <cell r="D5279">
            <v>10880031185</v>
          </cell>
        </row>
        <row r="5280">
          <cell r="D5280">
            <v>10880033805</v>
          </cell>
        </row>
        <row r="5281">
          <cell r="D5281">
            <v>10880031113</v>
          </cell>
        </row>
        <row r="5282">
          <cell r="D5282">
            <v>10880033534</v>
          </cell>
        </row>
        <row r="5283">
          <cell r="D5283">
            <v>10880033535</v>
          </cell>
        </row>
        <row r="5284">
          <cell r="D5284">
            <v>10880033654</v>
          </cell>
        </row>
        <row r="5285">
          <cell r="D5285">
            <v>10880033655</v>
          </cell>
        </row>
        <row r="5286">
          <cell r="D5286">
            <v>10880031011</v>
          </cell>
        </row>
        <row r="5287">
          <cell r="D5287">
            <v>10880022470</v>
          </cell>
        </row>
        <row r="5288">
          <cell r="D5288">
            <v>10880030976</v>
          </cell>
        </row>
        <row r="5289">
          <cell r="D5289">
            <v>10880020802</v>
          </cell>
        </row>
        <row r="5290">
          <cell r="D5290">
            <v>10880019434</v>
          </cell>
        </row>
        <row r="5291">
          <cell r="D5291">
            <v>10880032885</v>
          </cell>
        </row>
        <row r="5292">
          <cell r="D5292">
            <v>10880012825</v>
          </cell>
        </row>
        <row r="5293">
          <cell r="D5293">
            <v>10880031115</v>
          </cell>
        </row>
        <row r="5294">
          <cell r="D5294">
            <v>10880029999</v>
          </cell>
        </row>
        <row r="5295">
          <cell r="D5295">
            <v>10880017516</v>
          </cell>
        </row>
        <row r="5296">
          <cell r="D5296">
            <v>10880034575</v>
          </cell>
        </row>
        <row r="5297">
          <cell r="D5297">
            <v>10880030243</v>
          </cell>
        </row>
        <row r="5298">
          <cell r="D5298">
            <v>10880031096</v>
          </cell>
        </row>
        <row r="5299">
          <cell r="D5299">
            <v>10880030520</v>
          </cell>
        </row>
        <row r="5300">
          <cell r="D5300">
            <v>10880030545</v>
          </cell>
        </row>
        <row r="5301">
          <cell r="D5301">
            <v>10880031020</v>
          </cell>
        </row>
        <row r="5302">
          <cell r="D5302">
            <v>10880020187</v>
          </cell>
        </row>
        <row r="5303">
          <cell r="D5303">
            <v>10880020556</v>
          </cell>
        </row>
        <row r="5304">
          <cell r="D5304">
            <v>10880029055</v>
          </cell>
        </row>
        <row r="5305">
          <cell r="D5305">
            <v>10880029054</v>
          </cell>
        </row>
        <row r="5306">
          <cell r="D5306">
            <v>10880018093</v>
          </cell>
        </row>
        <row r="5307">
          <cell r="D5307">
            <v>10880028306</v>
          </cell>
        </row>
        <row r="5308">
          <cell r="D5308">
            <v>10880017525</v>
          </cell>
        </row>
        <row r="5309">
          <cell r="D5309">
            <v>10880028929</v>
          </cell>
        </row>
        <row r="5310">
          <cell r="D5310">
            <v>10880033785</v>
          </cell>
        </row>
        <row r="5311">
          <cell r="D5311">
            <v>10880033325</v>
          </cell>
        </row>
        <row r="5312">
          <cell r="D5312">
            <v>10880020654</v>
          </cell>
        </row>
        <row r="5313">
          <cell r="D5313">
            <v>10880035234</v>
          </cell>
        </row>
        <row r="5314">
          <cell r="D5314">
            <v>10880032945</v>
          </cell>
        </row>
        <row r="5315">
          <cell r="D5315">
            <v>10880030491</v>
          </cell>
        </row>
        <row r="5316">
          <cell r="D5316">
            <v>10880034576</v>
          </cell>
        </row>
        <row r="5317">
          <cell r="D5317">
            <v>10880033634</v>
          </cell>
        </row>
        <row r="5318">
          <cell r="D5318">
            <v>10880035443</v>
          </cell>
        </row>
        <row r="5319">
          <cell r="D5319">
            <v>10880030545</v>
          </cell>
        </row>
        <row r="5320">
          <cell r="D5320">
            <v>10880031020</v>
          </cell>
        </row>
        <row r="5321">
          <cell r="D5321">
            <v>10880033329</v>
          </cell>
        </row>
        <row r="5322">
          <cell r="D5322">
            <v>10880034956</v>
          </cell>
        </row>
        <row r="5323">
          <cell r="D5323">
            <v>10880033585</v>
          </cell>
        </row>
        <row r="5324">
          <cell r="D5324">
            <v>10880020802</v>
          </cell>
        </row>
        <row r="5325">
          <cell r="D5325">
            <v>10880034669</v>
          </cell>
        </row>
        <row r="5326">
          <cell r="D5326">
            <v>10880020940</v>
          </cell>
        </row>
        <row r="5327">
          <cell r="D5327">
            <v>10880030742</v>
          </cell>
        </row>
        <row r="5328">
          <cell r="D5328">
            <v>10880021311</v>
          </cell>
        </row>
        <row r="5329">
          <cell r="D5329">
            <v>10880017531</v>
          </cell>
        </row>
        <row r="5330">
          <cell r="D5330">
            <v>10880033720</v>
          </cell>
        </row>
        <row r="5331">
          <cell r="D5331">
            <v>10880034417</v>
          </cell>
        </row>
        <row r="5332">
          <cell r="D5332">
            <v>10880033654</v>
          </cell>
        </row>
        <row r="5333">
          <cell r="D5333">
            <v>10880031525</v>
          </cell>
        </row>
        <row r="5334">
          <cell r="D5334">
            <v>10880030920</v>
          </cell>
        </row>
        <row r="5335">
          <cell r="D5335">
            <v>10880030734</v>
          </cell>
        </row>
        <row r="5336">
          <cell r="D5336">
            <v>10880028307</v>
          </cell>
        </row>
        <row r="5337">
          <cell r="D5337">
            <v>10880031304</v>
          </cell>
        </row>
        <row r="5338">
          <cell r="D5338">
            <v>10880017949</v>
          </cell>
        </row>
        <row r="5339">
          <cell r="D5339">
            <v>10880035532</v>
          </cell>
        </row>
        <row r="5340">
          <cell r="D5340">
            <v>10880032479</v>
          </cell>
        </row>
        <row r="5341">
          <cell r="D5341">
            <v>10880034575</v>
          </cell>
        </row>
        <row r="5342">
          <cell r="D5342">
            <v>10880034575</v>
          </cell>
        </row>
        <row r="5343">
          <cell r="D5343">
            <v>10880031182</v>
          </cell>
        </row>
        <row r="5344">
          <cell r="D5344">
            <v>10880033745</v>
          </cell>
        </row>
        <row r="5345">
          <cell r="D5345">
            <v>10880028345</v>
          </cell>
        </row>
        <row r="5346">
          <cell r="D5346">
            <v>10880032943</v>
          </cell>
        </row>
        <row r="5347">
          <cell r="D5347">
            <v>10880032683</v>
          </cell>
        </row>
        <row r="5348">
          <cell r="D5348">
            <v>10880022123</v>
          </cell>
        </row>
        <row r="5349">
          <cell r="D5349">
            <v>10880021767</v>
          </cell>
        </row>
        <row r="5350">
          <cell r="D5350">
            <v>10880018524</v>
          </cell>
        </row>
        <row r="5351">
          <cell r="D5351">
            <v>10880031560</v>
          </cell>
        </row>
        <row r="5352">
          <cell r="D5352">
            <v>10880031011</v>
          </cell>
        </row>
        <row r="5353">
          <cell r="D5353">
            <v>10880020558</v>
          </cell>
        </row>
        <row r="5354">
          <cell r="D5354">
            <v>10880033564</v>
          </cell>
        </row>
        <row r="5355">
          <cell r="D5355">
            <v>10880020940</v>
          </cell>
        </row>
        <row r="5356">
          <cell r="D5356">
            <v>10880022442</v>
          </cell>
        </row>
        <row r="5357">
          <cell r="D5357">
            <v>10880028831</v>
          </cell>
        </row>
        <row r="5358">
          <cell r="D5358">
            <v>10880020556</v>
          </cell>
        </row>
        <row r="5359">
          <cell r="D5359">
            <v>10880029054</v>
          </cell>
        </row>
        <row r="5360">
          <cell r="D5360">
            <v>10880028834</v>
          </cell>
        </row>
        <row r="5361">
          <cell r="D5361">
            <v>10880031185</v>
          </cell>
        </row>
        <row r="5362">
          <cell r="D5362">
            <v>10880030450</v>
          </cell>
        </row>
        <row r="5363">
          <cell r="D5363">
            <v>10880031307</v>
          </cell>
        </row>
        <row r="5364">
          <cell r="D5364">
            <v>10880033720</v>
          </cell>
        </row>
        <row r="5365">
          <cell r="D5365">
            <v>10880033654</v>
          </cell>
        </row>
        <row r="5366">
          <cell r="D5366">
            <v>10880031096</v>
          </cell>
        </row>
        <row r="5367">
          <cell r="D5367">
            <v>10880033297</v>
          </cell>
        </row>
        <row r="5368">
          <cell r="D5368">
            <v>10880031011</v>
          </cell>
        </row>
        <row r="5369">
          <cell r="D5369">
            <v>10880030545</v>
          </cell>
        </row>
        <row r="5370">
          <cell r="D5370">
            <v>10880030550</v>
          </cell>
        </row>
        <row r="5371">
          <cell r="D5371">
            <v>10880030519</v>
          </cell>
        </row>
        <row r="5372">
          <cell r="D5372">
            <v>10880033560</v>
          </cell>
        </row>
        <row r="5373">
          <cell r="D5373">
            <v>10880034563</v>
          </cell>
        </row>
        <row r="5374">
          <cell r="D5374">
            <v>10880020802</v>
          </cell>
        </row>
        <row r="5375">
          <cell r="D5375">
            <v>10880030934</v>
          </cell>
        </row>
        <row r="5376">
          <cell r="D5376">
            <v>10880030934</v>
          </cell>
        </row>
        <row r="5377">
          <cell r="D5377">
            <v>10880033911</v>
          </cell>
        </row>
        <row r="5378">
          <cell r="D5378">
            <v>10880028306</v>
          </cell>
        </row>
        <row r="5379">
          <cell r="D5379">
            <v>10880021015</v>
          </cell>
        </row>
        <row r="5380">
          <cell r="D5380">
            <v>10880012825</v>
          </cell>
        </row>
        <row r="5381">
          <cell r="D5381">
            <v>10880020031</v>
          </cell>
        </row>
        <row r="5382">
          <cell r="D5382">
            <v>10880033523</v>
          </cell>
        </row>
        <row r="5383">
          <cell r="D5383">
            <v>10880033523</v>
          </cell>
        </row>
        <row r="5384">
          <cell r="D5384">
            <v>10880020275</v>
          </cell>
        </row>
        <row r="5385">
          <cell r="D5385">
            <v>10880032933</v>
          </cell>
        </row>
        <row r="5386">
          <cell r="D5386">
            <v>10880032942</v>
          </cell>
        </row>
        <row r="5387">
          <cell r="D5387">
            <v>10880032944</v>
          </cell>
        </row>
        <row r="5388">
          <cell r="D5388">
            <v>10880032939</v>
          </cell>
        </row>
        <row r="5389">
          <cell r="D5389">
            <v>10880033654</v>
          </cell>
        </row>
        <row r="5390">
          <cell r="D5390">
            <v>10880035448</v>
          </cell>
        </row>
        <row r="5391">
          <cell r="D5391">
            <v>10880030551</v>
          </cell>
        </row>
        <row r="5392">
          <cell r="D5392">
            <v>10880030187</v>
          </cell>
        </row>
        <row r="5393">
          <cell r="D5393">
            <v>10880020558</v>
          </cell>
        </row>
        <row r="5394">
          <cell r="D5394">
            <v>10880032885</v>
          </cell>
        </row>
        <row r="5395">
          <cell r="D5395">
            <v>10880030285</v>
          </cell>
        </row>
        <row r="5396">
          <cell r="D5396">
            <v>10880034669</v>
          </cell>
        </row>
        <row r="5397">
          <cell r="D5397">
            <v>10880033273</v>
          </cell>
        </row>
        <row r="5398">
          <cell r="D5398">
            <v>10880028929</v>
          </cell>
        </row>
        <row r="5399">
          <cell r="D5399">
            <v>10880028929</v>
          </cell>
        </row>
        <row r="5400">
          <cell r="D5400">
            <v>10880033690</v>
          </cell>
        </row>
        <row r="5401">
          <cell r="D5401">
            <v>10880020275</v>
          </cell>
        </row>
        <row r="5402">
          <cell r="D5402">
            <v>10880033487</v>
          </cell>
        </row>
        <row r="5403">
          <cell r="D5403">
            <v>10880033488</v>
          </cell>
        </row>
        <row r="5404">
          <cell r="D5404">
            <v>10880029999</v>
          </cell>
        </row>
        <row r="5405">
          <cell r="D5405">
            <v>10880033400</v>
          </cell>
        </row>
        <row r="5406">
          <cell r="D5406">
            <v>10880034622</v>
          </cell>
        </row>
        <row r="5407">
          <cell r="D5407">
            <v>10880030545</v>
          </cell>
        </row>
        <row r="5408">
          <cell r="D5408">
            <v>10880030545</v>
          </cell>
        </row>
        <row r="5409">
          <cell r="D5409">
            <v>10880034619</v>
          </cell>
        </row>
        <row r="5410">
          <cell r="D5410">
            <v>10880033564</v>
          </cell>
        </row>
        <row r="5411">
          <cell r="D5411">
            <v>10880033560</v>
          </cell>
        </row>
        <row r="5412">
          <cell r="D5412">
            <v>10880019434</v>
          </cell>
        </row>
        <row r="5413">
          <cell r="D5413">
            <v>10880030608</v>
          </cell>
        </row>
        <row r="5414">
          <cell r="D5414">
            <v>10880015829</v>
          </cell>
        </row>
        <row r="5415">
          <cell r="D5415">
            <v>10880014775</v>
          </cell>
        </row>
        <row r="5416">
          <cell r="D5416">
            <v>10880028306</v>
          </cell>
        </row>
        <row r="5417">
          <cell r="D5417">
            <v>10880033692</v>
          </cell>
        </row>
        <row r="5418">
          <cell r="D5418">
            <v>10880035126</v>
          </cell>
        </row>
        <row r="5419">
          <cell r="D5419">
            <v>10880034576</v>
          </cell>
        </row>
        <row r="5420">
          <cell r="D5420">
            <v>10880030004</v>
          </cell>
        </row>
        <row r="5421">
          <cell r="D5421">
            <v>10880034995</v>
          </cell>
        </row>
        <row r="5422">
          <cell r="D5422">
            <v>10880033785</v>
          </cell>
        </row>
        <row r="5423">
          <cell r="D5423">
            <v>10880034608</v>
          </cell>
        </row>
        <row r="5424">
          <cell r="D5424">
            <v>10880034622</v>
          </cell>
        </row>
        <row r="5425">
          <cell r="D5425">
            <v>10880034621</v>
          </cell>
        </row>
        <row r="5426">
          <cell r="D5426">
            <v>10880034956</v>
          </cell>
        </row>
        <row r="5427">
          <cell r="D5427">
            <v>10880031072</v>
          </cell>
        </row>
        <row r="5428">
          <cell r="D5428">
            <v>10880020640</v>
          </cell>
        </row>
        <row r="5429">
          <cell r="D5429">
            <v>10880028881</v>
          </cell>
        </row>
        <row r="5430">
          <cell r="D5430">
            <v>10880028929</v>
          </cell>
        </row>
        <row r="5431">
          <cell r="D5431">
            <v>10880033805</v>
          </cell>
        </row>
        <row r="5432">
          <cell r="D5432">
            <v>10880033301</v>
          </cell>
        </row>
        <row r="5433">
          <cell r="D5433">
            <v>10880034417</v>
          </cell>
        </row>
        <row r="5434">
          <cell r="D5434">
            <v>10880033654</v>
          </cell>
        </row>
        <row r="5435">
          <cell r="D5435">
            <v>10880030520</v>
          </cell>
        </row>
        <row r="5436">
          <cell r="D5436">
            <v>10880030178</v>
          </cell>
        </row>
        <row r="5437">
          <cell r="D5437">
            <v>10880033605</v>
          </cell>
        </row>
        <row r="5438">
          <cell r="D5438">
            <v>10880033279</v>
          </cell>
        </row>
        <row r="5439">
          <cell r="D5439">
            <v>10880020802</v>
          </cell>
        </row>
        <row r="5440">
          <cell r="D5440">
            <v>10880021269</v>
          </cell>
        </row>
        <row r="5441">
          <cell r="D5441">
            <v>10880031097</v>
          </cell>
        </row>
        <row r="5442">
          <cell r="D5442">
            <v>10880028469</v>
          </cell>
        </row>
        <row r="5443">
          <cell r="D5443">
            <v>10880019682</v>
          </cell>
        </row>
        <row r="5444">
          <cell r="D5444">
            <v>10880033191</v>
          </cell>
        </row>
        <row r="5445">
          <cell r="D5445">
            <v>10880033745</v>
          </cell>
        </row>
        <row r="5446">
          <cell r="D5446">
            <v>10880032609</v>
          </cell>
        </row>
        <row r="5447">
          <cell r="D5447">
            <v>10880028345</v>
          </cell>
        </row>
        <row r="5448">
          <cell r="D5448">
            <v>10880018097</v>
          </cell>
        </row>
        <row r="5449">
          <cell r="D5449">
            <v>10880012825</v>
          </cell>
        </row>
        <row r="5450">
          <cell r="D5450">
            <v>10880030620</v>
          </cell>
        </row>
        <row r="5451">
          <cell r="D5451">
            <v>10880033661</v>
          </cell>
        </row>
        <row r="5452">
          <cell r="D5452">
            <v>10880035532</v>
          </cell>
        </row>
        <row r="5453">
          <cell r="D5453">
            <v>10880035119</v>
          </cell>
        </row>
        <row r="5454">
          <cell r="D5454">
            <v>10880031114</v>
          </cell>
        </row>
        <row r="5455">
          <cell r="D5455">
            <v>10880027957</v>
          </cell>
        </row>
        <row r="5456">
          <cell r="D5456">
            <v>10880031183</v>
          </cell>
        </row>
        <row r="5457">
          <cell r="D5457">
            <v>10880022471</v>
          </cell>
        </row>
        <row r="5458">
          <cell r="D5458">
            <v>10880033720</v>
          </cell>
        </row>
        <row r="5459">
          <cell r="D5459">
            <v>10880034518</v>
          </cell>
        </row>
        <row r="5460">
          <cell r="D5460">
            <v>10880033654</v>
          </cell>
        </row>
        <row r="5461">
          <cell r="D5461">
            <v>10880018524</v>
          </cell>
        </row>
        <row r="5462">
          <cell r="D5462">
            <v>10880018524</v>
          </cell>
        </row>
        <row r="5463">
          <cell r="D5463">
            <v>10880033564</v>
          </cell>
        </row>
        <row r="5464">
          <cell r="D5464">
            <v>10880033460</v>
          </cell>
        </row>
        <row r="5465">
          <cell r="D5465">
            <v>10880031096</v>
          </cell>
        </row>
        <row r="5466">
          <cell r="D5466">
            <v>10880034669</v>
          </cell>
        </row>
        <row r="5467">
          <cell r="D5467">
            <v>10880030920</v>
          </cell>
        </row>
        <row r="5468">
          <cell r="D5468">
            <v>10880020209</v>
          </cell>
        </row>
        <row r="5469">
          <cell r="D5469">
            <v>10880033661</v>
          </cell>
        </row>
        <row r="5470">
          <cell r="D5470">
            <v>10880033584</v>
          </cell>
        </row>
        <row r="5471">
          <cell r="D5471">
            <v>10880034142</v>
          </cell>
        </row>
        <row r="5472">
          <cell r="D5472">
            <v>10880017526</v>
          </cell>
        </row>
        <row r="5473">
          <cell r="D5473">
            <v>10880033695</v>
          </cell>
        </row>
        <row r="5474">
          <cell r="D5474">
            <v>10880033717</v>
          </cell>
        </row>
        <row r="5475">
          <cell r="D5475">
            <v>10880034995</v>
          </cell>
        </row>
        <row r="5476">
          <cell r="D5476">
            <v>10880021767</v>
          </cell>
        </row>
        <row r="5477">
          <cell r="D5477">
            <v>10880032573</v>
          </cell>
        </row>
        <row r="5478">
          <cell r="D5478">
            <v>10880031525</v>
          </cell>
        </row>
        <row r="5479">
          <cell r="D5479">
            <v>10880030545</v>
          </cell>
        </row>
        <row r="5480">
          <cell r="D5480">
            <v>10880031020</v>
          </cell>
        </row>
        <row r="5481">
          <cell r="D5481">
            <v>10880033634</v>
          </cell>
        </row>
        <row r="5482">
          <cell r="D5482">
            <v>10880033635</v>
          </cell>
        </row>
        <row r="5483">
          <cell r="D5483">
            <v>10880034554</v>
          </cell>
        </row>
        <row r="5484">
          <cell r="D5484">
            <v>10880035234</v>
          </cell>
        </row>
        <row r="5485">
          <cell r="D5485">
            <v>10880020209</v>
          </cell>
        </row>
        <row r="5486">
          <cell r="D5486">
            <v>10880021545</v>
          </cell>
        </row>
        <row r="5487">
          <cell r="D5487">
            <v>10880028929</v>
          </cell>
        </row>
        <row r="5488">
          <cell r="D5488">
            <v>10880033325</v>
          </cell>
        </row>
        <row r="5489">
          <cell r="D5489">
            <v>10880029053</v>
          </cell>
        </row>
        <row r="5490">
          <cell r="D5490">
            <v>10880031760</v>
          </cell>
        </row>
        <row r="5491">
          <cell r="D5491">
            <v>10880034622</v>
          </cell>
        </row>
        <row r="5492">
          <cell r="D5492">
            <v>10880030545</v>
          </cell>
        </row>
        <row r="5493">
          <cell r="D5493">
            <v>10880033329</v>
          </cell>
        </row>
        <row r="5494">
          <cell r="D5494">
            <v>10880020802</v>
          </cell>
        </row>
        <row r="5495">
          <cell r="D5495">
            <v>10880032322</v>
          </cell>
        </row>
        <row r="5496">
          <cell r="D5496">
            <v>10880033523</v>
          </cell>
        </row>
        <row r="5497">
          <cell r="D5497">
            <v>10880017949</v>
          </cell>
        </row>
        <row r="5498">
          <cell r="D5498">
            <v>10880031015</v>
          </cell>
        </row>
        <row r="5499">
          <cell r="D5499">
            <v>10880033720</v>
          </cell>
        </row>
        <row r="5500">
          <cell r="D5500">
            <v>10880033610</v>
          </cell>
        </row>
        <row r="5501">
          <cell r="D5501">
            <v>10880034621</v>
          </cell>
        </row>
        <row r="5502">
          <cell r="D5502">
            <v>10880033585</v>
          </cell>
        </row>
        <row r="5503">
          <cell r="D5503">
            <v>10880029957</v>
          </cell>
        </row>
        <row r="5504">
          <cell r="D5504">
            <v>10880033279</v>
          </cell>
        </row>
        <row r="5505">
          <cell r="D5505">
            <v>10880020558</v>
          </cell>
        </row>
        <row r="5506">
          <cell r="D5506">
            <v>10880033745</v>
          </cell>
        </row>
        <row r="5507">
          <cell r="D5507">
            <v>10880032943</v>
          </cell>
        </row>
        <row r="5508">
          <cell r="D5508">
            <v>10880032944</v>
          </cell>
        </row>
        <row r="5509">
          <cell r="D5509">
            <v>10880031113</v>
          </cell>
        </row>
        <row r="5510">
          <cell r="D5510">
            <v>10880031115</v>
          </cell>
        </row>
        <row r="5511">
          <cell r="D5511">
            <v>10880034417</v>
          </cell>
        </row>
        <row r="5512">
          <cell r="D5512">
            <v>10880033654</v>
          </cell>
        </row>
        <row r="5513">
          <cell r="D5513">
            <v>10880034933</v>
          </cell>
        </row>
        <row r="5514">
          <cell r="D5514">
            <v>10880033974</v>
          </cell>
        </row>
        <row r="5515">
          <cell r="D5515">
            <v>10880030608</v>
          </cell>
        </row>
        <row r="5516">
          <cell r="D5516">
            <v>10880032945</v>
          </cell>
        </row>
        <row r="5517">
          <cell r="D5517">
            <v>10880033692</v>
          </cell>
        </row>
        <row r="5518">
          <cell r="D5518">
            <v>10880035532</v>
          </cell>
        </row>
        <row r="5519">
          <cell r="D5519">
            <v>10880012825</v>
          </cell>
        </row>
        <row r="5520">
          <cell r="D5520">
            <v>10880034575</v>
          </cell>
        </row>
        <row r="5521">
          <cell r="D5521">
            <v>10880030004</v>
          </cell>
        </row>
        <row r="5522">
          <cell r="D5522">
            <v>10880033717</v>
          </cell>
        </row>
        <row r="5523">
          <cell r="D5523">
            <v>10880030545</v>
          </cell>
        </row>
        <row r="5524">
          <cell r="D5524">
            <v>10880030550</v>
          </cell>
        </row>
        <row r="5525">
          <cell r="D5525">
            <v>10880030545</v>
          </cell>
        </row>
        <row r="5526">
          <cell r="D5526">
            <v>10880034622</v>
          </cell>
        </row>
        <row r="5527">
          <cell r="D5527">
            <v>10880033564</v>
          </cell>
        </row>
        <row r="5528">
          <cell r="D5528">
            <v>10880034563</v>
          </cell>
        </row>
        <row r="5529">
          <cell r="D5529">
            <v>10880035119</v>
          </cell>
        </row>
        <row r="5530">
          <cell r="D5530">
            <v>10880034575</v>
          </cell>
        </row>
        <row r="5531">
          <cell r="D5531">
            <v>10880035167</v>
          </cell>
        </row>
        <row r="5532">
          <cell r="D5532">
            <v>10880022123</v>
          </cell>
        </row>
        <row r="5533">
          <cell r="D5533">
            <v>10880033654</v>
          </cell>
        </row>
        <row r="5534">
          <cell r="D5534">
            <v>10880018524</v>
          </cell>
        </row>
        <row r="5535">
          <cell r="D5535">
            <v>10880031560</v>
          </cell>
        </row>
        <row r="5536">
          <cell r="D5536">
            <v>10880030551</v>
          </cell>
        </row>
        <row r="5537">
          <cell r="D5537">
            <v>10880034619</v>
          </cell>
        </row>
        <row r="5538">
          <cell r="D5538">
            <v>10880030545</v>
          </cell>
        </row>
        <row r="5539">
          <cell r="D5539">
            <v>10880031020</v>
          </cell>
        </row>
        <row r="5540">
          <cell r="D5540">
            <v>10880033560</v>
          </cell>
        </row>
        <row r="5541">
          <cell r="D5541">
            <v>10880032683</v>
          </cell>
        </row>
        <row r="5542">
          <cell r="D5542">
            <v>10880035543</v>
          </cell>
        </row>
        <row r="5543">
          <cell r="D5543">
            <v>10880030491</v>
          </cell>
        </row>
        <row r="5544">
          <cell r="D5544">
            <v>10880030491</v>
          </cell>
        </row>
        <row r="5545">
          <cell r="D5545">
            <v>10880031011</v>
          </cell>
        </row>
        <row r="5546">
          <cell r="D5546">
            <v>10880022470</v>
          </cell>
        </row>
        <row r="5547">
          <cell r="D5547">
            <v>10880034957</v>
          </cell>
        </row>
        <row r="5548">
          <cell r="D5548">
            <v>10880020802</v>
          </cell>
        </row>
        <row r="5549">
          <cell r="D5549">
            <v>10880019240</v>
          </cell>
        </row>
        <row r="5550">
          <cell r="D5550">
            <v>10880033523</v>
          </cell>
        </row>
        <row r="5551">
          <cell r="D5551">
            <v>10880034575</v>
          </cell>
        </row>
        <row r="5552">
          <cell r="D5552">
            <v>10880030004</v>
          </cell>
        </row>
        <row r="5553">
          <cell r="D5553">
            <v>10880033329</v>
          </cell>
        </row>
        <row r="5554">
          <cell r="D5554">
            <v>10880035380</v>
          </cell>
        </row>
        <row r="5555">
          <cell r="D5555">
            <v>10880033301</v>
          </cell>
        </row>
        <row r="5556">
          <cell r="D5556">
            <v>10880017525</v>
          </cell>
        </row>
        <row r="5557">
          <cell r="D5557">
            <v>10880017526</v>
          </cell>
        </row>
        <row r="5558">
          <cell r="D5558">
            <v>10880029999</v>
          </cell>
        </row>
        <row r="5559">
          <cell r="D5559">
            <v>10880034251</v>
          </cell>
        </row>
        <row r="5560">
          <cell r="D5560">
            <v>10880033785</v>
          </cell>
        </row>
        <row r="5561">
          <cell r="D5561">
            <v>10880033654</v>
          </cell>
        </row>
        <row r="5562">
          <cell r="D5562">
            <v>10880030596</v>
          </cell>
        </row>
        <row r="5563">
          <cell r="D5563">
            <v>10880028306</v>
          </cell>
        </row>
        <row r="5564">
          <cell r="D5564">
            <v>10880028307</v>
          </cell>
        </row>
        <row r="5565">
          <cell r="D5565">
            <v>10880022441</v>
          </cell>
        </row>
        <row r="5566">
          <cell r="D5566">
            <v>10880028831</v>
          </cell>
        </row>
        <row r="5567">
          <cell r="D5567">
            <v>10880020556</v>
          </cell>
        </row>
        <row r="5568">
          <cell r="D5568">
            <v>10880029055</v>
          </cell>
        </row>
        <row r="5569">
          <cell r="D5569">
            <v>10880028345</v>
          </cell>
        </row>
        <row r="5570">
          <cell r="D5570">
            <v>10880032944</v>
          </cell>
        </row>
        <row r="5571">
          <cell r="D5571">
            <v>10880031307</v>
          </cell>
        </row>
        <row r="5572">
          <cell r="D5572">
            <v>10880030545</v>
          </cell>
        </row>
        <row r="5573">
          <cell r="D5573">
            <v>10880033329</v>
          </cell>
        </row>
        <row r="5574">
          <cell r="D5574">
            <v>10880030132</v>
          </cell>
        </row>
        <row r="5575">
          <cell r="D5575">
            <v>10880022442</v>
          </cell>
        </row>
        <row r="5576">
          <cell r="D5576">
            <v>10880028469</v>
          </cell>
        </row>
        <row r="5577">
          <cell r="D5577">
            <v>10880032943</v>
          </cell>
        </row>
        <row r="5578">
          <cell r="D5578">
            <v>10880035379</v>
          </cell>
        </row>
        <row r="5579">
          <cell r="D5579">
            <v>10880033692</v>
          </cell>
        </row>
        <row r="5580">
          <cell r="D5580">
            <v>10880035532</v>
          </cell>
        </row>
        <row r="5581">
          <cell r="D5581">
            <v>10880035167</v>
          </cell>
        </row>
        <row r="5582">
          <cell r="D5582">
            <v>10880035721</v>
          </cell>
        </row>
        <row r="5583">
          <cell r="D5583">
            <v>10880018093</v>
          </cell>
        </row>
        <row r="5584">
          <cell r="D5584">
            <v>10880034518</v>
          </cell>
        </row>
        <row r="5585">
          <cell r="D5585">
            <v>10880031020</v>
          </cell>
        </row>
        <row r="5586">
          <cell r="D5586">
            <v>10880015879</v>
          </cell>
        </row>
        <row r="5587">
          <cell r="D5587">
            <v>10880033325</v>
          </cell>
        </row>
        <row r="5588">
          <cell r="D5588">
            <v>10880031560</v>
          </cell>
        </row>
        <row r="5589">
          <cell r="D5589">
            <v>10880034563</v>
          </cell>
        </row>
        <row r="5590">
          <cell r="D5590">
            <v>10880020558</v>
          </cell>
        </row>
        <row r="5591">
          <cell r="D5591">
            <v>10880035119</v>
          </cell>
        </row>
        <row r="5592">
          <cell r="D5592">
            <v>10880034142</v>
          </cell>
        </row>
        <row r="5593">
          <cell r="D5593">
            <v>10880035379</v>
          </cell>
        </row>
        <row r="5594">
          <cell r="D5594">
            <v>10880031096</v>
          </cell>
        </row>
        <row r="5595">
          <cell r="D5595">
            <v>10880031072</v>
          </cell>
        </row>
        <row r="5596">
          <cell r="D5596">
            <v>10880034957</v>
          </cell>
        </row>
        <row r="5597">
          <cell r="D5597">
            <v>10880029957</v>
          </cell>
        </row>
        <row r="5598">
          <cell r="D5598">
            <v>10880035381</v>
          </cell>
        </row>
        <row r="5599">
          <cell r="D5599">
            <v>10880033584</v>
          </cell>
        </row>
        <row r="5600">
          <cell r="D5600">
            <v>10880033720</v>
          </cell>
        </row>
        <row r="5601">
          <cell r="D5601">
            <v>10880033325</v>
          </cell>
        </row>
        <row r="5602">
          <cell r="D5602">
            <v>10880035543</v>
          </cell>
        </row>
        <row r="5603">
          <cell r="D5603">
            <v>10880030545</v>
          </cell>
        </row>
        <row r="5604">
          <cell r="D5604">
            <v>10880034622</v>
          </cell>
        </row>
        <row r="5605">
          <cell r="D5605">
            <v>10880034056</v>
          </cell>
        </row>
        <row r="5606">
          <cell r="D5606">
            <v>10880028834</v>
          </cell>
        </row>
        <row r="5607">
          <cell r="D5607">
            <v>10880020275</v>
          </cell>
        </row>
        <row r="5608">
          <cell r="D5608">
            <v>10880020275</v>
          </cell>
        </row>
        <row r="5609">
          <cell r="D5609">
            <v>10880033301</v>
          </cell>
        </row>
        <row r="5610">
          <cell r="D5610">
            <v>10880032479</v>
          </cell>
        </row>
        <row r="5611">
          <cell r="D5611">
            <v>10880035380</v>
          </cell>
        </row>
        <row r="5612">
          <cell r="D5612">
            <v>10880022123</v>
          </cell>
        </row>
        <row r="5613">
          <cell r="D5613">
            <v>10880034518</v>
          </cell>
        </row>
        <row r="5614">
          <cell r="D5614">
            <v>10880030491</v>
          </cell>
        </row>
        <row r="5615">
          <cell r="D5615">
            <v>10880034610</v>
          </cell>
        </row>
        <row r="5616">
          <cell r="D5616">
            <v>10880034619</v>
          </cell>
        </row>
        <row r="5617">
          <cell r="D5617">
            <v>10880033564</v>
          </cell>
        </row>
        <row r="5618">
          <cell r="D5618">
            <v>10880019434</v>
          </cell>
        </row>
        <row r="5619">
          <cell r="D5619">
            <v>10880020558</v>
          </cell>
        </row>
        <row r="5620">
          <cell r="D5620">
            <v>10880034669</v>
          </cell>
        </row>
        <row r="5621">
          <cell r="D5621">
            <v>10880031113</v>
          </cell>
        </row>
        <row r="5622">
          <cell r="D5622">
            <v>10880033661</v>
          </cell>
        </row>
        <row r="5623">
          <cell r="D5623">
            <v>10880035721</v>
          </cell>
        </row>
        <row r="5624">
          <cell r="D5624">
            <v>10880020275</v>
          </cell>
        </row>
        <row r="5625">
          <cell r="D5625">
            <v>10880033717</v>
          </cell>
        </row>
        <row r="5626">
          <cell r="D5626">
            <v>10880033654</v>
          </cell>
        </row>
        <row r="5627">
          <cell r="D5627">
            <v>10880030004</v>
          </cell>
        </row>
        <row r="5628">
          <cell r="D5628">
            <v>10880034563</v>
          </cell>
        </row>
        <row r="5629">
          <cell r="D5629">
            <v>10880013146</v>
          </cell>
        </row>
        <row r="5630">
          <cell r="D5630">
            <v>10880033312</v>
          </cell>
        </row>
        <row r="5631">
          <cell r="D5631">
            <v>10880033585</v>
          </cell>
        </row>
        <row r="5632">
          <cell r="D5632">
            <v>10880034956</v>
          </cell>
        </row>
        <row r="5633">
          <cell r="D5633">
            <v>10880021015</v>
          </cell>
        </row>
        <row r="5634">
          <cell r="D5634">
            <v>10880021019</v>
          </cell>
        </row>
        <row r="5635">
          <cell r="D5635">
            <v>10880018097</v>
          </cell>
        </row>
        <row r="5636">
          <cell r="D5636">
            <v>10880019240</v>
          </cell>
        </row>
        <row r="5637">
          <cell r="D5637">
            <v>10880033690</v>
          </cell>
        </row>
        <row r="5638">
          <cell r="D5638">
            <v>10880021311</v>
          </cell>
        </row>
        <row r="5639">
          <cell r="D5639">
            <v>10880018845</v>
          </cell>
        </row>
        <row r="5640">
          <cell r="D5640">
            <v>10880031183</v>
          </cell>
        </row>
        <row r="5641">
          <cell r="D5641">
            <v>10880033720</v>
          </cell>
        </row>
        <row r="5642">
          <cell r="D5642">
            <v>10880033400</v>
          </cell>
        </row>
        <row r="5643">
          <cell r="D5643">
            <v>10880033400</v>
          </cell>
        </row>
        <row r="5644">
          <cell r="D5644">
            <v>10880033916</v>
          </cell>
        </row>
        <row r="5645">
          <cell r="D5645">
            <v>10880033654</v>
          </cell>
        </row>
        <row r="5646">
          <cell r="D5646">
            <v>10880029053</v>
          </cell>
        </row>
        <row r="5647">
          <cell r="D5647">
            <v>10880031011</v>
          </cell>
        </row>
        <row r="5648">
          <cell r="D5648">
            <v>10880034608</v>
          </cell>
        </row>
        <row r="5649">
          <cell r="D5649">
            <v>10880019205</v>
          </cell>
        </row>
        <row r="5650">
          <cell r="D5650">
            <v>10880020192</v>
          </cell>
        </row>
        <row r="5651">
          <cell r="D5651">
            <v>10880020048</v>
          </cell>
        </row>
        <row r="5652">
          <cell r="D5652">
            <v>10880030596</v>
          </cell>
        </row>
        <row r="5653">
          <cell r="D5653">
            <v>10880018848</v>
          </cell>
        </row>
        <row r="5654">
          <cell r="D5654">
            <v>10880029999</v>
          </cell>
        </row>
        <row r="5655">
          <cell r="D5655">
            <v>10880016188</v>
          </cell>
        </row>
        <row r="5656">
          <cell r="D5656">
            <v>10880032386</v>
          </cell>
        </row>
        <row r="5657">
          <cell r="D5657">
            <v>10880033785</v>
          </cell>
        </row>
        <row r="5658">
          <cell r="D5658">
            <v>10880034957</v>
          </cell>
        </row>
        <row r="5659">
          <cell r="D5659">
            <v>10880033273</v>
          </cell>
        </row>
        <row r="5660">
          <cell r="D5660">
            <v>10880028831</v>
          </cell>
        </row>
        <row r="5661">
          <cell r="D5661">
            <v>10880027988</v>
          </cell>
        </row>
        <row r="5662">
          <cell r="D5662">
            <v>10880033273</v>
          </cell>
        </row>
        <row r="5663">
          <cell r="D5663">
            <v>10880034669</v>
          </cell>
        </row>
        <row r="5664">
          <cell r="D5664">
            <v>10880033523</v>
          </cell>
        </row>
        <row r="5665">
          <cell r="D5665">
            <v>10880028929</v>
          </cell>
        </row>
        <row r="5666">
          <cell r="D5666">
            <v>10880034417</v>
          </cell>
        </row>
        <row r="5667">
          <cell r="D5667">
            <v>10880034417</v>
          </cell>
        </row>
        <row r="5668">
          <cell r="D5668">
            <v>10880022123</v>
          </cell>
        </row>
        <row r="5669">
          <cell r="D5669">
            <v>10880031018</v>
          </cell>
        </row>
        <row r="5670">
          <cell r="D5670">
            <v>10880033325</v>
          </cell>
        </row>
        <row r="5671">
          <cell r="D5671">
            <v>10880034609</v>
          </cell>
        </row>
        <row r="5672">
          <cell r="D5672">
            <v>10880035721</v>
          </cell>
        </row>
        <row r="5673">
          <cell r="D5673">
            <v>10880035379</v>
          </cell>
        </row>
        <row r="5674">
          <cell r="D5674">
            <v>10880020222</v>
          </cell>
        </row>
        <row r="5675">
          <cell r="D5675">
            <v>10880031600</v>
          </cell>
        </row>
        <row r="5676">
          <cell r="D5676">
            <v>10880033329</v>
          </cell>
        </row>
        <row r="5677">
          <cell r="D5677">
            <v>10880029957</v>
          </cell>
        </row>
        <row r="5678">
          <cell r="D5678">
            <v>10880019434</v>
          </cell>
        </row>
        <row r="5679">
          <cell r="D5679">
            <v>10880033273</v>
          </cell>
        </row>
        <row r="5680">
          <cell r="D5680">
            <v>10880034669</v>
          </cell>
        </row>
        <row r="5681">
          <cell r="D5681">
            <v>10880035119</v>
          </cell>
        </row>
        <row r="5682">
          <cell r="D5682">
            <v>10880031114</v>
          </cell>
        </row>
        <row r="5683">
          <cell r="D5683">
            <v>10880031115</v>
          </cell>
        </row>
        <row r="5684">
          <cell r="D5684">
            <v>10880035186</v>
          </cell>
        </row>
        <row r="5685">
          <cell r="D5685">
            <v>10880022123</v>
          </cell>
        </row>
        <row r="5686">
          <cell r="D5686">
            <v>10880029958</v>
          </cell>
        </row>
        <row r="5687">
          <cell r="D5687">
            <v>10880028345</v>
          </cell>
        </row>
        <row r="5688">
          <cell r="D5688">
            <v>10880031096</v>
          </cell>
        </row>
        <row r="5689">
          <cell r="D5689">
            <v>10880031096</v>
          </cell>
        </row>
        <row r="5690">
          <cell r="D5690">
            <v>10880032573</v>
          </cell>
        </row>
        <row r="5691">
          <cell r="D5691">
            <v>10880030187</v>
          </cell>
        </row>
        <row r="5692">
          <cell r="D5692">
            <v>10880033312</v>
          </cell>
        </row>
        <row r="5693">
          <cell r="D5693">
            <v>10880033312</v>
          </cell>
        </row>
        <row r="5694">
          <cell r="D5694">
            <v>10880030132</v>
          </cell>
        </row>
        <row r="5695">
          <cell r="D5695">
            <v>10880034563</v>
          </cell>
        </row>
        <row r="5696">
          <cell r="D5696">
            <v>10880020640</v>
          </cell>
        </row>
        <row r="5697">
          <cell r="D5697">
            <v>10880029055</v>
          </cell>
        </row>
        <row r="5698">
          <cell r="D5698">
            <v>10880028469</v>
          </cell>
        </row>
        <row r="5699">
          <cell r="D5699">
            <v>10880031186</v>
          </cell>
        </row>
        <row r="5700">
          <cell r="D5700">
            <v>10880021269</v>
          </cell>
        </row>
        <row r="5701">
          <cell r="D5701">
            <v>10880020048</v>
          </cell>
        </row>
        <row r="5702">
          <cell r="D5702">
            <v>10880014776</v>
          </cell>
        </row>
        <row r="5703">
          <cell r="D5703">
            <v>10880030004</v>
          </cell>
        </row>
        <row r="5704">
          <cell r="D5704">
            <v>10880033785</v>
          </cell>
        </row>
        <row r="5705">
          <cell r="D5705">
            <v>10880012825</v>
          </cell>
        </row>
        <row r="5706">
          <cell r="D5706">
            <v>10880028306</v>
          </cell>
        </row>
        <row r="5707">
          <cell r="D5707">
            <v>10880022123</v>
          </cell>
        </row>
        <row r="5708">
          <cell r="D5708">
            <v>10880035235</v>
          </cell>
        </row>
        <row r="5709">
          <cell r="D5709">
            <v>10880030491</v>
          </cell>
        </row>
        <row r="5710">
          <cell r="D5710">
            <v>10880030519</v>
          </cell>
        </row>
        <row r="5711">
          <cell r="D5711">
            <v>10880033137</v>
          </cell>
        </row>
        <row r="5712">
          <cell r="D5712">
            <v>10880030608</v>
          </cell>
        </row>
        <row r="5713">
          <cell r="D5713">
            <v>10880032885</v>
          </cell>
        </row>
        <row r="5714">
          <cell r="D5714">
            <v>10880033689</v>
          </cell>
        </row>
        <row r="5715">
          <cell r="D5715">
            <v>10880033690</v>
          </cell>
        </row>
        <row r="5716">
          <cell r="D5716">
            <v>10880033974</v>
          </cell>
        </row>
        <row r="5717">
          <cell r="D5717">
            <v>10880035721</v>
          </cell>
        </row>
        <row r="5718">
          <cell r="D5718">
            <v>10880033695</v>
          </cell>
        </row>
        <row r="5719">
          <cell r="D5719">
            <v>10880033695</v>
          </cell>
        </row>
        <row r="5720">
          <cell r="D5720">
            <v>10880033720</v>
          </cell>
        </row>
        <row r="5721">
          <cell r="D5721">
            <v>10880033720</v>
          </cell>
        </row>
        <row r="5722">
          <cell r="D5722">
            <v>10880034518</v>
          </cell>
        </row>
        <row r="5723">
          <cell r="D5723">
            <v>10880034417</v>
          </cell>
        </row>
        <row r="5724">
          <cell r="D5724">
            <v>10880033654</v>
          </cell>
        </row>
        <row r="5725">
          <cell r="D5725">
            <v>10880030545</v>
          </cell>
        </row>
        <row r="5726">
          <cell r="D5726">
            <v>10880030550</v>
          </cell>
        </row>
        <row r="5727">
          <cell r="D5727">
            <v>10880030545</v>
          </cell>
        </row>
        <row r="5728">
          <cell r="D5728">
            <v>10880034622</v>
          </cell>
        </row>
        <row r="5729">
          <cell r="D5729">
            <v>10880033329</v>
          </cell>
        </row>
        <row r="5730">
          <cell r="D5730">
            <v>10880020222</v>
          </cell>
        </row>
        <row r="5731">
          <cell r="D5731">
            <v>10880020556</v>
          </cell>
        </row>
        <row r="5732">
          <cell r="D5732">
            <v>10880035167</v>
          </cell>
        </row>
        <row r="5733">
          <cell r="D5733">
            <v>10880033217</v>
          </cell>
        </row>
        <row r="5734">
          <cell r="D5734">
            <v>10880033325</v>
          </cell>
        </row>
        <row r="5735">
          <cell r="D5735">
            <v>10880030431</v>
          </cell>
        </row>
        <row r="5736">
          <cell r="D5736">
            <v>10880030545</v>
          </cell>
        </row>
        <row r="5737">
          <cell r="D5737">
            <v>10880034622</v>
          </cell>
        </row>
        <row r="5738">
          <cell r="D5738">
            <v>10880028881</v>
          </cell>
        </row>
        <row r="5739">
          <cell r="D5739">
            <v>10880029054</v>
          </cell>
        </row>
        <row r="5740">
          <cell r="D5740">
            <v>10880029055</v>
          </cell>
        </row>
        <row r="5741">
          <cell r="D5741">
            <v>10880031097</v>
          </cell>
        </row>
        <row r="5742">
          <cell r="D5742">
            <v>10880028469</v>
          </cell>
        </row>
        <row r="5743">
          <cell r="D5743">
            <v>10880020224</v>
          </cell>
        </row>
        <row r="5744">
          <cell r="D5744">
            <v>10880020225</v>
          </cell>
        </row>
        <row r="5745">
          <cell r="D5745">
            <v>10880033855</v>
          </cell>
        </row>
        <row r="5746">
          <cell r="D5746">
            <v>10880034385</v>
          </cell>
        </row>
        <row r="5747">
          <cell r="D5747">
            <v>10880034554</v>
          </cell>
        </row>
        <row r="5748">
          <cell r="D5748">
            <v>10880033523</v>
          </cell>
        </row>
        <row r="5749">
          <cell r="D5749">
            <v>10880012825</v>
          </cell>
        </row>
        <row r="5750">
          <cell r="D5750">
            <v>10880018848</v>
          </cell>
        </row>
        <row r="5751">
          <cell r="D5751">
            <v>10880033785</v>
          </cell>
        </row>
        <row r="5752">
          <cell r="D5752">
            <v>10880033534</v>
          </cell>
        </row>
        <row r="5753">
          <cell r="D5753">
            <v>10880034196</v>
          </cell>
        </row>
        <row r="5754">
          <cell r="D5754">
            <v>10880034196</v>
          </cell>
        </row>
        <row r="5755">
          <cell r="D5755">
            <v>10880033329</v>
          </cell>
        </row>
        <row r="5756">
          <cell r="D5756">
            <v>10880033585</v>
          </cell>
        </row>
        <row r="5757">
          <cell r="D5757">
            <v>10880030132</v>
          </cell>
        </row>
        <row r="5758">
          <cell r="D5758">
            <v>10880033312</v>
          </cell>
        </row>
        <row r="5759">
          <cell r="D5759">
            <v>10880020048</v>
          </cell>
        </row>
        <row r="5760">
          <cell r="D5760">
            <v>10880034629</v>
          </cell>
        </row>
        <row r="5761">
          <cell r="D5761">
            <v>10880019773</v>
          </cell>
        </row>
        <row r="5762">
          <cell r="D5762">
            <v>10880034669</v>
          </cell>
        </row>
        <row r="5763">
          <cell r="D5763">
            <v>10880034142</v>
          </cell>
        </row>
        <row r="5764">
          <cell r="D5764">
            <v>10880033400</v>
          </cell>
        </row>
        <row r="5765">
          <cell r="D5765">
            <v>10880033661</v>
          </cell>
        </row>
        <row r="5766">
          <cell r="D5766">
            <v>10880033535</v>
          </cell>
        </row>
        <row r="5767">
          <cell r="D5767">
            <v>10880034518</v>
          </cell>
        </row>
        <row r="5768">
          <cell r="D5768">
            <v>10880031525</v>
          </cell>
        </row>
        <row r="5769">
          <cell r="D5769">
            <v>10880032573</v>
          </cell>
        </row>
        <row r="5770">
          <cell r="D5770">
            <v>10880033251</v>
          </cell>
        </row>
        <row r="5771">
          <cell r="D5771">
            <v>10880030976</v>
          </cell>
        </row>
        <row r="5772">
          <cell r="D5772">
            <v>10880033280</v>
          </cell>
        </row>
        <row r="5773">
          <cell r="D5773">
            <v>10880020222</v>
          </cell>
        </row>
        <row r="5774">
          <cell r="D5774">
            <v>10880020558</v>
          </cell>
        </row>
        <row r="5775">
          <cell r="D5775">
            <v>10880033911</v>
          </cell>
        </row>
        <row r="5776">
          <cell r="D5776">
            <v>10880034669</v>
          </cell>
        </row>
        <row r="5777">
          <cell r="D5777">
            <v>10880033301</v>
          </cell>
        </row>
        <row r="5778">
          <cell r="D5778">
            <v>10880029999</v>
          </cell>
        </row>
        <row r="5779">
          <cell r="D5779">
            <v>10880021767</v>
          </cell>
        </row>
        <row r="5780">
          <cell r="D5780">
            <v>10880035754</v>
          </cell>
        </row>
        <row r="5781">
          <cell r="D5781">
            <v>10880033654</v>
          </cell>
        </row>
        <row r="5782">
          <cell r="D5782">
            <v>10880030551</v>
          </cell>
        </row>
        <row r="5783">
          <cell r="D5783">
            <v>10880034619</v>
          </cell>
        </row>
        <row r="5784">
          <cell r="D5784">
            <v>10880030545</v>
          </cell>
        </row>
        <row r="5785">
          <cell r="D5785">
            <v>10880031020</v>
          </cell>
        </row>
        <row r="5786">
          <cell r="D5786">
            <v>10880030545</v>
          </cell>
        </row>
        <row r="5787">
          <cell r="D5787">
            <v>10880031020</v>
          </cell>
        </row>
        <row r="5788">
          <cell r="D5788">
            <v>10880030520</v>
          </cell>
        </row>
        <row r="5789">
          <cell r="D5789">
            <v>10880033329</v>
          </cell>
        </row>
        <row r="5790">
          <cell r="D5790">
            <v>10880028831</v>
          </cell>
        </row>
        <row r="5791">
          <cell r="D5791">
            <v>10880033602</v>
          </cell>
        </row>
        <row r="5792">
          <cell r="D5792">
            <v>10880032943</v>
          </cell>
        </row>
        <row r="5793">
          <cell r="D5793">
            <v>10880032944</v>
          </cell>
        </row>
        <row r="5794">
          <cell r="D5794">
            <v>10880033523</v>
          </cell>
        </row>
        <row r="5795">
          <cell r="D5795">
            <v>10880028929</v>
          </cell>
        </row>
        <row r="5796">
          <cell r="D5796">
            <v>10880028929</v>
          </cell>
        </row>
        <row r="5797">
          <cell r="D5797">
            <v>10880012825</v>
          </cell>
        </row>
        <row r="5798">
          <cell r="D5798">
            <v>10880033325</v>
          </cell>
        </row>
        <row r="5799">
          <cell r="D5799">
            <v>10880033654</v>
          </cell>
        </row>
        <row r="5800">
          <cell r="D5800">
            <v>10880034621</v>
          </cell>
        </row>
        <row r="5801">
          <cell r="D5801">
            <v>10880031011</v>
          </cell>
        </row>
        <row r="5802">
          <cell r="D5802">
            <v>10880031760</v>
          </cell>
        </row>
        <row r="5803">
          <cell r="D5803">
            <v>10880031113</v>
          </cell>
        </row>
        <row r="5804">
          <cell r="D5804">
            <v>10880030608</v>
          </cell>
        </row>
        <row r="5805">
          <cell r="D5805">
            <v>10880021015</v>
          </cell>
        </row>
        <row r="5806">
          <cell r="D5806">
            <v>10880031856</v>
          </cell>
        </row>
        <row r="5807">
          <cell r="D5807">
            <v>10880031186</v>
          </cell>
        </row>
        <row r="5808">
          <cell r="D5808">
            <v>10880028469</v>
          </cell>
        </row>
        <row r="5809">
          <cell r="D5809">
            <v>10880028306</v>
          </cell>
        </row>
        <row r="5810">
          <cell r="D5810">
            <v>10880022442</v>
          </cell>
        </row>
        <row r="5811">
          <cell r="D5811">
            <v>10880035186</v>
          </cell>
        </row>
        <row r="5812">
          <cell r="D5812">
            <v>10880033976</v>
          </cell>
        </row>
        <row r="5813">
          <cell r="D5813">
            <v>10880018093</v>
          </cell>
        </row>
        <row r="5814">
          <cell r="D5814">
            <v>10880020031</v>
          </cell>
        </row>
        <row r="5815">
          <cell r="D5815">
            <v>10880033654</v>
          </cell>
        </row>
        <row r="5816">
          <cell r="D5816">
            <v>10880029053</v>
          </cell>
        </row>
        <row r="5817">
          <cell r="D5817">
            <v>10880029033</v>
          </cell>
        </row>
        <row r="5818">
          <cell r="D5818">
            <v>10880030023</v>
          </cell>
        </row>
        <row r="5819">
          <cell r="D5819">
            <v>10880030545</v>
          </cell>
        </row>
        <row r="5820">
          <cell r="D5820">
            <v>10880030550</v>
          </cell>
        </row>
        <row r="5821">
          <cell r="D5821">
            <v>10880020222</v>
          </cell>
        </row>
        <row r="5822">
          <cell r="D5822">
            <v>10880017525</v>
          </cell>
        </row>
        <row r="5823">
          <cell r="D5823">
            <v>10880035167</v>
          </cell>
        </row>
        <row r="5824">
          <cell r="D5824">
            <v>10880030004</v>
          </cell>
        </row>
        <row r="5825">
          <cell r="D5825">
            <v>10880013146</v>
          </cell>
        </row>
        <row r="5826">
          <cell r="D5826">
            <v>10880020187</v>
          </cell>
        </row>
        <row r="5827">
          <cell r="D5827">
            <v>10880031096</v>
          </cell>
        </row>
        <row r="5828">
          <cell r="D5828">
            <v>10880031018</v>
          </cell>
        </row>
        <row r="5829">
          <cell r="D5829">
            <v>10880018096</v>
          </cell>
        </row>
        <row r="5830">
          <cell r="D5830">
            <v>10880031871</v>
          </cell>
        </row>
        <row r="5831">
          <cell r="D5831">
            <v>10880028306</v>
          </cell>
        </row>
        <row r="5832">
          <cell r="D5832">
            <v>10880028307</v>
          </cell>
        </row>
        <row r="5833">
          <cell r="D5833">
            <v>10880035167</v>
          </cell>
        </row>
        <row r="5834">
          <cell r="D5834">
            <v>10880035721</v>
          </cell>
        </row>
        <row r="5835">
          <cell r="D5835">
            <v>10880030203</v>
          </cell>
        </row>
        <row r="5836">
          <cell r="D5836">
            <v>10880020031</v>
          </cell>
        </row>
        <row r="5837">
          <cell r="D5837">
            <v>10880021545</v>
          </cell>
        </row>
        <row r="5838">
          <cell r="D5838">
            <v>10880031182</v>
          </cell>
        </row>
        <row r="5839">
          <cell r="D5839">
            <v>10880029053</v>
          </cell>
        </row>
        <row r="5840">
          <cell r="D5840">
            <v>10880029033</v>
          </cell>
        </row>
        <row r="5841">
          <cell r="D5841">
            <v>10880034932</v>
          </cell>
        </row>
        <row r="5842">
          <cell r="D5842">
            <v>10880030843</v>
          </cell>
        </row>
        <row r="5843">
          <cell r="D5843">
            <v>10880030178</v>
          </cell>
        </row>
        <row r="5844">
          <cell r="D5844">
            <v>10880019205</v>
          </cell>
        </row>
        <row r="5845">
          <cell r="D5845">
            <v>10880020192</v>
          </cell>
        </row>
        <row r="5846">
          <cell r="D5846">
            <v>10880027958</v>
          </cell>
        </row>
        <row r="5847">
          <cell r="D5847">
            <v>10880031114</v>
          </cell>
        </row>
        <row r="5848">
          <cell r="D5848">
            <v>10880018097</v>
          </cell>
        </row>
        <row r="5849">
          <cell r="D5849">
            <v>10880018097</v>
          </cell>
        </row>
        <row r="5850">
          <cell r="D5850">
            <v>10880030920</v>
          </cell>
        </row>
        <row r="5851">
          <cell r="D5851">
            <v>10880033692</v>
          </cell>
        </row>
        <row r="5852">
          <cell r="D5852">
            <v>10880034575</v>
          </cell>
        </row>
        <row r="5853">
          <cell r="D5853">
            <v>10880033805</v>
          </cell>
        </row>
        <row r="5854">
          <cell r="D5854">
            <v>10880017536</v>
          </cell>
        </row>
        <row r="5855">
          <cell r="D5855">
            <v>10880035167</v>
          </cell>
        </row>
        <row r="5856">
          <cell r="D5856">
            <v>10880030491</v>
          </cell>
        </row>
        <row r="5857">
          <cell r="D5857">
            <v>10880022123</v>
          </cell>
        </row>
        <row r="5858">
          <cell r="D5858">
            <v>10880033996</v>
          </cell>
        </row>
        <row r="5859">
          <cell r="D5859">
            <v>10880033654</v>
          </cell>
        </row>
        <row r="5860">
          <cell r="D5860">
            <v>10880033655</v>
          </cell>
        </row>
        <row r="5861">
          <cell r="D5861">
            <v>10880030551</v>
          </cell>
        </row>
        <row r="5862">
          <cell r="D5862">
            <v>10880020208</v>
          </cell>
        </row>
        <row r="5863">
          <cell r="D5863">
            <v>10880020209</v>
          </cell>
        </row>
        <row r="5864">
          <cell r="D5864">
            <v>10880035441</v>
          </cell>
        </row>
        <row r="5865">
          <cell r="D5865">
            <v>10880019240</v>
          </cell>
        </row>
        <row r="5866">
          <cell r="D5866">
            <v>10880028469</v>
          </cell>
        </row>
        <row r="5867">
          <cell r="D5867">
            <v>10880029055</v>
          </cell>
        </row>
        <row r="5868">
          <cell r="D5868">
            <v>10880030607</v>
          </cell>
        </row>
        <row r="5869">
          <cell r="D5869">
            <v>10880022406</v>
          </cell>
        </row>
        <row r="5870">
          <cell r="D5870">
            <v>10880022406</v>
          </cell>
        </row>
        <row r="5871">
          <cell r="D5871">
            <v>10880020637</v>
          </cell>
        </row>
        <row r="5872">
          <cell r="D5872">
            <v>10880017531</v>
          </cell>
        </row>
        <row r="5873">
          <cell r="D5873">
            <v>10880018093</v>
          </cell>
        </row>
        <row r="5874">
          <cell r="D5874">
            <v>10880035721</v>
          </cell>
        </row>
        <row r="5875">
          <cell r="D5875">
            <v>10880035721</v>
          </cell>
        </row>
        <row r="5876">
          <cell r="D5876">
            <v>10880033720</v>
          </cell>
        </row>
        <row r="5877">
          <cell r="D5877">
            <v>10880034417</v>
          </cell>
        </row>
        <row r="5878">
          <cell r="D5878">
            <v>10880034995</v>
          </cell>
        </row>
        <row r="5879">
          <cell r="D5879">
            <v>10880033655</v>
          </cell>
        </row>
        <row r="5880">
          <cell r="D5880">
            <v>10880033560</v>
          </cell>
        </row>
        <row r="5881">
          <cell r="D5881">
            <v>10880030608</v>
          </cell>
        </row>
        <row r="5882">
          <cell r="D5882">
            <v>10880028881</v>
          </cell>
        </row>
        <row r="5883">
          <cell r="D5883">
            <v>10880020556</v>
          </cell>
        </row>
        <row r="5884">
          <cell r="D5884">
            <v>10880017527</v>
          </cell>
        </row>
        <row r="5885">
          <cell r="D5885">
            <v>10880031304</v>
          </cell>
        </row>
        <row r="5886">
          <cell r="D5886">
            <v>10880033400</v>
          </cell>
        </row>
        <row r="5887">
          <cell r="D5887">
            <v>10880017536</v>
          </cell>
        </row>
        <row r="5888">
          <cell r="D5888">
            <v>10880033690</v>
          </cell>
        </row>
        <row r="5889">
          <cell r="D5889">
            <v>10880017948</v>
          </cell>
        </row>
        <row r="5890">
          <cell r="D5890">
            <v>10880033785</v>
          </cell>
        </row>
        <row r="5891">
          <cell r="D5891">
            <v>10880033523</v>
          </cell>
        </row>
        <row r="5892">
          <cell r="D5892">
            <v>10880029053</v>
          </cell>
        </row>
        <row r="5893">
          <cell r="D5893">
            <v>10880031525</v>
          </cell>
        </row>
        <row r="5894">
          <cell r="D5894">
            <v>10880033566</v>
          </cell>
        </row>
        <row r="5895">
          <cell r="D5895">
            <v>10880033564</v>
          </cell>
        </row>
        <row r="5896">
          <cell r="D5896">
            <v>10880032885</v>
          </cell>
        </row>
        <row r="5897">
          <cell r="D5897">
            <v>10880033663</v>
          </cell>
        </row>
        <row r="5898">
          <cell r="D5898">
            <v>10880035167</v>
          </cell>
        </row>
        <row r="5899">
          <cell r="D5899">
            <v>10880033325</v>
          </cell>
        </row>
        <row r="5900">
          <cell r="D5900">
            <v>10880033654</v>
          </cell>
        </row>
        <row r="5901">
          <cell r="D5901">
            <v>10880031600</v>
          </cell>
        </row>
        <row r="5902">
          <cell r="D5902">
            <v>10880030976</v>
          </cell>
        </row>
        <row r="5903">
          <cell r="D5903">
            <v>10880017525</v>
          </cell>
        </row>
        <row r="5904">
          <cell r="D5904">
            <v>10880018845</v>
          </cell>
        </row>
        <row r="5905">
          <cell r="D5905">
            <v>10880020048</v>
          </cell>
        </row>
        <row r="5906">
          <cell r="D5906">
            <v>10880033488</v>
          </cell>
        </row>
        <row r="5907">
          <cell r="D5907">
            <v>10880033487</v>
          </cell>
        </row>
        <row r="5908">
          <cell r="D5908">
            <v>10880029957</v>
          </cell>
        </row>
        <row r="5909">
          <cell r="D5909">
            <v>10880022442</v>
          </cell>
        </row>
        <row r="5910">
          <cell r="D5910">
            <v>10880028831</v>
          </cell>
        </row>
        <row r="5911">
          <cell r="D5911">
            <v>10880031072</v>
          </cell>
        </row>
        <row r="5912">
          <cell r="D5912">
            <v>10880033689</v>
          </cell>
        </row>
        <row r="5913">
          <cell r="D5913">
            <v>10880035167</v>
          </cell>
        </row>
        <row r="5914">
          <cell r="D5914">
            <v>10880035167</v>
          </cell>
        </row>
        <row r="5915">
          <cell r="D5915">
            <v>10880012825</v>
          </cell>
        </row>
        <row r="5916">
          <cell r="D5916">
            <v>10880035543</v>
          </cell>
        </row>
        <row r="5917">
          <cell r="D5917">
            <v>10880029958</v>
          </cell>
        </row>
        <row r="5918">
          <cell r="D5918">
            <v>10880034195</v>
          </cell>
        </row>
        <row r="5919">
          <cell r="D5919">
            <v>10880027958</v>
          </cell>
        </row>
        <row r="5920">
          <cell r="D5920">
            <v>10880034957</v>
          </cell>
        </row>
        <row r="5921">
          <cell r="D5921">
            <v>10880028306</v>
          </cell>
        </row>
        <row r="5922">
          <cell r="D5922">
            <v>10880031157</v>
          </cell>
        </row>
        <row r="5923">
          <cell r="D5923">
            <v>10880020637</v>
          </cell>
        </row>
        <row r="5924">
          <cell r="D5924">
            <v>10880033692</v>
          </cell>
        </row>
        <row r="5925">
          <cell r="D5925">
            <v>10880031183</v>
          </cell>
        </row>
        <row r="5926">
          <cell r="D5926">
            <v>10880033661</v>
          </cell>
        </row>
        <row r="5927">
          <cell r="D5927">
            <v>10880027924</v>
          </cell>
        </row>
        <row r="5928">
          <cell r="D5928">
            <v>10880030004</v>
          </cell>
        </row>
        <row r="5929">
          <cell r="D5929">
            <v>10880034518</v>
          </cell>
        </row>
        <row r="5930">
          <cell r="D5930">
            <v>10880031560</v>
          </cell>
        </row>
        <row r="5931">
          <cell r="D5931">
            <v>10880034669</v>
          </cell>
        </row>
        <row r="5932">
          <cell r="D5932">
            <v>10880020209</v>
          </cell>
        </row>
        <row r="5933">
          <cell r="D5933">
            <v>10880020677</v>
          </cell>
        </row>
        <row r="5934">
          <cell r="D5934">
            <v>10880020940</v>
          </cell>
        </row>
        <row r="5935">
          <cell r="D5935">
            <v>10880033523</v>
          </cell>
        </row>
        <row r="5936">
          <cell r="D5936">
            <v>10880034471</v>
          </cell>
        </row>
        <row r="5937">
          <cell r="D5937">
            <v>10880033301</v>
          </cell>
        </row>
        <row r="5938">
          <cell r="D5938">
            <v>10880034417</v>
          </cell>
        </row>
        <row r="5939">
          <cell r="D5939">
            <v>10880033654</v>
          </cell>
        </row>
        <row r="5940">
          <cell r="D5940">
            <v>10880032692</v>
          </cell>
        </row>
        <row r="5941">
          <cell r="D5941">
            <v>10880032694</v>
          </cell>
        </row>
        <row r="5942">
          <cell r="D5942">
            <v>10880032708</v>
          </cell>
        </row>
        <row r="5943">
          <cell r="D5943">
            <v>10880032708</v>
          </cell>
        </row>
        <row r="5944">
          <cell r="D5944">
            <v>10880030545</v>
          </cell>
        </row>
        <row r="5945">
          <cell r="D5945">
            <v>10880034622</v>
          </cell>
        </row>
        <row r="5946">
          <cell r="D5946">
            <v>10880030545</v>
          </cell>
        </row>
        <row r="5947">
          <cell r="D5947">
            <v>10880034622</v>
          </cell>
        </row>
        <row r="5948">
          <cell r="D5948">
            <v>10880033329</v>
          </cell>
        </row>
        <row r="5949">
          <cell r="D5949">
            <v>10880020558</v>
          </cell>
        </row>
        <row r="5950">
          <cell r="D5950">
            <v>10880020048</v>
          </cell>
        </row>
        <row r="5951">
          <cell r="D5951">
            <v>10880034575</v>
          </cell>
        </row>
        <row r="5952">
          <cell r="D5952">
            <v>10880030285</v>
          </cell>
        </row>
        <row r="5953">
          <cell r="D5953">
            <v>10880033996</v>
          </cell>
        </row>
        <row r="5954">
          <cell r="D5954">
            <v>10880020209</v>
          </cell>
        </row>
        <row r="5955">
          <cell r="D5955">
            <v>10880020677</v>
          </cell>
        </row>
        <row r="5956">
          <cell r="D5956">
            <v>10880020940</v>
          </cell>
        </row>
        <row r="5957">
          <cell r="D5957">
            <v>10880033523</v>
          </cell>
        </row>
        <row r="5958">
          <cell r="D5958">
            <v>10880033720</v>
          </cell>
        </row>
        <row r="5959">
          <cell r="D5959">
            <v>10880033695</v>
          </cell>
        </row>
        <row r="5960">
          <cell r="D5960">
            <v>10880033654</v>
          </cell>
        </row>
        <row r="5961">
          <cell r="D5961">
            <v>10880032697</v>
          </cell>
        </row>
        <row r="5962">
          <cell r="D5962">
            <v>10880033329</v>
          </cell>
        </row>
        <row r="5963">
          <cell r="D5963">
            <v>10880028834</v>
          </cell>
        </row>
        <row r="5964">
          <cell r="D5964">
            <v>10880031139</v>
          </cell>
        </row>
        <row r="5965">
          <cell r="D5965">
            <v>10880035709</v>
          </cell>
        </row>
        <row r="5966">
          <cell r="D5966">
            <v>10880033301</v>
          </cell>
        </row>
        <row r="5967">
          <cell r="D5967">
            <v>10880034251</v>
          </cell>
        </row>
        <row r="5968">
          <cell r="D5968">
            <v>10880022123</v>
          </cell>
        </row>
        <row r="5969">
          <cell r="D5969">
            <v>10880032698</v>
          </cell>
        </row>
        <row r="5970">
          <cell r="D5970">
            <v>10880034619</v>
          </cell>
        </row>
        <row r="5971">
          <cell r="D5971">
            <v>10880034621</v>
          </cell>
        </row>
        <row r="5972">
          <cell r="D5972">
            <v>10880031560</v>
          </cell>
        </row>
        <row r="5973">
          <cell r="D5973">
            <v>10880033585</v>
          </cell>
        </row>
        <row r="5974">
          <cell r="D5974">
            <v>10880033564</v>
          </cell>
        </row>
        <row r="5975">
          <cell r="D5975">
            <v>10880030132</v>
          </cell>
        </row>
        <row r="5976">
          <cell r="D5976">
            <v>10880030976</v>
          </cell>
        </row>
        <row r="5977">
          <cell r="D5977">
            <v>10880028307</v>
          </cell>
        </row>
        <row r="5978">
          <cell r="D5978">
            <v>10880028306</v>
          </cell>
        </row>
        <row r="5979">
          <cell r="D5979">
            <v>10880017525</v>
          </cell>
        </row>
        <row r="5980">
          <cell r="D5980">
            <v>10880022406</v>
          </cell>
        </row>
        <row r="5981">
          <cell r="D5981">
            <v>10880034669</v>
          </cell>
        </row>
        <row r="5982">
          <cell r="D5982">
            <v>10880033523</v>
          </cell>
        </row>
        <row r="5983">
          <cell r="D5983">
            <v>10880033690</v>
          </cell>
        </row>
        <row r="5984">
          <cell r="D5984">
            <v>10880033785</v>
          </cell>
        </row>
        <row r="5985">
          <cell r="D5985">
            <v>10880033654</v>
          </cell>
        </row>
        <row r="5986">
          <cell r="D5986">
            <v>10880031525</v>
          </cell>
        </row>
        <row r="5987">
          <cell r="D5987">
            <v>10880017531</v>
          </cell>
        </row>
        <row r="5988">
          <cell r="D5988">
            <v>10880017531</v>
          </cell>
        </row>
        <row r="5989">
          <cell r="D5989">
            <v>10880017530</v>
          </cell>
        </row>
        <row r="5990">
          <cell r="D5990">
            <v>10880028881</v>
          </cell>
        </row>
        <row r="5991">
          <cell r="D5991">
            <v>10880028834</v>
          </cell>
        </row>
        <row r="5992">
          <cell r="D5992">
            <v>10880033367</v>
          </cell>
        </row>
        <row r="5993">
          <cell r="D5993">
            <v>10880033325</v>
          </cell>
        </row>
        <row r="5994">
          <cell r="D5994">
            <v>10880030023</v>
          </cell>
        </row>
        <row r="5995">
          <cell r="D5995">
            <v>10880034417</v>
          </cell>
        </row>
        <row r="5996">
          <cell r="D5996">
            <v>10880030545</v>
          </cell>
        </row>
        <row r="5997">
          <cell r="D5997">
            <v>10880033329</v>
          </cell>
        </row>
        <row r="5998">
          <cell r="D5998">
            <v>10880034056</v>
          </cell>
        </row>
        <row r="5999">
          <cell r="D5999">
            <v>10880035441</v>
          </cell>
        </row>
        <row r="6000">
          <cell r="D6000">
            <v>10880021015</v>
          </cell>
        </row>
        <row r="6001">
          <cell r="D6001">
            <v>10880020640</v>
          </cell>
        </row>
        <row r="6002">
          <cell r="D6002">
            <v>10880034669</v>
          </cell>
        </row>
        <row r="6003">
          <cell r="D6003">
            <v>10880020031</v>
          </cell>
        </row>
        <row r="6004">
          <cell r="D6004">
            <v>10880035186</v>
          </cell>
        </row>
        <row r="6005">
          <cell r="D6005">
            <v>10880030491</v>
          </cell>
        </row>
        <row r="6006">
          <cell r="D6006">
            <v>10880030491</v>
          </cell>
        </row>
        <row r="6007">
          <cell r="D6007">
            <v>10880033654</v>
          </cell>
        </row>
        <row r="6008">
          <cell r="D6008">
            <v>10880033654</v>
          </cell>
        </row>
        <row r="6009">
          <cell r="D6009">
            <v>10880033301</v>
          </cell>
        </row>
        <row r="6010">
          <cell r="D6010">
            <v>10880029053</v>
          </cell>
        </row>
        <row r="6011">
          <cell r="D6011">
            <v>10880031020</v>
          </cell>
        </row>
        <row r="6012">
          <cell r="D6012">
            <v>10880020558</v>
          </cell>
        </row>
        <row r="6013">
          <cell r="D6013">
            <v>10880034956</v>
          </cell>
        </row>
        <row r="6014">
          <cell r="D6014">
            <v>10880035167</v>
          </cell>
        </row>
        <row r="6015">
          <cell r="D6015">
            <v>10880028929</v>
          </cell>
        </row>
        <row r="6016">
          <cell r="D6016">
            <v>10880034518</v>
          </cell>
        </row>
        <row r="6017">
          <cell r="D6017">
            <v>10880033695</v>
          </cell>
        </row>
        <row r="6018">
          <cell r="D6018">
            <v>10880032774</v>
          </cell>
        </row>
        <row r="6019">
          <cell r="D6019">
            <v>10880016188</v>
          </cell>
        </row>
        <row r="6020">
          <cell r="D6020">
            <v>10880032573</v>
          </cell>
        </row>
        <row r="6021">
          <cell r="D6021">
            <v>10880031560</v>
          </cell>
        </row>
        <row r="6022">
          <cell r="D6022">
            <v>10880028306</v>
          </cell>
        </row>
        <row r="6023">
          <cell r="D6023">
            <v>10880033216</v>
          </cell>
        </row>
        <row r="6024">
          <cell r="D6024">
            <v>10880019205</v>
          </cell>
        </row>
        <row r="6025">
          <cell r="D6025">
            <v>10880035531</v>
          </cell>
        </row>
        <row r="6026">
          <cell r="D6026">
            <v>10880020800</v>
          </cell>
        </row>
        <row r="6027">
          <cell r="D6027">
            <v>10880035167</v>
          </cell>
        </row>
        <row r="6028">
          <cell r="D6028">
            <v>10880035167</v>
          </cell>
        </row>
        <row r="6029">
          <cell r="D6029">
            <v>10880015830</v>
          </cell>
        </row>
        <row r="6030">
          <cell r="D6030">
            <v>10880015829</v>
          </cell>
        </row>
        <row r="6031">
          <cell r="D6031">
            <v>10880012825</v>
          </cell>
        </row>
        <row r="6032">
          <cell r="D6032">
            <v>10880033661</v>
          </cell>
        </row>
        <row r="6033">
          <cell r="D6033">
            <v>10880033785</v>
          </cell>
        </row>
        <row r="6034">
          <cell r="D6034">
            <v>10880030023</v>
          </cell>
        </row>
        <row r="6035">
          <cell r="D6035">
            <v>10880020637</v>
          </cell>
        </row>
        <row r="6036">
          <cell r="D6036">
            <v>10880033654</v>
          </cell>
        </row>
        <row r="6037">
          <cell r="D6037">
            <v>10880031011</v>
          </cell>
        </row>
        <row r="6038">
          <cell r="D6038">
            <v>10880031870</v>
          </cell>
        </row>
        <row r="6039">
          <cell r="D6039">
            <v>10880030545</v>
          </cell>
        </row>
        <row r="6040">
          <cell r="D6040">
            <v>10880034622</v>
          </cell>
        </row>
        <row r="6041">
          <cell r="D6041">
            <v>10880033635</v>
          </cell>
        </row>
        <row r="6042">
          <cell r="D6042">
            <v>10880030520</v>
          </cell>
        </row>
        <row r="6043">
          <cell r="D6043">
            <v>10880031161</v>
          </cell>
        </row>
        <row r="6044">
          <cell r="D6044">
            <v>10880030320</v>
          </cell>
        </row>
        <row r="6045">
          <cell r="D6045">
            <v>10880020031</v>
          </cell>
        </row>
        <row r="6046">
          <cell r="D6046">
            <v>10880033523</v>
          </cell>
        </row>
        <row r="6047">
          <cell r="D6047">
            <v>10880033996</v>
          </cell>
        </row>
        <row r="6048">
          <cell r="D6048">
            <v>10880033720</v>
          </cell>
        </row>
        <row r="6049">
          <cell r="D6049">
            <v>10880033634</v>
          </cell>
        </row>
        <row r="6050">
          <cell r="D6050">
            <v>10880030545</v>
          </cell>
        </row>
        <row r="6051">
          <cell r="D6051">
            <v>10880031020</v>
          </cell>
        </row>
        <row r="6052">
          <cell r="D6052">
            <v>10880020677</v>
          </cell>
        </row>
        <row r="6053">
          <cell r="D6053">
            <v>10880035167</v>
          </cell>
        </row>
        <row r="6054">
          <cell r="D6054">
            <v>10880035167</v>
          </cell>
        </row>
        <row r="6055">
          <cell r="D6055">
            <v>10880035721</v>
          </cell>
        </row>
        <row r="6056">
          <cell r="D6056">
            <v>10880018091</v>
          </cell>
        </row>
        <row r="6057">
          <cell r="D6057">
            <v>10880030607</v>
          </cell>
        </row>
        <row r="6058">
          <cell r="D6058">
            <v>10880030607</v>
          </cell>
        </row>
        <row r="6059">
          <cell r="D6059">
            <v>10880033692</v>
          </cell>
        </row>
        <row r="6060">
          <cell r="D6060">
            <v>10880033717</v>
          </cell>
        </row>
        <row r="6061">
          <cell r="D6061">
            <v>10880029944</v>
          </cell>
        </row>
        <row r="6062">
          <cell r="D6062">
            <v>10880029958</v>
          </cell>
        </row>
        <row r="6063">
          <cell r="D6063">
            <v>10880035754</v>
          </cell>
        </row>
        <row r="6064">
          <cell r="D6064">
            <v>10880034980</v>
          </cell>
        </row>
        <row r="6065">
          <cell r="D6065">
            <v>10880020802</v>
          </cell>
        </row>
        <row r="6066">
          <cell r="D6066">
            <v>10880034056</v>
          </cell>
        </row>
        <row r="6067">
          <cell r="D6067">
            <v>10880035232</v>
          </cell>
        </row>
        <row r="6068">
          <cell r="D6068">
            <v>10880029957</v>
          </cell>
        </row>
        <row r="6069">
          <cell r="D6069">
            <v>10880020556</v>
          </cell>
        </row>
        <row r="6070">
          <cell r="D6070">
            <v>10880028881</v>
          </cell>
        </row>
        <row r="6071">
          <cell r="D6071">
            <v>10880032759</v>
          </cell>
        </row>
        <row r="6072">
          <cell r="D6072">
            <v>10880033855</v>
          </cell>
        </row>
        <row r="6073">
          <cell r="D6073">
            <v>10880033367</v>
          </cell>
        </row>
        <row r="6074">
          <cell r="D6074">
            <v>10880031184</v>
          </cell>
        </row>
        <row r="6075">
          <cell r="D6075">
            <v>10880031182</v>
          </cell>
        </row>
        <row r="6076">
          <cell r="D6076">
            <v>10880031185</v>
          </cell>
        </row>
        <row r="6077">
          <cell r="D6077">
            <v>10880021767</v>
          </cell>
        </row>
        <row r="6078">
          <cell r="D6078">
            <v>10880035302</v>
          </cell>
        </row>
        <row r="6079">
          <cell r="D6079">
            <v>10880020031</v>
          </cell>
        </row>
        <row r="6080">
          <cell r="D6080">
            <v>10880021545</v>
          </cell>
        </row>
        <row r="6081">
          <cell r="D6081">
            <v>10880012825</v>
          </cell>
        </row>
        <row r="6082">
          <cell r="D6082">
            <v>10880017525</v>
          </cell>
        </row>
        <row r="6083">
          <cell r="D6083">
            <v>10880031160</v>
          </cell>
        </row>
        <row r="6084">
          <cell r="D6084">
            <v>10880033692</v>
          </cell>
        </row>
        <row r="6085">
          <cell r="D6085">
            <v>10880033690</v>
          </cell>
        </row>
        <row r="6086">
          <cell r="D6086">
            <v>10880033534</v>
          </cell>
        </row>
        <row r="6087">
          <cell r="D6087">
            <v>10880032933</v>
          </cell>
        </row>
        <row r="6088">
          <cell r="D6088">
            <v>10880032933</v>
          </cell>
        </row>
        <row r="6089">
          <cell r="D6089">
            <v>10880034195</v>
          </cell>
        </row>
        <row r="6090">
          <cell r="D6090">
            <v>10880034619</v>
          </cell>
        </row>
        <row r="6091">
          <cell r="D6091">
            <v>10880033610</v>
          </cell>
        </row>
        <row r="6092">
          <cell r="D6092">
            <v>10880030608</v>
          </cell>
        </row>
        <row r="6093">
          <cell r="D6093">
            <v>10880029033</v>
          </cell>
        </row>
        <row r="6094">
          <cell r="D6094">
            <v>10880030596</v>
          </cell>
        </row>
        <row r="6095">
          <cell r="D6095">
            <v>10880031856</v>
          </cell>
        </row>
        <row r="6096">
          <cell r="D6096">
            <v>10880033325</v>
          </cell>
        </row>
        <row r="6097">
          <cell r="D6097">
            <v>10880035754</v>
          </cell>
        </row>
        <row r="6098">
          <cell r="D6098">
            <v>10880033654</v>
          </cell>
        </row>
        <row r="6099">
          <cell r="D6099">
            <v>10880031560</v>
          </cell>
        </row>
        <row r="6100">
          <cell r="D6100">
            <v>10880031525</v>
          </cell>
        </row>
        <row r="6101">
          <cell r="D6101">
            <v>10880030545</v>
          </cell>
        </row>
        <row r="6102">
          <cell r="D6102">
            <v>10880034622</v>
          </cell>
        </row>
        <row r="6103">
          <cell r="D6103">
            <v>10880030738</v>
          </cell>
        </row>
        <row r="6104">
          <cell r="D6104">
            <v>10880018093</v>
          </cell>
        </row>
        <row r="6105">
          <cell r="D6105">
            <v>10880029033</v>
          </cell>
        </row>
        <row r="6106">
          <cell r="D6106">
            <v>10880017530</v>
          </cell>
        </row>
        <row r="6107">
          <cell r="D6107">
            <v>10880028929</v>
          </cell>
        </row>
        <row r="6108">
          <cell r="D6108">
            <v>10880029053</v>
          </cell>
        </row>
        <row r="6109">
          <cell r="D6109">
            <v>10880033785</v>
          </cell>
        </row>
        <row r="6110">
          <cell r="D6110">
            <v>10880031871</v>
          </cell>
        </row>
        <row r="6111">
          <cell r="D6111">
            <v>10880029999</v>
          </cell>
        </row>
        <row r="6112">
          <cell r="D6112">
            <v>10880029033</v>
          </cell>
        </row>
        <row r="6113">
          <cell r="D6113">
            <v>10880031760</v>
          </cell>
        </row>
        <row r="6114">
          <cell r="D6114">
            <v>10880031020</v>
          </cell>
        </row>
        <row r="6115">
          <cell r="D6115">
            <v>10880030545</v>
          </cell>
        </row>
        <row r="6116">
          <cell r="D6116">
            <v>10880031760</v>
          </cell>
        </row>
        <row r="6117">
          <cell r="D6117">
            <v>10880034619</v>
          </cell>
        </row>
        <row r="6118">
          <cell r="D6118">
            <v>10880033974</v>
          </cell>
        </row>
        <row r="6119">
          <cell r="D6119">
            <v>10880030920</v>
          </cell>
        </row>
        <row r="6120">
          <cell r="D6120">
            <v>10880012825</v>
          </cell>
        </row>
        <row r="6121">
          <cell r="D6121">
            <v>10880030607</v>
          </cell>
        </row>
        <row r="6122">
          <cell r="D6122">
            <v>10880035302</v>
          </cell>
        </row>
        <row r="6123">
          <cell r="D6123">
            <v>10880029053</v>
          </cell>
        </row>
        <row r="6124">
          <cell r="D6124">
            <v>10880029053</v>
          </cell>
        </row>
        <row r="6125">
          <cell r="D6125">
            <v>10880013146</v>
          </cell>
        </row>
        <row r="6126">
          <cell r="D6126">
            <v>10880033368</v>
          </cell>
        </row>
        <row r="6127">
          <cell r="D6127">
            <v>10880035223</v>
          </cell>
        </row>
        <row r="6128">
          <cell r="D6128">
            <v>10880034669</v>
          </cell>
        </row>
        <row r="6129">
          <cell r="D6129">
            <v>10880030545</v>
          </cell>
        </row>
        <row r="6130">
          <cell r="D6130">
            <v>10880031020</v>
          </cell>
        </row>
        <row r="6131">
          <cell r="D6131">
            <v>10880031560</v>
          </cell>
        </row>
        <row r="6132">
          <cell r="D6132">
            <v>10880030608</v>
          </cell>
        </row>
        <row r="6133">
          <cell r="D6133">
            <v>10880031113</v>
          </cell>
        </row>
        <row r="6134">
          <cell r="D6134">
            <v>10880028881</v>
          </cell>
        </row>
        <row r="6135">
          <cell r="D6135">
            <v>10880033523</v>
          </cell>
        </row>
        <row r="6136">
          <cell r="D6136">
            <v>10880029053</v>
          </cell>
        </row>
        <row r="6137">
          <cell r="D6137">
            <v>10880017536</v>
          </cell>
        </row>
        <row r="6138">
          <cell r="D6138">
            <v>10880031185</v>
          </cell>
        </row>
        <row r="6139">
          <cell r="D6139">
            <v>10880033720</v>
          </cell>
        </row>
        <row r="6140">
          <cell r="D6140">
            <v>10880034518</v>
          </cell>
        </row>
        <row r="6141">
          <cell r="D6141">
            <v>10880033663</v>
          </cell>
        </row>
        <row r="6142">
          <cell r="D6142">
            <v>10880031525</v>
          </cell>
        </row>
        <row r="6143">
          <cell r="D6143">
            <v>10880031600</v>
          </cell>
        </row>
        <row r="6144">
          <cell r="D6144">
            <v>10880018097</v>
          </cell>
        </row>
        <row r="6145">
          <cell r="D6145">
            <v>10880033460</v>
          </cell>
        </row>
        <row r="6146">
          <cell r="D6146">
            <v>10880035167</v>
          </cell>
        </row>
        <row r="6147">
          <cell r="D6147">
            <v>10880035167</v>
          </cell>
        </row>
        <row r="6148">
          <cell r="D6148">
            <v>10880034196</v>
          </cell>
        </row>
        <row r="6149">
          <cell r="D6149">
            <v>10880034197</v>
          </cell>
        </row>
        <row r="6150">
          <cell r="D6150">
            <v>10880030545</v>
          </cell>
        </row>
        <row r="6151">
          <cell r="D6151">
            <v>10880031020</v>
          </cell>
        </row>
        <row r="6152">
          <cell r="D6152">
            <v>10880034957</v>
          </cell>
        </row>
        <row r="6153">
          <cell r="D6153">
            <v>10880020192</v>
          </cell>
        </row>
        <row r="6154">
          <cell r="D6154">
            <v>10880019205</v>
          </cell>
        </row>
        <row r="6155">
          <cell r="D6155">
            <v>10880033279</v>
          </cell>
        </row>
        <row r="6156">
          <cell r="D6156">
            <v>10880020802</v>
          </cell>
        </row>
        <row r="6157">
          <cell r="D6157">
            <v>10880020802</v>
          </cell>
        </row>
        <row r="6158">
          <cell r="D6158">
            <v>10880031018</v>
          </cell>
        </row>
        <row r="6159">
          <cell r="D6159">
            <v>10880031115</v>
          </cell>
        </row>
        <row r="6160">
          <cell r="D6160">
            <v>10880033965</v>
          </cell>
        </row>
        <row r="6161">
          <cell r="D6161">
            <v>10880033689</v>
          </cell>
        </row>
        <row r="6162">
          <cell r="D6162">
            <v>10880018845</v>
          </cell>
        </row>
        <row r="6163">
          <cell r="D6163">
            <v>10880018848</v>
          </cell>
        </row>
        <row r="6164">
          <cell r="D6164">
            <v>10880029958</v>
          </cell>
        </row>
        <row r="6165">
          <cell r="D6165">
            <v>10880028834</v>
          </cell>
        </row>
        <row r="6166">
          <cell r="D6166">
            <v>10880034556</v>
          </cell>
        </row>
        <row r="6167">
          <cell r="D6167">
            <v>10880034669</v>
          </cell>
        </row>
        <row r="6168">
          <cell r="D6168">
            <v>10880031011</v>
          </cell>
        </row>
        <row r="6169">
          <cell r="D6169">
            <v>10880033634</v>
          </cell>
        </row>
        <row r="6170">
          <cell r="D6170">
            <v>10880035443</v>
          </cell>
        </row>
        <row r="6171">
          <cell r="D6171">
            <v>10880031011</v>
          </cell>
        </row>
        <row r="6172">
          <cell r="D6172">
            <v>10880030976</v>
          </cell>
        </row>
        <row r="6173">
          <cell r="D6173">
            <v>10880029957</v>
          </cell>
        </row>
        <row r="6174">
          <cell r="D6174">
            <v>10880034576</v>
          </cell>
        </row>
        <row r="6175">
          <cell r="D6175">
            <v>10880031242</v>
          </cell>
        </row>
        <row r="6176">
          <cell r="D6176">
            <v>10880033661</v>
          </cell>
        </row>
        <row r="6177">
          <cell r="D6177">
            <v>10880032945</v>
          </cell>
        </row>
        <row r="6178">
          <cell r="D6178">
            <v>10880030519</v>
          </cell>
        </row>
        <row r="6179">
          <cell r="D6179">
            <v>10880035167</v>
          </cell>
        </row>
        <row r="6180">
          <cell r="D6180">
            <v>10880017536</v>
          </cell>
        </row>
        <row r="6181">
          <cell r="D6181">
            <v>10880033692</v>
          </cell>
        </row>
        <row r="6182">
          <cell r="D6182">
            <v>10880033996</v>
          </cell>
        </row>
        <row r="6183">
          <cell r="D6183">
            <v>10880034417</v>
          </cell>
        </row>
        <row r="6184">
          <cell r="D6184">
            <v>10880030520</v>
          </cell>
        </row>
        <row r="6185">
          <cell r="D6185">
            <v>10880016188</v>
          </cell>
        </row>
        <row r="6186">
          <cell r="D6186">
            <v>10880022472</v>
          </cell>
        </row>
        <row r="6187">
          <cell r="D6187">
            <v>10880020800</v>
          </cell>
        </row>
        <row r="6188">
          <cell r="D6188">
            <v>10880034056</v>
          </cell>
        </row>
        <row r="6189">
          <cell r="D6189">
            <v>10880017525</v>
          </cell>
        </row>
        <row r="6190">
          <cell r="D6190">
            <v>10880031846</v>
          </cell>
        </row>
        <row r="6191">
          <cell r="D6191">
            <v>10880030596</v>
          </cell>
        </row>
        <row r="6192">
          <cell r="D6192">
            <v>10880031157</v>
          </cell>
        </row>
        <row r="6193">
          <cell r="D6193">
            <v>10880030738</v>
          </cell>
        </row>
        <row r="6194">
          <cell r="D6194">
            <v>10880031135</v>
          </cell>
        </row>
        <row r="6195">
          <cell r="D6195">
            <v>10880021174</v>
          </cell>
        </row>
        <row r="6196">
          <cell r="D6196">
            <v>10880022442</v>
          </cell>
        </row>
        <row r="6197">
          <cell r="D6197">
            <v>10880017516</v>
          </cell>
        </row>
        <row r="6198">
          <cell r="D6198">
            <v>10880020678</v>
          </cell>
        </row>
        <row r="6199">
          <cell r="D6199">
            <v>10880020681</v>
          </cell>
        </row>
        <row r="6200">
          <cell r="D6200">
            <v>10880033523</v>
          </cell>
        </row>
        <row r="6201">
          <cell r="D6201">
            <v>10880033523</v>
          </cell>
        </row>
        <row r="6202">
          <cell r="D6202">
            <v>10880020654</v>
          </cell>
        </row>
        <row r="6203">
          <cell r="D6203">
            <v>10880022123</v>
          </cell>
        </row>
        <row r="6204">
          <cell r="D6204">
            <v>10880030545</v>
          </cell>
        </row>
        <row r="6205">
          <cell r="D6205">
            <v>10880031020</v>
          </cell>
        </row>
        <row r="6206">
          <cell r="D6206">
            <v>10880012825</v>
          </cell>
        </row>
        <row r="6207">
          <cell r="D6207">
            <v>10880028881</v>
          </cell>
        </row>
        <row r="6208">
          <cell r="D6208">
            <v>10880031113</v>
          </cell>
        </row>
        <row r="6209">
          <cell r="D6209">
            <v>10880030608</v>
          </cell>
        </row>
        <row r="6210">
          <cell r="D6210">
            <v>10880033692</v>
          </cell>
        </row>
        <row r="6211">
          <cell r="D6211">
            <v>10880031185</v>
          </cell>
        </row>
        <row r="6212">
          <cell r="D6212">
            <v>10880033690</v>
          </cell>
        </row>
        <row r="6213">
          <cell r="D6213">
            <v>10880035234</v>
          </cell>
        </row>
        <row r="6214">
          <cell r="D6214">
            <v>10880018105</v>
          </cell>
        </row>
        <row r="6215">
          <cell r="D6215">
            <v>10880031869</v>
          </cell>
        </row>
        <row r="6216">
          <cell r="D6216">
            <v>10880033329</v>
          </cell>
        </row>
        <row r="6217">
          <cell r="D6217">
            <v>10880034956</v>
          </cell>
        </row>
        <row r="6218">
          <cell r="D6218">
            <v>10880030607</v>
          </cell>
        </row>
        <row r="6219">
          <cell r="D6219">
            <v>10880033661</v>
          </cell>
        </row>
        <row r="6220">
          <cell r="D6220">
            <v>10880028307</v>
          </cell>
        </row>
        <row r="6221">
          <cell r="D6221">
            <v>10880032943</v>
          </cell>
        </row>
        <row r="6222">
          <cell r="D6222">
            <v>10880032937</v>
          </cell>
        </row>
        <row r="6223">
          <cell r="D6223">
            <v>10880032933</v>
          </cell>
        </row>
        <row r="6224">
          <cell r="D6224">
            <v>10880014812</v>
          </cell>
        </row>
        <row r="6225">
          <cell r="D6225">
            <v>10880031072</v>
          </cell>
        </row>
        <row r="6226">
          <cell r="D6226">
            <v>10880031096</v>
          </cell>
        </row>
        <row r="6227">
          <cell r="D6227">
            <v>10880031600</v>
          </cell>
        </row>
        <row r="6228">
          <cell r="D6228">
            <v>10880034196</v>
          </cell>
        </row>
        <row r="6229">
          <cell r="D6229">
            <v>10880034197</v>
          </cell>
        </row>
        <row r="6230">
          <cell r="D6230">
            <v>10880035448</v>
          </cell>
        </row>
        <row r="6231">
          <cell r="D6231">
            <v>10880034933</v>
          </cell>
        </row>
        <row r="6232">
          <cell r="D6232">
            <v>10880033279</v>
          </cell>
        </row>
        <row r="6233">
          <cell r="D6233">
            <v>10880033911</v>
          </cell>
        </row>
        <row r="6234">
          <cell r="D6234">
            <v>10880029957</v>
          </cell>
        </row>
        <row r="6235">
          <cell r="D6235">
            <v>10880035167</v>
          </cell>
        </row>
        <row r="6236">
          <cell r="D6236">
            <v>10880032942</v>
          </cell>
        </row>
        <row r="6237">
          <cell r="D6237">
            <v>10880018105</v>
          </cell>
        </row>
        <row r="6238">
          <cell r="D6238">
            <v>10880035754</v>
          </cell>
        </row>
        <row r="6239">
          <cell r="D6239">
            <v>10880030545</v>
          </cell>
        </row>
        <row r="6240">
          <cell r="D6240">
            <v>10880033251</v>
          </cell>
        </row>
        <row r="6241">
          <cell r="D6241">
            <v>10880029944</v>
          </cell>
        </row>
        <row r="6242">
          <cell r="D6242">
            <v>10880018524</v>
          </cell>
        </row>
        <row r="6243">
          <cell r="D6243">
            <v>10880028306</v>
          </cell>
        </row>
        <row r="6244">
          <cell r="D6244">
            <v>10880035119</v>
          </cell>
        </row>
        <row r="6245">
          <cell r="D6245">
            <v>10880034622</v>
          </cell>
        </row>
        <row r="6246">
          <cell r="D6246">
            <v>10880031869</v>
          </cell>
        </row>
        <row r="6247">
          <cell r="D6247">
            <v>10880033605</v>
          </cell>
        </row>
        <row r="6248">
          <cell r="D6248">
            <v>10880033460</v>
          </cell>
        </row>
        <row r="6249">
          <cell r="D6249">
            <v>10880034563</v>
          </cell>
        </row>
        <row r="6250">
          <cell r="D6250">
            <v>10880033560</v>
          </cell>
        </row>
        <row r="6251">
          <cell r="D6251">
            <v>10880034562</v>
          </cell>
        </row>
        <row r="6252">
          <cell r="D6252">
            <v>10880034564</v>
          </cell>
        </row>
        <row r="6253">
          <cell r="D6253">
            <v>10880029033</v>
          </cell>
        </row>
        <row r="6254">
          <cell r="D6254">
            <v>10880033523</v>
          </cell>
        </row>
        <row r="6255">
          <cell r="D6255">
            <v>10880033720</v>
          </cell>
        </row>
        <row r="6256">
          <cell r="D6256">
            <v>10880034518</v>
          </cell>
        </row>
        <row r="6257">
          <cell r="D6257">
            <v>10880017525</v>
          </cell>
        </row>
        <row r="6258">
          <cell r="D6258">
            <v>10880033136</v>
          </cell>
        </row>
        <row r="6259">
          <cell r="D6259">
            <v>10880034669</v>
          </cell>
        </row>
        <row r="6260">
          <cell r="D6260">
            <v>10880035236</v>
          </cell>
        </row>
        <row r="6261">
          <cell r="D6261">
            <v>10880033523</v>
          </cell>
        </row>
        <row r="6262">
          <cell r="D6262">
            <v>10880036422</v>
          </cell>
        </row>
        <row r="6263">
          <cell r="D6263">
            <v>10880022123</v>
          </cell>
        </row>
        <row r="6264">
          <cell r="D6264">
            <v>10880034195</v>
          </cell>
        </row>
        <row r="6265">
          <cell r="D6265">
            <v>10880031525</v>
          </cell>
        </row>
        <row r="6266">
          <cell r="D6266">
            <v>10880035167</v>
          </cell>
        </row>
        <row r="6267">
          <cell r="D6267">
            <v>10880028881</v>
          </cell>
        </row>
        <row r="6268">
          <cell r="D6268">
            <v>10880034251</v>
          </cell>
        </row>
        <row r="6269">
          <cell r="D6269">
            <v>10880033785</v>
          </cell>
        </row>
        <row r="6270">
          <cell r="D6270">
            <v>10880035754</v>
          </cell>
        </row>
        <row r="6271">
          <cell r="D6271">
            <v>10880031600</v>
          </cell>
        </row>
        <row r="6272">
          <cell r="D6272">
            <v>10880034957</v>
          </cell>
        </row>
        <row r="6273">
          <cell r="D6273">
            <v>10880033329</v>
          </cell>
        </row>
        <row r="6274">
          <cell r="D6274">
            <v>10880033566</v>
          </cell>
        </row>
        <row r="6275">
          <cell r="D6275">
            <v>10880033460</v>
          </cell>
        </row>
        <row r="6276">
          <cell r="D6276">
            <v>10880020048</v>
          </cell>
        </row>
        <row r="6277">
          <cell r="D6277">
            <v>10880035788</v>
          </cell>
        </row>
        <row r="6278">
          <cell r="D6278">
            <v>10880028306</v>
          </cell>
        </row>
        <row r="6279">
          <cell r="D6279">
            <v>10880033535</v>
          </cell>
        </row>
        <row r="6280">
          <cell r="D6280">
            <v>10880033534</v>
          </cell>
        </row>
        <row r="6281">
          <cell r="D6281">
            <v>10880035236</v>
          </cell>
        </row>
        <row r="6282">
          <cell r="D6282">
            <v>10880029033</v>
          </cell>
        </row>
        <row r="6283">
          <cell r="D6283">
            <v>10880030596</v>
          </cell>
        </row>
        <row r="6284">
          <cell r="D6284">
            <v>10880020208</v>
          </cell>
        </row>
        <row r="6285">
          <cell r="D6285">
            <v>10880033661</v>
          </cell>
        </row>
        <row r="6286">
          <cell r="D6286">
            <v>10880033273</v>
          </cell>
        </row>
        <row r="6287">
          <cell r="D6287">
            <v>10880018096</v>
          </cell>
        </row>
        <row r="6288">
          <cell r="D6288">
            <v>10880021173</v>
          </cell>
        </row>
        <row r="6289">
          <cell r="D6289">
            <v>10880021015</v>
          </cell>
        </row>
        <row r="6290">
          <cell r="D6290">
            <v>10880020640</v>
          </cell>
        </row>
        <row r="6291">
          <cell r="D6291">
            <v>10880018097</v>
          </cell>
        </row>
        <row r="6292">
          <cell r="D6292">
            <v>10880014363</v>
          </cell>
        </row>
        <row r="6293">
          <cell r="D6293">
            <v>10880033191</v>
          </cell>
        </row>
        <row r="6294">
          <cell r="D6294">
            <v>10880033523</v>
          </cell>
        </row>
        <row r="6295">
          <cell r="D6295">
            <v>10880033367</v>
          </cell>
        </row>
        <row r="6296">
          <cell r="D6296">
            <v>10880033690</v>
          </cell>
        </row>
        <row r="6297">
          <cell r="D6297">
            <v>10880022123</v>
          </cell>
        </row>
        <row r="6298">
          <cell r="D6298">
            <v>10880032774</v>
          </cell>
        </row>
        <row r="6299">
          <cell r="D6299">
            <v>10880034417</v>
          </cell>
        </row>
        <row r="6300">
          <cell r="D6300">
            <v>10880035754</v>
          </cell>
        </row>
        <row r="6301">
          <cell r="D6301">
            <v>10880033976</v>
          </cell>
        </row>
        <row r="6302">
          <cell r="D6302">
            <v>10880030920</v>
          </cell>
        </row>
        <row r="6303">
          <cell r="D6303">
            <v>10880030920</v>
          </cell>
        </row>
        <row r="6304">
          <cell r="D6304">
            <v>10880022442</v>
          </cell>
        </row>
        <row r="6305">
          <cell r="D6305">
            <v>10880033692</v>
          </cell>
        </row>
        <row r="6306">
          <cell r="D6306">
            <v>10880034142</v>
          </cell>
        </row>
        <row r="6307">
          <cell r="D6307">
            <v>10880033720</v>
          </cell>
        </row>
        <row r="6308">
          <cell r="D6308">
            <v>10880035722</v>
          </cell>
        </row>
        <row r="6309">
          <cell r="D6309">
            <v>10880036134</v>
          </cell>
        </row>
        <row r="6310">
          <cell r="D6310">
            <v>10880036204</v>
          </cell>
        </row>
        <row r="6311">
          <cell r="D6311">
            <v>10880036135</v>
          </cell>
        </row>
        <row r="6312">
          <cell r="D6312">
            <v>10880031011</v>
          </cell>
        </row>
        <row r="6313">
          <cell r="D6313">
            <v>10880034619</v>
          </cell>
        </row>
        <row r="6314">
          <cell r="D6314">
            <v>10880031115</v>
          </cell>
        </row>
        <row r="6315">
          <cell r="D6315">
            <v>10880021545</v>
          </cell>
        </row>
        <row r="6316">
          <cell r="D6316">
            <v>10880021545</v>
          </cell>
        </row>
        <row r="6317">
          <cell r="D6317">
            <v>10880021029</v>
          </cell>
        </row>
        <row r="6318">
          <cell r="D6318">
            <v>10880017525</v>
          </cell>
        </row>
        <row r="6319">
          <cell r="D6319">
            <v>10880019773</v>
          </cell>
        </row>
        <row r="6320">
          <cell r="D6320">
            <v>10880033311</v>
          </cell>
        </row>
        <row r="6321">
          <cell r="D6321">
            <v>10880034575</v>
          </cell>
        </row>
        <row r="6322">
          <cell r="D6322">
            <v>10880033996</v>
          </cell>
        </row>
        <row r="6323">
          <cell r="D6323">
            <v>10880033996</v>
          </cell>
        </row>
        <row r="6324">
          <cell r="D6324">
            <v>10880033325</v>
          </cell>
        </row>
        <row r="6325">
          <cell r="D6325">
            <v>10880018105</v>
          </cell>
        </row>
        <row r="6326">
          <cell r="D6326">
            <v>10880031560</v>
          </cell>
        </row>
        <row r="6327">
          <cell r="D6327">
            <v>10880020677</v>
          </cell>
        </row>
        <row r="6328">
          <cell r="D6328">
            <v>10880031138</v>
          </cell>
        </row>
        <row r="6329">
          <cell r="D6329">
            <v>10880021015</v>
          </cell>
        </row>
        <row r="6330">
          <cell r="D6330">
            <v>10880031157</v>
          </cell>
        </row>
        <row r="6331">
          <cell r="D6331">
            <v>10880030320</v>
          </cell>
        </row>
        <row r="6332">
          <cell r="D6332">
            <v>10880031161</v>
          </cell>
        </row>
        <row r="6333">
          <cell r="D6333">
            <v>10880031186</v>
          </cell>
        </row>
        <row r="6334">
          <cell r="D6334">
            <v>10880034575</v>
          </cell>
        </row>
        <row r="6335">
          <cell r="D6335">
            <v>10880033661</v>
          </cell>
        </row>
        <row r="6336">
          <cell r="D6336">
            <v>10880035543</v>
          </cell>
        </row>
        <row r="6337">
          <cell r="D6337">
            <v>10880034995</v>
          </cell>
        </row>
        <row r="6338">
          <cell r="D6338">
            <v>10880032573</v>
          </cell>
        </row>
        <row r="6339">
          <cell r="D6339">
            <v>10880030920</v>
          </cell>
        </row>
        <row r="6340">
          <cell r="D6340">
            <v>10880021019</v>
          </cell>
        </row>
        <row r="6341">
          <cell r="D6341">
            <v>10880018096</v>
          </cell>
        </row>
        <row r="6342">
          <cell r="D6342">
            <v>10880021311</v>
          </cell>
        </row>
        <row r="6343">
          <cell r="D6343">
            <v>10880028831</v>
          </cell>
        </row>
        <row r="6344">
          <cell r="D6344">
            <v>10880020048</v>
          </cell>
        </row>
        <row r="6345">
          <cell r="D6345">
            <v>10880034575</v>
          </cell>
        </row>
        <row r="6346">
          <cell r="D6346">
            <v>10880021545</v>
          </cell>
        </row>
        <row r="6347">
          <cell r="D6347">
            <v>10880017948</v>
          </cell>
        </row>
        <row r="6348">
          <cell r="D6348">
            <v>10880033325</v>
          </cell>
        </row>
        <row r="6349">
          <cell r="D6349">
            <v>10880035754</v>
          </cell>
        </row>
        <row r="6350">
          <cell r="D6350">
            <v>10880030596</v>
          </cell>
        </row>
        <row r="6351">
          <cell r="D6351">
            <v>10880031018</v>
          </cell>
        </row>
        <row r="6352">
          <cell r="D6352">
            <v>10880028307</v>
          </cell>
        </row>
        <row r="6353">
          <cell r="D6353">
            <v>10880031185</v>
          </cell>
        </row>
        <row r="6354">
          <cell r="D6354">
            <v>10880020031</v>
          </cell>
        </row>
        <row r="6355">
          <cell r="D6355">
            <v>10880035119</v>
          </cell>
        </row>
        <row r="6356">
          <cell r="D6356">
            <v>10880035186</v>
          </cell>
        </row>
        <row r="6357">
          <cell r="D6357">
            <v>10880022123</v>
          </cell>
        </row>
        <row r="6358">
          <cell r="D6358">
            <v>10880022123</v>
          </cell>
        </row>
        <row r="6359">
          <cell r="D6359">
            <v>10880034563</v>
          </cell>
        </row>
        <row r="6360">
          <cell r="D6360">
            <v>10880033564</v>
          </cell>
        </row>
        <row r="6361">
          <cell r="D6361">
            <v>10880028469</v>
          </cell>
        </row>
        <row r="6362">
          <cell r="D6362">
            <v>10880020558</v>
          </cell>
        </row>
        <row r="6363">
          <cell r="D6363">
            <v>10880021269</v>
          </cell>
        </row>
        <row r="6364">
          <cell r="D6364">
            <v>10880033996</v>
          </cell>
        </row>
        <row r="6365">
          <cell r="D6365">
            <v>10880032945</v>
          </cell>
        </row>
        <row r="6366">
          <cell r="D6366">
            <v>10880019434</v>
          </cell>
        </row>
        <row r="6367">
          <cell r="D6367">
            <v>10880033689</v>
          </cell>
        </row>
        <row r="6368">
          <cell r="D6368">
            <v>10880035126</v>
          </cell>
        </row>
        <row r="6369">
          <cell r="D6369">
            <v>10880034417</v>
          </cell>
        </row>
        <row r="6370">
          <cell r="D6370">
            <v>10880030431</v>
          </cell>
        </row>
        <row r="6371">
          <cell r="D6371">
            <v>10880030432</v>
          </cell>
        </row>
        <row r="6372">
          <cell r="D6372">
            <v>10880020802</v>
          </cell>
        </row>
        <row r="6373">
          <cell r="D6373">
            <v>10880035788</v>
          </cell>
        </row>
        <row r="6374">
          <cell r="D6374">
            <v>10880032943</v>
          </cell>
        </row>
        <row r="6375">
          <cell r="D6375">
            <v>10880032933</v>
          </cell>
        </row>
        <row r="6376">
          <cell r="D6376">
            <v>10880032942</v>
          </cell>
        </row>
        <row r="6377">
          <cell r="D6377">
            <v>10880032937</v>
          </cell>
        </row>
        <row r="6378">
          <cell r="D6378">
            <v>10880033692</v>
          </cell>
        </row>
        <row r="6379">
          <cell r="D6379">
            <v>10880033720</v>
          </cell>
        </row>
        <row r="6380">
          <cell r="D6380">
            <v>10880035722</v>
          </cell>
        </row>
        <row r="6381">
          <cell r="D6381">
            <v>10880035754</v>
          </cell>
        </row>
        <row r="6382">
          <cell r="D6382">
            <v>10880036134</v>
          </cell>
        </row>
        <row r="6383">
          <cell r="D6383">
            <v>10880036207</v>
          </cell>
        </row>
        <row r="6384">
          <cell r="D6384">
            <v>10880028306</v>
          </cell>
        </row>
        <row r="6385">
          <cell r="D6385">
            <v>10880033661</v>
          </cell>
        </row>
        <row r="6386">
          <cell r="D6386">
            <v>10880031871</v>
          </cell>
        </row>
        <row r="6387">
          <cell r="D6387">
            <v>10880033690</v>
          </cell>
        </row>
        <row r="6388">
          <cell r="D6388">
            <v>10880035325</v>
          </cell>
        </row>
        <row r="6389">
          <cell r="D6389">
            <v>10880030545</v>
          </cell>
        </row>
        <row r="6390">
          <cell r="D6390">
            <v>10880031020</v>
          </cell>
        </row>
        <row r="6391">
          <cell r="D6391">
            <v>10880033329</v>
          </cell>
        </row>
        <row r="6392">
          <cell r="D6392">
            <v>10880033329</v>
          </cell>
        </row>
        <row r="6393">
          <cell r="D6393">
            <v>10880034956</v>
          </cell>
        </row>
        <row r="6394">
          <cell r="D6394">
            <v>10880028834</v>
          </cell>
        </row>
        <row r="6395">
          <cell r="D6395">
            <v>10880033584</v>
          </cell>
        </row>
        <row r="6396">
          <cell r="D6396">
            <v>10880033523</v>
          </cell>
        </row>
        <row r="6397">
          <cell r="D6397">
            <v>10880033325</v>
          </cell>
        </row>
        <row r="6398">
          <cell r="D6398">
            <v>10880033655</v>
          </cell>
        </row>
        <row r="6399">
          <cell r="D6399">
            <v>10880031760</v>
          </cell>
        </row>
        <row r="6400">
          <cell r="D6400">
            <v>10880030545</v>
          </cell>
        </row>
        <row r="6401">
          <cell r="D6401">
            <v>10880034622</v>
          </cell>
        </row>
        <row r="6402">
          <cell r="D6402">
            <v>10880021269</v>
          </cell>
        </row>
        <row r="6403">
          <cell r="D6403">
            <v>10880031097</v>
          </cell>
        </row>
        <row r="6404">
          <cell r="D6404">
            <v>10880020048</v>
          </cell>
        </row>
        <row r="6405">
          <cell r="D6405">
            <v>10880029033</v>
          </cell>
        </row>
        <row r="6406">
          <cell r="D6406">
            <v>10880021289</v>
          </cell>
        </row>
        <row r="6407">
          <cell r="D6407">
            <v>10880020192</v>
          </cell>
        </row>
        <row r="6408">
          <cell r="D6408">
            <v>10880028881</v>
          </cell>
        </row>
        <row r="6409">
          <cell r="D6409">
            <v>10880033523</v>
          </cell>
        </row>
        <row r="6410">
          <cell r="D6410">
            <v>10880030004</v>
          </cell>
        </row>
        <row r="6411">
          <cell r="D6411">
            <v>10880033785</v>
          </cell>
        </row>
        <row r="6412">
          <cell r="D6412">
            <v>10880034621</v>
          </cell>
        </row>
        <row r="6413">
          <cell r="D6413">
            <v>10880031869</v>
          </cell>
        </row>
        <row r="6414">
          <cell r="D6414">
            <v>10880020800</v>
          </cell>
        </row>
        <row r="6415">
          <cell r="D6415">
            <v>10880028831</v>
          </cell>
        </row>
        <row r="6416">
          <cell r="D6416">
            <v>10880034093</v>
          </cell>
        </row>
        <row r="6417">
          <cell r="D6417">
            <v>10880035167</v>
          </cell>
        </row>
        <row r="6418">
          <cell r="D6418">
            <v>10880034669</v>
          </cell>
        </row>
        <row r="6419">
          <cell r="D6419">
            <v>10880032885</v>
          </cell>
        </row>
        <row r="6420">
          <cell r="D6420">
            <v>10880035119</v>
          </cell>
        </row>
        <row r="6421">
          <cell r="D6421">
            <v>10880035543</v>
          </cell>
        </row>
        <row r="6422">
          <cell r="D6422">
            <v>10880032573</v>
          </cell>
        </row>
        <row r="6423">
          <cell r="D6423">
            <v>10880030431</v>
          </cell>
        </row>
        <row r="6424">
          <cell r="D6424">
            <v>10880030976</v>
          </cell>
        </row>
        <row r="6425">
          <cell r="D6425">
            <v>10880034957</v>
          </cell>
        </row>
        <row r="6426">
          <cell r="D6426">
            <v>10880018093</v>
          </cell>
        </row>
        <row r="6427">
          <cell r="D6427">
            <v>10880018096</v>
          </cell>
        </row>
        <row r="6428">
          <cell r="D6428">
            <v>10880032885</v>
          </cell>
        </row>
        <row r="6429">
          <cell r="D6429">
            <v>10880030432</v>
          </cell>
        </row>
        <row r="6430">
          <cell r="D6430">
            <v>10880031015</v>
          </cell>
        </row>
        <row r="6431">
          <cell r="D6431">
            <v>10880029957</v>
          </cell>
        </row>
        <row r="6432">
          <cell r="D6432">
            <v>10880033216</v>
          </cell>
        </row>
        <row r="6433">
          <cell r="D6433">
            <v>10880022472</v>
          </cell>
        </row>
        <row r="6434">
          <cell r="D6434">
            <v>10880029054</v>
          </cell>
        </row>
        <row r="6435">
          <cell r="D6435">
            <v>10880018845</v>
          </cell>
        </row>
        <row r="6436">
          <cell r="D6436">
            <v>10880030123</v>
          </cell>
        </row>
        <row r="6437">
          <cell r="D6437">
            <v>10880022123</v>
          </cell>
        </row>
        <row r="6438">
          <cell r="D6438">
            <v>10880018105</v>
          </cell>
        </row>
        <row r="6439">
          <cell r="D6439">
            <v>10880029958</v>
          </cell>
        </row>
        <row r="6440">
          <cell r="D6440">
            <v>10880034417</v>
          </cell>
        </row>
        <row r="6441">
          <cell r="D6441">
            <v>10880035754</v>
          </cell>
        </row>
        <row r="6442">
          <cell r="D6442">
            <v>10880030545</v>
          </cell>
        </row>
        <row r="6443">
          <cell r="D6443">
            <v>10880034622</v>
          </cell>
        </row>
        <row r="6444">
          <cell r="D6444">
            <v>10880028307</v>
          </cell>
        </row>
        <row r="6445">
          <cell r="D6445">
            <v>10880033460</v>
          </cell>
        </row>
        <row r="6446">
          <cell r="D6446">
            <v>10880033460</v>
          </cell>
        </row>
        <row r="6447">
          <cell r="D6447">
            <v>10880033566</v>
          </cell>
        </row>
        <row r="6448">
          <cell r="D6448">
            <v>10880020654</v>
          </cell>
        </row>
        <row r="6449">
          <cell r="D6449">
            <v>10880033535</v>
          </cell>
        </row>
        <row r="6450">
          <cell r="D6450">
            <v>10880033535</v>
          </cell>
        </row>
        <row r="6451">
          <cell r="D6451">
            <v>10880035236</v>
          </cell>
        </row>
        <row r="6452">
          <cell r="D6452">
            <v>10880033523</v>
          </cell>
        </row>
        <row r="6453">
          <cell r="D6453">
            <v>10880035532</v>
          </cell>
        </row>
        <row r="6454">
          <cell r="D6454">
            <v>10880032386</v>
          </cell>
        </row>
        <row r="6455">
          <cell r="D6455">
            <v>10880030545</v>
          </cell>
        </row>
        <row r="6456">
          <cell r="D6456">
            <v>10880031020</v>
          </cell>
        </row>
        <row r="6457">
          <cell r="D6457">
            <v>10880030607</v>
          </cell>
        </row>
        <row r="6458">
          <cell r="D6458">
            <v>10880020031</v>
          </cell>
        </row>
        <row r="6459">
          <cell r="D6459">
            <v>10880034142</v>
          </cell>
        </row>
        <row r="6460">
          <cell r="D6460">
            <v>10880022123</v>
          </cell>
        </row>
        <row r="6461">
          <cell r="D6461">
            <v>10880034619</v>
          </cell>
        </row>
        <row r="6462">
          <cell r="D6462">
            <v>10880031011</v>
          </cell>
        </row>
        <row r="6463">
          <cell r="D6463">
            <v>10880036204</v>
          </cell>
        </row>
        <row r="6464">
          <cell r="D6464">
            <v>10880036135</v>
          </cell>
        </row>
        <row r="6465">
          <cell r="D6465">
            <v>10880018097</v>
          </cell>
        </row>
        <row r="6466">
          <cell r="D6466">
            <v>10880018096</v>
          </cell>
        </row>
        <row r="6467">
          <cell r="D6467">
            <v>10880020225</v>
          </cell>
        </row>
        <row r="6468">
          <cell r="D6468">
            <v>10880020224</v>
          </cell>
        </row>
        <row r="6469">
          <cell r="D6469">
            <v>10880034669</v>
          </cell>
        </row>
        <row r="6470">
          <cell r="D6470">
            <v>10880031113</v>
          </cell>
        </row>
        <row r="6471">
          <cell r="D6471">
            <v>10880031185</v>
          </cell>
        </row>
        <row r="6472">
          <cell r="D6472">
            <v>10880036205</v>
          </cell>
        </row>
        <row r="6473">
          <cell r="D6473">
            <v>10880036206</v>
          </cell>
        </row>
        <row r="6474">
          <cell r="D6474">
            <v>10880030545</v>
          </cell>
        </row>
        <row r="6475">
          <cell r="D6475">
            <v>10880031020</v>
          </cell>
        </row>
        <row r="6476">
          <cell r="D6476">
            <v>10880028929</v>
          </cell>
        </row>
        <row r="6477">
          <cell r="D6477">
            <v>10880031242</v>
          </cell>
        </row>
        <row r="6478">
          <cell r="D6478">
            <v>10880033692</v>
          </cell>
        </row>
        <row r="6479">
          <cell r="D6479">
            <v>10880031115</v>
          </cell>
        </row>
        <row r="6480">
          <cell r="D6480">
            <v>10880022123</v>
          </cell>
        </row>
        <row r="6481">
          <cell r="D6481">
            <v>10880020637</v>
          </cell>
        </row>
        <row r="6482">
          <cell r="D6482">
            <v>10880035754</v>
          </cell>
        </row>
        <row r="6483">
          <cell r="D6483">
            <v>10880030545</v>
          </cell>
        </row>
        <row r="6484">
          <cell r="D6484">
            <v>10880028306</v>
          </cell>
        </row>
        <row r="6485">
          <cell r="D6485">
            <v>10880020677</v>
          </cell>
        </row>
        <row r="6486">
          <cell r="D6486">
            <v>10880030608</v>
          </cell>
        </row>
        <row r="6487">
          <cell r="D6487">
            <v>10880033534</v>
          </cell>
        </row>
        <row r="6488">
          <cell r="D6488">
            <v>10880033661</v>
          </cell>
        </row>
        <row r="6489">
          <cell r="D6489">
            <v>10880021029</v>
          </cell>
        </row>
        <row r="6490">
          <cell r="D6490">
            <v>10880034622</v>
          </cell>
        </row>
        <row r="6491">
          <cell r="D6491">
            <v>10880031870</v>
          </cell>
        </row>
        <row r="6492">
          <cell r="D6492">
            <v>10880032759</v>
          </cell>
        </row>
        <row r="6493">
          <cell r="D6493">
            <v>10880030450</v>
          </cell>
        </row>
        <row r="6494">
          <cell r="D6494">
            <v>10880017525</v>
          </cell>
        </row>
        <row r="6495">
          <cell r="D6495">
            <v>10880028306</v>
          </cell>
        </row>
        <row r="6496">
          <cell r="D6496">
            <v>10880030433</v>
          </cell>
        </row>
        <row r="6497">
          <cell r="D6497">
            <v>10880035167</v>
          </cell>
        </row>
        <row r="6498">
          <cell r="D6498">
            <v>10880032885</v>
          </cell>
        </row>
        <row r="6499">
          <cell r="D6499">
            <v>10880033367</v>
          </cell>
        </row>
        <row r="6500">
          <cell r="D6500">
            <v>10880030447</v>
          </cell>
        </row>
        <row r="6501">
          <cell r="D6501">
            <v>10880035754</v>
          </cell>
        </row>
        <row r="6502">
          <cell r="D6502">
            <v>10880035303</v>
          </cell>
        </row>
        <row r="6503">
          <cell r="D6503">
            <v>10880035315</v>
          </cell>
        </row>
        <row r="6504">
          <cell r="D6504">
            <v>10880033329</v>
          </cell>
        </row>
        <row r="6505">
          <cell r="D6505">
            <v>10880034933</v>
          </cell>
        </row>
        <row r="6506">
          <cell r="D6506">
            <v>10880029054</v>
          </cell>
        </row>
        <row r="6507">
          <cell r="D6507">
            <v>10880020556</v>
          </cell>
        </row>
        <row r="6508">
          <cell r="D6508">
            <v>10880028881</v>
          </cell>
        </row>
        <row r="6509">
          <cell r="D6509">
            <v>10880035167</v>
          </cell>
        </row>
        <row r="6510">
          <cell r="D6510">
            <v>10880033535</v>
          </cell>
        </row>
        <row r="6511">
          <cell r="D6511">
            <v>10880035119</v>
          </cell>
        </row>
        <row r="6512">
          <cell r="D6512">
            <v>10880030447</v>
          </cell>
        </row>
        <row r="6513">
          <cell r="D6513">
            <v>10880035754</v>
          </cell>
        </row>
        <row r="6514">
          <cell r="D6514">
            <v>10880035754</v>
          </cell>
        </row>
        <row r="6515">
          <cell r="D6515">
            <v>10880031011</v>
          </cell>
        </row>
        <row r="6516">
          <cell r="D6516">
            <v>10880030431</v>
          </cell>
        </row>
        <row r="6517">
          <cell r="D6517">
            <v>10880034575</v>
          </cell>
        </row>
        <row r="6518">
          <cell r="D6518">
            <v>10880021289</v>
          </cell>
        </row>
        <row r="6519">
          <cell r="D6519">
            <v>10880029033</v>
          </cell>
        </row>
        <row r="6520">
          <cell r="D6520">
            <v>10880036327</v>
          </cell>
        </row>
        <row r="6521">
          <cell r="D6521">
            <v>10880034669</v>
          </cell>
        </row>
        <row r="6522">
          <cell r="D6522">
            <v>10880033661</v>
          </cell>
        </row>
        <row r="6523">
          <cell r="D6523">
            <v>10880031871</v>
          </cell>
        </row>
        <row r="6524">
          <cell r="D6524">
            <v>10880033692</v>
          </cell>
        </row>
        <row r="6525">
          <cell r="D6525">
            <v>10880034995</v>
          </cell>
        </row>
        <row r="6526">
          <cell r="D6526">
            <v>10880031600</v>
          </cell>
        </row>
        <row r="6527">
          <cell r="D6527">
            <v>10880031525</v>
          </cell>
        </row>
        <row r="6528">
          <cell r="D6528">
            <v>10880030608</v>
          </cell>
        </row>
        <row r="6529">
          <cell r="D6529">
            <v>10880033564</v>
          </cell>
        </row>
        <row r="6530">
          <cell r="D6530">
            <v>10880029033</v>
          </cell>
        </row>
        <row r="6531">
          <cell r="D6531">
            <v>10880022406</v>
          </cell>
        </row>
        <row r="6532">
          <cell r="D6532">
            <v>10880033785</v>
          </cell>
        </row>
        <row r="6533">
          <cell r="D6533">
            <v>10880034417</v>
          </cell>
        </row>
        <row r="6534">
          <cell r="D6534">
            <v>10880034619</v>
          </cell>
        </row>
        <row r="6535">
          <cell r="D6535">
            <v>10880035299</v>
          </cell>
        </row>
        <row r="6536">
          <cell r="D6536">
            <v>10880030545</v>
          </cell>
        </row>
        <row r="6537">
          <cell r="D6537">
            <v>10880031020</v>
          </cell>
        </row>
        <row r="6538">
          <cell r="D6538">
            <v>10880029957</v>
          </cell>
        </row>
        <row r="6539">
          <cell r="D6539">
            <v>10880035788</v>
          </cell>
        </row>
        <row r="6540">
          <cell r="D6540">
            <v>10880035788</v>
          </cell>
        </row>
        <row r="6541">
          <cell r="D6541">
            <v>10880017949</v>
          </cell>
        </row>
        <row r="6542">
          <cell r="D6542">
            <v>10880017949</v>
          </cell>
        </row>
        <row r="6543">
          <cell r="D6543">
            <v>10880035531</v>
          </cell>
        </row>
        <row r="6544">
          <cell r="D6544">
            <v>10880020048</v>
          </cell>
        </row>
        <row r="6545">
          <cell r="D6545">
            <v>10880018093</v>
          </cell>
        </row>
        <row r="6546">
          <cell r="D6546">
            <v>10880033855</v>
          </cell>
        </row>
        <row r="6547">
          <cell r="D6547">
            <v>10880033325</v>
          </cell>
        </row>
        <row r="6548">
          <cell r="D6548">
            <v>10880033325</v>
          </cell>
        </row>
        <row r="6549">
          <cell r="D6549">
            <v>10880030296</v>
          </cell>
        </row>
        <row r="6550">
          <cell r="D6550">
            <v>10880035722</v>
          </cell>
        </row>
        <row r="6551">
          <cell r="D6551">
            <v>10880035754</v>
          </cell>
        </row>
        <row r="6552">
          <cell r="D6552">
            <v>10880031525</v>
          </cell>
        </row>
        <row r="6553">
          <cell r="D6553">
            <v>10880030976</v>
          </cell>
        </row>
        <row r="6554">
          <cell r="D6554">
            <v>10880020192</v>
          </cell>
        </row>
        <row r="6555">
          <cell r="D6555">
            <v>10880033216</v>
          </cell>
        </row>
        <row r="6556">
          <cell r="D6556">
            <v>10880019434</v>
          </cell>
        </row>
        <row r="6557">
          <cell r="D6557">
            <v>10880022442</v>
          </cell>
        </row>
        <row r="6558">
          <cell r="D6558">
            <v>10880031440</v>
          </cell>
        </row>
        <row r="6559">
          <cell r="D6559">
            <v>10880021029</v>
          </cell>
        </row>
        <row r="6560">
          <cell r="D6560">
            <v>10880034669</v>
          </cell>
        </row>
        <row r="6561">
          <cell r="D6561">
            <v>10880020637</v>
          </cell>
        </row>
        <row r="6562">
          <cell r="D6562">
            <v>10880033661</v>
          </cell>
        </row>
        <row r="6563">
          <cell r="D6563">
            <v>10880035409</v>
          </cell>
        </row>
        <row r="6564">
          <cell r="D6564">
            <v>10880033717</v>
          </cell>
        </row>
        <row r="6565">
          <cell r="D6565">
            <v>10880030296</v>
          </cell>
        </row>
        <row r="6566">
          <cell r="D6566">
            <v>10880035325</v>
          </cell>
        </row>
        <row r="6567">
          <cell r="D6567">
            <v>10880020940</v>
          </cell>
        </row>
        <row r="6568">
          <cell r="D6568">
            <v>10880035119</v>
          </cell>
        </row>
        <row r="6569">
          <cell r="D6569">
            <v>10880033655</v>
          </cell>
        </row>
        <row r="6570">
          <cell r="D6570">
            <v>10880035709</v>
          </cell>
        </row>
        <row r="6571">
          <cell r="D6571">
            <v>10880035166</v>
          </cell>
        </row>
        <row r="6572">
          <cell r="D6572">
            <v>10880030431</v>
          </cell>
        </row>
        <row r="6573">
          <cell r="D6573">
            <v>10880030432</v>
          </cell>
        </row>
        <row r="6574">
          <cell r="D6574">
            <v>10880035303</v>
          </cell>
        </row>
        <row r="6575">
          <cell r="D6575">
            <v>10880035315</v>
          </cell>
        </row>
        <row r="6576">
          <cell r="D6576">
            <v>10880036189</v>
          </cell>
        </row>
        <row r="6577">
          <cell r="D6577">
            <v>10880036190</v>
          </cell>
        </row>
        <row r="6578">
          <cell r="D6578">
            <v>10880030334</v>
          </cell>
        </row>
        <row r="6579">
          <cell r="D6579">
            <v>10880030608</v>
          </cell>
        </row>
        <row r="6580">
          <cell r="D6580">
            <v>10880018105</v>
          </cell>
        </row>
        <row r="6581">
          <cell r="D6581">
            <v>10880022044</v>
          </cell>
        </row>
        <row r="6582">
          <cell r="D6582">
            <v>10880030243</v>
          </cell>
        </row>
        <row r="6583">
          <cell r="D6583">
            <v>10880033367</v>
          </cell>
        </row>
        <row r="6584">
          <cell r="D6584">
            <v>10880033367</v>
          </cell>
        </row>
        <row r="6585">
          <cell r="D6585">
            <v>10880035532</v>
          </cell>
        </row>
        <row r="6586">
          <cell r="D6586">
            <v>10880035532</v>
          </cell>
        </row>
        <row r="6587">
          <cell r="D6587">
            <v>10880035754</v>
          </cell>
        </row>
        <row r="6588">
          <cell r="D6588">
            <v>10880031011</v>
          </cell>
        </row>
        <row r="6589">
          <cell r="D6589">
            <v>10880035299</v>
          </cell>
        </row>
        <row r="6590">
          <cell r="D6590">
            <v>10880028306</v>
          </cell>
        </row>
        <row r="6591">
          <cell r="D6591">
            <v>10880033460</v>
          </cell>
        </row>
        <row r="6592">
          <cell r="D6592">
            <v>10880033329</v>
          </cell>
        </row>
        <row r="6593">
          <cell r="D6593">
            <v>10880029033</v>
          </cell>
        </row>
        <row r="6594">
          <cell r="D6594">
            <v>10880020940</v>
          </cell>
        </row>
        <row r="6595">
          <cell r="D6595">
            <v>10880020677</v>
          </cell>
        </row>
        <row r="6596">
          <cell r="D6596">
            <v>10880035236</v>
          </cell>
        </row>
        <row r="6597">
          <cell r="D6597">
            <v>10880033785</v>
          </cell>
        </row>
        <row r="6598">
          <cell r="D6598">
            <v>10880033325</v>
          </cell>
        </row>
        <row r="6599">
          <cell r="D6599">
            <v>10880035543</v>
          </cell>
        </row>
        <row r="6600">
          <cell r="D6600">
            <v>10880031870</v>
          </cell>
        </row>
        <row r="6601">
          <cell r="D6601">
            <v>10880033329</v>
          </cell>
        </row>
        <row r="6602">
          <cell r="D6602">
            <v>10880021029</v>
          </cell>
        </row>
        <row r="6603">
          <cell r="D6603">
            <v>10880031157</v>
          </cell>
        </row>
        <row r="6604">
          <cell r="D6604">
            <v>10880030320</v>
          </cell>
        </row>
        <row r="6605">
          <cell r="D6605">
            <v>10880030596</v>
          </cell>
        </row>
        <row r="6606">
          <cell r="D6606">
            <v>10880031440</v>
          </cell>
        </row>
        <row r="6607">
          <cell r="D6607">
            <v>10880029033</v>
          </cell>
        </row>
        <row r="6608">
          <cell r="D6608">
            <v>10880030598</v>
          </cell>
        </row>
        <row r="6609">
          <cell r="D6609">
            <v>10880036326</v>
          </cell>
        </row>
        <row r="6610">
          <cell r="D6610">
            <v>10880033661</v>
          </cell>
        </row>
        <row r="6611">
          <cell r="D6611">
            <v>10880030296</v>
          </cell>
        </row>
        <row r="6612">
          <cell r="D6612">
            <v>10880035754</v>
          </cell>
        </row>
        <row r="6613">
          <cell r="D6613">
            <v>10880028306</v>
          </cell>
        </row>
        <row r="6614">
          <cell r="D6614">
            <v>10880033488</v>
          </cell>
        </row>
        <row r="6615">
          <cell r="D6615">
            <v>10880033487</v>
          </cell>
        </row>
        <row r="6616">
          <cell r="D6616">
            <v>10880033602</v>
          </cell>
        </row>
        <row r="6617">
          <cell r="D6617">
            <v>10880033602</v>
          </cell>
        </row>
        <row r="6618">
          <cell r="D6618">
            <v>10880034669</v>
          </cell>
        </row>
        <row r="6619">
          <cell r="D6619">
            <v>10880034669</v>
          </cell>
        </row>
        <row r="6620">
          <cell r="D6620">
            <v>10880035379</v>
          </cell>
        </row>
        <row r="6621">
          <cell r="D6621">
            <v>10880020654</v>
          </cell>
        </row>
        <row r="6622">
          <cell r="D6622">
            <v>10880035409</v>
          </cell>
        </row>
        <row r="6623">
          <cell r="D6623">
            <v>10880030023</v>
          </cell>
        </row>
        <row r="6624">
          <cell r="D6624">
            <v>10880036481</v>
          </cell>
        </row>
        <row r="6625">
          <cell r="D6625">
            <v>10880031525</v>
          </cell>
        </row>
        <row r="6626">
          <cell r="D6626">
            <v>10880028306</v>
          </cell>
        </row>
        <row r="6627">
          <cell r="D6627">
            <v>10880020192</v>
          </cell>
        </row>
        <row r="6628">
          <cell r="D6628">
            <v>10880022470</v>
          </cell>
        </row>
        <row r="6629">
          <cell r="D6629">
            <v>10880020048</v>
          </cell>
        </row>
        <row r="6630">
          <cell r="D6630">
            <v>10880035441</v>
          </cell>
        </row>
        <row r="6631">
          <cell r="D6631">
            <v>10880033325</v>
          </cell>
        </row>
        <row r="6632">
          <cell r="D6632">
            <v>10880036191</v>
          </cell>
        </row>
        <row r="6633">
          <cell r="D6633">
            <v>10880030296</v>
          </cell>
        </row>
        <row r="6634">
          <cell r="D6634">
            <v>10880030545</v>
          </cell>
        </row>
        <row r="6635">
          <cell r="D6635">
            <v>10880034622</v>
          </cell>
        </row>
        <row r="6636">
          <cell r="D6636">
            <v>10880032945</v>
          </cell>
        </row>
        <row r="6637">
          <cell r="D6637">
            <v>10880035235</v>
          </cell>
        </row>
        <row r="6638">
          <cell r="D6638">
            <v>10880033785</v>
          </cell>
        </row>
        <row r="6639">
          <cell r="D6639">
            <v>10880033916</v>
          </cell>
        </row>
        <row r="6640">
          <cell r="D6640">
            <v>10880029999</v>
          </cell>
        </row>
        <row r="6641">
          <cell r="D6641">
            <v>10880034251</v>
          </cell>
        </row>
        <row r="6642">
          <cell r="D6642">
            <v>10880034619</v>
          </cell>
        </row>
        <row r="6643">
          <cell r="D6643">
            <v>10880030545</v>
          </cell>
        </row>
        <row r="6644">
          <cell r="D6644">
            <v>10880031020</v>
          </cell>
        </row>
        <row r="6645">
          <cell r="D6645">
            <v>10880028306</v>
          </cell>
        </row>
        <row r="6646">
          <cell r="D6646">
            <v>10880028307</v>
          </cell>
        </row>
        <row r="6647">
          <cell r="D6647">
            <v>10880017949</v>
          </cell>
        </row>
        <row r="6648">
          <cell r="D6648">
            <v>10880028469</v>
          </cell>
        </row>
        <row r="6649">
          <cell r="D6649">
            <v>10880031242</v>
          </cell>
        </row>
        <row r="6650">
          <cell r="D6650">
            <v>10880032933</v>
          </cell>
        </row>
        <row r="6651">
          <cell r="D6651">
            <v>10880032937</v>
          </cell>
        </row>
        <row r="6652">
          <cell r="D6652">
            <v>10880035543</v>
          </cell>
        </row>
        <row r="6653">
          <cell r="D6653">
            <v>10880030296</v>
          </cell>
        </row>
        <row r="6654">
          <cell r="D6654">
            <v>10880035303</v>
          </cell>
        </row>
        <row r="6655">
          <cell r="D6655">
            <v>10880035315</v>
          </cell>
        </row>
        <row r="6656">
          <cell r="D6656">
            <v>10880036497</v>
          </cell>
        </row>
        <row r="6657">
          <cell r="D6657">
            <v>10880036495</v>
          </cell>
        </row>
        <row r="6658">
          <cell r="D6658">
            <v>10880036494</v>
          </cell>
        </row>
        <row r="6659">
          <cell r="D6659">
            <v>10880030607</v>
          </cell>
        </row>
        <row r="6660">
          <cell r="D6660">
            <v>10880019042</v>
          </cell>
        </row>
        <row r="6661">
          <cell r="D6661">
            <v>10880032683</v>
          </cell>
        </row>
        <row r="6662">
          <cell r="D6662">
            <v>10880033523</v>
          </cell>
        </row>
        <row r="6663">
          <cell r="D6663">
            <v>10880030447</v>
          </cell>
        </row>
        <row r="6664">
          <cell r="D6664">
            <v>10880029958</v>
          </cell>
        </row>
        <row r="6665">
          <cell r="D6665">
            <v>10880030545</v>
          </cell>
        </row>
        <row r="6666">
          <cell r="D6666">
            <v>10880034622</v>
          </cell>
        </row>
        <row r="6667">
          <cell r="D6667">
            <v>10880031870</v>
          </cell>
        </row>
        <row r="6668">
          <cell r="D6668">
            <v>10880030608</v>
          </cell>
        </row>
        <row r="6669">
          <cell r="D6669">
            <v>10880028307</v>
          </cell>
        </row>
        <row r="6670">
          <cell r="D6670">
            <v>10880020640</v>
          </cell>
        </row>
        <row r="6671">
          <cell r="D6671">
            <v>10880035788</v>
          </cell>
        </row>
        <row r="6672">
          <cell r="D6672">
            <v>10880033996</v>
          </cell>
        </row>
        <row r="6673">
          <cell r="D6673">
            <v>10880033996</v>
          </cell>
        </row>
        <row r="6674">
          <cell r="D6674">
            <v>10880035380</v>
          </cell>
        </row>
        <row r="6675">
          <cell r="D6675">
            <v>10880020555</v>
          </cell>
        </row>
        <row r="6676">
          <cell r="D6676">
            <v>10880034417</v>
          </cell>
        </row>
        <row r="6677">
          <cell r="D6677">
            <v>10880035722</v>
          </cell>
        </row>
        <row r="6678">
          <cell r="D6678">
            <v>10880030934</v>
          </cell>
        </row>
        <row r="6679">
          <cell r="D6679">
            <v>10880033655</v>
          </cell>
        </row>
        <row r="6680">
          <cell r="D6680">
            <v>10880035299</v>
          </cell>
        </row>
        <row r="6681">
          <cell r="D6681">
            <v>10880031760</v>
          </cell>
        </row>
        <row r="6682">
          <cell r="D6682">
            <v>10880030545</v>
          </cell>
        </row>
        <row r="6683">
          <cell r="D6683">
            <v>10880034622</v>
          </cell>
        </row>
        <row r="6684">
          <cell r="D6684">
            <v>10880028306</v>
          </cell>
        </row>
        <row r="6685">
          <cell r="D6685">
            <v>10880032943</v>
          </cell>
        </row>
        <row r="6686">
          <cell r="D6686">
            <v>10880032942</v>
          </cell>
        </row>
        <row r="6687">
          <cell r="D6687">
            <v>10880033661</v>
          </cell>
        </row>
        <row r="6688">
          <cell r="D6688">
            <v>10880034995</v>
          </cell>
        </row>
        <row r="6689">
          <cell r="D6689">
            <v>10880035989</v>
          </cell>
        </row>
        <row r="6690">
          <cell r="D6690">
            <v>10880034619</v>
          </cell>
        </row>
        <row r="6691">
          <cell r="D6691">
            <v>10880034621</v>
          </cell>
        </row>
        <row r="6692">
          <cell r="D6692">
            <v>10880033634</v>
          </cell>
        </row>
        <row r="6693">
          <cell r="D6693">
            <v>10880033635</v>
          </cell>
        </row>
        <row r="6694">
          <cell r="D6694">
            <v>10880017525</v>
          </cell>
        </row>
        <row r="6695">
          <cell r="D6695">
            <v>10880017949</v>
          </cell>
        </row>
        <row r="6696">
          <cell r="D6696">
            <v>10880036299</v>
          </cell>
        </row>
        <row r="6697">
          <cell r="D6697">
            <v>10880029033</v>
          </cell>
        </row>
        <row r="6698">
          <cell r="D6698">
            <v>10880034669</v>
          </cell>
        </row>
        <row r="6699">
          <cell r="D6699">
            <v>10880034142</v>
          </cell>
        </row>
        <row r="6700">
          <cell r="D6700">
            <v>10880022123</v>
          </cell>
        </row>
        <row r="6701">
          <cell r="D6701">
            <v>10880033610</v>
          </cell>
        </row>
        <row r="6702">
          <cell r="D6702">
            <v>10880031600</v>
          </cell>
        </row>
        <row r="6703">
          <cell r="D6703">
            <v>10880030432</v>
          </cell>
        </row>
        <row r="6704">
          <cell r="D6704">
            <v>10880022442</v>
          </cell>
        </row>
        <row r="6705">
          <cell r="D6705">
            <v>10880020556</v>
          </cell>
        </row>
        <row r="6706">
          <cell r="D6706">
            <v>10880027925</v>
          </cell>
        </row>
        <row r="6707">
          <cell r="D6707">
            <v>10880021545</v>
          </cell>
        </row>
        <row r="6708">
          <cell r="D6708">
            <v>10880033523</v>
          </cell>
        </row>
        <row r="6709">
          <cell r="D6709">
            <v>10880022123</v>
          </cell>
        </row>
        <row r="6710">
          <cell r="D6710">
            <v>10880030431</v>
          </cell>
        </row>
        <row r="6711">
          <cell r="D6711">
            <v>10880030432</v>
          </cell>
        </row>
        <row r="6712">
          <cell r="D6712">
            <v>10880028306</v>
          </cell>
        </row>
        <row r="6713">
          <cell r="D6713">
            <v>10880033136</v>
          </cell>
        </row>
        <row r="6714">
          <cell r="D6714">
            <v>10880034563</v>
          </cell>
        </row>
        <row r="6715">
          <cell r="D6715">
            <v>10880029957</v>
          </cell>
        </row>
        <row r="6716">
          <cell r="D6716">
            <v>10880033855</v>
          </cell>
        </row>
        <row r="6717">
          <cell r="D6717">
            <v>10880033523</v>
          </cell>
        </row>
        <row r="6718">
          <cell r="D6718">
            <v>10880035186</v>
          </cell>
        </row>
        <row r="6719">
          <cell r="D6719">
            <v>10880032683</v>
          </cell>
        </row>
        <row r="6720">
          <cell r="D6720">
            <v>10880032945</v>
          </cell>
        </row>
        <row r="6721">
          <cell r="D6721">
            <v>10880035754</v>
          </cell>
        </row>
        <row r="6722">
          <cell r="D6722">
            <v>10880016188</v>
          </cell>
        </row>
        <row r="6723">
          <cell r="D6723">
            <v>10880032383</v>
          </cell>
        </row>
        <row r="6724">
          <cell r="D6724">
            <v>10880032383</v>
          </cell>
        </row>
        <row r="6725">
          <cell r="D6725">
            <v>10880032386</v>
          </cell>
        </row>
        <row r="6726">
          <cell r="D6726">
            <v>10880036786</v>
          </cell>
        </row>
        <row r="6727">
          <cell r="D6727">
            <v>10880036204</v>
          </cell>
        </row>
        <row r="6728">
          <cell r="D6728">
            <v>10880028831</v>
          </cell>
        </row>
        <row r="6729">
          <cell r="D6729">
            <v>10880020677</v>
          </cell>
        </row>
        <row r="6730">
          <cell r="D6730">
            <v>10880020678</v>
          </cell>
        </row>
        <row r="6731">
          <cell r="D6731">
            <v>10880033460</v>
          </cell>
        </row>
        <row r="6732">
          <cell r="D6732">
            <v>10880033460</v>
          </cell>
        </row>
        <row r="6733">
          <cell r="D6733">
            <v>10880030920</v>
          </cell>
        </row>
        <row r="6734">
          <cell r="D6734">
            <v>10880029055</v>
          </cell>
        </row>
        <row r="6735">
          <cell r="D6735">
            <v>10880028881</v>
          </cell>
        </row>
        <row r="6736">
          <cell r="D6736">
            <v>10880020048</v>
          </cell>
        </row>
        <row r="6737">
          <cell r="D6737">
            <v>10880032885</v>
          </cell>
        </row>
        <row r="6738">
          <cell r="D6738">
            <v>10880030004</v>
          </cell>
        </row>
        <row r="6739">
          <cell r="D6739">
            <v>10880029999</v>
          </cell>
        </row>
        <row r="6740">
          <cell r="D6740">
            <v>10880035409</v>
          </cell>
        </row>
        <row r="6741">
          <cell r="D6741">
            <v>10880032933</v>
          </cell>
        </row>
        <row r="6742">
          <cell r="D6742">
            <v>10880032937</v>
          </cell>
        </row>
        <row r="6743">
          <cell r="D6743">
            <v>10880032943</v>
          </cell>
        </row>
        <row r="6744">
          <cell r="D6744">
            <v>10880036786</v>
          </cell>
        </row>
        <row r="6745">
          <cell r="D6745">
            <v>10880036799</v>
          </cell>
        </row>
        <row r="6746">
          <cell r="D6746">
            <v>10880036799</v>
          </cell>
        </row>
        <row r="6747">
          <cell r="D6747">
            <v>10880033329</v>
          </cell>
        </row>
        <row r="6748">
          <cell r="D6748">
            <v>10880033329</v>
          </cell>
        </row>
        <row r="6749">
          <cell r="D6749">
            <v>10880030608</v>
          </cell>
        </row>
        <row r="6750">
          <cell r="D6750">
            <v>10880035166</v>
          </cell>
        </row>
        <row r="6751">
          <cell r="D6751">
            <v>10880018093</v>
          </cell>
        </row>
        <row r="6752">
          <cell r="D6752">
            <v>10880035126</v>
          </cell>
        </row>
        <row r="6753">
          <cell r="D6753">
            <v>10880035126</v>
          </cell>
        </row>
        <row r="6754">
          <cell r="D6754">
            <v>10880033301</v>
          </cell>
        </row>
        <row r="6755">
          <cell r="D6755">
            <v>10880033717</v>
          </cell>
        </row>
        <row r="6756">
          <cell r="D6756">
            <v>10880018105</v>
          </cell>
        </row>
        <row r="6757">
          <cell r="D6757">
            <v>10880035325</v>
          </cell>
        </row>
        <row r="6758">
          <cell r="D6758">
            <v>10880035325</v>
          </cell>
        </row>
        <row r="6759">
          <cell r="D6759">
            <v>10880030608</v>
          </cell>
        </row>
        <row r="6760">
          <cell r="D6760">
            <v>10880022471</v>
          </cell>
        </row>
        <row r="6761">
          <cell r="D6761">
            <v>10880022471</v>
          </cell>
        </row>
        <row r="6762">
          <cell r="D6762">
            <v>10880017949</v>
          </cell>
        </row>
        <row r="6763">
          <cell r="D6763">
            <v>10880033663</v>
          </cell>
        </row>
        <row r="6764">
          <cell r="D6764">
            <v>10880022406</v>
          </cell>
        </row>
        <row r="6765">
          <cell r="D6765">
            <v>10880033996</v>
          </cell>
        </row>
        <row r="6766">
          <cell r="D6766">
            <v>10880033301</v>
          </cell>
        </row>
        <row r="6767">
          <cell r="D6767">
            <v>10880034142</v>
          </cell>
        </row>
        <row r="6768">
          <cell r="D6768">
            <v>10880031307</v>
          </cell>
        </row>
        <row r="6769">
          <cell r="D6769">
            <v>10880022123</v>
          </cell>
        </row>
        <row r="6770">
          <cell r="D6770">
            <v>10880028307</v>
          </cell>
        </row>
        <row r="6771">
          <cell r="D6771">
            <v>10880028469</v>
          </cell>
        </row>
        <row r="6772">
          <cell r="D6772">
            <v>10880030607</v>
          </cell>
        </row>
        <row r="6773">
          <cell r="D6773">
            <v>10880035235</v>
          </cell>
        </row>
        <row r="6774">
          <cell r="D6774">
            <v>10880033785</v>
          </cell>
        </row>
        <row r="6775">
          <cell r="D6775">
            <v>10880033325</v>
          </cell>
        </row>
        <row r="6776">
          <cell r="D6776">
            <v>10880022123</v>
          </cell>
        </row>
        <row r="6777">
          <cell r="D6777">
            <v>10880019777</v>
          </cell>
        </row>
        <row r="6778">
          <cell r="D6778">
            <v>10880030608</v>
          </cell>
        </row>
        <row r="6779">
          <cell r="D6779">
            <v>10880033251</v>
          </cell>
        </row>
        <row r="6780">
          <cell r="D6780">
            <v>10880033279</v>
          </cell>
        </row>
        <row r="6781">
          <cell r="D6781">
            <v>10880033911</v>
          </cell>
        </row>
        <row r="6782">
          <cell r="D6782">
            <v>10880030596</v>
          </cell>
        </row>
        <row r="6783">
          <cell r="D6783">
            <v>10880017949</v>
          </cell>
        </row>
        <row r="6784">
          <cell r="D6784">
            <v>10880035441</v>
          </cell>
        </row>
        <row r="6785">
          <cell r="D6785">
            <v>10880036044</v>
          </cell>
        </row>
        <row r="6786">
          <cell r="D6786">
            <v>10880029033</v>
          </cell>
        </row>
        <row r="6787">
          <cell r="D6787">
            <v>10880034669</v>
          </cell>
        </row>
        <row r="6788">
          <cell r="D6788">
            <v>10880031570</v>
          </cell>
        </row>
        <row r="6789">
          <cell r="D6789">
            <v>10880030934</v>
          </cell>
        </row>
        <row r="6790">
          <cell r="D6790">
            <v>10880036135</v>
          </cell>
        </row>
        <row r="6791">
          <cell r="D6791">
            <v>10880036135</v>
          </cell>
        </row>
        <row r="6792">
          <cell r="D6792">
            <v>10880036479</v>
          </cell>
        </row>
        <row r="6793">
          <cell r="D6793">
            <v>10880036204</v>
          </cell>
        </row>
        <row r="6794">
          <cell r="D6794">
            <v>10880032708</v>
          </cell>
        </row>
        <row r="6795">
          <cell r="D6795">
            <v>10880032708</v>
          </cell>
        </row>
        <row r="6796">
          <cell r="D6796">
            <v>10880031846</v>
          </cell>
        </row>
        <row r="6797">
          <cell r="D6797">
            <v>10880031847</v>
          </cell>
        </row>
        <row r="6798">
          <cell r="D6798">
            <v>10880030320</v>
          </cell>
        </row>
        <row r="6799">
          <cell r="D6799">
            <v>10880031157</v>
          </cell>
        </row>
        <row r="6800">
          <cell r="D6800">
            <v>10880036299</v>
          </cell>
        </row>
        <row r="6801">
          <cell r="D6801">
            <v>10880021545</v>
          </cell>
        </row>
        <row r="6802">
          <cell r="D6802">
            <v>10880027925</v>
          </cell>
        </row>
        <row r="6803">
          <cell r="D6803">
            <v>10880034669</v>
          </cell>
        </row>
        <row r="6804">
          <cell r="D6804">
            <v>10880033523</v>
          </cell>
        </row>
        <row r="6805">
          <cell r="D6805">
            <v>10880035543</v>
          </cell>
        </row>
        <row r="6806">
          <cell r="D6806">
            <v>10880018105</v>
          </cell>
        </row>
        <row r="6807">
          <cell r="D6807">
            <v>10880020275</v>
          </cell>
        </row>
        <row r="6808">
          <cell r="D6808">
            <v>10880032683</v>
          </cell>
        </row>
        <row r="6809">
          <cell r="D6809">
            <v>10880030545</v>
          </cell>
        </row>
        <row r="6810">
          <cell r="D6810">
            <v>10880032692</v>
          </cell>
        </row>
        <row r="6811">
          <cell r="D6811">
            <v>10880032694</v>
          </cell>
        </row>
        <row r="6812">
          <cell r="D6812">
            <v>10880031020</v>
          </cell>
        </row>
        <row r="6813">
          <cell r="D6813">
            <v>10880032697</v>
          </cell>
        </row>
        <row r="6814">
          <cell r="D6814">
            <v>10880032698</v>
          </cell>
        </row>
        <row r="6815">
          <cell r="D6815">
            <v>10880027924</v>
          </cell>
        </row>
        <row r="6816">
          <cell r="D6816">
            <v>10880032885</v>
          </cell>
        </row>
        <row r="6817">
          <cell r="D6817">
            <v>10880033855</v>
          </cell>
        </row>
        <row r="6818">
          <cell r="D6818">
            <v>10880034251</v>
          </cell>
        </row>
        <row r="6819">
          <cell r="D6819">
            <v>10880034995</v>
          </cell>
        </row>
        <row r="6820">
          <cell r="D6820">
            <v>10880032945</v>
          </cell>
        </row>
        <row r="6821">
          <cell r="D6821">
            <v>10880032945</v>
          </cell>
        </row>
        <row r="6822">
          <cell r="D6822">
            <v>10880019682</v>
          </cell>
        </row>
        <row r="6823">
          <cell r="D6823">
            <v>10880031011</v>
          </cell>
        </row>
        <row r="6824">
          <cell r="D6824">
            <v>10880030431</v>
          </cell>
        </row>
        <row r="6825">
          <cell r="D6825">
            <v>10880020940</v>
          </cell>
        </row>
        <row r="6826">
          <cell r="D6826">
            <v>10880020940</v>
          </cell>
        </row>
        <row r="6827">
          <cell r="D6827">
            <v>10880035166</v>
          </cell>
        </row>
        <row r="6828">
          <cell r="D6828">
            <v>10880029033</v>
          </cell>
        </row>
        <row r="6829">
          <cell r="D6829">
            <v>10880034995</v>
          </cell>
        </row>
        <row r="6830">
          <cell r="D6830">
            <v>10880030004</v>
          </cell>
        </row>
        <row r="6831">
          <cell r="D6831">
            <v>10880032943</v>
          </cell>
        </row>
        <row r="6832">
          <cell r="D6832">
            <v>10880032937</v>
          </cell>
        </row>
        <row r="6833">
          <cell r="D6833">
            <v>10880032933</v>
          </cell>
        </row>
        <row r="6834">
          <cell r="D6834">
            <v>10880035754</v>
          </cell>
        </row>
        <row r="6835">
          <cell r="D6835">
            <v>10880030545</v>
          </cell>
        </row>
        <row r="6836">
          <cell r="D6836">
            <v>10880030545</v>
          </cell>
        </row>
        <row r="6837">
          <cell r="D6837">
            <v>10880030550</v>
          </cell>
        </row>
        <row r="6838">
          <cell r="D6838">
            <v>10880034622</v>
          </cell>
        </row>
        <row r="6839">
          <cell r="D6839">
            <v>10880033585</v>
          </cell>
        </row>
        <row r="6840">
          <cell r="D6840">
            <v>10880033136</v>
          </cell>
        </row>
        <row r="6841">
          <cell r="D6841">
            <v>10880031097</v>
          </cell>
        </row>
        <row r="6842">
          <cell r="D6842">
            <v>10880028469</v>
          </cell>
        </row>
        <row r="6843">
          <cell r="D6843">
            <v>10880031242</v>
          </cell>
        </row>
        <row r="6844">
          <cell r="D6844">
            <v>10880022442</v>
          </cell>
        </row>
        <row r="6845">
          <cell r="D6845">
            <v>10880020048</v>
          </cell>
        </row>
        <row r="6846">
          <cell r="D6846">
            <v>10880030520</v>
          </cell>
        </row>
        <row r="6847">
          <cell r="D6847">
            <v>10880017949</v>
          </cell>
        </row>
        <row r="6848">
          <cell r="D6848">
            <v>10880033368</v>
          </cell>
        </row>
        <row r="6849">
          <cell r="D6849">
            <v>10880035223</v>
          </cell>
        </row>
        <row r="6850">
          <cell r="D6850">
            <v>10880034669</v>
          </cell>
        </row>
        <row r="6851">
          <cell r="D6851">
            <v>10880033523</v>
          </cell>
        </row>
        <row r="6852">
          <cell r="D6852">
            <v>10880033584</v>
          </cell>
        </row>
        <row r="6853">
          <cell r="D6853">
            <v>10880036799</v>
          </cell>
        </row>
        <row r="6854">
          <cell r="D6854">
            <v>10880032383</v>
          </cell>
        </row>
        <row r="6855">
          <cell r="D6855">
            <v>10880030551</v>
          </cell>
        </row>
        <row r="6856">
          <cell r="D6856">
            <v>10880034621</v>
          </cell>
        </row>
        <row r="6857">
          <cell r="D6857">
            <v>10880030187</v>
          </cell>
        </row>
        <row r="6858">
          <cell r="D6858">
            <v>10880030334</v>
          </cell>
        </row>
        <row r="6859">
          <cell r="D6859">
            <v>10880020556</v>
          </cell>
        </row>
        <row r="6860">
          <cell r="D6860">
            <v>10880029054</v>
          </cell>
        </row>
        <row r="6861">
          <cell r="D6861">
            <v>10880036299</v>
          </cell>
        </row>
        <row r="6862">
          <cell r="D6862">
            <v>10880033535</v>
          </cell>
        </row>
        <row r="6863">
          <cell r="D6863">
            <v>10880033325</v>
          </cell>
        </row>
        <row r="6864">
          <cell r="D6864">
            <v>10880022123</v>
          </cell>
        </row>
        <row r="6865">
          <cell r="D6865">
            <v>10880036852</v>
          </cell>
        </row>
        <row r="6866">
          <cell r="D6866">
            <v>10880032383</v>
          </cell>
        </row>
        <row r="6867">
          <cell r="D6867">
            <v>10880036799</v>
          </cell>
        </row>
        <row r="6868">
          <cell r="D6868">
            <v>10880030608</v>
          </cell>
        </row>
        <row r="6869">
          <cell r="D6869">
            <v>10880030607</v>
          </cell>
        </row>
        <row r="6870">
          <cell r="D6870">
            <v>10880022471</v>
          </cell>
        </row>
        <row r="6871">
          <cell r="D6871">
            <v>10880033488</v>
          </cell>
        </row>
        <row r="6872">
          <cell r="D6872">
            <v>10880020555</v>
          </cell>
        </row>
        <row r="6873">
          <cell r="D6873">
            <v>10880020654</v>
          </cell>
        </row>
        <row r="6874">
          <cell r="D6874">
            <v>10880033785</v>
          </cell>
        </row>
        <row r="6875">
          <cell r="D6875">
            <v>10880033785</v>
          </cell>
        </row>
        <row r="6876">
          <cell r="D6876">
            <v>10880030004</v>
          </cell>
        </row>
        <row r="6877">
          <cell r="D6877">
            <v>10880035754</v>
          </cell>
        </row>
        <row r="6878">
          <cell r="D6878">
            <v>10880036786</v>
          </cell>
        </row>
        <row r="6879">
          <cell r="D6879">
            <v>10880036493</v>
          </cell>
        </row>
        <row r="6880">
          <cell r="D6880">
            <v>10880017949</v>
          </cell>
        </row>
        <row r="6881">
          <cell r="D6881">
            <v>10880022442</v>
          </cell>
        </row>
        <row r="6882">
          <cell r="D6882">
            <v>10880028831</v>
          </cell>
        </row>
        <row r="6883">
          <cell r="D6883">
            <v>10880034669</v>
          </cell>
        </row>
        <row r="6884">
          <cell r="D6884">
            <v>10880033523</v>
          </cell>
        </row>
        <row r="6885">
          <cell r="D6885">
            <v>10880035543</v>
          </cell>
        </row>
        <row r="6886">
          <cell r="D6886">
            <v>10880030296</v>
          </cell>
        </row>
        <row r="6887">
          <cell r="D6887">
            <v>10880022123</v>
          </cell>
        </row>
        <row r="6888">
          <cell r="D6888">
            <v>10880031525</v>
          </cell>
        </row>
        <row r="6889">
          <cell r="D6889">
            <v>10880034563</v>
          </cell>
        </row>
        <row r="6890">
          <cell r="D6890">
            <v>10880034563</v>
          </cell>
        </row>
        <row r="6891">
          <cell r="D6891">
            <v>10880022470</v>
          </cell>
        </row>
        <row r="6892">
          <cell r="D6892">
            <v>10880031870</v>
          </cell>
        </row>
        <row r="6893">
          <cell r="D6893">
            <v>10880031362</v>
          </cell>
        </row>
        <row r="6894">
          <cell r="D6894">
            <v>10880018096</v>
          </cell>
        </row>
        <row r="6895">
          <cell r="D6895">
            <v>10880032683</v>
          </cell>
        </row>
        <row r="6896">
          <cell r="D6896">
            <v>10880032945</v>
          </cell>
        </row>
        <row r="6897">
          <cell r="D6897">
            <v>10880033663</v>
          </cell>
        </row>
        <row r="6898">
          <cell r="D6898">
            <v>10880032945</v>
          </cell>
        </row>
        <row r="6899">
          <cell r="D6899">
            <v>10880033325</v>
          </cell>
        </row>
        <row r="6900">
          <cell r="D6900">
            <v>10880018848</v>
          </cell>
        </row>
        <row r="6901">
          <cell r="D6901">
            <v>10880020031</v>
          </cell>
        </row>
        <row r="6902">
          <cell r="D6902">
            <v>10880027924</v>
          </cell>
        </row>
        <row r="6903">
          <cell r="D6903">
            <v>10880027925</v>
          </cell>
        </row>
        <row r="6904">
          <cell r="D6904">
            <v>10880031560</v>
          </cell>
        </row>
        <row r="6905">
          <cell r="D6905">
            <v>10880030607</v>
          </cell>
        </row>
        <row r="6906">
          <cell r="D6906">
            <v>10880036489</v>
          </cell>
        </row>
        <row r="6907">
          <cell r="D6907">
            <v>10880036490</v>
          </cell>
        </row>
        <row r="6908">
          <cell r="D6908">
            <v>10880034933</v>
          </cell>
        </row>
        <row r="6909">
          <cell r="D6909">
            <v>10880033976</v>
          </cell>
        </row>
        <row r="6910">
          <cell r="D6910">
            <v>10880032943</v>
          </cell>
        </row>
        <row r="6911">
          <cell r="D6911">
            <v>10880031096</v>
          </cell>
        </row>
        <row r="6912">
          <cell r="D6912">
            <v>10880030296</v>
          </cell>
        </row>
        <row r="6913">
          <cell r="D6913">
            <v>10880030447</v>
          </cell>
        </row>
        <row r="6914">
          <cell r="D6914">
            <v>10880020637</v>
          </cell>
        </row>
        <row r="6915">
          <cell r="D6915">
            <v>10880021105</v>
          </cell>
        </row>
        <row r="6916">
          <cell r="D6916">
            <v>10880036135</v>
          </cell>
        </row>
        <row r="6917">
          <cell r="D6917">
            <v>10880036207</v>
          </cell>
        </row>
        <row r="6918">
          <cell r="D6918">
            <v>10880017949</v>
          </cell>
        </row>
        <row r="6919">
          <cell r="D6919">
            <v>10880031243</v>
          </cell>
        </row>
        <row r="6920">
          <cell r="D6920">
            <v>10880031242</v>
          </cell>
        </row>
        <row r="6921">
          <cell r="D6921">
            <v>10880033325</v>
          </cell>
        </row>
        <row r="6922">
          <cell r="D6922">
            <v>10880035409</v>
          </cell>
        </row>
        <row r="6923">
          <cell r="D6923">
            <v>10880035186</v>
          </cell>
        </row>
        <row r="6924">
          <cell r="D6924">
            <v>10880028306</v>
          </cell>
        </row>
        <row r="6925">
          <cell r="D6925">
            <v>10880028307</v>
          </cell>
        </row>
        <row r="6926">
          <cell r="D6926">
            <v>10880036134</v>
          </cell>
        </row>
        <row r="6927">
          <cell r="D6927">
            <v>10880035325</v>
          </cell>
        </row>
        <row r="6928">
          <cell r="D6928">
            <v>10880031600</v>
          </cell>
        </row>
        <row r="6929">
          <cell r="D6929">
            <v>10880030608</v>
          </cell>
        </row>
        <row r="6930">
          <cell r="D6930">
            <v>10880030596</v>
          </cell>
        </row>
        <row r="6931">
          <cell r="D6931">
            <v>10880030596</v>
          </cell>
        </row>
        <row r="6932">
          <cell r="D6932">
            <v>10880030320</v>
          </cell>
        </row>
        <row r="6933">
          <cell r="D6933">
            <v>10880034669</v>
          </cell>
        </row>
        <row r="6934">
          <cell r="D6934">
            <v>10880032885</v>
          </cell>
        </row>
        <row r="6935">
          <cell r="D6935">
            <v>10880033785</v>
          </cell>
        </row>
        <row r="6936">
          <cell r="D6936">
            <v>10880035543</v>
          </cell>
        </row>
        <row r="6937">
          <cell r="D6937">
            <v>10880035709</v>
          </cell>
        </row>
        <row r="6938">
          <cell r="D6938">
            <v>10880035722</v>
          </cell>
        </row>
        <row r="6939">
          <cell r="D6939">
            <v>10880036205</v>
          </cell>
        </row>
        <row r="6940">
          <cell r="D6940">
            <v>10880035325</v>
          </cell>
        </row>
        <row r="6941">
          <cell r="D6941">
            <v>10880031161</v>
          </cell>
        </row>
        <row r="6942">
          <cell r="D6942">
            <v>10880030920</v>
          </cell>
        </row>
        <row r="6943">
          <cell r="D6943">
            <v>10880020048</v>
          </cell>
        </row>
        <row r="6944">
          <cell r="D6944">
            <v>10880017949</v>
          </cell>
        </row>
        <row r="6945">
          <cell r="D6945">
            <v>10880028831</v>
          </cell>
        </row>
        <row r="6946">
          <cell r="D6946">
            <v>10880035441</v>
          </cell>
        </row>
        <row r="6947">
          <cell r="D6947">
            <v>10880032885</v>
          </cell>
        </row>
        <row r="6948">
          <cell r="D6948">
            <v>10880033689</v>
          </cell>
        </row>
        <row r="6949">
          <cell r="D6949">
            <v>10880021029</v>
          </cell>
        </row>
        <row r="6950">
          <cell r="D6950">
            <v>10880031307</v>
          </cell>
        </row>
        <row r="6951">
          <cell r="D6951">
            <v>10880033367</v>
          </cell>
        </row>
        <row r="6952">
          <cell r="D6952">
            <v>10880031072</v>
          </cell>
        </row>
        <row r="6953">
          <cell r="D6953">
            <v>10880028306</v>
          </cell>
        </row>
        <row r="6955">
          <cell r="D6955">
            <v>10880030431</v>
          </cell>
        </row>
        <row r="6956">
          <cell r="D6956">
            <v>10880031525</v>
          </cell>
        </row>
        <row r="6957">
          <cell r="D6957">
            <v>10880033136</v>
          </cell>
        </row>
        <row r="6958">
          <cell r="D6958">
            <v>10880030608</v>
          </cell>
        </row>
        <row r="6959">
          <cell r="D6959">
            <v>10880036299</v>
          </cell>
        </row>
        <row r="6960">
          <cell r="D6960">
            <v>10880021476</v>
          </cell>
        </row>
        <row r="6961">
          <cell r="D6961">
            <v>10880028469</v>
          </cell>
        </row>
        <row r="6962">
          <cell r="D6962">
            <v>10880031097</v>
          </cell>
        </row>
        <row r="6963">
          <cell r="D6963">
            <v>10880030296</v>
          </cell>
        </row>
        <row r="6964">
          <cell r="D6964">
            <v>10880030545</v>
          </cell>
        </row>
        <row r="6965">
          <cell r="D6965">
            <v>10880030550</v>
          </cell>
        </row>
        <row r="6966">
          <cell r="D6966">
            <v>10880036206</v>
          </cell>
        </row>
        <row r="6967">
          <cell r="D6967">
            <v>10880019039</v>
          </cell>
        </row>
        <row r="6968">
          <cell r="D6968">
            <v>10880030920</v>
          </cell>
        </row>
        <row r="6969">
          <cell r="D6969">
            <v>10880018105</v>
          </cell>
        </row>
        <row r="6970">
          <cell r="D6970">
            <v>10880032885</v>
          </cell>
        </row>
        <row r="6971">
          <cell r="D6971">
            <v>10880035119</v>
          </cell>
        </row>
        <row r="6972">
          <cell r="D6972">
            <v>10880034142</v>
          </cell>
        </row>
        <row r="6973">
          <cell r="D6973">
            <v>10880028306</v>
          </cell>
        </row>
        <row r="6974">
          <cell r="D6974">
            <v>10880022123</v>
          </cell>
        </row>
        <row r="6975">
          <cell r="D6975">
            <v>10880031560</v>
          </cell>
        </row>
        <row r="6976">
          <cell r="D6976">
            <v>10880030551</v>
          </cell>
        </row>
        <row r="6977">
          <cell r="D6977">
            <v>10880033329</v>
          </cell>
        </row>
        <row r="6978">
          <cell r="D6978">
            <v>10880028306</v>
          </cell>
        </row>
        <row r="6979">
          <cell r="D6979">
            <v>10880033855</v>
          </cell>
        </row>
        <row r="6980">
          <cell r="D6980">
            <v>10880036134</v>
          </cell>
        </row>
        <row r="6981">
          <cell r="D6981">
            <v>10880036135</v>
          </cell>
        </row>
        <row r="6982">
          <cell r="D6982">
            <v>10880033488</v>
          </cell>
        </row>
        <row r="6983">
          <cell r="D6983">
            <v>10880033487</v>
          </cell>
        </row>
        <row r="6984">
          <cell r="D6984">
            <v>10880034194</v>
          </cell>
        </row>
        <row r="6985">
          <cell r="D6985">
            <v>10880030977</v>
          </cell>
        </row>
        <row r="6986">
          <cell r="D6986">
            <v>10880017525</v>
          </cell>
        </row>
        <row r="6987">
          <cell r="D6987">
            <v>10880017516</v>
          </cell>
        </row>
        <row r="6988">
          <cell r="D6988">
            <v>10880021545</v>
          </cell>
        </row>
        <row r="6989">
          <cell r="D6989">
            <v>10880027925</v>
          </cell>
        </row>
        <row r="6990">
          <cell r="D6990">
            <v>10880027924</v>
          </cell>
        </row>
        <row r="6991">
          <cell r="D6991">
            <v>10880033535</v>
          </cell>
        </row>
        <row r="6992">
          <cell r="D6992">
            <v>10880035409</v>
          </cell>
        </row>
        <row r="6993">
          <cell r="D6993">
            <v>10880033523</v>
          </cell>
        </row>
        <row r="6994">
          <cell r="D6994">
            <v>10880034142</v>
          </cell>
        </row>
        <row r="6995">
          <cell r="D6995">
            <v>10880030296</v>
          </cell>
        </row>
        <row r="6996">
          <cell r="D6996">
            <v>10880030447</v>
          </cell>
        </row>
        <row r="6997">
          <cell r="D6997">
            <v>10880034417</v>
          </cell>
        </row>
        <row r="6998">
          <cell r="D6998">
            <v>10880034417</v>
          </cell>
        </row>
        <row r="6999">
          <cell r="D6999">
            <v>10880035754</v>
          </cell>
        </row>
        <row r="7000">
          <cell r="D7000">
            <v>10880036207</v>
          </cell>
        </row>
        <row r="7001">
          <cell r="D7001">
            <v>10880036205</v>
          </cell>
        </row>
        <row r="7002">
          <cell r="D7002">
            <v>10880031600</v>
          </cell>
        </row>
        <row r="7003">
          <cell r="D7003">
            <v>10880036868</v>
          </cell>
        </row>
        <row r="7004">
          <cell r="D7004">
            <v>10880036868</v>
          </cell>
        </row>
        <row r="7005">
          <cell r="D7005">
            <v>10880035531</v>
          </cell>
        </row>
        <row r="7006">
          <cell r="D7006">
            <v>10880035513</v>
          </cell>
        </row>
        <row r="7007">
          <cell r="D7007">
            <v>10880036489</v>
          </cell>
        </row>
        <row r="7008">
          <cell r="D7008">
            <v>10880036490</v>
          </cell>
        </row>
        <row r="7009">
          <cell r="D7009">
            <v>10880034575</v>
          </cell>
        </row>
        <row r="7010">
          <cell r="D7010">
            <v>10880036299</v>
          </cell>
        </row>
        <row r="7011">
          <cell r="D7011">
            <v>10880031869</v>
          </cell>
        </row>
        <row r="7012">
          <cell r="D7012">
            <v>10880034669</v>
          </cell>
        </row>
        <row r="7013">
          <cell r="D7013">
            <v>10880033996</v>
          </cell>
        </row>
        <row r="7014">
          <cell r="D7014">
            <v>10880033325</v>
          </cell>
        </row>
        <row r="7015">
          <cell r="D7015">
            <v>10880030934</v>
          </cell>
        </row>
        <row r="7016">
          <cell r="D7016">
            <v>10880033976</v>
          </cell>
        </row>
        <row r="7017">
          <cell r="D7017">
            <v>10880035788</v>
          </cell>
        </row>
        <row r="7018">
          <cell r="D7018">
            <v>10880034933</v>
          </cell>
        </row>
        <row r="7019">
          <cell r="D7019">
            <v>10880031242</v>
          </cell>
        </row>
        <row r="7020">
          <cell r="D7020">
            <v>10880029957</v>
          </cell>
        </row>
        <row r="7021">
          <cell r="D7021">
            <v>10880017949</v>
          </cell>
        </row>
        <row r="7022">
          <cell r="D7022">
            <v>10880035235</v>
          </cell>
        </row>
        <row r="7023">
          <cell r="D7023">
            <v>10880033178</v>
          </cell>
        </row>
        <row r="7024">
          <cell r="D7024">
            <v>10880033533</v>
          </cell>
        </row>
        <row r="7025">
          <cell r="D7025">
            <v>10880033785</v>
          </cell>
        </row>
        <row r="7026">
          <cell r="D7026">
            <v>10880022123</v>
          </cell>
        </row>
        <row r="7027">
          <cell r="D7027">
            <v>10880032774</v>
          </cell>
        </row>
        <row r="7028">
          <cell r="D7028">
            <v>10880035722</v>
          </cell>
        </row>
        <row r="7029">
          <cell r="D7029">
            <v>10880036134</v>
          </cell>
        </row>
        <row r="7030">
          <cell r="D7030">
            <v>10880036205</v>
          </cell>
        </row>
        <row r="7031">
          <cell r="D7031">
            <v>10880030545</v>
          </cell>
        </row>
        <row r="7032">
          <cell r="D7032">
            <v>10880031020</v>
          </cell>
        </row>
        <row r="7033">
          <cell r="D7033">
            <v>10880030334</v>
          </cell>
        </row>
        <row r="7034">
          <cell r="D7034">
            <v>10880035441</v>
          </cell>
        </row>
        <row r="7035">
          <cell r="D7035">
            <v>10880035409</v>
          </cell>
        </row>
        <row r="7036">
          <cell r="D7036">
            <v>10880028306</v>
          </cell>
        </row>
        <row r="7037">
          <cell r="D7037">
            <v>10880028307</v>
          </cell>
        </row>
        <row r="7038">
          <cell r="D7038">
            <v>10880036515</v>
          </cell>
        </row>
        <row r="7039">
          <cell r="D7039">
            <v>10880031760</v>
          </cell>
        </row>
        <row r="7040">
          <cell r="D7040">
            <v>10880036505</v>
          </cell>
        </row>
        <row r="7041">
          <cell r="D7041">
            <v>10880036503</v>
          </cell>
        </row>
        <row r="7042">
          <cell r="D7042">
            <v>10880036504</v>
          </cell>
        </row>
        <row r="7043">
          <cell r="D7043">
            <v>10880020048</v>
          </cell>
        </row>
        <row r="7044">
          <cell r="D7044">
            <v>10880036489</v>
          </cell>
        </row>
        <row r="7045">
          <cell r="D7045">
            <v>10880036489</v>
          </cell>
        </row>
        <row r="7046">
          <cell r="D7046">
            <v>10880036489</v>
          </cell>
        </row>
        <row r="7047">
          <cell r="D7047">
            <v>10880036490</v>
          </cell>
        </row>
        <row r="7048">
          <cell r="D7048">
            <v>10880036490</v>
          </cell>
        </row>
        <row r="7049">
          <cell r="D7049">
            <v>10880036490</v>
          </cell>
        </row>
        <row r="7050">
          <cell r="D7050">
            <v>10880022405</v>
          </cell>
        </row>
        <row r="7051">
          <cell r="D7051">
            <v>10880017949</v>
          </cell>
        </row>
        <row r="7052">
          <cell r="D7052">
            <v>10880033690</v>
          </cell>
        </row>
        <row r="7053">
          <cell r="D7053">
            <v>10880017948</v>
          </cell>
        </row>
        <row r="7054">
          <cell r="D7054">
            <v>10880017531</v>
          </cell>
        </row>
        <row r="7055">
          <cell r="D7055">
            <v>10880028881</v>
          </cell>
        </row>
        <row r="7056">
          <cell r="D7056">
            <v>10880029054</v>
          </cell>
        </row>
        <row r="7057">
          <cell r="D7057">
            <v>10880018848</v>
          </cell>
        </row>
        <row r="7058">
          <cell r="D7058">
            <v>10880017516</v>
          </cell>
        </row>
        <row r="7059">
          <cell r="D7059">
            <v>10880032885</v>
          </cell>
        </row>
        <row r="7060">
          <cell r="D7060">
            <v>10880030620</v>
          </cell>
        </row>
        <row r="7061">
          <cell r="D7061">
            <v>10880028306</v>
          </cell>
        </row>
        <row r="7062">
          <cell r="D7062">
            <v>10880022123</v>
          </cell>
        </row>
        <row r="7063">
          <cell r="D7063">
            <v>10880020637</v>
          </cell>
        </row>
        <row r="7064">
          <cell r="D7064">
            <v>10880029958</v>
          </cell>
        </row>
        <row r="7065">
          <cell r="D7065">
            <v>10880035754</v>
          </cell>
        </row>
        <row r="7066">
          <cell r="D7066">
            <v>10880036205</v>
          </cell>
        </row>
        <row r="7067">
          <cell r="D7067">
            <v>10880036207</v>
          </cell>
        </row>
        <row r="7068">
          <cell r="D7068">
            <v>10880030545</v>
          </cell>
        </row>
        <row r="7069">
          <cell r="D7069">
            <v>10880030545</v>
          </cell>
        </row>
        <row r="7070">
          <cell r="D7070">
            <v>10880034622</v>
          </cell>
        </row>
        <row r="7071">
          <cell r="D7071">
            <v>10880031020</v>
          </cell>
        </row>
        <row r="7072">
          <cell r="D7072">
            <v>10880013146</v>
          </cell>
        </row>
        <row r="7073">
          <cell r="D7073">
            <v>10880030976</v>
          </cell>
        </row>
        <row r="7074">
          <cell r="D7074">
            <v>10880033566</v>
          </cell>
        </row>
        <row r="7075">
          <cell r="D7075">
            <v>10880033605</v>
          </cell>
        </row>
        <row r="7076">
          <cell r="D7076">
            <v>10880020802</v>
          </cell>
        </row>
        <row r="7077">
          <cell r="D7077">
            <v>10880031871</v>
          </cell>
        </row>
        <row r="7078">
          <cell r="D7078">
            <v>10880033855</v>
          </cell>
        </row>
        <row r="7079">
          <cell r="D7079">
            <v>10880035409</v>
          </cell>
        </row>
        <row r="7080">
          <cell r="D7080">
            <v>10880031185</v>
          </cell>
        </row>
        <row r="7081">
          <cell r="D7081">
            <v>10880031185</v>
          </cell>
        </row>
        <row r="7082">
          <cell r="D7082">
            <v>10880018105</v>
          </cell>
        </row>
        <row r="7083">
          <cell r="D7083">
            <v>10880035234</v>
          </cell>
        </row>
        <row r="7084">
          <cell r="D7084">
            <v>10880032933</v>
          </cell>
        </row>
        <row r="7085">
          <cell r="D7085">
            <v>10880033717</v>
          </cell>
        </row>
        <row r="7086">
          <cell r="D7086">
            <v>10880033720</v>
          </cell>
        </row>
        <row r="7087">
          <cell r="D7087">
            <v>10880034621</v>
          </cell>
        </row>
        <row r="7088">
          <cell r="D7088">
            <v>10880031020</v>
          </cell>
        </row>
        <row r="7089">
          <cell r="D7089">
            <v>10880030545</v>
          </cell>
        </row>
        <row r="7090">
          <cell r="D7090">
            <v>10880013354</v>
          </cell>
        </row>
        <row r="7091">
          <cell r="D7091">
            <v>10880030920</v>
          </cell>
        </row>
        <row r="7092">
          <cell r="D7092">
            <v>10880017949</v>
          </cell>
        </row>
        <row r="7093">
          <cell r="D7093">
            <v>10880014363</v>
          </cell>
        </row>
        <row r="7094">
          <cell r="D7094">
            <v>10880020192</v>
          </cell>
        </row>
        <row r="7095">
          <cell r="D7095">
            <v>10880035119</v>
          </cell>
        </row>
        <row r="7096">
          <cell r="D7096">
            <v>10880033523</v>
          </cell>
        </row>
        <row r="7097">
          <cell r="D7097">
            <v>10880028306</v>
          </cell>
        </row>
        <row r="7098">
          <cell r="D7098">
            <v>10880032942</v>
          </cell>
        </row>
        <row r="7099">
          <cell r="D7099">
            <v>10880029958</v>
          </cell>
        </row>
        <row r="7100">
          <cell r="D7100">
            <v>10880030545</v>
          </cell>
        </row>
        <row r="7101">
          <cell r="D7101">
            <v>10880030550</v>
          </cell>
        </row>
        <row r="7102">
          <cell r="D7102">
            <v>10880036499</v>
          </cell>
        </row>
        <row r="7103">
          <cell r="D7103">
            <v>10880031011</v>
          </cell>
        </row>
        <row r="7104">
          <cell r="D7104">
            <v>10880021545</v>
          </cell>
        </row>
        <row r="7105">
          <cell r="D7105">
            <v>10880036346</v>
          </cell>
        </row>
        <row r="7106">
          <cell r="D7106">
            <v>10880035653</v>
          </cell>
        </row>
        <row r="7107">
          <cell r="D7107">
            <v>10880030784</v>
          </cell>
        </row>
        <row r="7108">
          <cell r="D7108">
            <v>10880017949</v>
          </cell>
        </row>
        <row r="7109">
          <cell r="D7109">
            <v>10880036299</v>
          </cell>
        </row>
        <row r="7110">
          <cell r="D7110">
            <v>10880034669</v>
          </cell>
        </row>
        <row r="7111">
          <cell r="D7111">
            <v>10880035045</v>
          </cell>
        </row>
        <row r="7112">
          <cell r="D7112">
            <v>10880034933</v>
          </cell>
        </row>
        <row r="7113">
          <cell r="D7113">
            <v>10880035788</v>
          </cell>
        </row>
        <row r="7114">
          <cell r="D7114">
            <v>10880033976</v>
          </cell>
        </row>
        <row r="7115">
          <cell r="D7115">
            <v>10880034142</v>
          </cell>
        </row>
        <row r="7116">
          <cell r="D7116">
            <v>10880034093</v>
          </cell>
        </row>
        <row r="7117">
          <cell r="D7117">
            <v>10880028929</v>
          </cell>
        </row>
        <row r="7118">
          <cell r="D7118">
            <v>10880028834</v>
          </cell>
        </row>
        <row r="7119">
          <cell r="D7119">
            <v>10880031011</v>
          </cell>
        </row>
        <row r="7120">
          <cell r="D7120">
            <v>10880029957</v>
          </cell>
        </row>
        <row r="7121">
          <cell r="D7121">
            <v>10880033280</v>
          </cell>
        </row>
        <row r="7122">
          <cell r="D7122">
            <v>10880033280</v>
          </cell>
        </row>
        <row r="7123">
          <cell r="D7123">
            <v>10880030977</v>
          </cell>
        </row>
        <row r="7124">
          <cell r="D7124">
            <v>10880020677</v>
          </cell>
        </row>
        <row r="7125">
          <cell r="D7125">
            <v>10880020677</v>
          </cell>
        </row>
        <row r="7126">
          <cell r="D7126">
            <v>10880017948</v>
          </cell>
        </row>
        <row r="7127">
          <cell r="D7127">
            <v>10880033488</v>
          </cell>
        </row>
        <row r="7128">
          <cell r="D7128">
            <v>10880021029</v>
          </cell>
        </row>
        <row r="7129">
          <cell r="D7129">
            <v>10880035441</v>
          </cell>
        </row>
        <row r="7130">
          <cell r="D7130">
            <v>10880035186</v>
          </cell>
        </row>
        <row r="7131">
          <cell r="D7131">
            <v>10880033690</v>
          </cell>
        </row>
        <row r="7132">
          <cell r="D7132">
            <v>10880033689</v>
          </cell>
        </row>
        <row r="7133">
          <cell r="D7133">
            <v>10880035126</v>
          </cell>
        </row>
        <row r="7134">
          <cell r="D7134">
            <v>10880029999</v>
          </cell>
        </row>
        <row r="7135">
          <cell r="D7135">
            <v>10880029999</v>
          </cell>
        </row>
        <row r="7136">
          <cell r="D7136">
            <v>10880029999</v>
          </cell>
        </row>
        <row r="7137">
          <cell r="D7137">
            <v>10880034142</v>
          </cell>
        </row>
        <row r="7138">
          <cell r="D7138">
            <v>10880022123</v>
          </cell>
        </row>
        <row r="7139">
          <cell r="D7139">
            <v>10880030551</v>
          </cell>
        </row>
        <row r="7140">
          <cell r="D7140">
            <v>10880034622</v>
          </cell>
        </row>
        <row r="7141">
          <cell r="D7141">
            <v>10880030545</v>
          </cell>
        </row>
        <row r="7142">
          <cell r="D7142">
            <v>10880030519</v>
          </cell>
        </row>
        <row r="7143">
          <cell r="D7143">
            <v>10880030520</v>
          </cell>
        </row>
        <row r="7144">
          <cell r="D7144">
            <v>10880022442</v>
          </cell>
        </row>
        <row r="7145">
          <cell r="D7145">
            <v>10880033663</v>
          </cell>
        </row>
        <row r="7146">
          <cell r="D7146">
            <v>10880033855</v>
          </cell>
        </row>
        <row r="7147">
          <cell r="D7147">
            <v>10880035186</v>
          </cell>
        </row>
        <row r="7148">
          <cell r="D7148">
            <v>10880035989</v>
          </cell>
        </row>
        <row r="7149">
          <cell r="D7149">
            <v>10880035989</v>
          </cell>
        </row>
        <row r="7150">
          <cell r="D7150">
            <v>10880033916</v>
          </cell>
        </row>
        <row r="7151">
          <cell r="D7151">
            <v>10880028306</v>
          </cell>
        </row>
        <row r="7152">
          <cell r="D7152">
            <v>10880030934</v>
          </cell>
        </row>
        <row r="7153">
          <cell r="D7153">
            <v>10880017949</v>
          </cell>
        </row>
        <row r="7154">
          <cell r="D7154">
            <v>10880032937</v>
          </cell>
        </row>
        <row r="7155">
          <cell r="D7155">
            <v>10880033655</v>
          </cell>
        </row>
        <row r="7156">
          <cell r="D7156">
            <v>10880030187</v>
          </cell>
        </row>
        <row r="7157">
          <cell r="D7157">
            <v>10880036134</v>
          </cell>
        </row>
        <row r="7158">
          <cell r="D7158">
            <v>10880030607</v>
          </cell>
        </row>
        <row r="7159">
          <cell r="D7159">
            <v>10880030607</v>
          </cell>
        </row>
        <row r="7160">
          <cell r="D7160">
            <v>10880018096</v>
          </cell>
        </row>
        <row r="7161">
          <cell r="D7161">
            <v>10880020640</v>
          </cell>
        </row>
        <row r="7162">
          <cell r="D7162">
            <v>10880034669</v>
          </cell>
        </row>
        <row r="7163">
          <cell r="D7163">
            <v>10880020654</v>
          </cell>
        </row>
        <row r="7164">
          <cell r="D7164">
            <v>10880034142</v>
          </cell>
        </row>
        <row r="7165">
          <cell r="D7165">
            <v>10880033400</v>
          </cell>
        </row>
        <row r="7166">
          <cell r="D7166">
            <v>10880029999</v>
          </cell>
        </row>
        <row r="7167">
          <cell r="D7167">
            <v>10880035409</v>
          </cell>
        </row>
        <row r="7168">
          <cell r="D7168">
            <v>10880017524</v>
          </cell>
        </row>
        <row r="7169">
          <cell r="D7169">
            <v>10880032945</v>
          </cell>
        </row>
        <row r="7170">
          <cell r="D7170">
            <v>10880034619</v>
          </cell>
        </row>
        <row r="7171">
          <cell r="D7171">
            <v>10880031560</v>
          </cell>
        </row>
        <row r="7172">
          <cell r="D7172">
            <v>10880035325</v>
          </cell>
        </row>
        <row r="7173">
          <cell r="D7173">
            <v>10880030608</v>
          </cell>
        </row>
        <row r="7174">
          <cell r="D7174">
            <v>10880035721</v>
          </cell>
        </row>
        <row r="7175">
          <cell r="D7175">
            <v>10880035167</v>
          </cell>
        </row>
        <row r="7176">
          <cell r="D7176">
            <v>10880035379</v>
          </cell>
        </row>
        <row r="7177">
          <cell r="D7177">
            <v>10880035380</v>
          </cell>
        </row>
        <row r="7178">
          <cell r="D7178">
            <v>10880033785</v>
          </cell>
        </row>
        <row r="7179">
          <cell r="D7179">
            <v>10880017525</v>
          </cell>
        </row>
        <row r="7180">
          <cell r="D7180">
            <v>10880022123</v>
          </cell>
        </row>
        <row r="7181">
          <cell r="D7181">
            <v>10880032943</v>
          </cell>
        </row>
        <row r="7182">
          <cell r="D7182">
            <v>10880032683</v>
          </cell>
        </row>
        <row r="7183">
          <cell r="D7183">
            <v>10880030607</v>
          </cell>
        </row>
        <row r="7184">
          <cell r="D7184">
            <v>10880031242</v>
          </cell>
        </row>
        <row r="7185">
          <cell r="D7185">
            <v>10880031243</v>
          </cell>
        </row>
        <row r="7186">
          <cell r="D7186">
            <v>10880035981</v>
          </cell>
        </row>
        <row r="7187">
          <cell r="D7187">
            <v>10880035167</v>
          </cell>
        </row>
        <row r="7188">
          <cell r="D7188">
            <v>10880035167</v>
          </cell>
        </row>
        <row r="7189">
          <cell r="D7189">
            <v>10880020048</v>
          </cell>
        </row>
        <row r="7190">
          <cell r="D7190">
            <v>10880036423</v>
          </cell>
        </row>
        <row r="7191">
          <cell r="D7191">
            <v>10880034669</v>
          </cell>
        </row>
        <row r="7192">
          <cell r="D7192">
            <v>10880032322</v>
          </cell>
        </row>
        <row r="7193">
          <cell r="D7193">
            <v>10880033661</v>
          </cell>
        </row>
        <row r="7194">
          <cell r="D7194">
            <v>10880017527</v>
          </cell>
        </row>
        <row r="7195">
          <cell r="D7195">
            <v>10880017527</v>
          </cell>
        </row>
        <row r="7196">
          <cell r="D7196">
            <v>10880030447</v>
          </cell>
        </row>
        <row r="7197">
          <cell r="D7197">
            <v>10880036515</v>
          </cell>
        </row>
        <row r="7198">
          <cell r="D7198">
            <v>10880036515</v>
          </cell>
        </row>
        <row r="7199">
          <cell r="D7199">
            <v>10880036135</v>
          </cell>
        </row>
        <row r="7200">
          <cell r="D7200">
            <v>10880035982</v>
          </cell>
        </row>
        <row r="7201">
          <cell r="D7201">
            <v>10880020031</v>
          </cell>
        </row>
        <row r="7202">
          <cell r="D7202">
            <v>10880033585</v>
          </cell>
        </row>
        <row r="7203">
          <cell r="D7203">
            <v>10880035196</v>
          </cell>
        </row>
        <row r="7204">
          <cell r="D7204">
            <v>10880022470</v>
          </cell>
        </row>
        <row r="7205">
          <cell r="D7205">
            <v>10880022405</v>
          </cell>
        </row>
        <row r="7206">
          <cell r="D7206">
            <v>10880035235</v>
          </cell>
        </row>
        <row r="7207">
          <cell r="D7207">
            <v>10880035512</v>
          </cell>
        </row>
        <row r="7208">
          <cell r="D7208">
            <v>10880036761</v>
          </cell>
        </row>
        <row r="7209">
          <cell r="D7209">
            <v>10880018091</v>
          </cell>
        </row>
        <row r="7210">
          <cell r="D7210">
            <v>10880036206</v>
          </cell>
        </row>
        <row r="7211">
          <cell r="D7211">
            <v>10880030520</v>
          </cell>
        </row>
        <row r="7212">
          <cell r="D7212">
            <v>10880033279</v>
          </cell>
        </row>
        <row r="7213">
          <cell r="D7213">
            <v>10880030976</v>
          </cell>
        </row>
        <row r="7214">
          <cell r="D7214">
            <v>10880033487</v>
          </cell>
        </row>
        <row r="7215">
          <cell r="D7215">
            <v>10880036489</v>
          </cell>
        </row>
        <row r="7216">
          <cell r="D7216">
            <v>10880017949</v>
          </cell>
        </row>
        <row r="7217">
          <cell r="D7217">
            <v>10880034142</v>
          </cell>
        </row>
        <row r="7218">
          <cell r="D7218">
            <v>10880028307</v>
          </cell>
        </row>
        <row r="7219">
          <cell r="D7219">
            <v>10880028306</v>
          </cell>
        </row>
        <row r="7220">
          <cell r="D7220">
            <v>10880034610</v>
          </cell>
        </row>
        <row r="7221">
          <cell r="D7221">
            <v>10880035167</v>
          </cell>
        </row>
        <row r="7222">
          <cell r="D7222">
            <v>10880035166</v>
          </cell>
        </row>
        <row r="7223">
          <cell r="D7223">
            <v>10880033855</v>
          </cell>
        </row>
        <row r="7224">
          <cell r="D7224">
            <v>10880032885</v>
          </cell>
        </row>
        <row r="7225">
          <cell r="D7225">
            <v>10880034142</v>
          </cell>
        </row>
        <row r="7226">
          <cell r="D7226">
            <v>10880033584</v>
          </cell>
        </row>
        <row r="7227">
          <cell r="D7227">
            <v>10880020556</v>
          </cell>
        </row>
        <row r="7228">
          <cell r="D7228">
            <v>10880029055</v>
          </cell>
        </row>
        <row r="7229">
          <cell r="D7229">
            <v>10880031072</v>
          </cell>
        </row>
        <row r="7230">
          <cell r="D7230">
            <v>10880022123</v>
          </cell>
        </row>
        <row r="7231">
          <cell r="D7231">
            <v>10880033996</v>
          </cell>
        </row>
        <row r="7232">
          <cell r="D7232">
            <v>10880035235</v>
          </cell>
        </row>
        <row r="7233">
          <cell r="D7233">
            <v>10880036786</v>
          </cell>
        </row>
        <row r="7234">
          <cell r="D7234">
            <v>10880030608</v>
          </cell>
        </row>
        <row r="7235">
          <cell r="D7235">
            <v>10880035441</v>
          </cell>
        </row>
        <row r="7236">
          <cell r="D7236">
            <v>10880033535</v>
          </cell>
        </row>
        <row r="7237">
          <cell r="D7237">
            <v>10880035169</v>
          </cell>
        </row>
        <row r="7238">
          <cell r="D7238">
            <v>10880035709</v>
          </cell>
        </row>
        <row r="7239">
          <cell r="D7239">
            <v>10880036706</v>
          </cell>
        </row>
        <row r="7240">
          <cell r="D7240">
            <v>10880036704</v>
          </cell>
        </row>
        <row r="7241">
          <cell r="D7241">
            <v>10880018105</v>
          </cell>
        </row>
        <row r="7242">
          <cell r="D7242">
            <v>10880036205</v>
          </cell>
        </row>
        <row r="7243">
          <cell r="D7243">
            <v>10880030608</v>
          </cell>
        </row>
        <row r="7244">
          <cell r="D7244">
            <v>10880034669</v>
          </cell>
        </row>
        <row r="7245">
          <cell r="D7245">
            <v>10880035409</v>
          </cell>
        </row>
        <row r="7246">
          <cell r="D7246">
            <v>10880033325</v>
          </cell>
        </row>
        <row r="7247">
          <cell r="D7247">
            <v>10880017949</v>
          </cell>
        </row>
        <row r="7248">
          <cell r="D7248">
            <v>10880036207</v>
          </cell>
        </row>
        <row r="7249">
          <cell r="D7249">
            <v>10880036497</v>
          </cell>
        </row>
        <row r="7250">
          <cell r="D7250">
            <v>10880036481</v>
          </cell>
        </row>
        <row r="7251">
          <cell r="D7251">
            <v>10880036346</v>
          </cell>
        </row>
        <row r="7252">
          <cell r="D7252">
            <v>10880036299</v>
          </cell>
        </row>
        <row r="7253">
          <cell r="D7253">
            <v>10880031870</v>
          </cell>
        </row>
        <row r="7254">
          <cell r="D7254">
            <v>10880036044</v>
          </cell>
        </row>
        <row r="7255">
          <cell r="D7255">
            <v>10880017516</v>
          </cell>
        </row>
        <row r="7256">
          <cell r="D7256">
            <v>10880032885</v>
          </cell>
        </row>
        <row r="7257">
          <cell r="D7257">
            <v>10880034142</v>
          </cell>
        </row>
        <row r="7258">
          <cell r="D7258">
            <v>10880022123</v>
          </cell>
        </row>
        <row r="7259">
          <cell r="D7259">
            <v>10880028834</v>
          </cell>
        </row>
        <row r="7260">
          <cell r="D7260">
            <v>10880033400</v>
          </cell>
        </row>
        <row r="7261">
          <cell r="D7261">
            <v>10880036786</v>
          </cell>
        </row>
        <row r="7262">
          <cell r="D7262">
            <v>10880033585</v>
          </cell>
        </row>
        <row r="7263">
          <cell r="D7263">
            <v>10880033585</v>
          </cell>
        </row>
        <row r="7264">
          <cell r="D7264">
            <v>10880034956</v>
          </cell>
        </row>
        <row r="7265">
          <cell r="D7265">
            <v>10880031138</v>
          </cell>
        </row>
        <row r="7266">
          <cell r="D7266">
            <v>10880031139</v>
          </cell>
        </row>
        <row r="7267">
          <cell r="D7267">
            <v>10880027924</v>
          </cell>
        </row>
        <row r="7268">
          <cell r="D7268">
            <v>10880027925</v>
          </cell>
        </row>
        <row r="7269">
          <cell r="D7269">
            <v>10880035982</v>
          </cell>
        </row>
        <row r="7270">
          <cell r="D7270">
            <v>10880032885</v>
          </cell>
        </row>
        <row r="7271">
          <cell r="D7271">
            <v>10880029033</v>
          </cell>
        </row>
        <row r="7272">
          <cell r="D7272">
            <v>10880017949</v>
          </cell>
        </row>
        <row r="7273">
          <cell r="D7273">
            <v>10880028881</v>
          </cell>
        </row>
        <row r="7274">
          <cell r="D7274">
            <v>10880031570</v>
          </cell>
        </row>
        <row r="7275">
          <cell r="D7275">
            <v>10880029999</v>
          </cell>
        </row>
        <row r="7276">
          <cell r="D7276">
            <v>10880036515</v>
          </cell>
        </row>
        <row r="7277">
          <cell r="D7277">
            <v>10880036515</v>
          </cell>
        </row>
        <row r="7278">
          <cell r="D7278">
            <v>10880036494</v>
          </cell>
        </row>
        <row r="7279">
          <cell r="D7279">
            <v>10880019240</v>
          </cell>
        </row>
        <row r="7280">
          <cell r="D7280">
            <v>10880033805</v>
          </cell>
        </row>
        <row r="7281">
          <cell r="D7281">
            <v>10880033605</v>
          </cell>
        </row>
        <row r="7282">
          <cell r="D7282">
            <v>10880033976</v>
          </cell>
        </row>
        <row r="7283">
          <cell r="D7283">
            <v>10880036761</v>
          </cell>
        </row>
        <row r="7284">
          <cell r="D7284">
            <v>10880022406</v>
          </cell>
        </row>
        <row r="7285">
          <cell r="D7285">
            <v>10880034142</v>
          </cell>
        </row>
        <row r="7286">
          <cell r="D7286">
            <v>10880033584</v>
          </cell>
        </row>
        <row r="7287">
          <cell r="D7287">
            <v>10880030934</v>
          </cell>
        </row>
        <row r="7288">
          <cell r="D7288">
            <v>10880019777</v>
          </cell>
        </row>
        <row r="7289">
          <cell r="D7289">
            <v>10880035235</v>
          </cell>
        </row>
        <row r="7290">
          <cell r="D7290">
            <v>10880035235</v>
          </cell>
        </row>
        <row r="7291">
          <cell r="D7291">
            <v>10880033655</v>
          </cell>
        </row>
        <row r="7292">
          <cell r="D7292">
            <v>10880036495</v>
          </cell>
        </row>
        <row r="7293">
          <cell r="D7293">
            <v>10880036206</v>
          </cell>
        </row>
        <row r="7294">
          <cell r="D7294">
            <v>10880036799</v>
          </cell>
        </row>
        <row r="7295">
          <cell r="D7295">
            <v>10880033312</v>
          </cell>
        </row>
        <row r="7296">
          <cell r="D7296">
            <v>10880034563</v>
          </cell>
        </row>
        <row r="7297">
          <cell r="D7297">
            <v>10880030132</v>
          </cell>
        </row>
        <row r="7298">
          <cell r="D7298">
            <v>10880034562</v>
          </cell>
        </row>
        <row r="7299">
          <cell r="D7299">
            <v>10880030608</v>
          </cell>
        </row>
        <row r="7300">
          <cell r="D7300">
            <v>10880033488</v>
          </cell>
        </row>
        <row r="7301">
          <cell r="D7301">
            <v>10880036299</v>
          </cell>
        </row>
        <row r="7302">
          <cell r="D7302">
            <v>10880032885</v>
          </cell>
        </row>
        <row r="7303">
          <cell r="D7303">
            <v>10880017949</v>
          </cell>
        </row>
        <row r="7304">
          <cell r="D7304">
            <v>10880022123</v>
          </cell>
        </row>
        <row r="7305">
          <cell r="D7305">
            <v>10880022044</v>
          </cell>
        </row>
        <row r="7306">
          <cell r="D7306">
            <v>10880030243</v>
          </cell>
        </row>
        <row r="7307">
          <cell r="D7307">
            <v>10880035754</v>
          </cell>
        </row>
        <row r="7310">
          <cell r="D7310">
            <v>10880036205</v>
          </cell>
        </row>
        <row r="7311">
          <cell r="D7311">
            <v>10880036206</v>
          </cell>
        </row>
        <row r="7312">
          <cell r="D7312">
            <v>10400030646</v>
          </cell>
        </row>
        <row r="7313">
          <cell r="D7313">
            <v>10400029072</v>
          </cell>
        </row>
        <row r="7314">
          <cell r="D7314">
            <v>10880033487</v>
          </cell>
        </row>
        <row r="7315">
          <cell r="D7315">
            <v>10880033585</v>
          </cell>
        </row>
        <row r="7316">
          <cell r="D7316">
            <v>10880033585</v>
          </cell>
        </row>
        <row r="7317">
          <cell r="D7317">
            <v>10880035196</v>
          </cell>
        </row>
        <row r="7318">
          <cell r="D7318">
            <v>10880035441</v>
          </cell>
        </row>
        <row r="7319">
          <cell r="D7319">
            <v>10880034195</v>
          </cell>
        </row>
        <row r="7320">
          <cell r="D7320">
            <v>10880034195</v>
          </cell>
        </row>
        <row r="7321">
          <cell r="D7321">
            <v>10880036489</v>
          </cell>
        </row>
        <row r="7322">
          <cell r="D7322">
            <v>10880036490</v>
          </cell>
        </row>
        <row r="7323">
          <cell r="D7323">
            <v>10880033855</v>
          </cell>
        </row>
        <row r="7324">
          <cell r="D7324">
            <v>10880035119</v>
          </cell>
        </row>
        <row r="7325">
          <cell r="D7325">
            <v>10880034142</v>
          </cell>
        </row>
        <row r="7326">
          <cell r="D7326">
            <v>10880031307</v>
          </cell>
        </row>
        <row r="7327">
          <cell r="D7327">
            <v>10880035709</v>
          </cell>
        </row>
        <row r="7328">
          <cell r="D7328">
            <v>10880029033</v>
          </cell>
        </row>
        <row r="7329">
          <cell r="D7329">
            <v>10880032945</v>
          </cell>
        </row>
        <row r="7330">
          <cell r="D7330">
            <v>10880036421</v>
          </cell>
        </row>
        <row r="7331">
          <cell r="D7331">
            <v>10880033584</v>
          </cell>
        </row>
        <row r="7332">
          <cell r="D7332">
            <v>10880034142</v>
          </cell>
        </row>
        <row r="7333">
          <cell r="D7333">
            <v>10880029999</v>
          </cell>
        </row>
        <row r="7334">
          <cell r="D7334">
            <v>10880035543</v>
          </cell>
        </row>
        <row r="7335">
          <cell r="D7335">
            <v>10880030004</v>
          </cell>
        </row>
        <row r="7336">
          <cell r="D7336">
            <v>10880030004</v>
          </cell>
        </row>
        <row r="7337">
          <cell r="D7337">
            <v>10880028881</v>
          </cell>
        </row>
        <row r="7338">
          <cell r="D7338">
            <v>10880020556</v>
          </cell>
        </row>
        <row r="7339">
          <cell r="D7339">
            <v>10880031304</v>
          </cell>
        </row>
        <row r="7340">
          <cell r="D7340">
            <v>10880033217</v>
          </cell>
        </row>
        <row r="7341">
          <cell r="D7341">
            <v>10880017516</v>
          </cell>
        </row>
        <row r="7342">
          <cell r="D7342">
            <v>10880032386</v>
          </cell>
        </row>
        <row r="7343">
          <cell r="D7343">
            <v>10880030920</v>
          </cell>
        </row>
        <row r="7344">
          <cell r="D7344">
            <v>10880031870</v>
          </cell>
        </row>
        <row r="7345">
          <cell r="D7345">
            <v>10880022470</v>
          </cell>
        </row>
        <row r="7346">
          <cell r="D7346">
            <v>10880033661</v>
          </cell>
        </row>
        <row r="7347">
          <cell r="D7347">
            <v>10880035126</v>
          </cell>
        </row>
        <row r="7348">
          <cell r="D7348">
            <v>10880021029</v>
          </cell>
        </row>
        <row r="7349">
          <cell r="D7349">
            <v>10880017527</v>
          </cell>
        </row>
        <row r="7350">
          <cell r="D7350">
            <v>10880034093</v>
          </cell>
        </row>
        <row r="7351">
          <cell r="D7351">
            <v>10880027924</v>
          </cell>
        </row>
        <row r="7352">
          <cell r="D7352">
            <v>10880027925</v>
          </cell>
        </row>
        <row r="7353">
          <cell r="D7353">
            <v>10880036515</v>
          </cell>
        </row>
        <row r="7354">
          <cell r="D7354">
            <v>10880030545</v>
          </cell>
        </row>
        <row r="7355">
          <cell r="D7355">
            <v>10880030545</v>
          </cell>
        </row>
        <row r="7356">
          <cell r="D7356">
            <v>10880031020</v>
          </cell>
        </row>
        <row r="7357">
          <cell r="D7357">
            <v>10880034622</v>
          </cell>
        </row>
        <row r="7358">
          <cell r="D7358">
            <v>10880032708</v>
          </cell>
        </row>
        <row r="7359">
          <cell r="D7359">
            <v>10880032708</v>
          </cell>
        </row>
        <row r="7360">
          <cell r="D7360">
            <v>10880032692</v>
          </cell>
        </row>
        <row r="7361">
          <cell r="D7361">
            <v>10880032694</v>
          </cell>
        </row>
        <row r="7362">
          <cell r="D7362">
            <v>10880036479</v>
          </cell>
        </row>
        <row r="7363">
          <cell r="D7363">
            <v>10880036852</v>
          </cell>
        </row>
        <row r="7364">
          <cell r="D7364">
            <v>10880020640</v>
          </cell>
        </row>
        <row r="7365">
          <cell r="D7365">
            <v>10880033136</v>
          </cell>
        </row>
        <row r="7366">
          <cell r="D7366">
            <v>10880021476</v>
          </cell>
        </row>
        <row r="7367">
          <cell r="D7367">
            <v>10880036299</v>
          </cell>
        </row>
        <row r="7368">
          <cell r="D7368">
            <v>10880034669</v>
          </cell>
        </row>
        <row r="7369">
          <cell r="D7369">
            <v>10880033535</v>
          </cell>
        </row>
        <row r="7370">
          <cell r="D7370">
            <v>10880033523</v>
          </cell>
        </row>
        <row r="7371">
          <cell r="D7371">
            <v>10880030004</v>
          </cell>
        </row>
        <row r="7372">
          <cell r="D7372">
            <v>10880034142</v>
          </cell>
        </row>
        <row r="7373">
          <cell r="D7373">
            <v>10880022123</v>
          </cell>
        </row>
        <row r="7374">
          <cell r="D7374">
            <v>10880030545</v>
          </cell>
        </row>
        <row r="7375">
          <cell r="D7375">
            <v>10880034622</v>
          </cell>
        </row>
        <row r="7376">
          <cell r="D7376">
            <v>10880031760</v>
          </cell>
        </row>
        <row r="7377">
          <cell r="D7377">
            <v>10880034619</v>
          </cell>
        </row>
        <row r="7378">
          <cell r="D7378">
            <v>10880036299</v>
          </cell>
        </row>
        <row r="7379">
          <cell r="D7379">
            <v>10880033785</v>
          </cell>
        </row>
        <row r="7380">
          <cell r="D7380">
            <v>10880033717</v>
          </cell>
        </row>
        <row r="7381">
          <cell r="D7381">
            <v>10880028834</v>
          </cell>
        </row>
        <row r="7382">
          <cell r="D7382">
            <v>10880032943</v>
          </cell>
        </row>
        <row r="7383">
          <cell r="D7383">
            <v>10880033655</v>
          </cell>
        </row>
        <row r="7384">
          <cell r="D7384">
            <v>10880035754</v>
          </cell>
        </row>
        <row r="7385">
          <cell r="D7385">
            <v>10880020208</v>
          </cell>
        </row>
        <row r="7386">
          <cell r="D7386">
            <v>10880033312</v>
          </cell>
        </row>
        <row r="7387">
          <cell r="D7387">
            <v>10880034563</v>
          </cell>
        </row>
        <row r="7388">
          <cell r="D7388">
            <v>10880033585</v>
          </cell>
        </row>
        <row r="7389">
          <cell r="D7389">
            <v>10880029033</v>
          </cell>
        </row>
        <row r="7390">
          <cell r="D7390">
            <v>10880032885</v>
          </cell>
        </row>
        <row r="7391">
          <cell r="D7391">
            <v>10880033325</v>
          </cell>
        </row>
        <row r="7392">
          <cell r="D7392">
            <v>10880017525</v>
          </cell>
        </row>
        <row r="7393">
          <cell r="D7393">
            <v>10880017525</v>
          </cell>
        </row>
        <row r="7394">
          <cell r="D7394">
            <v>10880017516</v>
          </cell>
        </row>
        <row r="7395">
          <cell r="D7395">
            <v>10880032939</v>
          </cell>
        </row>
        <row r="7396">
          <cell r="D7396">
            <v>10880032942</v>
          </cell>
        </row>
        <row r="7397">
          <cell r="D7397">
            <v>10880035235</v>
          </cell>
        </row>
        <row r="7398">
          <cell r="D7398">
            <v>10880032697</v>
          </cell>
        </row>
        <row r="7399">
          <cell r="D7399">
            <v>10880032698</v>
          </cell>
        </row>
        <row r="7400">
          <cell r="D7400">
            <v>10880034621</v>
          </cell>
        </row>
        <row r="7401">
          <cell r="D7401">
            <v>10880033585</v>
          </cell>
        </row>
        <row r="7402">
          <cell r="D7402">
            <v>10880035166</v>
          </cell>
        </row>
        <row r="7403">
          <cell r="D7403">
            <v>10880036362</v>
          </cell>
        </row>
        <row r="7404">
          <cell r="D7404">
            <v>10880034669</v>
          </cell>
        </row>
        <row r="7405">
          <cell r="D7405">
            <v>10880020031</v>
          </cell>
        </row>
        <row r="7406">
          <cell r="D7406">
            <v>10880027924</v>
          </cell>
        </row>
        <row r="7407">
          <cell r="D7407">
            <v>10880035709</v>
          </cell>
        </row>
        <row r="7408">
          <cell r="D7408">
            <v>10880018105</v>
          </cell>
        </row>
        <row r="7409">
          <cell r="D7409">
            <v>10880036135</v>
          </cell>
        </row>
        <row r="7410">
          <cell r="D7410">
            <v>10880036135</v>
          </cell>
        </row>
        <row r="7411">
          <cell r="D7411">
            <v>10880036206</v>
          </cell>
        </row>
        <row r="7412">
          <cell r="D7412">
            <v>10880033976</v>
          </cell>
        </row>
        <row r="7413">
          <cell r="D7413">
            <v>10880033976</v>
          </cell>
        </row>
        <row r="7414">
          <cell r="D7414">
            <v>10880035788</v>
          </cell>
        </row>
        <row r="7415">
          <cell r="D7415">
            <v>10880034669</v>
          </cell>
        </row>
        <row r="7416">
          <cell r="D7416">
            <v>10880021545</v>
          </cell>
        </row>
        <row r="7417">
          <cell r="D7417">
            <v>10880020048</v>
          </cell>
        </row>
        <row r="7418">
          <cell r="D7418">
            <v>10880021029</v>
          </cell>
        </row>
        <row r="7419">
          <cell r="D7419">
            <v>10880029054</v>
          </cell>
        </row>
        <row r="7420">
          <cell r="D7420">
            <v>10880031307</v>
          </cell>
        </row>
        <row r="7421">
          <cell r="D7421">
            <v>10880035379</v>
          </cell>
        </row>
        <row r="7422">
          <cell r="D7422">
            <v>10880022123</v>
          </cell>
        </row>
        <row r="7423">
          <cell r="D7423">
            <v>10880035325</v>
          </cell>
        </row>
        <row r="7424">
          <cell r="D7424">
            <v>10880036204</v>
          </cell>
        </row>
        <row r="7425">
          <cell r="D7425">
            <v>10880036205</v>
          </cell>
        </row>
        <row r="7426">
          <cell r="D7426">
            <v>10880030920</v>
          </cell>
        </row>
        <row r="7427">
          <cell r="D7427">
            <v>10880035979</v>
          </cell>
        </row>
        <row r="7428">
          <cell r="D7428">
            <v>10880030285</v>
          </cell>
        </row>
        <row r="7429">
          <cell r="D7429">
            <v>10880035532</v>
          </cell>
        </row>
        <row r="7430">
          <cell r="D7430">
            <v>10880035126</v>
          </cell>
        </row>
        <row r="7431">
          <cell r="D7431">
            <v>10880033690</v>
          </cell>
        </row>
        <row r="7432">
          <cell r="D7432">
            <v>10880033689</v>
          </cell>
        </row>
        <row r="7433">
          <cell r="D7433">
            <v>10880028307</v>
          </cell>
        </row>
        <row r="7434">
          <cell r="D7434">
            <v>10880032945</v>
          </cell>
        </row>
        <row r="7435">
          <cell r="D7435">
            <v>10880032943</v>
          </cell>
        </row>
        <row r="7436">
          <cell r="D7436">
            <v>10880036493</v>
          </cell>
        </row>
        <row r="7437">
          <cell r="D7437">
            <v>10880033855</v>
          </cell>
        </row>
        <row r="7438">
          <cell r="D7438">
            <v>10880033855</v>
          </cell>
        </row>
        <row r="7439">
          <cell r="D7439">
            <v>10880033535</v>
          </cell>
        </row>
        <row r="7440">
          <cell r="D7440">
            <v>10880033535</v>
          </cell>
        </row>
        <row r="7441">
          <cell r="D7441">
            <v>10880033584</v>
          </cell>
        </row>
        <row r="7442">
          <cell r="D7442">
            <v>10880034142</v>
          </cell>
        </row>
        <row r="7443">
          <cell r="D7443">
            <v>10880020031</v>
          </cell>
        </row>
        <row r="7444">
          <cell r="D7444">
            <v>10880028306</v>
          </cell>
        </row>
        <row r="7445">
          <cell r="D7445">
            <v>10880028306</v>
          </cell>
        </row>
        <row r="7446">
          <cell r="D7446">
            <v>10880033717</v>
          </cell>
        </row>
        <row r="7447">
          <cell r="D7447">
            <v>10880031560</v>
          </cell>
        </row>
        <row r="7448">
          <cell r="D7448">
            <v>10880036467</v>
          </cell>
        </row>
        <row r="7449">
          <cell r="D7449">
            <v>10880036761</v>
          </cell>
        </row>
        <row r="7450">
          <cell r="D7450">
            <v>10880035788</v>
          </cell>
        </row>
        <row r="7451">
          <cell r="D7451">
            <v>10880030607</v>
          </cell>
        </row>
        <row r="7452">
          <cell r="D7452">
            <v>10880030608</v>
          </cell>
        </row>
        <row r="7453">
          <cell r="D7453">
            <v>40880000587</v>
          </cell>
        </row>
        <row r="7454">
          <cell r="D7454">
            <v>10880018097</v>
          </cell>
        </row>
        <row r="7455">
          <cell r="D7455">
            <v>10880030519</v>
          </cell>
        </row>
        <row r="7456">
          <cell r="D7456">
            <v>10880034196</v>
          </cell>
        </row>
        <row r="7457">
          <cell r="D7457">
            <v>10880034197</v>
          </cell>
        </row>
        <row r="7458">
          <cell r="D7458">
            <v>10880036363</v>
          </cell>
        </row>
        <row r="7459">
          <cell r="D7459">
            <v>10880034669</v>
          </cell>
        </row>
        <row r="7460">
          <cell r="D7460">
            <v>10880021545</v>
          </cell>
        </row>
        <row r="7461">
          <cell r="D7461">
            <v>10880035235</v>
          </cell>
        </row>
        <row r="7462">
          <cell r="D7462">
            <v>10880030132</v>
          </cell>
        </row>
        <row r="7463">
          <cell r="D7463">
            <v>10880036498</v>
          </cell>
        </row>
        <row r="7464">
          <cell r="D7464">
            <v>10880017525</v>
          </cell>
        </row>
        <row r="7465">
          <cell r="D7465">
            <v>10880036421</v>
          </cell>
        </row>
        <row r="7466">
          <cell r="D7466">
            <v>10880034669</v>
          </cell>
        </row>
        <row r="7467">
          <cell r="D7467">
            <v>10880033663</v>
          </cell>
        </row>
        <row r="7468">
          <cell r="D7468">
            <v>10880022442</v>
          </cell>
        </row>
        <row r="7469">
          <cell r="D7469">
            <v>10880022442</v>
          </cell>
        </row>
        <row r="7470">
          <cell r="D7470">
            <v>10880020048</v>
          </cell>
        </row>
        <row r="7471">
          <cell r="D7471">
            <v>10880035169</v>
          </cell>
        </row>
        <row r="7472">
          <cell r="D7472">
            <v>10880028306</v>
          </cell>
        </row>
        <row r="7473">
          <cell r="D7473">
            <v>10880017949</v>
          </cell>
        </row>
        <row r="7474">
          <cell r="D7474">
            <v>10880035709</v>
          </cell>
        </row>
        <row r="7475">
          <cell r="D7475">
            <v>10880036479</v>
          </cell>
        </row>
        <row r="7476">
          <cell r="D7476">
            <v>10880030450</v>
          </cell>
        </row>
        <row r="7477">
          <cell r="D7477">
            <v>10880035196</v>
          </cell>
        </row>
        <row r="7478">
          <cell r="D7478">
            <v>10880036489</v>
          </cell>
        </row>
        <row r="7479">
          <cell r="D7479">
            <v>10880031242</v>
          </cell>
        </row>
        <row r="7480">
          <cell r="D7480">
            <v>10880031242</v>
          </cell>
        </row>
        <row r="7481">
          <cell r="D7481">
            <v>10880022470</v>
          </cell>
        </row>
        <row r="7482">
          <cell r="D7482">
            <v>10880032885</v>
          </cell>
        </row>
        <row r="7483">
          <cell r="D7483">
            <v>10880033996</v>
          </cell>
        </row>
        <row r="7484">
          <cell r="D7484">
            <v>10880035709</v>
          </cell>
        </row>
        <row r="7485">
          <cell r="D7485">
            <v>10880031018</v>
          </cell>
        </row>
        <row r="7486">
          <cell r="D7486">
            <v>10880035167</v>
          </cell>
        </row>
        <row r="7487">
          <cell r="D7487">
            <v>10880022123</v>
          </cell>
        </row>
        <row r="7488">
          <cell r="D7488">
            <v>10880031760</v>
          </cell>
        </row>
        <row r="7489">
          <cell r="D7489">
            <v>10880034619</v>
          </cell>
        </row>
        <row r="7490">
          <cell r="D7490">
            <v>10880030545</v>
          </cell>
        </row>
        <row r="7491">
          <cell r="D7491">
            <v>10880035196</v>
          </cell>
        </row>
        <row r="7492">
          <cell r="D7492">
            <v>10880034956</v>
          </cell>
        </row>
        <row r="7493">
          <cell r="D7493">
            <v>10880034946</v>
          </cell>
        </row>
        <row r="7494">
          <cell r="D7494">
            <v>10880035653</v>
          </cell>
        </row>
        <row r="7495">
          <cell r="D7495">
            <v>10880030920</v>
          </cell>
        </row>
        <row r="7496">
          <cell r="D7496">
            <v>10880020640</v>
          </cell>
        </row>
        <row r="7497">
          <cell r="D7497">
            <v>10880033535</v>
          </cell>
        </row>
        <row r="7498">
          <cell r="D7498">
            <v>10880033523</v>
          </cell>
        </row>
        <row r="7499">
          <cell r="D7499">
            <v>10880037164</v>
          </cell>
        </row>
        <row r="7500">
          <cell r="D7500">
            <v>10880035409</v>
          </cell>
        </row>
        <row r="7501">
          <cell r="D7501">
            <v>10880033655</v>
          </cell>
        </row>
        <row r="7502">
          <cell r="D7502">
            <v>10880029033</v>
          </cell>
        </row>
        <row r="7503">
          <cell r="D7503">
            <v>10880036515</v>
          </cell>
        </row>
        <row r="7504">
          <cell r="D7504">
            <v>10880028834</v>
          </cell>
        </row>
        <row r="7505">
          <cell r="D7505">
            <v>10880032943</v>
          </cell>
        </row>
        <row r="7506">
          <cell r="D7506">
            <v>10880032942</v>
          </cell>
        </row>
        <row r="7507">
          <cell r="D7507">
            <v>10880036134</v>
          </cell>
        </row>
        <row r="7508">
          <cell r="D7508">
            <v>10880031020</v>
          </cell>
        </row>
        <row r="7509">
          <cell r="D7509">
            <v>10880031600</v>
          </cell>
        </row>
        <row r="7510">
          <cell r="D7510">
            <v>10880031139</v>
          </cell>
        </row>
        <row r="7511">
          <cell r="D7511">
            <v>10880030607</v>
          </cell>
        </row>
        <row r="7512">
          <cell r="D7512">
            <v>10880030608</v>
          </cell>
        </row>
        <row r="7513">
          <cell r="D7513">
            <v>10880034195</v>
          </cell>
        </row>
        <row r="7514">
          <cell r="D7514">
            <v>10880034195</v>
          </cell>
        </row>
        <row r="7515">
          <cell r="D7515">
            <v>10880021476</v>
          </cell>
        </row>
        <row r="7516">
          <cell r="D7516">
            <v>10880031097</v>
          </cell>
        </row>
        <row r="7517">
          <cell r="D7517">
            <v>10880031870</v>
          </cell>
        </row>
        <row r="7518">
          <cell r="D7518">
            <v>10880031870</v>
          </cell>
        </row>
        <row r="7519">
          <cell r="D7519">
            <v>10880033855</v>
          </cell>
        </row>
        <row r="7520">
          <cell r="D7520">
            <v>10880022406</v>
          </cell>
        </row>
        <row r="7521">
          <cell r="D7521">
            <v>10880034669</v>
          </cell>
        </row>
        <row r="7522">
          <cell r="D7522">
            <v>10880033584</v>
          </cell>
        </row>
        <row r="7523">
          <cell r="D7523">
            <v>10880033217</v>
          </cell>
        </row>
        <row r="7524">
          <cell r="D7524">
            <v>10880031440</v>
          </cell>
        </row>
        <row r="7525">
          <cell r="D7525">
            <v>10880032945</v>
          </cell>
        </row>
        <row r="7526">
          <cell r="D7526">
            <v>10880032933</v>
          </cell>
        </row>
        <row r="7527">
          <cell r="D7527">
            <v>10880032937</v>
          </cell>
        </row>
        <row r="7528">
          <cell r="D7528">
            <v>10880036135</v>
          </cell>
        </row>
        <row r="7529">
          <cell r="D7529">
            <v>10880031243</v>
          </cell>
        </row>
        <row r="7530">
          <cell r="D7530">
            <v>10880031242</v>
          </cell>
        </row>
        <row r="7531">
          <cell r="D7531">
            <v>10880017530</v>
          </cell>
        </row>
        <row r="7532">
          <cell r="D7532">
            <v>10880021029</v>
          </cell>
        </row>
        <row r="7533">
          <cell r="D7533">
            <v>10880034669</v>
          </cell>
        </row>
        <row r="7534">
          <cell r="D7534">
            <v>10880034142</v>
          </cell>
        </row>
        <row r="7535">
          <cell r="D7535">
            <v>10880033584</v>
          </cell>
        </row>
        <row r="7536">
          <cell r="D7536">
            <v>10880021545</v>
          </cell>
        </row>
        <row r="7537">
          <cell r="D7537">
            <v>10880035235</v>
          </cell>
        </row>
        <row r="7538">
          <cell r="D7538">
            <v>10880033717</v>
          </cell>
        </row>
        <row r="7539">
          <cell r="D7539">
            <v>10880035754</v>
          </cell>
        </row>
        <row r="7540">
          <cell r="D7540">
            <v>10880031011</v>
          </cell>
        </row>
        <row r="7541">
          <cell r="D7541">
            <v>10880031525</v>
          </cell>
        </row>
        <row r="7542">
          <cell r="D7542">
            <v>10880030608</v>
          </cell>
        </row>
        <row r="7543">
          <cell r="D7543">
            <v>10880030920</v>
          </cell>
        </row>
        <row r="7544">
          <cell r="D7544">
            <v>10880017516</v>
          </cell>
        </row>
        <row r="7545">
          <cell r="D7545">
            <v>10880032885</v>
          </cell>
        </row>
        <row r="7546">
          <cell r="D7546">
            <v>10880033178</v>
          </cell>
        </row>
        <row r="7547">
          <cell r="D7547">
            <v>10880033533</v>
          </cell>
        </row>
        <row r="7548">
          <cell r="D7548">
            <v>10880035126</v>
          </cell>
        </row>
        <row r="7549">
          <cell r="D7549">
            <v>10880034995</v>
          </cell>
        </row>
        <row r="7550">
          <cell r="D7550">
            <v>10880028881</v>
          </cell>
        </row>
        <row r="7551">
          <cell r="D7551">
            <v>10880020556</v>
          </cell>
        </row>
        <row r="7552">
          <cell r="D7552">
            <v>10880029055</v>
          </cell>
        </row>
        <row r="7553">
          <cell r="D7553">
            <v>10880030931</v>
          </cell>
        </row>
        <row r="7554">
          <cell r="D7554">
            <v>10880027924</v>
          </cell>
        </row>
        <row r="7555">
          <cell r="D7555">
            <v>10880027925</v>
          </cell>
        </row>
        <row r="7556">
          <cell r="D7556">
            <v>10880036515</v>
          </cell>
        </row>
        <row r="7557">
          <cell r="D7557">
            <v>10880017525</v>
          </cell>
        </row>
        <row r="7558">
          <cell r="D7558">
            <v>10880036489</v>
          </cell>
        </row>
        <row r="7559">
          <cell r="D7559">
            <v>10880033535</v>
          </cell>
        </row>
        <row r="7560">
          <cell r="D7560">
            <v>10880033663</v>
          </cell>
        </row>
        <row r="7561">
          <cell r="D7561">
            <v>10880028307</v>
          </cell>
        </row>
        <row r="7562">
          <cell r="D7562">
            <v>10880028306</v>
          </cell>
        </row>
        <row r="7563">
          <cell r="D7563">
            <v>10880022123</v>
          </cell>
        </row>
        <row r="7564">
          <cell r="D7564">
            <v>10880032939</v>
          </cell>
        </row>
        <row r="7565">
          <cell r="D7565">
            <v>10880032943</v>
          </cell>
        </row>
        <row r="7566">
          <cell r="D7566">
            <v>10880036205</v>
          </cell>
        </row>
        <row r="7567">
          <cell r="D7567">
            <v>10880036493</v>
          </cell>
        </row>
        <row r="7568">
          <cell r="D7568">
            <v>10880032708</v>
          </cell>
        </row>
        <row r="7569">
          <cell r="D7569">
            <v>10880032708</v>
          </cell>
        </row>
        <row r="7570">
          <cell r="D7570">
            <v>10880030545</v>
          </cell>
        </row>
        <row r="7571">
          <cell r="D7571">
            <v>10880032692</v>
          </cell>
        </row>
        <row r="7572">
          <cell r="D7572">
            <v>10880032694</v>
          </cell>
        </row>
        <row r="7573">
          <cell r="D7573">
            <v>10880034622</v>
          </cell>
        </row>
        <row r="7574">
          <cell r="D7574">
            <v>10880033585</v>
          </cell>
        </row>
        <row r="7575">
          <cell r="D7575">
            <v>10880032759</v>
          </cell>
        </row>
        <row r="7576">
          <cell r="D7576">
            <v>10880030520</v>
          </cell>
        </row>
        <row r="7577">
          <cell r="D7577">
            <v>10880034669</v>
          </cell>
        </row>
        <row r="7578">
          <cell r="D7578">
            <v>10880033996</v>
          </cell>
        </row>
        <row r="7579">
          <cell r="D7579">
            <v>10880033584</v>
          </cell>
        </row>
        <row r="7580">
          <cell r="D7580">
            <v>10880032945</v>
          </cell>
        </row>
        <row r="7581">
          <cell r="D7581">
            <v>10880028834</v>
          </cell>
        </row>
        <row r="7582">
          <cell r="D7582">
            <v>10880030178</v>
          </cell>
        </row>
        <row r="7583">
          <cell r="D7583">
            <v>10880030178</v>
          </cell>
        </row>
        <row r="7584">
          <cell r="D7584">
            <v>10880032697</v>
          </cell>
        </row>
        <row r="7585">
          <cell r="D7585">
            <v>10880032698</v>
          </cell>
        </row>
        <row r="7586">
          <cell r="D7586">
            <v>10880032386</v>
          </cell>
        </row>
        <row r="7587">
          <cell r="D7587">
            <v>10880032386</v>
          </cell>
        </row>
        <row r="7588">
          <cell r="D7588">
            <v>10880032383</v>
          </cell>
        </row>
        <row r="7589">
          <cell r="D7589">
            <v>10880033585</v>
          </cell>
        </row>
        <row r="7590">
          <cell r="D7590">
            <v>10880033585</v>
          </cell>
        </row>
        <row r="7591">
          <cell r="D7591">
            <v>10880031869</v>
          </cell>
        </row>
        <row r="7592">
          <cell r="D7592">
            <v>10880037178</v>
          </cell>
        </row>
        <row r="7593">
          <cell r="D7593">
            <v>10880035983</v>
          </cell>
        </row>
        <row r="7594">
          <cell r="D7594">
            <v>10880035709</v>
          </cell>
        </row>
        <row r="7595">
          <cell r="D7595">
            <v>10880034142</v>
          </cell>
        </row>
        <row r="7596">
          <cell r="D7596">
            <v>10880034142</v>
          </cell>
        </row>
        <row r="7597">
          <cell r="D7597">
            <v>10880034142</v>
          </cell>
        </row>
        <row r="7598">
          <cell r="D7598">
            <v>10880037368</v>
          </cell>
        </row>
        <row r="7599">
          <cell r="D7599">
            <v>10880035169</v>
          </cell>
        </row>
        <row r="7600">
          <cell r="D7600">
            <v>10880034621</v>
          </cell>
        </row>
        <row r="7601">
          <cell r="D7601">
            <v>10880035196</v>
          </cell>
        </row>
        <row r="7602">
          <cell r="D7602">
            <v>10880034956</v>
          </cell>
        </row>
        <row r="7603">
          <cell r="D7603">
            <v>10880031870</v>
          </cell>
        </row>
        <row r="7604">
          <cell r="D7604">
            <v>10880028905</v>
          </cell>
        </row>
        <row r="7605">
          <cell r="D7605">
            <v>10880033855</v>
          </cell>
        </row>
        <row r="7606">
          <cell r="D7606">
            <v>10880035126</v>
          </cell>
        </row>
        <row r="7607">
          <cell r="D7607">
            <v>10880033692</v>
          </cell>
        </row>
        <row r="7608">
          <cell r="D7608">
            <v>10880017527</v>
          </cell>
        </row>
        <row r="7609">
          <cell r="D7609">
            <v>10880021416</v>
          </cell>
        </row>
        <row r="7610">
          <cell r="D7610">
            <v>10880033217</v>
          </cell>
        </row>
        <row r="7611">
          <cell r="D7611">
            <v>10880030447</v>
          </cell>
        </row>
        <row r="7612">
          <cell r="D7612">
            <v>10880031072</v>
          </cell>
        </row>
        <row r="7613">
          <cell r="D7613">
            <v>10880033717</v>
          </cell>
        </row>
        <row r="7614">
          <cell r="D7614">
            <v>10880036207</v>
          </cell>
        </row>
        <row r="7615">
          <cell r="D7615">
            <v>10880036852</v>
          </cell>
        </row>
        <row r="7616">
          <cell r="D7616">
            <v>10880037377</v>
          </cell>
        </row>
        <row r="7617">
          <cell r="D7617">
            <v>10880036761</v>
          </cell>
        </row>
        <row r="7618">
          <cell r="D7618">
            <v>10880031856</v>
          </cell>
        </row>
        <row r="7619">
          <cell r="D7619">
            <v>10880028307</v>
          </cell>
        </row>
        <row r="7620">
          <cell r="D7620">
            <v>10880028307</v>
          </cell>
        </row>
        <row r="7621">
          <cell r="D7621">
            <v>10880034563</v>
          </cell>
        </row>
        <row r="7622">
          <cell r="D7622">
            <v>10880037374</v>
          </cell>
        </row>
        <row r="7623">
          <cell r="D7623">
            <v>10880037379</v>
          </cell>
        </row>
        <row r="7624">
          <cell r="D7624">
            <v>10880037382</v>
          </cell>
        </row>
        <row r="7625">
          <cell r="D7625">
            <v>10880022406</v>
          </cell>
        </row>
        <row r="7626">
          <cell r="D7626">
            <v>10880035983</v>
          </cell>
        </row>
        <row r="7627">
          <cell r="D7627">
            <v>10880020031</v>
          </cell>
        </row>
        <row r="7628">
          <cell r="D7628">
            <v>10880030447</v>
          </cell>
        </row>
        <row r="7629">
          <cell r="D7629">
            <v>10880020637</v>
          </cell>
        </row>
        <row r="7630">
          <cell r="D7630">
            <v>10880033655</v>
          </cell>
        </row>
        <row r="7631">
          <cell r="D7631">
            <v>10880036205</v>
          </cell>
        </row>
        <row r="7632">
          <cell r="D7632">
            <v>10880036135</v>
          </cell>
        </row>
        <row r="7633">
          <cell r="D7633">
            <v>10880034198</v>
          </cell>
        </row>
        <row r="7634">
          <cell r="D7634">
            <v>10880034142</v>
          </cell>
        </row>
        <row r="7635">
          <cell r="D7635">
            <v>10880030447</v>
          </cell>
        </row>
        <row r="7636">
          <cell r="D7636">
            <v>10880035325</v>
          </cell>
        </row>
        <row r="7637">
          <cell r="D7637">
            <v>10880030607</v>
          </cell>
        </row>
        <row r="7638">
          <cell r="D7638">
            <v>10880034669</v>
          </cell>
        </row>
        <row r="7639">
          <cell r="D7639">
            <v>10880037368</v>
          </cell>
        </row>
        <row r="7640">
          <cell r="D7640">
            <v>10880030296</v>
          </cell>
        </row>
        <row r="7641">
          <cell r="D7641">
            <v>10880030296</v>
          </cell>
        </row>
        <row r="7642">
          <cell r="D7642">
            <v>10880022123</v>
          </cell>
        </row>
        <row r="7643">
          <cell r="D7643">
            <v>10880036515</v>
          </cell>
        </row>
        <row r="7644">
          <cell r="D7644">
            <v>10880036515</v>
          </cell>
        </row>
        <row r="7645">
          <cell r="D7645">
            <v>10880036134</v>
          </cell>
        </row>
        <row r="7646">
          <cell r="D7646">
            <v>10880035303</v>
          </cell>
        </row>
        <row r="7647">
          <cell r="D7647">
            <v>10880037394</v>
          </cell>
        </row>
        <row r="7648">
          <cell r="D7648">
            <v>10880030545</v>
          </cell>
        </row>
        <row r="7649">
          <cell r="D7649">
            <v>10880034622</v>
          </cell>
        </row>
        <row r="7650">
          <cell r="D7650">
            <v>10880030545</v>
          </cell>
        </row>
        <row r="7651">
          <cell r="D7651">
            <v>10880031020</v>
          </cell>
        </row>
        <row r="7652">
          <cell r="D7652">
            <v>10880030608</v>
          </cell>
        </row>
        <row r="7653">
          <cell r="D7653">
            <v>10880035196</v>
          </cell>
        </row>
        <row r="7654">
          <cell r="D7654">
            <v>10880033585</v>
          </cell>
        </row>
        <row r="7655">
          <cell r="D7655">
            <v>10880035166</v>
          </cell>
        </row>
        <row r="7656">
          <cell r="D7656">
            <v>10880037368</v>
          </cell>
        </row>
        <row r="7657">
          <cell r="D7657">
            <v>10880030296</v>
          </cell>
        </row>
        <row r="7658">
          <cell r="D7658">
            <v>10880036207</v>
          </cell>
        </row>
        <row r="7659">
          <cell r="D7659">
            <v>10880036489</v>
          </cell>
        </row>
        <row r="7660">
          <cell r="D7660">
            <v>10880035169</v>
          </cell>
        </row>
        <row r="7661">
          <cell r="D7661">
            <v>10880035169</v>
          </cell>
        </row>
        <row r="7662">
          <cell r="D7662">
            <v>10880031018</v>
          </cell>
        </row>
        <row r="7663">
          <cell r="D7663">
            <v>10880033996</v>
          </cell>
        </row>
        <row r="7664">
          <cell r="D7664">
            <v>10880037370</v>
          </cell>
        </row>
        <row r="7665">
          <cell r="D7665">
            <v>10880037374</v>
          </cell>
        </row>
        <row r="7666">
          <cell r="D7666">
            <v>10880031570</v>
          </cell>
        </row>
        <row r="7667">
          <cell r="D7667">
            <v>10880033916</v>
          </cell>
        </row>
        <row r="7668">
          <cell r="D7668">
            <v>10880035407</v>
          </cell>
        </row>
        <row r="7669">
          <cell r="D7669">
            <v>10880031560</v>
          </cell>
        </row>
        <row r="7670">
          <cell r="D7670">
            <v>10880031011</v>
          </cell>
        </row>
        <row r="7671">
          <cell r="D7671">
            <v>10880037392</v>
          </cell>
        </row>
        <row r="7672">
          <cell r="D7672">
            <v>10880037377</v>
          </cell>
        </row>
        <row r="7673">
          <cell r="D7673">
            <v>10880033178</v>
          </cell>
        </row>
        <row r="7674">
          <cell r="D7674">
            <v>10880033533</v>
          </cell>
        </row>
        <row r="7675">
          <cell r="D7675">
            <v>10880036326</v>
          </cell>
        </row>
        <row r="7676">
          <cell r="D7676">
            <v>10880032945</v>
          </cell>
        </row>
        <row r="7677">
          <cell r="D7677">
            <v>10880032945</v>
          </cell>
        </row>
        <row r="7678">
          <cell r="D7678">
            <v>10880037369</v>
          </cell>
        </row>
        <row r="7679">
          <cell r="D7679">
            <v>10880034417</v>
          </cell>
        </row>
        <row r="7680">
          <cell r="D7680">
            <v>10880034619</v>
          </cell>
        </row>
        <row r="7681">
          <cell r="D7681">
            <v>10880036135</v>
          </cell>
        </row>
        <row r="7682">
          <cell r="D7682">
            <v>10880030608</v>
          </cell>
        </row>
        <row r="7683">
          <cell r="D7683">
            <v>10880030608</v>
          </cell>
        </row>
        <row r="7684">
          <cell r="D7684">
            <v>10880034563</v>
          </cell>
        </row>
        <row r="7685">
          <cell r="D7685">
            <v>10880033312</v>
          </cell>
        </row>
        <row r="7686">
          <cell r="D7686">
            <v>10880021289</v>
          </cell>
        </row>
        <row r="7687">
          <cell r="D7687">
            <v>10880032943</v>
          </cell>
        </row>
        <row r="7688">
          <cell r="D7688">
            <v>10880037374</v>
          </cell>
        </row>
        <row r="7689">
          <cell r="D7689">
            <v>10880019682</v>
          </cell>
        </row>
        <row r="7690">
          <cell r="D7690">
            <v>10880022123</v>
          </cell>
        </row>
        <row r="7691">
          <cell r="D7691">
            <v>10880036206</v>
          </cell>
        </row>
        <row r="7692">
          <cell r="D7692">
            <v>10880036205</v>
          </cell>
        </row>
        <row r="7693">
          <cell r="D7693">
            <v>10880036786</v>
          </cell>
        </row>
        <row r="7694">
          <cell r="D7694">
            <v>10880036799</v>
          </cell>
        </row>
        <row r="7695">
          <cell r="D7695">
            <v>10880035166</v>
          </cell>
        </row>
        <row r="7696">
          <cell r="D7696">
            <v>10880035169</v>
          </cell>
        </row>
        <row r="7697">
          <cell r="D7697">
            <v>10880032943</v>
          </cell>
        </row>
        <row r="7698">
          <cell r="D7698">
            <v>10880032683</v>
          </cell>
        </row>
        <row r="7699">
          <cell r="D7699">
            <v>10880032885</v>
          </cell>
        </row>
        <row r="7700">
          <cell r="D7700">
            <v>10880037369</v>
          </cell>
        </row>
        <row r="7701">
          <cell r="D7701">
            <v>10880016188</v>
          </cell>
        </row>
        <row r="7702">
          <cell r="D7702">
            <v>10880036761</v>
          </cell>
        </row>
        <row r="7703">
          <cell r="D7703">
            <v>10880017524</v>
          </cell>
        </row>
        <row r="7704">
          <cell r="D7704">
            <v>10880020222</v>
          </cell>
        </row>
        <row r="7705">
          <cell r="D7705">
            <v>10880028881</v>
          </cell>
        </row>
        <row r="7706">
          <cell r="D7706">
            <v>10880031307</v>
          </cell>
        </row>
        <row r="7707">
          <cell r="D7707">
            <v>10880018105</v>
          </cell>
        </row>
        <row r="7708">
          <cell r="D7708">
            <v>10880030545</v>
          </cell>
        </row>
        <row r="7709">
          <cell r="D7709">
            <v>10880037377</v>
          </cell>
        </row>
        <row r="7710">
          <cell r="D7710">
            <v>10880035265</v>
          </cell>
        </row>
        <row r="7711">
          <cell r="D7711">
            <v>10880020208</v>
          </cell>
        </row>
        <row r="7712">
          <cell r="D7712">
            <v>10880022470</v>
          </cell>
        </row>
        <row r="7713">
          <cell r="D7713">
            <v>10880033584</v>
          </cell>
        </row>
        <row r="7714">
          <cell r="D7714">
            <v>10880036432</v>
          </cell>
        </row>
        <row r="7715">
          <cell r="D7715">
            <v>10880031184</v>
          </cell>
        </row>
        <row r="7716">
          <cell r="D7716">
            <v>10880031020</v>
          </cell>
        </row>
        <row r="7717">
          <cell r="D7717">
            <v>10880031011</v>
          </cell>
        </row>
        <row r="7718">
          <cell r="D7718">
            <v>10880031242</v>
          </cell>
        </row>
        <row r="7719">
          <cell r="D7719">
            <v>10880031242</v>
          </cell>
        </row>
        <row r="7720">
          <cell r="D7720">
            <v>10880031243</v>
          </cell>
        </row>
        <row r="7721">
          <cell r="D7721">
            <v>10880021416</v>
          </cell>
        </row>
        <row r="7722">
          <cell r="D7722">
            <v>10880017527</v>
          </cell>
        </row>
        <row r="7723">
          <cell r="D7723">
            <v>10880017525</v>
          </cell>
        </row>
        <row r="7724">
          <cell r="D7724">
            <v>10880032885</v>
          </cell>
        </row>
        <row r="7725">
          <cell r="D7725">
            <v>10880033855</v>
          </cell>
        </row>
        <row r="7726">
          <cell r="D7726">
            <v>10880035236</v>
          </cell>
        </row>
        <row r="7727">
          <cell r="D7727">
            <v>10880033217</v>
          </cell>
        </row>
        <row r="7728">
          <cell r="D7728">
            <v>10880034093</v>
          </cell>
        </row>
        <row r="7729">
          <cell r="D7729">
            <v>10880034093</v>
          </cell>
        </row>
        <row r="7730">
          <cell r="D7730">
            <v>10880037370</v>
          </cell>
        </row>
        <row r="7731">
          <cell r="D7731">
            <v>10880022123</v>
          </cell>
        </row>
        <row r="7732">
          <cell r="D7732">
            <v>10880035407</v>
          </cell>
        </row>
        <row r="7733">
          <cell r="D7733">
            <v>10880030004</v>
          </cell>
        </row>
        <row r="7734">
          <cell r="D7734">
            <v>10880032759</v>
          </cell>
        </row>
        <row r="7735">
          <cell r="D7735">
            <v>10880030545</v>
          </cell>
        </row>
        <row r="7736">
          <cell r="D7736">
            <v>10880034622</v>
          </cell>
        </row>
        <row r="7737">
          <cell r="D7737">
            <v>10880030545</v>
          </cell>
        </row>
        <row r="7738">
          <cell r="D7738">
            <v>10880034622</v>
          </cell>
        </row>
        <row r="7739">
          <cell r="D7739">
            <v>10880022470</v>
          </cell>
        </row>
        <row r="7740">
          <cell r="D7740">
            <v>10880036489</v>
          </cell>
        </row>
        <row r="7741">
          <cell r="D7741">
            <v>10880036189</v>
          </cell>
        </row>
        <row r="7742">
          <cell r="D7742">
            <v>10880036190</v>
          </cell>
        </row>
        <row r="7743">
          <cell r="D7743">
            <v>10880035709</v>
          </cell>
        </row>
        <row r="7744">
          <cell r="D7744">
            <v>10880020031</v>
          </cell>
        </row>
        <row r="7745">
          <cell r="D7745">
            <v>10880017536</v>
          </cell>
        </row>
        <row r="7746">
          <cell r="D7746">
            <v>10880036191</v>
          </cell>
        </row>
        <row r="7747">
          <cell r="D7747">
            <v>10880036432</v>
          </cell>
        </row>
        <row r="7748">
          <cell r="D7748">
            <v>10880030004</v>
          </cell>
        </row>
        <row r="7749">
          <cell r="D7749">
            <v>10880020637</v>
          </cell>
        </row>
        <row r="7750">
          <cell r="D7750">
            <v>10880036515</v>
          </cell>
        </row>
        <row r="7751">
          <cell r="D7751">
            <v>10880036931</v>
          </cell>
        </row>
        <row r="7752">
          <cell r="D7752">
            <v>10880036932</v>
          </cell>
        </row>
        <row r="7753">
          <cell r="D7753">
            <v>10880034621</v>
          </cell>
        </row>
        <row r="7754">
          <cell r="D7754">
            <v>10880030545</v>
          </cell>
        </row>
        <row r="7755">
          <cell r="D7755">
            <v>10880031020</v>
          </cell>
        </row>
        <row r="7756">
          <cell r="D7756">
            <v>10880037377</v>
          </cell>
        </row>
        <row r="7757">
          <cell r="D7757">
            <v>10880037377</v>
          </cell>
        </row>
        <row r="7758">
          <cell r="D7758">
            <v>10880036350</v>
          </cell>
        </row>
        <row r="7759">
          <cell r="D7759">
            <v>10880030132</v>
          </cell>
        </row>
        <row r="7760">
          <cell r="D7760">
            <v>10880037382</v>
          </cell>
        </row>
        <row r="7761">
          <cell r="D7761">
            <v>10880028306</v>
          </cell>
        </row>
        <row r="7762">
          <cell r="D7762">
            <v>10880028307</v>
          </cell>
        </row>
        <row r="7763">
          <cell r="D7763">
            <v>10880033720</v>
          </cell>
        </row>
        <row r="7764">
          <cell r="D7764">
            <v>10880036515</v>
          </cell>
        </row>
        <row r="7765">
          <cell r="D7765">
            <v>10880034619</v>
          </cell>
        </row>
        <row r="7766">
          <cell r="D7766">
            <v>10880030450</v>
          </cell>
        </row>
        <row r="7767">
          <cell r="D7767">
            <v>10880030545</v>
          </cell>
        </row>
        <row r="7768">
          <cell r="D7768">
            <v>10880030545</v>
          </cell>
        </row>
        <row r="7769">
          <cell r="D7769">
            <v>10880030550</v>
          </cell>
        </row>
        <row r="7770">
          <cell r="D7770">
            <v>10880034622</v>
          </cell>
        </row>
        <row r="7771">
          <cell r="D7771">
            <v>10880033634</v>
          </cell>
        </row>
        <row r="7772">
          <cell r="D7772">
            <v>10880033635</v>
          </cell>
        </row>
        <row r="7773">
          <cell r="D7773">
            <v>10880035169</v>
          </cell>
        </row>
        <row r="7774">
          <cell r="D7774">
            <v>10880031072</v>
          </cell>
        </row>
        <row r="7775">
          <cell r="D7775">
            <v>10880032933</v>
          </cell>
        </row>
        <row r="7776">
          <cell r="D7776">
            <v>10880032937</v>
          </cell>
        </row>
        <row r="7777">
          <cell r="D7777">
            <v>10880032939</v>
          </cell>
        </row>
        <row r="7778">
          <cell r="D7778">
            <v>10880017527</v>
          </cell>
        </row>
        <row r="7779">
          <cell r="D7779">
            <v>10880018105</v>
          </cell>
        </row>
        <row r="7780">
          <cell r="D7780">
            <v>10880031760</v>
          </cell>
        </row>
        <row r="7781">
          <cell r="D7781">
            <v>10880030551</v>
          </cell>
        </row>
        <row r="7782">
          <cell r="D7782">
            <v>10880033610</v>
          </cell>
        </row>
        <row r="7783">
          <cell r="D7783">
            <v>10880034619</v>
          </cell>
        </row>
        <row r="7784">
          <cell r="D7784">
            <v>10880037369</v>
          </cell>
        </row>
        <row r="7785">
          <cell r="D7785">
            <v>10880033661</v>
          </cell>
        </row>
        <row r="7786">
          <cell r="D7786">
            <v>10880017525</v>
          </cell>
        </row>
        <row r="7787">
          <cell r="D7787">
            <v>10880017516</v>
          </cell>
        </row>
        <row r="7788">
          <cell r="D7788">
            <v>10880031243</v>
          </cell>
        </row>
        <row r="7789">
          <cell r="D7789">
            <v>10880031138</v>
          </cell>
        </row>
        <row r="7790">
          <cell r="D7790">
            <v>10880030607</v>
          </cell>
        </row>
        <row r="7791">
          <cell r="D7791">
            <v>10880036189</v>
          </cell>
        </row>
        <row r="7792">
          <cell r="D7792">
            <v>10880037380</v>
          </cell>
        </row>
        <row r="7793">
          <cell r="D7793">
            <v>10880033367</v>
          </cell>
        </row>
        <row r="7794">
          <cell r="D7794">
            <v>10880033584</v>
          </cell>
        </row>
        <row r="7795">
          <cell r="D7795">
            <v>10880022123</v>
          </cell>
        </row>
        <row r="7796">
          <cell r="D7796">
            <v>10880035989</v>
          </cell>
        </row>
        <row r="7797">
          <cell r="D7797">
            <v>10880035722</v>
          </cell>
        </row>
        <row r="7798">
          <cell r="D7798">
            <v>10880033137</v>
          </cell>
        </row>
        <row r="7799">
          <cell r="D7799">
            <v>10880033217</v>
          </cell>
        </row>
        <row r="7800">
          <cell r="D7800">
            <v>10880036191</v>
          </cell>
        </row>
        <row r="7801">
          <cell r="D7801">
            <v>10880036350</v>
          </cell>
        </row>
        <row r="7802">
          <cell r="D7802">
            <v>10880020678</v>
          </cell>
        </row>
        <row r="7803">
          <cell r="D7803">
            <v>10880033216</v>
          </cell>
        </row>
        <row r="7804">
          <cell r="D7804">
            <v>10880030450</v>
          </cell>
        </row>
        <row r="7805">
          <cell r="D7805">
            <v>10880036423</v>
          </cell>
        </row>
        <row r="7806">
          <cell r="D7806">
            <v>10880035169</v>
          </cell>
        </row>
        <row r="7807">
          <cell r="D7807">
            <v>10880036423</v>
          </cell>
        </row>
        <row r="7808">
          <cell r="D7808">
            <v>10880034669</v>
          </cell>
        </row>
        <row r="7809">
          <cell r="D7809">
            <v>10880032885</v>
          </cell>
        </row>
        <row r="7810">
          <cell r="D7810">
            <v>10880017949</v>
          </cell>
        </row>
        <row r="7811">
          <cell r="D7811">
            <v>10880036761</v>
          </cell>
        </row>
        <row r="7812">
          <cell r="D7812">
            <v>10880035534</v>
          </cell>
        </row>
        <row r="7813">
          <cell r="D7813">
            <v>10880035788</v>
          </cell>
        </row>
        <row r="7814">
          <cell r="D7814">
            <v>10880033976</v>
          </cell>
        </row>
        <row r="7815">
          <cell r="D7815">
            <v>10880017531</v>
          </cell>
        </row>
        <row r="7816">
          <cell r="D7816">
            <v>10880017530</v>
          </cell>
        </row>
        <row r="7817">
          <cell r="D7817">
            <v>10880028881</v>
          </cell>
        </row>
        <row r="7818">
          <cell r="D7818">
            <v>10880017525</v>
          </cell>
        </row>
        <row r="7819">
          <cell r="D7819">
            <v>10880035722</v>
          </cell>
        </row>
        <row r="7820">
          <cell r="D7820">
            <v>10880036515</v>
          </cell>
        </row>
        <row r="7821">
          <cell r="D7821">
            <v>10880033717</v>
          </cell>
        </row>
        <row r="7822">
          <cell r="D7822">
            <v>10880030934</v>
          </cell>
        </row>
        <row r="7823">
          <cell r="D7823">
            <v>10880036931</v>
          </cell>
        </row>
        <row r="7824">
          <cell r="D7824">
            <v>10880036932</v>
          </cell>
        </row>
        <row r="7825">
          <cell r="D7825">
            <v>10880028306</v>
          </cell>
        </row>
        <row r="7826">
          <cell r="D7826">
            <v>10880028306</v>
          </cell>
        </row>
        <row r="7827">
          <cell r="D7827">
            <v>10880036190</v>
          </cell>
        </row>
        <row r="7828">
          <cell r="D7828">
            <v>10880036498</v>
          </cell>
        </row>
        <row r="7829">
          <cell r="D7829">
            <v>10880034669</v>
          </cell>
        </row>
        <row r="7830">
          <cell r="D7830">
            <v>10400029151</v>
          </cell>
        </row>
        <row r="7831">
          <cell r="D7831">
            <v>10400029152</v>
          </cell>
        </row>
        <row r="7832">
          <cell r="D7832">
            <v>10880035045</v>
          </cell>
        </row>
        <row r="7833">
          <cell r="D7833">
            <v>10880019682</v>
          </cell>
        </row>
        <row r="7834">
          <cell r="D7834">
            <v>10880029033</v>
          </cell>
        </row>
        <row r="7835">
          <cell r="D7835">
            <v>10880032683</v>
          </cell>
        </row>
        <row r="7836">
          <cell r="D7836">
            <v>10880031139</v>
          </cell>
        </row>
        <row r="7837">
          <cell r="D7837">
            <v>10400030646</v>
          </cell>
        </row>
        <row r="7838">
          <cell r="D7838">
            <v>10400031120</v>
          </cell>
        </row>
        <row r="7839">
          <cell r="D7839">
            <v>10880033602</v>
          </cell>
        </row>
        <row r="7840">
          <cell r="D7840">
            <v>10880035196</v>
          </cell>
        </row>
        <row r="7841">
          <cell r="D7841">
            <v>10880037379</v>
          </cell>
        </row>
        <row r="7842">
          <cell r="D7842">
            <v>10880037426</v>
          </cell>
        </row>
        <row r="7843">
          <cell r="D7843">
            <v>10880035661</v>
          </cell>
        </row>
        <row r="7844">
          <cell r="D7844">
            <v>10880033855</v>
          </cell>
        </row>
        <row r="7845">
          <cell r="D7845">
            <v>10880036432</v>
          </cell>
        </row>
        <row r="7846">
          <cell r="D7846">
            <v>10880022123</v>
          </cell>
        </row>
        <row r="7847">
          <cell r="D7847">
            <v>10880033996</v>
          </cell>
        </row>
        <row r="7848">
          <cell r="D7848">
            <v>10880036495</v>
          </cell>
        </row>
        <row r="7851">
          <cell r="D7851">
            <v>10880036799</v>
          </cell>
        </row>
        <row r="7852">
          <cell r="D7852">
            <v>10880035303</v>
          </cell>
        </row>
        <row r="7853">
          <cell r="D7853">
            <v>10880035303</v>
          </cell>
        </row>
        <row r="7854">
          <cell r="D7854">
            <v>10880035315</v>
          </cell>
        </row>
        <row r="7855">
          <cell r="D7855">
            <v>10880035315</v>
          </cell>
        </row>
        <row r="7856">
          <cell r="D7856">
            <v>10880017525</v>
          </cell>
        </row>
        <row r="7857">
          <cell r="D7857">
            <v>10880028881</v>
          </cell>
        </row>
        <row r="7858">
          <cell r="D7858">
            <v>10880029054</v>
          </cell>
        </row>
        <row r="7859">
          <cell r="D7859">
            <v>10880035653</v>
          </cell>
        </row>
        <row r="7860">
          <cell r="D7860">
            <v>10880037380</v>
          </cell>
        </row>
        <row r="7861">
          <cell r="D7861">
            <v>10880037382</v>
          </cell>
        </row>
        <row r="7862">
          <cell r="D7862">
            <v>10880037369</v>
          </cell>
        </row>
        <row r="7863">
          <cell r="D7863">
            <v>10880037374</v>
          </cell>
        </row>
        <row r="7864">
          <cell r="D7864">
            <v>10880036348</v>
          </cell>
        </row>
        <row r="7865">
          <cell r="D7865">
            <v>10880037179</v>
          </cell>
        </row>
        <row r="7866">
          <cell r="D7866">
            <v>10880035985</v>
          </cell>
        </row>
        <row r="7867">
          <cell r="D7867">
            <v>10880035986</v>
          </cell>
        </row>
        <row r="7868">
          <cell r="D7868">
            <v>10880037178</v>
          </cell>
        </row>
        <row r="7869">
          <cell r="D7869">
            <v>10880035983</v>
          </cell>
        </row>
        <row r="7870">
          <cell r="D7870">
            <v>10880035407</v>
          </cell>
        </row>
        <row r="7871">
          <cell r="D7871">
            <v>10880030545</v>
          </cell>
        </row>
        <row r="7872">
          <cell r="D7872">
            <v>10880031020</v>
          </cell>
        </row>
        <row r="7873">
          <cell r="D7873">
            <v>10880030608</v>
          </cell>
        </row>
        <row r="7874">
          <cell r="D7874">
            <v>10880031186</v>
          </cell>
        </row>
        <row r="7875">
          <cell r="D7875">
            <v>10880031243</v>
          </cell>
        </row>
        <row r="7876">
          <cell r="D7876">
            <v>10880027958</v>
          </cell>
        </row>
        <row r="7877">
          <cell r="D7877">
            <v>10880034669</v>
          </cell>
        </row>
        <row r="7878">
          <cell r="D7878">
            <v>10880035379</v>
          </cell>
        </row>
        <row r="7879">
          <cell r="D7879">
            <v>10880033661</v>
          </cell>
        </row>
        <row r="7880">
          <cell r="D7880">
            <v>10880034142</v>
          </cell>
        </row>
        <row r="7881">
          <cell r="D7881">
            <v>10880034093</v>
          </cell>
        </row>
        <row r="7882">
          <cell r="D7882">
            <v>10880035788</v>
          </cell>
        </row>
        <row r="7883">
          <cell r="D7883">
            <v>10880036325</v>
          </cell>
        </row>
        <row r="7884">
          <cell r="D7884">
            <v>10880036349</v>
          </cell>
        </row>
        <row r="7885">
          <cell r="D7885">
            <v>10880035235</v>
          </cell>
        </row>
        <row r="7886">
          <cell r="D7886">
            <v>10880031570</v>
          </cell>
        </row>
        <row r="7887">
          <cell r="D7887">
            <v>10880034251</v>
          </cell>
        </row>
        <row r="7888">
          <cell r="D7888">
            <v>10880028306</v>
          </cell>
        </row>
        <row r="7889">
          <cell r="D7889">
            <v>10400029072</v>
          </cell>
        </row>
        <row r="7890">
          <cell r="D7890">
            <v>10400029072</v>
          </cell>
        </row>
        <row r="7891">
          <cell r="D7891">
            <v>10400030646</v>
          </cell>
        </row>
        <row r="7892">
          <cell r="D7892">
            <v>10880034669</v>
          </cell>
        </row>
        <row r="7893">
          <cell r="D7893">
            <v>10880030203</v>
          </cell>
        </row>
        <row r="7894">
          <cell r="D7894">
            <v>10880033325</v>
          </cell>
        </row>
        <row r="7895">
          <cell r="D7895">
            <v>10880033785</v>
          </cell>
        </row>
        <row r="7896">
          <cell r="D7896">
            <v>10880033655</v>
          </cell>
        </row>
        <row r="7897">
          <cell r="D7897">
            <v>10400031134</v>
          </cell>
        </row>
        <row r="7898">
          <cell r="D7898">
            <v>10400031135</v>
          </cell>
        </row>
        <row r="7899">
          <cell r="D7899">
            <v>10400030739</v>
          </cell>
        </row>
        <row r="7900">
          <cell r="D7900">
            <v>10880031011</v>
          </cell>
        </row>
        <row r="7901">
          <cell r="D7901">
            <v>10880027957</v>
          </cell>
        </row>
        <row r="7902">
          <cell r="D7902">
            <v>10880021476</v>
          </cell>
        </row>
        <row r="7903">
          <cell r="D7903">
            <v>10880032683</v>
          </cell>
        </row>
        <row r="7904">
          <cell r="D7904">
            <v>10880035236</v>
          </cell>
        </row>
        <row r="7905">
          <cell r="D7905">
            <v>10880027924</v>
          </cell>
        </row>
        <row r="7906">
          <cell r="D7906">
            <v>10880027925</v>
          </cell>
        </row>
        <row r="7907">
          <cell r="D7907">
            <v>10880033976</v>
          </cell>
        </row>
        <row r="7908">
          <cell r="D7908">
            <v>10880035543</v>
          </cell>
        </row>
        <row r="7909">
          <cell r="D7909">
            <v>10880033720</v>
          </cell>
        </row>
        <row r="7910">
          <cell r="D7910">
            <v>10880037046</v>
          </cell>
        </row>
        <row r="7911">
          <cell r="D7911">
            <v>10880037047</v>
          </cell>
        </row>
        <row r="7912">
          <cell r="D7912">
            <v>10880035984</v>
          </cell>
        </row>
        <row r="7913">
          <cell r="D7913">
            <v>10880035299</v>
          </cell>
        </row>
        <row r="7914">
          <cell r="D7914">
            <v>10880035299</v>
          </cell>
        </row>
        <row r="7915">
          <cell r="D7915">
            <v>10880033487</v>
          </cell>
        </row>
        <row r="7916">
          <cell r="D7916">
            <v>10880033488</v>
          </cell>
        </row>
        <row r="7917">
          <cell r="D7917">
            <v>10880020640</v>
          </cell>
        </row>
        <row r="7918">
          <cell r="D7918">
            <v>10880033273</v>
          </cell>
        </row>
        <row r="7919">
          <cell r="D7919">
            <v>10880033566</v>
          </cell>
        </row>
        <row r="7920">
          <cell r="D7920">
            <v>10880033564</v>
          </cell>
        </row>
        <row r="7921">
          <cell r="D7921">
            <v>10880035441</v>
          </cell>
        </row>
        <row r="7922">
          <cell r="D7922">
            <v>10880035441</v>
          </cell>
        </row>
        <row r="7923">
          <cell r="D7923">
            <v>10880035661</v>
          </cell>
        </row>
        <row r="7924">
          <cell r="D7924">
            <v>10880028905</v>
          </cell>
        </row>
        <row r="7925">
          <cell r="D7925">
            <v>10880017516</v>
          </cell>
        </row>
        <row r="7926">
          <cell r="D7926">
            <v>10880033689</v>
          </cell>
        </row>
        <row r="7927">
          <cell r="D7927">
            <v>10880036489</v>
          </cell>
        </row>
        <row r="7928">
          <cell r="D7928">
            <v>10880031072</v>
          </cell>
        </row>
        <row r="7929">
          <cell r="D7929">
            <v>10880036503</v>
          </cell>
        </row>
        <row r="7930">
          <cell r="D7930">
            <v>10880036504</v>
          </cell>
        </row>
        <row r="7931">
          <cell r="D7931">
            <v>10880028307</v>
          </cell>
        </row>
        <row r="7932">
          <cell r="D7932">
            <v>10880032759</v>
          </cell>
        </row>
        <row r="7933">
          <cell r="D7933">
            <v>10880034142</v>
          </cell>
        </row>
        <row r="7934">
          <cell r="D7934">
            <v>10880030004</v>
          </cell>
        </row>
        <row r="7935">
          <cell r="D7935">
            <v>10880036432</v>
          </cell>
        </row>
        <row r="7936">
          <cell r="D7936">
            <v>10880022123</v>
          </cell>
        </row>
        <row r="7937">
          <cell r="D7937">
            <v>10880028306</v>
          </cell>
        </row>
        <row r="7938">
          <cell r="D7938">
            <v>10880036786</v>
          </cell>
        </row>
        <row r="7939">
          <cell r="D7939">
            <v>10880034946</v>
          </cell>
        </row>
        <row r="7940">
          <cell r="D7940">
            <v>10880031242</v>
          </cell>
        </row>
        <row r="7941">
          <cell r="D7941">
            <v>10880034669</v>
          </cell>
        </row>
        <row r="7942">
          <cell r="D7942">
            <v>10880032683</v>
          </cell>
        </row>
        <row r="7943">
          <cell r="D7943">
            <v>10880032939</v>
          </cell>
        </row>
        <row r="7944">
          <cell r="D7944">
            <v>10880034995</v>
          </cell>
        </row>
        <row r="7945">
          <cell r="D7945">
            <v>10880036432</v>
          </cell>
        </row>
        <row r="7946">
          <cell r="D7946">
            <v>10880036432</v>
          </cell>
        </row>
        <row r="7947">
          <cell r="D7947">
            <v>10880035235</v>
          </cell>
        </row>
        <row r="7948">
          <cell r="D7948">
            <v>10880037179</v>
          </cell>
        </row>
        <row r="7949">
          <cell r="D7949">
            <v>10880036207</v>
          </cell>
        </row>
        <row r="7950">
          <cell r="D7950">
            <v>10880030545</v>
          </cell>
        </row>
        <row r="7951">
          <cell r="D7951">
            <v>10880030450</v>
          </cell>
        </row>
        <row r="7954">
          <cell r="D7954">
            <v>10880036423</v>
          </cell>
        </row>
        <row r="7955">
          <cell r="D7955">
            <v>10880035166</v>
          </cell>
        </row>
        <row r="7956">
          <cell r="D7956">
            <v>10880035166</v>
          </cell>
        </row>
        <row r="7957">
          <cell r="D7957">
            <v>10880037368</v>
          </cell>
        </row>
        <row r="7958">
          <cell r="D7958">
            <v>10880017527</v>
          </cell>
        </row>
        <row r="7959">
          <cell r="D7959">
            <v>10880017516</v>
          </cell>
        </row>
        <row r="7960">
          <cell r="D7960">
            <v>10880036432</v>
          </cell>
        </row>
        <row r="7961">
          <cell r="D7961">
            <v>10880036432</v>
          </cell>
        </row>
        <row r="7962">
          <cell r="D7962">
            <v>10880036348</v>
          </cell>
        </row>
        <row r="7963">
          <cell r="D7963">
            <v>10880035984</v>
          </cell>
        </row>
        <row r="7964">
          <cell r="D7964">
            <v>10880035986</v>
          </cell>
        </row>
        <row r="7965">
          <cell r="D7965">
            <v>10880035986</v>
          </cell>
        </row>
        <row r="7966">
          <cell r="D7966">
            <v>10880035985</v>
          </cell>
        </row>
        <row r="7967">
          <cell r="D7967">
            <v>10880037178</v>
          </cell>
        </row>
        <row r="7968">
          <cell r="D7968">
            <v>10400029072</v>
          </cell>
        </row>
        <row r="7969">
          <cell r="D7969">
            <v>10400030646</v>
          </cell>
        </row>
        <row r="7970">
          <cell r="D7970">
            <v>10400029072</v>
          </cell>
        </row>
        <row r="7971">
          <cell r="D7971">
            <v>10400029072</v>
          </cell>
        </row>
        <row r="7972">
          <cell r="D7972">
            <v>10400029072</v>
          </cell>
        </row>
        <row r="7973">
          <cell r="D7973">
            <v>10400029072</v>
          </cell>
        </row>
        <row r="7974">
          <cell r="D7974">
            <v>10400031126</v>
          </cell>
        </row>
        <row r="7975">
          <cell r="D7975">
            <v>10880034195</v>
          </cell>
        </row>
        <row r="7976">
          <cell r="D7976">
            <v>10880034669</v>
          </cell>
        </row>
        <row r="7977">
          <cell r="D7977">
            <v>10880017525</v>
          </cell>
        </row>
        <row r="7978">
          <cell r="D7978">
            <v>10880037369</v>
          </cell>
        </row>
        <row r="7979">
          <cell r="D7979">
            <v>10880029033</v>
          </cell>
        </row>
        <row r="7980">
          <cell r="D7980">
            <v>10880037374</v>
          </cell>
        </row>
        <row r="7981">
          <cell r="D7981">
            <v>10880033217</v>
          </cell>
        </row>
        <row r="7982">
          <cell r="D7982">
            <v>10880035985</v>
          </cell>
        </row>
        <row r="7983">
          <cell r="D7983">
            <v>10880035983</v>
          </cell>
        </row>
        <row r="7984">
          <cell r="D7984">
            <v>10880033996</v>
          </cell>
        </row>
        <row r="7985">
          <cell r="D7985">
            <v>10400031120</v>
          </cell>
        </row>
        <row r="7986">
          <cell r="D7986">
            <v>10400031607</v>
          </cell>
        </row>
        <row r="7987">
          <cell r="D7987">
            <v>10400031134</v>
          </cell>
        </row>
        <row r="7988">
          <cell r="D7988">
            <v>10880036499</v>
          </cell>
        </row>
        <row r="7989">
          <cell r="D7989">
            <v>10880036799</v>
          </cell>
        </row>
        <row r="7990">
          <cell r="D7990">
            <v>10400030735</v>
          </cell>
        </row>
        <row r="7991">
          <cell r="D7991">
            <v>10400030737</v>
          </cell>
        </row>
        <row r="7992">
          <cell r="D7992">
            <v>10880037377</v>
          </cell>
        </row>
        <row r="7993">
          <cell r="D7993">
            <v>10880029055</v>
          </cell>
        </row>
        <row r="7994">
          <cell r="D7994">
            <v>10880031362</v>
          </cell>
        </row>
        <row r="7995">
          <cell r="D7995">
            <v>10880030738</v>
          </cell>
        </row>
        <row r="7996">
          <cell r="D7996">
            <v>10880031138</v>
          </cell>
        </row>
        <row r="7997">
          <cell r="D7997">
            <v>10880031139</v>
          </cell>
        </row>
        <row r="7998">
          <cell r="D7998">
            <v>10880036350</v>
          </cell>
        </row>
        <row r="7999">
          <cell r="D7999">
            <v>10880035661</v>
          </cell>
        </row>
        <row r="8000">
          <cell r="D8000">
            <v>10880036362</v>
          </cell>
        </row>
        <row r="8001">
          <cell r="D8001">
            <v>10880036363</v>
          </cell>
        </row>
        <row r="8002">
          <cell r="D8002">
            <v>10880034142</v>
          </cell>
        </row>
        <row r="8003">
          <cell r="D8003">
            <v>10880028306</v>
          </cell>
        </row>
        <row r="8004">
          <cell r="D8004">
            <v>10880035534</v>
          </cell>
        </row>
        <row r="8005">
          <cell r="D8005">
            <v>10880036325</v>
          </cell>
        </row>
        <row r="8006">
          <cell r="D8006">
            <v>10880036349</v>
          </cell>
        </row>
        <row r="8007">
          <cell r="D8007">
            <v>10880022123</v>
          </cell>
        </row>
        <row r="8008">
          <cell r="D8008">
            <v>10880033663</v>
          </cell>
        </row>
        <row r="8009">
          <cell r="D8009">
            <v>10880037046</v>
          </cell>
        </row>
        <row r="8010">
          <cell r="D8010">
            <v>10880036495</v>
          </cell>
        </row>
        <row r="8011">
          <cell r="D8011">
            <v>10880036852</v>
          </cell>
        </row>
        <row r="8012">
          <cell r="D8012">
            <v>10880030431</v>
          </cell>
        </row>
        <row r="8013">
          <cell r="D8013">
            <v>10880030431</v>
          </cell>
        </row>
        <row r="8014">
          <cell r="D8014">
            <v>10880033805</v>
          </cell>
        </row>
        <row r="8015">
          <cell r="D8015">
            <v>10880032759</v>
          </cell>
        </row>
        <row r="8016">
          <cell r="D8016">
            <v>10880022471</v>
          </cell>
        </row>
        <row r="8017">
          <cell r="D8017">
            <v>10880029054</v>
          </cell>
        </row>
        <row r="8018">
          <cell r="D8018">
            <v>10880033487</v>
          </cell>
        </row>
        <row r="8019">
          <cell r="D8019">
            <v>10880033488</v>
          </cell>
        </row>
        <row r="8020">
          <cell r="D8020">
            <v>10880036489</v>
          </cell>
        </row>
        <row r="8021">
          <cell r="D8021">
            <v>10880033855</v>
          </cell>
        </row>
        <row r="8022">
          <cell r="D8022">
            <v>10880022406</v>
          </cell>
        </row>
        <row r="8023">
          <cell r="D8023">
            <v>10880034142</v>
          </cell>
        </row>
        <row r="8024">
          <cell r="D8024">
            <v>10880033661</v>
          </cell>
        </row>
        <row r="8025">
          <cell r="D8025">
            <v>10880033689</v>
          </cell>
        </row>
        <row r="8026">
          <cell r="D8026">
            <v>10880037366</v>
          </cell>
        </row>
        <row r="8027">
          <cell r="D8027">
            <v>10880036348</v>
          </cell>
        </row>
        <row r="8028">
          <cell r="D8028">
            <v>10880028307</v>
          </cell>
        </row>
        <row r="8029">
          <cell r="D8029">
            <v>10880037179</v>
          </cell>
        </row>
        <row r="8030">
          <cell r="D8030">
            <v>10880030447</v>
          </cell>
        </row>
        <row r="8031">
          <cell r="D8031">
            <v>10880035722</v>
          </cell>
        </row>
        <row r="8032">
          <cell r="D8032">
            <v>10880036503</v>
          </cell>
        </row>
        <row r="8033">
          <cell r="D8033">
            <v>10880036205</v>
          </cell>
        </row>
        <row r="8034">
          <cell r="D8034">
            <v>10880036206</v>
          </cell>
        </row>
        <row r="8035">
          <cell r="D8035">
            <v>10880034622</v>
          </cell>
        </row>
        <row r="8036">
          <cell r="D8036">
            <v>10880037520</v>
          </cell>
        </row>
        <row r="8037">
          <cell r="D8037">
            <v>10880037519</v>
          </cell>
        </row>
        <row r="8038">
          <cell r="D8038">
            <v>10880037522</v>
          </cell>
        </row>
        <row r="8039">
          <cell r="D8039">
            <v>10400029072</v>
          </cell>
        </row>
        <row r="8040">
          <cell r="D8040">
            <v>10400030642</v>
          </cell>
        </row>
        <row r="8041">
          <cell r="D8041">
            <v>10880030432</v>
          </cell>
        </row>
        <row r="8042">
          <cell r="D8042">
            <v>10880033855</v>
          </cell>
        </row>
        <row r="8043">
          <cell r="D8043">
            <v>10880020637</v>
          </cell>
        </row>
        <row r="8044">
          <cell r="D8044">
            <v>10400030543</v>
          </cell>
        </row>
        <row r="8045">
          <cell r="D8045">
            <v>10400031068</v>
          </cell>
        </row>
        <row r="8046">
          <cell r="D8046">
            <v>10880017949</v>
          </cell>
        </row>
        <row r="8047">
          <cell r="D8047">
            <v>10880035513</v>
          </cell>
        </row>
        <row r="8048">
          <cell r="D8048">
            <v>10880019682</v>
          </cell>
        </row>
        <row r="8049">
          <cell r="D8049">
            <v>10880033325</v>
          </cell>
        </row>
        <row r="8050">
          <cell r="D8050">
            <v>10880033785</v>
          </cell>
        </row>
        <row r="8051">
          <cell r="D8051">
            <v>10880033655</v>
          </cell>
        </row>
        <row r="8052">
          <cell r="D8052">
            <v>10880034619</v>
          </cell>
        </row>
        <row r="8053">
          <cell r="D8053">
            <v>10880020208</v>
          </cell>
        </row>
        <row r="8054">
          <cell r="D8054">
            <v>10880033279</v>
          </cell>
        </row>
        <row r="8055">
          <cell r="D8055">
            <v>10880031869</v>
          </cell>
        </row>
        <row r="8056">
          <cell r="D8056">
            <v>10880022470</v>
          </cell>
        </row>
        <row r="8057">
          <cell r="D8057">
            <v>10880037426</v>
          </cell>
        </row>
        <row r="8058">
          <cell r="D8058">
            <v>10880035167</v>
          </cell>
        </row>
        <row r="8059">
          <cell r="D8059">
            <v>10400031867</v>
          </cell>
        </row>
        <row r="8060">
          <cell r="D8060">
            <v>10880032943</v>
          </cell>
        </row>
        <row r="8061">
          <cell r="D8061">
            <v>10880037369</v>
          </cell>
        </row>
        <row r="8062">
          <cell r="D8062">
            <v>10880036432</v>
          </cell>
        </row>
        <row r="8063">
          <cell r="D8063">
            <v>10880028306</v>
          </cell>
        </row>
        <row r="8064">
          <cell r="D8064">
            <v>10880031182</v>
          </cell>
        </row>
        <row r="8065">
          <cell r="D8065">
            <v>10880035543</v>
          </cell>
        </row>
        <row r="8066">
          <cell r="D8066">
            <v>10880034251</v>
          </cell>
        </row>
        <row r="8067">
          <cell r="D8067">
            <v>10880037521</v>
          </cell>
        </row>
        <row r="8068">
          <cell r="D8068">
            <v>10400030641</v>
          </cell>
        </row>
        <row r="8069">
          <cell r="D8069">
            <v>10880031243</v>
          </cell>
        </row>
        <row r="8070">
          <cell r="D8070">
            <v>10880031242</v>
          </cell>
        </row>
        <row r="8071">
          <cell r="D8071">
            <v>10880033137</v>
          </cell>
        </row>
        <row r="8072">
          <cell r="D8072">
            <v>10880035709</v>
          </cell>
        </row>
        <row r="8073">
          <cell r="D8073">
            <v>10880017525</v>
          </cell>
        </row>
        <row r="8074">
          <cell r="D8074">
            <v>10880034198</v>
          </cell>
        </row>
        <row r="8075">
          <cell r="D8075">
            <v>10880017530</v>
          </cell>
        </row>
        <row r="8076">
          <cell r="D8076">
            <v>10880017530</v>
          </cell>
        </row>
        <row r="8077">
          <cell r="D8077">
            <v>10880017531</v>
          </cell>
        </row>
        <row r="8078">
          <cell r="D8078">
            <v>10880017525</v>
          </cell>
        </row>
        <row r="8079">
          <cell r="D8079">
            <v>10880036764</v>
          </cell>
        </row>
        <row r="8080">
          <cell r="D8080">
            <v>10880033663</v>
          </cell>
        </row>
        <row r="8081">
          <cell r="D8081">
            <v>10400030646</v>
          </cell>
        </row>
        <row r="8082">
          <cell r="D8082">
            <v>10400029072</v>
          </cell>
        </row>
        <row r="8083">
          <cell r="D8083">
            <v>10880034610</v>
          </cell>
        </row>
        <row r="8084">
          <cell r="D8084">
            <v>10400031098</v>
          </cell>
        </row>
        <row r="8085">
          <cell r="D8085">
            <v>10400031117</v>
          </cell>
        </row>
        <row r="8086">
          <cell r="D8086">
            <v>10880035265</v>
          </cell>
        </row>
        <row r="8087">
          <cell r="D8087">
            <v>10880033564</v>
          </cell>
        </row>
        <row r="8088">
          <cell r="D8088">
            <v>40880000587</v>
          </cell>
        </row>
        <row r="8089">
          <cell r="D8089">
            <v>10880037426</v>
          </cell>
        </row>
        <row r="8090">
          <cell r="D8090">
            <v>10880035441</v>
          </cell>
        </row>
        <row r="8091">
          <cell r="D8091">
            <v>10880020556</v>
          </cell>
        </row>
        <row r="8092">
          <cell r="D8092">
            <v>10880029054</v>
          </cell>
        </row>
        <row r="8093">
          <cell r="D8093">
            <v>10880029055</v>
          </cell>
        </row>
        <row r="8094">
          <cell r="D8094">
            <v>10880021545</v>
          </cell>
        </row>
        <row r="8095">
          <cell r="D8095">
            <v>10880037370</v>
          </cell>
        </row>
        <row r="8096">
          <cell r="D8096">
            <v>10880036325</v>
          </cell>
        </row>
        <row r="8097">
          <cell r="D8097">
            <v>10880037670</v>
          </cell>
        </row>
        <row r="8098">
          <cell r="D8098">
            <v>10880037671</v>
          </cell>
        </row>
        <row r="8099">
          <cell r="D8099">
            <v>10880036786</v>
          </cell>
        </row>
        <row r="8100">
          <cell r="D8100">
            <v>10880036135</v>
          </cell>
        </row>
        <row r="8101">
          <cell r="D8101">
            <v>10880028307</v>
          </cell>
        </row>
        <row r="8102">
          <cell r="D8102">
            <v>10880028306</v>
          </cell>
        </row>
        <row r="8103">
          <cell r="D8103">
            <v>10880033564</v>
          </cell>
        </row>
        <row r="8104">
          <cell r="D8104">
            <v>10880037377</v>
          </cell>
        </row>
        <row r="8105">
          <cell r="D8105">
            <v>10880035196</v>
          </cell>
        </row>
        <row r="8106">
          <cell r="D8106">
            <v>10880020640</v>
          </cell>
        </row>
        <row r="8107">
          <cell r="D8107">
            <v>10880031160</v>
          </cell>
        </row>
        <row r="8108">
          <cell r="D8108">
            <v>10880031157</v>
          </cell>
        </row>
        <row r="8109">
          <cell r="D8109">
            <v>10880037379</v>
          </cell>
        </row>
        <row r="8110">
          <cell r="D8110">
            <v>10880037426</v>
          </cell>
        </row>
        <row r="8111">
          <cell r="D8111">
            <v>10880034669</v>
          </cell>
        </row>
        <row r="8112">
          <cell r="D8112">
            <v>10880035513</v>
          </cell>
        </row>
        <row r="8113">
          <cell r="D8113">
            <v>10880022442</v>
          </cell>
        </row>
        <row r="8114">
          <cell r="D8114">
            <v>10880030203</v>
          </cell>
        </row>
        <row r="8115">
          <cell r="D8115">
            <v>10880036432</v>
          </cell>
        </row>
        <row r="8116">
          <cell r="D8116">
            <v>10880033217</v>
          </cell>
        </row>
        <row r="8117">
          <cell r="D8117">
            <v>10880036764</v>
          </cell>
        </row>
        <row r="8118">
          <cell r="D8118">
            <v>10880017516</v>
          </cell>
        </row>
        <row r="8119">
          <cell r="D8119">
            <v>10880022123</v>
          </cell>
        </row>
        <row r="8120">
          <cell r="D8120">
            <v>10880036504</v>
          </cell>
        </row>
        <row r="8121">
          <cell r="D8121">
            <v>10880030545</v>
          </cell>
        </row>
        <row r="8122">
          <cell r="D8122">
            <v>10880031020</v>
          </cell>
        </row>
        <row r="8123">
          <cell r="D8123">
            <v>10880033634</v>
          </cell>
        </row>
        <row r="8124">
          <cell r="D8124">
            <v>10880033635</v>
          </cell>
        </row>
        <row r="8125">
          <cell r="D8125">
            <v>10880020940</v>
          </cell>
        </row>
        <row r="8126">
          <cell r="D8126">
            <v>10400031135</v>
          </cell>
        </row>
        <row r="8127">
          <cell r="D8127">
            <v>10880035265</v>
          </cell>
        </row>
        <row r="8128">
          <cell r="D8128">
            <v>10880034946</v>
          </cell>
        </row>
        <row r="8129">
          <cell r="D8129">
            <v>10880031186</v>
          </cell>
        </row>
        <row r="8130">
          <cell r="D8130">
            <v>10880035441</v>
          </cell>
        </row>
        <row r="8131">
          <cell r="D8131">
            <v>10880030203</v>
          </cell>
        </row>
        <row r="8132">
          <cell r="D8132">
            <v>10880036706</v>
          </cell>
        </row>
        <row r="8133">
          <cell r="D8133">
            <v>10880036760</v>
          </cell>
        </row>
        <row r="8134">
          <cell r="D8134">
            <v>10880017527</v>
          </cell>
        </row>
        <row r="8135">
          <cell r="D8135">
            <v>10880037179</v>
          </cell>
        </row>
        <row r="8136">
          <cell r="D8136">
            <v>10880037047</v>
          </cell>
        </row>
        <row r="8137">
          <cell r="D8137">
            <v>10880035984</v>
          </cell>
        </row>
        <row r="8138">
          <cell r="D8138">
            <v>10880032943</v>
          </cell>
        </row>
        <row r="8139">
          <cell r="D8139">
            <v>10880029944</v>
          </cell>
        </row>
        <row r="8140">
          <cell r="D8140">
            <v>10880035235</v>
          </cell>
        </row>
        <row r="8141">
          <cell r="D8141">
            <v>10880035235</v>
          </cell>
        </row>
        <row r="8142">
          <cell r="D8142">
            <v>10880033655</v>
          </cell>
        </row>
        <row r="8143">
          <cell r="D8143">
            <v>10880035754</v>
          </cell>
        </row>
        <row r="8144">
          <cell r="D8144">
            <v>10880030447</v>
          </cell>
        </row>
        <row r="8145">
          <cell r="D8145">
            <v>10880020208</v>
          </cell>
        </row>
        <row r="8146">
          <cell r="D8146">
            <v>10400030646</v>
          </cell>
        </row>
        <row r="8147">
          <cell r="D8147">
            <v>10400030646</v>
          </cell>
        </row>
        <row r="8148">
          <cell r="D8148">
            <v>10400029072</v>
          </cell>
        </row>
        <row r="8149">
          <cell r="D8149">
            <v>10880035265</v>
          </cell>
        </row>
        <row r="8150">
          <cell r="D8150">
            <v>10880035441</v>
          </cell>
        </row>
        <row r="8151">
          <cell r="D8151">
            <v>10880035441</v>
          </cell>
        </row>
        <row r="8152">
          <cell r="D8152">
            <v>10880035982</v>
          </cell>
        </row>
        <row r="8153">
          <cell r="D8153">
            <v>10880035981</v>
          </cell>
        </row>
        <row r="8154">
          <cell r="D8154">
            <v>10880034669</v>
          </cell>
        </row>
        <row r="8155">
          <cell r="D8155">
            <v>10880034554</v>
          </cell>
        </row>
        <row r="8156">
          <cell r="D8156">
            <v>10880033855</v>
          </cell>
        </row>
        <row r="8157">
          <cell r="D8157">
            <v>10880037670</v>
          </cell>
        </row>
        <row r="8158">
          <cell r="D8158">
            <v>10880035232</v>
          </cell>
        </row>
        <row r="8159">
          <cell r="D8159">
            <v>10880033635</v>
          </cell>
        </row>
        <row r="8160">
          <cell r="D8160">
            <v>10880033634</v>
          </cell>
        </row>
        <row r="8161">
          <cell r="D8161">
            <v>10400030739</v>
          </cell>
        </row>
        <row r="8162">
          <cell r="D8162">
            <v>10400030739</v>
          </cell>
        </row>
        <row r="8163">
          <cell r="D8163">
            <v>10880031461</v>
          </cell>
        </row>
        <row r="8164">
          <cell r="D8164">
            <v>10880035709</v>
          </cell>
        </row>
        <row r="8165">
          <cell r="D8165">
            <v>10880036704</v>
          </cell>
        </row>
        <row r="8166">
          <cell r="D8166">
            <v>10880036760</v>
          </cell>
        </row>
        <row r="8167">
          <cell r="D8167">
            <v>10880036786</v>
          </cell>
        </row>
        <row r="8168">
          <cell r="D8168">
            <v>10400031126</v>
          </cell>
        </row>
        <row r="8169">
          <cell r="D8169">
            <v>10880033634</v>
          </cell>
        </row>
        <row r="8170">
          <cell r="D8170">
            <v>10880035443</v>
          </cell>
        </row>
        <row r="8171">
          <cell r="D8171">
            <v>10880030545</v>
          </cell>
        </row>
        <row r="8172">
          <cell r="D8172">
            <v>10880034622</v>
          </cell>
        </row>
        <row r="8173">
          <cell r="D8173">
            <v>10880030545</v>
          </cell>
        </row>
        <row r="8174">
          <cell r="D8174">
            <v>10880030550</v>
          </cell>
        </row>
        <row r="8175">
          <cell r="D8175">
            <v>10880036432</v>
          </cell>
        </row>
        <row r="8176">
          <cell r="D8176">
            <v>10880029033</v>
          </cell>
        </row>
        <row r="8177">
          <cell r="D8177">
            <v>10880036207</v>
          </cell>
        </row>
        <row r="8178">
          <cell r="D8178">
            <v>10880036207</v>
          </cell>
        </row>
        <row r="8179">
          <cell r="D8179">
            <v>10400029072</v>
          </cell>
        </row>
        <row r="8180">
          <cell r="D8180">
            <v>10400029072</v>
          </cell>
        </row>
        <row r="8181">
          <cell r="D8181">
            <v>10400029072</v>
          </cell>
        </row>
        <row r="8182">
          <cell r="D8182">
            <v>10400030639</v>
          </cell>
        </row>
        <row r="8183">
          <cell r="D8183">
            <v>10400031118</v>
          </cell>
        </row>
        <row r="8184">
          <cell r="D8184">
            <v>10400029072</v>
          </cell>
        </row>
        <row r="8185">
          <cell r="D8185">
            <v>10400030646</v>
          </cell>
        </row>
        <row r="8186">
          <cell r="D8186">
            <v>10400031098</v>
          </cell>
        </row>
        <row r="8187">
          <cell r="D8187">
            <v>10400029072</v>
          </cell>
        </row>
        <row r="8188">
          <cell r="D8188">
            <v>10400030735</v>
          </cell>
        </row>
        <row r="8189">
          <cell r="D8189">
            <v>10880035166</v>
          </cell>
        </row>
        <row r="8190">
          <cell r="D8190">
            <v>10880033279</v>
          </cell>
        </row>
        <row r="8191">
          <cell r="D8191">
            <v>10880035265</v>
          </cell>
        </row>
        <row r="8192">
          <cell r="D8192">
            <v>10880031138</v>
          </cell>
        </row>
        <row r="8193">
          <cell r="D8193">
            <v>10880035441</v>
          </cell>
        </row>
        <row r="8194">
          <cell r="D8194">
            <v>10880034565</v>
          </cell>
        </row>
        <row r="8195">
          <cell r="D8195">
            <v>10880034669</v>
          </cell>
        </row>
        <row r="8196">
          <cell r="D8196">
            <v>10880035379</v>
          </cell>
        </row>
        <row r="8197">
          <cell r="D8197">
            <v>10880020031</v>
          </cell>
        </row>
        <row r="8198">
          <cell r="D8198">
            <v>10880036350</v>
          </cell>
        </row>
        <row r="8199">
          <cell r="D8199">
            <v>10880033602</v>
          </cell>
        </row>
        <row r="8200">
          <cell r="D8200">
            <v>10880028881</v>
          </cell>
        </row>
        <row r="8201">
          <cell r="D8201">
            <v>10880029054</v>
          </cell>
        </row>
        <row r="8202">
          <cell r="D8202">
            <v>10880029055</v>
          </cell>
        </row>
        <row r="8203">
          <cell r="D8203">
            <v>10400030737</v>
          </cell>
        </row>
        <row r="8204">
          <cell r="D8204">
            <v>10400031124</v>
          </cell>
        </row>
        <row r="8205">
          <cell r="D8205">
            <v>10880036499</v>
          </cell>
        </row>
        <row r="8206">
          <cell r="D8206">
            <v>10880036479</v>
          </cell>
        </row>
        <row r="8207">
          <cell r="D8207">
            <v>10880036493</v>
          </cell>
        </row>
        <row r="8208">
          <cell r="D8208">
            <v>10880018096</v>
          </cell>
        </row>
        <row r="8209">
          <cell r="D8209">
            <v>10880030742</v>
          </cell>
        </row>
        <row r="8210">
          <cell r="D8210">
            <v>10880032759</v>
          </cell>
        </row>
        <row r="8211">
          <cell r="D8211">
            <v>10880036424</v>
          </cell>
        </row>
        <row r="8212">
          <cell r="D8212">
            <v>10880036423</v>
          </cell>
        </row>
        <row r="8213">
          <cell r="D8213">
            <v>10880035380</v>
          </cell>
        </row>
        <row r="8214">
          <cell r="D8214">
            <v>10880020637</v>
          </cell>
        </row>
        <row r="8215">
          <cell r="D8215">
            <v>10880020637</v>
          </cell>
        </row>
        <row r="8216">
          <cell r="D8216">
            <v>10880034554</v>
          </cell>
        </row>
        <row r="8217">
          <cell r="D8217">
            <v>10880033690</v>
          </cell>
        </row>
        <row r="8218">
          <cell r="D8218">
            <v>10880033692</v>
          </cell>
        </row>
        <row r="8219">
          <cell r="D8219">
            <v>10880033217</v>
          </cell>
        </row>
        <row r="8220">
          <cell r="D8220">
            <v>10880037370</v>
          </cell>
        </row>
        <row r="8221">
          <cell r="D8221">
            <v>10880031183</v>
          </cell>
        </row>
        <row r="8222">
          <cell r="D8222">
            <v>10880036348</v>
          </cell>
        </row>
        <row r="8223">
          <cell r="D8223">
            <v>10880036325</v>
          </cell>
        </row>
        <row r="8224">
          <cell r="D8224">
            <v>10880036349</v>
          </cell>
        </row>
        <row r="8225">
          <cell r="D8225">
            <v>10880033720</v>
          </cell>
        </row>
        <row r="8226">
          <cell r="D8226">
            <v>10880031760</v>
          </cell>
        </row>
        <row r="8227">
          <cell r="D8227">
            <v>10880033610</v>
          </cell>
        </row>
        <row r="8228">
          <cell r="D8228">
            <v>10880035448</v>
          </cell>
        </row>
        <row r="8229">
          <cell r="D8229">
            <v>10880034621</v>
          </cell>
        </row>
        <row r="8230">
          <cell r="D8230">
            <v>10880036479</v>
          </cell>
        </row>
        <row r="8231">
          <cell r="D8231">
            <v>10400029072</v>
          </cell>
        </row>
        <row r="8232">
          <cell r="D8232">
            <v>10880036423</v>
          </cell>
        </row>
        <row r="8233">
          <cell r="D8233">
            <v>10880020208</v>
          </cell>
        </row>
        <row r="8234">
          <cell r="D8234">
            <v>10880035653</v>
          </cell>
        </row>
        <row r="8235">
          <cell r="D8235">
            <v>10880035513</v>
          </cell>
        </row>
        <row r="8236">
          <cell r="D8236">
            <v>10880017527</v>
          </cell>
        </row>
        <row r="8237">
          <cell r="D8237">
            <v>10880035534</v>
          </cell>
        </row>
        <row r="8238">
          <cell r="D8238">
            <v>10880036761</v>
          </cell>
        </row>
        <row r="8239">
          <cell r="D8239">
            <v>10880028307</v>
          </cell>
        </row>
        <row r="8240">
          <cell r="D8240">
            <v>10880028306</v>
          </cell>
        </row>
        <row r="8241">
          <cell r="D8241">
            <v>10880036206</v>
          </cell>
        </row>
        <row r="8242">
          <cell r="D8242">
            <v>10880036134</v>
          </cell>
        </row>
        <row r="8243">
          <cell r="D8243">
            <v>10400030735</v>
          </cell>
        </row>
        <row r="8244">
          <cell r="D8244">
            <v>10880036205</v>
          </cell>
        </row>
        <row r="8245">
          <cell r="D8245">
            <v>10400030646</v>
          </cell>
        </row>
        <row r="8246">
          <cell r="D8246">
            <v>10400030646</v>
          </cell>
        </row>
        <row r="8247">
          <cell r="D8247">
            <v>10880035265</v>
          </cell>
        </row>
        <row r="8248">
          <cell r="D8248">
            <v>10880035407</v>
          </cell>
        </row>
        <row r="8249">
          <cell r="D8249">
            <v>10880037268</v>
          </cell>
        </row>
        <row r="8250">
          <cell r="D8250">
            <v>10880035905</v>
          </cell>
        </row>
        <row r="8251">
          <cell r="D8251">
            <v>10880035903</v>
          </cell>
        </row>
        <row r="8252">
          <cell r="D8252">
            <v>10880032683</v>
          </cell>
        </row>
        <row r="8253">
          <cell r="D8253">
            <v>10880032933</v>
          </cell>
        </row>
        <row r="8254">
          <cell r="D8254">
            <v>10880037198</v>
          </cell>
        </row>
        <row r="8255">
          <cell r="D8255">
            <v>10880037204</v>
          </cell>
        </row>
        <row r="8256">
          <cell r="D8256">
            <v>10880037199</v>
          </cell>
        </row>
        <row r="8257">
          <cell r="D8257">
            <v>10880036497</v>
          </cell>
        </row>
        <row r="8258">
          <cell r="D8258">
            <v>10880036424</v>
          </cell>
        </row>
        <row r="8259">
          <cell r="D8259">
            <v>10880035380</v>
          </cell>
        </row>
        <row r="8260">
          <cell r="D8260">
            <v>10880033533</v>
          </cell>
        </row>
        <row r="8261">
          <cell r="D8261">
            <v>10880033535</v>
          </cell>
        </row>
        <row r="8262">
          <cell r="D8262">
            <v>10880033855</v>
          </cell>
        </row>
        <row r="8263">
          <cell r="D8263">
            <v>10880036432</v>
          </cell>
        </row>
        <row r="8264">
          <cell r="D8264">
            <v>10880036348</v>
          </cell>
        </row>
        <row r="8265">
          <cell r="D8265">
            <v>10880036494</v>
          </cell>
        </row>
        <row r="8266">
          <cell r="D8266">
            <v>10880036205</v>
          </cell>
        </row>
        <row r="8267">
          <cell r="D8267">
            <v>10400030641</v>
          </cell>
        </row>
        <row r="8268">
          <cell r="D8268">
            <v>10400031120</v>
          </cell>
        </row>
        <row r="8269">
          <cell r="D8269">
            <v>10400031101</v>
          </cell>
        </row>
        <row r="8273">
          <cell r="D8273">
            <v>10400029072</v>
          </cell>
        </row>
        <row r="8274">
          <cell r="D8274">
            <v>10880033564</v>
          </cell>
        </row>
        <row r="8275">
          <cell r="D8275">
            <v>10880033566</v>
          </cell>
        </row>
        <row r="8276">
          <cell r="D8276">
            <v>10880022470</v>
          </cell>
        </row>
        <row r="8277">
          <cell r="D8277">
            <v>10880035984</v>
          </cell>
        </row>
        <row r="8278">
          <cell r="D8278">
            <v>10880036058</v>
          </cell>
        </row>
        <row r="8279">
          <cell r="D8279">
            <v>10880036458</v>
          </cell>
        </row>
        <row r="8280">
          <cell r="D8280">
            <v>10880037022</v>
          </cell>
        </row>
        <row r="8281">
          <cell r="D8281">
            <v>10880035709</v>
          </cell>
        </row>
        <row r="8282">
          <cell r="D8282">
            <v>10880036481</v>
          </cell>
        </row>
        <row r="8283">
          <cell r="D8283">
            <v>10880036495</v>
          </cell>
        </row>
        <row r="8284">
          <cell r="D8284">
            <v>10880036481</v>
          </cell>
        </row>
        <row r="8285">
          <cell r="D8285">
            <v>10400031124</v>
          </cell>
        </row>
        <row r="8286">
          <cell r="D8286">
            <v>10880030432</v>
          </cell>
        </row>
        <row r="8287">
          <cell r="D8287">
            <v>10400029072</v>
          </cell>
        </row>
        <row r="8288">
          <cell r="D8288">
            <v>10880022471</v>
          </cell>
        </row>
        <row r="8289">
          <cell r="D8289">
            <v>10880030920</v>
          </cell>
        </row>
        <row r="8290">
          <cell r="D8290">
            <v>10880020802</v>
          </cell>
        </row>
        <row r="8291">
          <cell r="D8291">
            <v>10880037379</v>
          </cell>
        </row>
        <row r="8292">
          <cell r="D8292">
            <v>10880020031</v>
          </cell>
        </row>
        <row r="8293">
          <cell r="D8293">
            <v>10880021545</v>
          </cell>
        </row>
        <row r="8294">
          <cell r="D8294">
            <v>10880027924</v>
          </cell>
        </row>
        <row r="8295">
          <cell r="D8295">
            <v>10880036135</v>
          </cell>
        </row>
        <row r="8296">
          <cell r="D8296">
            <v>10400030735</v>
          </cell>
        </row>
        <row r="8297">
          <cell r="D8297">
            <v>10880035441</v>
          </cell>
        </row>
        <row r="8298">
          <cell r="D8298">
            <v>10880021476</v>
          </cell>
        </row>
        <row r="8299">
          <cell r="D8299">
            <v>10880031138</v>
          </cell>
        </row>
        <row r="8300">
          <cell r="D8300">
            <v>10880031139</v>
          </cell>
        </row>
        <row r="8301">
          <cell r="D8301">
            <v>10880037426</v>
          </cell>
        </row>
        <row r="8302">
          <cell r="D8302">
            <v>10880035983</v>
          </cell>
        </row>
        <row r="8303">
          <cell r="D8303">
            <v>10880035984</v>
          </cell>
        </row>
        <row r="8304">
          <cell r="D8304">
            <v>10880037179</v>
          </cell>
        </row>
        <row r="8305">
          <cell r="D8305">
            <v>10880017525</v>
          </cell>
        </row>
        <row r="8306">
          <cell r="D8306">
            <v>10880036489</v>
          </cell>
        </row>
        <row r="8307">
          <cell r="D8307">
            <v>10880036761</v>
          </cell>
        </row>
        <row r="8308">
          <cell r="D8308">
            <v>10880022123</v>
          </cell>
        </row>
        <row r="8309">
          <cell r="D8309">
            <v>10880032933</v>
          </cell>
        </row>
        <row r="8310">
          <cell r="D8310">
            <v>10880032943</v>
          </cell>
        </row>
        <row r="8311">
          <cell r="D8311">
            <v>10880032383</v>
          </cell>
        </row>
        <row r="8312">
          <cell r="D8312">
            <v>10880030545</v>
          </cell>
        </row>
        <row r="8313">
          <cell r="D8313">
            <v>10880030545</v>
          </cell>
        </row>
        <row r="8314">
          <cell r="D8314">
            <v>10880030545</v>
          </cell>
        </row>
        <row r="8315">
          <cell r="D8315">
            <v>10880030550</v>
          </cell>
        </row>
        <row r="8316">
          <cell r="D8316">
            <v>10880031020</v>
          </cell>
        </row>
        <row r="8317">
          <cell r="D8317">
            <v>10880034622</v>
          </cell>
        </row>
        <row r="8318">
          <cell r="D8318">
            <v>10880029957</v>
          </cell>
        </row>
        <row r="8319">
          <cell r="D8319">
            <v>10880028881</v>
          </cell>
        </row>
        <row r="8320">
          <cell r="D8320">
            <v>10880030931</v>
          </cell>
        </row>
        <row r="8321">
          <cell r="D8321">
            <v>10880036424</v>
          </cell>
        </row>
        <row r="8322">
          <cell r="D8322">
            <v>10880035167</v>
          </cell>
        </row>
        <row r="8323">
          <cell r="D8323">
            <v>10880019777</v>
          </cell>
        </row>
        <row r="8324">
          <cell r="D8324">
            <v>10880029033</v>
          </cell>
        </row>
        <row r="8325">
          <cell r="D8325">
            <v>10880037047</v>
          </cell>
        </row>
        <row r="8326">
          <cell r="D8326">
            <v>10880028307</v>
          </cell>
        </row>
        <row r="8327">
          <cell r="D8327">
            <v>10880036349</v>
          </cell>
        </row>
        <row r="8328">
          <cell r="D8328">
            <v>10880037200</v>
          </cell>
        </row>
        <row r="8329">
          <cell r="D8329">
            <v>10880037201</v>
          </cell>
        </row>
        <row r="8330">
          <cell r="D8330">
            <v>10880037205</v>
          </cell>
        </row>
        <row r="8331">
          <cell r="D8331">
            <v>10880032945</v>
          </cell>
        </row>
        <row r="8332">
          <cell r="D8332">
            <v>10880036205</v>
          </cell>
        </row>
        <row r="8333">
          <cell r="D8333">
            <v>10880030545</v>
          </cell>
        </row>
        <row r="8334">
          <cell r="D8334">
            <v>10880031020</v>
          </cell>
        </row>
        <row r="8335">
          <cell r="D8335">
            <v>10880028306</v>
          </cell>
        </row>
        <row r="8336">
          <cell r="D8336">
            <v>10880031307</v>
          </cell>
        </row>
        <row r="8337">
          <cell r="D8337">
            <v>10880036432</v>
          </cell>
        </row>
        <row r="8338">
          <cell r="D8338">
            <v>10880032937</v>
          </cell>
        </row>
        <row r="8339">
          <cell r="D8339">
            <v>10880032942</v>
          </cell>
        </row>
        <row r="8340">
          <cell r="D8340">
            <v>10880037204</v>
          </cell>
        </row>
        <row r="8341">
          <cell r="D8341">
            <v>10880037198</v>
          </cell>
        </row>
        <row r="8342">
          <cell r="D8342">
            <v>10880036497</v>
          </cell>
        </row>
        <row r="8343">
          <cell r="D8343">
            <v>10880030551</v>
          </cell>
        </row>
        <row r="8344">
          <cell r="D8344">
            <v>10880037426</v>
          </cell>
        </row>
        <row r="8345">
          <cell r="D8345">
            <v>10880037426</v>
          </cell>
        </row>
        <row r="8346">
          <cell r="D8346">
            <v>10880036424</v>
          </cell>
        </row>
        <row r="8347">
          <cell r="D8347">
            <v>10880035722</v>
          </cell>
        </row>
        <row r="8348">
          <cell r="D8348">
            <v>10880037205</v>
          </cell>
        </row>
        <row r="8349">
          <cell r="D8349">
            <v>10880032683</v>
          </cell>
        </row>
        <row r="8350">
          <cell r="D8350">
            <v>10880031760</v>
          </cell>
        </row>
        <row r="8351">
          <cell r="D8351">
            <v>10880031011</v>
          </cell>
        </row>
        <row r="8352">
          <cell r="D8352">
            <v>10880032386</v>
          </cell>
        </row>
        <row r="8353">
          <cell r="D8353">
            <v>10880032383</v>
          </cell>
        </row>
        <row r="8354">
          <cell r="D8354">
            <v>10400029072</v>
          </cell>
        </row>
        <row r="8355">
          <cell r="D8355">
            <v>10400031126</v>
          </cell>
        </row>
        <row r="8356">
          <cell r="D8356">
            <v>10880034621</v>
          </cell>
        </row>
        <row r="8357">
          <cell r="D8357">
            <v>10880020678</v>
          </cell>
        </row>
        <row r="8358">
          <cell r="D8358">
            <v>10880030920</v>
          </cell>
        </row>
        <row r="8359">
          <cell r="D8359">
            <v>10880036423</v>
          </cell>
        </row>
        <row r="8360">
          <cell r="D8360">
            <v>10880033216</v>
          </cell>
        </row>
        <row r="8361">
          <cell r="D8361">
            <v>10400031068</v>
          </cell>
        </row>
        <row r="8362">
          <cell r="D8362">
            <v>10400031867</v>
          </cell>
        </row>
        <row r="8363">
          <cell r="D8363">
            <v>10880035236</v>
          </cell>
        </row>
        <row r="8364">
          <cell r="D8364">
            <v>10880028929</v>
          </cell>
        </row>
        <row r="8365">
          <cell r="D8365">
            <v>10880017536</v>
          </cell>
        </row>
        <row r="8366">
          <cell r="D8366">
            <v>10880035232</v>
          </cell>
        </row>
        <row r="8367">
          <cell r="D8367">
            <v>10880035722</v>
          </cell>
        </row>
        <row r="8368">
          <cell r="D8368">
            <v>10880032943</v>
          </cell>
        </row>
        <row r="8369">
          <cell r="D8369">
            <v>10880032933</v>
          </cell>
        </row>
        <row r="8370">
          <cell r="D8370">
            <v>10880037205</v>
          </cell>
        </row>
        <row r="8371">
          <cell r="D8371">
            <v>10880037198</v>
          </cell>
        </row>
        <row r="8372">
          <cell r="D8372">
            <v>10880032683</v>
          </cell>
        </row>
        <row r="8373">
          <cell r="D8373">
            <v>10880036499</v>
          </cell>
        </row>
        <row r="8374">
          <cell r="D8374">
            <v>10880030432</v>
          </cell>
        </row>
        <row r="8375">
          <cell r="D8375">
            <v>10400029072</v>
          </cell>
        </row>
        <row r="8376">
          <cell r="D8376">
            <v>10880035265</v>
          </cell>
        </row>
        <row r="8377">
          <cell r="D8377">
            <v>10880033136</v>
          </cell>
        </row>
        <row r="8378">
          <cell r="D8378">
            <v>10880033605</v>
          </cell>
        </row>
        <row r="8379">
          <cell r="D8379">
            <v>10880030608</v>
          </cell>
        </row>
        <row r="8380">
          <cell r="D8380">
            <v>10880030608</v>
          </cell>
        </row>
        <row r="8381">
          <cell r="D8381">
            <v>10880036964</v>
          </cell>
        </row>
        <row r="8382">
          <cell r="D8382">
            <v>10880034565</v>
          </cell>
        </row>
        <row r="8383">
          <cell r="D8383">
            <v>10880030450</v>
          </cell>
        </row>
        <row r="8384">
          <cell r="D8384">
            <v>10880033535</v>
          </cell>
        </row>
        <row r="8385">
          <cell r="D8385">
            <v>10880036458</v>
          </cell>
        </row>
        <row r="8386">
          <cell r="D8386">
            <v>10880037022</v>
          </cell>
        </row>
        <row r="8387">
          <cell r="D8387">
            <v>10880017949</v>
          </cell>
        </row>
        <row r="8388">
          <cell r="D8388">
            <v>10400014144</v>
          </cell>
        </row>
        <row r="8389">
          <cell r="D8389">
            <v>10880036325</v>
          </cell>
        </row>
        <row r="8390">
          <cell r="D8390">
            <v>10880035788</v>
          </cell>
        </row>
        <row r="8391">
          <cell r="D8391">
            <v>10880030447</v>
          </cell>
        </row>
        <row r="8392">
          <cell r="D8392">
            <v>10880037204</v>
          </cell>
        </row>
        <row r="8393">
          <cell r="D8393">
            <v>10880032942</v>
          </cell>
        </row>
        <row r="8394">
          <cell r="D8394">
            <v>10880032937</v>
          </cell>
        </row>
        <row r="8395">
          <cell r="D8395">
            <v>10880018097</v>
          </cell>
        </row>
        <row r="8396">
          <cell r="D8396">
            <v>10880030187</v>
          </cell>
        </row>
        <row r="8397">
          <cell r="D8397">
            <v>10880033602</v>
          </cell>
        </row>
        <row r="8398">
          <cell r="D8398">
            <v>10880034195</v>
          </cell>
        </row>
        <row r="8399">
          <cell r="D8399">
            <v>10880033535</v>
          </cell>
        </row>
        <row r="8400">
          <cell r="D8400">
            <v>10880033855</v>
          </cell>
        </row>
        <row r="8401">
          <cell r="D8401">
            <v>10880037178</v>
          </cell>
        </row>
        <row r="8402">
          <cell r="D8402">
            <v>10880017516</v>
          </cell>
        </row>
        <row r="8403">
          <cell r="D8403">
            <v>10880017525</v>
          </cell>
        </row>
        <row r="8404">
          <cell r="D8404">
            <v>10880020048</v>
          </cell>
        </row>
        <row r="8405">
          <cell r="D8405">
            <v>10880035754</v>
          </cell>
        </row>
        <row r="8406">
          <cell r="D8406">
            <v>10880029958</v>
          </cell>
        </row>
        <row r="8407">
          <cell r="D8407">
            <v>10400030735</v>
          </cell>
        </row>
        <row r="8408">
          <cell r="D8408">
            <v>10880032759</v>
          </cell>
        </row>
        <row r="8409">
          <cell r="D8409">
            <v>10880018097</v>
          </cell>
        </row>
        <row r="8410">
          <cell r="D8410">
            <v>10880035441</v>
          </cell>
        </row>
        <row r="8411">
          <cell r="D8411">
            <v>10880037179</v>
          </cell>
        </row>
        <row r="8412">
          <cell r="D8412">
            <v>10880035983</v>
          </cell>
        </row>
        <row r="8413">
          <cell r="D8413">
            <v>10880033996</v>
          </cell>
        </row>
        <row r="8414">
          <cell r="D8414">
            <v>10880035984</v>
          </cell>
        </row>
        <row r="8415">
          <cell r="D8415">
            <v>10880036458</v>
          </cell>
        </row>
        <row r="8416">
          <cell r="D8416">
            <v>10880036058</v>
          </cell>
        </row>
        <row r="8417">
          <cell r="D8417">
            <v>10880037022</v>
          </cell>
        </row>
        <row r="8418">
          <cell r="D8418">
            <v>10880020225</v>
          </cell>
        </row>
        <row r="8419">
          <cell r="D8419">
            <v>10880020556</v>
          </cell>
        </row>
        <row r="8420">
          <cell r="D8420">
            <v>10880031242</v>
          </cell>
        </row>
        <row r="8421">
          <cell r="D8421">
            <v>10880031243</v>
          </cell>
        </row>
        <row r="8422">
          <cell r="D8422">
            <v>10880030447</v>
          </cell>
        </row>
        <row r="8423">
          <cell r="D8423">
            <v>10880033655</v>
          </cell>
        </row>
        <row r="8424">
          <cell r="D8424">
            <v>10880029033</v>
          </cell>
        </row>
        <row r="8425">
          <cell r="D8425">
            <v>10880022123</v>
          </cell>
        </row>
        <row r="8426">
          <cell r="D8426">
            <v>10880033785</v>
          </cell>
        </row>
        <row r="8427">
          <cell r="D8427">
            <v>10400030194</v>
          </cell>
        </row>
        <row r="8428">
          <cell r="D8428">
            <v>10400030197</v>
          </cell>
        </row>
        <row r="8429">
          <cell r="D8429">
            <v>10400030197</v>
          </cell>
        </row>
        <row r="8430">
          <cell r="D8430">
            <v>10400030493</v>
          </cell>
        </row>
        <row r="8431">
          <cell r="D8431">
            <v>10880035303</v>
          </cell>
        </row>
        <row r="8432">
          <cell r="D8432">
            <v>10400029072</v>
          </cell>
        </row>
        <row r="8433">
          <cell r="D8433">
            <v>10400029072</v>
          </cell>
        </row>
        <row r="8434">
          <cell r="D8434">
            <v>10400029072</v>
          </cell>
        </row>
        <row r="8435">
          <cell r="D8435">
            <v>10880030607</v>
          </cell>
        </row>
        <row r="8436">
          <cell r="D8436">
            <v>10880030607</v>
          </cell>
        </row>
        <row r="8437">
          <cell r="D8437">
            <v>10880036350</v>
          </cell>
        </row>
        <row r="8438">
          <cell r="D8438">
            <v>10880033805</v>
          </cell>
        </row>
        <row r="8439">
          <cell r="D8439">
            <v>10880030519</v>
          </cell>
        </row>
        <row r="8440">
          <cell r="D8440">
            <v>10880034946</v>
          </cell>
        </row>
        <row r="8441">
          <cell r="D8441">
            <v>10400031068</v>
          </cell>
        </row>
        <row r="8442">
          <cell r="D8442">
            <v>10400030543</v>
          </cell>
        </row>
        <row r="8443">
          <cell r="D8443">
            <v>10400031867</v>
          </cell>
        </row>
        <row r="8444">
          <cell r="D8444">
            <v>10880033661</v>
          </cell>
        </row>
        <row r="8445">
          <cell r="D8445">
            <v>10880033661</v>
          </cell>
        </row>
        <row r="8446">
          <cell r="D8446">
            <v>10880036760</v>
          </cell>
        </row>
        <row r="8447">
          <cell r="D8447">
            <v>10880027925</v>
          </cell>
        </row>
        <row r="8448">
          <cell r="D8448">
            <v>10880034093</v>
          </cell>
        </row>
        <row r="8449">
          <cell r="D8449">
            <v>10880029033</v>
          </cell>
        </row>
        <row r="8450">
          <cell r="D8450">
            <v>10880033325</v>
          </cell>
        </row>
        <row r="8451">
          <cell r="D8451">
            <v>10880033721</v>
          </cell>
        </row>
        <row r="8452">
          <cell r="D8452">
            <v>10880032945</v>
          </cell>
        </row>
        <row r="8453">
          <cell r="D8453">
            <v>10880032573</v>
          </cell>
        </row>
        <row r="8454">
          <cell r="D8454">
            <v>10400031134</v>
          </cell>
        </row>
        <row r="8455">
          <cell r="D8455">
            <v>10400031135</v>
          </cell>
        </row>
        <row r="8456">
          <cell r="D8456">
            <v>10400031101</v>
          </cell>
        </row>
        <row r="8457">
          <cell r="D8457">
            <v>10880022470</v>
          </cell>
        </row>
        <row r="8458">
          <cell r="D8458">
            <v>10880031461</v>
          </cell>
        </row>
        <row r="8459">
          <cell r="D8459">
            <v>10880032298</v>
          </cell>
        </row>
        <row r="8460">
          <cell r="D8460">
            <v>10880034554</v>
          </cell>
        </row>
        <row r="8461">
          <cell r="D8461">
            <v>10880034093</v>
          </cell>
        </row>
        <row r="8462">
          <cell r="D8462">
            <v>10880033325</v>
          </cell>
        </row>
        <row r="8463">
          <cell r="D8463">
            <v>10880017525</v>
          </cell>
        </row>
        <row r="8464">
          <cell r="D8464">
            <v>10880032945</v>
          </cell>
        </row>
        <row r="8465">
          <cell r="D8465">
            <v>10880029999</v>
          </cell>
        </row>
        <row r="8466">
          <cell r="D8466">
            <v>10880036205</v>
          </cell>
        </row>
        <row r="8467">
          <cell r="D8467">
            <v>10880035299</v>
          </cell>
        </row>
        <row r="8468">
          <cell r="D8468">
            <v>10880036481</v>
          </cell>
        </row>
        <row r="8469">
          <cell r="D8469">
            <v>10880032386</v>
          </cell>
        </row>
        <row r="8470">
          <cell r="D8470">
            <v>10880032708</v>
          </cell>
        </row>
        <row r="8471">
          <cell r="D8471">
            <v>10880032708</v>
          </cell>
        </row>
        <row r="8472">
          <cell r="D8472">
            <v>10880030545</v>
          </cell>
        </row>
        <row r="8473">
          <cell r="D8473">
            <v>10880030545</v>
          </cell>
        </row>
        <row r="8474">
          <cell r="D8474">
            <v>10880036361</v>
          </cell>
        </row>
        <row r="8475">
          <cell r="D8475">
            <v>10880036434</v>
          </cell>
        </row>
        <row r="8476">
          <cell r="D8476">
            <v>10880034669</v>
          </cell>
        </row>
        <row r="8477">
          <cell r="D8477">
            <v>10880034946</v>
          </cell>
        </row>
        <row r="8478">
          <cell r="D8478">
            <v>10880033785</v>
          </cell>
        </row>
        <row r="8479">
          <cell r="D8479">
            <v>10880033301</v>
          </cell>
        </row>
        <row r="8480">
          <cell r="D8480">
            <v>10880028307</v>
          </cell>
        </row>
        <row r="8481">
          <cell r="D8481">
            <v>10880033217</v>
          </cell>
        </row>
        <row r="8482">
          <cell r="D8482">
            <v>10880032944</v>
          </cell>
        </row>
        <row r="8483">
          <cell r="D8483">
            <v>10880032939</v>
          </cell>
        </row>
        <row r="8484">
          <cell r="D8484">
            <v>10880035754</v>
          </cell>
        </row>
        <row r="8485">
          <cell r="D8485">
            <v>10880036503</v>
          </cell>
        </row>
        <row r="8486">
          <cell r="D8486">
            <v>10880036504</v>
          </cell>
        </row>
        <row r="8487">
          <cell r="D8487">
            <v>10880031020</v>
          </cell>
        </row>
        <row r="8488">
          <cell r="D8488">
            <v>10880031020</v>
          </cell>
        </row>
        <row r="8489">
          <cell r="D8489">
            <v>10400030646</v>
          </cell>
        </row>
        <row r="8490">
          <cell r="D8490">
            <v>10880035441</v>
          </cell>
        </row>
        <row r="8491">
          <cell r="D8491">
            <v>10880036498</v>
          </cell>
        </row>
        <row r="8492">
          <cell r="D8492">
            <v>10880036489</v>
          </cell>
        </row>
        <row r="8493">
          <cell r="D8493">
            <v>10880020677</v>
          </cell>
        </row>
        <row r="8494">
          <cell r="D8494">
            <v>10880020940</v>
          </cell>
        </row>
        <row r="8495">
          <cell r="D8495">
            <v>10880030742</v>
          </cell>
        </row>
        <row r="8496">
          <cell r="D8496">
            <v>10880030738</v>
          </cell>
        </row>
        <row r="8497">
          <cell r="D8497">
            <v>10880030734</v>
          </cell>
        </row>
        <row r="8498">
          <cell r="D8498">
            <v>10880037023</v>
          </cell>
        </row>
        <row r="8499">
          <cell r="D8499">
            <v>10400031868</v>
          </cell>
        </row>
        <row r="8500">
          <cell r="D8500">
            <v>10880037022</v>
          </cell>
        </row>
        <row r="8501">
          <cell r="D8501">
            <v>10400031867</v>
          </cell>
        </row>
        <row r="8502">
          <cell r="D8502">
            <v>10880035984</v>
          </cell>
        </row>
        <row r="8503">
          <cell r="D8503">
            <v>10880034669</v>
          </cell>
        </row>
        <row r="8504">
          <cell r="D8504">
            <v>10880034251</v>
          </cell>
        </row>
        <row r="8505">
          <cell r="D8505">
            <v>10880035543</v>
          </cell>
        </row>
        <row r="8506">
          <cell r="D8506">
            <v>10880020048</v>
          </cell>
        </row>
        <row r="8507">
          <cell r="D8507">
            <v>10880020556</v>
          </cell>
        </row>
        <row r="8508">
          <cell r="D8508">
            <v>10880036432</v>
          </cell>
        </row>
        <row r="8509">
          <cell r="D8509">
            <v>10880022123</v>
          </cell>
        </row>
        <row r="8510">
          <cell r="D8510">
            <v>10880033605</v>
          </cell>
        </row>
        <row r="8511">
          <cell r="D8511">
            <v>10880033564</v>
          </cell>
        </row>
        <row r="8512">
          <cell r="D8512">
            <v>10880021345</v>
          </cell>
        </row>
        <row r="8513">
          <cell r="D8513">
            <v>10880036721</v>
          </cell>
        </row>
        <row r="8514">
          <cell r="D8514">
            <v>40880000587</v>
          </cell>
        </row>
        <row r="8515">
          <cell r="D8515">
            <v>10880036362</v>
          </cell>
        </row>
        <row r="8516">
          <cell r="D8516">
            <v>10880036363</v>
          </cell>
        </row>
        <row r="8517">
          <cell r="D8517">
            <v>10880031139</v>
          </cell>
        </row>
        <row r="8518">
          <cell r="D8518">
            <v>10880030608</v>
          </cell>
        </row>
        <row r="8519">
          <cell r="D8519">
            <v>10880033996</v>
          </cell>
        </row>
        <row r="8520">
          <cell r="D8520">
            <v>10880033533</v>
          </cell>
        </row>
        <row r="8521">
          <cell r="D8521">
            <v>10880033535</v>
          </cell>
        </row>
        <row r="8522">
          <cell r="D8522">
            <v>10880017536</v>
          </cell>
        </row>
        <row r="8523">
          <cell r="D8523">
            <v>10880028307</v>
          </cell>
        </row>
        <row r="8524">
          <cell r="D8524">
            <v>10880033692</v>
          </cell>
        </row>
        <row r="8525">
          <cell r="D8525">
            <v>10880035126</v>
          </cell>
        </row>
        <row r="8526">
          <cell r="D8526">
            <v>10880020275</v>
          </cell>
        </row>
        <row r="8527">
          <cell r="D8527">
            <v>10880036325</v>
          </cell>
        </row>
        <row r="8528">
          <cell r="D8528">
            <v>10880037671</v>
          </cell>
        </row>
        <row r="8529">
          <cell r="D8529">
            <v>10880035754</v>
          </cell>
        </row>
        <row r="8530">
          <cell r="D8530">
            <v>10400030739</v>
          </cell>
        </row>
        <row r="8531">
          <cell r="D8531">
            <v>10400030646</v>
          </cell>
        </row>
        <row r="8532">
          <cell r="D8532">
            <v>10400030646</v>
          </cell>
        </row>
        <row r="8533">
          <cell r="D8533">
            <v>10400029072</v>
          </cell>
        </row>
        <row r="8534">
          <cell r="D8534">
            <v>10880035315</v>
          </cell>
        </row>
        <row r="8535">
          <cell r="D8535">
            <v>10880035441</v>
          </cell>
        </row>
        <row r="8536">
          <cell r="D8536">
            <v>10880030976</v>
          </cell>
        </row>
        <row r="8537">
          <cell r="D8537">
            <v>10880033279</v>
          </cell>
        </row>
        <row r="8538">
          <cell r="D8538">
            <v>10880029957</v>
          </cell>
        </row>
        <row r="8539">
          <cell r="D8539">
            <v>10880020187</v>
          </cell>
        </row>
        <row r="8540">
          <cell r="D8540">
            <v>10880022406</v>
          </cell>
        </row>
        <row r="8541">
          <cell r="D8541">
            <v>10880037178</v>
          </cell>
        </row>
        <row r="8542">
          <cell r="D8542">
            <v>10880037179</v>
          </cell>
        </row>
        <row r="8543">
          <cell r="D8543">
            <v>10880033855</v>
          </cell>
        </row>
        <row r="8544">
          <cell r="D8544">
            <v>10880037204</v>
          </cell>
        </row>
        <row r="8545">
          <cell r="D8545">
            <v>10880034142</v>
          </cell>
        </row>
        <row r="8546">
          <cell r="D8546">
            <v>10880033661</v>
          </cell>
        </row>
        <row r="8547">
          <cell r="D8547">
            <v>10880037670</v>
          </cell>
        </row>
        <row r="8548">
          <cell r="D8548">
            <v>10880031183</v>
          </cell>
        </row>
        <row r="8549">
          <cell r="D8549">
            <v>10880037969</v>
          </cell>
        </row>
        <row r="8550">
          <cell r="D8550">
            <v>10880037971</v>
          </cell>
        </row>
        <row r="8551">
          <cell r="D8551">
            <v>10880022123</v>
          </cell>
        </row>
        <row r="8552">
          <cell r="D8552">
            <v>10880033720</v>
          </cell>
        </row>
        <row r="8553">
          <cell r="D8553">
            <v>10880034417</v>
          </cell>
        </row>
        <row r="8554">
          <cell r="D8554">
            <v>10880035407</v>
          </cell>
        </row>
        <row r="8555">
          <cell r="D8555">
            <v>10880031011</v>
          </cell>
        </row>
        <row r="8556">
          <cell r="D8556">
            <v>10880031760</v>
          </cell>
        </row>
        <row r="8557">
          <cell r="D8557">
            <v>10880036207</v>
          </cell>
        </row>
        <row r="8558">
          <cell r="D8558">
            <v>10400031120</v>
          </cell>
        </row>
        <row r="8559">
          <cell r="D8559">
            <v>10400031098</v>
          </cell>
        </row>
        <row r="8560">
          <cell r="D8560">
            <v>10880036495</v>
          </cell>
        </row>
        <row r="8561">
          <cell r="D8561">
            <v>10880031242</v>
          </cell>
        </row>
        <row r="8562">
          <cell r="D8562">
            <v>10880031243</v>
          </cell>
        </row>
        <row r="8563">
          <cell r="D8563">
            <v>10880035441</v>
          </cell>
        </row>
        <row r="8564">
          <cell r="D8564">
            <v>10880022471</v>
          </cell>
        </row>
        <row r="8565">
          <cell r="D8565">
            <v>10880035166</v>
          </cell>
        </row>
        <row r="8566">
          <cell r="D8566">
            <v>10880030545</v>
          </cell>
        </row>
        <row r="8567">
          <cell r="D8567">
            <v>10880030545</v>
          </cell>
        </row>
        <row r="8568">
          <cell r="D8568">
            <v>10880031020</v>
          </cell>
        </row>
        <row r="8569">
          <cell r="D8569">
            <v>10880034622</v>
          </cell>
        </row>
        <row r="8570">
          <cell r="D8570">
            <v>10880035984</v>
          </cell>
        </row>
        <row r="8571">
          <cell r="D8571">
            <v>10880036366</v>
          </cell>
        </row>
        <row r="8572">
          <cell r="D8572">
            <v>10880036058</v>
          </cell>
        </row>
        <row r="8573">
          <cell r="D8573">
            <v>10400030958</v>
          </cell>
        </row>
        <row r="8574">
          <cell r="D8574">
            <v>10400030543</v>
          </cell>
        </row>
        <row r="8575">
          <cell r="D8575">
            <v>10880037022</v>
          </cell>
        </row>
        <row r="8576">
          <cell r="D8576">
            <v>10880036458</v>
          </cell>
        </row>
        <row r="8577">
          <cell r="D8577">
            <v>10880036458</v>
          </cell>
        </row>
        <row r="8578">
          <cell r="D8578">
            <v>10400031867</v>
          </cell>
        </row>
        <row r="8579">
          <cell r="D8579">
            <v>10400031068</v>
          </cell>
        </row>
        <row r="8580">
          <cell r="D8580">
            <v>10400031068</v>
          </cell>
        </row>
        <row r="8581">
          <cell r="D8581">
            <v>10880033661</v>
          </cell>
        </row>
        <row r="8582">
          <cell r="D8582">
            <v>10880017949</v>
          </cell>
        </row>
        <row r="8583">
          <cell r="D8583">
            <v>10880036479</v>
          </cell>
        </row>
        <row r="8584">
          <cell r="D8584">
            <v>10400030737</v>
          </cell>
        </row>
        <row r="8585">
          <cell r="D8585">
            <v>10880030432</v>
          </cell>
        </row>
        <row r="8586">
          <cell r="D8586">
            <v>10400030646</v>
          </cell>
        </row>
        <row r="8587">
          <cell r="D8587">
            <v>10880035982</v>
          </cell>
        </row>
        <row r="8588">
          <cell r="D8588">
            <v>10880017516</v>
          </cell>
        </row>
        <row r="8589">
          <cell r="D8589">
            <v>10880034619</v>
          </cell>
        </row>
        <row r="8590">
          <cell r="D8590">
            <v>10880019240</v>
          </cell>
        </row>
        <row r="8591">
          <cell r="D8591">
            <v>10880036721</v>
          </cell>
        </row>
        <row r="8592">
          <cell r="D8592">
            <v>10880035045</v>
          </cell>
        </row>
        <row r="8593">
          <cell r="D8593">
            <v>10400029151</v>
          </cell>
        </row>
        <row r="8594">
          <cell r="D8594">
            <v>10400029152</v>
          </cell>
        </row>
        <row r="8595">
          <cell r="D8595">
            <v>10880036350</v>
          </cell>
        </row>
        <row r="8596">
          <cell r="D8596">
            <v>10880036350</v>
          </cell>
        </row>
        <row r="8597">
          <cell r="D8597">
            <v>10880033584</v>
          </cell>
        </row>
        <row r="8598">
          <cell r="D8598">
            <v>10880034142</v>
          </cell>
        </row>
        <row r="8599">
          <cell r="D8599">
            <v>10880034142</v>
          </cell>
        </row>
        <row r="8600">
          <cell r="D8600">
            <v>10880033692</v>
          </cell>
        </row>
        <row r="8601">
          <cell r="D8601">
            <v>10880017949</v>
          </cell>
        </row>
        <row r="8602">
          <cell r="D8602">
            <v>10880031304</v>
          </cell>
        </row>
        <row r="8603">
          <cell r="D8603">
            <v>10880033217</v>
          </cell>
        </row>
        <row r="8604">
          <cell r="D8604">
            <v>10880022123</v>
          </cell>
        </row>
        <row r="8605">
          <cell r="D8605">
            <v>10880035754</v>
          </cell>
        </row>
        <row r="8606">
          <cell r="D8606">
            <v>10400030641</v>
          </cell>
        </row>
        <row r="8607">
          <cell r="D8607">
            <v>10400029072</v>
          </cell>
        </row>
        <row r="8608">
          <cell r="D8608">
            <v>10400030646</v>
          </cell>
        </row>
        <row r="8609">
          <cell r="D8609">
            <v>10880036434</v>
          </cell>
        </row>
        <row r="8610">
          <cell r="D8610">
            <v>10880035982</v>
          </cell>
        </row>
        <row r="8611">
          <cell r="D8611">
            <v>10880037379</v>
          </cell>
        </row>
        <row r="8612">
          <cell r="D8612">
            <v>10880020637</v>
          </cell>
        </row>
        <row r="8613">
          <cell r="D8613">
            <v>10880019777</v>
          </cell>
        </row>
        <row r="8614">
          <cell r="D8614">
            <v>10880033535</v>
          </cell>
        </row>
        <row r="8615">
          <cell r="D8615">
            <v>10880032945</v>
          </cell>
        </row>
        <row r="8616">
          <cell r="D8616">
            <v>10880033692</v>
          </cell>
        </row>
        <row r="8617">
          <cell r="D8617">
            <v>10880033689</v>
          </cell>
        </row>
        <row r="8618">
          <cell r="D8618">
            <v>10880033690</v>
          </cell>
        </row>
        <row r="8619">
          <cell r="D8619">
            <v>10880033661</v>
          </cell>
        </row>
        <row r="8620">
          <cell r="D8620">
            <v>10880022123</v>
          </cell>
        </row>
        <row r="8621">
          <cell r="D8621">
            <v>10880033325</v>
          </cell>
        </row>
        <row r="8622">
          <cell r="D8622">
            <v>10880033785</v>
          </cell>
        </row>
        <row r="8623">
          <cell r="D8623">
            <v>10880036206</v>
          </cell>
        </row>
        <row r="8624">
          <cell r="D8624">
            <v>10400030739</v>
          </cell>
        </row>
        <row r="8625">
          <cell r="D8625">
            <v>10400031117</v>
          </cell>
        </row>
        <row r="8626">
          <cell r="D8626">
            <v>10400030646</v>
          </cell>
        </row>
        <row r="8627">
          <cell r="D8627">
            <v>10880036434</v>
          </cell>
        </row>
        <row r="8628">
          <cell r="D8628">
            <v>10880037379</v>
          </cell>
        </row>
        <row r="8629">
          <cell r="D8629">
            <v>10400029151</v>
          </cell>
        </row>
        <row r="8630">
          <cell r="D8630">
            <v>10400029152</v>
          </cell>
        </row>
        <row r="8631">
          <cell r="D8631">
            <v>10880035045</v>
          </cell>
        </row>
        <row r="8632">
          <cell r="D8632">
            <v>10880032943</v>
          </cell>
        </row>
        <row r="8633">
          <cell r="D8633">
            <v>10880037205</v>
          </cell>
        </row>
        <row r="8634">
          <cell r="D8634">
            <v>10880033584</v>
          </cell>
        </row>
        <row r="8635">
          <cell r="D8635">
            <v>10880036489</v>
          </cell>
        </row>
        <row r="8636">
          <cell r="D8636">
            <v>10880036707</v>
          </cell>
        </row>
        <row r="8637">
          <cell r="D8637">
            <v>10880036704</v>
          </cell>
        </row>
        <row r="8638">
          <cell r="D8638">
            <v>10880036706</v>
          </cell>
        </row>
        <row r="8639">
          <cell r="D8639">
            <v>10880036423</v>
          </cell>
        </row>
        <row r="8640">
          <cell r="D8640">
            <v>10880029033</v>
          </cell>
        </row>
        <row r="8641">
          <cell r="D8641">
            <v>10880035754</v>
          </cell>
        </row>
        <row r="8642">
          <cell r="D8642">
            <v>10880035722</v>
          </cell>
        </row>
        <row r="8643">
          <cell r="D8643">
            <v>10880037164</v>
          </cell>
        </row>
        <row r="8644">
          <cell r="D8644">
            <v>10880030004</v>
          </cell>
        </row>
        <row r="8645">
          <cell r="D8645">
            <v>10880036135</v>
          </cell>
        </row>
        <row r="8646">
          <cell r="D8646">
            <v>10880033329</v>
          </cell>
        </row>
        <row r="8647">
          <cell r="D8647">
            <v>10880019240</v>
          </cell>
        </row>
        <row r="8648">
          <cell r="D8648">
            <v>10880037379</v>
          </cell>
        </row>
        <row r="8649">
          <cell r="D8649">
            <v>10880037380</v>
          </cell>
        </row>
        <row r="8650">
          <cell r="D8650">
            <v>10880037368</v>
          </cell>
        </row>
        <row r="8651">
          <cell r="D8651">
            <v>10880034417</v>
          </cell>
        </row>
        <row r="8652">
          <cell r="D8652">
            <v>10880036207</v>
          </cell>
        </row>
        <row r="8653">
          <cell r="D8653">
            <v>10400030641</v>
          </cell>
        </row>
        <row r="8654">
          <cell r="D8654">
            <v>10400029072</v>
          </cell>
        </row>
        <row r="8655">
          <cell r="D8655">
            <v>10880035441</v>
          </cell>
        </row>
        <row r="8656">
          <cell r="D8656">
            <v>10880028469</v>
          </cell>
        </row>
        <row r="8657">
          <cell r="D8657">
            <v>10880036799</v>
          </cell>
        </row>
        <row r="8658">
          <cell r="D8658">
            <v>10880035795</v>
          </cell>
        </row>
        <row r="8659">
          <cell r="D8659">
            <v>10880034669</v>
          </cell>
        </row>
        <row r="8660">
          <cell r="D8660">
            <v>10880036458</v>
          </cell>
        </row>
        <row r="8661">
          <cell r="D8661">
            <v>10400031068</v>
          </cell>
        </row>
        <row r="8662">
          <cell r="D8662">
            <v>10880037198</v>
          </cell>
        </row>
        <row r="8663">
          <cell r="D8663">
            <v>10880037369</v>
          </cell>
        </row>
        <row r="8664">
          <cell r="D8664">
            <v>10880033661</v>
          </cell>
        </row>
        <row r="8665">
          <cell r="D8665">
            <v>10880029033</v>
          </cell>
        </row>
        <row r="8666">
          <cell r="D8666">
            <v>10880031307</v>
          </cell>
        </row>
        <row r="8667">
          <cell r="D8667">
            <v>10880031182</v>
          </cell>
        </row>
        <row r="8668">
          <cell r="D8668">
            <v>10880022123</v>
          </cell>
        </row>
        <row r="8669">
          <cell r="D8669">
            <v>10880035235</v>
          </cell>
        </row>
        <row r="8670">
          <cell r="D8670">
            <v>10400031117</v>
          </cell>
        </row>
        <row r="8671">
          <cell r="D8671">
            <v>10880030545</v>
          </cell>
        </row>
        <row r="8672">
          <cell r="D8672">
            <v>10880031760</v>
          </cell>
        </row>
        <row r="8673">
          <cell r="D8673">
            <v>10880018097</v>
          </cell>
        </row>
        <row r="8674">
          <cell r="D8674">
            <v>10880033487</v>
          </cell>
        </row>
        <row r="8675">
          <cell r="D8675">
            <v>10880033488</v>
          </cell>
        </row>
        <row r="8676">
          <cell r="D8676">
            <v>10880030520</v>
          </cell>
        </row>
        <row r="8677">
          <cell r="D8677">
            <v>10880034669</v>
          </cell>
        </row>
        <row r="8678">
          <cell r="D8678">
            <v>10880030447</v>
          </cell>
        </row>
        <row r="8679">
          <cell r="D8679">
            <v>10880017524</v>
          </cell>
        </row>
        <row r="8680">
          <cell r="D8680">
            <v>10880033584</v>
          </cell>
        </row>
        <row r="8681">
          <cell r="D8681">
            <v>10880017949</v>
          </cell>
        </row>
        <row r="8682">
          <cell r="D8682">
            <v>10880035531</v>
          </cell>
        </row>
        <row r="8683">
          <cell r="D8683">
            <v>10880031185</v>
          </cell>
        </row>
        <row r="8684">
          <cell r="D8684">
            <v>10880036489</v>
          </cell>
        </row>
        <row r="8685">
          <cell r="D8685">
            <v>10880031183</v>
          </cell>
        </row>
        <row r="8686">
          <cell r="D8686">
            <v>10880031184</v>
          </cell>
        </row>
        <row r="8687">
          <cell r="D8687">
            <v>10880031304</v>
          </cell>
        </row>
        <row r="8688">
          <cell r="D8688">
            <v>10880020208</v>
          </cell>
        </row>
        <row r="8689">
          <cell r="D8689">
            <v>10880022123</v>
          </cell>
        </row>
        <row r="8690">
          <cell r="D8690">
            <v>10880037179</v>
          </cell>
        </row>
        <row r="8691">
          <cell r="D8691">
            <v>10880035984</v>
          </cell>
        </row>
        <row r="8692">
          <cell r="D8692">
            <v>10880035379</v>
          </cell>
        </row>
        <row r="8693">
          <cell r="D8693">
            <v>10880033655</v>
          </cell>
        </row>
        <row r="8694">
          <cell r="D8694">
            <v>10880036493</v>
          </cell>
        </row>
        <row r="8695">
          <cell r="D8695">
            <v>10880034622</v>
          </cell>
        </row>
        <row r="8696">
          <cell r="D8696">
            <v>10880030432</v>
          </cell>
        </row>
        <row r="8697">
          <cell r="D8697">
            <v>10400029072</v>
          </cell>
        </row>
        <row r="8698">
          <cell r="D8698">
            <v>10880035265</v>
          </cell>
        </row>
        <row r="8699">
          <cell r="D8699">
            <v>10880037382</v>
          </cell>
        </row>
        <row r="8700">
          <cell r="D8700">
            <v>10880037426</v>
          </cell>
        </row>
        <row r="8701">
          <cell r="D8701">
            <v>10880037205</v>
          </cell>
        </row>
        <row r="8702">
          <cell r="D8702">
            <v>10880020222</v>
          </cell>
        </row>
        <row r="8703">
          <cell r="D8703">
            <v>10880017527</v>
          </cell>
        </row>
        <row r="8704">
          <cell r="D8704">
            <v>10880017516</v>
          </cell>
        </row>
        <row r="8705">
          <cell r="D8705">
            <v>10880017525</v>
          </cell>
        </row>
        <row r="8706">
          <cell r="D8706">
            <v>10880021029</v>
          </cell>
        </row>
        <row r="8707">
          <cell r="D8707">
            <v>10880021416</v>
          </cell>
        </row>
        <row r="8708">
          <cell r="D8708">
            <v>10880033661</v>
          </cell>
        </row>
        <row r="8709">
          <cell r="D8709">
            <v>10880033301</v>
          </cell>
        </row>
        <row r="8710">
          <cell r="D8710">
            <v>10880020678</v>
          </cell>
        </row>
        <row r="8711">
          <cell r="D8711">
            <v>10880033216</v>
          </cell>
        </row>
        <row r="8712">
          <cell r="D8712">
            <v>10880020187</v>
          </cell>
        </row>
        <row r="8713">
          <cell r="D8713">
            <v>10880029958</v>
          </cell>
        </row>
        <row r="8714">
          <cell r="D8714">
            <v>10880035722</v>
          </cell>
        </row>
        <row r="8715">
          <cell r="D8715">
            <v>10880033400</v>
          </cell>
        </row>
        <row r="8716">
          <cell r="D8716">
            <v>10880035754</v>
          </cell>
        </row>
        <row r="8717">
          <cell r="D8717">
            <v>10400029072</v>
          </cell>
        </row>
        <row r="8718">
          <cell r="D8718">
            <v>10400029072</v>
          </cell>
        </row>
        <row r="8719">
          <cell r="D8719">
            <v>10400029072</v>
          </cell>
        </row>
        <row r="8720">
          <cell r="D8720">
            <v>10400029072</v>
          </cell>
        </row>
        <row r="8721">
          <cell r="D8721">
            <v>10400030737</v>
          </cell>
        </row>
        <row r="8722">
          <cell r="D8722">
            <v>10880036493</v>
          </cell>
        </row>
        <row r="8723">
          <cell r="D8723">
            <v>10880028469</v>
          </cell>
        </row>
        <row r="8724">
          <cell r="D8724">
            <v>10880029957</v>
          </cell>
        </row>
        <row r="8725">
          <cell r="D8725">
            <v>10880028307</v>
          </cell>
        </row>
        <row r="8726">
          <cell r="D8726">
            <v>10880036350</v>
          </cell>
        </row>
        <row r="8727">
          <cell r="D8727">
            <v>10880035167</v>
          </cell>
        </row>
        <row r="8728">
          <cell r="D8728">
            <v>10880033690</v>
          </cell>
        </row>
        <row r="8729">
          <cell r="D8729">
            <v>10880033690</v>
          </cell>
        </row>
        <row r="8730">
          <cell r="D8730">
            <v>10880034200</v>
          </cell>
        </row>
        <row r="8731">
          <cell r="D8731">
            <v>10880034142</v>
          </cell>
        </row>
        <row r="8732">
          <cell r="D8732">
            <v>10880030608</v>
          </cell>
        </row>
        <row r="8733">
          <cell r="D8733">
            <v>10880037969</v>
          </cell>
        </row>
        <row r="8734">
          <cell r="D8734">
            <v>10880033720</v>
          </cell>
        </row>
        <row r="8735">
          <cell r="D8735">
            <v>10880033717</v>
          </cell>
        </row>
        <row r="8736">
          <cell r="D8736">
            <v>10400031135</v>
          </cell>
        </row>
        <row r="8737">
          <cell r="D8737">
            <v>10400031137</v>
          </cell>
        </row>
        <row r="8738">
          <cell r="D8738">
            <v>10400031134</v>
          </cell>
        </row>
        <row r="8739">
          <cell r="D8739">
            <v>10400029072</v>
          </cell>
        </row>
        <row r="8740">
          <cell r="D8740">
            <v>10400030646</v>
          </cell>
        </row>
        <row r="8741">
          <cell r="D8741">
            <v>10400030646</v>
          </cell>
        </row>
        <row r="8742">
          <cell r="D8742">
            <v>10400030197</v>
          </cell>
        </row>
        <row r="8743">
          <cell r="D8743">
            <v>10400030197</v>
          </cell>
        </row>
        <row r="8744">
          <cell r="D8744">
            <v>10400030194</v>
          </cell>
        </row>
        <row r="8745">
          <cell r="D8745">
            <v>10880032708</v>
          </cell>
        </row>
        <row r="8746">
          <cell r="D8746">
            <v>10880032708</v>
          </cell>
        </row>
        <row r="8747">
          <cell r="D8747">
            <v>10880030545</v>
          </cell>
        </row>
        <row r="8748">
          <cell r="D8748">
            <v>10880032692</v>
          </cell>
        </row>
        <row r="8749">
          <cell r="D8749">
            <v>10880032694</v>
          </cell>
        </row>
        <row r="8750">
          <cell r="D8750">
            <v>10880033564</v>
          </cell>
        </row>
        <row r="8751">
          <cell r="D8751">
            <v>10880033605</v>
          </cell>
        </row>
        <row r="8752">
          <cell r="D8752">
            <v>10880035441</v>
          </cell>
        </row>
        <row r="8753">
          <cell r="D8753">
            <v>10880032885</v>
          </cell>
        </row>
        <row r="8754">
          <cell r="D8754">
            <v>10880033911</v>
          </cell>
        </row>
        <row r="8755">
          <cell r="D8755">
            <v>10880036366</v>
          </cell>
        </row>
        <row r="8756">
          <cell r="D8756">
            <v>10400030958</v>
          </cell>
        </row>
        <row r="8757">
          <cell r="D8757">
            <v>10880035167</v>
          </cell>
        </row>
        <row r="8758">
          <cell r="D8758">
            <v>10880028306</v>
          </cell>
        </row>
        <row r="8759">
          <cell r="D8759">
            <v>10880034142</v>
          </cell>
        </row>
        <row r="8760">
          <cell r="D8760">
            <v>10880033690</v>
          </cell>
        </row>
        <row r="8761">
          <cell r="D8761">
            <v>10880036432</v>
          </cell>
        </row>
        <row r="8762">
          <cell r="D8762">
            <v>10880036348</v>
          </cell>
        </row>
        <row r="8763">
          <cell r="D8763">
            <v>10880031570</v>
          </cell>
        </row>
        <row r="8764">
          <cell r="D8764">
            <v>10880033785</v>
          </cell>
        </row>
        <row r="8765">
          <cell r="D8765">
            <v>10880037374</v>
          </cell>
        </row>
        <row r="8766">
          <cell r="D8766">
            <v>10880036505</v>
          </cell>
        </row>
        <row r="8767">
          <cell r="D8767">
            <v>10400030735</v>
          </cell>
        </row>
        <row r="8768">
          <cell r="D8768">
            <v>10880036205</v>
          </cell>
        </row>
        <row r="8769">
          <cell r="D8769">
            <v>10400031126</v>
          </cell>
        </row>
        <row r="8770">
          <cell r="D8770">
            <v>10400030739</v>
          </cell>
        </row>
        <row r="8771">
          <cell r="D8771">
            <v>10400029072</v>
          </cell>
        </row>
        <row r="8772">
          <cell r="D8772">
            <v>10400029072</v>
          </cell>
        </row>
        <row r="8773">
          <cell r="D8773">
            <v>10400030493</v>
          </cell>
        </row>
        <row r="8774">
          <cell r="D8774">
            <v>10880034622</v>
          </cell>
        </row>
        <row r="8775">
          <cell r="D8775">
            <v>10880036020</v>
          </cell>
        </row>
        <row r="8776">
          <cell r="D8776">
            <v>10880035795</v>
          </cell>
        </row>
        <row r="8777">
          <cell r="D8777">
            <v>10880036205</v>
          </cell>
        </row>
        <row r="8778">
          <cell r="D8778">
            <v>10880035265</v>
          </cell>
        </row>
        <row r="8779">
          <cell r="D8779">
            <v>10880036423</v>
          </cell>
        </row>
        <row r="8780">
          <cell r="D8780">
            <v>10880037262</v>
          </cell>
        </row>
        <row r="8781">
          <cell r="D8781">
            <v>10880037617</v>
          </cell>
        </row>
        <row r="8782">
          <cell r="D8782">
            <v>10880034629</v>
          </cell>
        </row>
        <row r="8783">
          <cell r="D8783">
            <v>10880030920</v>
          </cell>
        </row>
        <row r="8784">
          <cell r="D8784">
            <v>10880028306</v>
          </cell>
        </row>
        <row r="8785">
          <cell r="D8785">
            <v>10880036350</v>
          </cell>
        </row>
        <row r="8786">
          <cell r="D8786">
            <v>10880033692</v>
          </cell>
        </row>
        <row r="8787">
          <cell r="D8787">
            <v>10880031161</v>
          </cell>
        </row>
        <row r="8788">
          <cell r="D8788">
            <v>10880030320</v>
          </cell>
        </row>
        <row r="8789">
          <cell r="D8789">
            <v>10880036760</v>
          </cell>
        </row>
        <row r="8790">
          <cell r="D8790">
            <v>10880029033</v>
          </cell>
        </row>
        <row r="8791">
          <cell r="D8791">
            <v>10880029033</v>
          </cell>
        </row>
        <row r="8792">
          <cell r="D8792">
            <v>10880035983</v>
          </cell>
        </row>
        <row r="8793">
          <cell r="D8793">
            <v>10880036929</v>
          </cell>
        </row>
        <row r="8794">
          <cell r="D8794">
            <v>10880036930</v>
          </cell>
        </row>
        <row r="8795">
          <cell r="D8795">
            <v>10880035754</v>
          </cell>
        </row>
        <row r="8796">
          <cell r="D8796">
            <v>10880033655</v>
          </cell>
        </row>
        <row r="8797">
          <cell r="D8797">
            <v>10400029072</v>
          </cell>
        </row>
        <row r="8798">
          <cell r="D8798">
            <v>10880035265</v>
          </cell>
        </row>
        <row r="8799">
          <cell r="D8799">
            <v>10880033487</v>
          </cell>
        </row>
        <row r="8800">
          <cell r="D8800">
            <v>10880033488</v>
          </cell>
        </row>
        <row r="8801">
          <cell r="D8801">
            <v>10880034669</v>
          </cell>
        </row>
        <row r="8802">
          <cell r="D8802">
            <v>10880022406</v>
          </cell>
        </row>
        <row r="8803">
          <cell r="D8803">
            <v>10880030620</v>
          </cell>
        </row>
        <row r="8804">
          <cell r="D8804">
            <v>10880031072</v>
          </cell>
        </row>
        <row r="8805">
          <cell r="D8805">
            <v>10880031072</v>
          </cell>
        </row>
        <row r="8806">
          <cell r="D8806">
            <v>10880028881</v>
          </cell>
        </row>
        <row r="8807">
          <cell r="D8807">
            <v>10880033661</v>
          </cell>
        </row>
        <row r="8808">
          <cell r="D8808">
            <v>10880020048</v>
          </cell>
        </row>
        <row r="8809">
          <cell r="D8809">
            <v>10880017949</v>
          </cell>
        </row>
        <row r="8810">
          <cell r="D8810">
            <v>10880017949</v>
          </cell>
        </row>
        <row r="8811">
          <cell r="D8811">
            <v>10880022123</v>
          </cell>
        </row>
        <row r="8812">
          <cell r="D8812">
            <v>10400031098</v>
          </cell>
        </row>
        <row r="8813">
          <cell r="D8813">
            <v>10400030639</v>
          </cell>
        </row>
        <row r="8814">
          <cell r="D8814">
            <v>10400031607</v>
          </cell>
        </row>
        <row r="8815">
          <cell r="D8815">
            <v>10880034619</v>
          </cell>
        </row>
        <row r="8816">
          <cell r="D8816">
            <v>10880036020</v>
          </cell>
        </row>
        <row r="8817">
          <cell r="D8817">
            <v>10880036135</v>
          </cell>
        </row>
        <row r="8818">
          <cell r="D8818">
            <v>10880036206</v>
          </cell>
        </row>
        <row r="8819">
          <cell r="D8819">
            <v>10880036504</v>
          </cell>
        </row>
        <row r="8820">
          <cell r="D8820">
            <v>10880036503</v>
          </cell>
        </row>
        <row r="8821">
          <cell r="D8821">
            <v>10880034619</v>
          </cell>
        </row>
        <row r="8822">
          <cell r="D8822">
            <v>10880036499</v>
          </cell>
        </row>
        <row r="8823">
          <cell r="D8823">
            <v>10880034946</v>
          </cell>
        </row>
        <row r="8824">
          <cell r="D8824">
            <v>10880036480</v>
          </cell>
        </row>
        <row r="8825">
          <cell r="D8825">
            <v>10880035653</v>
          </cell>
        </row>
        <row r="8826">
          <cell r="D8826">
            <v>10880030450</v>
          </cell>
        </row>
        <row r="8827">
          <cell r="D8827">
            <v>10880033564</v>
          </cell>
        </row>
        <row r="8828">
          <cell r="D8828">
            <v>10880030519</v>
          </cell>
        </row>
        <row r="8829">
          <cell r="D8829">
            <v>10880032885</v>
          </cell>
        </row>
        <row r="8830">
          <cell r="D8830">
            <v>10880036458</v>
          </cell>
        </row>
        <row r="8831">
          <cell r="D8831">
            <v>10400031068</v>
          </cell>
        </row>
        <row r="8832">
          <cell r="D8832">
            <v>10880037022</v>
          </cell>
        </row>
        <row r="8833">
          <cell r="D8833">
            <v>10400031867</v>
          </cell>
        </row>
        <row r="8834">
          <cell r="D8834">
            <v>10880031096</v>
          </cell>
        </row>
        <row r="8835">
          <cell r="D8835">
            <v>10880032945</v>
          </cell>
        </row>
        <row r="8836">
          <cell r="D8836">
            <v>10880033325</v>
          </cell>
        </row>
        <row r="8837">
          <cell r="D8837">
            <v>10880033692</v>
          </cell>
        </row>
        <row r="8838">
          <cell r="D8838">
            <v>10880033661</v>
          </cell>
        </row>
        <row r="8839">
          <cell r="D8839">
            <v>10880036432</v>
          </cell>
        </row>
        <row r="8840">
          <cell r="D8840">
            <v>10880037036</v>
          </cell>
        </row>
        <row r="8841">
          <cell r="D8841">
            <v>10880033996</v>
          </cell>
        </row>
        <row r="8842">
          <cell r="D8842">
            <v>10880035984</v>
          </cell>
        </row>
        <row r="8843">
          <cell r="D8843">
            <v>10880034417</v>
          </cell>
        </row>
        <row r="8844">
          <cell r="D8844">
            <v>10880033720</v>
          </cell>
        </row>
        <row r="8845">
          <cell r="D8845">
            <v>10880036207</v>
          </cell>
        </row>
        <row r="8846">
          <cell r="D8846">
            <v>10880036479</v>
          </cell>
        </row>
        <row r="8847">
          <cell r="D8847">
            <v>10880030545</v>
          </cell>
        </row>
        <row r="8848">
          <cell r="D8848">
            <v>10400033234</v>
          </cell>
        </row>
        <row r="8849">
          <cell r="D8849">
            <v>10880034669</v>
          </cell>
        </row>
        <row r="8850">
          <cell r="D8850">
            <v>10880017525</v>
          </cell>
        </row>
        <row r="8851">
          <cell r="D8851">
            <v>10880033301</v>
          </cell>
        </row>
        <row r="8852">
          <cell r="D8852">
            <v>10880036337</v>
          </cell>
        </row>
        <row r="8853">
          <cell r="D8853">
            <v>10880037503</v>
          </cell>
        </row>
        <row r="8854">
          <cell r="D8854">
            <v>10880036424</v>
          </cell>
        </row>
        <row r="8855">
          <cell r="D8855">
            <v>10880036707</v>
          </cell>
        </row>
        <row r="8856">
          <cell r="D8856">
            <v>10880035531</v>
          </cell>
        </row>
        <row r="8857">
          <cell r="D8857">
            <v>10880031242</v>
          </cell>
        </row>
        <row r="8858">
          <cell r="D8858">
            <v>10880031243</v>
          </cell>
        </row>
        <row r="8859">
          <cell r="D8859">
            <v>10880033655</v>
          </cell>
        </row>
        <row r="8860">
          <cell r="D8860">
            <v>10400030735</v>
          </cell>
        </row>
        <row r="8861">
          <cell r="D8861">
            <v>10880036134</v>
          </cell>
        </row>
        <row r="8862">
          <cell r="D8862">
            <v>10880036852</v>
          </cell>
        </row>
        <row r="8863">
          <cell r="D8863">
            <v>10400030646</v>
          </cell>
        </row>
        <row r="8864">
          <cell r="D8864">
            <v>10400029072</v>
          </cell>
        </row>
        <row r="8865">
          <cell r="D8865">
            <v>10400031134</v>
          </cell>
        </row>
        <row r="8866">
          <cell r="D8866">
            <v>10400029072</v>
          </cell>
        </row>
        <row r="8867">
          <cell r="D8867">
            <v>10880031020</v>
          </cell>
        </row>
        <row r="8868">
          <cell r="D8868">
            <v>10880035441</v>
          </cell>
        </row>
        <row r="8869">
          <cell r="D8869">
            <v>10880036480</v>
          </cell>
        </row>
        <row r="8870">
          <cell r="D8870">
            <v>10880030520</v>
          </cell>
        </row>
        <row r="8871">
          <cell r="D8871">
            <v>10880036364</v>
          </cell>
        </row>
        <row r="8872">
          <cell r="D8872">
            <v>10400030956</v>
          </cell>
        </row>
        <row r="8873">
          <cell r="D8873">
            <v>10400033234</v>
          </cell>
        </row>
        <row r="8874">
          <cell r="D8874">
            <v>10880037047</v>
          </cell>
        </row>
        <row r="8875">
          <cell r="D8875">
            <v>10880037036</v>
          </cell>
        </row>
        <row r="8876">
          <cell r="D8876">
            <v>10880035984</v>
          </cell>
        </row>
        <row r="8877">
          <cell r="D8877">
            <v>10880035984</v>
          </cell>
        </row>
        <row r="8878">
          <cell r="D8878">
            <v>10880035045</v>
          </cell>
        </row>
        <row r="8879">
          <cell r="D8879">
            <v>10400029151</v>
          </cell>
        </row>
        <row r="8880">
          <cell r="D8880">
            <v>10880020222</v>
          </cell>
        </row>
        <row r="8881">
          <cell r="D8881">
            <v>10880037201</v>
          </cell>
        </row>
        <row r="8882">
          <cell r="D8882">
            <v>10880033785</v>
          </cell>
        </row>
        <row r="8883">
          <cell r="D8883">
            <v>10880033690</v>
          </cell>
        </row>
        <row r="8884">
          <cell r="D8884">
            <v>10880022123</v>
          </cell>
        </row>
        <row r="8885">
          <cell r="D8885">
            <v>10880035754</v>
          </cell>
        </row>
        <row r="8886">
          <cell r="D8886">
            <v>10400030739</v>
          </cell>
        </row>
        <row r="8887">
          <cell r="D8887">
            <v>10400030737</v>
          </cell>
        </row>
        <row r="8888">
          <cell r="D8888">
            <v>10880030545</v>
          </cell>
        </row>
        <row r="8889">
          <cell r="D8889">
            <v>10880031011</v>
          </cell>
        </row>
        <row r="8890">
          <cell r="D8890">
            <v>10880032697</v>
          </cell>
        </row>
        <row r="8891">
          <cell r="D8891">
            <v>10880035265</v>
          </cell>
        </row>
        <row r="8892">
          <cell r="D8892">
            <v>10880036498</v>
          </cell>
        </row>
        <row r="8893">
          <cell r="D8893">
            <v>10400029152</v>
          </cell>
        </row>
        <row r="8894">
          <cell r="D8894">
            <v>10880036364</v>
          </cell>
        </row>
        <row r="8895">
          <cell r="D8895">
            <v>10400030956</v>
          </cell>
        </row>
        <row r="8896">
          <cell r="D8896">
            <v>10880035983</v>
          </cell>
        </row>
        <row r="8897">
          <cell r="D8897">
            <v>10880035983</v>
          </cell>
        </row>
        <row r="8898">
          <cell r="D8898">
            <v>10880037178</v>
          </cell>
        </row>
        <row r="8899">
          <cell r="D8899">
            <v>10880037047</v>
          </cell>
        </row>
        <row r="8900">
          <cell r="D8900">
            <v>10880037047</v>
          </cell>
        </row>
        <row r="8901">
          <cell r="D8901">
            <v>10880033535</v>
          </cell>
        </row>
        <row r="8902">
          <cell r="D8902">
            <v>10880031871</v>
          </cell>
        </row>
        <row r="8903">
          <cell r="D8903">
            <v>10880037199</v>
          </cell>
        </row>
        <row r="8904">
          <cell r="D8904">
            <v>10880032943</v>
          </cell>
        </row>
        <row r="8905">
          <cell r="D8905">
            <v>10880036513</v>
          </cell>
        </row>
        <row r="8906">
          <cell r="D8906">
            <v>10880036514</v>
          </cell>
        </row>
        <row r="8907">
          <cell r="D8907">
            <v>10880030203</v>
          </cell>
        </row>
        <row r="8908">
          <cell r="D8908">
            <v>10880036489</v>
          </cell>
        </row>
        <row r="8909">
          <cell r="D8909">
            <v>10880033325</v>
          </cell>
        </row>
        <row r="8910">
          <cell r="D8910">
            <v>10880034251</v>
          </cell>
        </row>
        <row r="8911">
          <cell r="D8911">
            <v>10880035409</v>
          </cell>
        </row>
        <row r="8912">
          <cell r="D8912">
            <v>10880020208</v>
          </cell>
        </row>
        <row r="8913">
          <cell r="D8913">
            <v>10880030596</v>
          </cell>
        </row>
        <row r="8914">
          <cell r="D8914">
            <v>10880036721</v>
          </cell>
        </row>
        <row r="8915">
          <cell r="D8915">
            <v>10880035722</v>
          </cell>
        </row>
        <row r="8916">
          <cell r="D8916">
            <v>10880037165</v>
          </cell>
        </row>
        <row r="8917">
          <cell r="D8917">
            <v>10880033655</v>
          </cell>
        </row>
        <row r="8918">
          <cell r="D8918">
            <v>10880036205</v>
          </cell>
        </row>
        <row r="8919">
          <cell r="D8919">
            <v>10880036207</v>
          </cell>
        </row>
        <row r="8920">
          <cell r="D8920">
            <v>10880036503</v>
          </cell>
        </row>
        <row r="8921">
          <cell r="D8921">
            <v>10400029072</v>
          </cell>
        </row>
        <row r="8922">
          <cell r="D8922">
            <v>10400031118</v>
          </cell>
        </row>
        <row r="8923">
          <cell r="D8923">
            <v>10400030646</v>
          </cell>
        </row>
        <row r="8924">
          <cell r="D8924">
            <v>10880032698</v>
          </cell>
        </row>
        <row r="8925">
          <cell r="D8925">
            <v>10880034622</v>
          </cell>
        </row>
        <row r="8926">
          <cell r="D8926">
            <v>10880030545</v>
          </cell>
        </row>
        <row r="8927">
          <cell r="D8927">
            <v>10880030550</v>
          </cell>
        </row>
        <row r="8928">
          <cell r="D8928">
            <v>10880035265</v>
          </cell>
        </row>
        <row r="8929">
          <cell r="D8929">
            <v>10880030520</v>
          </cell>
        </row>
        <row r="8930">
          <cell r="D8930">
            <v>10880033996</v>
          </cell>
        </row>
        <row r="8931">
          <cell r="D8931">
            <v>10880036366</v>
          </cell>
        </row>
        <row r="8932">
          <cell r="D8932">
            <v>10400030958</v>
          </cell>
        </row>
        <row r="8933">
          <cell r="D8933">
            <v>10880037503</v>
          </cell>
        </row>
        <row r="8934">
          <cell r="D8934">
            <v>10880018097</v>
          </cell>
        </row>
        <row r="8935">
          <cell r="D8935">
            <v>10880020031</v>
          </cell>
        </row>
        <row r="8936">
          <cell r="D8936">
            <v>10880020031</v>
          </cell>
        </row>
        <row r="8937">
          <cell r="D8937">
            <v>10880030203</v>
          </cell>
        </row>
        <row r="8938">
          <cell r="D8938">
            <v>10880036350</v>
          </cell>
        </row>
        <row r="8939">
          <cell r="D8939">
            <v>10880035754</v>
          </cell>
        </row>
        <row r="8940">
          <cell r="D8940">
            <v>10880035754</v>
          </cell>
        </row>
        <row r="8941">
          <cell r="D8941">
            <v>10880030432</v>
          </cell>
        </row>
        <row r="8942">
          <cell r="D8942">
            <v>10880036206</v>
          </cell>
        </row>
        <row r="8943">
          <cell r="D8943">
            <v>10880034619</v>
          </cell>
        </row>
        <row r="8944">
          <cell r="D8944">
            <v>10880030545</v>
          </cell>
        </row>
        <row r="8945">
          <cell r="D8945">
            <v>10880033329</v>
          </cell>
        </row>
        <row r="8946">
          <cell r="D8946">
            <v>10880037617</v>
          </cell>
        </row>
        <row r="8947">
          <cell r="D8947">
            <v>10880031157</v>
          </cell>
        </row>
        <row r="8948">
          <cell r="D8948">
            <v>10880030320</v>
          </cell>
        </row>
        <row r="8949">
          <cell r="D8949">
            <v>10880030520</v>
          </cell>
        </row>
        <row r="8950">
          <cell r="D8950">
            <v>10880037022</v>
          </cell>
        </row>
        <row r="8951">
          <cell r="D8951">
            <v>10400031867</v>
          </cell>
        </row>
        <row r="8952">
          <cell r="D8952">
            <v>10880034669</v>
          </cell>
        </row>
        <row r="8953">
          <cell r="D8953">
            <v>10400033234</v>
          </cell>
        </row>
        <row r="8954">
          <cell r="D8954">
            <v>10400033234</v>
          </cell>
        </row>
        <row r="8955">
          <cell r="D8955">
            <v>10400033234</v>
          </cell>
        </row>
        <row r="8956">
          <cell r="D8956">
            <v>10880033661</v>
          </cell>
        </row>
        <row r="8957">
          <cell r="D8957">
            <v>10880036489</v>
          </cell>
        </row>
        <row r="8958">
          <cell r="D8958">
            <v>10880036489</v>
          </cell>
        </row>
        <row r="8959">
          <cell r="D8959">
            <v>10880030976</v>
          </cell>
        </row>
        <row r="8960">
          <cell r="D8960">
            <v>10880022123</v>
          </cell>
        </row>
        <row r="8961">
          <cell r="D8961">
            <v>10880035534</v>
          </cell>
        </row>
        <row r="8962">
          <cell r="D8962">
            <v>10880017527</v>
          </cell>
        </row>
        <row r="8963">
          <cell r="D8963">
            <v>10880018097</v>
          </cell>
        </row>
        <row r="8964">
          <cell r="D8964">
            <v>10880030520</v>
          </cell>
        </row>
        <row r="8965">
          <cell r="D8965">
            <v>10880036494</v>
          </cell>
        </row>
        <row r="8966">
          <cell r="D8966">
            <v>10400029072</v>
          </cell>
        </row>
        <row r="8967">
          <cell r="D8967">
            <v>10400029072</v>
          </cell>
        </row>
        <row r="8968">
          <cell r="D8968">
            <v>10880030551</v>
          </cell>
        </row>
        <row r="8969">
          <cell r="D8969">
            <v>10880033566</v>
          </cell>
        </row>
        <row r="8970">
          <cell r="D8970">
            <v>10880033566</v>
          </cell>
        </row>
        <row r="8971">
          <cell r="D8971">
            <v>10880031097</v>
          </cell>
        </row>
        <row r="8972">
          <cell r="D8972">
            <v>10880017524</v>
          </cell>
        </row>
        <row r="8973">
          <cell r="D8973">
            <v>10880037002</v>
          </cell>
        </row>
        <row r="8974">
          <cell r="D8974">
            <v>10880036349</v>
          </cell>
        </row>
        <row r="8975">
          <cell r="D8975">
            <v>10880037369</v>
          </cell>
        </row>
        <row r="8976">
          <cell r="D8976">
            <v>10880030596</v>
          </cell>
        </row>
        <row r="8977">
          <cell r="D8977">
            <v>10880031847</v>
          </cell>
        </row>
        <row r="8978">
          <cell r="D8978">
            <v>10880031847</v>
          </cell>
        </row>
        <row r="8979">
          <cell r="D8979">
            <v>10880031856</v>
          </cell>
        </row>
        <row r="8980">
          <cell r="D8980">
            <v>10880031846</v>
          </cell>
        </row>
        <row r="8981">
          <cell r="D8981">
            <v>10880031846</v>
          </cell>
        </row>
        <row r="8982">
          <cell r="D8982">
            <v>10880034417</v>
          </cell>
        </row>
        <row r="8983">
          <cell r="D8983">
            <v>10880033717</v>
          </cell>
        </row>
        <row r="8984">
          <cell r="D8984">
            <v>10880033720</v>
          </cell>
        </row>
        <row r="8985">
          <cell r="D8985">
            <v>10880032937</v>
          </cell>
        </row>
        <row r="8986">
          <cell r="D8986">
            <v>10880033655</v>
          </cell>
        </row>
        <row r="8987">
          <cell r="D8987">
            <v>10880037380</v>
          </cell>
        </row>
        <row r="8988">
          <cell r="D8988">
            <v>10880018097</v>
          </cell>
        </row>
        <row r="8989">
          <cell r="D8989">
            <v>10400030641</v>
          </cell>
        </row>
        <row r="8990">
          <cell r="D8990">
            <v>10400030737</v>
          </cell>
        </row>
        <row r="8991">
          <cell r="D8991">
            <v>10880034622</v>
          </cell>
        </row>
        <row r="8992">
          <cell r="D8992">
            <v>10880030545</v>
          </cell>
        </row>
        <row r="8993">
          <cell r="D8993">
            <v>10880031020</v>
          </cell>
        </row>
        <row r="8994">
          <cell r="D8994">
            <v>10880035441</v>
          </cell>
        </row>
        <row r="8995">
          <cell r="D8995">
            <v>10880037380</v>
          </cell>
        </row>
        <row r="8996">
          <cell r="D8996">
            <v>10880034669</v>
          </cell>
        </row>
        <row r="8997">
          <cell r="D8997">
            <v>10880032885</v>
          </cell>
        </row>
        <row r="8998">
          <cell r="D8998">
            <v>10880037179</v>
          </cell>
        </row>
        <row r="8999">
          <cell r="D8999">
            <v>10880037295</v>
          </cell>
        </row>
        <row r="9000">
          <cell r="D9000">
            <v>10400032219</v>
          </cell>
        </row>
        <row r="9001">
          <cell r="D9001">
            <v>10880037414</v>
          </cell>
        </row>
        <row r="9002">
          <cell r="D9002">
            <v>10400032365</v>
          </cell>
        </row>
        <row r="9003">
          <cell r="D9003">
            <v>10880036764</v>
          </cell>
        </row>
        <row r="9004">
          <cell r="D9004">
            <v>10880018093</v>
          </cell>
        </row>
        <row r="9005">
          <cell r="D9005">
            <v>10880020556</v>
          </cell>
        </row>
        <row r="9006">
          <cell r="D9006">
            <v>10880037369</v>
          </cell>
        </row>
        <row r="9007">
          <cell r="D9007">
            <v>10880020187</v>
          </cell>
        </row>
        <row r="9008">
          <cell r="D9008">
            <v>10880027958</v>
          </cell>
        </row>
        <row r="9009">
          <cell r="D9009">
            <v>10880032945</v>
          </cell>
        </row>
        <row r="9010">
          <cell r="D9010">
            <v>10880032942</v>
          </cell>
        </row>
        <row r="9011">
          <cell r="D9011">
            <v>10880035754</v>
          </cell>
        </row>
        <row r="9012">
          <cell r="D9012">
            <v>10880036206</v>
          </cell>
        </row>
        <row r="9013">
          <cell r="D9013">
            <v>10880036135</v>
          </cell>
        </row>
        <row r="9014">
          <cell r="D9014">
            <v>10400031101</v>
          </cell>
        </row>
        <row r="9015">
          <cell r="D9015">
            <v>10400029072</v>
          </cell>
        </row>
        <row r="9016">
          <cell r="D9016">
            <v>10880034621</v>
          </cell>
        </row>
        <row r="9017">
          <cell r="D9017">
            <v>10400030197</v>
          </cell>
        </row>
        <row r="9018">
          <cell r="D9018">
            <v>10400033496</v>
          </cell>
        </row>
        <row r="9019">
          <cell r="D9019">
            <v>10400030194</v>
          </cell>
        </row>
        <row r="9020">
          <cell r="D9020">
            <v>10400030197</v>
          </cell>
        </row>
        <row r="9021">
          <cell r="D9021">
            <v>10880035982</v>
          </cell>
        </row>
        <row r="9022">
          <cell r="D9022">
            <v>10880021476</v>
          </cell>
        </row>
        <row r="9023">
          <cell r="D9023">
            <v>10880030433</v>
          </cell>
        </row>
        <row r="9024">
          <cell r="D9024">
            <v>10880035979</v>
          </cell>
        </row>
        <row r="9025">
          <cell r="D9025">
            <v>10880034565</v>
          </cell>
        </row>
        <row r="9026">
          <cell r="D9026">
            <v>10880034957</v>
          </cell>
        </row>
        <row r="9027">
          <cell r="D9027">
            <v>10880037380</v>
          </cell>
        </row>
        <row r="9028">
          <cell r="D9028">
            <v>10880037380</v>
          </cell>
        </row>
        <row r="9029">
          <cell r="D9029">
            <v>10880036458</v>
          </cell>
        </row>
        <row r="9030">
          <cell r="D9030">
            <v>10400031068</v>
          </cell>
        </row>
        <row r="9031">
          <cell r="D9031">
            <v>10400029151</v>
          </cell>
        </row>
        <row r="9032">
          <cell r="D9032">
            <v>10400029152</v>
          </cell>
        </row>
        <row r="9033">
          <cell r="D9033">
            <v>10880035045</v>
          </cell>
        </row>
        <row r="9034">
          <cell r="D9034">
            <v>10880036325</v>
          </cell>
        </row>
        <row r="9035">
          <cell r="D9035">
            <v>10880036708</v>
          </cell>
        </row>
        <row r="9036">
          <cell r="D9036">
            <v>10880033301</v>
          </cell>
        </row>
        <row r="9037">
          <cell r="D9037">
            <v>10880037374</v>
          </cell>
        </row>
        <row r="9038">
          <cell r="D9038">
            <v>10880029944</v>
          </cell>
        </row>
        <row r="9039">
          <cell r="D9039">
            <v>10880032943</v>
          </cell>
        </row>
        <row r="9040">
          <cell r="D9040">
            <v>10880032943</v>
          </cell>
        </row>
        <row r="9041">
          <cell r="D9041">
            <v>10880033911</v>
          </cell>
        </row>
        <row r="9042">
          <cell r="D9042">
            <v>10880030432</v>
          </cell>
        </row>
        <row r="9043">
          <cell r="D9043">
            <v>10400031607</v>
          </cell>
        </row>
        <row r="9044">
          <cell r="D9044">
            <v>10400030646</v>
          </cell>
        </row>
        <row r="9045">
          <cell r="D9045">
            <v>10400030646</v>
          </cell>
        </row>
        <row r="9046">
          <cell r="D9046">
            <v>10880031011</v>
          </cell>
        </row>
        <row r="9047">
          <cell r="D9047">
            <v>10400030197</v>
          </cell>
        </row>
        <row r="9048">
          <cell r="D9048">
            <v>10400030493</v>
          </cell>
        </row>
        <row r="9049">
          <cell r="D9049">
            <v>10880030545</v>
          </cell>
        </row>
        <row r="9050">
          <cell r="D9050">
            <v>10880035981</v>
          </cell>
        </row>
        <row r="9051">
          <cell r="D9051">
            <v>10880036498</v>
          </cell>
        </row>
        <row r="9052">
          <cell r="D9052">
            <v>10880034946</v>
          </cell>
        </row>
        <row r="9053">
          <cell r="D9053">
            <v>10880030023</v>
          </cell>
        </row>
        <row r="9054">
          <cell r="D9054">
            <v>10880032774</v>
          </cell>
        </row>
        <row r="9055">
          <cell r="D9055">
            <v>10880036704</v>
          </cell>
        </row>
        <row r="9056">
          <cell r="D9056">
            <v>10880036706</v>
          </cell>
        </row>
        <row r="9057">
          <cell r="D9057">
            <v>10880030520</v>
          </cell>
        </row>
        <row r="9058">
          <cell r="D9058">
            <v>10880033279</v>
          </cell>
        </row>
        <row r="9059">
          <cell r="D9059">
            <v>10880020637</v>
          </cell>
        </row>
        <row r="9060">
          <cell r="D9060">
            <v>10880035235</v>
          </cell>
        </row>
        <row r="9061">
          <cell r="D9061">
            <v>10400031098</v>
          </cell>
        </row>
        <row r="9062">
          <cell r="D9062">
            <v>10400030646</v>
          </cell>
        </row>
        <row r="9063">
          <cell r="D9063">
            <v>10880035795</v>
          </cell>
        </row>
        <row r="9064">
          <cell r="D9064">
            <v>10880030550</v>
          </cell>
        </row>
        <row r="9065">
          <cell r="D9065">
            <v>10880035982</v>
          </cell>
        </row>
        <row r="9066">
          <cell r="D9066">
            <v>10880035982</v>
          </cell>
        </row>
        <row r="9067">
          <cell r="D9067">
            <v>10880033488</v>
          </cell>
        </row>
        <row r="9068">
          <cell r="D9068">
            <v>10880032774</v>
          </cell>
        </row>
        <row r="9069">
          <cell r="D9069">
            <v>10400033234</v>
          </cell>
        </row>
        <row r="9070">
          <cell r="D9070">
            <v>10880037023</v>
          </cell>
        </row>
        <row r="9071">
          <cell r="D9071">
            <v>10400031868</v>
          </cell>
        </row>
        <row r="9072">
          <cell r="D9072">
            <v>10400033234</v>
          </cell>
        </row>
        <row r="9073">
          <cell r="D9073">
            <v>10400033234</v>
          </cell>
        </row>
        <row r="9074">
          <cell r="D9074">
            <v>10880036458</v>
          </cell>
        </row>
        <row r="9075">
          <cell r="D9075">
            <v>10400031068</v>
          </cell>
        </row>
        <row r="9076">
          <cell r="D9076">
            <v>10880037380</v>
          </cell>
        </row>
        <row r="9077">
          <cell r="D9077">
            <v>10880020031</v>
          </cell>
        </row>
        <row r="9078">
          <cell r="D9078">
            <v>10880031072</v>
          </cell>
        </row>
        <row r="9079">
          <cell r="D9079">
            <v>10880036760</v>
          </cell>
        </row>
        <row r="9080">
          <cell r="D9080">
            <v>10880037616</v>
          </cell>
        </row>
        <row r="9081">
          <cell r="D9081">
            <v>10880021173</v>
          </cell>
        </row>
        <row r="9082">
          <cell r="D9082">
            <v>10880022123</v>
          </cell>
        </row>
        <row r="9083">
          <cell r="D9083">
            <v>10880037002</v>
          </cell>
        </row>
        <row r="9084">
          <cell r="D9084">
            <v>10880036479</v>
          </cell>
        </row>
        <row r="9085">
          <cell r="D9085">
            <v>10400030739</v>
          </cell>
        </row>
        <row r="9086">
          <cell r="D9086">
            <v>10400031120</v>
          </cell>
        </row>
        <row r="9087">
          <cell r="D9087">
            <v>10400029072</v>
          </cell>
        </row>
        <row r="9088">
          <cell r="D9088">
            <v>10400030646</v>
          </cell>
        </row>
        <row r="9089">
          <cell r="D9089">
            <v>10400029072</v>
          </cell>
        </row>
        <row r="9090">
          <cell r="D9090">
            <v>10880038252</v>
          </cell>
        </row>
        <row r="9091">
          <cell r="D9091">
            <v>10880036020</v>
          </cell>
        </row>
        <row r="9092">
          <cell r="D9092">
            <v>10880030545</v>
          </cell>
        </row>
        <row r="9093">
          <cell r="D9093">
            <v>10880035441</v>
          </cell>
        </row>
        <row r="9094">
          <cell r="D9094">
            <v>10880033329</v>
          </cell>
        </row>
        <row r="9095">
          <cell r="D9095">
            <v>10880037022</v>
          </cell>
        </row>
        <row r="9096">
          <cell r="D9096">
            <v>10400031867</v>
          </cell>
        </row>
        <row r="9097">
          <cell r="D9097">
            <v>10880037036</v>
          </cell>
        </row>
        <row r="9098">
          <cell r="D9098">
            <v>10880037374</v>
          </cell>
        </row>
        <row r="9099">
          <cell r="D9099">
            <v>10880036760</v>
          </cell>
        </row>
        <row r="9100">
          <cell r="D9100">
            <v>10880036760</v>
          </cell>
        </row>
        <row r="9101">
          <cell r="D9101">
            <v>10880035166</v>
          </cell>
        </row>
        <row r="9102">
          <cell r="D9102">
            <v>10880037616</v>
          </cell>
        </row>
        <row r="9103">
          <cell r="D9103">
            <v>10880018097</v>
          </cell>
        </row>
        <row r="9104">
          <cell r="D9104">
            <v>10880029958</v>
          </cell>
        </row>
        <row r="9105">
          <cell r="D9105">
            <v>10880037503</v>
          </cell>
        </row>
        <row r="9106">
          <cell r="D9106">
            <v>10880030447</v>
          </cell>
        </row>
        <row r="9107">
          <cell r="D9107">
            <v>10880036481</v>
          </cell>
        </row>
        <row r="9108">
          <cell r="D9108">
            <v>10880036852</v>
          </cell>
        </row>
        <row r="9109">
          <cell r="D9109">
            <v>10880036207</v>
          </cell>
        </row>
        <row r="9110">
          <cell r="D9110">
            <v>10400031124</v>
          </cell>
        </row>
        <row r="9111">
          <cell r="D9111">
            <v>10400031098</v>
          </cell>
        </row>
        <row r="9112">
          <cell r="D9112">
            <v>10400031134</v>
          </cell>
        </row>
        <row r="9113">
          <cell r="D9113">
            <v>10400029072</v>
          </cell>
        </row>
        <row r="9114">
          <cell r="D9114">
            <v>10880030551</v>
          </cell>
        </row>
        <row r="9115">
          <cell r="D9115">
            <v>10880031020</v>
          </cell>
        </row>
        <row r="9116">
          <cell r="D9116">
            <v>10880030545</v>
          </cell>
        </row>
        <row r="9117">
          <cell r="D9117">
            <v>10880029957</v>
          </cell>
        </row>
        <row r="9118">
          <cell r="D9118">
            <v>10880037426</v>
          </cell>
        </row>
        <row r="9119">
          <cell r="D9119">
            <v>10880034946</v>
          </cell>
        </row>
        <row r="9120">
          <cell r="D9120">
            <v>10880037426</v>
          </cell>
        </row>
        <row r="9121">
          <cell r="D9121">
            <v>10400033234</v>
          </cell>
        </row>
        <row r="9122">
          <cell r="D9122">
            <v>10400033234</v>
          </cell>
        </row>
        <row r="9123">
          <cell r="D9123">
            <v>10880036058</v>
          </cell>
        </row>
        <row r="9124">
          <cell r="D9124">
            <v>10400030543</v>
          </cell>
        </row>
        <row r="9125">
          <cell r="D9125">
            <v>10880036325</v>
          </cell>
        </row>
        <row r="9126">
          <cell r="D9126">
            <v>10880037615</v>
          </cell>
        </row>
        <row r="9127">
          <cell r="D9127">
            <v>10880037615</v>
          </cell>
        </row>
        <row r="9128">
          <cell r="D9128">
            <v>10880037370</v>
          </cell>
        </row>
        <row r="9129">
          <cell r="D9129">
            <v>10880035754</v>
          </cell>
        </row>
        <row r="9130">
          <cell r="D9130">
            <v>10880037374</v>
          </cell>
        </row>
        <row r="9131">
          <cell r="D9131">
            <v>10880036495</v>
          </cell>
        </row>
        <row r="9132">
          <cell r="D9132">
            <v>10880036497</v>
          </cell>
        </row>
        <row r="9133">
          <cell r="D9133">
            <v>10880036479</v>
          </cell>
        </row>
        <row r="9134">
          <cell r="D9134">
            <v>10400029072</v>
          </cell>
        </row>
        <row r="9135">
          <cell r="D9135">
            <v>10400029072</v>
          </cell>
        </row>
        <row r="9136">
          <cell r="D9136">
            <v>10400031135</v>
          </cell>
        </row>
        <row r="9137">
          <cell r="D9137">
            <v>10880035303</v>
          </cell>
        </row>
        <row r="9138">
          <cell r="D9138">
            <v>10880037394</v>
          </cell>
        </row>
        <row r="9139">
          <cell r="D9139">
            <v>10880036458</v>
          </cell>
        </row>
        <row r="9140">
          <cell r="D9140">
            <v>10880037662</v>
          </cell>
        </row>
        <row r="9141">
          <cell r="D9141">
            <v>10880037369</v>
          </cell>
        </row>
        <row r="9142">
          <cell r="D9142">
            <v>10880033301</v>
          </cell>
        </row>
        <row r="9143">
          <cell r="D9143">
            <v>10880037670</v>
          </cell>
        </row>
        <row r="9144">
          <cell r="D9144">
            <v>10880022123</v>
          </cell>
        </row>
        <row r="9145">
          <cell r="D9145">
            <v>10880035235</v>
          </cell>
        </row>
        <row r="9146">
          <cell r="D9146">
            <v>10880035265</v>
          </cell>
        </row>
        <row r="9147">
          <cell r="D9147">
            <v>10880035265</v>
          </cell>
        </row>
        <row r="9148">
          <cell r="D9148">
            <v>10880034946</v>
          </cell>
        </row>
        <row r="9149">
          <cell r="D9149">
            <v>10880037426</v>
          </cell>
        </row>
        <row r="9150">
          <cell r="D9150">
            <v>10880033329</v>
          </cell>
        </row>
        <row r="9151">
          <cell r="D9151">
            <v>10880031138</v>
          </cell>
        </row>
        <row r="9152">
          <cell r="D9152">
            <v>10880031139</v>
          </cell>
        </row>
        <row r="9153">
          <cell r="D9153">
            <v>10880033279</v>
          </cell>
        </row>
        <row r="9154">
          <cell r="D9154">
            <v>10880037379</v>
          </cell>
        </row>
        <row r="9155">
          <cell r="D9155">
            <v>10880037295</v>
          </cell>
        </row>
        <row r="9156">
          <cell r="D9156">
            <v>10880037415</v>
          </cell>
        </row>
        <row r="9157">
          <cell r="D9157">
            <v>10880037297</v>
          </cell>
        </row>
        <row r="9158">
          <cell r="D9158">
            <v>10880036058</v>
          </cell>
        </row>
        <row r="9159">
          <cell r="D9159">
            <v>10880037369</v>
          </cell>
        </row>
        <row r="9160">
          <cell r="D9160">
            <v>10880018097</v>
          </cell>
        </row>
        <row r="9161">
          <cell r="D9161">
            <v>10880037178</v>
          </cell>
        </row>
        <row r="9162">
          <cell r="D9162">
            <v>10880037036</v>
          </cell>
        </row>
        <row r="9163">
          <cell r="D9163">
            <v>10880032945</v>
          </cell>
        </row>
        <row r="9164">
          <cell r="D9164">
            <v>10880032937</v>
          </cell>
        </row>
        <row r="9165">
          <cell r="D9165">
            <v>10880036503</v>
          </cell>
        </row>
        <row r="9166">
          <cell r="D9166">
            <v>10880036504</v>
          </cell>
        </row>
        <row r="9167">
          <cell r="D9167">
            <v>10880037392</v>
          </cell>
        </row>
        <row r="9168">
          <cell r="D9168">
            <v>10880034622</v>
          </cell>
        </row>
        <row r="9169">
          <cell r="D9169">
            <v>10880036499</v>
          </cell>
        </row>
        <row r="9170">
          <cell r="D9170">
            <v>10880037379</v>
          </cell>
        </row>
        <row r="9171">
          <cell r="D9171">
            <v>10880037662</v>
          </cell>
        </row>
        <row r="9172">
          <cell r="D9172">
            <v>10880035983</v>
          </cell>
        </row>
        <row r="9173">
          <cell r="D9173">
            <v>10880033535</v>
          </cell>
        </row>
        <row r="9174">
          <cell r="D9174">
            <v>10880037369</v>
          </cell>
        </row>
        <row r="9175">
          <cell r="D9175">
            <v>10880037369</v>
          </cell>
        </row>
        <row r="9176">
          <cell r="D9176">
            <v>10880037370</v>
          </cell>
        </row>
        <row r="9177">
          <cell r="D9177">
            <v>10880017536</v>
          </cell>
        </row>
        <row r="9178">
          <cell r="D9178">
            <v>10880032943</v>
          </cell>
        </row>
        <row r="9179">
          <cell r="D9179">
            <v>10880033487</v>
          </cell>
        </row>
        <row r="9180">
          <cell r="D9180">
            <v>10880033488</v>
          </cell>
        </row>
        <row r="9181">
          <cell r="D9181">
            <v>10880030320</v>
          </cell>
        </row>
        <row r="9182">
          <cell r="D9182">
            <v>10880031161</v>
          </cell>
        </row>
        <row r="9183">
          <cell r="D9183">
            <v>10880032759</v>
          </cell>
        </row>
        <row r="9184">
          <cell r="D9184">
            <v>10880018097</v>
          </cell>
        </row>
        <row r="9185">
          <cell r="D9185">
            <v>10880036498</v>
          </cell>
        </row>
        <row r="9186">
          <cell r="D9186">
            <v>10880037426</v>
          </cell>
        </row>
        <row r="9187">
          <cell r="D9187">
            <v>10880032885</v>
          </cell>
        </row>
        <row r="9188">
          <cell r="D9188">
            <v>10880035379</v>
          </cell>
        </row>
        <row r="9189">
          <cell r="D9189">
            <v>10880033301</v>
          </cell>
        </row>
        <row r="9190">
          <cell r="D9190">
            <v>10880036424</v>
          </cell>
        </row>
        <row r="9191">
          <cell r="D9191">
            <v>10880038124</v>
          </cell>
        </row>
        <row r="9192">
          <cell r="D9192">
            <v>10880038125</v>
          </cell>
        </row>
        <row r="9193">
          <cell r="D9193">
            <v>10880037059</v>
          </cell>
        </row>
        <row r="9194">
          <cell r="D9194">
            <v>10880036205</v>
          </cell>
        </row>
        <row r="9195">
          <cell r="D9195">
            <v>10880031011</v>
          </cell>
        </row>
        <row r="9196">
          <cell r="D9196">
            <v>10880033655</v>
          </cell>
        </row>
        <row r="9197">
          <cell r="D9197">
            <v>10880037379</v>
          </cell>
        </row>
        <row r="9198">
          <cell r="D9198">
            <v>10880038125</v>
          </cell>
        </row>
        <row r="9199">
          <cell r="D9199">
            <v>10880038124</v>
          </cell>
        </row>
        <row r="9200">
          <cell r="D9200">
            <v>10880038124</v>
          </cell>
        </row>
        <row r="9201">
          <cell r="D9201">
            <v>10880033655</v>
          </cell>
        </row>
        <row r="9202">
          <cell r="D9202">
            <v>10400029072</v>
          </cell>
        </row>
        <row r="9203">
          <cell r="D9203">
            <v>10880036786</v>
          </cell>
        </row>
        <row r="9204">
          <cell r="D9204">
            <v>10880018096</v>
          </cell>
        </row>
        <row r="9205">
          <cell r="D9205">
            <v>10880021015</v>
          </cell>
        </row>
        <row r="9206">
          <cell r="D9206">
            <v>10880031856</v>
          </cell>
        </row>
        <row r="9207">
          <cell r="D9207">
            <v>10880037615</v>
          </cell>
        </row>
        <row r="9208">
          <cell r="D9208">
            <v>10880035380</v>
          </cell>
        </row>
        <row r="9209">
          <cell r="D9209">
            <v>10880035381</v>
          </cell>
        </row>
        <row r="9210">
          <cell r="D9210">
            <v>10880036432</v>
          </cell>
        </row>
        <row r="9211">
          <cell r="D9211">
            <v>10880036135</v>
          </cell>
        </row>
        <row r="9212">
          <cell r="D9212">
            <v>10400030737</v>
          </cell>
        </row>
        <row r="9213">
          <cell r="D9213">
            <v>10400029072</v>
          </cell>
        </row>
        <row r="9214">
          <cell r="D9214">
            <v>10880034619</v>
          </cell>
        </row>
        <row r="9215">
          <cell r="D9215">
            <v>10880030607</v>
          </cell>
        </row>
        <row r="9216">
          <cell r="D9216">
            <v>10880030519</v>
          </cell>
        </row>
        <row r="9217">
          <cell r="D9217">
            <v>10880035380</v>
          </cell>
        </row>
        <row r="9218">
          <cell r="D9218">
            <v>10400033234</v>
          </cell>
        </row>
        <row r="9219">
          <cell r="D9219">
            <v>10400033234</v>
          </cell>
        </row>
        <row r="9220">
          <cell r="D9220">
            <v>10400033234</v>
          </cell>
        </row>
        <row r="9221">
          <cell r="D9221">
            <v>10400033234</v>
          </cell>
        </row>
        <row r="9222">
          <cell r="D9222">
            <v>10880035709</v>
          </cell>
        </row>
        <row r="9223">
          <cell r="D9223">
            <v>10880037369</v>
          </cell>
        </row>
        <row r="9224">
          <cell r="D9224">
            <v>10880017949</v>
          </cell>
        </row>
        <row r="9225">
          <cell r="D9225">
            <v>10880022123</v>
          </cell>
        </row>
        <row r="9226">
          <cell r="D9226">
            <v>10880032945</v>
          </cell>
        </row>
        <row r="9227">
          <cell r="D9227">
            <v>10880036206</v>
          </cell>
        </row>
        <row r="9228">
          <cell r="D9228">
            <v>10400030735</v>
          </cell>
        </row>
        <row r="9229">
          <cell r="D9229">
            <v>10880036799</v>
          </cell>
        </row>
        <row r="9230">
          <cell r="D9230">
            <v>10880034669</v>
          </cell>
        </row>
        <row r="9231">
          <cell r="D9231">
            <v>10400033234</v>
          </cell>
        </row>
        <row r="9232">
          <cell r="D9232">
            <v>10400033234</v>
          </cell>
        </row>
        <row r="9233">
          <cell r="D9233">
            <v>10880027924</v>
          </cell>
        </row>
        <row r="9234">
          <cell r="D9234">
            <v>10880028307</v>
          </cell>
        </row>
        <row r="9235">
          <cell r="D9235">
            <v>10880036513</v>
          </cell>
        </row>
        <row r="9236">
          <cell r="D9236">
            <v>10880030976</v>
          </cell>
        </row>
        <row r="9237">
          <cell r="D9237">
            <v>10880037503</v>
          </cell>
        </row>
        <row r="9238">
          <cell r="D9238">
            <v>10880018097</v>
          </cell>
        </row>
        <row r="9239">
          <cell r="D9239">
            <v>10880019240</v>
          </cell>
        </row>
        <row r="9240">
          <cell r="D9240">
            <v>10880021173</v>
          </cell>
        </row>
        <row r="9241">
          <cell r="D9241">
            <v>10880030520</v>
          </cell>
        </row>
        <row r="9242">
          <cell r="D9242">
            <v>10880037615</v>
          </cell>
        </row>
        <row r="9243">
          <cell r="D9243">
            <v>10400030646</v>
          </cell>
        </row>
        <row r="9244">
          <cell r="D9244">
            <v>10880036434</v>
          </cell>
        </row>
        <row r="9245">
          <cell r="D9245">
            <v>10880036361</v>
          </cell>
        </row>
        <row r="9246">
          <cell r="D9246">
            <v>10880030596</v>
          </cell>
        </row>
        <row r="9247">
          <cell r="D9247">
            <v>10880027958</v>
          </cell>
        </row>
        <row r="9248">
          <cell r="D9248">
            <v>10880033216</v>
          </cell>
        </row>
        <row r="9249">
          <cell r="D9249">
            <v>10880033216</v>
          </cell>
        </row>
        <row r="9250">
          <cell r="D9250">
            <v>10880035653</v>
          </cell>
        </row>
        <row r="9251">
          <cell r="D9251">
            <v>10880037022</v>
          </cell>
        </row>
        <row r="9252">
          <cell r="D9252">
            <v>10400031867</v>
          </cell>
        </row>
        <row r="9253">
          <cell r="D9253">
            <v>10880036058</v>
          </cell>
        </row>
        <row r="9254">
          <cell r="D9254">
            <v>10400030543</v>
          </cell>
        </row>
        <row r="9255">
          <cell r="D9255">
            <v>10880037662</v>
          </cell>
        </row>
        <row r="9256">
          <cell r="D9256">
            <v>10400032704</v>
          </cell>
        </row>
        <row r="9257">
          <cell r="D9257">
            <v>10880036366</v>
          </cell>
        </row>
        <row r="9258">
          <cell r="D9258">
            <v>10400030958</v>
          </cell>
        </row>
        <row r="9259">
          <cell r="D9259">
            <v>10880036366</v>
          </cell>
        </row>
        <row r="9260">
          <cell r="D9260">
            <v>10400030958</v>
          </cell>
        </row>
        <row r="9261">
          <cell r="D9261">
            <v>10880037295</v>
          </cell>
        </row>
        <row r="9262">
          <cell r="D9262">
            <v>10400032219</v>
          </cell>
        </row>
        <row r="9263">
          <cell r="D9263">
            <v>10880036514</v>
          </cell>
        </row>
        <row r="9264">
          <cell r="D9264">
            <v>10880029054</v>
          </cell>
        </row>
        <row r="9265">
          <cell r="D9265">
            <v>10880028881</v>
          </cell>
        </row>
        <row r="9266">
          <cell r="D9266">
            <v>10880020556</v>
          </cell>
        </row>
        <row r="9267">
          <cell r="D9267">
            <v>10880033602</v>
          </cell>
        </row>
        <row r="9268">
          <cell r="D9268">
            <v>10880030187</v>
          </cell>
        </row>
        <row r="9269">
          <cell r="D9269">
            <v>10880017949</v>
          </cell>
        </row>
        <row r="9270">
          <cell r="D9270">
            <v>10880017524</v>
          </cell>
        </row>
        <row r="9271">
          <cell r="D9271">
            <v>10880036424</v>
          </cell>
        </row>
        <row r="9272">
          <cell r="D9272">
            <v>10880036205</v>
          </cell>
        </row>
        <row r="9273">
          <cell r="D9273">
            <v>10880033785</v>
          </cell>
        </row>
        <row r="9274">
          <cell r="D9274">
            <v>10880030432</v>
          </cell>
        </row>
        <row r="9275">
          <cell r="D9275">
            <v>10400030739</v>
          </cell>
        </row>
        <row r="9276">
          <cell r="D9276">
            <v>10880035441</v>
          </cell>
        </row>
        <row r="9277">
          <cell r="D9277">
            <v>10880020208</v>
          </cell>
        </row>
        <row r="9278">
          <cell r="D9278">
            <v>10880020208</v>
          </cell>
        </row>
        <row r="9279">
          <cell r="D9279">
            <v>10880020802</v>
          </cell>
        </row>
        <row r="9280">
          <cell r="D9280">
            <v>10880033216</v>
          </cell>
        </row>
        <row r="9281">
          <cell r="D9281">
            <v>10880037023</v>
          </cell>
        </row>
        <row r="9282">
          <cell r="D9282">
            <v>10400031868</v>
          </cell>
        </row>
        <row r="9283">
          <cell r="D9283">
            <v>10400033234</v>
          </cell>
        </row>
        <row r="9284">
          <cell r="D9284">
            <v>10400033234</v>
          </cell>
        </row>
        <row r="9285">
          <cell r="D9285">
            <v>10880035984</v>
          </cell>
        </row>
        <row r="9286">
          <cell r="D9286">
            <v>10880037179</v>
          </cell>
        </row>
        <row r="9287">
          <cell r="D9287">
            <v>10400033234</v>
          </cell>
        </row>
        <row r="9288">
          <cell r="D9288">
            <v>10880030203</v>
          </cell>
        </row>
        <row r="9289">
          <cell r="D9289">
            <v>10880017525</v>
          </cell>
        </row>
        <row r="9290">
          <cell r="D9290">
            <v>10880037617</v>
          </cell>
        </row>
        <row r="9291">
          <cell r="D9291">
            <v>10880036348</v>
          </cell>
        </row>
        <row r="9292">
          <cell r="D9292">
            <v>10880030931</v>
          </cell>
        </row>
        <row r="9293">
          <cell r="D9293">
            <v>10880021416</v>
          </cell>
        </row>
        <row r="9294">
          <cell r="D9294">
            <v>10880021318</v>
          </cell>
        </row>
        <row r="9295">
          <cell r="D9295">
            <v>10880035543</v>
          </cell>
        </row>
        <row r="9296">
          <cell r="D9296">
            <v>10880030004</v>
          </cell>
        </row>
        <row r="9297">
          <cell r="D9297">
            <v>10880037198</v>
          </cell>
        </row>
        <row r="9298">
          <cell r="D9298">
            <v>10880032942</v>
          </cell>
        </row>
        <row r="9299">
          <cell r="D9299">
            <v>10400029072</v>
          </cell>
        </row>
        <row r="9300">
          <cell r="D9300">
            <v>10880032386</v>
          </cell>
        </row>
        <row r="9301">
          <cell r="D9301">
            <v>10880030545</v>
          </cell>
        </row>
        <row r="9302">
          <cell r="D9302">
            <v>10880030545</v>
          </cell>
        </row>
        <row r="9303">
          <cell r="D9303">
            <v>10880033996</v>
          </cell>
        </row>
        <row r="9304">
          <cell r="D9304">
            <v>10880036458</v>
          </cell>
        </row>
        <row r="9305">
          <cell r="D9305">
            <v>10400031068</v>
          </cell>
        </row>
        <row r="9306">
          <cell r="D9306">
            <v>10880037023</v>
          </cell>
        </row>
        <row r="9307">
          <cell r="D9307">
            <v>10400031868</v>
          </cell>
        </row>
        <row r="9308">
          <cell r="D9308">
            <v>10880017527</v>
          </cell>
        </row>
        <row r="9309">
          <cell r="D9309">
            <v>10880036706</v>
          </cell>
        </row>
        <row r="9310">
          <cell r="D9310">
            <v>10880036704</v>
          </cell>
        </row>
        <row r="9311">
          <cell r="D9311">
            <v>10880036704</v>
          </cell>
        </row>
        <row r="9312">
          <cell r="D9312">
            <v>10880037368</v>
          </cell>
        </row>
        <row r="9313">
          <cell r="D9313">
            <v>10880017536</v>
          </cell>
        </row>
        <row r="9314">
          <cell r="D9314">
            <v>10880037971</v>
          </cell>
        </row>
        <row r="9315">
          <cell r="D9315">
            <v>10880037969</v>
          </cell>
        </row>
        <row r="9316">
          <cell r="D9316">
            <v>10880032683</v>
          </cell>
        </row>
        <row r="9317">
          <cell r="D9317">
            <v>10880030934</v>
          </cell>
        </row>
        <row r="9318">
          <cell r="D9318">
            <v>10880037377</v>
          </cell>
        </row>
        <row r="9319">
          <cell r="D9319">
            <v>10880020677</v>
          </cell>
        </row>
        <row r="9320">
          <cell r="D9320">
            <v>10880036721</v>
          </cell>
        </row>
        <row r="9321">
          <cell r="D9321">
            <v>10880018097</v>
          </cell>
        </row>
        <row r="9322">
          <cell r="D9322">
            <v>10880035265</v>
          </cell>
        </row>
        <row r="9323">
          <cell r="D9323">
            <v>10880037616</v>
          </cell>
        </row>
        <row r="9324">
          <cell r="D9324">
            <v>10880034565</v>
          </cell>
        </row>
        <row r="9325">
          <cell r="D9325">
            <v>10880035981</v>
          </cell>
        </row>
        <row r="9326">
          <cell r="D9326">
            <v>10880035982</v>
          </cell>
        </row>
        <row r="9327">
          <cell r="D9327">
            <v>10880036707</v>
          </cell>
        </row>
        <row r="9328">
          <cell r="D9328">
            <v>10880036706</v>
          </cell>
        </row>
        <row r="9329">
          <cell r="D9329">
            <v>10880032683</v>
          </cell>
        </row>
        <row r="9330">
          <cell r="D9330">
            <v>10880036458</v>
          </cell>
        </row>
        <row r="9331">
          <cell r="D9331">
            <v>10400031068</v>
          </cell>
        </row>
        <row r="9332">
          <cell r="D9332">
            <v>10880037368</v>
          </cell>
        </row>
        <row r="9333">
          <cell r="D9333">
            <v>10880017949</v>
          </cell>
        </row>
        <row r="9334">
          <cell r="D9334">
            <v>10880028306</v>
          </cell>
        </row>
        <row r="9335">
          <cell r="D9335">
            <v>10880035543</v>
          </cell>
        </row>
        <row r="9336">
          <cell r="D9336">
            <v>10880036207</v>
          </cell>
        </row>
        <row r="9337">
          <cell r="D9337">
            <v>10400029072</v>
          </cell>
        </row>
        <row r="9338">
          <cell r="D9338">
            <v>10400031101</v>
          </cell>
        </row>
        <row r="9339">
          <cell r="D9339">
            <v>10400031124</v>
          </cell>
        </row>
        <row r="9340">
          <cell r="D9340">
            <v>10400029072</v>
          </cell>
        </row>
        <row r="9341">
          <cell r="D9341">
            <v>10880031020</v>
          </cell>
        </row>
        <row r="9342">
          <cell r="D9342">
            <v>10880034622</v>
          </cell>
        </row>
        <row r="9343">
          <cell r="D9343">
            <v>10880036481</v>
          </cell>
        </row>
        <row r="9344">
          <cell r="D9344">
            <v>10400030646</v>
          </cell>
        </row>
        <row r="9345">
          <cell r="D9345">
            <v>10400029072</v>
          </cell>
        </row>
        <row r="9346">
          <cell r="D9346">
            <v>10880030608</v>
          </cell>
        </row>
        <row r="9347">
          <cell r="D9347">
            <v>10880030607</v>
          </cell>
        </row>
        <row r="9348">
          <cell r="D9348">
            <v>10880031018</v>
          </cell>
        </row>
        <row r="9349">
          <cell r="D9349">
            <v>10880032945</v>
          </cell>
        </row>
        <row r="9350">
          <cell r="D9350">
            <v>10880032942</v>
          </cell>
        </row>
        <row r="9351">
          <cell r="D9351">
            <v>10880037201</v>
          </cell>
        </row>
        <row r="9352">
          <cell r="D9352">
            <v>10880036423</v>
          </cell>
        </row>
        <row r="9353">
          <cell r="D9353">
            <v>10880034669</v>
          </cell>
        </row>
        <row r="9354">
          <cell r="D9354">
            <v>10880037368</v>
          </cell>
        </row>
        <row r="9355">
          <cell r="D9355">
            <v>10880036432</v>
          </cell>
        </row>
        <row r="9356">
          <cell r="D9356">
            <v>10880037503</v>
          </cell>
        </row>
        <row r="9357">
          <cell r="D9357">
            <v>10880036497</v>
          </cell>
        </row>
        <row r="9358">
          <cell r="D9358">
            <v>10400031135</v>
          </cell>
        </row>
        <row r="9359">
          <cell r="D9359">
            <v>10400031120</v>
          </cell>
        </row>
        <row r="9360">
          <cell r="D9360">
            <v>10880034619</v>
          </cell>
        </row>
        <row r="9361">
          <cell r="D9361">
            <v>10880018097</v>
          </cell>
        </row>
        <row r="9362">
          <cell r="D9362">
            <v>10880037379</v>
          </cell>
        </row>
        <row r="9363">
          <cell r="D9363">
            <v>10400033234</v>
          </cell>
        </row>
        <row r="9364">
          <cell r="D9364">
            <v>10400033234</v>
          </cell>
        </row>
        <row r="9365">
          <cell r="D9365">
            <v>10880037662</v>
          </cell>
        </row>
        <row r="9366">
          <cell r="D9366">
            <v>10400032704</v>
          </cell>
        </row>
        <row r="9367">
          <cell r="D9367">
            <v>10880037023</v>
          </cell>
        </row>
        <row r="9368">
          <cell r="D9368">
            <v>10400031868</v>
          </cell>
        </row>
        <row r="9369">
          <cell r="D9369">
            <v>10880037297</v>
          </cell>
        </row>
        <row r="9370">
          <cell r="D9370">
            <v>10400032222</v>
          </cell>
        </row>
        <row r="9371">
          <cell r="D9371">
            <v>10880037369</v>
          </cell>
        </row>
        <row r="9372">
          <cell r="D9372">
            <v>10880038125</v>
          </cell>
        </row>
        <row r="9373">
          <cell r="D9373">
            <v>10880037370</v>
          </cell>
        </row>
        <row r="9374">
          <cell r="D9374">
            <v>10880037370</v>
          </cell>
        </row>
        <row r="9375">
          <cell r="D9375">
            <v>10880017516</v>
          </cell>
        </row>
        <row r="9376">
          <cell r="D9376">
            <v>10880017516</v>
          </cell>
        </row>
        <row r="9377">
          <cell r="D9377">
            <v>10400031607</v>
          </cell>
        </row>
        <row r="9378">
          <cell r="D9378">
            <v>10880036467</v>
          </cell>
        </row>
        <row r="9379">
          <cell r="D9379">
            <v>10880036495</v>
          </cell>
        </row>
        <row r="9380">
          <cell r="D9380">
            <v>10880032383</v>
          </cell>
        </row>
        <row r="9381">
          <cell r="D9381">
            <v>10880030545</v>
          </cell>
        </row>
        <row r="9382">
          <cell r="D9382">
            <v>10880035441</v>
          </cell>
        </row>
        <row r="9383">
          <cell r="D9383">
            <v>10880035980</v>
          </cell>
        </row>
        <row r="9384">
          <cell r="D9384">
            <v>10880035982</v>
          </cell>
        </row>
        <row r="9385">
          <cell r="D9385">
            <v>10880036498</v>
          </cell>
        </row>
        <row r="9386">
          <cell r="D9386">
            <v>10880030450</v>
          </cell>
        </row>
        <row r="9387">
          <cell r="D9387">
            <v>10880033487</v>
          </cell>
        </row>
        <row r="9388">
          <cell r="D9388">
            <v>10880033488</v>
          </cell>
        </row>
        <row r="9389">
          <cell r="D9389">
            <v>10880031847</v>
          </cell>
        </row>
        <row r="9390">
          <cell r="D9390">
            <v>10880017524</v>
          </cell>
        </row>
        <row r="9391">
          <cell r="D9391">
            <v>10880020556</v>
          </cell>
        </row>
        <row r="9392">
          <cell r="D9392">
            <v>10880030934</v>
          </cell>
        </row>
        <row r="9393">
          <cell r="D9393">
            <v>10880037369</v>
          </cell>
        </row>
        <row r="9394">
          <cell r="D9394">
            <v>10880035512</v>
          </cell>
        </row>
        <row r="9395">
          <cell r="D9395">
            <v>10880038124</v>
          </cell>
        </row>
        <row r="9396">
          <cell r="D9396">
            <v>10880022123</v>
          </cell>
        </row>
        <row r="9397">
          <cell r="D9397">
            <v>10880029958</v>
          </cell>
        </row>
        <row r="9398">
          <cell r="D9398">
            <v>10880037268</v>
          </cell>
        </row>
        <row r="9399">
          <cell r="D9399">
            <v>10880034995</v>
          </cell>
        </row>
        <row r="9400">
          <cell r="D9400">
            <v>10880036504</v>
          </cell>
        </row>
        <row r="9401">
          <cell r="D9401">
            <v>10880030432</v>
          </cell>
        </row>
        <row r="9402">
          <cell r="D9402">
            <v>10400030646</v>
          </cell>
        </row>
        <row r="9403">
          <cell r="D9403">
            <v>10880031020</v>
          </cell>
        </row>
        <row r="9404">
          <cell r="D9404">
            <v>10880030920</v>
          </cell>
        </row>
        <row r="9405">
          <cell r="D9405">
            <v>10880037615</v>
          </cell>
        </row>
        <row r="9406">
          <cell r="D9406">
            <v>10880037205</v>
          </cell>
        </row>
        <row r="9407">
          <cell r="D9407">
            <v>10880032945</v>
          </cell>
        </row>
        <row r="9408">
          <cell r="D9408">
            <v>10880032885</v>
          </cell>
        </row>
        <row r="9409">
          <cell r="D9409">
            <v>10880037179</v>
          </cell>
        </row>
        <row r="9410">
          <cell r="D9410">
            <v>10880037036</v>
          </cell>
        </row>
        <row r="9411">
          <cell r="D9411">
            <v>10880033535</v>
          </cell>
        </row>
        <row r="9412">
          <cell r="D9412">
            <v>10880033535</v>
          </cell>
        </row>
        <row r="9413">
          <cell r="D9413">
            <v>10880028306</v>
          </cell>
        </row>
        <row r="9414">
          <cell r="D9414">
            <v>10880028307</v>
          </cell>
        </row>
        <row r="9415">
          <cell r="D9415">
            <v>10880037369</v>
          </cell>
        </row>
        <row r="9416">
          <cell r="D9416">
            <v>10880017949</v>
          </cell>
        </row>
        <row r="9417">
          <cell r="D9417">
            <v>10880031157</v>
          </cell>
        </row>
        <row r="9418">
          <cell r="D9418">
            <v>10880033785</v>
          </cell>
        </row>
        <row r="9419">
          <cell r="D9419">
            <v>10400029072</v>
          </cell>
        </row>
        <row r="9420">
          <cell r="D9420">
            <v>10400029072</v>
          </cell>
        </row>
        <row r="9421">
          <cell r="D9421">
            <v>10400029072</v>
          </cell>
        </row>
        <row r="9422">
          <cell r="D9422">
            <v>10880036852</v>
          </cell>
        </row>
        <row r="9423">
          <cell r="D9423">
            <v>10880018097</v>
          </cell>
        </row>
        <row r="9424">
          <cell r="D9424">
            <v>10880037382</v>
          </cell>
        </row>
        <row r="9425">
          <cell r="D9425">
            <v>10880037198</v>
          </cell>
        </row>
        <row r="9426">
          <cell r="D9426">
            <v>10880032942</v>
          </cell>
        </row>
        <row r="9427">
          <cell r="D9427">
            <v>10880032945</v>
          </cell>
        </row>
        <row r="9428">
          <cell r="D9428">
            <v>10880032945</v>
          </cell>
        </row>
        <row r="9429">
          <cell r="D9429">
            <v>10880033325</v>
          </cell>
        </row>
        <row r="9430">
          <cell r="D9430">
            <v>10880036432</v>
          </cell>
        </row>
        <row r="9431">
          <cell r="D9431">
            <v>10880037490</v>
          </cell>
        </row>
        <row r="9432">
          <cell r="D9432">
            <v>10880035265</v>
          </cell>
        </row>
        <row r="9433">
          <cell r="D9433">
            <v>10880030920</v>
          </cell>
        </row>
        <row r="9434">
          <cell r="D9434">
            <v>10880036721</v>
          </cell>
        </row>
        <row r="9435">
          <cell r="D9435">
            <v>10880037382</v>
          </cell>
        </row>
        <row r="9436">
          <cell r="D9436">
            <v>10880037382</v>
          </cell>
        </row>
        <row r="9437">
          <cell r="D9437">
            <v>10880030320</v>
          </cell>
        </row>
        <row r="9438">
          <cell r="D9438">
            <v>10400031098</v>
          </cell>
        </row>
        <row r="9439">
          <cell r="D9439">
            <v>10400031126</v>
          </cell>
        </row>
        <row r="9440">
          <cell r="D9440">
            <v>10400030646</v>
          </cell>
        </row>
        <row r="9441">
          <cell r="D9441">
            <v>10400030642</v>
          </cell>
        </row>
        <row r="9442">
          <cell r="D9442">
            <v>10880037377</v>
          </cell>
        </row>
        <row r="9443">
          <cell r="D9443">
            <v>10880033605</v>
          </cell>
        </row>
        <row r="9444">
          <cell r="D9444">
            <v>10880032683</v>
          </cell>
        </row>
        <row r="9445">
          <cell r="D9445">
            <v>10880032943</v>
          </cell>
        </row>
        <row r="9446">
          <cell r="D9446">
            <v>10880037198</v>
          </cell>
        </row>
        <row r="9447">
          <cell r="D9447">
            <v>10880033745</v>
          </cell>
        </row>
        <row r="9448">
          <cell r="D9448">
            <v>10880033745</v>
          </cell>
        </row>
        <row r="9449">
          <cell r="D9449">
            <v>10880033996</v>
          </cell>
        </row>
        <row r="9450">
          <cell r="D9450">
            <v>10880035983</v>
          </cell>
        </row>
        <row r="9451">
          <cell r="D9451">
            <v>10400033234</v>
          </cell>
        </row>
        <row r="9452">
          <cell r="D9452">
            <v>10880037022</v>
          </cell>
        </row>
        <row r="9453">
          <cell r="D9453">
            <v>10400031867</v>
          </cell>
        </row>
        <row r="9454">
          <cell r="D9454">
            <v>10400033234</v>
          </cell>
        </row>
        <row r="9455">
          <cell r="D9455">
            <v>10400033234</v>
          </cell>
        </row>
        <row r="9456">
          <cell r="D9456">
            <v>10400033234</v>
          </cell>
        </row>
        <row r="9457">
          <cell r="D9457">
            <v>10880035543</v>
          </cell>
        </row>
        <row r="9458">
          <cell r="D9458">
            <v>10880029957</v>
          </cell>
        </row>
        <row r="9459">
          <cell r="D9459">
            <v>10880035512</v>
          </cell>
        </row>
        <row r="9460">
          <cell r="D9460">
            <v>10880037059</v>
          </cell>
        </row>
        <row r="9461">
          <cell r="D9461">
            <v>10880037781</v>
          </cell>
        </row>
        <row r="9462">
          <cell r="D9462">
            <v>10880016188</v>
          </cell>
        </row>
        <row r="9463">
          <cell r="D9463">
            <v>10880036479</v>
          </cell>
        </row>
        <row r="9464">
          <cell r="D9464">
            <v>10400031101</v>
          </cell>
        </row>
        <row r="9465">
          <cell r="D9465">
            <v>10400031118</v>
          </cell>
        </row>
        <row r="9466">
          <cell r="D9466">
            <v>10880036499</v>
          </cell>
        </row>
        <row r="9467">
          <cell r="D9467">
            <v>10880030545</v>
          </cell>
        </row>
        <row r="9468">
          <cell r="D9468">
            <v>10880034946</v>
          </cell>
        </row>
        <row r="9469">
          <cell r="D9469">
            <v>10880033602</v>
          </cell>
        </row>
        <row r="9470">
          <cell r="D9470">
            <v>10880037205</v>
          </cell>
        </row>
        <row r="9471">
          <cell r="D9471">
            <v>10880032943</v>
          </cell>
        </row>
        <row r="9472">
          <cell r="D9472">
            <v>10880032937</v>
          </cell>
        </row>
        <row r="9473">
          <cell r="D9473">
            <v>10880037725</v>
          </cell>
        </row>
        <row r="9474">
          <cell r="D9474">
            <v>10880037724</v>
          </cell>
        </row>
        <row r="9475">
          <cell r="D9475">
            <v>10880037023</v>
          </cell>
        </row>
        <row r="9476">
          <cell r="D9476">
            <v>10400031868</v>
          </cell>
        </row>
        <row r="9477">
          <cell r="D9477">
            <v>10880036458</v>
          </cell>
        </row>
        <row r="9478">
          <cell r="D9478">
            <v>10400031068</v>
          </cell>
        </row>
        <row r="9479">
          <cell r="D9479">
            <v>10880037295</v>
          </cell>
        </row>
        <row r="9480">
          <cell r="D9480">
            <v>10400032219</v>
          </cell>
        </row>
        <row r="9481">
          <cell r="D9481">
            <v>10880036337</v>
          </cell>
        </row>
        <row r="9482">
          <cell r="D9482">
            <v>10880036764</v>
          </cell>
        </row>
        <row r="9483">
          <cell r="D9483">
            <v>10880022123</v>
          </cell>
        </row>
        <row r="9484">
          <cell r="D9484">
            <v>10880035754</v>
          </cell>
        </row>
        <row r="9485">
          <cell r="D9485">
            <v>10880036481</v>
          </cell>
        </row>
        <row r="9486">
          <cell r="D9486">
            <v>10880036494</v>
          </cell>
        </row>
        <row r="9487">
          <cell r="D9487">
            <v>10400030739</v>
          </cell>
        </row>
        <row r="9488">
          <cell r="D9488">
            <v>10400029072</v>
          </cell>
        </row>
        <row r="9489">
          <cell r="D9489">
            <v>10400029072</v>
          </cell>
        </row>
        <row r="9490">
          <cell r="D9490">
            <v>10400029072</v>
          </cell>
        </row>
        <row r="9491">
          <cell r="D9491">
            <v>10400030646</v>
          </cell>
        </row>
        <row r="9492">
          <cell r="D9492">
            <v>10880031020</v>
          </cell>
        </row>
        <row r="9493">
          <cell r="D9493">
            <v>10880030545</v>
          </cell>
        </row>
        <row r="9494">
          <cell r="D9494">
            <v>10880035265</v>
          </cell>
        </row>
        <row r="9495">
          <cell r="D9495">
            <v>10880035981</v>
          </cell>
        </row>
        <row r="9496">
          <cell r="D9496">
            <v>10880020940</v>
          </cell>
        </row>
        <row r="9497">
          <cell r="D9497">
            <v>10880037615</v>
          </cell>
        </row>
        <row r="9498">
          <cell r="D9498">
            <v>10880032945</v>
          </cell>
        </row>
        <row r="9499">
          <cell r="D9499">
            <v>10880035709</v>
          </cell>
        </row>
        <row r="9500">
          <cell r="D9500">
            <v>10880032885</v>
          </cell>
        </row>
        <row r="9501">
          <cell r="D9501">
            <v>10880037369</v>
          </cell>
        </row>
        <row r="9502">
          <cell r="D9502">
            <v>10880036423</v>
          </cell>
        </row>
        <row r="9503">
          <cell r="D9503">
            <v>10880038122</v>
          </cell>
        </row>
        <row r="9504">
          <cell r="D9504">
            <v>10880038123</v>
          </cell>
        </row>
        <row r="9505">
          <cell r="D9505">
            <v>10880029033</v>
          </cell>
        </row>
        <row r="9506">
          <cell r="D9506">
            <v>10880037374</v>
          </cell>
        </row>
        <row r="9507">
          <cell r="D9507">
            <v>10880037374</v>
          </cell>
        </row>
        <row r="9508">
          <cell r="D9508">
            <v>10880036349</v>
          </cell>
        </row>
        <row r="9509">
          <cell r="D9509">
            <v>10880022123</v>
          </cell>
        </row>
        <row r="9510">
          <cell r="D9510">
            <v>10880034251</v>
          </cell>
        </row>
        <row r="9511">
          <cell r="D9511">
            <v>10880036207</v>
          </cell>
        </row>
        <row r="9512">
          <cell r="D9512">
            <v>10400030641</v>
          </cell>
        </row>
        <row r="9513">
          <cell r="D9513">
            <v>10400029072</v>
          </cell>
        </row>
        <row r="9514">
          <cell r="D9514">
            <v>10880031020</v>
          </cell>
        </row>
        <row r="9515">
          <cell r="D9515">
            <v>10880030607</v>
          </cell>
        </row>
        <row r="9516">
          <cell r="D9516">
            <v>10880035196</v>
          </cell>
        </row>
        <row r="9517">
          <cell r="D9517">
            <v>10880031139</v>
          </cell>
        </row>
        <row r="9518">
          <cell r="D9518">
            <v>10880030433</v>
          </cell>
        </row>
        <row r="9519">
          <cell r="D9519">
            <v>10880031242</v>
          </cell>
        </row>
        <row r="9520">
          <cell r="D9520">
            <v>10400033234</v>
          </cell>
        </row>
        <row r="9521">
          <cell r="D9521">
            <v>10400033234</v>
          </cell>
        </row>
        <row r="9522">
          <cell r="D9522">
            <v>10400033234</v>
          </cell>
        </row>
        <row r="9523">
          <cell r="D9523">
            <v>10880037022</v>
          </cell>
        </row>
        <row r="9524">
          <cell r="D9524">
            <v>10400031867</v>
          </cell>
        </row>
        <row r="9525">
          <cell r="D9525">
            <v>10880037295</v>
          </cell>
        </row>
        <row r="9526">
          <cell r="D9526">
            <v>10400032219</v>
          </cell>
        </row>
        <row r="9527">
          <cell r="D9527">
            <v>10880032885</v>
          </cell>
        </row>
        <row r="9528">
          <cell r="D9528">
            <v>10880036350</v>
          </cell>
        </row>
        <row r="9529">
          <cell r="D9529">
            <v>10880037369</v>
          </cell>
        </row>
        <row r="9530">
          <cell r="D9530">
            <v>10880036325</v>
          </cell>
        </row>
        <row r="9531">
          <cell r="D9531">
            <v>10880028881</v>
          </cell>
        </row>
        <row r="9532">
          <cell r="D9532">
            <v>10880020031</v>
          </cell>
        </row>
        <row r="9533">
          <cell r="D9533">
            <v>10880020275</v>
          </cell>
        </row>
        <row r="9534">
          <cell r="D9534">
            <v>10880033325</v>
          </cell>
        </row>
        <row r="9535">
          <cell r="D9535">
            <v>10400033234</v>
          </cell>
        </row>
        <row r="9536">
          <cell r="D9536">
            <v>10400033234</v>
          </cell>
        </row>
        <row r="9537">
          <cell r="D9537">
            <v>10400031134</v>
          </cell>
        </row>
        <row r="9538">
          <cell r="D9538">
            <v>10400031117</v>
          </cell>
        </row>
        <row r="9539">
          <cell r="D9539">
            <v>10880030608</v>
          </cell>
        </row>
        <row r="9540">
          <cell r="D9540">
            <v>10880037615</v>
          </cell>
        </row>
        <row r="9541">
          <cell r="D9541">
            <v>10400033234</v>
          </cell>
        </row>
        <row r="9542">
          <cell r="D9542">
            <v>10880037022</v>
          </cell>
        </row>
        <row r="9543">
          <cell r="D9543">
            <v>10400031867</v>
          </cell>
        </row>
        <row r="9544">
          <cell r="D9544">
            <v>10880037198</v>
          </cell>
        </row>
        <row r="9545">
          <cell r="D9545">
            <v>10880032885</v>
          </cell>
        </row>
        <row r="9546">
          <cell r="D9546">
            <v>10880017527</v>
          </cell>
        </row>
        <row r="9547">
          <cell r="D9547">
            <v>10880021311</v>
          </cell>
        </row>
        <row r="9548">
          <cell r="D9548">
            <v>10880036513</v>
          </cell>
        </row>
        <row r="9549">
          <cell r="D9549">
            <v>10880035409</v>
          </cell>
        </row>
        <row r="9550">
          <cell r="D9550">
            <v>10880030596</v>
          </cell>
        </row>
        <row r="9551">
          <cell r="D9551">
            <v>10880031847</v>
          </cell>
        </row>
        <row r="9552">
          <cell r="D9552">
            <v>10880037490</v>
          </cell>
        </row>
        <row r="9553">
          <cell r="D9553">
            <v>10880036453</v>
          </cell>
        </row>
        <row r="9554">
          <cell r="D9554">
            <v>10880033911</v>
          </cell>
        </row>
        <row r="9555">
          <cell r="D9555">
            <v>10880037724</v>
          </cell>
        </row>
        <row r="9556">
          <cell r="D9556">
            <v>10880037725</v>
          </cell>
        </row>
        <row r="9557">
          <cell r="D9557">
            <v>10880031072</v>
          </cell>
        </row>
        <row r="9558">
          <cell r="D9558">
            <v>10880036135</v>
          </cell>
        </row>
        <row r="9559">
          <cell r="D9559">
            <v>10400031126</v>
          </cell>
        </row>
        <row r="9560">
          <cell r="D9560">
            <v>10880036493</v>
          </cell>
        </row>
        <row r="9561">
          <cell r="D9561">
            <v>10400030646</v>
          </cell>
        </row>
        <row r="9562">
          <cell r="D9562">
            <v>10400030739</v>
          </cell>
        </row>
        <row r="9563">
          <cell r="D9563">
            <v>10400031120</v>
          </cell>
        </row>
        <row r="9564">
          <cell r="D9564">
            <v>10880035303</v>
          </cell>
        </row>
        <row r="9565">
          <cell r="D9565">
            <v>10880037394</v>
          </cell>
        </row>
        <row r="9566">
          <cell r="D9566">
            <v>10880030608</v>
          </cell>
        </row>
        <row r="9567">
          <cell r="D9567">
            <v>10880038291</v>
          </cell>
        </row>
        <row r="9568">
          <cell r="D9568">
            <v>10880035441</v>
          </cell>
        </row>
        <row r="9569">
          <cell r="D9569">
            <v>10880037615</v>
          </cell>
        </row>
        <row r="9570">
          <cell r="D9570">
            <v>10880030920</v>
          </cell>
        </row>
        <row r="9571">
          <cell r="D9571">
            <v>10880030738</v>
          </cell>
        </row>
        <row r="9572">
          <cell r="D9572">
            <v>10880021019</v>
          </cell>
        </row>
        <row r="9573">
          <cell r="D9573">
            <v>10880037205</v>
          </cell>
        </row>
        <row r="9574">
          <cell r="D9574">
            <v>10880032945</v>
          </cell>
        </row>
        <row r="9575">
          <cell r="D9575">
            <v>10880017516</v>
          </cell>
        </row>
        <row r="9576">
          <cell r="D9576">
            <v>10880017525</v>
          </cell>
        </row>
        <row r="9577">
          <cell r="D9577">
            <v>10400033234</v>
          </cell>
        </row>
        <row r="9578">
          <cell r="D9578">
            <v>10400033234</v>
          </cell>
        </row>
        <row r="9579">
          <cell r="D9579">
            <v>10400033234</v>
          </cell>
        </row>
        <row r="9580">
          <cell r="D9580">
            <v>10400033859</v>
          </cell>
        </row>
        <row r="9581">
          <cell r="D9581">
            <v>10400033860</v>
          </cell>
        </row>
        <row r="9582">
          <cell r="D9582">
            <v>10880038536</v>
          </cell>
        </row>
        <row r="9583">
          <cell r="D9583">
            <v>10880035409</v>
          </cell>
        </row>
        <row r="9584">
          <cell r="D9584">
            <v>10880035409</v>
          </cell>
        </row>
        <row r="9585">
          <cell r="D9585">
            <v>10880036325</v>
          </cell>
        </row>
        <row r="9586">
          <cell r="D9586">
            <v>10880037671</v>
          </cell>
        </row>
        <row r="9587">
          <cell r="D9587">
            <v>10880031307</v>
          </cell>
        </row>
        <row r="9588">
          <cell r="D9588">
            <v>10880022123</v>
          </cell>
        </row>
        <row r="9589">
          <cell r="D9589">
            <v>10880037023</v>
          </cell>
        </row>
        <row r="9590">
          <cell r="D9590">
            <v>10400031868</v>
          </cell>
        </row>
        <row r="9591">
          <cell r="D9591">
            <v>10880037414</v>
          </cell>
        </row>
        <row r="9592">
          <cell r="D9592">
            <v>10400032365</v>
          </cell>
        </row>
        <row r="9593">
          <cell r="D9593">
            <v>10880032885</v>
          </cell>
        </row>
        <row r="9594">
          <cell r="D9594">
            <v>10880034669</v>
          </cell>
        </row>
        <row r="9595">
          <cell r="D9595">
            <v>10880038537</v>
          </cell>
        </row>
        <row r="9596">
          <cell r="D9596">
            <v>10400033865</v>
          </cell>
        </row>
        <row r="9597">
          <cell r="D9597">
            <v>10400033866</v>
          </cell>
        </row>
        <row r="9598">
          <cell r="D9598">
            <v>10880030934</v>
          </cell>
        </row>
        <row r="9599">
          <cell r="D9599">
            <v>10400033234</v>
          </cell>
        </row>
        <row r="9600">
          <cell r="D9600">
            <v>10880036282</v>
          </cell>
        </row>
        <row r="9601">
          <cell r="D9601">
            <v>10880036337</v>
          </cell>
        </row>
        <row r="9602">
          <cell r="D9602">
            <v>10880038122</v>
          </cell>
        </row>
        <row r="9603">
          <cell r="D9603">
            <v>10880037059</v>
          </cell>
        </row>
        <row r="9604">
          <cell r="D9604">
            <v>10880030976</v>
          </cell>
        </row>
        <row r="9605">
          <cell r="D9605">
            <v>10880033279</v>
          </cell>
        </row>
        <row r="9606">
          <cell r="D9606">
            <v>10880036207</v>
          </cell>
        </row>
        <row r="9607">
          <cell r="D9607">
            <v>10880031011</v>
          </cell>
        </row>
        <row r="9608">
          <cell r="D9608">
            <v>10880032386</v>
          </cell>
        </row>
        <row r="9609">
          <cell r="D9609">
            <v>10880037725</v>
          </cell>
        </row>
        <row r="9610">
          <cell r="D9610">
            <v>10880036503</v>
          </cell>
        </row>
        <row r="9611">
          <cell r="D9611">
            <v>10880036499</v>
          </cell>
        </row>
        <row r="9612">
          <cell r="D9612">
            <v>10400030737</v>
          </cell>
        </row>
        <row r="9613">
          <cell r="D9613">
            <v>10400030646</v>
          </cell>
        </row>
        <row r="9614">
          <cell r="D9614">
            <v>10880031760</v>
          </cell>
        </row>
        <row r="9615">
          <cell r="D9615">
            <v>10880037392</v>
          </cell>
        </row>
        <row r="9616">
          <cell r="D9616">
            <v>10880035441</v>
          </cell>
        </row>
        <row r="9617">
          <cell r="D9617">
            <v>10880031847</v>
          </cell>
        </row>
        <row r="9618">
          <cell r="D9618">
            <v>10880031242</v>
          </cell>
        </row>
        <row r="9619">
          <cell r="D9619">
            <v>10880030977</v>
          </cell>
        </row>
        <row r="9620">
          <cell r="D9620">
            <v>10880033280</v>
          </cell>
        </row>
        <row r="9621">
          <cell r="D9621">
            <v>10880033487</v>
          </cell>
        </row>
        <row r="9622">
          <cell r="D9622">
            <v>10880033488</v>
          </cell>
        </row>
        <row r="9623">
          <cell r="D9623">
            <v>10880030920</v>
          </cell>
        </row>
        <row r="9624">
          <cell r="D9624">
            <v>10880021015</v>
          </cell>
        </row>
        <row r="9625">
          <cell r="D9625">
            <v>10880036721</v>
          </cell>
        </row>
        <row r="9626">
          <cell r="D9626">
            <v>10880030738</v>
          </cell>
        </row>
        <row r="9627">
          <cell r="D9627">
            <v>10880037022</v>
          </cell>
        </row>
        <row r="9628">
          <cell r="D9628">
            <v>10400031867</v>
          </cell>
        </row>
        <row r="9629">
          <cell r="D9629">
            <v>10880036458</v>
          </cell>
        </row>
        <row r="9630">
          <cell r="D9630">
            <v>10400031068</v>
          </cell>
        </row>
        <row r="9631">
          <cell r="D9631">
            <v>10880037023</v>
          </cell>
        </row>
        <row r="9632">
          <cell r="D9632">
            <v>10400031868</v>
          </cell>
        </row>
        <row r="9633">
          <cell r="D9633">
            <v>10880035236</v>
          </cell>
        </row>
        <row r="9634">
          <cell r="D9634">
            <v>10880036326</v>
          </cell>
        </row>
        <row r="9635">
          <cell r="D9635">
            <v>10880035709</v>
          </cell>
        </row>
        <row r="9636">
          <cell r="D9636">
            <v>10880036423</v>
          </cell>
        </row>
        <row r="9637">
          <cell r="D9637">
            <v>10880038122</v>
          </cell>
        </row>
        <row r="9638">
          <cell r="D9638">
            <v>10880022123</v>
          </cell>
        </row>
        <row r="9639">
          <cell r="D9639">
            <v>10880038473</v>
          </cell>
        </row>
        <row r="9640">
          <cell r="D9640">
            <v>10400030739</v>
          </cell>
        </row>
        <row r="9641">
          <cell r="D9641">
            <v>10880032383</v>
          </cell>
        </row>
        <row r="9642">
          <cell r="D9642">
            <v>10880030607</v>
          </cell>
        </row>
        <row r="9643">
          <cell r="D9643">
            <v>10880030608</v>
          </cell>
        </row>
        <row r="9644">
          <cell r="D9644">
            <v>10880038291</v>
          </cell>
        </row>
        <row r="9645">
          <cell r="D9645">
            <v>10880033564</v>
          </cell>
        </row>
        <row r="9646">
          <cell r="D9646">
            <v>10880030334</v>
          </cell>
        </row>
        <row r="9647">
          <cell r="D9647">
            <v>10880037662</v>
          </cell>
        </row>
        <row r="9648">
          <cell r="D9648">
            <v>10400032704</v>
          </cell>
        </row>
        <row r="9649">
          <cell r="D9649">
            <v>10880034669</v>
          </cell>
        </row>
        <row r="9650">
          <cell r="D9650">
            <v>10880035045</v>
          </cell>
        </row>
        <row r="9651">
          <cell r="D9651">
            <v>10400029151</v>
          </cell>
        </row>
        <row r="9652">
          <cell r="D9652">
            <v>10400029152</v>
          </cell>
        </row>
        <row r="9653">
          <cell r="D9653">
            <v>10880028307</v>
          </cell>
        </row>
        <row r="9654">
          <cell r="D9654">
            <v>10880036424</v>
          </cell>
        </row>
        <row r="9655">
          <cell r="D9655">
            <v>10880034251</v>
          </cell>
        </row>
        <row r="9656">
          <cell r="D9656">
            <v>10880038122</v>
          </cell>
        </row>
        <row r="9657">
          <cell r="D9657">
            <v>10880035381</v>
          </cell>
        </row>
        <row r="9658">
          <cell r="D9658">
            <v>10880021029</v>
          </cell>
        </row>
        <row r="9659">
          <cell r="D9659">
            <v>10880036760</v>
          </cell>
        </row>
        <row r="9660">
          <cell r="D9660">
            <v>10880031856</v>
          </cell>
        </row>
        <row r="9661">
          <cell r="D9661">
            <v>10880037059</v>
          </cell>
        </row>
        <row r="9662">
          <cell r="D9662">
            <v>10880033996</v>
          </cell>
        </row>
        <row r="9663">
          <cell r="D9663">
            <v>10880037036</v>
          </cell>
        </row>
        <row r="9664">
          <cell r="D9664">
            <v>10880037179</v>
          </cell>
        </row>
        <row r="9665">
          <cell r="D9665">
            <v>10880037046</v>
          </cell>
        </row>
        <row r="9666">
          <cell r="D9666">
            <v>10880037178</v>
          </cell>
        </row>
        <row r="9667">
          <cell r="D9667">
            <v>10880037724</v>
          </cell>
        </row>
        <row r="9668">
          <cell r="D9668">
            <v>10880037002</v>
          </cell>
        </row>
        <row r="9669">
          <cell r="D9669">
            <v>10880037003</v>
          </cell>
        </row>
        <row r="9670">
          <cell r="D9670">
            <v>10880037304</v>
          </cell>
        </row>
        <row r="9671">
          <cell r="D9671">
            <v>10880033655</v>
          </cell>
        </row>
        <row r="9672">
          <cell r="D9672">
            <v>10880035754</v>
          </cell>
        </row>
        <row r="9673">
          <cell r="D9673">
            <v>10880036207</v>
          </cell>
        </row>
        <row r="9674">
          <cell r="D9674">
            <v>10400030646</v>
          </cell>
        </row>
        <row r="9675">
          <cell r="D9675">
            <v>10880035265</v>
          </cell>
        </row>
        <row r="9676">
          <cell r="D9676">
            <v>10880035166</v>
          </cell>
        </row>
        <row r="9677">
          <cell r="D9677">
            <v>10400033234</v>
          </cell>
        </row>
        <row r="9678">
          <cell r="D9678">
            <v>10400033234</v>
          </cell>
        </row>
        <row r="9679">
          <cell r="D9679">
            <v>10880038239</v>
          </cell>
        </row>
        <row r="9680">
          <cell r="D9680">
            <v>10400033482</v>
          </cell>
        </row>
        <row r="9681">
          <cell r="D9681">
            <v>10880038445</v>
          </cell>
        </row>
        <row r="9682">
          <cell r="D9682">
            <v>10400033740</v>
          </cell>
        </row>
        <row r="9683">
          <cell r="D9683">
            <v>10880034669</v>
          </cell>
        </row>
        <row r="9684">
          <cell r="D9684">
            <v>10880032937</v>
          </cell>
        </row>
        <row r="9685">
          <cell r="D9685">
            <v>10880032945</v>
          </cell>
        </row>
        <row r="9686">
          <cell r="D9686">
            <v>10880028306</v>
          </cell>
        </row>
        <row r="9687">
          <cell r="D9687">
            <v>10880035512</v>
          </cell>
        </row>
        <row r="9688">
          <cell r="D9688">
            <v>10880033785</v>
          </cell>
        </row>
        <row r="9689">
          <cell r="D9689">
            <v>10880033325</v>
          </cell>
        </row>
        <row r="9690">
          <cell r="D9690">
            <v>10880037670</v>
          </cell>
        </row>
        <row r="9691">
          <cell r="D9691">
            <v>10880037671</v>
          </cell>
        </row>
        <row r="9692">
          <cell r="D9692">
            <v>10880037671</v>
          </cell>
        </row>
        <row r="9693">
          <cell r="D9693">
            <v>10880035984</v>
          </cell>
        </row>
        <row r="9694">
          <cell r="D9694">
            <v>10880038473</v>
          </cell>
        </row>
        <row r="9695">
          <cell r="D9695">
            <v>10880037724</v>
          </cell>
        </row>
        <row r="9696">
          <cell r="D9696">
            <v>10400030641</v>
          </cell>
        </row>
        <row r="9697">
          <cell r="D9697">
            <v>10880030545</v>
          </cell>
        </row>
        <row r="9698">
          <cell r="D9698">
            <v>10880034622</v>
          </cell>
        </row>
        <row r="9699">
          <cell r="D9699">
            <v>10880030976</v>
          </cell>
        </row>
        <row r="9700">
          <cell r="D9700">
            <v>10880037615</v>
          </cell>
        </row>
        <row r="9701">
          <cell r="D9701">
            <v>10400033234</v>
          </cell>
        </row>
        <row r="9702">
          <cell r="D9702">
            <v>10400033234</v>
          </cell>
        </row>
        <row r="9703">
          <cell r="D9703">
            <v>10880036458</v>
          </cell>
        </row>
        <row r="9704">
          <cell r="D9704">
            <v>10400031068</v>
          </cell>
        </row>
        <row r="9705">
          <cell r="D9705">
            <v>10880037295</v>
          </cell>
        </row>
        <row r="9706">
          <cell r="D9706">
            <v>10400032219</v>
          </cell>
        </row>
        <row r="9707">
          <cell r="D9707">
            <v>10880036706</v>
          </cell>
        </row>
        <row r="9708">
          <cell r="D9708">
            <v>10880036760</v>
          </cell>
        </row>
        <row r="9709">
          <cell r="D9709">
            <v>10880020677</v>
          </cell>
        </row>
        <row r="9710">
          <cell r="D9710">
            <v>10880020940</v>
          </cell>
        </row>
        <row r="9711">
          <cell r="D9711">
            <v>10880037303</v>
          </cell>
        </row>
        <row r="9712">
          <cell r="D9712">
            <v>10880038040</v>
          </cell>
        </row>
        <row r="9713">
          <cell r="D9713">
            <v>10880037003</v>
          </cell>
        </row>
        <row r="9714">
          <cell r="D9714">
            <v>10880036206</v>
          </cell>
        </row>
        <row r="9715">
          <cell r="D9715">
            <v>10880036135</v>
          </cell>
        </row>
        <row r="9716">
          <cell r="D9716">
            <v>10400030646</v>
          </cell>
        </row>
        <row r="9717">
          <cell r="D9717">
            <v>10880035982</v>
          </cell>
        </row>
        <row r="9718">
          <cell r="D9718">
            <v>10880020031</v>
          </cell>
        </row>
        <row r="9719">
          <cell r="D9719">
            <v>10880021545</v>
          </cell>
        </row>
        <row r="9720">
          <cell r="D9720">
            <v>10400014144</v>
          </cell>
        </row>
        <row r="9721">
          <cell r="D9721">
            <v>10880012825</v>
          </cell>
        </row>
        <row r="9722">
          <cell r="D9722">
            <v>10400014142</v>
          </cell>
        </row>
        <row r="9723">
          <cell r="D9723">
            <v>10880017536</v>
          </cell>
        </row>
        <row r="9724">
          <cell r="D9724">
            <v>10880017531</v>
          </cell>
        </row>
        <row r="9725">
          <cell r="D9725">
            <v>10880029957</v>
          </cell>
        </row>
        <row r="9726">
          <cell r="D9726">
            <v>10880035661</v>
          </cell>
        </row>
        <row r="9727">
          <cell r="D9727">
            <v>10880036480</v>
          </cell>
        </row>
        <row r="9728">
          <cell r="D9728">
            <v>10400033234</v>
          </cell>
        </row>
        <row r="9729">
          <cell r="D9729">
            <v>10880037415</v>
          </cell>
        </row>
        <row r="9730">
          <cell r="D9730">
            <v>10400032367</v>
          </cell>
        </row>
        <row r="9731">
          <cell r="D9731">
            <v>10880037415</v>
          </cell>
        </row>
        <row r="9732">
          <cell r="D9732">
            <v>10400032367</v>
          </cell>
        </row>
        <row r="9733">
          <cell r="D9733">
            <v>10880034669</v>
          </cell>
        </row>
        <row r="9734">
          <cell r="D9734">
            <v>10880032774</v>
          </cell>
        </row>
        <row r="9735">
          <cell r="D9735">
            <v>10880031871</v>
          </cell>
        </row>
        <row r="9736">
          <cell r="D9736">
            <v>10880017516</v>
          </cell>
        </row>
        <row r="9737">
          <cell r="D9737">
            <v>10880017525</v>
          </cell>
        </row>
        <row r="9738">
          <cell r="D9738">
            <v>10880033325</v>
          </cell>
        </row>
        <row r="9739">
          <cell r="D9739">
            <v>10880034995</v>
          </cell>
        </row>
        <row r="9740">
          <cell r="D9740">
            <v>10880035543</v>
          </cell>
        </row>
        <row r="9741">
          <cell r="D9741">
            <v>10880038122</v>
          </cell>
        </row>
        <row r="9742">
          <cell r="D9742">
            <v>10880022123</v>
          </cell>
        </row>
        <row r="9743">
          <cell r="D9743">
            <v>10880037059</v>
          </cell>
        </row>
        <row r="9744">
          <cell r="D9744">
            <v>10880037724</v>
          </cell>
        </row>
        <row r="9745">
          <cell r="D9745">
            <v>10880036495</v>
          </cell>
        </row>
        <row r="9746">
          <cell r="D9746">
            <v>10880036479</v>
          </cell>
        </row>
        <row r="9747">
          <cell r="D9747">
            <v>10400029072</v>
          </cell>
        </row>
        <row r="9748">
          <cell r="D9748">
            <v>10400031098</v>
          </cell>
        </row>
        <row r="9749">
          <cell r="D9749">
            <v>10400033234</v>
          </cell>
        </row>
        <row r="9750">
          <cell r="D9750">
            <v>10400033234</v>
          </cell>
        </row>
        <row r="9751">
          <cell r="D9751">
            <v>10880035379</v>
          </cell>
        </row>
        <row r="9752">
          <cell r="D9752">
            <v>10880035380</v>
          </cell>
        </row>
        <row r="9753">
          <cell r="D9753">
            <v>10880029054</v>
          </cell>
        </row>
        <row r="9754">
          <cell r="D9754">
            <v>10880028881</v>
          </cell>
        </row>
        <row r="9755">
          <cell r="D9755">
            <v>10880019682</v>
          </cell>
        </row>
        <row r="9756">
          <cell r="D9756">
            <v>10400033865</v>
          </cell>
        </row>
        <row r="9757">
          <cell r="D9757">
            <v>10400033866</v>
          </cell>
        </row>
        <row r="9758">
          <cell r="D9758">
            <v>10880038537</v>
          </cell>
        </row>
        <row r="9759">
          <cell r="D9759">
            <v>10880038537</v>
          </cell>
        </row>
        <row r="9760">
          <cell r="D9760">
            <v>10400033865</v>
          </cell>
        </row>
        <row r="9761">
          <cell r="D9761">
            <v>10400033866</v>
          </cell>
        </row>
        <row r="9762">
          <cell r="D9762">
            <v>10880035409</v>
          </cell>
        </row>
        <row r="9763">
          <cell r="D9763">
            <v>10880034251</v>
          </cell>
        </row>
        <row r="9764">
          <cell r="D9764">
            <v>10880038123</v>
          </cell>
        </row>
        <row r="9765">
          <cell r="D9765">
            <v>10880022123</v>
          </cell>
        </row>
        <row r="9766">
          <cell r="D9766">
            <v>10880033663</v>
          </cell>
        </row>
        <row r="9767">
          <cell r="D9767">
            <v>10880036434</v>
          </cell>
        </row>
        <row r="9768">
          <cell r="D9768">
            <v>10880031242</v>
          </cell>
        </row>
        <row r="9769">
          <cell r="D9769">
            <v>10880037616</v>
          </cell>
        </row>
        <row r="9770">
          <cell r="D9770">
            <v>10880037295</v>
          </cell>
        </row>
        <row r="9771">
          <cell r="D9771">
            <v>10400032219</v>
          </cell>
        </row>
        <row r="9772">
          <cell r="D9772">
            <v>10880038122</v>
          </cell>
        </row>
        <row r="9773">
          <cell r="D9773">
            <v>10880037725</v>
          </cell>
        </row>
        <row r="9774">
          <cell r="D9774">
            <v>10880035982</v>
          </cell>
        </row>
        <row r="9775">
          <cell r="D9775">
            <v>10880035981</v>
          </cell>
        </row>
        <row r="9776">
          <cell r="D9776">
            <v>10880034621</v>
          </cell>
        </row>
        <row r="9777">
          <cell r="D9777">
            <v>10880036479</v>
          </cell>
        </row>
        <row r="9778">
          <cell r="D9778">
            <v>10400030735</v>
          </cell>
        </row>
        <row r="9779">
          <cell r="D9779">
            <v>10880035303</v>
          </cell>
        </row>
        <row r="9780">
          <cell r="D9780">
            <v>10880038471</v>
          </cell>
        </row>
        <row r="9781">
          <cell r="D9781">
            <v>10880030545</v>
          </cell>
        </row>
        <row r="9782">
          <cell r="D9782">
            <v>10880031020</v>
          </cell>
        </row>
        <row r="9783">
          <cell r="D9783">
            <v>10880031243</v>
          </cell>
        </row>
        <row r="9784">
          <cell r="D9784">
            <v>10880033488</v>
          </cell>
        </row>
        <row r="9785">
          <cell r="D9785">
            <v>10880033564</v>
          </cell>
        </row>
        <row r="9786">
          <cell r="D9786">
            <v>10880035653</v>
          </cell>
        </row>
        <row r="9787">
          <cell r="D9787">
            <v>10880020640</v>
          </cell>
        </row>
        <row r="9788">
          <cell r="D9788">
            <v>10880037295</v>
          </cell>
        </row>
        <row r="9789">
          <cell r="D9789">
            <v>10400032219</v>
          </cell>
        </row>
        <row r="9790">
          <cell r="D9790">
            <v>10880038237</v>
          </cell>
        </row>
        <row r="9791">
          <cell r="D9791">
            <v>10400033478</v>
          </cell>
        </row>
        <row r="9792">
          <cell r="D9792">
            <v>10880037022</v>
          </cell>
        </row>
        <row r="9793">
          <cell r="D9793">
            <v>10400031867</v>
          </cell>
        </row>
        <row r="9794">
          <cell r="D9794">
            <v>10400033234</v>
          </cell>
        </row>
        <row r="9795">
          <cell r="D9795">
            <v>10400033234</v>
          </cell>
        </row>
        <row r="9796">
          <cell r="D9796">
            <v>10400033234</v>
          </cell>
        </row>
        <row r="9797">
          <cell r="D9797">
            <v>10400033234</v>
          </cell>
        </row>
        <row r="9798">
          <cell r="D9798">
            <v>10400033234</v>
          </cell>
        </row>
        <row r="9799">
          <cell r="D9799">
            <v>10880037297</v>
          </cell>
        </row>
        <row r="9800">
          <cell r="D9800">
            <v>10400032222</v>
          </cell>
        </row>
        <row r="9801">
          <cell r="D9801">
            <v>10880034669</v>
          </cell>
        </row>
        <row r="9802">
          <cell r="D9802">
            <v>10880033996</v>
          </cell>
        </row>
        <row r="9803">
          <cell r="D9803">
            <v>10880035983</v>
          </cell>
        </row>
        <row r="9804">
          <cell r="D9804">
            <v>10880035984</v>
          </cell>
        </row>
        <row r="9805">
          <cell r="D9805">
            <v>10880037368</v>
          </cell>
        </row>
        <row r="9806">
          <cell r="D9806">
            <v>10880029999</v>
          </cell>
        </row>
        <row r="9807">
          <cell r="D9807">
            <v>10880033916</v>
          </cell>
        </row>
        <row r="9808">
          <cell r="D9808">
            <v>10880035989</v>
          </cell>
        </row>
        <row r="9809">
          <cell r="D9809">
            <v>10880036432</v>
          </cell>
        </row>
        <row r="9810">
          <cell r="D9810">
            <v>10880036432</v>
          </cell>
        </row>
        <row r="9811">
          <cell r="D9811">
            <v>10880038124</v>
          </cell>
        </row>
        <row r="9812">
          <cell r="D9812">
            <v>10880038123</v>
          </cell>
        </row>
        <row r="9813">
          <cell r="D9813">
            <v>10880036348</v>
          </cell>
        </row>
        <row r="9814">
          <cell r="D9814">
            <v>10880037724</v>
          </cell>
        </row>
        <row r="9815">
          <cell r="D9815">
            <v>10880036205</v>
          </cell>
        </row>
        <row r="9816">
          <cell r="D9816">
            <v>10880030545</v>
          </cell>
        </row>
        <row r="9817">
          <cell r="D9817">
            <v>10880034622</v>
          </cell>
        </row>
        <row r="9818">
          <cell r="D9818">
            <v>10880030545</v>
          </cell>
        </row>
        <row r="9819">
          <cell r="D9819">
            <v>10880034622</v>
          </cell>
        </row>
        <row r="9820">
          <cell r="D9820">
            <v>10400030197</v>
          </cell>
        </row>
        <row r="9821">
          <cell r="D9821">
            <v>10400033494</v>
          </cell>
        </row>
        <row r="9822">
          <cell r="D9822">
            <v>10400030197</v>
          </cell>
        </row>
        <row r="9823">
          <cell r="D9823">
            <v>10400033496</v>
          </cell>
        </row>
        <row r="9824">
          <cell r="D9824">
            <v>10880033329</v>
          </cell>
        </row>
        <row r="9825">
          <cell r="D9825">
            <v>10880030608</v>
          </cell>
        </row>
        <row r="9826">
          <cell r="D9826">
            <v>10880035980</v>
          </cell>
        </row>
        <row r="9827">
          <cell r="D9827">
            <v>10880030920</v>
          </cell>
        </row>
        <row r="9828">
          <cell r="D9828">
            <v>10880037414</v>
          </cell>
        </row>
        <row r="9829">
          <cell r="D9829">
            <v>10400032365</v>
          </cell>
        </row>
        <row r="9830">
          <cell r="D9830">
            <v>10880036058</v>
          </cell>
        </row>
        <row r="9831">
          <cell r="D9831">
            <v>10400030543</v>
          </cell>
        </row>
        <row r="9832">
          <cell r="D9832">
            <v>10400033234</v>
          </cell>
        </row>
        <row r="9833">
          <cell r="D9833">
            <v>10400033234</v>
          </cell>
        </row>
        <row r="9834">
          <cell r="D9834">
            <v>10400033234</v>
          </cell>
        </row>
        <row r="9835">
          <cell r="D9835">
            <v>10880038236</v>
          </cell>
        </row>
        <row r="9836">
          <cell r="D9836">
            <v>10400033476</v>
          </cell>
        </row>
        <row r="9837">
          <cell r="D9837">
            <v>10880037023</v>
          </cell>
        </row>
        <row r="9838">
          <cell r="D9838">
            <v>10400031868</v>
          </cell>
        </row>
        <row r="9839">
          <cell r="D9839">
            <v>10880031096</v>
          </cell>
        </row>
        <row r="9840">
          <cell r="D9840">
            <v>10880031096</v>
          </cell>
        </row>
        <row r="9841">
          <cell r="D9841">
            <v>10880035709</v>
          </cell>
        </row>
        <row r="9842">
          <cell r="D9842">
            <v>10880032937</v>
          </cell>
        </row>
        <row r="9843">
          <cell r="D9843">
            <v>10880037368</v>
          </cell>
        </row>
        <row r="9844">
          <cell r="D9844">
            <v>10880035691</v>
          </cell>
        </row>
        <row r="9845">
          <cell r="D9845">
            <v>10880036931</v>
          </cell>
        </row>
        <row r="9846">
          <cell r="D9846">
            <v>10880036932</v>
          </cell>
        </row>
        <row r="9847">
          <cell r="D9847">
            <v>10880031249</v>
          </cell>
        </row>
        <row r="9848">
          <cell r="D9848">
            <v>10880036513</v>
          </cell>
        </row>
        <row r="9849">
          <cell r="D9849">
            <v>10880036514</v>
          </cell>
        </row>
        <row r="9850">
          <cell r="D9850">
            <v>10880017536</v>
          </cell>
        </row>
        <row r="9851">
          <cell r="D9851">
            <v>10880037268</v>
          </cell>
        </row>
        <row r="9852">
          <cell r="D9852">
            <v>10880036349</v>
          </cell>
        </row>
        <row r="9853">
          <cell r="D9853">
            <v>10880037059</v>
          </cell>
        </row>
        <row r="9854">
          <cell r="D9854">
            <v>10880037003</v>
          </cell>
        </row>
        <row r="9855">
          <cell r="D9855">
            <v>10880037724</v>
          </cell>
        </row>
        <row r="9856">
          <cell r="D9856">
            <v>10880031760</v>
          </cell>
        </row>
        <row r="9857">
          <cell r="D9857">
            <v>10880031011</v>
          </cell>
        </row>
        <row r="9858">
          <cell r="D9858">
            <v>10400029072</v>
          </cell>
        </row>
        <row r="9859">
          <cell r="D9859">
            <v>10400029072</v>
          </cell>
        </row>
        <row r="9860">
          <cell r="D9860">
            <v>10400029072</v>
          </cell>
        </row>
        <row r="9861">
          <cell r="D9861">
            <v>10400031117</v>
          </cell>
        </row>
        <row r="9862">
          <cell r="D9862">
            <v>10400031137</v>
          </cell>
        </row>
        <row r="9863">
          <cell r="D9863">
            <v>10880035981</v>
          </cell>
        </row>
        <row r="9864">
          <cell r="D9864">
            <v>10880036498</v>
          </cell>
        </row>
        <row r="9865">
          <cell r="D9865">
            <v>10880035661</v>
          </cell>
        </row>
        <row r="9866">
          <cell r="D9866">
            <v>10880018097</v>
          </cell>
        </row>
        <row r="9867">
          <cell r="D9867">
            <v>10400033234</v>
          </cell>
        </row>
        <row r="9868">
          <cell r="D9868">
            <v>10880037414</v>
          </cell>
        </row>
        <row r="9869">
          <cell r="D9869">
            <v>10400032365</v>
          </cell>
        </row>
        <row r="9870">
          <cell r="D9870">
            <v>10400033234</v>
          </cell>
        </row>
        <row r="9871">
          <cell r="D9871">
            <v>10400033234</v>
          </cell>
        </row>
        <row r="9872">
          <cell r="D9872">
            <v>10400033234</v>
          </cell>
        </row>
        <row r="9873">
          <cell r="D9873">
            <v>10400033234</v>
          </cell>
        </row>
        <row r="9874">
          <cell r="D9874">
            <v>10400033234</v>
          </cell>
        </row>
        <row r="9875">
          <cell r="D9875">
            <v>10400033234</v>
          </cell>
        </row>
        <row r="9876">
          <cell r="D9876">
            <v>10880032939</v>
          </cell>
        </row>
        <row r="9877">
          <cell r="D9877">
            <v>10880037199</v>
          </cell>
        </row>
        <row r="9878">
          <cell r="D9878">
            <v>10880037201</v>
          </cell>
        </row>
        <row r="9879">
          <cell r="D9879">
            <v>10880028306</v>
          </cell>
        </row>
        <row r="9880">
          <cell r="D9880">
            <v>10880033785</v>
          </cell>
        </row>
        <row r="9881">
          <cell r="D9881">
            <v>10880038433</v>
          </cell>
        </row>
        <row r="9882">
          <cell r="D9882">
            <v>10880037875</v>
          </cell>
        </row>
        <row r="9883">
          <cell r="D9883">
            <v>10880037877</v>
          </cell>
        </row>
        <row r="9884">
          <cell r="D9884">
            <v>10880038123</v>
          </cell>
        </row>
        <row r="9885">
          <cell r="D9885">
            <v>10880036760</v>
          </cell>
        </row>
        <row r="9886">
          <cell r="D9886">
            <v>10880037490</v>
          </cell>
        </row>
        <row r="9887">
          <cell r="D9887">
            <v>10880037725</v>
          </cell>
        </row>
        <row r="9888">
          <cell r="D9888">
            <v>10880037691</v>
          </cell>
        </row>
        <row r="9889">
          <cell r="D9889">
            <v>10880037003</v>
          </cell>
        </row>
        <row r="9890">
          <cell r="D9890">
            <v>10880038469</v>
          </cell>
        </row>
        <row r="9891">
          <cell r="D9891">
            <v>10880037596</v>
          </cell>
        </row>
        <row r="9892">
          <cell r="D9892">
            <v>10880037597</v>
          </cell>
        </row>
        <row r="9893">
          <cell r="D9893">
            <v>10400030646</v>
          </cell>
        </row>
        <row r="9894">
          <cell r="D9894">
            <v>10400031101</v>
          </cell>
        </row>
        <row r="9895">
          <cell r="D9895">
            <v>10880037615</v>
          </cell>
        </row>
        <row r="9896">
          <cell r="D9896">
            <v>10880036458</v>
          </cell>
        </row>
        <row r="9897">
          <cell r="D9897">
            <v>10400031068</v>
          </cell>
        </row>
        <row r="9898">
          <cell r="D9898">
            <v>10880032945</v>
          </cell>
        </row>
        <row r="9899">
          <cell r="D9899">
            <v>10880032943</v>
          </cell>
        </row>
        <row r="9900">
          <cell r="D9900">
            <v>10880037198</v>
          </cell>
        </row>
        <row r="9901">
          <cell r="D9901">
            <v>10880037200</v>
          </cell>
        </row>
        <row r="9902">
          <cell r="D9902">
            <v>10880030931</v>
          </cell>
        </row>
        <row r="9903">
          <cell r="D9903">
            <v>10880036706</v>
          </cell>
        </row>
        <row r="9904">
          <cell r="D9904">
            <v>10880017536</v>
          </cell>
        </row>
        <row r="9905">
          <cell r="D9905">
            <v>10880037684</v>
          </cell>
        </row>
        <row r="9906">
          <cell r="D9906">
            <v>10880037875</v>
          </cell>
        </row>
        <row r="9907">
          <cell r="D9907">
            <v>10880038123</v>
          </cell>
        </row>
        <row r="9908">
          <cell r="D9908">
            <v>10880038122</v>
          </cell>
        </row>
        <row r="9909">
          <cell r="D9909">
            <v>10880038122</v>
          </cell>
        </row>
        <row r="9910">
          <cell r="D9910">
            <v>10880022123</v>
          </cell>
        </row>
        <row r="9911">
          <cell r="D9911">
            <v>10880036919</v>
          </cell>
        </row>
        <row r="9912">
          <cell r="D9912">
            <v>10880037304</v>
          </cell>
        </row>
        <row r="9913">
          <cell r="D9913">
            <v>10400031098</v>
          </cell>
        </row>
        <row r="9915">
          <cell r="D9915">
            <v>10880031011</v>
          </cell>
        </row>
        <row r="9916">
          <cell r="D9916">
            <v>10880034619</v>
          </cell>
        </row>
        <row r="9917">
          <cell r="D9917">
            <v>10880038252</v>
          </cell>
        </row>
        <row r="9918">
          <cell r="D9918">
            <v>10880036493</v>
          </cell>
        </row>
        <row r="9919">
          <cell r="D9919">
            <v>10400029072</v>
          </cell>
        </row>
        <row r="9920">
          <cell r="D9920">
            <v>10400030194</v>
          </cell>
        </row>
        <row r="9921">
          <cell r="D9921">
            <v>10400030197</v>
          </cell>
        </row>
        <row r="9922">
          <cell r="D9922">
            <v>10880030545</v>
          </cell>
        </row>
        <row r="9923">
          <cell r="D9923">
            <v>10880030545</v>
          </cell>
        </row>
        <row r="9924">
          <cell r="D9924">
            <v>10880033635</v>
          </cell>
        </row>
        <row r="9925">
          <cell r="D9925">
            <v>10880036767</v>
          </cell>
        </row>
        <row r="9926">
          <cell r="D9926">
            <v>10880037263</v>
          </cell>
        </row>
        <row r="9927">
          <cell r="D9927">
            <v>10880035167</v>
          </cell>
        </row>
        <row r="9928">
          <cell r="D9928">
            <v>10880035167</v>
          </cell>
        </row>
        <row r="9929">
          <cell r="D9929">
            <v>10880020208</v>
          </cell>
        </row>
        <row r="9930">
          <cell r="D9930">
            <v>10880037023</v>
          </cell>
        </row>
        <row r="9931">
          <cell r="D9931">
            <v>10400031868</v>
          </cell>
        </row>
        <row r="9932">
          <cell r="D9932">
            <v>10880038441</v>
          </cell>
        </row>
        <row r="9933">
          <cell r="D9933">
            <v>10400033741</v>
          </cell>
        </row>
        <row r="9934">
          <cell r="D9934">
            <v>10880038239</v>
          </cell>
        </row>
        <row r="9935">
          <cell r="D9935">
            <v>10400033482</v>
          </cell>
        </row>
        <row r="9936">
          <cell r="D9936">
            <v>10880037204</v>
          </cell>
        </row>
        <row r="9937">
          <cell r="D9937">
            <v>10880032298</v>
          </cell>
        </row>
        <row r="9938">
          <cell r="D9938">
            <v>10880036707</v>
          </cell>
        </row>
        <row r="9939">
          <cell r="D9939">
            <v>10880036704</v>
          </cell>
        </row>
        <row r="9940">
          <cell r="D9940">
            <v>10880031182</v>
          </cell>
        </row>
        <row r="9941">
          <cell r="D9941">
            <v>10880037877</v>
          </cell>
        </row>
        <row r="9942">
          <cell r="D9942">
            <v>10880017536</v>
          </cell>
        </row>
        <row r="9943">
          <cell r="D9943">
            <v>10880034251</v>
          </cell>
        </row>
        <row r="9944">
          <cell r="D9944">
            <v>10880038122</v>
          </cell>
        </row>
        <row r="9945">
          <cell r="D9945">
            <v>10880037691</v>
          </cell>
        </row>
        <row r="9946">
          <cell r="D9946">
            <v>10880035982</v>
          </cell>
        </row>
        <row r="9947">
          <cell r="D9947">
            <v>10880031139</v>
          </cell>
        </row>
        <row r="9948">
          <cell r="D9948">
            <v>10880030608</v>
          </cell>
        </row>
        <row r="9949">
          <cell r="D9949">
            <v>10880030607</v>
          </cell>
        </row>
        <row r="9950">
          <cell r="D9950">
            <v>10880036434</v>
          </cell>
        </row>
        <row r="9951">
          <cell r="D9951">
            <v>10880036361</v>
          </cell>
        </row>
        <row r="9952">
          <cell r="D9952">
            <v>10880034621</v>
          </cell>
        </row>
        <row r="9953">
          <cell r="D9953">
            <v>10880036505</v>
          </cell>
        </row>
        <row r="9954">
          <cell r="D9954">
            <v>10880036481</v>
          </cell>
        </row>
        <row r="9955">
          <cell r="D9955">
            <v>10880031020</v>
          </cell>
        </row>
        <row r="9956">
          <cell r="D9956">
            <v>10880031020</v>
          </cell>
        </row>
        <row r="9957">
          <cell r="D9957">
            <v>10880033634</v>
          </cell>
        </row>
        <row r="9958">
          <cell r="D9958">
            <v>10880035795</v>
          </cell>
        </row>
        <row r="9959">
          <cell r="D9959">
            <v>10400030735</v>
          </cell>
        </row>
        <row r="9960">
          <cell r="D9960">
            <v>10880033329</v>
          </cell>
        </row>
        <row r="9961">
          <cell r="D9961">
            <v>10880036721</v>
          </cell>
        </row>
        <row r="9962">
          <cell r="D9962">
            <v>10880018097</v>
          </cell>
        </row>
        <row r="9963">
          <cell r="D9963">
            <v>10880038441</v>
          </cell>
        </row>
        <row r="9964">
          <cell r="D9964">
            <v>10400033741</v>
          </cell>
        </row>
        <row r="9965">
          <cell r="D9965">
            <v>10880038445</v>
          </cell>
        </row>
        <row r="9966">
          <cell r="D9966">
            <v>10400033740</v>
          </cell>
        </row>
        <row r="9967">
          <cell r="D9967">
            <v>10880038237</v>
          </cell>
        </row>
        <row r="9968">
          <cell r="D9968">
            <v>10400033478</v>
          </cell>
        </row>
        <row r="9969">
          <cell r="D9969">
            <v>10880036364</v>
          </cell>
        </row>
        <row r="9970">
          <cell r="D9970">
            <v>10400030956</v>
          </cell>
        </row>
        <row r="9971">
          <cell r="D9971">
            <v>10400033234</v>
          </cell>
        </row>
        <row r="9972">
          <cell r="D9972">
            <v>10400033234</v>
          </cell>
        </row>
        <row r="9973">
          <cell r="D9973">
            <v>10400033234</v>
          </cell>
        </row>
        <row r="9974">
          <cell r="D9974">
            <v>10880032885</v>
          </cell>
        </row>
        <row r="9975">
          <cell r="D9975">
            <v>10880031307</v>
          </cell>
        </row>
        <row r="9976">
          <cell r="D9976">
            <v>10880017516</v>
          </cell>
        </row>
        <row r="9977">
          <cell r="D9977">
            <v>10880037164</v>
          </cell>
        </row>
        <row r="9978">
          <cell r="D9978">
            <v>10880034411</v>
          </cell>
        </row>
        <row r="9979">
          <cell r="D9979">
            <v>10880038122</v>
          </cell>
        </row>
        <row r="9980">
          <cell r="D9980">
            <v>10880022123</v>
          </cell>
        </row>
        <row r="9981">
          <cell r="D9981">
            <v>10880037725</v>
          </cell>
        </row>
        <row r="9982">
          <cell r="D9982">
            <v>10880037304</v>
          </cell>
        </row>
        <row r="9983">
          <cell r="D9983">
            <v>10400030197</v>
          </cell>
        </row>
        <row r="9984">
          <cell r="D9984">
            <v>10400033496</v>
          </cell>
        </row>
        <row r="9985">
          <cell r="D9985">
            <v>10400030197</v>
          </cell>
        </row>
        <row r="9986">
          <cell r="D9986">
            <v>10400030493</v>
          </cell>
        </row>
        <row r="9987">
          <cell r="D9987">
            <v>10880035303</v>
          </cell>
        </row>
        <row r="9988">
          <cell r="D9988">
            <v>10880035315</v>
          </cell>
        </row>
        <row r="9989">
          <cell r="D9989">
            <v>10880038442</v>
          </cell>
        </row>
        <row r="9990">
          <cell r="D9990">
            <v>10400033743</v>
          </cell>
        </row>
        <row r="9991">
          <cell r="D9991">
            <v>10880038442</v>
          </cell>
        </row>
        <row r="9992">
          <cell r="D9992">
            <v>10400033743</v>
          </cell>
        </row>
        <row r="9993">
          <cell r="D9993">
            <v>10400033234</v>
          </cell>
        </row>
        <row r="9994">
          <cell r="D9994">
            <v>10400033234</v>
          </cell>
        </row>
        <row r="9995">
          <cell r="D9995">
            <v>10400033234</v>
          </cell>
        </row>
        <row r="9996">
          <cell r="D9996">
            <v>10880032885</v>
          </cell>
        </row>
        <row r="9997">
          <cell r="D9997">
            <v>10880017525</v>
          </cell>
        </row>
        <row r="9998">
          <cell r="D9998">
            <v>10880017525</v>
          </cell>
        </row>
        <row r="9999">
          <cell r="D9999">
            <v>10880033217</v>
          </cell>
        </row>
        <row r="10000">
          <cell r="D10000">
            <v>10880037684</v>
          </cell>
        </row>
        <row r="10001">
          <cell r="D10001">
            <v>10880038123</v>
          </cell>
        </row>
        <row r="10002">
          <cell r="D10002">
            <v>10880022123</v>
          </cell>
        </row>
        <row r="10003">
          <cell r="D10003">
            <v>10880037003</v>
          </cell>
        </row>
        <row r="10004">
          <cell r="D10004">
            <v>10880037003</v>
          </cell>
        </row>
        <row r="10005">
          <cell r="D10005">
            <v>10880037724</v>
          </cell>
        </row>
        <row r="10006">
          <cell r="D10006">
            <v>10880031011</v>
          </cell>
        </row>
        <row r="10007">
          <cell r="D10007">
            <v>10880033610</v>
          </cell>
        </row>
        <row r="10008">
          <cell r="D10008">
            <v>10880036205</v>
          </cell>
        </row>
        <row r="10009">
          <cell r="D10009">
            <v>10880037617</v>
          </cell>
        </row>
        <row r="10010">
          <cell r="D10010">
            <v>10880035982</v>
          </cell>
        </row>
        <row r="10011">
          <cell r="D10011">
            <v>10880028469</v>
          </cell>
        </row>
        <row r="10012">
          <cell r="D10012">
            <v>10880018097</v>
          </cell>
        </row>
        <row r="10013">
          <cell r="D10013">
            <v>10880035661</v>
          </cell>
        </row>
        <row r="10014">
          <cell r="D10014">
            <v>10880035653</v>
          </cell>
        </row>
        <row r="10015">
          <cell r="D10015">
            <v>10880037022</v>
          </cell>
        </row>
        <row r="10016">
          <cell r="D10016">
            <v>10400031867</v>
          </cell>
        </row>
        <row r="10017">
          <cell r="D10017">
            <v>10880038225</v>
          </cell>
        </row>
        <row r="10018">
          <cell r="D10018">
            <v>10400033458</v>
          </cell>
        </row>
        <row r="10019">
          <cell r="D10019">
            <v>10400033234</v>
          </cell>
        </row>
        <row r="10020">
          <cell r="D10020">
            <v>10880037046</v>
          </cell>
        </row>
        <row r="10021">
          <cell r="D10021">
            <v>10880037047</v>
          </cell>
        </row>
        <row r="10022">
          <cell r="D10022">
            <v>10880037178</v>
          </cell>
        </row>
        <row r="10023">
          <cell r="D10023">
            <v>10880035984</v>
          </cell>
        </row>
        <row r="10024">
          <cell r="D10024">
            <v>10880036760</v>
          </cell>
        </row>
        <row r="10025">
          <cell r="D10025">
            <v>10880020048</v>
          </cell>
        </row>
        <row r="10026">
          <cell r="D10026">
            <v>10880031160</v>
          </cell>
        </row>
        <row r="10027">
          <cell r="D10027">
            <v>10880038123</v>
          </cell>
        </row>
        <row r="10028">
          <cell r="D10028">
            <v>10880033785</v>
          </cell>
        </row>
        <row r="10029">
          <cell r="D10029">
            <v>10880033325</v>
          </cell>
        </row>
        <row r="10030">
          <cell r="D10030">
            <v>10880037724</v>
          </cell>
        </row>
        <row r="10031">
          <cell r="D10031">
            <v>10880035981</v>
          </cell>
        </row>
        <row r="10032">
          <cell r="D10032">
            <v>10880020187</v>
          </cell>
        </row>
        <row r="10033">
          <cell r="D10033">
            <v>10880036467</v>
          </cell>
        </row>
        <row r="10034">
          <cell r="D10034">
            <v>10880031760</v>
          </cell>
        </row>
        <row r="10035">
          <cell r="D10035">
            <v>10880034196</v>
          </cell>
        </row>
        <row r="10036">
          <cell r="D10036">
            <v>10880034197</v>
          </cell>
        </row>
        <row r="10037">
          <cell r="D10037">
            <v>10880030519</v>
          </cell>
        </row>
        <row r="10038">
          <cell r="D10038">
            <v>10400030197</v>
          </cell>
        </row>
        <row r="10039">
          <cell r="D10039">
            <v>10400034245</v>
          </cell>
        </row>
        <row r="10040">
          <cell r="D10040">
            <v>10880037380</v>
          </cell>
        </row>
        <row r="10041">
          <cell r="D10041">
            <v>10400033234</v>
          </cell>
        </row>
        <row r="10042">
          <cell r="D10042">
            <v>10400033234</v>
          </cell>
        </row>
        <row r="10043">
          <cell r="D10043">
            <v>10400033234</v>
          </cell>
        </row>
        <row r="10044">
          <cell r="D10044">
            <v>10880038441</v>
          </cell>
        </row>
        <row r="10045">
          <cell r="D10045">
            <v>10400033741</v>
          </cell>
        </row>
        <row r="10046">
          <cell r="D10046">
            <v>10880038443</v>
          </cell>
        </row>
        <row r="10047">
          <cell r="D10047">
            <v>10400033745</v>
          </cell>
        </row>
        <row r="10048">
          <cell r="D10048">
            <v>10880038443</v>
          </cell>
        </row>
        <row r="10049">
          <cell r="D10049">
            <v>10400033745</v>
          </cell>
        </row>
        <row r="10050">
          <cell r="D10050">
            <v>10880017949</v>
          </cell>
        </row>
        <row r="10051">
          <cell r="D10051">
            <v>10400033859</v>
          </cell>
        </row>
        <row r="10052">
          <cell r="D10052">
            <v>10400033865</v>
          </cell>
        </row>
        <row r="10053">
          <cell r="D10053">
            <v>10880036708</v>
          </cell>
        </row>
        <row r="10054">
          <cell r="D10054">
            <v>10880032945</v>
          </cell>
        </row>
        <row r="10055">
          <cell r="D10055">
            <v>10880032939</v>
          </cell>
        </row>
        <row r="10056">
          <cell r="D10056">
            <v>10880037203</v>
          </cell>
        </row>
        <row r="10057">
          <cell r="D10057">
            <v>10880037198</v>
          </cell>
        </row>
        <row r="10058">
          <cell r="D10058">
            <v>10880033535</v>
          </cell>
        </row>
        <row r="10059">
          <cell r="D10059">
            <v>10880036764</v>
          </cell>
        </row>
        <row r="10060">
          <cell r="D10060">
            <v>10880035232</v>
          </cell>
        </row>
        <row r="10061">
          <cell r="D10061">
            <v>10880038123</v>
          </cell>
        </row>
        <row r="10062">
          <cell r="D10062">
            <v>10880035543</v>
          </cell>
        </row>
        <row r="10063">
          <cell r="D10063">
            <v>10880034251</v>
          </cell>
        </row>
        <row r="10064">
          <cell r="D10064">
            <v>10880029958</v>
          </cell>
        </row>
        <row r="10065">
          <cell r="D10065">
            <v>10880037725</v>
          </cell>
        </row>
        <row r="10066">
          <cell r="D10066">
            <v>10880037724</v>
          </cell>
        </row>
        <row r="10067">
          <cell r="D10067">
            <v>10880038251</v>
          </cell>
        </row>
        <row r="10068">
          <cell r="D10068">
            <v>10880030520</v>
          </cell>
        </row>
        <row r="10069">
          <cell r="D10069">
            <v>10400029072</v>
          </cell>
        </row>
        <row r="10070">
          <cell r="D10070">
            <v>10400030646</v>
          </cell>
        </row>
        <row r="10071">
          <cell r="D10071">
            <v>10400029072</v>
          </cell>
        </row>
        <row r="10072">
          <cell r="D10072">
            <v>10400031135</v>
          </cell>
        </row>
        <row r="10073">
          <cell r="D10073">
            <v>10400030739</v>
          </cell>
        </row>
        <row r="10074">
          <cell r="D10074">
            <v>10400031126</v>
          </cell>
        </row>
        <row r="10075">
          <cell r="D10075">
            <v>10880037426</v>
          </cell>
        </row>
        <row r="10076">
          <cell r="D10076">
            <v>10880037382</v>
          </cell>
        </row>
        <row r="10077">
          <cell r="D10077">
            <v>10400033234</v>
          </cell>
        </row>
        <row r="10078">
          <cell r="D10078">
            <v>10400033234</v>
          </cell>
        </row>
        <row r="10079">
          <cell r="D10079">
            <v>10400033234</v>
          </cell>
        </row>
        <row r="10080">
          <cell r="D10080">
            <v>10400033234</v>
          </cell>
        </row>
        <row r="10081">
          <cell r="D10081">
            <v>10880038445</v>
          </cell>
        </row>
        <row r="10082">
          <cell r="D10082">
            <v>10400033740</v>
          </cell>
        </row>
        <row r="10083">
          <cell r="D10083">
            <v>10880035380</v>
          </cell>
        </row>
        <row r="10084">
          <cell r="D10084">
            <v>10880035381</v>
          </cell>
        </row>
        <row r="10085">
          <cell r="D10085">
            <v>10880038536</v>
          </cell>
        </row>
        <row r="10086">
          <cell r="D10086">
            <v>10400033860</v>
          </cell>
        </row>
        <row r="10087">
          <cell r="D10087">
            <v>10880038537</v>
          </cell>
        </row>
        <row r="10088">
          <cell r="D10088">
            <v>10400033866</v>
          </cell>
        </row>
        <row r="10089">
          <cell r="D10089">
            <v>10880036706</v>
          </cell>
        </row>
        <row r="10090">
          <cell r="D10090">
            <v>10880036707</v>
          </cell>
        </row>
        <row r="10091">
          <cell r="D10091">
            <v>10880029957</v>
          </cell>
        </row>
        <row r="10092">
          <cell r="D10092">
            <v>10880036760</v>
          </cell>
        </row>
        <row r="10093">
          <cell r="D10093">
            <v>10880036761</v>
          </cell>
        </row>
        <row r="10094">
          <cell r="D10094">
            <v>10880038499</v>
          </cell>
        </row>
        <row r="10095">
          <cell r="D10095">
            <v>10880021416</v>
          </cell>
        </row>
        <row r="10096">
          <cell r="D10096">
            <v>10880031307</v>
          </cell>
        </row>
        <row r="10097">
          <cell r="D10097">
            <v>10880033217</v>
          </cell>
        </row>
        <row r="10098">
          <cell r="D10098">
            <v>10880030976</v>
          </cell>
        </row>
        <row r="10099">
          <cell r="D10099">
            <v>10880030607</v>
          </cell>
        </row>
        <row r="10100">
          <cell r="D10100">
            <v>10880030608</v>
          </cell>
        </row>
        <row r="10101">
          <cell r="D10101">
            <v>10880037724</v>
          </cell>
        </row>
        <row r="10102">
          <cell r="D10102">
            <v>10880033655</v>
          </cell>
        </row>
        <row r="10103">
          <cell r="D10103">
            <v>10880029033</v>
          </cell>
        </row>
        <row r="10104">
          <cell r="D10104">
            <v>10880033655</v>
          </cell>
        </row>
        <row r="10105">
          <cell r="D10105">
            <v>10880035754</v>
          </cell>
        </row>
        <row r="10106">
          <cell r="D10106">
            <v>10880033655</v>
          </cell>
        </row>
        <row r="10107">
          <cell r="D10107">
            <v>10880033655</v>
          </cell>
        </row>
        <row r="10108">
          <cell r="D10108">
            <v>10880035299</v>
          </cell>
        </row>
        <row r="10109">
          <cell r="D10109">
            <v>10400029072</v>
          </cell>
        </row>
        <row r="10110">
          <cell r="D10110">
            <v>10400030646</v>
          </cell>
        </row>
        <row r="10111">
          <cell r="D10111">
            <v>10400029072</v>
          </cell>
        </row>
        <row r="10112">
          <cell r="D10112">
            <v>10880035982</v>
          </cell>
        </row>
        <row r="10113">
          <cell r="D10113">
            <v>10880035981</v>
          </cell>
        </row>
        <row r="10114">
          <cell r="D10114">
            <v>10400033234</v>
          </cell>
        </row>
        <row r="10115">
          <cell r="D10115">
            <v>10400033234</v>
          </cell>
        </row>
        <row r="10116">
          <cell r="D10116">
            <v>10400033234</v>
          </cell>
        </row>
        <row r="10117">
          <cell r="D10117">
            <v>10880038225</v>
          </cell>
        </row>
        <row r="10118">
          <cell r="D10118">
            <v>10400033458</v>
          </cell>
        </row>
        <row r="10119">
          <cell r="D10119">
            <v>10880038602</v>
          </cell>
        </row>
        <row r="10120">
          <cell r="D10120">
            <v>10400033943</v>
          </cell>
        </row>
        <row r="10121">
          <cell r="D10121">
            <v>10880037688</v>
          </cell>
        </row>
        <row r="10122">
          <cell r="D10122">
            <v>10400032759</v>
          </cell>
        </row>
        <row r="10123">
          <cell r="D10123">
            <v>10880038444</v>
          </cell>
        </row>
        <row r="10124">
          <cell r="D10124">
            <v>10400033747</v>
          </cell>
        </row>
        <row r="10125">
          <cell r="D10125">
            <v>10880038239</v>
          </cell>
        </row>
        <row r="10126">
          <cell r="D10126">
            <v>10400033482</v>
          </cell>
        </row>
        <row r="10127">
          <cell r="D10127">
            <v>10880038445</v>
          </cell>
        </row>
        <row r="10128">
          <cell r="D10128">
            <v>10400033740</v>
          </cell>
        </row>
        <row r="10129">
          <cell r="D10129">
            <v>10880030784</v>
          </cell>
        </row>
        <row r="10130">
          <cell r="D10130">
            <v>10880017516</v>
          </cell>
        </row>
        <row r="10131">
          <cell r="D10131">
            <v>10880017524</v>
          </cell>
        </row>
        <row r="10132">
          <cell r="D10132">
            <v>10880022442</v>
          </cell>
        </row>
        <row r="10133">
          <cell r="D10133">
            <v>10880017536</v>
          </cell>
        </row>
        <row r="10134">
          <cell r="D10134">
            <v>10880018097</v>
          </cell>
        </row>
        <row r="10135">
          <cell r="D10135">
            <v>10880037059</v>
          </cell>
        </row>
        <row r="10136">
          <cell r="D10136">
            <v>10880037059</v>
          </cell>
        </row>
        <row r="10137">
          <cell r="D10137">
            <v>10880036020</v>
          </cell>
        </row>
        <row r="10138">
          <cell r="D10138">
            <v>10880036504</v>
          </cell>
        </row>
        <row r="10139">
          <cell r="D10139">
            <v>10880036207</v>
          </cell>
        </row>
        <row r="10140">
          <cell r="D10140">
            <v>10400031101</v>
          </cell>
        </row>
        <row r="10141">
          <cell r="D10141">
            <v>10880035441</v>
          </cell>
        </row>
        <row r="10142">
          <cell r="D10142">
            <v>10880037377</v>
          </cell>
        </row>
        <row r="10143">
          <cell r="D10143">
            <v>10880037379</v>
          </cell>
        </row>
        <row r="10144">
          <cell r="D10144">
            <v>10880030596</v>
          </cell>
        </row>
        <row r="10145">
          <cell r="D10145">
            <v>10880030920</v>
          </cell>
        </row>
        <row r="10146">
          <cell r="D10146">
            <v>10880037295</v>
          </cell>
        </row>
        <row r="10147">
          <cell r="D10147">
            <v>10400032219</v>
          </cell>
        </row>
        <row r="10148">
          <cell r="D10148">
            <v>10400033234</v>
          </cell>
        </row>
        <row r="10149">
          <cell r="D10149">
            <v>10880038602</v>
          </cell>
        </row>
        <row r="10150">
          <cell r="D10150">
            <v>10400033943</v>
          </cell>
        </row>
        <row r="10151">
          <cell r="D10151">
            <v>10880034669</v>
          </cell>
        </row>
        <row r="10152">
          <cell r="D10152">
            <v>10880033996</v>
          </cell>
        </row>
        <row r="10153">
          <cell r="D10153">
            <v>10880017527</v>
          </cell>
        </row>
        <row r="10154">
          <cell r="D10154">
            <v>10880030934</v>
          </cell>
        </row>
        <row r="10155">
          <cell r="D10155">
            <v>10880038499</v>
          </cell>
        </row>
        <row r="10156">
          <cell r="D10156">
            <v>10880020048</v>
          </cell>
        </row>
        <row r="10157">
          <cell r="D10157">
            <v>10880017949</v>
          </cell>
        </row>
        <row r="10158">
          <cell r="D10158">
            <v>10880036432</v>
          </cell>
        </row>
        <row r="10159">
          <cell r="D10159">
            <v>10880022123</v>
          </cell>
        </row>
        <row r="10160">
          <cell r="D10160">
            <v>10880020275</v>
          </cell>
        </row>
        <row r="10161">
          <cell r="D10161">
            <v>10880037725</v>
          </cell>
        </row>
        <row r="10162">
          <cell r="D10162">
            <v>10880029033</v>
          </cell>
        </row>
        <row r="10163">
          <cell r="D10163">
            <v>10880033329</v>
          </cell>
        </row>
        <row r="10164">
          <cell r="D10164">
            <v>10880020940</v>
          </cell>
        </row>
        <row r="10165">
          <cell r="D10165">
            <v>10880020678</v>
          </cell>
        </row>
        <row r="10166">
          <cell r="D10166">
            <v>10880033564</v>
          </cell>
        </row>
        <row r="10167">
          <cell r="D10167">
            <v>10880035167</v>
          </cell>
        </row>
        <row r="10168">
          <cell r="D10168">
            <v>10880034946</v>
          </cell>
        </row>
        <row r="10169">
          <cell r="D10169">
            <v>10880036498</v>
          </cell>
        </row>
        <row r="10170">
          <cell r="D10170">
            <v>10880037179</v>
          </cell>
        </row>
        <row r="10171">
          <cell r="D10171">
            <v>10880020031</v>
          </cell>
        </row>
        <row r="10172">
          <cell r="D10172">
            <v>10880030203</v>
          </cell>
        </row>
        <row r="10173">
          <cell r="D10173">
            <v>10880017949</v>
          </cell>
        </row>
        <row r="10174">
          <cell r="D10174">
            <v>10880036348</v>
          </cell>
        </row>
        <row r="10175">
          <cell r="D10175">
            <v>10880036423</v>
          </cell>
        </row>
        <row r="10176">
          <cell r="D10176">
            <v>10880036432</v>
          </cell>
        </row>
        <row r="10177">
          <cell r="D10177">
            <v>10880038124</v>
          </cell>
        </row>
        <row r="10178">
          <cell r="D10178">
            <v>10880038125</v>
          </cell>
        </row>
        <row r="10179">
          <cell r="D10179">
            <v>10880038123</v>
          </cell>
        </row>
        <row r="10180">
          <cell r="D10180">
            <v>10880033325</v>
          </cell>
        </row>
        <row r="10181">
          <cell r="D10181">
            <v>10880033785</v>
          </cell>
        </row>
        <row r="10182">
          <cell r="D10182">
            <v>10880035754</v>
          </cell>
        </row>
        <row r="10183">
          <cell r="D10183">
            <v>10400033234</v>
          </cell>
        </row>
        <row r="10184">
          <cell r="D10184">
            <v>10400033234</v>
          </cell>
        </row>
        <row r="10185">
          <cell r="D10185">
            <v>10400033234</v>
          </cell>
        </row>
        <row r="10186">
          <cell r="D10186">
            <v>10400033234</v>
          </cell>
        </row>
        <row r="10187">
          <cell r="D10187">
            <v>10880037662</v>
          </cell>
        </row>
        <row r="10188">
          <cell r="D10188">
            <v>10400032704</v>
          </cell>
        </row>
        <row r="10189">
          <cell r="D10189">
            <v>10880037662</v>
          </cell>
        </row>
        <row r="10190">
          <cell r="D10190">
            <v>10400032704</v>
          </cell>
        </row>
        <row r="10191">
          <cell r="D10191">
            <v>10880033535</v>
          </cell>
        </row>
        <row r="10192">
          <cell r="D10192">
            <v>10880037205</v>
          </cell>
        </row>
        <row r="10193">
          <cell r="D10193">
            <v>10880035984</v>
          </cell>
        </row>
        <row r="10194">
          <cell r="D10194">
            <v>10400031098</v>
          </cell>
        </row>
        <row r="10195">
          <cell r="D10195">
            <v>10400031118</v>
          </cell>
        </row>
        <row r="10196">
          <cell r="D10196">
            <v>10880038252</v>
          </cell>
        </row>
        <row r="10197">
          <cell r="D10197">
            <v>10880038810</v>
          </cell>
        </row>
        <row r="10198">
          <cell r="D10198">
            <v>10880036481</v>
          </cell>
        </row>
        <row r="10199">
          <cell r="D10199">
            <v>10880033605</v>
          </cell>
        </row>
        <row r="10200">
          <cell r="D10200">
            <v>10880035196</v>
          </cell>
        </row>
        <row r="10201">
          <cell r="D10201">
            <v>10880030607</v>
          </cell>
        </row>
        <row r="10202">
          <cell r="D10202">
            <v>10880030608</v>
          </cell>
        </row>
        <row r="10203">
          <cell r="D10203">
            <v>10880030976</v>
          </cell>
        </row>
        <row r="10204">
          <cell r="D10204">
            <v>10880035653</v>
          </cell>
        </row>
        <row r="10205">
          <cell r="D10205">
            <v>10880037426</v>
          </cell>
        </row>
        <row r="10206">
          <cell r="D10206">
            <v>10880037688</v>
          </cell>
        </row>
        <row r="10207">
          <cell r="D10207">
            <v>10400032759</v>
          </cell>
        </row>
        <row r="10208">
          <cell r="D10208">
            <v>10400033234</v>
          </cell>
        </row>
        <row r="10209">
          <cell r="D10209">
            <v>10400033234</v>
          </cell>
        </row>
        <row r="10210">
          <cell r="D10210">
            <v>10400033234</v>
          </cell>
        </row>
        <row r="10211">
          <cell r="D10211">
            <v>10400033234</v>
          </cell>
        </row>
        <row r="10212">
          <cell r="D10212">
            <v>10400033234</v>
          </cell>
        </row>
        <row r="10213">
          <cell r="D10213">
            <v>10880038442</v>
          </cell>
        </row>
        <row r="10214">
          <cell r="D10214">
            <v>10400033743</v>
          </cell>
        </row>
        <row r="10215">
          <cell r="D10215">
            <v>10400033234</v>
          </cell>
        </row>
        <row r="10216">
          <cell r="D10216">
            <v>10400033234</v>
          </cell>
        </row>
        <row r="10217">
          <cell r="D10217">
            <v>10400033234</v>
          </cell>
        </row>
        <row r="10218">
          <cell r="D10218">
            <v>10400033234</v>
          </cell>
        </row>
        <row r="10219">
          <cell r="D10219">
            <v>10400033234</v>
          </cell>
        </row>
        <row r="10220">
          <cell r="D10220">
            <v>10880038444</v>
          </cell>
        </row>
        <row r="10221">
          <cell r="D10221">
            <v>10400033747</v>
          </cell>
        </row>
        <row r="10222">
          <cell r="D10222">
            <v>10880032885</v>
          </cell>
        </row>
        <row r="10223">
          <cell r="D10223">
            <v>10880028834</v>
          </cell>
        </row>
        <row r="10224">
          <cell r="D10224">
            <v>10880035379</v>
          </cell>
        </row>
        <row r="10225">
          <cell r="D10225">
            <v>10880032943</v>
          </cell>
        </row>
        <row r="10226">
          <cell r="D10226">
            <v>10880017516</v>
          </cell>
        </row>
        <row r="10227">
          <cell r="D10227">
            <v>10880028306</v>
          </cell>
        </row>
        <row r="10228">
          <cell r="D10228">
            <v>10880020031</v>
          </cell>
        </row>
        <row r="10229">
          <cell r="D10229">
            <v>10880027925</v>
          </cell>
        </row>
        <row r="10230">
          <cell r="D10230">
            <v>10880028881</v>
          </cell>
        </row>
        <row r="10231">
          <cell r="D10231">
            <v>10880020556</v>
          </cell>
        </row>
        <row r="10232">
          <cell r="D10232">
            <v>10880038122</v>
          </cell>
        </row>
        <row r="10233">
          <cell r="D10233">
            <v>10880038433</v>
          </cell>
        </row>
        <row r="10234">
          <cell r="D10234">
            <v>10880030004</v>
          </cell>
        </row>
        <row r="10235">
          <cell r="D10235">
            <v>10880036479</v>
          </cell>
        </row>
        <row r="10236">
          <cell r="D10236">
            <v>10400030646</v>
          </cell>
        </row>
        <row r="10237">
          <cell r="D10237">
            <v>10880033634</v>
          </cell>
        </row>
        <row r="10238">
          <cell r="D10238">
            <v>10880033635</v>
          </cell>
        </row>
        <row r="10239">
          <cell r="D10239">
            <v>10880021476</v>
          </cell>
        </row>
        <row r="10240">
          <cell r="D10240">
            <v>10880038291</v>
          </cell>
        </row>
        <row r="10241">
          <cell r="D10241">
            <v>10880035979</v>
          </cell>
        </row>
        <row r="10242">
          <cell r="D10242">
            <v>10880030738</v>
          </cell>
        </row>
        <row r="10243">
          <cell r="D10243">
            <v>10880031135</v>
          </cell>
        </row>
        <row r="10244">
          <cell r="D10244">
            <v>10880021015</v>
          </cell>
        </row>
        <row r="10245">
          <cell r="D10245">
            <v>10880037426</v>
          </cell>
        </row>
        <row r="10246">
          <cell r="D10246">
            <v>10880037426</v>
          </cell>
        </row>
        <row r="10247">
          <cell r="D10247">
            <v>10880038443</v>
          </cell>
        </row>
        <row r="10248">
          <cell r="D10248">
            <v>10400033745</v>
          </cell>
        </row>
        <row r="10249">
          <cell r="D10249">
            <v>10880037662</v>
          </cell>
        </row>
        <row r="10250">
          <cell r="D10250">
            <v>10400032704</v>
          </cell>
        </row>
        <row r="10251">
          <cell r="D10251">
            <v>10880038600</v>
          </cell>
        </row>
        <row r="10252">
          <cell r="D10252">
            <v>10400033939</v>
          </cell>
        </row>
        <row r="10253">
          <cell r="D10253">
            <v>10880038601</v>
          </cell>
        </row>
        <row r="10254">
          <cell r="D10254">
            <v>10400033941</v>
          </cell>
        </row>
        <row r="10255">
          <cell r="D10255">
            <v>10880038598</v>
          </cell>
        </row>
        <row r="10256">
          <cell r="D10256">
            <v>10400033935</v>
          </cell>
        </row>
        <row r="10257">
          <cell r="D10257">
            <v>10880038602</v>
          </cell>
        </row>
        <row r="10258">
          <cell r="D10258">
            <v>10400033943</v>
          </cell>
        </row>
        <row r="10259">
          <cell r="D10259">
            <v>10880038236</v>
          </cell>
        </row>
        <row r="10260">
          <cell r="D10260">
            <v>10400033476</v>
          </cell>
        </row>
        <row r="10261">
          <cell r="D10261">
            <v>10880036058</v>
          </cell>
        </row>
        <row r="10262">
          <cell r="D10262">
            <v>10400030543</v>
          </cell>
        </row>
        <row r="10263">
          <cell r="D10263">
            <v>10880037198</v>
          </cell>
        </row>
        <row r="10264">
          <cell r="D10264">
            <v>10880032945</v>
          </cell>
        </row>
        <row r="10265">
          <cell r="D10265">
            <v>10880032945</v>
          </cell>
        </row>
        <row r="10266">
          <cell r="D10266">
            <v>10880021029</v>
          </cell>
        </row>
        <row r="10267">
          <cell r="D10267">
            <v>10880017527</v>
          </cell>
        </row>
        <row r="10268">
          <cell r="D10268">
            <v>10880028831</v>
          </cell>
        </row>
        <row r="10269">
          <cell r="D10269">
            <v>10880037369</v>
          </cell>
        </row>
        <row r="10270">
          <cell r="D10270">
            <v>10880035167</v>
          </cell>
        </row>
        <row r="10271">
          <cell r="D10271">
            <v>10880020677</v>
          </cell>
        </row>
        <row r="10272">
          <cell r="D10272">
            <v>10880020208</v>
          </cell>
        </row>
        <row r="10273">
          <cell r="D10273">
            <v>10880020940</v>
          </cell>
        </row>
        <row r="10274">
          <cell r="D10274">
            <v>10880037671</v>
          </cell>
        </row>
        <row r="10275">
          <cell r="D10275">
            <v>10880036337</v>
          </cell>
        </row>
        <row r="10276">
          <cell r="D10276">
            <v>10880033655</v>
          </cell>
        </row>
        <row r="10277">
          <cell r="D10277">
            <v>10880029033</v>
          </cell>
        </row>
        <row r="10278">
          <cell r="D10278">
            <v>10880035754</v>
          </cell>
        </row>
        <row r="10279">
          <cell r="D10279">
            <v>10880036494</v>
          </cell>
        </row>
        <row r="10280">
          <cell r="D10280">
            <v>10400031120</v>
          </cell>
        </row>
        <row r="10281">
          <cell r="D10281">
            <v>10400030197</v>
          </cell>
        </row>
        <row r="10282">
          <cell r="D10282">
            <v>10400033496</v>
          </cell>
        </row>
        <row r="10283">
          <cell r="D10283">
            <v>10400030197</v>
          </cell>
        </row>
        <row r="10284">
          <cell r="D10284">
            <v>10400030493</v>
          </cell>
        </row>
        <row r="10285">
          <cell r="D10285">
            <v>10400029072</v>
          </cell>
        </row>
        <row r="10286">
          <cell r="D10286">
            <v>10400029072</v>
          </cell>
        </row>
        <row r="10287">
          <cell r="D10287">
            <v>10880018097</v>
          </cell>
        </row>
        <row r="10288">
          <cell r="D10288">
            <v>10880021345</v>
          </cell>
        </row>
        <row r="10289">
          <cell r="D10289">
            <v>10880030920</v>
          </cell>
        </row>
        <row r="10290">
          <cell r="D10290">
            <v>10880030599</v>
          </cell>
        </row>
        <row r="10291">
          <cell r="D10291">
            <v>10880038237</v>
          </cell>
        </row>
        <row r="10292">
          <cell r="D10292">
            <v>10400033478</v>
          </cell>
        </row>
        <row r="10293">
          <cell r="D10293">
            <v>10880038224</v>
          </cell>
        </row>
        <row r="10294">
          <cell r="D10294">
            <v>10400033456</v>
          </cell>
        </row>
        <row r="10295">
          <cell r="D10295">
            <v>10880036458</v>
          </cell>
        </row>
        <row r="10296">
          <cell r="D10296">
            <v>10400031068</v>
          </cell>
        </row>
        <row r="10297">
          <cell r="D10297">
            <v>10880038602</v>
          </cell>
        </row>
        <row r="10298">
          <cell r="D10298">
            <v>10400033943</v>
          </cell>
        </row>
        <row r="10299">
          <cell r="D10299">
            <v>10400033234</v>
          </cell>
        </row>
        <row r="10300">
          <cell r="D10300">
            <v>10400033234</v>
          </cell>
        </row>
        <row r="10301">
          <cell r="D10301">
            <v>10400033234</v>
          </cell>
        </row>
        <row r="10302">
          <cell r="D10302">
            <v>10400033234</v>
          </cell>
        </row>
        <row r="10303">
          <cell r="D10303">
            <v>10400033234</v>
          </cell>
        </row>
        <row r="10304">
          <cell r="D10304">
            <v>10880017516</v>
          </cell>
        </row>
        <row r="10305">
          <cell r="D10305">
            <v>10880029957</v>
          </cell>
        </row>
        <row r="10306">
          <cell r="D10306">
            <v>10880037670</v>
          </cell>
        </row>
        <row r="10307">
          <cell r="D10307">
            <v>10880020048</v>
          </cell>
        </row>
        <row r="10308">
          <cell r="D10308">
            <v>10880020048</v>
          </cell>
        </row>
        <row r="10309">
          <cell r="D10309">
            <v>10880016188</v>
          </cell>
        </row>
        <row r="10310">
          <cell r="D10310">
            <v>10880035983</v>
          </cell>
        </row>
        <row r="10311">
          <cell r="D10311">
            <v>10880036495</v>
          </cell>
        </row>
        <row r="10312">
          <cell r="D10312">
            <v>10880033610</v>
          </cell>
        </row>
        <row r="10313">
          <cell r="D10313">
            <v>10400031117</v>
          </cell>
        </row>
        <row r="10314">
          <cell r="D10314">
            <v>10400030737</v>
          </cell>
        </row>
        <row r="10315">
          <cell r="D10315">
            <v>10400030646</v>
          </cell>
        </row>
        <row r="10316">
          <cell r="D10316">
            <v>10400029072</v>
          </cell>
        </row>
        <row r="10317">
          <cell r="D10317">
            <v>10880037380</v>
          </cell>
        </row>
        <row r="10318">
          <cell r="D10318">
            <v>10880037380</v>
          </cell>
        </row>
        <row r="10319">
          <cell r="D10319">
            <v>10400033234</v>
          </cell>
        </row>
        <row r="10320">
          <cell r="D10320">
            <v>10400033234</v>
          </cell>
        </row>
        <row r="10321">
          <cell r="D10321">
            <v>10400033234</v>
          </cell>
        </row>
        <row r="10322">
          <cell r="D10322">
            <v>10400033234</v>
          </cell>
        </row>
        <row r="10323">
          <cell r="D10323">
            <v>10400033234</v>
          </cell>
        </row>
        <row r="10324">
          <cell r="D10324">
            <v>10880037662</v>
          </cell>
        </row>
        <row r="10325">
          <cell r="D10325">
            <v>10400032704</v>
          </cell>
        </row>
        <row r="10326">
          <cell r="D10326">
            <v>10880038443</v>
          </cell>
        </row>
        <row r="10327">
          <cell r="D10327">
            <v>10400033745</v>
          </cell>
        </row>
        <row r="10328">
          <cell r="D10328">
            <v>10880037661</v>
          </cell>
        </row>
        <row r="10329">
          <cell r="D10329">
            <v>10400032702</v>
          </cell>
        </row>
        <row r="10330">
          <cell r="D10330">
            <v>10880038600</v>
          </cell>
        </row>
        <row r="10331">
          <cell r="D10331">
            <v>10400033939</v>
          </cell>
        </row>
        <row r="10332">
          <cell r="D10332">
            <v>10880038601</v>
          </cell>
        </row>
        <row r="10333">
          <cell r="D10333">
            <v>10400033941</v>
          </cell>
        </row>
        <row r="10334">
          <cell r="D10334">
            <v>10880034669</v>
          </cell>
        </row>
        <row r="10335">
          <cell r="D10335">
            <v>10880037047</v>
          </cell>
        </row>
        <row r="10336">
          <cell r="D10336">
            <v>10880017949</v>
          </cell>
        </row>
        <row r="10337">
          <cell r="D10337">
            <v>10880037368</v>
          </cell>
        </row>
        <row r="10338">
          <cell r="D10338">
            <v>10880038122</v>
          </cell>
        </row>
        <row r="10339">
          <cell r="D10339">
            <v>10880038123</v>
          </cell>
        </row>
        <row r="10340">
          <cell r="D10340">
            <v>10880022123</v>
          </cell>
        </row>
        <row r="10341">
          <cell r="D10341">
            <v>10880037059</v>
          </cell>
        </row>
        <row r="10342">
          <cell r="D10342">
            <v>10880037002</v>
          </cell>
        </row>
        <row r="10343">
          <cell r="D10343">
            <v>10880036499</v>
          </cell>
        </row>
        <row r="10344">
          <cell r="D10344">
            <v>10880036493</v>
          </cell>
        </row>
        <row r="10345">
          <cell r="D10345">
            <v>10880036206</v>
          </cell>
        </row>
        <row r="10346">
          <cell r="D10346">
            <v>10400031098</v>
          </cell>
        </row>
        <row r="10347">
          <cell r="D10347">
            <v>10400031135</v>
          </cell>
        </row>
        <row r="10348">
          <cell r="D10348">
            <v>10880037377</v>
          </cell>
        </row>
        <row r="10349">
          <cell r="D10349">
            <v>10880037382</v>
          </cell>
        </row>
        <row r="10350">
          <cell r="D10350">
            <v>10880035982</v>
          </cell>
        </row>
        <row r="10351">
          <cell r="D10351">
            <v>10880037382</v>
          </cell>
        </row>
        <row r="10352">
          <cell r="D10352">
            <v>10400033234</v>
          </cell>
        </row>
        <row r="10353">
          <cell r="D10353">
            <v>10400033234</v>
          </cell>
        </row>
        <row r="10354">
          <cell r="D10354">
            <v>10400033234</v>
          </cell>
        </row>
        <row r="10355">
          <cell r="D10355">
            <v>10880038598</v>
          </cell>
        </row>
        <row r="10356">
          <cell r="D10356">
            <v>10400033935</v>
          </cell>
        </row>
        <row r="10357">
          <cell r="D10357">
            <v>10880037022</v>
          </cell>
        </row>
        <row r="10358">
          <cell r="D10358">
            <v>10400031867</v>
          </cell>
        </row>
        <row r="10359">
          <cell r="D10359">
            <v>10880037297</v>
          </cell>
        </row>
        <row r="10360">
          <cell r="D10360">
            <v>10400032222</v>
          </cell>
        </row>
        <row r="10361">
          <cell r="D10361">
            <v>10880037023</v>
          </cell>
        </row>
        <row r="10362">
          <cell r="D10362">
            <v>10400031868</v>
          </cell>
        </row>
        <row r="10363">
          <cell r="D10363">
            <v>10880038236</v>
          </cell>
        </row>
        <row r="10364">
          <cell r="D10364">
            <v>10400033476</v>
          </cell>
        </row>
        <row r="10365">
          <cell r="D10365">
            <v>10400033234</v>
          </cell>
        </row>
        <row r="10366">
          <cell r="D10366">
            <v>10400033234</v>
          </cell>
        </row>
        <row r="10367">
          <cell r="D10367">
            <v>10400033234</v>
          </cell>
        </row>
        <row r="10368">
          <cell r="D10368">
            <v>10880038236</v>
          </cell>
        </row>
        <row r="10369">
          <cell r="D10369">
            <v>10400033476</v>
          </cell>
        </row>
        <row r="10370">
          <cell r="D10370">
            <v>10880038371</v>
          </cell>
        </row>
        <row r="10371">
          <cell r="D10371">
            <v>10400033658</v>
          </cell>
        </row>
        <row r="10372">
          <cell r="D10372">
            <v>10400033659</v>
          </cell>
        </row>
        <row r="10373">
          <cell r="D10373">
            <v>10880036929</v>
          </cell>
        </row>
        <row r="10374">
          <cell r="D10374">
            <v>10880036930</v>
          </cell>
        </row>
        <row r="10375">
          <cell r="D10375">
            <v>10880028307</v>
          </cell>
        </row>
        <row r="10376">
          <cell r="D10376">
            <v>10880036708</v>
          </cell>
        </row>
        <row r="10377">
          <cell r="D10377">
            <v>10880036707</v>
          </cell>
        </row>
        <row r="10378">
          <cell r="D10378">
            <v>10880021545</v>
          </cell>
        </row>
        <row r="10379">
          <cell r="D10379">
            <v>10880037368</v>
          </cell>
        </row>
        <row r="10380">
          <cell r="D10380">
            <v>10880036514</v>
          </cell>
        </row>
        <row r="10381">
          <cell r="D10381">
            <v>10880037370</v>
          </cell>
        </row>
        <row r="10382">
          <cell r="D10382">
            <v>10880031570</v>
          </cell>
        </row>
        <row r="10383">
          <cell r="D10383">
            <v>10880031570</v>
          </cell>
        </row>
        <row r="10384">
          <cell r="D10384">
            <v>10880035543</v>
          </cell>
        </row>
        <row r="10385">
          <cell r="D10385">
            <v>10880033325</v>
          </cell>
        </row>
        <row r="10386">
          <cell r="D10386">
            <v>10880016188</v>
          </cell>
        </row>
        <row r="10387">
          <cell r="D10387">
            <v>10880038473</v>
          </cell>
        </row>
        <row r="10388">
          <cell r="D10388">
            <v>10880037724</v>
          </cell>
        </row>
        <row r="10389">
          <cell r="D10389">
            <v>10880036020</v>
          </cell>
        </row>
        <row r="10390">
          <cell r="D10390">
            <v>10880036479</v>
          </cell>
        </row>
        <row r="10391">
          <cell r="D10391">
            <v>10880038252</v>
          </cell>
        </row>
        <row r="10392">
          <cell r="D10392">
            <v>10400030197</v>
          </cell>
        </row>
        <row r="10393">
          <cell r="D10393">
            <v>10400034245</v>
          </cell>
        </row>
        <row r="10394">
          <cell r="D10394">
            <v>10400033494</v>
          </cell>
        </row>
        <row r="10395">
          <cell r="D10395">
            <v>10400030197</v>
          </cell>
        </row>
        <row r="10396">
          <cell r="D10396">
            <v>10880035303</v>
          </cell>
        </row>
        <row r="10397">
          <cell r="D10397">
            <v>10880038471</v>
          </cell>
        </row>
        <row r="10398">
          <cell r="D10398">
            <v>10880035303</v>
          </cell>
        </row>
        <row r="10399">
          <cell r="D10399">
            <v>10880035315</v>
          </cell>
        </row>
        <row r="10400">
          <cell r="D10400">
            <v>10400030646</v>
          </cell>
        </row>
        <row r="10401">
          <cell r="D10401">
            <v>10880020681</v>
          </cell>
        </row>
        <row r="10402">
          <cell r="D10402">
            <v>10880031242</v>
          </cell>
        </row>
        <row r="10403">
          <cell r="D10403">
            <v>10880031243</v>
          </cell>
        </row>
        <row r="10404">
          <cell r="D10404">
            <v>10880031847</v>
          </cell>
        </row>
        <row r="10405">
          <cell r="D10405">
            <v>10880030596</v>
          </cell>
        </row>
        <row r="10406">
          <cell r="D10406">
            <v>10880037616</v>
          </cell>
        </row>
        <row r="10407">
          <cell r="D10407">
            <v>10880037616</v>
          </cell>
        </row>
        <row r="10408">
          <cell r="D10408">
            <v>10880037616</v>
          </cell>
        </row>
        <row r="10409">
          <cell r="D10409">
            <v>10400033234</v>
          </cell>
        </row>
        <row r="10410">
          <cell r="D10410">
            <v>10400033234</v>
          </cell>
        </row>
        <row r="10411">
          <cell r="D10411">
            <v>10400033234</v>
          </cell>
        </row>
        <row r="10412">
          <cell r="D10412">
            <v>10880038237</v>
          </cell>
        </row>
        <row r="10413">
          <cell r="D10413">
            <v>10400033478</v>
          </cell>
        </row>
        <row r="10414">
          <cell r="D10414">
            <v>10880037659</v>
          </cell>
        </row>
        <row r="10415">
          <cell r="D10415">
            <v>10400032699</v>
          </cell>
        </row>
        <row r="10416">
          <cell r="D10416">
            <v>10880037022</v>
          </cell>
        </row>
        <row r="10417">
          <cell r="D10417">
            <v>10400031867</v>
          </cell>
        </row>
        <row r="10418">
          <cell r="D10418">
            <v>10880038224</v>
          </cell>
        </row>
        <row r="10419">
          <cell r="D10419">
            <v>10400033456</v>
          </cell>
        </row>
        <row r="10420">
          <cell r="D10420">
            <v>10880037661</v>
          </cell>
        </row>
        <row r="10421">
          <cell r="D10421">
            <v>10400032702</v>
          </cell>
        </row>
        <row r="10422">
          <cell r="D10422">
            <v>10880038237</v>
          </cell>
        </row>
        <row r="10423">
          <cell r="D10423">
            <v>10400033478</v>
          </cell>
        </row>
        <row r="10424">
          <cell r="D10424">
            <v>10400033234</v>
          </cell>
        </row>
        <row r="10425">
          <cell r="D10425">
            <v>10400033234</v>
          </cell>
        </row>
        <row r="10426">
          <cell r="D10426">
            <v>10400033234</v>
          </cell>
        </row>
        <row r="10427">
          <cell r="D10427">
            <v>10400033234</v>
          </cell>
        </row>
        <row r="10428">
          <cell r="D10428">
            <v>10880032885</v>
          </cell>
        </row>
        <row r="10429">
          <cell r="D10429">
            <v>10880037179</v>
          </cell>
        </row>
        <row r="10430">
          <cell r="D10430">
            <v>10880017949</v>
          </cell>
        </row>
        <row r="10431">
          <cell r="D10431">
            <v>10880036513</v>
          </cell>
        </row>
        <row r="10432">
          <cell r="D10432">
            <v>10880037875</v>
          </cell>
        </row>
        <row r="10433">
          <cell r="D10433">
            <v>10880037882</v>
          </cell>
        </row>
        <row r="10434">
          <cell r="D10434">
            <v>10880037886</v>
          </cell>
        </row>
        <row r="10435">
          <cell r="D10435">
            <v>10880030320</v>
          </cell>
        </row>
        <row r="10436">
          <cell r="D10436">
            <v>10880017516</v>
          </cell>
        </row>
        <row r="10437">
          <cell r="D10437">
            <v>10880017525</v>
          </cell>
        </row>
        <row r="10438">
          <cell r="D10438">
            <v>10880033785</v>
          </cell>
        </row>
        <row r="10439">
          <cell r="D10439">
            <v>10880038579</v>
          </cell>
        </row>
        <row r="10440">
          <cell r="D10440">
            <v>10880037725</v>
          </cell>
        </row>
        <row r="10441">
          <cell r="D10441">
            <v>10880037689</v>
          </cell>
        </row>
        <row r="10442">
          <cell r="D10442">
            <v>10880037691</v>
          </cell>
        </row>
        <row r="10443">
          <cell r="D10443">
            <v>10880030187</v>
          </cell>
        </row>
        <row r="10444">
          <cell r="D10444">
            <v>10880037374</v>
          </cell>
        </row>
        <row r="10445">
          <cell r="D10445">
            <v>10880036504</v>
          </cell>
        </row>
        <row r="10446">
          <cell r="D10446">
            <v>10400030735</v>
          </cell>
        </row>
        <row r="10447">
          <cell r="D10447">
            <v>10880038810</v>
          </cell>
        </row>
        <row r="10448">
          <cell r="D10448">
            <v>10880036205</v>
          </cell>
        </row>
        <row r="10449">
          <cell r="D10449">
            <v>10400030646</v>
          </cell>
        </row>
        <row r="10450">
          <cell r="D10450">
            <v>10880030596</v>
          </cell>
        </row>
        <row r="10451">
          <cell r="D10451">
            <v>10880031846</v>
          </cell>
        </row>
        <row r="10452">
          <cell r="D10452">
            <v>10880030607</v>
          </cell>
        </row>
        <row r="10453">
          <cell r="D10453">
            <v>10880031186</v>
          </cell>
        </row>
        <row r="10454">
          <cell r="D10454">
            <v>10880029957</v>
          </cell>
        </row>
        <row r="10455">
          <cell r="D10455">
            <v>10880034946</v>
          </cell>
        </row>
        <row r="10456">
          <cell r="D10456">
            <v>10880035661</v>
          </cell>
        </row>
        <row r="10457">
          <cell r="D10457">
            <v>10880038600</v>
          </cell>
        </row>
        <row r="10458">
          <cell r="D10458">
            <v>10400033939</v>
          </cell>
        </row>
        <row r="10459">
          <cell r="D10459">
            <v>10880038683</v>
          </cell>
        </row>
        <row r="10460">
          <cell r="D10460">
            <v>10400034043</v>
          </cell>
        </row>
        <row r="10461">
          <cell r="D10461">
            <v>10880037662</v>
          </cell>
        </row>
        <row r="10462">
          <cell r="D10462">
            <v>10400032704</v>
          </cell>
        </row>
        <row r="10463">
          <cell r="D10463">
            <v>10880038441</v>
          </cell>
        </row>
        <row r="10464">
          <cell r="D10464">
            <v>10400033741</v>
          </cell>
        </row>
        <row r="10465">
          <cell r="D10465">
            <v>10400033234</v>
          </cell>
        </row>
        <row r="10466">
          <cell r="D10466">
            <v>10880036058</v>
          </cell>
        </row>
        <row r="10467">
          <cell r="D10467">
            <v>10400030543</v>
          </cell>
        </row>
        <row r="10468">
          <cell r="D10468">
            <v>10880037205</v>
          </cell>
        </row>
        <row r="10469">
          <cell r="D10469">
            <v>10880032933</v>
          </cell>
        </row>
        <row r="10470">
          <cell r="D10470">
            <v>10880037205</v>
          </cell>
        </row>
        <row r="10471">
          <cell r="D10471">
            <v>10880037198</v>
          </cell>
        </row>
        <row r="10472">
          <cell r="D10472">
            <v>10880032945</v>
          </cell>
        </row>
        <row r="10473">
          <cell r="D10473">
            <v>10880036706</v>
          </cell>
        </row>
        <row r="10474">
          <cell r="D10474">
            <v>10880036704</v>
          </cell>
        </row>
        <row r="10475">
          <cell r="D10475">
            <v>10880038779</v>
          </cell>
        </row>
        <row r="10476">
          <cell r="D10476">
            <v>10880030931</v>
          </cell>
        </row>
        <row r="10477">
          <cell r="D10477">
            <v>10880034195</v>
          </cell>
        </row>
        <row r="10478">
          <cell r="D10478">
            <v>10880035167</v>
          </cell>
        </row>
        <row r="10479">
          <cell r="D10479">
            <v>10880028306</v>
          </cell>
        </row>
        <row r="10480">
          <cell r="D10480">
            <v>10880021345</v>
          </cell>
        </row>
        <row r="10481">
          <cell r="D10481">
            <v>10880033325</v>
          </cell>
        </row>
        <row r="10482">
          <cell r="D10482">
            <v>10880038012</v>
          </cell>
        </row>
        <row r="10483">
          <cell r="D10483">
            <v>10880038473</v>
          </cell>
        </row>
        <row r="10484">
          <cell r="D10484">
            <v>10880037374</v>
          </cell>
        </row>
        <row r="10485">
          <cell r="D10485">
            <v>10880035235</v>
          </cell>
        </row>
        <row r="10486">
          <cell r="D10486">
            <v>10880037263</v>
          </cell>
        </row>
        <row r="10487">
          <cell r="D10487">
            <v>10880038251</v>
          </cell>
        </row>
        <row r="10488">
          <cell r="D10488">
            <v>10880038469</v>
          </cell>
        </row>
        <row r="10489">
          <cell r="D10489">
            <v>10400030641</v>
          </cell>
        </row>
        <row r="10490">
          <cell r="D10490">
            <v>10400030197</v>
          </cell>
        </row>
        <row r="10491">
          <cell r="D10491">
            <v>10400030493</v>
          </cell>
        </row>
        <row r="10492">
          <cell r="D10492">
            <v>10880030976</v>
          </cell>
        </row>
        <row r="10493">
          <cell r="D10493">
            <v>10880037382</v>
          </cell>
        </row>
        <row r="10494">
          <cell r="D10494">
            <v>10880037382</v>
          </cell>
        </row>
        <row r="10495">
          <cell r="D10495">
            <v>10880038779</v>
          </cell>
        </row>
        <row r="10496">
          <cell r="D10496">
            <v>10880038601</v>
          </cell>
        </row>
        <row r="10497">
          <cell r="D10497">
            <v>10400033941</v>
          </cell>
        </row>
        <row r="10498">
          <cell r="D10498">
            <v>10880035709</v>
          </cell>
        </row>
        <row r="10499">
          <cell r="D10499">
            <v>10400033234</v>
          </cell>
        </row>
        <row r="10500">
          <cell r="D10500">
            <v>10400033234</v>
          </cell>
        </row>
        <row r="10501">
          <cell r="D10501">
            <v>10400033234</v>
          </cell>
        </row>
        <row r="10502">
          <cell r="D10502">
            <v>10880037046</v>
          </cell>
        </row>
        <row r="10503">
          <cell r="D10503">
            <v>10880035983</v>
          </cell>
        </row>
        <row r="10504">
          <cell r="D10504">
            <v>10880032939</v>
          </cell>
        </row>
        <row r="10505">
          <cell r="D10505">
            <v>10880036513</v>
          </cell>
        </row>
        <row r="10506">
          <cell r="D10506">
            <v>10880037615</v>
          </cell>
        </row>
        <row r="10507">
          <cell r="D10507">
            <v>10880036721</v>
          </cell>
        </row>
        <row r="10508">
          <cell r="D10508">
            <v>10880037503</v>
          </cell>
        </row>
        <row r="10509">
          <cell r="D10509">
            <v>10880029958</v>
          </cell>
        </row>
        <row r="10510">
          <cell r="D10510">
            <v>10880021289</v>
          </cell>
        </row>
        <row r="10511">
          <cell r="D10511">
            <v>10880037003</v>
          </cell>
        </row>
        <row r="10512">
          <cell r="D10512">
            <v>10880038040</v>
          </cell>
        </row>
        <row r="10513">
          <cell r="D10513">
            <v>10880037725</v>
          </cell>
        </row>
        <row r="10514">
          <cell r="D10514">
            <v>10880037725</v>
          </cell>
        </row>
        <row r="10515">
          <cell r="D10515">
            <v>10880037725</v>
          </cell>
        </row>
        <row r="10516">
          <cell r="D10516">
            <v>10880037725</v>
          </cell>
        </row>
        <row r="10517">
          <cell r="D10517">
            <v>10880037181</v>
          </cell>
        </row>
        <row r="10518">
          <cell r="D10518">
            <v>10880035984</v>
          </cell>
        </row>
        <row r="10519">
          <cell r="D10519">
            <v>10880035299</v>
          </cell>
        </row>
        <row r="10520">
          <cell r="D10520">
            <v>10400030739</v>
          </cell>
        </row>
        <row r="10521">
          <cell r="D10521">
            <v>10400029072</v>
          </cell>
        </row>
        <row r="10522">
          <cell r="D10522">
            <v>10400029072</v>
          </cell>
        </row>
        <row r="10523">
          <cell r="D10523">
            <v>10400031117</v>
          </cell>
        </row>
        <row r="10524">
          <cell r="D10524">
            <v>10880033329</v>
          </cell>
        </row>
        <row r="10525">
          <cell r="D10525">
            <v>10880033585</v>
          </cell>
        </row>
        <row r="10526">
          <cell r="D10526">
            <v>10880035196</v>
          </cell>
        </row>
        <row r="10527">
          <cell r="D10527">
            <v>10880035979</v>
          </cell>
        </row>
        <row r="10528">
          <cell r="D10528">
            <v>10880035709</v>
          </cell>
        </row>
        <row r="10529">
          <cell r="D10529">
            <v>10400033234</v>
          </cell>
        </row>
        <row r="10530">
          <cell r="D10530">
            <v>10400033234</v>
          </cell>
        </row>
        <row r="10531">
          <cell r="D10531">
            <v>10400033234</v>
          </cell>
        </row>
        <row r="10532">
          <cell r="D10532">
            <v>10400033234</v>
          </cell>
        </row>
        <row r="10533">
          <cell r="D10533">
            <v>10400033234</v>
          </cell>
        </row>
        <row r="10534">
          <cell r="D10534">
            <v>10880036458</v>
          </cell>
        </row>
        <row r="10535">
          <cell r="D10535">
            <v>10400031068</v>
          </cell>
        </row>
        <row r="10536">
          <cell r="D10536">
            <v>10400033234</v>
          </cell>
        </row>
        <row r="10537">
          <cell r="D10537">
            <v>10880038598</v>
          </cell>
        </row>
        <row r="10538">
          <cell r="D10538">
            <v>10400033935</v>
          </cell>
        </row>
        <row r="10539">
          <cell r="D10539">
            <v>10880038602</v>
          </cell>
        </row>
        <row r="10540">
          <cell r="D10540">
            <v>10400033943</v>
          </cell>
        </row>
        <row r="10541">
          <cell r="D10541">
            <v>10880035983</v>
          </cell>
        </row>
        <row r="10542">
          <cell r="D10542">
            <v>10880037495</v>
          </cell>
        </row>
        <row r="10543">
          <cell r="D10543">
            <v>10880037181</v>
          </cell>
        </row>
        <row r="10544">
          <cell r="D10544">
            <v>10880036514</v>
          </cell>
        </row>
        <row r="10545">
          <cell r="D10545">
            <v>10880036350</v>
          </cell>
        </row>
        <row r="10546">
          <cell r="D10546">
            <v>10880028306</v>
          </cell>
        </row>
        <row r="10547">
          <cell r="D10547">
            <v>10880028306</v>
          </cell>
        </row>
        <row r="10548">
          <cell r="D10548">
            <v>10880037724</v>
          </cell>
        </row>
        <row r="10549">
          <cell r="D10549">
            <v>10880037724</v>
          </cell>
        </row>
        <row r="10550">
          <cell r="D10550">
            <v>10880037724</v>
          </cell>
        </row>
        <row r="10551">
          <cell r="D10551">
            <v>10880037684</v>
          </cell>
        </row>
        <row r="10552">
          <cell r="D10552">
            <v>10880037781</v>
          </cell>
        </row>
        <row r="10553">
          <cell r="D10553">
            <v>10880038579</v>
          </cell>
        </row>
        <row r="10554">
          <cell r="D10554">
            <v>10880036135</v>
          </cell>
        </row>
        <row r="10555">
          <cell r="D10555">
            <v>10880036207</v>
          </cell>
        </row>
        <row r="10556">
          <cell r="D10556">
            <v>10400031118</v>
          </cell>
        </row>
        <row r="10557">
          <cell r="D10557">
            <v>10880030545</v>
          </cell>
        </row>
        <row r="10558">
          <cell r="D10558">
            <v>10880034622</v>
          </cell>
        </row>
        <row r="10559">
          <cell r="D10559">
            <v>10400030197</v>
          </cell>
        </row>
        <row r="10560">
          <cell r="D10560">
            <v>10400034245</v>
          </cell>
        </row>
        <row r="10561">
          <cell r="D10561">
            <v>10880033605</v>
          </cell>
        </row>
        <row r="10562">
          <cell r="D10562">
            <v>10880038291</v>
          </cell>
        </row>
        <row r="10563">
          <cell r="D10563">
            <v>10880028469</v>
          </cell>
        </row>
        <row r="10564">
          <cell r="D10564">
            <v>10880035981</v>
          </cell>
        </row>
        <row r="10565">
          <cell r="D10565">
            <v>10880037426</v>
          </cell>
        </row>
        <row r="10566">
          <cell r="D10566">
            <v>10400033234</v>
          </cell>
        </row>
        <row r="10567">
          <cell r="D10567">
            <v>10880038833</v>
          </cell>
        </row>
        <row r="10568">
          <cell r="D10568">
            <v>10400034268</v>
          </cell>
        </row>
        <row r="10569">
          <cell r="D10569">
            <v>10880038236</v>
          </cell>
        </row>
        <row r="10570">
          <cell r="D10570">
            <v>10400033476</v>
          </cell>
        </row>
        <row r="10571">
          <cell r="D10571">
            <v>10880036364</v>
          </cell>
        </row>
        <row r="10572">
          <cell r="D10572">
            <v>10400030956</v>
          </cell>
        </row>
        <row r="10573">
          <cell r="D10573">
            <v>10880037297</v>
          </cell>
        </row>
        <row r="10574">
          <cell r="D10574">
            <v>10400032222</v>
          </cell>
        </row>
        <row r="10575">
          <cell r="D10575">
            <v>10880037659</v>
          </cell>
        </row>
        <row r="10576">
          <cell r="D10576">
            <v>10400032699</v>
          </cell>
        </row>
        <row r="10577">
          <cell r="D10577">
            <v>10880034669</v>
          </cell>
        </row>
        <row r="10578">
          <cell r="D10578">
            <v>10880031307</v>
          </cell>
        </row>
        <row r="10579">
          <cell r="D10579">
            <v>10880036513</v>
          </cell>
        </row>
        <row r="10580">
          <cell r="D10580">
            <v>10880037615</v>
          </cell>
        </row>
        <row r="10581">
          <cell r="D10581">
            <v>10880038122</v>
          </cell>
        </row>
        <row r="10582">
          <cell r="D10582">
            <v>10880037678</v>
          </cell>
        </row>
        <row r="10583">
          <cell r="D10583">
            <v>10880037836</v>
          </cell>
        </row>
        <row r="10584">
          <cell r="D10584">
            <v>10880037678</v>
          </cell>
        </row>
        <row r="10585">
          <cell r="D10585">
            <v>10880016188</v>
          </cell>
        </row>
        <row r="10586">
          <cell r="D10586">
            <v>10880036493</v>
          </cell>
        </row>
        <row r="10587">
          <cell r="D10587">
            <v>10880036494</v>
          </cell>
        </row>
        <row r="10588">
          <cell r="D10588">
            <v>10880034619</v>
          </cell>
        </row>
        <row r="10589">
          <cell r="D10589">
            <v>10880035982</v>
          </cell>
        </row>
        <row r="10590">
          <cell r="D10590">
            <v>10880033279</v>
          </cell>
        </row>
        <row r="10591">
          <cell r="D10591">
            <v>10880038782</v>
          </cell>
        </row>
        <row r="10592">
          <cell r="D10592">
            <v>10880038446</v>
          </cell>
        </row>
        <row r="10593">
          <cell r="D10593">
            <v>10880030977</v>
          </cell>
        </row>
        <row r="10594">
          <cell r="D10594">
            <v>10880037426</v>
          </cell>
        </row>
        <row r="10595">
          <cell r="D10595">
            <v>10880036498</v>
          </cell>
        </row>
        <row r="10596">
          <cell r="D10596">
            <v>10880034946</v>
          </cell>
        </row>
        <row r="10597">
          <cell r="D10597">
            <v>10880038683</v>
          </cell>
        </row>
        <row r="10598">
          <cell r="D10598">
            <v>10400034043</v>
          </cell>
        </row>
        <row r="10599">
          <cell r="D10599">
            <v>10880038225</v>
          </cell>
        </row>
        <row r="10600">
          <cell r="D10600">
            <v>10400033458</v>
          </cell>
        </row>
        <row r="10601">
          <cell r="D10601">
            <v>10400033234</v>
          </cell>
        </row>
        <row r="10602">
          <cell r="D10602">
            <v>10400033234</v>
          </cell>
        </row>
        <row r="10603">
          <cell r="D10603">
            <v>10400033234</v>
          </cell>
        </row>
        <row r="10604">
          <cell r="D10604">
            <v>10400033234</v>
          </cell>
        </row>
        <row r="10605">
          <cell r="D10605">
            <v>10400033234</v>
          </cell>
        </row>
        <row r="10606">
          <cell r="D10606">
            <v>10880031072</v>
          </cell>
        </row>
        <row r="10607">
          <cell r="D10607">
            <v>10880036704</v>
          </cell>
        </row>
        <row r="10608">
          <cell r="D10608">
            <v>10880035513</v>
          </cell>
        </row>
        <row r="10609">
          <cell r="D10609">
            <v>10880029055</v>
          </cell>
        </row>
        <row r="10610">
          <cell r="D10610">
            <v>10880038123</v>
          </cell>
        </row>
        <row r="10611">
          <cell r="D10611">
            <v>10880022123</v>
          </cell>
        </row>
        <row r="10612">
          <cell r="D10612">
            <v>10880037303</v>
          </cell>
        </row>
        <row r="10613">
          <cell r="D10613">
            <v>10880037833</v>
          </cell>
        </row>
        <row r="10614">
          <cell r="D10614">
            <v>10880035754</v>
          </cell>
        </row>
        <row r="10615">
          <cell r="D10615">
            <v>10880035543</v>
          </cell>
        </row>
        <row r="10616">
          <cell r="D10616">
            <v>10400029072</v>
          </cell>
        </row>
        <row r="10617">
          <cell r="D10617">
            <v>10400029072</v>
          </cell>
        </row>
        <row r="10618">
          <cell r="D10618">
            <v>10880029957</v>
          </cell>
        </row>
        <row r="10619">
          <cell r="D10619">
            <v>10880031097</v>
          </cell>
        </row>
        <row r="10620">
          <cell r="D10620">
            <v>10880037382</v>
          </cell>
        </row>
        <row r="10621">
          <cell r="D10621">
            <v>10880034669</v>
          </cell>
        </row>
        <row r="10622">
          <cell r="D10622">
            <v>10880036704</v>
          </cell>
        </row>
        <row r="10623">
          <cell r="D10623">
            <v>10880034195</v>
          </cell>
        </row>
        <row r="10624">
          <cell r="D10624">
            <v>10880035167</v>
          </cell>
        </row>
        <row r="10625">
          <cell r="D10625">
            <v>10880036349</v>
          </cell>
        </row>
        <row r="10626">
          <cell r="D10626">
            <v>10880035534</v>
          </cell>
        </row>
        <row r="10627">
          <cell r="D10627">
            <v>10880033785</v>
          </cell>
        </row>
        <row r="10628">
          <cell r="D10628">
            <v>10880038237</v>
          </cell>
        </row>
        <row r="10629">
          <cell r="D10629">
            <v>10400033478</v>
          </cell>
        </row>
        <row r="10630">
          <cell r="D10630">
            <v>10880036366</v>
          </cell>
        </row>
        <row r="10631">
          <cell r="D10631">
            <v>10400030958</v>
          </cell>
        </row>
        <row r="10632">
          <cell r="D10632">
            <v>10880037659</v>
          </cell>
        </row>
        <row r="10633">
          <cell r="D10633">
            <v>10400032699</v>
          </cell>
        </row>
        <row r="10634">
          <cell r="D10634">
            <v>10880038225</v>
          </cell>
        </row>
        <row r="10635">
          <cell r="D10635">
            <v>10400033458</v>
          </cell>
        </row>
        <row r="10636">
          <cell r="D10636">
            <v>10880036458</v>
          </cell>
        </row>
        <row r="10637">
          <cell r="D10637">
            <v>10400031068</v>
          </cell>
        </row>
        <row r="10638">
          <cell r="D10638">
            <v>10880037724</v>
          </cell>
        </row>
        <row r="10639">
          <cell r="D10639">
            <v>10880029033</v>
          </cell>
        </row>
        <row r="10640">
          <cell r="D10640">
            <v>10880038810</v>
          </cell>
        </row>
        <row r="10641">
          <cell r="D10641">
            <v>10880036467</v>
          </cell>
        </row>
        <row r="10642">
          <cell r="D10642">
            <v>10400029072</v>
          </cell>
        </row>
        <row r="10643">
          <cell r="D10643">
            <v>10880035982</v>
          </cell>
        </row>
        <row r="10644">
          <cell r="D10644">
            <v>10880035661</v>
          </cell>
        </row>
        <row r="10645">
          <cell r="D10645">
            <v>10880037381</v>
          </cell>
        </row>
        <row r="10646">
          <cell r="D10646">
            <v>10880037426</v>
          </cell>
        </row>
        <row r="10647">
          <cell r="D10647">
            <v>10880032885</v>
          </cell>
        </row>
        <row r="10648">
          <cell r="D10648">
            <v>10880036708</v>
          </cell>
        </row>
        <row r="10649">
          <cell r="D10649">
            <v>10880036707</v>
          </cell>
        </row>
        <row r="10650">
          <cell r="D10650">
            <v>10880030519</v>
          </cell>
        </row>
        <row r="10651">
          <cell r="D10651">
            <v>10880036760</v>
          </cell>
        </row>
        <row r="10652">
          <cell r="D10652">
            <v>10880031185</v>
          </cell>
        </row>
        <row r="10653">
          <cell r="D10653">
            <v>10880030320</v>
          </cell>
        </row>
        <row r="10654">
          <cell r="D10654">
            <v>10880031160</v>
          </cell>
        </row>
        <row r="10655">
          <cell r="D10655">
            <v>10880021311</v>
          </cell>
        </row>
        <row r="10656">
          <cell r="D10656">
            <v>10880036423</v>
          </cell>
        </row>
        <row r="10657">
          <cell r="D10657">
            <v>10880029958</v>
          </cell>
        </row>
        <row r="10658">
          <cell r="D10658">
            <v>10880037781</v>
          </cell>
        </row>
        <row r="10659">
          <cell r="D10659">
            <v>10880037725</v>
          </cell>
        </row>
        <row r="10660">
          <cell r="D10660">
            <v>10880038040</v>
          </cell>
        </row>
        <row r="10661">
          <cell r="D10661">
            <v>10400033234</v>
          </cell>
        </row>
        <row r="10662">
          <cell r="D10662">
            <v>10400033234</v>
          </cell>
        </row>
        <row r="10663">
          <cell r="D10663">
            <v>10400033234</v>
          </cell>
        </row>
        <row r="10664">
          <cell r="D10664">
            <v>10880038239</v>
          </cell>
        </row>
        <row r="10665">
          <cell r="D10665">
            <v>10400033482</v>
          </cell>
        </row>
        <row r="10666">
          <cell r="D10666">
            <v>10400033234</v>
          </cell>
        </row>
        <row r="10667">
          <cell r="D10667">
            <v>10880036058</v>
          </cell>
        </row>
        <row r="10668">
          <cell r="D10668">
            <v>10400030543</v>
          </cell>
        </row>
        <row r="10669">
          <cell r="D10669">
            <v>10880031096</v>
          </cell>
        </row>
        <row r="10670">
          <cell r="D10670">
            <v>10880037023</v>
          </cell>
        </row>
        <row r="10671">
          <cell r="D10671">
            <v>10400031868</v>
          </cell>
        </row>
        <row r="10672">
          <cell r="D10672">
            <v>10880036058</v>
          </cell>
        </row>
        <row r="10673">
          <cell r="D10673">
            <v>10400030543</v>
          </cell>
        </row>
        <row r="10674">
          <cell r="D10674">
            <v>10880020048</v>
          </cell>
        </row>
        <row r="10675">
          <cell r="D10675">
            <v>10880038122</v>
          </cell>
        </row>
        <row r="10676">
          <cell r="D10676">
            <v>10880036020</v>
          </cell>
        </row>
        <row r="10677">
          <cell r="D10677">
            <v>10880031186</v>
          </cell>
        </row>
        <row r="10678">
          <cell r="D10678">
            <v>10880030596</v>
          </cell>
        </row>
        <row r="10679">
          <cell r="D10679">
            <v>10880031847</v>
          </cell>
        </row>
        <row r="10680">
          <cell r="D10680">
            <v>10880031856</v>
          </cell>
        </row>
        <row r="10681">
          <cell r="D10681">
            <v>10880037426</v>
          </cell>
        </row>
        <row r="10682">
          <cell r="D10682">
            <v>10400033234</v>
          </cell>
        </row>
        <row r="10683">
          <cell r="D10683">
            <v>10400033234</v>
          </cell>
        </row>
        <row r="10684">
          <cell r="D10684">
            <v>10400033234</v>
          </cell>
        </row>
        <row r="10685">
          <cell r="D10685">
            <v>10880038445</v>
          </cell>
        </row>
        <row r="10686">
          <cell r="D10686">
            <v>10400033740</v>
          </cell>
        </row>
        <row r="10687">
          <cell r="D10687">
            <v>10400033234</v>
          </cell>
        </row>
        <row r="10688">
          <cell r="D10688">
            <v>10400033234</v>
          </cell>
        </row>
        <row r="10689">
          <cell r="D10689">
            <v>10400033234</v>
          </cell>
        </row>
        <row r="10690">
          <cell r="D10690">
            <v>10880036929</v>
          </cell>
        </row>
        <row r="10691">
          <cell r="D10691">
            <v>10880036930</v>
          </cell>
        </row>
        <row r="10692">
          <cell r="D10692">
            <v>10880038536</v>
          </cell>
        </row>
        <row r="10693">
          <cell r="D10693">
            <v>10400033859</v>
          </cell>
        </row>
        <row r="10694">
          <cell r="D10694">
            <v>10400033860</v>
          </cell>
        </row>
        <row r="10695">
          <cell r="D10695">
            <v>10880031249</v>
          </cell>
        </row>
        <row r="10696">
          <cell r="D10696">
            <v>10880035691</v>
          </cell>
        </row>
        <row r="10697">
          <cell r="D10697">
            <v>10880032774</v>
          </cell>
        </row>
        <row r="10698">
          <cell r="D10698">
            <v>10880032933</v>
          </cell>
        </row>
        <row r="10699">
          <cell r="D10699">
            <v>10880032943</v>
          </cell>
        </row>
        <row r="10700">
          <cell r="D10700">
            <v>10880037200</v>
          </cell>
        </row>
        <row r="10701">
          <cell r="D10701">
            <v>10880032942</v>
          </cell>
        </row>
        <row r="10702">
          <cell r="D10702">
            <v>10880036704</v>
          </cell>
        </row>
        <row r="10703">
          <cell r="D10703">
            <v>10880036706</v>
          </cell>
        </row>
        <row r="10704">
          <cell r="D10704">
            <v>10880036764</v>
          </cell>
        </row>
        <row r="10705">
          <cell r="D10705">
            <v>10880035534</v>
          </cell>
        </row>
        <row r="10706">
          <cell r="D10706">
            <v>10880035788</v>
          </cell>
        </row>
        <row r="10707">
          <cell r="D10707">
            <v>10880035512</v>
          </cell>
        </row>
        <row r="10708">
          <cell r="D10708">
            <v>10880031183</v>
          </cell>
        </row>
        <row r="10709">
          <cell r="D10709">
            <v>10880033325</v>
          </cell>
        </row>
        <row r="10710">
          <cell r="D10710">
            <v>10880037724</v>
          </cell>
        </row>
        <row r="10711">
          <cell r="D10711">
            <v>10880037725</v>
          </cell>
        </row>
        <row r="10712">
          <cell r="D10712">
            <v>10400030737</v>
          </cell>
        </row>
        <row r="10713">
          <cell r="D10713">
            <v>10880030976</v>
          </cell>
        </row>
        <row r="10714">
          <cell r="D10714">
            <v>10880033329</v>
          </cell>
        </row>
        <row r="10715">
          <cell r="D10715">
            <v>10880037381</v>
          </cell>
        </row>
        <row r="10716">
          <cell r="D10716">
            <v>10880037495</v>
          </cell>
        </row>
        <row r="10717">
          <cell r="D10717">
            <v>10880037181</v>
          </cell>
        </row>
        <row r="10718">
          <cell r="D10718">
            <v>10880033535</v>
          </cell>
        </row>
        <row r="10719">
          <cell r="D10719">
            <v>10880017516</v>
          </cell>
        </row>
        <row r="10720">
          <cell r="D10720">
            <v>10880030931</v>
          </cell>
        </row>
        <row r="10721">
          <cell r="D10721">
            <v>10880020556</v>
          </cell>
        </row>
        <row r="10722">
          <cell r="D10722">
            <v>10880028881</v>
          </cell>
        </row>
        <row r="10723">
          <cell r="D10723">
            <v>10880037616</v>
          </cell>
        </row>
        <row r="10724">
          <cell r="D10724">
            <v>10880037671</v>
          </cell>
        </row>
        <row r="10725">
          <cell r="D10725">
            <v>10880031307</v>
          </cell>
        </row>
        <row r="10726">
          <cell r="D10726">
            <v>10880037503</v>
          </cell>
        </row>
        <row r="10727">
          <cell r="D10727">
            <v>10880035409</v>
          </cell>
        </row>
        <row r="10728">
          <cell r="D10728">
            <v>10880037725</v>
          </cell>
        </row>
        <row r="10729">
          <cell r="D10729">
            <v>10880035754</v>
          </cell>
        </row>
        <row r="10730">
          <cell r="D10730">
            <v>10880036852</v>
          </cell>
        </row>
        <row r="10731">
          <cell r="D10731">
            <v>10880036206</v>
          </cell>
        </row>
        <row r="10732">
          <cell r="D10732">
            <v>10400030735</v>
          </cell>
        </row>
        <row r="10733">
          <cell r="D10733">
            <v>10400029072</v>
          </cell>
        </row>
        <row r="10734">
          <cell r="D10734">
            <v>10400030646</v>
          </cell>
        </row>
        <row r="10735">
          <cell r="D10735">
            <v>10400030197</v>
          </cell>
        </row>
        <row r="10736">
          <cell r="D10736">
            <v>10880035196</v>
          </cell>
        </row>
        <row r="10737">
          <cell r="D10737">
            <v>10880034957</v>
          </cell>
        </row>
        <row r="10738">
          <cell r="D10738">
            <v>10880020677</v>
          </cell>
        </row>
        <row r="10739">
          <cell r="D10739">
            <v>10880029957</v>
          </cell>
        </row>
        <row r="10740">
          <cell r="D10740">
            <v>10880037380</v>
          </cell>
        </row>
        <row r="10741">
          <cell r="D10741">
            <v>10880037380</v>
          </cell>
        </row>
        <row r="10742">
          <cell r="D10742">
            <v>10880038579</v>
          </cell>
        </row>
        <row r="10743">
          <cell r="D10743">
            <v>10400033234</v>
          </cell>
        </row>
        <row r="10744">
          <cell r="D10744">
            <v>10400033234</v>
          </cell>
        </row>
        <row r="10745">
          <cell r="D10745">
            <v>10400033234</v>
          </cell>
        </row>
        <row r="10746">
          <cell r="D10746">
            <v>10400033234</v>
          </cell>
        </row>
        <row r="10747">
          <cell r="D10747">
            <v>10880035984</v>
          </cell>
        </row>
        <row r="10748">
          <cell r="D10748">
            <v>10880037047</v>
          </cell>
        </row>
        <row r="10749">
          <cell r="D10749">
            <v>10880033996</v>
          </cell>
        </row>
        <row r="10750">
          <cell r="D10750">
            <v>10880035045</v>
          </cell>
        </row>
        <row r="10751">
          <cell r="D10751">
            <v>10400029151</v>
          </cell>
        </row>
        <row r="10752">
          <cell r="D10752">
            <v>10400029152</v>
          </cell>
        </row>
        <row r="10753">
          <cell r="D10753">
            <v>10880037231</v>
          </cell>
        </row>
        <row r="10754">
          <cell r="D10754">
            <v>10880037230</v>
          </cell>
        </row>
        <row r="10755">
          <cell r="D10755">
            <v>10880028307</v>
          </cell>
        </row>
        <row r="10756">
          <cell r="D10756">
            <v>10880036513</v>
          </cell>
        </row>
        <row r="10757">
          <cell r="D10757">
            <v>10880037616</v>
          </cell>
        </row>
        <row r="10758">
          <cell r="D10758">
            <v>10880030004</v>
          </cell>
        </row>
        <row r="10759">
          <cell r="D10759">
            <v>10880036452</v>
          </cell>
        </row>
        <row r="10760">
          <cell r="D10760">
            <v>10880038012</v>
          </cell>
        </row>
        <row r="10761">
          <cell r="D10761">
            <v>10880033325</v>
          </cell>
        </row>
        <row r="10762">
          <cell r="D10762">
            <v>10880029033</v>
          </cell>
        </row>
        <row r="10763">
          <cell r="D10763">
            <v>10400033234</v>
          </cell>
        </row>
        <row r="10764">
          <cell r="D10764">
            <v>10400033234</v>
          </cell>
        </row>
        <row r="10765">
          <cell r="D10765">
            <v>10400033234</v>
          </cell>
        </row>
        <row r="10766">
          <cell r="D10766">
            <v>10400033234</v>
          </cell>
        </row>
        <row r="10767">
          <cell r="D10767">
            <v>10400033234</v>
          </cell>
        </row>
        <row r="10768">
          <cell r="D10768">
            <v>10400033234</v>
          </cell>
        </row>
        <row r="10769">
          <cell r="D10769">
            <v>10400033234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heet1"/>
    </sheetNames>
    <sheetDataSet>
      <sheetData sheetId="0" refreshError="1"/>
      <sheetData sheetId="1">
        <row r="1">
          <cell r="J1">
            <v>990000116094</v>
          </cell>
        </row>
        <row r="2">
          <cell r="J2">
            <v>990000116278</v>
          </cell>
        </row>
        <row r="3">
          <cell r="J3">
            <v>990000116467</v>
          </cell>
        </row>
        <row r="4">
          <cell r="J4">
            <v>990000116469</v>
          </cell>
        </row>
        <row r="5">
          <cell r="J5">
            <v>990000116521</v>
          </cell>
        </row>
        <row r="6">
          <cell r="J6">
            <v>990000116565</v>
          </cell>
        </row>
        <row r="7">
          <cell r="J7">
            <v>990000116671</v>
          </cell>
        </row>
        <row r="8">
          <cell r="J8">
            <v>990000116356</v>
          </cell>
        </row>
        <row r="9">
          <cell r="J9">
            <v>990000116444</v>
          </cell>
        </row>
        <row r="10">
          <cell r="J10">
            <v>990000116466</v>
          </cell>
        </row>
        <row r="11">
          <cell r="J11">
            <v>990000116468</v>
          </cell>
        </row>
        <row r="12">
          <cell r="J12">
            <v>990000116519</v>
          </cell>
        </row>
        <row r="13">
          <cell r="J13">
            <v>990000116535</v>
          </cell>
        </row>
        <row r="14">
          <cell r="J14">
            <v>990000116545</v>
          </cell>
        </row>
        <row r="15">
          <cell r="J15">
            <v>990000116566</v>
          </cell>
        </row>
        <row r="16">
          <cell r="J16">
            <v>990000116567</v>
          </cell>
        </row>
        <row r="17">
          <cell r="J17">
            <v>990000116090</v>
          </cell>
        </row>
        <row r="18">
          <cell r="J18">
            <v>990000116279</v>
          </cell>
        </row>
        <row r="19">
          <cell r="J19">
            <v>990000116280</v>
          </cell>
        </row>
        <row r="20">
          <cell r="J20">
            <v>990000116354</v>
          </cell>
        </row>
        <row r="21">
          <cell r="J21">
            <v>990000116357</v>
          </cell>
        </row>
        <row r="22">
          <cell r="J22">
            <v>990000116358</v>
          </cell>
        </row>
        <row r="23">
          <cell r="J23">
            <v>990000116359</v>
          </cell>
        </row>
        <row r="24">
          <cell r="J24">
            <v>990000116392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119"/>
  <sheetViews>
    <sheetView tabSelected="1" zoomScale="70" zoomScaleNormal="70" workbookViewId="0">
      <pane xSplit="11" ySplit="4" topLeftCell="L101" activePane="bottomRight" state="frozen"/>
      <selection pane="topRight"/>
      <selection pane="bottomLeft"/>
      <selection pane="bottomRight" activeCell="F113" sqref="F113"/>
    </sheetView>
  </sheetViews>
  <sheetFormatPr defaultColWidth="9" defaultRowHeight="14" x14ac:dyDescent="0.3"/>
  <cols>
    <col min="1" max="1" width="9" style="75" hidden="1" customWidth="1"/>
    <col min="2" max="2" width="7" style="75" customWidth="1"/>
    <col min="3" max="3" width="14.4140625" style="75" customWidth="1"/>
    <col min="4" max="4" width="16.4140625" style="76" customWidth="1"/>
    <col min="5" max="5" width="16.75" style="77" customWidth="1"/>
    <col min="6" max="6" width="42.6640625" style="72" customWidth="1"/>
    <col min="7" max="7" width="7.6640625" style="78" customWidth="1"/>
    <col min="8" max="8" width="8.08203125" style="79" customWidth="1"/>
    <col min="9" max="9" width="6.6640625" style="80" customWidth="1"/>
    <col min="10" max="10" width="8.33203125" style="80" customWidth="1"/>
    <col min="11" max="11" width="7.08203125" style="81" customWidth="1"/>
    <col min="12" max="12" width="5.9140625" style="82" customWidth="1"/>
    <col min="13" max="13" width="11.33203125" style="83" customWidth="1"/>
    <col min="14" max="15" width="11.6640625" style="83" customWidth="1"/>
    <col min="16" max="19" width="11" style="83" customWidth="1"/>
    <col min="20" max="20" width="10.9140625" style="83" customWidth="1"/>
    <col min="21" max="22" width="11" style="83" customWidth="1"/>
    <col min="23" max="23" width="11.33203125" style="83" customWidth="1"/>
    <col min="24" max="32" width="11.33203125" style="83" hidden="1" customWidth="1"/>
    <col min="33" max="33" width="8" style="83" customWidth="1"/>
    <col min="34" max="34" width="7.08203125" style="82" customWidth="1"/>
    <col min="35" max="35" width="35.08203125" style="84" customWidth="1"/>
    <col min="36" max="36" width="13" style="75" hidden="1" customWidth="1"/>
    <col min="37" max="38" width="12.4140625" style="75" hidden="1" customWidth="1"/>
    <col min="39" max="39" width="0" style="75" hidden="1" customWidth="1"/>
    <col min="40" max="16384" width="9" style="75"/>
  </cols>
  <sheetData>
    <row r="1" spans="1:39" s="71" customFormat="1" ht="30.65" customHeight="1" x14ac:dyDescent="0.3">
      <c r="B1" s="149" t="s">
        <v>1802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17"/>
      <c r="AK1" s="117"/>
      <c r="AL1" s="117"/>
    </row>
    <row r="2" spans="1:39" ht="30.65" customHeight="1" x14ac:dyDescent="0.3">
      <c r="B2" s="85" t="s">
        <v>0</v>
      </c>
      <c r="C2" s="85" t="s">
        <v>1</v>
      </c>
      <c r="D2" s="86" t="s">
        <v>2</v>
      </c>
      <c r="E2" s="86" t="s">
        <v>3</v>
      </c>
      <c r="F2" s="87" t="s">
        <v>4</v>
      </c>
      <c r="G2" s="88" t="s">
        <v>5</v>
      </c>
      <c r="H2" s="89" t="s">
        <v>6</v>
      </c>
      <c r="I2" s="90" t="s">
        <v>7</v>
      </c>
      <c r="J2" s="90" t="s">
        <v>8</v>
      </c>
      <c r="K2" s="85" t="s">
        <v>9</v>
      </c>
      <c r="L2" s="85" t="s">
        <v>10</v>
      </c>
      <c r="M2" s="108">
        <v>46142</v>
      </c>
      <c r="N2" s="107">
        <f>M2</f>
        <v>46142</v>
      </c>
      <c r="O2" s="108">
        <f>M2+1+3</f>
        <v>46146</v>
      </c>
      <c r="P2" s="107">
        <f>O2</f>
        <v>46146</v>
      </c>
      <c r="Q2" s="108">
        <f>O2+1</f>
        <v>46147</v>
      </c>
      <c r="R2" s="107">
        <f>Q2</f>
        <v>46147</v>
      </c>
      <c r="S2" s="108">
        <f>Q2+1</f>
        <v>46148</v>
      </c>
      <c r="T2" s="107">
        <f>S2</f>
        <v>46148</v>
      </c>
      <c r="U2" s="108">
        <f>T2+1</f>
        <v>46149</v>
      </c>
      <c r="V2" s="107">
        <f>U2</f>
        <v>46149</v>
      </c>
      <c r="W2" s="116">
        <f>U2+1</f>
        <v>46150</v>
      </c>
      <c r="X2" s="107">
        <f>W2</f>
        <v>46150</v>
      </c>
      <c r="Y2" s="108">
        <f>W2+1</f>
        <v>46151</v>
      </c>
      <c r="Z2" s="107">
        <f>Y2</f>
        <v>46151</v>
      </c>
      <c r="AA2" s="108">
        <f>Y2+1</f>
        <v>46152</v>
      </c>
      <c r="AB2" s="107">
        <f>AA2</f>
        <v>46152</v>
      </c>
      <c r="AC2" s="108">
        <f>AA2+1</f>
        <v>46153</v>
      </c>
      <c r="AD2" s="107">
        <f>AC2</f>
        <v>46153</v>
      </c>
      <c r="AE2" s="108">
        <f>AC2+1</f>
        <v>46154</v>
      </c>
      <c r="AF2" s="107">
        <f>AE2</f>
        <v>46154</v>
      </c>
      <c r="AG2" s="108" t="s">
        <v>11</v>
      </c>
      <c r="AH2" s="118" t="s">
        <v>12</v>
      </c>
      <c r="AI2" s="119" t="s">
        <v>13</v>
      </c>
      <c r="AJ2" s="75" t="s">
        <v>14</v>
      </c>
      <c r="AK2" s="85" t="s">
        <v>15</v>
      </c>
      <c r="AL2" s="85" t="s">
        <v>16</v>
      </c>
    </row>
    <row r="3" spans="1:39" ht="14.25" customHeight="1" x14ac:dyDescent="0.3">
      <c r="B3" s="91" t="s">
        <v>17</v>
      </c>
      <c r="C3" s="91"/>
      <c r="D3" s="92"/>
      <c r="E3" s="93"/>
      <c r="F3" s="91"/>
      <c r="G3" s="91"/>
      <c r="H3" s="94"/>
      <c r="I3" s="95"/>
      <c r="J3" s="94"/>
      <c r="K3" s="109"/>
      <c r="L3" s="109"/>
      <c r="M3" s="110">
        <v>8</v>
      </c>
      <c r="N3" s="110" t="s">
        <v>18</v>
      </c>
      <c r="O3" s="110">
        <v>12</v>
      </c>
      <c r="P3" s="110" t="s">
        <v>18</v>
      </c>
      <c r="Q3" s="110">
        <v>12</v>
      </c>
      <c r="R3" s="110" t="s">
        <v>18</v>
      </c>
      <c r="S3" s="110">
        <v>12</v>
      </c>
      <c r="T3" s="110" t="s">
        <v>18</v>
      </c>
      <c r="U3" s="110">
        <v>12</v>
      </c>
      <c r="V3" s="110" t="s">
        <v>18</v>
      </c>
      <c r="W3" s="110">
        <v>12</v>
      </c>
      <c r="X3" s="110" t="s">
        <v>18</v>
      </c>
      <c r="Y3" s="110">
        <v>12</v>
      </c>
      <c r="Z3" s="110" t="s">
        <v>18</v>
      </c>
      <c r="AA3" s="110">
        <v>12</v>
      </c>
      <c r="AB3" s="110" t="s">
        <v>18</v>
      </c>
      <c r="AC3" s="110">
        <v>12</v>
      </c>
      <c r="AD3" s="110" t="s">
        <v>18</v>
      </c>
      <c r="AE3" s="110">
        <v>12</v>
      </c>
      <c r="AF3" s="110" t="s">
        <v>18</v>
      </c>
      <c r="AG3" s="110"/>
      <c r="AH3" s="120"/>
      <c r="AI3" s="121"/>
      <c r="AK3" s="91"/>
      <c r="AL3" s="91"/>
    </row>
    <row r="4" spans="1:39" ht="14" customHeight="1" x14ac:dyDescent="0.3">
      <c r="B4" s="96" t="s">
        <v>19</v>
      </c>
      <c r="C4" s="96"/>
      <c r="D4" s="97"/>
      <c r="E4" s="98"/>
      <c r="F4" s="96"/>
      <c r="G4" s="96"/>
      <c r="H4" s="97"/>
      <c r="I4" s="99"/>
      <c r="J4" s="99"/>
      <c r="K4" s="111"/>
      <c r="L4" s="111"/>
      <c r="M4" s="112">
        <v>9.5</v>
      </c>
      <c r="N4" s="112"/>
      <c r="O4" s="112">
        <v>9.5</v>
      </c>
      <c r="P4" s="112">
        <v>1</v>
      </c>
      <c r="Q4" s="112">
        <v>9.5</v>
      </c>
      <c r="R4" s="112">
        <v>2</v>
      </c>
      <c r="S4" s="112">
        <v>9.5</v>
      </c>
      <c r="T4" s="112">
        <v>2</v>
      </c>
      <c r="U4" s="112">
        <v>9.5</v>
      </c>
      <c r="V4" s="112">
        <v>1</v>
      </c>
      <c r="W4" s="112">
        <v>9.5</v>
      </c>
      <c r="X4" s="112">
        <v>2</v>
      </c>
      <c r="Y4" s="112">
        <v>9.5</v>
      </c>
      <c r="Z4" s="112">
        <v>2</v>
      </c>
      <c r="AA4" s="112">
        <v>9.5</v>
      </c>
      <c r="AB4" s="112">
        <v>2</v>
      </c>
      <c r="AC4" s="112">
        <v>9.5</v>
      </c>
      <c r="AD4" s="112">
        <v>2</v>
      </c>
      <c r="AE4" s="112">
        <v>9.5</v>
      </c>
      <c r="AF4" s="112">
        <v>2</v>
      </c>
      <c r="AG4" s="112"/>
      <c r="AH4" s="122"/>
      <c r="AI4" s="123"/>
      <c r="AK4" s="96"/>
      <c r="AL4" s="96"/>
    </row>
    <row r="5" spans="1:39" s="72" customFormat="1" ht="11.4" customHeight="1" x14ac:dyDescent="0.3">
      <c r="A5" s="72" t="str">
        <f>VLOOKUP(C5,'[1]青岛4 (2)'!$C:$D,2,0)</f>
        <v>日立测出风</v>
      </c>
      <c r="B5" s="100" t="s">
        <v>21</v>
      </c>
      <c r="C5" s="101">
        <v>10880036207</v>
      </c>
      <c r="D5" s="105">
        <v>110001302850</v>
      </c>
      <c r="E5" s="102">
        <v>110001302850</v>
      </c>
      <c r="F5" s="100" t="s">
        <v>42</v>
      </c>
      <c r="G5" s="101">
        <v>750</v>
      </c>
      <c r="H5" s="103">
        <v>750</v>
      </c>
      <c r="I5" s="104">
        <f>VLOOKUP(C5,'[2]IE model  海尔产品'!$A$1:$D$65536,4,0)</f>
        <v>1</v>
      </c>
      <c r="J5" s="104" cm="1">
        <f t="array" ref="J5">INDEX($A$2:$AF$2,MIN(IF(M5:AF5&lt;&gt;0,COLUMN(M5:AF5))))</f>
        <v>46142</v>
      </c>
      <c r="K5" s="100">
        <f>VLOOKUP(C5,'[2]IE model  海尔产品'!$A$1:$H$65536,8,0)</f>
        <v>90</v>
      </c>
      <c r="L5" s="100">
        <f>VLOOKUP(C5,'[2]IE model  海尔产品'!$A$1:$I$65536,9,0)</f>
        <v>62</v>
      </c>
      <c r="M5" s="115">
        <v>750</v>
      </c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>
        <f t="shared" ref="AG5:AG15" si="0">SUM(M5:AF5)</f>
        <v>750</v>
      </c>
      <c r="AH5" s="124">
        <f t="shared" ref="AH5:AH10" si="1">+H5-AG5</f>
        <v>0</v>
      </c>
      <c r="AI5" s="125">
        <f>_xlfn.XLOOKUP(D5,'[3]青岛4 (2)'!$G:$G,'[3]青岛4 (2)'!$J:$J)</f>
        <v>46141</v>
      </c>
      <c r="AJ5" s="124">
        <f t="shared" ref="AJ5:AJ7" si="2">+H5-AI5</f>
        <v>-45391</v>
      </c>
      <c r="AK5" s="125"/>
      <c r="AM5" s="72" t="e">
        <f>_xlfn.XLOOKUP(C5,'[4]4-30'!$F:$F,'[4]4-30'!$S:$S)</f>
        <v>#N/A</v>
      </c>
    </row>
    <row r="6" spans="1:39" s="72" customFormat="1" ht="13.25" customHeight="1" x14ac:dyDescent="0.3">
      <c r="A6" s="72" t="e">
        <f>VLOOKUP(C6,'[1]青岛4 (2)'!$C:$D,2,0)</f>
        <v>#N/A</v>
      </c>
      <c r="B6" s="100" t="s">
        <v>20</v>
      </c>
      <c r="C6" s="101">
        <v>10400030197</v>
      </c>
      <c r="D6" s="105">
        <v>110001302880</v>
      </c>
      <c r="E6" s="102">
        <v>110001302881</v>
      </c>
      <c r="F6" s="100" t="s">
        <v>43</v>
      </c>
      <c r="G6" s="101">
        <v>90</v>
      </c>
      <c r="H6" s="103">
        <v>90</v>
      </c>
      <c r="I6" s="104">
        <f>VLOOKUP(C6,'[2]IE model  海尔产品'!$A$1:$D$65536,4,0)</f>
        <v>0</v>
      </c>
      <c r="J6" s="104" cm="1">
        <f t="array" ref="J6">INDEX($A$2:$AF$2,MIN(IF(M6:AF6&lt;&gt;0,COLUMN(M6:AF6))))</f>
        <v>46142</v>
      </c>
      <c r="K6" s="100">
        <f>VLOOKUP(C6,'[2]IE model  海尔产品'!$A$1:$H$65536,8,0)</f>
        <v>1200</v>
      </c>
      <c r="L6" s="100">
        <f>VLOOKUP(C6,'[2]IE model  海尔产品'!$A$1:$I$65536,9,0)</f>
        <v>12</v>
      </c>
      <c r="M6" s="115">
        <v>90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>
        <f t="shared" si="0"/>
        <v>90</v>
      </c>
      <c r="AH6" s="124">
        <f t="shared" si="1"/>
        <v>0</v>
      </c>
      <c r="AI6" s="125"/>
      <c r="AJ6" s="124">
        <f t="shared" si="2"/>
        <v>90</v>
      </c>
      <c r="AK6" s="125"/>
      <c r="AM6" s="72" t="e">
        <f>_xlfn.XLOOKUP(C6,'[4]4-30'!$F:$F,'[4]4-30'!$S:$S)</f>
        <v>#N/A</v>
      </c>
    </row>
    <row r="7" spans="1:39" s="72" customFormat="1" x14ac:dyDescent="0.3">
      <c r="A7" s="72" t="e">
        <f>VLOOKUP(C7,'[1]青岛4 (2)'!$C:$D,2,0)</f>
        <v>#N/A</v>
      </c>
      <c r="B7" s="100" t="s">
        <v>20</v>
      </c>
      <c r="C7" s="101">
        <v>10400034245</v>
      </c>
      <c r="D7" s="105">
        <v>110001302880</v>
      </c>
      <c r="E7" s="102">
        <v>110001302882</v>
      </c>
      <c r="F7" s="100" t="s">
        <v>44</v>
      </c>
      <c r="G7" s="101">
        <v>90</v>
      </c>
      <c r="H7" s="103">
        <v>90</v>
      </c>
      <c r="I7" s="104">
        <f>VLOOKUP(C7,'[2]IE model  海尔产品'!$A$1:$D$65536,4,0)</f>
        <v>0</v>
      </c>
      <c r="J7" s="104" cm="1">
        <f t="array" ref="J7">INDEX($A$2:$AF$2,MIN(IF(M7:AF7&lt;&gt;0,COLUMN(M7:AF7))))</f>
        <v>46142</v>
      </c>
      <c r="K7" s="100">
        <f>VLOOKUP(C7,'[2]IE model  海尔产品'!$A$1:$H$65536,8,0)</f>
        <v>600</v>
      </c>
      <c r="L7" s="100">
        <f>VLOOKUP(C7,'[2]IE model  海尔产品'!$A$1:$I$65536,9,0)</f>
        <v>30</v>
      </c>
      <c r="M7" s="115">
        <v>90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>
        <f t="shared" si="0"/>
        <v>90</v>
      </c>
      <c r="AH7" s="124">
        <f t="shared" si="1"/>
        <v>0</v>
      </c>
      <c r="AI7" s="125"/>
      <c r="AJ7" s="124">
        <f t="shared" si="2"/>
        <v>90</v>
      </c>
      <c r="AK7" s="125"/>
      <c r="AM7" s="72" t="e">
        <f>_xlfn.XLOOKUP(C7,'[4]4-30'!$F:$F,'[4]4-30'!$S:$S)</f>
        <v>#N/A</v>
      </c>
    </row>
    <row r="8" spans="1:39" s="72" customFormat="1" ht="13.5" customHeight="1" x14ac:dyDescent="0.3">
      <c r="A8" s="72" t="e">
        <f>VLOOKUP(C8,'[1]青岛4 (2)'!$C:$D,2,0)</f>
        <v>#N/A</v>
      </c>
      <c r="B8" s="100" t="s">
        <v>20</v>
      </c>
      <c r="C8" s="101">
        <v>10880030545</v>
      </c>
      <c r="D8" s="105">
        <v>110001302795</v>
      </c>
      <c r="E8" s="102">
        <v>110001302796</v>
      </c>
      <c r="F8" s="100" t="s">
        <v>46</v>
      </c>
      <c r="G8" s="101">
        <v>300</v>
      </c>
      <c r="H8" s="103">
        <v>300</v>
      </c>
      <c r="I8" s="104">
        <f>VLOOKUP(C8,'[2]IE model  海尔产品'!$A$1:$D$65536,4,0)</f>
        <v>0</v>
      </c>
      <c r="J8" s="104" cm="1">
        <f t="array" ref="J8">INDEX($A$2:$AF$2,MIN(IF(M8:AF8&lt;&gt;0,COLUMN(M8:AF8))))</f>
        <v>46142</v>
      </c>
      <c r="K8" s="100">
        <f>VLOOKUP(C8,'[2]IE model  海尔产品'!$A$1:$H$65536,8,0)</f>
        <v>600</v>
      </c>
      <c r="L8" s="100">
        <f>VLOOKUP(C8,'[2]IE model  海尔产品'!$A$1:$I$65536,9,0)</f>
        <v>12</v>
      </c>
      <c r="M8" s="115">
        <v>300</v>
      </c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>
        <f t="shared" si="0"/>
        <v>300</v>
      </c>
      <c r="AH8" s="124">
        <f t="shared" si="1"/>
        <v>0</v>
      </c>
      <c r="AI8" s="125"/>
      <c r="AJ8" s="124"/>
      <c r="AK8" s="125"/>
      <c r="AM8" s="72" t="e">
        <f>_xlfn.XLOOKUP(C8,'[4]4-30'!$F:$F,'[4]4-30'!$S:$S)</f>
        <v>#N/A</v>
      </c>
    </row>
    <row r="9" spans="1:39" s="72" customFormat="1" ht="13.5" customHeight="1" x14ac:dyDescent="0.3">
      <c r="A9" s="72" t="e">
        <f>VLOOKUP(C9,'[1]青岛4 (2)'!$C:$D,2,0)</f>
        <v>#N/A</v>
      </c>
      <c r="B9" s="100" t="s">
        <v>20</v>
      </c>
      <c r="C9" s="101">
        <v>10880031020</v>
      </c>
      <c r="D9" s="105">
        <v>110001302795</v>
      </c>
      <c r="E9" s="102">
        <v>110001302797</v>
      </c>
      <c r="F9" s="100" t="s">
        <v>47</v>
      </c>
      <c r="G9" s="101">
        <v>300</v>
      </c>
      <c r="H9" s="103">
        <v>300</v>
      </c>
      <c r="I9" s="104">
        <f>VLOOKUP(C9,'[2]IE model  海尔产品'!$A$1:$D$65536,4,0)</f>
        <v>0</v>
      </c>
      <c r="J9" s="104" cm="1">
        <f t="array" ref="J9">INDEX($A$2:$AF$2,MIN(IF(M9:AF9&lt;&gt;0,COLUMN(M9:AF9))))</f>
        <v>46142</v>
      </c>
      <c r="K9" s="100">
        <f>VLOOKUP(C9,'[2]IE model  海尔产品'!$A$1:$H$65536,8,0)</f>
        <v>600</v>
      </c>
      <c r="L9" s="100">
        <f>VLOOKUP(C9,'[2]IE model  海尔产品'!$A$1:$I$65536,9,0)</f>
        <v>12</v>
      </c>
      <c r="M9" s="115">
        <v>300</v>
      </c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>
        <f t="shared" si="0"/>
        <v>300</v>
      </c>
      <c r="AH9" s="124">
        <f t="shared" si="1"/>
        <v>0</v>
      </c>
      <c r="AI9" s="125"/>
      <c r="AJ9" s="124"/>
      <c r="AK9" s="125"/>
      <c r="AM9" s="72" t="e">
        <f>_xlfn.XLOOKUP(C9,'[4]4-30'!$F:$F,'[4]4-30'!$S:$S)</f>
        <v>#N/A</v>
      </c>
    </row>
    <row r="10" spans="1:39" s="72" customFormat="1" ht="13.5" customHeight="1" x14ac:dyDescent="0.3">
      <c r="A10" s="72" t="e">
        <f>VLOOKUP(C10,'[1]青岛4 (2)'!$C:$D,2,0)</f>
        <v>#N/A</v>
      </c>
      <c r="B10" s="100" t="s">
        <v>20</v>
      </c>
      <c r="C10" s="101">
        <v>10880030545</v>
      </c>
      <c r="D10" s="105">
        <v>110001302790</v>
      </c>
      <c r="E10" s="102">
        <v>110001302791</v>
      </c>
      <c r="F10" s="100" t="s">
        <v>46</v>
      </c>
      <c r="G10" s="101">
        <v>180</v>
      </c>
      <c r="H10" s="103">
        <v>180</v>
      </c>
      <c r="I10" s="104">
        <f>VLOOKUP(C10,'[2]IE model  海尔产品'!$A$1:$D$65536,4,0)</f>
        <v>0</v>
      </c>
      <c r="J10" s="104" cm="1">
        <f t="array" ref="J10">INDEX($A$2:$AF$2,MIN(IF(M10:AF10&lt;&gt;0,COLUMN(M10:AF10))))</f>
        <v>46142</v>
      </c>
      <c r="K10" s="100">
        <f>VLOOKUP(C10,'[2]IE model  海尔产品'!$A$1:$H$65536,8,0)</f>
        <v>600</v>
      </c>
      <c r="L10" s="100">
        <f>VLOOKUP(C10,'[2]IE model  海尔产品'!$A$1:$I$65536,9,0)</f>
        <v>12</v>
      </c>
      <c r="M10" s="115">
        <v>180</v>
      </c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>
        <f t="shared" si="0"/>
        <v>180</v>
      </c>
      <c r="AH10" s="124">
        <f t="shared" si="1"/>
        <v>0</v>
      </c>
      <c r="AI10" s="125"/>
      <c r="AJ10" s="124"/>
      <c r="AK10" s="125"/>
      <c r="AM10" s="72" t="e">
        <f>_xlfn.XLOOKUP(C10,'[4]4-30'!$F:$F,'[4]4-30'!$S:$S)</f>
        <v>#N/A</v>
      </c>
    </row>
    <row r="11" spans="1:39" s="72" customFormat="1" ht="13.5" customHeight="1" x14ac:dyDescent="0.3">
      <c r="A11" s="72" t="e">
        <f>VLOOKUP(C11,'[1]青岛4 (2)'!$C:$D,2,0)</f>
        <v>#N/A</v>
      </c>
      <c r="B11" s="100" t="s">
        <v>20</v>
      </c>
      <c r="C11" s="101">
        <v>10880031020</v>
      </c>
      <c r="D11" s="105">
        <v>110001302790</v>
      </c>
      <c r="E11" s="102">
        <v>110001302792</v>
      </c>
      <c r="F11" s="100" t="s">
        <v>47</v>
      </c>
      <c r="G11" s="101">
        <v>180</v>
      </c>
      <c r="H11" s="103">
        <v>180</v>
      </c>
      <c r="I11" s="104">
        <f>VLOOKUP(C11,'[2]IE model  海尔产品'!$A$1:$D$65536,4,0)</f>
        <v>0</v>
      </c>
      <c r="J11" s="104" cm="1">
        <f t="array" ref="J11">INDEX($A$2:$AF$2,MIN(IF(M11:AF11&lt;&gt;0,COLUMN(M11:AF11))))</f>
        <v>46142</v>
      </c>
      <c r="K11" s="100">
        <f>VLOOKUP(C11,'[2]IE model  海尔产品'!$A$1:$H$65536,8,0)</f>
        <v>600</v>
      </c>
      <c r="L11" s="100">
        <f>VLOOKUP(C11,'[2]IE model  海尔产品'!$A$1:$I$65536,9,0)</f>
        <v>12</v>
      </c>
      <c r="M11" s="115">
        <v>180</v>
      </c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>
        <f t="shared" si="0"/>
        <v>180</v>
      </c>
      <c r="AH11" s="124">
        <f t="shared" ref="AH11:AH15" si="3">+H11-AG11</f>
        <v>0</v>
      </c>
      <c r="AI11" s="125"/>
      <c r="AJ11" s="124"/>
      <c r="AK11" s="125"/>
      <c r="AM11" s="72" t="e">
        <f>_xlfn.XLOOKUP(C11,'[4]4-30'!$F:$F,'[4]4-30'!$S:$S)</f>
        <v>#N/A</v>
      </c>
    </row>
    <row r="12" spans="1:39" s="72" customFormat="1" ht="13.5" customHeight="1" x14ac:dyDescent="0.3">
      <c r="A12" s="72" t="str">
        <f>VLOOKUP(C12,'[1]青岛4 (2)'!$C:$D,2,0)</f>
        <v>海信家电7I</v>
      </c>
      <c r="B12" s="100" t="s">
        <v>21</v>
      </c>
      <c r="C12" s="101">
        <v>10880038810</v>
      </c>
      <c r="D12" s="105">
        <v>110001302880</v>
      </c>
      <c r="E12" s="102">
        <v>110001302880</v>
      </c>
      <c r="F12" s="100" t="s">
        <v>45</v>
      </c>
      <c r="G12" s="101">
        <v>90</v>
      </c>
      <c r="H12" s="103">
        <v>90</v>
      </c>
      <c r="I12" s="104" t="str">
        <f>VLOOKUP(C12,'[2]IE model  海尔产品'!$A$1:$D$65536,4,0)</f>
        <v>通用板:1*2
旋钮板:1*10
MIC板1*30</v>
      </c>
      <c r="J12" s="104" cm="1">
        <f t="array" ref="J12">INDEX($A$2:$AF$2,MIN(IF(M12:AF12&lt;&gt;0,COLUMN(M12:AF12))))</f>
        <v>46146</v>
      </c>
      <c r="K12" s="100">
        <f>VLOOKUP(C12,'[2]IE model  海尔产品'!$A$1:$H$65536,8,0)</f>
        <v>60</v>
      </c>
      <c r="L12" s="100">
        <f>VLOOKUP(C12,'[2]IE model  海尔产品'!$A$1:$I$65536,9,0)</f>
        <v>58</v>
      </c>
      <c r="M12" s="115"/>
      <c r="N12" s="115"/>
      <c r="O12" s="115">
        <v>90</v>
      </c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>
        <f t="shared" si="0"/>
        <v>90</v>
      </c>
      <c r="AH12" s="124">
        <f t="shared" si="3"/>
        <v>0</v>
      </c>
      <c r="AI12" s="125">
        <f>_xlfn.XLOOKUP(D12,'[3]青岛4 (2)'!$G:$G,'[3]青岛4 (2)'!$J:$J)</f>
        <v>46142</v>
      </c>
      <c r="AJ12" s="124">
        <f>+H12-AI12</f>
        <v>-46052</v>
      </c>
      <c r="AK12" s="125"/>
      <c r="AM12" s="72" t="e">
        <f>_xlfn.XLOOKUP(C12,'[4]4-30'!$F:$F,'[4]4-30'!$S:$S)</f>
        <v>#N/A</v>
      </c>
    </row>
    <row r="13" spans="1:39" s="72" customFormat="1" ht="13.5" customHeight="1" x14ac:dyDescent="0.3">
      <c r="A13" s="72" t="str">
        <f>VLOOKUP(C13,'[1]青岛4 (2)'!$C:$D,2,0)</f>
        <v>海信家电</v>
      </c>
      <c r="B13" s="100" t="s">
        <v>21</v>
      </c>
      <c r="C13" s="101">
        <v>10880031760</v>
      </c>
      <c r="D13" s="105">
        <v>110001302795</v>
      </c>
      <c r="E13" s="102">
        <v>110001302795</v>
      </c>
      <c r="F13" s="100" t="s">
        <v>48</v>
      </c>
      <c r="G13" s="101">
        <v>300</v>
      </c>
      <c r="H13" s="103">
        <v>300</v>
      </c>
      <c r="I13" s="104" t="str">
        <f>VLOOKUP(C13,'[2]IE model  海尔产品'!$A$1:$D$65536,4,0)</f>
        <v>通用板:1*4
按键旋钮板:1*3</v>
      </c>
      <c r="J13" s="104" cm="1">
        <f t="array" ref="J13">INDEX($A$2:$AF$2,MIN(IF(M13:AF13&lt;&gt;0,COLUMN(M13:AF13))))</f>
        <v>46146</v>
      </c>
      <c r="K13" s="100">
        <f>VLOOKUP(C13,'[2]IE model  海尔产品'!$A$1:$H$65536,8,0)</f>
        <v>60</v>
      </c>
      <c r="L13" s="100">
        <f>VLOOKUP(C13,'[2]IE model  海尔产品'!$A$1:$I$65536,9,0)</f>
        <v>46</v>
      </c>
      <c r="M13" s="115"/>
      <c r="N13" s="115"/>
      <c r="O13" s="115">
        <v>300</v>
      </c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>
        <f t="shared" si="0"/>
        <v>300</v>
      </c>
      <c r="AH13" s="124">
        <f t="shared" si="3"/>
        <v>0</v>
      </c>
      <c r="AI13" s="125">
        <f>_xlfn.XLOOKUP(D13,'[3]青岛4 (2)'!$G:$G,'[3]青岛4 (2)'!$J:$J)</f>
        <v>46142</v>
      </c>
      <c r="AJ13" s="124"/>
      <c r="AK13" s="125"/>
      <c r="AM13" s="72" t="e">
        <f>_xlfn.XLOOKUP(C13,'[4]4-30'!$F:$F,'[4]4-30'!$S:$S)</f>
        <v>#N/A</v>
      </c>
    </row>
    <row r="14" spans="1:39" s="72" customFormat="1" ht="13.5" customHeight="1" x14ac:dyDescent="0.3">
      <c r="A14" s="72" t="str">
        <f>VLOOKUP(C14,'[1]青岛4 (2)'!$C:$D,2,0)</f>
        <v>海信家电</v>
      </c>
      <c r="B14" s="100" t="s">
        <v>21</v>
      </c>
      <c r="C14" s="101">
        <v>10880031011</v>
      </c>
      <c r="D14" s="105">
        <v>110001302790</v>
      </c>
      <c r="E14" s="102">
        <v>110001302790</v>
      </c>
      <c r="F14" s="100" t="s">
        <v>49</v>
      </c>
      <c r="G14" s="101">
        <v>180</v>
      </c>
      <c r="H14" s="103">
        <v>180</v>
      </c>
      <c r="I14" s="104" t="str">
        <f>VLOOKUP(C14,'[2]IE model  海尔产品'!$A$1:$D$65536,4,0)</f>
        <v>通用板:1*4
按键旋钮板:1*3</v>
      </c>
      <c r="J14" s="104" cm="1">
        <f t="array" ref="J14">INDEX($A$2:$AF$2,MIN(IF(M14:AF14&lt;&gt;0,COLUMN(M14:AF14))))</f>
        <v>46146</v>
      </c>
      <c r="K14" s="100">
        <f>VLOOKUP(C14,'[2]IE model  海尔产品'!$A$1:$H$65536,8,0)</f>
        <v>60</v>
      </c>
      <c r="L14" s="100">
        <f>VLOOKUP(C14,'[2]IE model  海尔产品'!$A$1:$I$65536,9,0)</f>
        <v>46</v>
      </c>
      <c r="M14" s="115"/>
      <c r="N14" s="115"/>
      <c r="O14" s="115">
        <v>180</v>
      </c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>
        <f t="shared" si="0"/>
        <v>180</v>
      </c>
      <c r="AH14" s="124">
        <f t="shared" si="3"/>
        <v>0</v>
      </c>
      <c r="AI14" s="125">
        <f>_xlfn.XLOOKUP(D14,'[3]青岛4 (2)'!$G:$G,'[3]青岛4 (2)'!$J:$J)</f>
        <v>46142</v>
      </c>
      <c r="AJ14" s="124"/>
      <c r="AK14" s="125"/>
      <c r="AM14" s="72" t="e">
        <f>_xlfn.XLOOKUP(C14,'[4]4-30'!$F:$F,'[4]4-30'!$S:$S)</f>
        <v>#N/A</v>
      </c>
    </row>
    <row r="15" spans="1:39" s="72" customFormat="1" ht="13.5" customHeight="1" x14ac:dyDescent="0.3">
      <c r="A15" s="72" t="e">
        <f>VLOOKUP(C15,'[1]青岛4 (2)'!$C:$D,2,0)</f>
        <v>#N/A</v>
      </c>
      <c r="B15" s="100" t="s">
        <v>20</v>
      </c>
      <c r="C15" s="101">
        <v>10400030194</v>
      </c>
      <c r="D15" s="105">
        <v>110001266519</v>
      </c>
      <c r="E15" s="102">
        <v>110001266520</v>
      </c>
      <c r="F15" s="100" t="s">
        <v>50</v>
      </c>
      <c r="G15" s="101">
        <v>160</v>
      </c>
      <c r="H15" s="103">
        <v>160</v>
      </c>
      <c r="I15" s="104">
        <f>VLOOKUP(C15,'[2]IE model  海尔产品'!$A$1:$D$65536,4,0)</f>
        <v>0</v>
      </c>
      <c r="J15" s="104" cm="1">
        <f t="array" ref="J15">INDEX($A$2:$AF$2,MIN(IF(M15:AF15&lt;&gt;0,COLUMN(M15:AF15))))</f>
        <v>46146</v>
      </c>
      <c r="K15" s="100">
        <f>VLOOKUP(C15,'[2]IE model  海尔产品'!$A$1:$H$65536,8,0)</f>
        <v>600</v>
      </c>
      <c r="L15" s="100">
        <f>VLOOKUP(C15,'[2]IE model  海尔产品'!$A$1:$I$65536,9,0)</f>
        <v>30</v>
      </c>
      <c r="M15" s="115"/>
      <c r="N15" s="115"/>
      <c r="O15" s="115">
        <v>160</v>
      </c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>
        <f t="shared" si="0"/>
        <v>160</v>
      </c>
      <c r="AH15" s="124">
        <f t="shared" si="3"/>
        <v>0</v>
      </c>
      <c r="AI15" s="125"/>
      <c r="AJ15" s="124">
        <f t="shared" ref="AJ15" si="4">+H15-AI15</f>
        <v>160</v>
      </c>
      <c r="AK15" s="125"/>
      <c r="AM15" s="72" t="e">
        <f>_xlfn.XLOOKUP(C15,'[4]4-30'!$F:$F,'[4]4-30'!$S:$S)</f>
        <v>#N/A</v>
      </c>
    </row>
    <row r="16" spans="1:39" s="72" customFormat="1" ht="13.5" customHeight="1" x14ac:dyDescent="0.3">
      <c r="A16" s="72" t="e">
        <f>VLOOKUP(C16,'[1]青岛4 (2)'!$C:$D,2,0)</f>
        <v>#N/A</v>
      </c>
      <c r="B16" s="100" t="s">
        <v>1764</v>
      </c>
      <c r="C16" s="101">
        <v>10400031098</v>
      </c>
      <c r="D16" s="105">
        <v>110001307410</v>
      </c>
      <c r="E16" s="102">
        <v>110001307411</v>
      </c>
      <c r="F16" s="100" t="s">
        <v>28</v>
      </c>
      <c r="G16" s="101">
        <v>429</v>
      </c>
      <c r="H16" s="103">
        <v>429</v>
      </c>
      <c r="I16" s="104" t="e">
        <f>VLOOKUP(C16,'[2]IE model  海尔产品'!$A$1:$D$65536,4,0)</f>
        <v>#N/A</v>
      </c>
      <c r="J16" s="104" cm="1">
        <f t="array" ref="J16">INDEX($A$2:$AF$2,MIN(IF(M16:AF16&lt;&gt;0,COLUMN(M16:AF16))))</f>
        <v>46151</v>
      </c>
      <c r="K16" s="100" t="e">
        <f>VLOOKUP(C16,'[2]IE model  海尔产品'!$A$1:$H$65536,8,0)</f>
        <v>#N/A</v>
      </c>
      <c r="L16" s="100" t="e">
        <f>VLOOKUP(C16,'[2]IE model  海尔产品'!$A$1:$I$65536,9,0)</f>
        <v>#N/A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>
        <v>429</v>
      </c>
      <c r="Z16" s="115"/>
      <c r="AA16" s="115"/>
      <c r="AB16" s="115"/>
      <c r="AC16" s="115"/>
      <c r="AD16" s="115"/>
      <c r="AE16" s="115"/>
      <c r="AF16" s="115"/>
      <c r="AG16" s="115">
        <f t="shared" ref="AG16:AG25" si="5">SUM(M16:AF16)</f>
        <v>429</v>
      </c>
      <c r="AH16" s="124">
        <f t="shared" ref="AH16:AH25" si="6">+H16-AG16</f>
        <v>0</v>
      </c>
      <c r="AI16" s="125"/>
      <c r="AJ16" s="124"/>
      <c r="AK16" s="125"/>
      <c r="AM16" s="72" t="e">
        <f>_xlfn.XLOOKUP(C16,'[4]4-30'!$F:$F,'[4]4-30'!$S:$S)</f>
        <v>#N/A</v>
      </c>
    </row>
    <row r="17" spans="1:39" s="72" customFormat="1" ht="13.5" customHeight="1" x14ac:dyDescent="0.3">
      <c r="A17" s="72" t="str">
        <f>VLOOKUP(C17,'[1]青岛4 (2)'!$C:$D,2,0)</f>
        <v>日立测出风</v>
      </c>
      <c r="B17" s="100" t="s">
        <v>21</v>
      </c>
      <c r="C17" s="101">
        <v>10880036493</v>
      </c>
      <c r="D17" s="105">
        <v>110001307420</v>
      </c>
      <c r="E17" s="102">
        <v>110001307420</v>
      </c>
      <c r="F17" s="100" t="s">
        <v>38</v>
      </c>
      <c r="G17" s="101">
        <v>190</v>
      </c>
      <c r="H17" s="103">
        <v>190</v>
      </c>
      <c r="I17" s="104">
        <f>VLOOKUP(C17,'[2]IE model  海尔产品'!$A$1:$D$65536,4,0)</f>
        <v>1</v>
      </c>
      <c r="J17" s="104" cm="1">
        <f t="array" ref="J17">INDEX($A$2:$AF$2,MIN(IF(M17:AF17&lt;&gt;0,COLUMN(M17:AF17))))</f>
        <v>46151</v>
      </c>
      <c r="K17" s="100">
        <f>VLOOKUP(C17,'[2]IE model  海尔产品'!$A$1:$H$65536,8,0)</f>
        <v>90</v>
      </c>
      <c r="L17" s="100">
        <f>VLOOKUP(C17,'[2]IE model  海尔产品'!$A$1:$I$65536,9,0)</f>
        <v>62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>
        <v>190</v>
      </c>
      <c r="Z17" s="115"/>
      <c r="AA17" s="115"/>
      <c r="AB17" s="115"/>
      <c r="AC17" s="115"/>
      <c r="AD17" s="115"/>
      <c r="AE17" s="115"/>
      <c r="AF17" s="115"/>
      <c r="AG17" s="115">
        <f t="shared" si="5"/>
        <v>190</v>
      </c>
      <c r="AH17" s="124">
        <f t="shared" si="6"/>
        <v>0</v>
      </c>
      <c r="AI17" s="125">
        <f>_xlfn.XLOOKUP(D17,'[3]青岛4 (2)'!$G:$G,'[3]青岛4 (2)'!$J:$J)</f>
        <v>46151</v>
      </c>
      <c r="AJ17" s="124">
        <f>+H17-AI17</f>
        <v>-45961</v>
      </c>
      <c r="AK17" s="125"/>
      <c r="AM17" s="72" t="e">
        <f>_xlfn.XLOOKUP(C17,'[4]4-30'!$F:$F,'[4]4-30'!$S:$S)</f>
        <v>#N/A</v>
      </c>
    </row>
    <row r="18" spans="1:39" s="72" customFormat="1" ht="13.5" customHeight="1" x14ac:dyDescent="0.3">
      <c r="B18" s="100" t="s">
        <v>21</v>
      </c>
      <c r="C18" s="101">
        <v>10880036503</v>
      </c>
      <c r="D18" s="105">
        <v>110001307192</v>
      </c>
      <c r="E18" s="102">
        <v>110001307192</v>
      </c>
      <c r="F18" s="100" t="s">
        <v>35</v>
      </c>
      <c r="G18" s="101">
        <v>250</v>
      </c>
      <c r="H18" s="103">
        <v>250</v>
      </c>
      <c r="I18" s="104" t="e">
        <f>VLOOKUP(C18,'[2]IE model  海尔产品'!$A$1:$D$65536,4,0)</f>
        <v>#N/A</v>
      </c>
      <c r="J18" s="104" cm="1">
        <f t="array" ref="J18">INDEX($A$2:$AF$2,MIN(IF(M18:AF18&lt;&gt;0,COLUMN(M18:AF18))))</f>
        <v>46151</v>
      </c>
      <c r="K18" s="100" t="e">
        <f>VLOOKUP(C18,'[2]IE model  海尔产品'!$A$1:$H$65536,8,0)</f>
        <v>#N/A</v>
      </c>
      <c r="L18" s="100" t="e">
        <f>VLOOKUP(C18,'[2]IE model  海尔产品'!$A$1:$I$65536,9,0)</f>
        <v>#N/A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>
        <v>100</v>
      </c>
      <c r="Z18" s="115"/>
      <c r="AA18" s="115">
        <v>150</v>
      </c>
      <c r="AB18" s="115"/>
      <c r="AC18" s="115"/>
      <c r="AD18" s="115"/>
      <c r="AE18" s="115"/>
      <c r="AF18" s="115"/>
      <c r="AG18" s="115">
        <f t="shared" si="5"/>
        <v>250</v>
      </c>
      <c r="AH18" s="124">
        <f t="shared" si="6"/>
        <v>0</v>
      </c>
      <c r="AI18" s="125">
        <f>_xlfn.XLOOKUP(D18,'[3]青岛4 (2)'!$G:$G,'[3]青岛4 (2)'!$J:$J)</f>
        <v>46151</v>
      </c>
      <c r="AJ18" s="124"/>
      <c r="AK18" s="125"/>
      <c r="AM18" s="72" t="e">
        <f>_xlfn.XLOOKUP(C18,'[4]4-30'!$F:$F,'[4]4-30'!$S:$S)</f>
        <v>#N/A</v>
      </c>
    </row>
    <row r="19" spans="1:39" s="72" customFormat="1" ht="13.5" customHeight="1" x14ac:dyDescent="0.3">
      <c r="A19" s="72" t="str">
        <f>VLOOKUP(C19,'[1]青岛4 (2)'!$C:$D,2,0)</f>
        <v>日立测出风</v>
      </c>
      <c r="B19" s="100" t="s">
        <v>21</v>
      </c>
      <c r="C19" s="101">
        <v>10880036479</v>
      </c>
      <c r="D19" s="105">
        <v>110001307410</v>
      </c>
      <c r="E19" s="102">
        <v>110001307410</v>
      </c>
      <c r="F19" s="100" t="s">
        <v>30</v>
      </c>
      <c r="G19" s="101">
        <v>429</v>
      </c>
      <c r="H19" s="103">
        <v>429</v>
      </c>
      <c r="I19" s="104">
        <f>VLOOKUP(C19,'[2]IE model  海尔产品'!$A$1:$D$65536,4,0)</f>
        <v>1</v>
      </c>
      <c r="J19" s="104" cm="1">
        <f t="array" ref="J19">INDEX($A$2:$AF$2,MIN(IF(M19:AF19&lt;&gt;0,COLUMN(M19:AF19))))</f>
        <v>46152</v>
      </c>
      <c r="K19" s="100">
        <f>VLOOKUP(C19,'[2]IE model  海尔产品'!$A$1:$H$65536,8,0)</f>
        <v>90</v>
      </c>
      <c r="L19" s="100">
        <f>VLOOKUP(C19,'[2]IE model  海尔产品'!$A$1:$I$65536,9,0)</f>
        <v>62</v>
      </c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>
        <v>429</v>
      </c>
      <c r="AB19" s="115"/>
      <c r="AC19" s="115"/>
      <c r="AD19" s="115"/>
      <c r="AE19" s="115"/>
      <c r="AF19" s="115"/>
      <c r="AG19" s="115">
        <f t="shared" si="5"/>
        <v>429</v>
      </c>
      <c r="AH19" s="124">
        <f t="shared" si="6"/>
        <v>0</v>
      </c>
      <c r="AI19" s="125">
        <f>_xlfn.XLOOKUP(D19,'[3]青岛4 (2)'!$G:$G,'[3]青岛4 (2)'!$J:$J)</f>
        <v>46151</v>
      </c>
      <c r="AJ19" s="124"/>
      <c r="AK19" s="125"/>
      <c r="AM19" s="72" t="e">
        <f>_xlfn.XLOOKUP(C19,'[4]4-30'!$F:$F,'[4]4-30'!$S:$S)</f>
        <v>#N/A</v>
      </c>
    </row>
    <row r="20" spans="1:39" s="72" customFormat="1" ht="13.5" customHeight="1" x14ac:dyDescent="0.3">
      <c r="A20" s="72" t="e">
        <f>VLOOKUP(C20,'[1]青岛4 (2)'!$C:$D,2,0)</f>
        <v>#N/A</v>
      </c>
      <c r="B20" s="100" t="s">
        <v>23</v>
      </c>
      <c r="C20" s="101">
        <v>10400029072</v>
      </c>
      <c r="D20" s="101">
        <v>110001307415</v>
      </c>
      <c r="E20" s="105">
        <v>110001307417</v>
      </c>
      <c r="F20" s="100" t="s">
        <v>24</v>
      </c>
      <c r="G20" s="101">
        <v>98</v>
      </c>
      <c r="H20" s="106">
        <v>98</v>
      </c>
      <c r="I20" s="104" t="e">
        <f>VLOOKUP(C20,'[2]IE model  海尔产品'!$A$1:$D$65536,4,0)</f>
        <v>#N/A</v>
      </c>
      <c r="J20" s="104" t="e" cm="1" vm="1">
        <f t="array" aca="1" ref="J20" ca="1">INDEX($A$2:$AF$2,MIN(IF(M20:AF20&lt;&gt;0,COLUMN(M20:AF20))))</f>
        <v>#VALUE!</v>
      </c>
      <c r="K20" s="100" t="e">
        <f>VLOOKUP(C20,'[2]IE model  海尔产品'!$A$1:$H$65536,8,0)</f>
        <v>#N/A</v>
      </c>
      <c r="L20" s="100" t="e">
        <f>VLOOKUP(C20,'[2]IE model  海尔产品'!$A$1:$I$65536,9,0)</f>
        <v>#N/A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>
        <f t="shared" si="5"/>
        <v>0</v>
      </c>
      <c r="AH20" s="124">
        <f t="shared" si="6"/>
        <v>98</v>
      </c>
      <c r="AI20" s="125"/>
      <c r="AJ20" s="124">
        <f>+H20-AI20</f>
        <v>98</v>
      </c>
      <c r="AK20" s="125"/>
      <c r="AM20" s="72" t="e">
        <f>_xlfn.XLOOKUP(C20,'[4]4-30'!$F:$F,'[4]4-30'!$S:$S)</f>
        <v>#N/A</v>
      </c>
    </row>
    <row r="21" spans="1:39" s="72" customFormat="1" ht="13.5" customHeight="1" x14ac:dyDescent="0.3">
      <c r="A21" s="72" t="e">
        <f>VLOOKUP(C21,'[1]青岛4 (2)'!$C:$D,2,0)</f>
        <v>#N/A</v>
      </c>
      <c r="B21" s="100" t="s">
        <v>20</v>
      </c>
      <c r="C21" s="101">
        <v>10400031101</v>
      </c>
      <c r="D21" s="101">
        <v>110001307415</v>
      </c>
      <c r="E21" s="105">
        <v>110001307416</v>
      </c>
      <c r="F21" s="100" t="s">
        <v>37</v>
      </c>
      <c r="G21" s="101">
        <v>98</v>
      </c>
      <c r="H21" s="106">
        <v>98</v>
      </c>
      <c r="I21" s="104" t="e">
        <f>VLOOKUP(C21,'[2]IE model  海尔产品'!$A$1:$D$65536,4,0)</f>
        <v>#N/A</v>
      </c>
      <c r="J21" s="104" t="e" cm="1" vm="1">
        <f t="array" aca="1" ref="J21" ca="1">INDEX($A$2:$AF$2,MIN(IF(M21:AF21&lt;&gt;0,COLUMN(M21:AF21))))</f>
        <v>#VALUE!</v>
      </c>
      <c r="K21" s="100" t="e">
        <f>VLOOKUP(C21,'[2]IE model  海尔产品'!$A$1:$H$65536,8,0)</f>
        <v>#N/A</v>
      </c>
      <c r="L21" s="100" t="e">
        <f>VLOOKUP(C21,'[2]IE model  海尔产品'!$A$1:$I$65536,9,0)</f>
        <v>#N/A</v>
      </c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>
        <f t="shared" si="5"/>
        <v>0</v>
      </c>
      <c r="AH21" s="124">
        <f t="shared" si="6"/>
        <v>98</v>
      </c>
      <c r="AI21" s="125"/>
      <c r="AJ21" s="124">
        <f>+H21-AI21</f>
        <v>98</v>
      </c>
      <c r="AK21" s="125"/>
      <c r="AM21" s="72" t="e">
        <f>_xlfn.XLOOKUP(C21,'[4]4-30'!$F:$F,'[4]4-30'!$S:$S)</f>
        <v>#N/A</v>
      </c>
    </row>
    <row r="22" spans="1:39" s="72" customFormat="1" ht="13.5" customHeight="1" x14ac:dyDescent="0.3">
      <c r="A22" s="72" t="str">
        <f>VLOOKUP(C22,'[1]青岛4 (2)'!$C:$D,2,0)</f>
        <v>日立测出风</v>
      </c>
      <c r="B22" s="100" t="s">
        <v>21</v>
      </c>
      <c r="C22" s="101">
        <v>10880036481</v>
      </c>
      <c r="D22" s="101">
        <v>110001307415</v>
      </c>
      <c r="E22" s="105">
        <v>110001307415</v>
      </c>
      <c r="F22" s="100" t="s">
        <v>39</v>
      </c>
      <c r="G22" s="101">
        <v>98</v>
      </c>
      <c r="H22" s="106">
        <v>98</v>
      </c>
      <c r="I22" s="104">
        <f>VLOOKUP(C22,'[2]IE model  海尔产品'!$A$1:$D$65536,4,0)</f>
        <v>1</v>
      </c>
      <c r="J22" s="104" t="e" cm="1" vm="1">
        <f t="array" aca="1" ref="J22" ca="1">INDEX($A$2:$AF$2,MIN(IF(M22:AF22&lt;&gt;0,COLUMN(M22:AF22))))</f>
        <v>#VALUE!</v>
      </c>
      <c r="K22" s="100">
        <f>VLOOKUP(C22,'[2]IE model  海尔产品'!$A$1:$H$65536,8,0)</f>
        <v>90</v>
      </c>
      <c r="L22" s="100">
        <f>VLOOKUP(C22,'[2]IE model  海尔产品'!$A$1:$I$65536,9,0)</f>
        <v>62</v>
      </c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>
        <f t="shared" si="5"/>
        <v>0</v>
      </c>
      <c r="AH22" s="124">
        <f t="shared" si="6"/>
        <v>98</v>
      </c>
      <c r="AI22" s="125">
        <f>_xlfn.XLOOKUP(D22,'[3]青岛4 (2)'!$G:$G,'[3]青岛4 (2)'!$J:$J)</f>
        <v>46157</v>
      </c>
      <c r="AJ22" s="124">
        <f t="shared" ref="AJ22:AJ25" si="7">+H22-AI22</f>
        <v>-46059</v>
      </c>
      <c r="AK22" s="125"/>
      <c r="AM22" s="72" t="e">
        <f>_xlfn.XLOOKUP(C22,'[4]4-30'!$F:$F,'[4]4-30'!$S:$S)</f>
        <v>#N/A</v>
      </c>
    </row>
    <row r="23" spans="1:39" s="72" customFormat="1" ht="13.5" customHeight="1" x14ac:dyDescent="0.3">
      <c r="A23" s="72" t="str">
        <f>VLOOKUP(C23,'[1]青岛4 (2)'!$C:$D,2,0)</f>
        <v>海信家电</v>
      </c>
      <c r="B23" s="100" t="s">
        <v>21</v>
      </c>
      <c r="C23" s="101">
        <v>10880031760</v>
      </c>
      <c r="D23" s="101">
        <v>110001292147</v>
      </c>
      <c r="E23" s="105">
        <v>110001292147</v>
      </c>
      <c r="F23" s="100" t="s">
        <v>48</v>
      </c>
      <c r="G23" s="101">
        <v>430</v>
      </c>
      <c r="H23" s="106">
        <v>430</v>
      </c>
      <c r="I23" s="104" t="str">
        <f>VLOOKUP(C23,'[2]IE model  海尔产品'!$A$1:$D$65536,4,0)</f>
        <v>通用板:1*4
按键旋钮板:1*3</v>
      </c>
      <c r="J23" s="104" t="e" cm="1" vm="1">
        <f t="array" aca="1" ref="J23" ca="1">INDEX($A$2:$AF$2,MIN(IF(M23:AF23&lt;&gt;0,COLUMN(M23:AF23))))</f>
        <v>#VALUE!</v>
      </c>
      <c r="K23" s="100">
        <f>VLOOKUP(C23,'[2]IE model  海尔产品'!$A$1:$H$65536,8,0)</f>
        <v>60</v>
      </c>
      <c r="L23" s="100">
        <f>VLOOKUP(C23,'[2]IE model  海尔产品'!$A$1:$I$65536,9,0)</f>
        <v>46</v>
      </c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>
        <f t="shared" si="5"/>
        <v>0</v>
      </c>
      <c r="AH23" s="124">
        <f t="shared" si="6"/>
        <v>430</v>
      </c>
      <c r="AI23" s="125" t="s">
        <v>57</v>
      </c>
      <c r="AJ23" s="124" t="e">
        <f t="shared" si="7"/>
        <v>#VALUE!</v>
      </c>
      <c r="AK23" s="125" t="s">
        <v>57</v>
      </c>
      <c r="AM23" s="72" t="e">
        <f>_xlfn.XLOOKUP(C23,'[4]4-30'!$F:$F,'[4]4-30'!$S:$S)</f>
        <v>#N/A</v>
      </c>
    </row>
    <row r="24" spans="1:39" s="72" customFormat="1" ht="13.5" customHeight="1" x14ac:dyDescent="0.3">
      <c r="A24" s="72" t="e">
        <f>VLOOKUP(C24,'[1]青岛4 (2)'!$C:$D,2,0)</f>
        <v>#N/A</v>
      </c>
      <c r="B24" s="100" t="s">
        <v>20</v>
      </c>
      <c r="C24" s="101">
        <v>10880030545</v>
      </c>
      <c r="D24" s="101">
        <v>110001292147</v>
      </c>
      <c r="E24" s="105">
        <v>110001292148</v>
      </c>
      <c r="F24" s="100" t="s">
        <v>46</v>
      </c>
      <c r="G24" s="101">
        <v>430</v>
      </c>
      <c r="H24" s="106">
        <v>430</v>
      </c>
      <c r="I24" s="104">
        <f>VLOOKUP(C24,'[2]IE model  海尔产品'!$A$1:$D$65536,4,0)</f>
        <v>0</v>
      </c>
      <c r="J24" s="104" t="e" cm="1" vm="1">
        <f t="array" aca="1" ref="J24" ca="1">INDEX($A$2:$AF$2,MIN(IF(M24:AF24&lt;&gt;0,COLUMN(M24:AF24))))</f>
        <v>#VALUE!</v>
      </c>
      <c r="K24" s="100">
        <f>VLOOKUP(C24,'[2]IE model  海尔产品'!$A$1:$H$65536,8,0)</f>
        <v>600</v>
      </c>
      <c r="L24" s="100">
        <f>VLOOKUP(C24,'[2]IE model  海尔产品'!$A$1:$I$65536,9,0)</f>
        <v>12</v>
      </c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>
        <f t="shared" si="5"/>
        <v>0</v>
      </c>
      <c r="AH24" s="124">
        <f t="shared" si="6"/>
        <v>430</v>
      </c>
      <c r="AI24" s="125" t="s">
        <v>57</v>
      </c>
      <c r="AJ24" s="124" t="e">
        <f t="shared" si="7"/>
        <v>#VALUE!</v>
      </c>
      <c r="AK24" s="125" t="s">
        <v>57</v>
      </c>
      <c r="AM24" s="72" t="e">
        <f>_xlfn.XLOOKUP(C24,'[4]4-30'!$F:$F,'[4]4-30'!$S:$S)</f>
        <v>#N/A</v>
      </c>
    </row>
    <row r="25" spans="1:39" s="72" customFormat="1" ht="13.25" customHeight="1" x14ac:dyDescent="0.3">
      <c r="A25" s="72" t="e">
        <f>VLOOKUP(C25,'[1]青岛4 (2)'!$C:$D,2,0)</f>
        <v>#N/A</v>
      </c>
      <c r="B25" s="100" t="s">
        <v>20</v>
      </c>
      <c r="C25" s="101">
        <v>10880031020</v>
      </c>
      <c r="D25" s="101">
        <v>110001292147</v>
      </c>
      <c r="E25" s="105">
        <v>110001292149</v>
      </c>
      <c r="F25" s="100" t="s">
        <v>47</v>
      </c>
      <c r="G25" s="101">
        <v>430</v>
      </c>
      <c r="H25" s="106">
        <v>430</v>
      </c>
      <c r="I25" s="104">
        <f>VLOOKUP(C25,'[2]IE model  海尔产品'!$A$1:$D$65536,4,0)</f>
        <v>0</v>
      </c>
      <c r="J25" s="104" t="e" cm="1" vm="1">
        <f t="array" aca="1" ref="J25" ca="1">INDEX($A$2:$AF$2,MIN(IF(M25:AF25&lt;&gt;0,COLUMN(M25:AF25))))</f>
        <v>#VALUE!</v>
      </c>
      <c r="K25" s="100">
        <f>VLOOKUP(C25,'[2]IE model  海尔产品'!$A$1:$H$65536,8,0)</f>
        <v>600</v>
      </c>
      <c r="L25" s="100">
        <f>VLOOKUP(C25,'[2]IE model  海尔产品'!$A$1:$I$65536,9,0)</f>
        <v>12</v>
      </c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>
        <f t="shared" si="5"/>
        <v>0</v>
      </c>
      <c r="AH25" s="124">
        <f t="shared" si="6"/>
        <v>430</v>
      </c>
      <c r="AI25" s="125" t="s">
        <v>57</v>
      </c>
      <c r="AJ25" s="124" t="e">
        <f t="shared" si="7"/>
        <v>#VALUE!</v>
      </c>
      <c r="AK25" s="125" t="s">
        <v>57</v>
      </c>
      <c r="AM25" s="72" t="e">
        <f>_xlfn.XLOOKUP(C25,'[4]4-30'!$F:$F,'[4]4-30'!$S:$S)</f>
        <v>#N/A</v>
      </c>
    </row>
    <row r="26" spans="1:39" ht="14" customHeight="1" x14ac:dyDescent="0.3">
      <c r="A26" s="72" t="e">
        <f>VLOOKUP(C26,'[1]青岛4 (2)'!$C:$D,2,0)</f>
        <v>#N/A</v>
      </c>
      <c r="B26" s="91" t="s">
        <v>58</v>
      </c>
      <c r="C26" s="91"/>
      <c r="D26" s="92"/>
      <c r="E26" s="93"/>
      <c r="F26" s="91"/>
      <c r="G26" s="91"/>
      <c r="H26" s="94"/>
      <c r="I26" s="94"/>
      <c r="J26" s="94"/>
      <c r="K26" s="94"/>
      <c r="L26" s="94"/>
      <c r="M26" s="110">
        <f>SUM(M5:M25)</f>
        <v>1890</v>
      </c>
      <c r="N26" s="110">
        <f>SUM(N5:N25)</f>
        <v>0</v>
      </c>
      <c r="O26" s="110">
        <f>SUM(O5:O25)</f>
        <v>730</v>
      </c>
      <c r="P26" s="110">
        <f>SUM(P5:P25)</f>
        <v>0</v>
      </c>
      <c r="Q26" s="110">
        <f>SUM(Q5:Q25)</f>
        <v>0</v>
      </c>
      <c r="R26" s="110">
        <f>SUM(R5:R25)</f>
        <v>0</v>
      </c>
      <c r="S26" s="110">
        <f>SUM(S5:S25)</f>
        <v>0</v>
      </c>
      <c r="T26" s="110">
        <f>SUM(T5:T25)</f>
        <v>0</v>
      </c>
      <c r="U26" s="110">
        <f>SUM(U5:U25)</f>
        <v>0</v>
      </c>
      <c r="V26" s="110">
        <f>SUM(V5:V25)</f>
        <v>0</v>
      </c>
      <c r="W26" s="110">
        <f>SUM(W5:W25)</f>
        <v>0</v>
      </c>
      <c r="X26" s="110">
        <f>SUM(X5:X25)</f>
        <v>0</v>
      </c>
      <c r="Y26" s="110">
        <f>SUM(Y5:Y25)</f>
        <v>719</v>
      </c>
      <c r="Z26" s="110">
        <f>SUM(Z5:Z25)</f>
        <v>0</v>
      </c>
      <c r="AA26" s="110">
        <f>SUM(AA5:AA25)</f>
        <v>579</v>
      </c>
      <c r="AB26" s="110">
        <f>SUM(AB5:AB25)</f>
        <v>0</v>
      </c>
      <c r="AC26" s="110">
        <f>SUM(AC5:AC25)</f>
        <v>0</v>
      </c>
      <c r="AD26" s="110">
        <f>SUM(AD5:AD25)</f>
        <v>0</v>
      </c>
      <c r="AE26" s="110">
        <f>SUM(AE5:AE25)</f>
        <v>0</v>
      </c>
      <c r="AF26" s="110">
        <f>SUM(AF5:AF25)</f>
        <v>0</v>
      </c>
      <c r="AG26" s="110"/>
      <c r="AH26" s="110"/>
      <c r="AI26" s="121"/>
      <c r="AJ26" s="75" t="e">
        <f>VLOOKUP(E26,[5]Data!$D:$D,1,0)</f>
        <v>#N/A</v>
      </c>
      <c r="AK26" s="91" t="e">
        <f>VLOOKUP(AJ26,[5]Data!$D:$I,6,0)</f>
        <v>#N/A</v>
      </c>
      <c r="AL26" s="91"/>
      <c r="AM26" s="72" t="str">
        <f>_xlfn.XLOOKUP(C26,'[4]4-30'!$F:$F,'[4]4-30'!$S:$S)</f>
        <v>备注</v>
      </c>
    </row>
    <row r="27" spans="1:39" s="72" customFormat="1" ht="14" customHeight="1" x14ac:dyDescent="0.3">
      <c r="A27" s="72" t="e">
        <f>VLOOKUP(C27,'[1]青岛4 (2)'!$C:$D,2,0)</f>
        <v>#N/A</v>
      </c>
      <c r="B27" s="100" t="s">
        <v>59</v>
      </c>
      <c r="C27" s="101">
        <v>10880033487</v>
      </c>
      <c r="D27" s="105">
        <v>110001283801</v>
      </c>
      <c r="E27" s="102">
        <v>110001283801</v>
      </c>
      <c r="F27" s="100" t="s">
        <v>67</v>
      </c>
      <c r="G27" s="101">
        <v>600</v>
      </c>
      <c r="H27" s="103">
        <v>300</v>
      </c>
      <c r="I27" s="104" t="str">
        <f>VLOOKUP(C27,'[2]IE model  海尔产品'!$A$1:$D$65536,4,0)</f>
        <v>1*3</v>
      </c>
      <c r="J27" s="104" cm="1">
        <f t="array" ref="J27">INDEX($A$2:$AF$2,MIN(IF(M27:AF27&lt;&gt;0,COLUMN(M27:AF27))))</f>
        <v>46142</v>
      </c>
      <c r="K27" s="100">
        <f>VLOOKUP(C27,'[2]IE model  海尔产品'!$A$1:$H$65536,8,0)</f>
        <v>360</v>
      </c>
      <c r="L27" s="100">
        <f>VLOOKUP(C27,'[2]IE model  海尔产品'!$A$1:$I$65536,9,0)</f>
        <v>36</v>
      </c>
      <c r="M27" s="115">
        <v>300</v>
      </c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>
        <f t="shared" ref="AG27:AG28" si="8">SUM(M27:AF27)</f>
        <v>300</v>
      </c>
      <c r="AH27" s="124">
        <f t="shared" ref="AH27:AH28" si="9">+H27-AG27</f>
        <v>0</v>
      </c>
      <c r="AI27" s="125" t="s">
        <v>68</v>
      </c>
      <c r="AK27" s="125"/>
      <c r="AL27" s="100"/>
      <c r="AM27" s="72" t="e">
        <f>_xlfn.XLOOKUP(C27,'[4]4-30'!$F:$F,'[4]4-30'!$S:$S)</f>
        <v>#N/A</v>
      </c>
    </row>
    <row r="28" spans="1:39" s="72" customFormat="1" ht="14" customHeight="1" x14ac:dyDescent="0.3">
      <c r="A28" s="72" t="e">
        <f>VLOOKUP(C28,'[1]青岛4 (2)'!$C:$D,2,0)</f>
        <v>#N/A</v>
      </c>
      <c r="B28" s="100" t="s">
        <v>59</v>
      </c>
      <c r="C28" s="101">
        <v>10880033329</v>
      </c>
      <c r="D28" s="105">
        <v>110001296370</v>
      </c>
      <c r="E28" s="102">
        <v>110001296370</v>
      </c>
      <c r="F28" s="100" t="s">
        <v>71</v>
      </c>
      <c r="G28" s="101">
        <v>5000</v>
      </c>
      <c r="H28" s="103">
        <v>5000</v>
      </c>
      <c r="I28" s="104" t="str">
        <f>VLOOKUP(C28,'[2]IE model  海尔产品'!$A$1:$D$65536,4,0)</f>
        <v>1*2</v>
      </c>
      <c r="J28" s="104" cm="1">
        <f t="array" ref="J28">INDEX($A$2:$AF$2,MIN(IF(M28:AF28&lt;&gt;0,COLUMN(M28:AF28))))</f>
        <v>46142</v>
      </c>
      <c r="K28" s="100">
        <f>VLOOKUP(C28,'[2]IE model  海尔产品'!$A$1:$H$65536,8,0)</f>
        <v>350</v>
      </c>
      <c r="L28" s="100">
        <f>VLOOKUP(C28,'[2]IE model  海尔产品'!$A$1:$I$65536,9,0)</f>
        <v>33</v>
      </c>
      <c r="M28" s="115">
        <v>2500</v>
      </c>
      <c r="N28" s="115"/>
      <c r="O28" s="115">
        <v>2500</v>
      </c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 t="shared" si="8"/>
        <v>5000</v>
      </c>
      <c r="AH28" s="124">
        <f t="shared" si="9"/>
        <v>0</v>
      </c>
      <c r="AI28" s="125">
        <f>VLOOKUP(E28,[6]Data!$D:$H,5,0)</f>
        <v>46142</v>
      </c>
      <c r="AK28" s="125"/>
      <c r="AL28" s="100"/>
      <c r="AM28" s="72" t="e">
        <f>_xlfn.XLOOKUP(C28,'[4]4-30'!$F:$F,'[4]4-30'!$S:$S)</f>
        <v>#N/A</v>
      </c>
    </row>
    <row r="29" spans="1:39" s="72" customFormat="1" ht="13.5" customHeight="1" x14ac:dyDescent="0.3">
      <c r="A29" s="72" t="e">
        <f>VLOOKUP(C29,'[1]青岛4 (2)'!$C:$D,2,0)</f>
        <v>#N/A</v>
      </c>
      <c r="B29" s="100" t="s">
        <v>59</v>
      </c>
      <c r="C29" s="101">
        <v>10880037377</v>
      </c>
      <c r="D29" s="105">
        <v>110001299917</v>
      </c>
      <c r="E29" s="102">
        <v>110001299917</v>
      </c>
      <c r="F29" s="100" t="s">
        <v>60</v>
      </c>
      <c r="G29" s="101">
        <v>5800</v>
      </c>
      <c r="H29" s="103">
        <v>5800</v>
      </c>
      <c r="I29" s="104" t="str">
        <f>VLOOKUP(C29,'[2]IE model  海尔产品'!$A$1:$D$65536,4,0)</f>
        <v>1*2</v>
      </c>
      <c r="J29" s="104" cm="1">
        <f t="array" ref="J29">INDEX($A$2:$AF$2,MIN(IF(M29:AF29&lt;&gt;0,COLUMN(M29:AF29))))</f>
        <v>46146</v>
      </c>
      <c r="K29" s="100">
        <f>VLOOKUP(C29,'[2]IE model  海尔产品'!$A$1:$H$65536,8,0)</f>
        <v>350</v>
      </c>
      <c r="L29" s="100">
        <f>VLOOKUP(C29,'[2]IE model  海尔产品'!$A$1:$I$65536,9,0)</f>
        <v>33</v>
      </c>
      <c r="M29" s="115"/>
      <c r="N29" s="115"/>
      <c r="O29" s="115">
        <v>1600</v>
      </c>
      <c r="P29" s="115"/>
      <c r="Q29" s="115">
        <v>4200</v>
      </c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>
        <f t="shared" ref="AG29:AG37" si="10">SUM(M29:AF29)</f>
        <v>5800</v>
      </c>
      <c r="AH29" s="124">
        <f t="shared" ref="AH29:AH37" si="11">+H29-AG29</f>
        <v>0</v>
      </c>
      <c r="AI29" s="125">
        <f>VLOOKUP(E29,[6]Data!$D:$H,5,0)</f>
        <v>46148</v>
      </c>
      <c r="AK29" s="125"/>
      <c r="AL29" s="100"/>
      <c r="AM29" s="72" t="e">
        <f>_xlfn.XLOOKUP(C29,'[4]4-30'!$F:$F,'[4]4-30'!$S:$S)</f>
        <v>#N/A</v>
      </c>
    </row>
    <row r="30" spans="1:39" s="72" customFormat="1" ht="14" customHeight="1" x14ac:dyDescent="0.3">
      <c r="A30" s="100" t="s">
        <v>59</v>
      </c>
      <c r="B30" s="100" t="s">
        <v>59</v>
      </c>
      <c r="C30" s="101">
        <v>10880033585</v>
      </c>
      <c r="D30" s="105">
        <v>110001311379</v>
      </c>
      <c r="E30" s="102">
        <v>110001311379</v>
      </c>
      <c r="F30" s="100" t="s">
        <v>62</v>
      </c>
      <c r="G30" s="101">
        <v>1000</v>
      </c>
      <c r="H30" s="103">
        <v>1000</v>
      </c>
      <c r="I30" s="104" t="str">
        <f>VLOOKUP(C30,'[2]IE model  海尔产品'!$A$1:$D$65536,4,0)</f>
        <v>1*2</v>
      </c>
      <c r="J30" s="104" cm="1">
        <f t="array" ref="J30">INDEX($A$2:$AF$2,MIN(IF(M30:AF30&lt;&gt;0,COLUMN(M30:AF30))))</f>
        <v>46148</v>
      </c>
      <c r="K30" s="100">
        <f>VLOOKUP(C30,'[2]IE model  海尔产品'!$A$1:$H$65536,8,0)</f>
        <v>350</v>
      </c>
      <c r="L30" s="100">
        <f>VLOOKUP(C30,'[2]IE model  海尔产品'!$A$1:$I$65536,9,0)</f>
        <v>33</v>
      </c>
      <c r="M30" s="115"/>
      <c r="N30" s="115"/>
      <c r="O30" s="115"/>
      <c r="P30" s="115"/>
      <c r="Q30" s="115"/>
      <c r="R30" s="115"/>
      <c r="S30" s="115">
        <v>1000</v>
      </c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>
        <f t="shared" si="10"/>
        <v>1000</v>
      </c>
      <c r="AH30" s="124">
        <f t="shared" si="11"/>
        <v>0</v>
      </c>
      <c r="AI30" s="125">
        <f>VLOOKUP(E30,[6]Data!$D:$H,5,0)</f>
        <v>46148</v>
      </c>
      <c r="AK30" s="125"/>
      <c r="AL30" s="100"/>
      <c r="AM30" s="72" t="e">
        <f>_xlfn.XLOOKUP(C30,'[4]4-30'!$F:$F,'[4]4-30'!$S:$S)</f>
        <v>#N/A</v>
      </c>
    </row>
    <row r="31" spans="1:39" s="72" customFormat="1" ht="14" customHeight="1" x14ac:dyDescent="0.3">
      <c r="A31" s="100" t="s">
        <v>59</v>
      </c>
      <c r="B31" s="100" t="s">
        <v>59</v>
      </c>
      <c r="C31" s="101">
        <v>10880036434</v>
      </c>
      <c r="D31" s="105">
        <v>110001296286</v>
      </c>
      <c r="E31" s="102">
        <v>110001296286</v>
      </c>
      <c r="F31" s="100" t="s">
        <v>74</v>
      </c>
      <c r="G31" s="101">
        <v>200</v>
      </c>
      <c r="H31" s="103">
        <v>200</v>
      </c>
      <c r="I31" s="104" t="e">
        <f>VLOOKUP(C31,'[2]IE model  海尔产品'!$A$1:$D$65536,4,0)</f>
        <v>#N/A</v>
      </c>
      <c r="J31" s="104" cm="1">
        <f t="array" ref="J31">INDEX($A$2:$AF$2,MIN(IF(M31:AF31&lt;&gt;0,COLUMN(M31:AF31))))</f>
        <v>46148</v>
      </c>
      <c r="K31" s="100">
        <v>350</v>
      </c>
      <c r="L31" s="100" t="e">
        <f>VLOOKUP(C31,'[2]IE model  海尔产品'!$A$1:$I$65536,9,0)</f>
        <v>#N/A</v>
      </c>
      <c r="M31" s="115"/>
      <c r="N31" s="115"/>
      <c r="O31" s="115"/>
      <c r="P31" s="115"/>
      <c r="Q31" s="115"/>
      <c r="R31" s="115"/>
      <c r="S31" s="115">
        <v>200</v>
      </c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>
        <f t="shared" si="10"/>
        <v>200</v>
      </c>
      <c r="AH31" s="124">
        <f t="shared" si="11"/>
        <v>0</v>
      </c>
      <c r="AI31" s="130">
        <v>46148</v>
      </c>
      <c r="AK31" s="125"/>
      <c r="AL31" s="100"/>
      <c r="AM31" s="72" t="str">
        <f>_xlfn.XLOOKUP(C31,'[4]4-30'!$F:$F,'[4]4-30'!$S:$S)</f>
        <v>在制200--5/6入库</v>
      </c>
    </row>
    <row r="32" spans="1:39" s="72" customFormat="1" ht="14" customHeight="1" x14ac:dyDescent="0.3">
      <c r="A32" s="100" t="s">
        <v>59</v>
      </c>
      <c r="B32" s="100" t="s">
        <v>59</v>
      </c>
      <c r="C32" s="101">
        <v>10880030608</v>
      </c>
      <c r="D32" s="105">
        <v>110001299839</v>
      </c>
      <c r="E32" s="102">
        <v>110001299839</v>
      </c>
      <c r="F32" s="100" t="s">
        <v>84</v>
      </c>
      <c r="G32" s="101">
        <v>200</v>
      </c>
      <c r="H32" s="103">
        <v>200</v>
      </c>
      <c r="I32" s="104" t="str">
        <f>VLOOKUP(C32,'[2]IE model  海尔产品'!$A$1:$D$65536,4,0)</f>
        <v>1*1</v>
      </c>
      <c r="J32" s="104" cm="1">
        <f t="array" ref="J32">INDEX($A$2:$AF$2,MIN(IF(M32:AF32&lt;&gt;0,COLUMN(M32:AF32))))</f>
        <v>46148</v>
      </c>
      <c r="K32" s="100">
        <f>VLOOKUP(C32,'[2]IE model  海尔产品'!$A$1:$H$65536,8,0)</f>
        <v>300</v>
      </c>
      <c r="L32" s="100">
        <f>VLOOKUP(C32,'[2]IE model  海尔产品'!$A$1:$I$65536,9,0)</f>
        <v>38</v>
      </c>
      <c r="M32" s="115"/>
      <c r="N32" s="115"/>
      <c r="O32" s="115"/>
      <c r="P32" s="115"/>
      <c r="Q32" s="115"/>
      <c r="R32" s="115"/>
      <c r="S32" s="115">
        <v>200</v>
      </c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>
        <f t="shared" si="10"/>
        <v>200</v>
      </c>
      <c r="AH32" s="124">
        <f t="shared" si="11"/>
        <v>0</v>
      </c>
      <c r="AI32" s="130">
        <v>46148</v>
      </c>
      <c r="AK32" s="125"/>
      <c r="AL32" s="100"/>
      <c r="AM32" s="72" t="str">
        <f>_xlfn.XLOOKUP(C32,'[4]4-30'!$F:$F,'[4]4-30'!$S:$S)</f>
        <v>在制200--5/6入库</v>
      </c>
    </row>
    <row r="33" spans="1:16370" s="72" customFormat="1" ht="13.5" customHeight="1" x14ac:dyDescent="0.3">
      <c r="A33" s="100" t="s">
        <v>59</v>
      </c>
      <c r="B33" s="100" t="s">
        <v>59</v>
      </c>
      <c r="C33" s="101">
        <v>10880030977</v>
      </c>
      <c r="D33" s="105">
        <v>110001308387</v>
      </c>
      <c r="E33" s="102">
        <v>110001308387</v>
      </c>
      <c r="F33" s="100" t="s">
        <v>199</v>
      </c>
      <c r="G33" s="101">
        <v>200</v>
      </c>
      <c r="H33" s="103">
        <v>200</v>
      </c>
      <c r="I33" s="104" t="str">
        <f>VLOOKUP(C33,'[2]IE model  海尔产品'!$A$1:$D$65536,4,0)</f>
        <v>1*2</v>
      </c>
      <c r="J33" s="104" cm="1">
        <f t="array" ref="J33">INDEX($A$2:$AF$2,MIN(IF(M33:AF33&lt;&gt;0,COLUMN(M33:AF33))))</f>
        <v>46150</v>
      </c>
      <c r="K33" s="100">
        <f>VLOOKUP(C33,'[2]IE model  海尔产品'!$A$1:$H$65536,8,0)</f>
        <v>60</v>
      </c>
      <c r="L33" s="100">
        <f>VLOOKUP(C33,'[2]IE model  海尔产品'!$A$1:$I$65536,9,0)</f>
        <v>26</v>
      </c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>
        <v>200</v>
      </c>
      <c r="X33" s="115"/>
      <c r="Y33" s="115"/>
      <c r="Z33" s="115"/>
      <c r="AA33" s="115"/>
      <c r="AB33" s="115"/>
      <c r="AC33" s="115"/>
      <c r="AD33" s="115"/>
      <c r="AE33" s="115"/>
      <c r="AF33" s="115"/>
      <c r="AG33" s="115">
        <f>SUM(M33:AF33)</f>
        <v>200</v>
      </c>
      <c r="AH33" s="146">
        <f>+H33-AG33</f>
        <v>0</v>
      </c>
      <c r="AI33" s="125">
        <v>46153</v>
      </c>
      <c r="AK33" s="125"/>
      <c r="AL33" s="100"/>
      <c r="AM33" s="72" t="str">
        <f>_xlfn.XLOOKUP(C33,'[4]4-30'!$F:$F,'[4]4-30'!$S:$S)</f>
        <v>在制200--5/11入库</v>
      </c>
    </row>
    <row r="34" spans="1:16370" s="72" customFormat="1" ht="13.5" customHeight="1" x14ac:dyDescent="0.3">
      <c r="A34" s="100" t="s">
        <v>59</v>
      </c>
      <c r="B34" s="100" t="s">
        <v>59</v>
      </c>
      <c r="C34" s="101">
        <v>10880030784</v>
      </c>
      <c r="D34" s="105">
        <v>110001288315</v>
      </c>
      <c r="E34" s="102">
        <v>110001288315</v>
      </c>
      <c r="F34" s="100" t="s">
        <v>61</v>
      </c>
      <c r="G34" s="101">
        <v>200</v>
      </c>
      <c r="H34" s="103">
        <v>200</v>
      </c>
      <c r="I34" s="104" t="str">
        <f>VLOOKUP(C34,'[2]IE model  海尔产品'!$A$1:$D$65536,4,0)</f>
        <v>1*2</v>
      </c>
      <c r="J34" s="104" cm="1">
        <f t="array" ref="J34">INDEX($A$2:$AF$2,MIN(IF(M34:AF34&lt;&gt;0,COLUMN(M34:AF34))))</f>
        <v>46150</v>
      </c>
      <c r="K34" s="100">
        <f>VLOOKUP(C34,'[2]IE model  海尔产品'!$A$1:$H$65536,8,0)</f>
        <v>430</v>
      </c>
      <c r="L34" s="100">
        <f>VLOOKUP(C34,'[2]IE model  海尔产品'!$A$1:$I$65536,9,0)</f>
        <v>30</v>
      </c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>
        <v>200</v>
      </c>
      <c r="X34" s="115"/>
      <c r="Y34" s="115"/>
      <c r="Z34" s="115"/>
      <c r="AA34" s="115"/>
      <c r="AB34" s="115"/>
      <c r="AC34" s="115"/>
      <c r="AD34" s="115"/>
      <c r="AE34" s="115"/>
      <c r="AF34" s="115"/>
      <c r="AG34" s="115">
        <f t="shared" si="10"/>
        <v>200</v>
      </c>
      <c r="AH34" s="146">
        <f t="shared" si="11"/>
        <v>0</v>
      </c>
      <c r="AI34" s="125">
        <v>46153</v>
      </c>
      <c r="AK34" s="125"/>
      <c r="AL34" s="100"/>
      <c r="AM34" s="72" t="str">
        <f>_xlfn.XLOOKUP(C34,'[4]4-30'!$F:$F,'[4]4-30'!$S:$S)</f>
        <v>在制200--5/11入库</v>
      </c>
    </row>
    <row r="35" spans="1:16370" s="72" customFormat="1" ht="13.5" customHeight="1" x14ac:dyDescent="0.3">
      <c r="A35" s="100" t="s">
        <v>59</v>
      </c>
      <c r="B35" s="100" t="s">
        <v>59</v>
      </c>
      <c r="C35" s="101">
        <v>10880029957</v>
      </c>
      <c r="D35" s="105">
        <v>110001299831</v>
      </c>
      <c r="E35" s="102">
        <v>110001299831</v>
      </c>
      <c r="F35" s="100" t="s">
        <v>89</v>
      </c>
      <c r="G35" s="101">
        <v>2000</v>
      </c>
      <c r="H35" s="103">
        <v>2000</v>
      </c>
      <c r="I35" s="104" t="str">
        <f>VLOOKUP(C35,'[2]IE model  海尔产品'!$A$1:$D$65536,4,0)</f>
        <v>1*2</v>
      </c>
      <c r="J35" s="104" cm="1">
        <f t="array" ref="J35">INDEX($A$2:$AF$2,MIN(IF(M35:AF35&lt;&gt;0,COLUMN(M35:AF35))))</f>
        <v>46150</v>
      </c>
      <c r="K35" s="100">
        <f>VLOOKUP(C35,'[2]IE model  海尔产品'!$A$1:$H$65536,8,0)</f>
        <v>430</v>
      </c>
      <c r="L35" s="100">
        <f>VLOOKUP(C35,'[2]IE model  海尔产品'!$A$1:$I$65536,9,0)</f>
        <v>30</v>
      </c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>
        <v>1500</v>
      </c>
      <c r="X35" s="115"/>
      <c r="Y35" s="115">
        <v>500</v>
      </c>
      <c r="Z35" s="115"/>
      <c r="AA35" s="115"/>
      <c r="AB35" s="115"/>
      <c r="AC35" s="115"/>
      <c r="AD35" s="115"/>
      <c r="AE35" s="115"/>
      <c r="AF35" s="115"/>
      <c r="AG35" s="115">
        <f t="shared" si="10"/>
        <v>2000</v>
      </c>
      <c r="AH35" s="146">
        <f t="shared" si="11"/>
        <v>0</v>
      </c>
      <c r="AI35" s="125">
        <v>46153</v>
      </c>
      <c r="AK35" s="125"/>
      <c r="AL35" s="100"/>
      <c r="AM35" s="72" t="str">
        <f>_xlfn.XLOOKUP(C35,'[4]4-30'!$F:$F,'[4]4-30'!$S:$S)</f>
        <v>在制2000--5/11入库</v>
      </c>
    </row>
    <row r="36" spans="1:16370" s="72" customFormat="1" x14ac:dyDescent="0.3">
      <c r="A36" s="100" t="s">
        <v>59</v>
      </c>
      <c r="B36" s="100" t="s">
        <v>59</v>
      </c>
      <c r="C36" s="101">
        <v>10880038446</v>
      </c>
      <c r="D36" s="101">
        <v>110001311099</v>
      </c>
      <c r="E36" s="105">
        <v>110001311099</v>
      </c>
      <c r="F36" s="100" t="s">
        <v>76</v>
      </c>
      <c r="G36" s="101">
        <v>250</v>
      </c>
      <c r="H36" s="106">
        <v>250</v>
      </c>
      <c r="I36" s="104" t="str">
        <f>VLOOKUP(C36,'[2]IE model  海尔产品'!$A$1:$D$65536,4,0)</f>
        <v>1*2</v>
      </c>
      <c r="J36" s="104" t="e" cm="1" vm="1">
        <f t="array" aca="1" ref="J36" ca="1">INDEX($A$2:$AF$2,MIN(IF(M36:AF36&lt;&gt;0,COLUMN(M36:AF36))))</f>
        <v>#VALUE!</v>
      </c>
      <c r="K36" s="100">
        <f>VLOOKUP(C36,'[2]IE model  海尔产品'!$A$1:$H$65536,8,0)</f>
        <v>300</v>
      </c>
      <c r="L36" s="100">
        <f>VLOOKUP(C36,'[2]IE model  海尔产品'!$A$1:$I$65536,9,0)</f>
        <v>37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>
        <f t="shared" si="10"/>
        <v>0</v>
      </c>
      <c r="AH36" s="124">
        <f t="shared" si="11"/>
        <v>250</v>
      </c>
      <c r="AI36" s="125">
        <v>46153</v>
      </c>
      <c r="AJ36" s="124"/>
      <c r="AK36" s="125"/>
      <c r="AM36" s="72">
        <f>_xlfn.XLOOKUP(C36,'[4]4-30'!$F:$F,'[4]4-30'!$S:$S)</f>
        <v>0</v>
      </c>
    </row>
    <row r="37" spans="1:16370" s="72" customFormat="1" x14ac:dyDescent="0.3">
      <c r="A37" s="100" t="s">
        <v>59</v>
      </c>
      <c r="B37" s="100" t="s">
        <v>59</v>
      </c>
      <c r="C37" s="101">
        <v>10880038782</v>
      </c>
      <c r="D37" s="101">
        <v>110001307361</v>
      </c>
      <c r="E37" s="105">
        <v>110001307361</v>
      </c>
      <c r="F37" s="100" t="s">
        <v>75</v>
      </c>
      <c r="G37" s="101">
        <v>650</v>
      </c>
      <c r="H37" s="106">
        <v>650</v>
      </c>
      <c r="I37" s="104" t="str">
        <f>VLOOKUP(C37,'[2]IE model  海尔产品'!$A$1:$D$65536,4,0)</f>
        <v>1*2</v>
      </c>
      <c r="J37" s="104" t="e" cm="1" vm="1">
        <f t="array" aca="1" ref="J37" ca="1">INDEX($A$2:$AF$2,MIN(IF(M37:AF37&lt;&gt;0,COLUMN(M37:AF37))))</f>
        <v>#VALUE!</v>
      </c>
      <c r="K37" s="100">
        <f>VLOOKUP(C37,'[2]IE model  海尔产品'!$A$1:$H$65536,8,0)</f>
        <v>300</v>
      </c>
      <c r="L37" s="100">
        <f>VLOOKUP(C37,'[2]IE model  海尔产品'!$A$1:$I$65536,9,0)</f>
        <v>37</v>
      </c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>
        <f t="shared" si="10"/>
        <v>0</v>
      </c>
      <c r="AH37" s="124">
        <f t="shared" si="11"/>
        <v>650</v>
      </c>
      <c r="AI37" s="125">
        <v>46153</v>
      </c>
      <c r="AJ37" s="124"/>
      <c r="AK37" s="125"/>
      <c r="AM37" s="72">
        <f>_xlfn.XLOOKUP(C37,'[4]4-30'!$F:$F,'[4]4-30'!$S:$S)</f>
        <v>0</v>
      </c>
    </row>
    <row r="38" spans="1:16370" s="147" customFormat="1" ht="13.5" customHeight="1" x14ac:dyDescent="0.3">
      <c r="A38" s="72" t="e">
        <f>VLOOKUP(C38,'[1]青岛4 (2)'!$C:$D,2,0)</f>
        <v>#N/A</v>
      </c>
      <c r="B38" s="91" t="s">
        <v>91</v>
      </c>
      <c r="C38" s="91"/>
      <c r="D38" s="92"/>
      <c r="E38" s="92"/>
      <c r="F38" s="93"/>
      <c r="G38" s="91"/>
      <c r="H38" s="92"/>
      <c r="I38" s="92"/>
      <c r="J38" s="94"/>
      <c r="K38" s="92"/>
      <c r="L38" s="92"/>
      <c r="M38" s="110">
        <f>SUM(M27:M37)</f>
        <v>2800</v>
      </c>
      <c r="N38" s="110">
        <f>SUM(N27:N37)</f>
        <v>0</v>
      </c>
      <c r="O38" s="110">
        <f>SUM(O27:O37)</f>
        <v>4100</v>
      </c>
      <c r="P38" s="110">
        <f>SUM(P27:P37)</f>
        <v>0</v>
      </c>
      <c r="Q38" s="110">
        <f>SUM(Q27:Q37)</f>
        <v>4200</v>
      </c>
      <c r="R38" s="110">
        <f>SUM(R27:R37)</f>
        <v>0</v>
      </c>
      <c r="S38" s="110">
        <f>SUM(S27:S37)</f>
        <v>1400</v>
      </c>
      <c r="T38" s="110">
        <f>SUM(T27:T37)</f>
        <v>0</v>
      </c>
      <c r="U38" s="110">
        <f>SUM(U27:U37)</f>
        <v>0</v>
      </c>
      <c r="V38" s="110">
        <f>SUM(V27:V37)</f>
        <v>0</v>
      </c>
      <c r="W38" s="110">
        <f>SUM(W27:W37)</f>
        <v>1900</v>
      </c>
      <c r="X38" s="110">
        <f>SUM(X27:X37)</f>
        <v>0</v>
      </c>
      <c r="Y38" s="110">
        <f>SUM(Y27:Y37)</f>
        <v>500</v>
      </c>
      <c r="Z38" s="110">
        <f>SUM(Z27:Z37)</f>
        <v>0</v>
      </c>
      <c r="AA38" s="110">
        <f>SUM(AA27:AA37)</f>
        <v>0</v>
      </c>
      <c r="AB38" s="110">
        <f>SUM(AB27:AB37)</f>
        <v>0</v>
      </c>
      <c r="AC38" s="110">
        <f>SUM(AC27:AC37)</f>
        <v>0</v>
      </c>
      <c r="AD38" s="110">
        <f>SUM(AD27:AD37)</f>
        <v>0</v>
      </c>
      <c r="AE38" s="110">
        <f>SUM(AE27:AE37)</f>
        <v>0</v>
      </c>
      <c r="AF38" s="110">
        <f>SUM(AF27:AF37)</f>
        <v>0</v>
      </c>
      <c r="AG38" s="110"/>
      <c r="AH38" s="110"/>
      <c r="AI38" s="121"/>
      <c r="AJ38" s="72" t="e">
        <f>VLOOKUP(E38,[5]Data!$D:$D,1,0)</f>
        <v>#N/A</v>
      </c>
      <c r="AK38" s="125" t="e">
        <f>VLOOKUP(AJ38,[5]Data!$D:$I,6,0)</f>
        <v>#N/A</v>
      </c>
      <c r="AL38" s="92"/>
      <c r="AM38" s="72" t="str">
        <f>_xlfn.XLOOKUP(C38,'[4]4-30'!$F:$F,'[4]4-30'!$S:$S)</f>
        <v>备注</v>
      </c>
    </row>
    <row r="39" spans="1:16370" s="72" customFormat="1" ht="13.25" customHeight="1" x14ac:dyDescent="0.3">
      <c r="A39" s="72" t="e">
        <f>VLOOKUP(C39,'[1]青岛4 (2)'!$C:$D,2,0)</f>
        <v>#N/A</v>
      </c>
      <c r="B39" s="100" t="s">
        <v>92</v>
      </c>
      <c r="C39" s="101">
        <v>10880030334</v>
      </c>
      <c r="D39" s="105">
        <v>110001285756</v>
      </c>
      <c r="E39" s="102">
        <v>110001285756</v>
      </c>
      <c r="F39" s="100" t="s">
        <v>69</v>
      </c>
      <c r="G39" s="101">
        <v>1016</v>
      </c>
      <c r="H39" s="103">
        <v>1016</v>
      </c>
      <c r="I39" s="104" t="str">
        <f>VLOOKUP(C39,'[2]IE model  海尔产品'!$A$1:$D$65536,4,0)</f>
        <v>1*2</v>
      </c>
      <c r="J39" s="104" cm="1">
        <f t="array" ref="J39">INDEX($A$2:$AF$2,MIN(IF(M39:AF39&lt;&gt;0,COLUMN(M39:AF39))))</f>
        <v>46142</v>
      </c>
      <c r="K39" s="100">
        <f>VLOOKUP(C39,'[2]IE model  海尔产品'!$A$1:$H$65536,8,0)</f>
        <v>260</v>
      </c>
      <c r="L39" s="100">
        <f>VLOOKUP(C39,'[2]IE model  海尔产品'!$A$1:$I$65536,9,0)</f>
        <v>41</v>
      </c>
      <c r="M39" s="115">
        <v>1016</v>
      </c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>
        <f t="shared" ref="AG39:AG41" si="12">SUM(M39:AF39)</f>
        <v>1016</v>
      </c>
      <c r="AH39" s="124">
        <f t="shared" ref="AH39:AH41" si="13">+H39-AG39</f>
        <v>0</v>
      </c>
      <c r="AI39" s="125" t="s">
        <v>70</v>
      </c>
      <c r="AK39" s="125"/>
      <c r="AL39" s="100"/>
      <c r="AM39" s="72" t="e">
        <f>_xlfn.XLOOKUP(C39,'[4]4-30'!$F:$F,'[4]4-30'!$S:$S)</f>
        <v>#N/A</v>
      </c>
    </row>
    <row r="40" spans="1:16370" s="72" customFormat="1" ht="13.5" customHeight="1" x14ac:dyDescent="0.3">
      <c r="A40" s="72" t="e">
        <f>VLOOKUP(C40,'[1]青岛4 (2)'!$C:$D,2,0)</f>
        <v>#N/A</v>
      </c>
      <c r="B40" s="100" t="s">
        <v>92</v>
      </c>
      <c r="C40" s="101">
        <v>10880020640</v>
      </c>
      <c r="D40" s="105">
        <v>110001308381</v>
      </c>
      <c r="E40" s="102">
        <v>110001308381</v>
      </c>
      <c r="F40" s="100" t="s">
        <v>229</v>
      </c>
      <c r="G40" s="100">
        <v>1200</v>
      </c>
      <c r="H40" s="103">
        <v>1200</v>
      </c>
      <c r="I40" s="104" t="str">
        <f>VLOOKUP(C40,'[2]IE model  海尔产品'!$A$1:$D$65536,4,0)</f>
        <v>1*2</v>
      </c>
      <c r="J40" s="104" cm="1">
        <f t="array" ref="J40">INDEX($A$2:$AF$2,MIN(IF(M40:AF40&lt;&gt;0,COLUMN(M40:AF40))))</f>
        <v>46142</v>
      </c>
      <c r="K40" s="100">
        <f>VLOOKUP(C40,'[2]IE model  海尔产品'!$A$1:$H$65536,8,0)</f>
        <v>330</v>
      </c>
      <c r="L40" s="100">
        <f>VLOOKUP(C40,'[2]IE model  海尔产品'!$A$1:$I$65536,9,0)</f>
        <v>35</v>
      </c>
      <c r="M40" s="115">
        <v>1200</v>
      </c>
      <c r="N40" s="115"/>
      <c r="O40" s="115"/>
      <c r="P40" s="124"/>
      <c r="Q40" s="115"/>
      <c r="R40" s="124"/>
      <c r="S40" s="115"/>
      <c r="T40" s="124"/>
      <c r="U40" s="146"/>
      <c r="V40" s="124"/>
      <c r="W40" s="146"/>
      <c r="X40" s="124"/>
      <c r="Y40" s="146"/>
      <c r="Z40" s="124"/>
      <c r="AA40" s="124"/>
      <c r="AB40" s="124"/>
      <c r="AC40" s="124"/>
      <c r="AD40" s="124"/>
      <c r="AE40" s="124"/>
      <c r="AF40" s="124"/>
      <c r="AG40" s="115">
        <f t="shared" si="12"/>
        <v>1200</v>
      </c>
      <c r="AH40" s="146">
        <f t="shared" si="13"/>
        <v>0</v>
      </c>
      <c r="AI40" s="125">
        <v>46150</v>
      </c>
      <c r="AJ40" s="139"/>
      <c r="AK40" s="148"/>
      <c r="AL40" s="148"/>
      <c r="AM40" s="72" t="str">
        <f>_xlfn.XLOOKUP(C40,'[4]4-30'!$F:$F,'[4]4-30'!$S:$S)</f>
        <v>在制1200--5/8入库</v>
      </c>
    </row>
    <row r="41" spans="1:16370" s="72" customFormat="1" ht="13.25" customHeight="1" x14ac:dyDescent="0.3">
      <c r="A41" s="72" t="e">
        <f>VLOOKUP(C41,'[1]青岛4 (2)'!$C:$D,2,0)</f>
        <v>#N/A</v>
      </c>
      <c r="B41" s="100" t="s">
        <v>92</v>
      </c>
      <c r="C41" s="101">
        <v>10880036299</v>
      </c>
      <c r="D41" s="105">
        <v>110001263567</v>
      </c>
      <c r="E41" s="102">
        <v>110001263567</v>
      </c>
      <c r="F41" s="100" t="s">
        <v>99</v>
      </c>
      <c r="G41" s="101">
        <v>1400</v>
      </c>
      <c r="H41" s="103">
        <v>1400</v>
      </c>
      <c r="I41" s="104" t="str">
        <f>VLOOKUP(C41,'[2]IE model  海尔产品'!$A$1:$D$65536,4,0)</f>
        <v>1*5</v>
      </c>
      <c r="J41" s="104" cm="1">
        <f t="array" ref="J41">INDEX($A$2:$AF$2,MIN(IF(M41:AF41&lt;&gt;0,COLUMN(M41:AF41))))</f>
        <v>46146</v>
      </c>
      <c r="K41" s="100">
        <f>VLOOKUP(C41,'[2]IE model  海尔产品'!$A$1:$H$65536,8,0)</f>
        <v>100</v>
      </c>
      <c r="L41" s="100">
        <f>VLOOKUP(C41,'[2]IE model  海尔产品'!$A$1:$I$65536,9,0)</f>
        <v>28</v>
      </c>
      <c r="M41" s="115"/>
      <c r="N41" s="115"/>
      <c r="O41" s="115">
        <v>1200</v>
      </c>
      <c r="P41" s="124"/>
      <c r="Q41" s="115">
        <v>200</v>
      </c>
      <c r="R41" s="124"/>
      <c r="S41" s="115"/>
      <c r="T41" s="124"/>
      <c r="U41" s="115"/>
      <c r="V41" s="124"/>
      <c r="W41" s="115"/>
      <c r="X41" s="124"/>
      <c r="Y41" s="115"/>
      <c r="Z41" s="124"/>
      <c r="AA41" s="115"/>
      <c r="AB41" s="124"/>
      <c r="AC41" s="127"/>
      <c r="AD41" s="124"/>
      <c r="AE41" s="127"/>
      <c r="AF41" s="127"/>
      <c r="AG41" s="115">
        <f t="shared" si="12"/>
        <v>1400</v>
      </c>
      <c r="AH41" s="124">
        <f t="shared" si="13"/>
        <v>0</v>
      </c>
      <c r="AI41" s="130" t="s">
        <v>1759</v>
      </c>
      <c r="AJ41" s="139"/>
      <c r="AK41" s="139"/>
      <c r="AL41" s="139"/>
      <c r="AM41" s="72" t="e">
        <f>_xlfn.XLOOKUP(C41,'[4]4-30'!$F:$F,'[4]4-30'!$S:$S)</f>
        <v>#N/A</v>
      </c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39"/>
      <c r="EL41" s="139"/>
      <c r="EM41" s="139"/>
      <c r="EN41" s="139"/>
      <c r="EO41" s="139"/>
      <c r="EP41" s="139"/>
      <c r="EQ41" s="139"/>
      <c r="ER41" s="139"/>
      <c r="ES41" s="139"/>
      <c r="ET41" s="139"/>
      <c r="EU41" s="139"/>
      <c r="EV41" s="139"/>
      <c r="EW41" s="139"/>
      <c r="EX41" s="139"/>
      <c r="EY41" s="139"/>
      <c r="EZ41" s="139"/>
      <c r="FA41" s="139"/>
      <c r="FB41" s="139"/>
      <c r="FC41" s="139"/>
      <c r="FD41" s="139"/>
      <c r="FE41" s="139"/>
      <c r="FF41" s="139"/>
      <c r="FG41" s="139"/>
      <c r="FH41" s="139"/>
      <c r="FI41" s="139"/>
      <c r="FJ41" s="139"/>
      <c r="FK41" s="139"/>
      <c r="FL41" s="139"/>
      <c r="FM41" s="139"/>
      <c r="FN41" s="139"/>
      <c r="FO41" s="139"/>
      <c r="FP41" s="139"/>
      <c r="FQ41" s="139"/>
      <c r="FR41" s="139"/>
      <c r="FS41" s="139"/>
      <c r="FT41" s="139"/>
      <c r="FU41" s="139"/>
      <c r="FV41" s="139"/>
      <c r="FW41" s="139"/>
      <c r="FX41" s="139"/>
      <c r="FY41" s="139"/>
      <c r="FZ41" s="139"/>
      <c r="GA41" s="139"/>
      <c r="GB41" s="139"/>
      <c r="GC41" s="139"/>
      <c r="GD41" s="139"/>
      <c r="GE41" s="139"/>
      <c r="GF41" s="139"/>
      <c r="GG41" s="139"/>
      <c r="GH41" s="139"/>
      <c r="GI41" s="139"/>
      <c r="GJ41" s="139"/>
      <c r="GK41" s="139"/>
      <c r="GL41" s="139"/>
      <c r="GM41" s="139"/>
      <c r="GN41" s="139"/>
      <c r="GO41" s="139"/>
      <c r="GP41" s="139"/>
      <c r="GQ41" s="139"/>
      <c r="GR41" s="139"/>
      <c r="GS41" s="139"/>
      <c r="GT41" s="139"/>
      <c r="GU41" s="139"/>
      <c r="GV41" s="139"/>
      <c r="GW41" s="139"/>
      <c r="GX41" s="139"/>
      <c r="GY41" s="139"/>
      <c r="GZ41" s="139"/>
      <c r="HA41" s="139"/>
      <c r="HB41" s="139"/>
      <c r="HC41" s="139"/>
      <c r="HD41" s="139"/>
      <c r="HE41" s="139"/>
      <c r="HF41" s="139"/>
      <c r="HG41" s="139"/>
      <c r="HH41" s="139"/>
      <c r="HI41" s="139"/>
      <c r="HJ41" s="139"/>
      <c r="HK41" s="139"/>
      <c r="HL41" s="139"/>
      <c r="HM41" s="139"/>
      <c r="HN41" s="139"/>
      <c r="HO41" s="139"/>
      <c r="HP41" s="139"/>
      <c r="HQ41" s="139"/>
      <c r="HR41" s="139"/>
      <c r="HS41" s="139"/>
      <c r="HT41" s="139"/>
      <c r="HU41" s="139"/>
      <c r="HV41" s="139"/>
      <c r="HW41" s="139"/>
      <c r="HX41" s="139"/>
      <c r="HY41" s="139"/>
      <c r="HZ41" s="139"/>
      <c r="IA41" s="139"/>
      <c r="IB41" s="139"/>
      <c r="IC41" s="139"/>
      <c r="ID41" s="139"/>
      <c r="IE41" s="139"/>
      <c r="IF41" s="139"/>
      <c r="IG41" s="139"/>
      <c r="IH41" s="139"/>
      <c r="II41" s="139"/>
      <c r="IJ41" s="139"/>
      <c r="IK41" s="139"/>
      <c r="IL41" s="139"/>
      <c r="IM41" s="139"/>
      <c r="IN41" s="139"/>
      <c r="IO41" s="139"/>
      <c r="IP41" s="139"/>
      <c r="IQ41" s="139"/>
      <c r="IR41" s="139"/>
      <c r="IS41" s="139"/>
      <c r="IT41" s="139"/>
      <c r="IU41" s="139"/>
      <c r="IV41" s="139"/>
      <c r="IW41" s="139"/>
      <c r="IX41" s="139"/>
      <c r="IY41" s="139"/>
      <c r="IZ41" s="139"/>
      <c r="JA41" s="139"/>
      <c r="JB41" s="139"/>
      <c r="JC41" s="139"/>
      <c r="JD41" s="139"/>
      <c r="JE41" s="139"/>
      <c r="JF41" s="139"/>
      <c r="JG41" s="139"/>
      <c r="JH41" s="139"/>
      <c r="JI41" s="139"/>
      <c r="JJ41" s="139"/>
      <c r="JK41" s="139"/>
      <c r="JL41" s="139"/>
      <c r="JM41" s="139"/>
      <c r="JN41" s="139"/>
      <c r="JO41" s="139"/>
      <c r="JP41" s="139"/>
      <c r="JQ41" s="139"/>
      <c r="JR41" s="139"/>
      <c r="JS41" s="139"/>
      <c r="JT41" s="139"/>
      <c r="JU41" s="139"/>
      <c r="JV41" s="139"/>
      <c r="JW41" s="139"/>
      <c r="JX41" s="139"/>
      <c r="JY41" s="139"/>
      <c r="JZ41" s="139"/>
      <c r="KA41" s="139"/>
      <c r="KB41" s="139"/>
      <c r="KC41" s="139"/>
      <c r="KD41" s="139"/>
      <c r="KE41" s="139"/>
      <c r="KF41" s="139"/>
      <c r="KG41" s="139"/>
      <c r="KH41" s="139"/>
      <c r="KI41" s="139"/>
      <c r="KJ41" s="139"/>
      <c r="KK41" s="139"/>
      <c r="KL41" s="139"/>
      <c r="KM41" s="139"/>
      <c r="KN41" s="139"/>
      <c r="KO41" s="139"/>
      <c r="KP41" s="139"/>
      <c r="KQ41" s="139"/>
      <c r="KR41" s="139"/>
      <c r="KS41" s="139"/>
      <c r="KT41" s="139"/>
      <c r="KU41" s="139"/>
      <c r="KV41" s="139"/>
      <c r="KW41" s="139"/>
      <c r="KX41" s="139"/>
      <c r="KY41" s="139"/>
      <c r="KZ41" s="139"/>
      <c r="LA41" s="139"/>
      <c r="LB41" s="139"/>
      <c r="LC41" s="139"/>
      <c r="LD41" s="139"/>
      <c r="LE41" s="139"/>
      <c r="LF41" s="139"/>
      <c r="LG41" s="139"/>
      <c r="LH41" s="139"/>
      <c r="LI41" s="139"/>
      <c r="LJ41" s="139"/>
      <c r="LK41" s="139"/>
      <c r="LL41" s="139"/>
      <c r="LM41" s="139"/>
      <c r="LN41" s="139"/>
      <c r="LO41" s="139"/>
      <c r="LP41" s="139"/>
      <c r="LQ41" s="139"/>
      <c r="LR41" s="139"/>
      <c r="LS41" s="139"/>
      <c r="LT41" s="139"/>
      <c r="LU41" s="139"/>
      <c r="LV41" s="139"/>
      <c r="LW41" s="139"/>
      <c r="LX41" s="139"/>
      <c r="LY41" s="139"/>
      <c r="LZ41" s="139"/>
      <c r="MA41" s="139"/>
      <c r="MB41" s="139"/>
      <c r="MC41" s="139"/>
      <c r="MD41" s="139"/>
      <c r="ME41" s="139"/>
      <c r="MF41" s="139"/>
      <c r="MG41" s="139"/>
      <c r="MH41" s="139"/>
      <c r="MI41" s="139"/>
      <c r="MJ41" s="139"/>
      <c r="MK41" s="139"/>
      <c r="ML41" s="139"/>
      <c r="MM41" s="139"/>
      <c r="MN41" s="139"/>
      <c r="MO41" s="139"/>
      <c r="MP41" s="139"/>
      <c r="MQ41" s="139"/>
      <c r="MR41" s="139"/>
      <c r="MS41" s="139"/>
      <c r="MT41" s="139"/>
      <c r="MU41" s="139"/>
      <c r="MV41" s="139"/>
      <c r="MW41" s="139"/>
      <c r="MX41" s="139"/>
      <c r="MY41" s="139"/>
      <c r="MZ41" s="139"/>
      <c r="NA41" s="139"/>
      <c r="NB41" s="139"/>
      <c r="NC41" s="139"/>
      <c r="ND41" s="139"/>
      <c r="NE41" s="139"/>
      <c r="NF41" s="139"/>
      <c r="NG41" s="139"/>
      <c r="NH41" s="139"/>
      <c r="NI41" s="139"/>
      <c r="NJ41" s="139"/>
      <c r="NK41" s="139"/>
      <c r="NL41" s="139"/>
      <c r="NM41" s="139"/>
      <c r="NN41" s="139"/>
      <c r="NO41" s="139"/>
      <c r="NP41" s="139"/>
      <c r="NQ41" s="139"/>
      <c r="NR41" s="139"/>
      <c r="NS41" s="139"/>
      <c r="NT41" s="139"/>
      <c r="NU41" s="139"/>
      <c r="NV41" s="139"/>
      <c r="NW41" s="139"/>
      <c r="NX41" s="139"/>
      <c r="NY41" s="139"/>
      <c r="NZ41" s="139"/>
      <c r="OA41" s="139"/>
      <c r="OB41" s="139"/>
      <c r="OC41" s="139"/>
      <c r="OD41" s="139"/>
      <c r="OE41" s="139"/>
      <c r="OF41" s="139"/>
      <c r="OG41" s="139"/>
      <c r="OH41" s="139"/>
      <c r="OI41" s="139"/>
      <c r="OJ41" s="139"/>
      <c r="OK41" s="139"/>
      <c r="OL41" s="139"/>
      <c r="OM41" s="139"/>
      <c r="ON41" s="139"/>
      <c r="OO41" s="139"/>
      <c r="OP41" s="139"/>
      <c r="OQ41" s="139"/>
      <c r="OR41" s="139"/>
      <c r="OS41" s="139"/>
      <c r="OT41" s="139"/>
      <c r="OU41" s="139"/>
      <c r="OV41" s="139"/>
      <c r="OW41" s="139"/>
      <c r="OX41" s="139"/>
      <c r="OY41" s="139"/>
      <c r="OZ41" s="139"/>
      <c r="PA41" s="139"/>
      <c r="PB41" s="139"/>
      <c r="PC41" s="139"/>
      <c r="PD41" s="139"/>
      <c r="PE41" s="139"/>
      <c r="PF41" s="139"/>
      <c r="PG41" s="139"/>
      <c r="PH41" s="139"/>
      <c r="PI41" s="139"/>
      <c r="PJ41" s="139"/>
      <c r="PK41" s="139"/>
      <c r="PL41" s="139"/>
      <c r="PM41" s="139"/>
      <c r="PN41" s="139"/>
      <c r="PO41" s="139"/>
      <c r="PP41" s="139"/>
      <c r="PQ41" s="139"/>
      <c r="PR41" s="139"/>
      <c r="PS41" s="139"/>
      <c r="PT41" s="139"/>
      <c r="PU41" s="139"/>
      <c r="PV41" s="139"/>
      <c r="PW41" s="139"/>
      <c r="PX41" s="139"/>
      <c r="PY41" s="139"/>
      <c r="PZ41" s="139"/>
      <c r="QA41" s="139"/>
      <c r="QB41" s="139"/>
      <c r="QC41" s="139"/>
      <c r="QD41" s="139"/>
      <c r="QE41" s="139"/>
      <c r="QF41" s="139"/>
      <c r="QG41" s="139"/>
      <c r="QH41" s="139"/>
      <c r="QI41" s="139"/>
      <c r="QJ41" s="139"/>
      <c r="QK41" s="139"/>
      <c r="QL41" s="139"/>
      <c r="QM41" s="139"/>
      <c r="QN41" s="139"/>
      <c r="QO41" s="139"/>
      <c r="QP41" s="139"/>
      <c r="QQ41" s="139"/>
      <c r="QR41" s="139"/>
      <c r="QS41" s="139"/>
      <c r="QT41" s="139"/>
      <c r="QU41" s="139"/>
      <c r="QV41" s="139"/>
      <c r="QW41" s="139"/>
      <c r="QX41" s="139"/>
      <c r="QY41" s="139"/>
      <c r="QZ41" s="139"/>
      <c r="RA41" s="139"/>
      <c r="RB41" s="139"/>
      <c r="RC41" s="139"/>
      <c r="RD41" s="139"/>
      <c r="RE41" s="139"/>
      <c r="RF41" s="139"/>
      <c r="RG41" s="139"/>
      <c r="RH41" s="139"/>
      <c r="RI41" s="139"/>
      <c r="RJ41" s="139"/>
      <c r="RK41" s="139"/>
      <c r="RL41" s="139"/>
      <c r="RM41" s="139"/>
      <c r="RN41" s="139"/>
      <c r="RO41" s="139"/>
      <c r="RP41" s="139"/>
      <c r="RQ41" s="139"/>
      <c r="RR41" s="139"/>
      <c r="RS41" s="139"/>
      <c r="RT41" s="139"/>
      <c r="RU41" s="139"/>
      <c r="RV41" s="139"/>
      <c r="RW41" s="139"/>
      <c r="RX41" s="139"/>
      <c r="RY41" s="139"/>
      <c r="RZ41" s="139"/>
      <c r="SA41" s="139"/>
      <c r="SB41" s="139"/>
      <c r="SC41" s="139"/>
      <c r="SD41" s="139"/>
      <c r="SE41" s="139"/>
      <c r="SF41" s="139"/>
      <c r="SG41" s="139"/>
      <c r="SH41" s="139"/>
      <c r="SI41" s="139"/>
      <c r="SJ41" s="139"/>
      <c r="SK41" s="139"/>
      <c r="SL41" s="139"/>
      <c r="SM41" s="139"/>
      <c r="SN41" s="139"/>
      <c r="SO41" s="139"/>
      <c r="SP41" s="139"/>
      <c r="SQ41" s="139"/>
      <c r="SR41" s="139"/>
      <c r="SS41" s="139"/>
      <c r="ST41" s="139"/>
      <c r="SU41" s="139"/>
      <c r="SV41" s="139"/>
      <c r="SW41" s="139"/>
      <c r="SX41" s="139"/>
      <c r="SY41" s="139"/>
      <c r="SZ41" s="139"/>
      <c r="TA41" s="139"/>
      <c r="TB41" s="139"/>
      <c r="TC41" s="139"/>
      <c r="TD41" s="139"/>
      <c r="TE41" s="139"/>
      <c r="TF41" s="139"/>
      <c r="TG41" s="139"/>
      <c r="TH41" s="139"/>
      <c r="TI41" s="139"/>
      <c r="TJ41" s="139"/>
      <c r="TK41" s="139"/>
      <c r="TL41" s="139"/>
      <c r="TM41" s="139"/>
      <c r="TN41" s="139"/>
      <c r="TO41" s="139"/>
      <c r="TP41" s="139"/>
      <c r="TQ41" s="139"/>
      <c r="TR41" s="139"/>
      <c r="TS41" s="139"/>
      <c r="TT41" s="139"/>
      <c r="TU41" s="139"/>
      <c r="TV41" s="139"/>
      <c r="TW41" s="139"/>
      <c r="TX41" s="139"/>
      <c r="TY41" s="139"/>
      <c r="TZ41" s="139"/>
      <c r="UA41" s="139"/>
      <c r="UB41" s="139"/>
      <c r="UC41" s="139"/>
      <c r="UD41" s="139"/>
      <c r="UE41" s="139"/>
      <c r="UF41" s="139"/>
      <c r="UG41" s="139"/>
      <c r="UH41" s="139"/>
      <c r="UI41" s="139"/>
      <c r="UJ41" s="139"/>
      <c r="UK41" s="139"/>
      <c r="UL41" s="139"/>
      <c r="UM41" s="139"/>
      <c r="UN41" s="139"/>
      <c r="UO41" s="139"/>
      <c r="UP41" s="139"/>
      <c r="UQ41" s="139"/>
      <c r="UR41" s="139"/>
      <c r="US41" s="139"/>
      <c r="UT41" s="139"/>
      <c r="UU41" s="139"/>
      <c r="UV41" s="139"/>
      <c r="UW41" s="139"/>
      <c r="UX41" s="139"/>
      <c r="UY41" s="139"/>
      <c r="UZ41" s="139"/>
      <c r="VA41" s="139"/>
      <c r="VB41" s="139"/>
      <c r="VC41" s="139"/>
      <c r="VD41" s="139"/>
      <c r="VE41" s="139"/>
      <c r="VF41" s="139"/>
      <c r="VG41" s="139"/>
      <c r="VH41" s="139"/>
      <c r="VI41" s="139"/>
      <c r="VJ41" s="139"/>
      <c r="VK41" s="139"/>
      <c r="VL41" s="139"/>
      <c r="VM41" s="139"/>
      <c r="VN41" s="139"/>
      <c r="VO41" s="139"/>
      <c r="VP41" s="139"/>
      <c r="VQ41" s="139"/>
      <c r="VR41" s="139"/>
      <c r="VS41" s="139"/>
      <c r="VT41" s="139"/>
      <c r="VU41" s="139"/>
      <c r="VV41" s="139"/>
      <c r="VW41" s="139"/>
      <c r="VX41" s="139"/>
      <c r="VY41" s="139"/>
      <c r="VZ41" s="139"/>
      <c r="WA41" s="139"/>
      <c r="WB41" s="139"/>
      <c r="WC41" s="139"/>
      <c r="WD41" s="139"/>
      <c r="WE41" s="139"/>
      <c r="WF41" s="139"/>
      <c r="WG41" s="139"/>
      <c r="WH41" s="139"/>
      <c r="WI41" s="139"/>
      <c r="WJ41" s="139"/>
      <c r="WK41" s="139"/>
      <c r="WL41" s="139"/>
      <c r="WM41" s="139"/>
      <c r="WN41" s="139"/>
      <c r="WO41" s="139"/>
      <c r="WP41" s="139"/>
      <c r="WQ41" s="139"/>
      <c r="WR41" s="139"/>
      <c r="WS41" s="139"/>
      <c r="WT41" s="139"/>
      <c r="WU41" s="139"/>
      <c r="WV41" s="139"/>
      <c r="WW41" s="139"/>
      <c r="WX41" s="139"/>
      <c r="WY41" s="139"/>
      <c r="WZ41" s="139"/>
      <c r="XA41" s="139"/>
      <c r="XB41" s="139"/>
      <c r="XC41" s="139"/>
      <c r="XD41" s="139"/>
      <c r="XE41" s="139"/>
      <c r="XF41" s="139"/>
      <c r="XG41" s="139"/>
      <c r="XH41" s="139"/>
      <c r="XI41" s="139"/>
      <c r="XJ41" s="139"/>
      <c r="XK41" s="139"/>
      <c r="XL41" s="139"/>
      <c r="XM41" s="139"/>
      <c r="XN41" s="139"/>
      <c r="XO41" s="139"/>
      <c r="XP41" s="139"/>
      <c r="XQ41" s="139"/>
      <c r="XR41" s="139"/>
      <c r="XS41" s="139"/>
      <c r="XT41" s="139"/>
      <c r="XU41" s="139"/>
      <c r="XV41" s="139"/>
      <c r="XW41" s="139"/>
      <c r="XX41" s="139"/>
      <c r="XY41" s="139"/>
      <c r="XZ41" s="139"/>
      <c r="YA41" s="139"/>
      <c r="YB41" s="139"/>
      <c r="YC41" s="139"/>
      <c r="YD41" s="139"/>
      <c r="YE41" s="139"/>
      <c r="YF41" s="139"/>
      <c r="YG41" s="139"/>
      <c r="YH41" s="139"/>
      <c r="YI41" s="139"/>
      <c r="YJ41" s="139"/>
      <c r="YK41" s="139"/>
      <c r="YL41" s="139"/>
      <c r="YM41" s="139"/>
      <c r="YN41" s="139"/>
      <c r="YO41" s="139"/>
      <c r="YP41" s="139"/>
      <c r="YQ41" s="139"/>
      <c r="YR41" s="139"/>
      <c r="YS41" s="139"/>
      <c r="YT41" s="139"/>
      <c r="YU41" s="139"/>
      <c r="YV41" s="139"/>
      <c r="YW41" s="139"/>
      <c r="YX41" s="139"/>
      <c r="YY41" s="139"/>
      <c r="YZ41" s="139"/>
      <c r="ZA41" s="139"/>
      <c r="ZB41" s="139"/>
      <c r="ZC41" s="139"/>
      <c r="ZD41" s="139"/>
      <c r="ZE41" s="139"/>
      <c r="ZF41" s="139"/>
      <c r="ZG41" s="139"/>
      <c r="ZH41" s="139"/>
      <c r="ZI41" s="139"/>
      <c r="ZJ41" s="139"/>
      <c r="ZK41" s="139"/>
      <c r="ZL41" s="139"/>
      <c r="ZM41" s="139"/>
      <c r="ZN41" s="139"/>
      <c r="ZO41" s="139"/>
      <c r="ZP41" s="139"/>
      <c r="ZQ41" s="139"/>
      <c r="ZR41" s="139"/>
      <c r="ZS41" s="139"/>
      <c r="ZT41" s="139"/>
      <c r="ZU41" s="139"/>
      <c r="ZV41" s="139"/>
      <c r="ZW41" s="139"/>
      <c r="ZX41" s="139"/>
      <c r="ZY41" s="139"/>
      <c r="ZZ41" s="139"/>
      <c r="AAA41" s="139"/>
      <c r="AAB41" s="139"/>
      <c r="AAC41" s="139"/>
      <c r="AAD41" s="139"/>
      <c r="AAE41" s="139"/>
      <c r="AAF41" s="139"/>
      <c r="AAG41" s="139"/>
      <c r="AAH41" s="139"/>
      <c r="AAI41" s="139"/>
      <c r="AAJ41" s="139"/>
      <c r="AAK41" s="139"/>
      <c r="AAL41" s="139"/>
      <c r="AAM41" s="139"/>
      <c r="AAN41" s="139"/>
      <c r="AAO41" s="139"/>
      <c r="AAP41" s="139"/>
      <c r="AAQ41" s="139"/>
      <c r="AAR41" s="139"/>
      <c r="AAS41" s="139"/>
      <c r="AAT41" s="139"/>
      <c r="AAU41" s="139"/>
      <c r="AAV41" s="139"/>
      <c r="AAW41" s="139"/>
      <c r="AAX41" s="139"/>
      <c r="AAY41" s="139"/>
      <c r="AAZ41" s="139"/>
      <c r="ABA41" s="139"/>
      <c r="ABB41" s="139"/>
      <c r="ABC41" s="139"/>
      <c r="ABD41" s="139"/>
      <c r="ABE41" s="139"/>
      <c r="ABF41" s="139"/>
      <c r="ABG41" s="139"/>
      <c r="ABH41" s="139"/>
      <c r="ABI41" s="139"/>
      <c r="ABJ41" s="139"/>
      <c r="ABK41" s="139"/>
      <c r="ABL41" s="139"/>
      <c r="ABM41" s="139"/>
      <c r="ABN41" s="139"/>
      <c r="ABO41" s="139"/>
      <c r="ABP41" s="139"/>
      <c r="ABQ41" s="139"/>
      <c r="ABR41" s="139"/>
      <c r="ABS41" s="139"/>
      <c r="ABT41" s="139"/>
      <c r="ABU41" s="139"/>
      <c r="ABV41" s="139"/>
      <c r="ABW41" s="139"/>
      <c r="ABX41" s="139"/>
      <c r="ABY41" s="139"/>
      <c r="ABZ41" s="139"/>
      <c r="ACA41" s="139"/>
      <c r="ACB41" s="139"/>
      <c r="ACC41" s="139"/>
      <c r="ACD41" s="139"/>
      <c r="ACE41" s="139"/>
      <c r="ACF41" s="139"/>
      <c r="ACG41" s="139"/>
      <c r="ACH41" s="139"/>
      <c r="ACI41" s="139"/>
      <c r="ACJ41" s="139"/>
      <c r="ACK41" s="139"/>
      <c r="ACL41" s="139"/>
      <c r="ACM41" s="139"/>
      <c r="ACN41" s="139"/>
      <c r="ACO41" s="139"/>
      <c r="ACP41" s="139"/>
      <c r="ACQ41" s="139"/>
      <c r="ACR41" s="139"/>
      <c r="ACS41" s="139"/>
      <c r="ACT41" s="139"/>
      <c r="ACU41" s="139"/>
      <c r="ACV41" s="139"/>
      <c r="ACW41" s="139"/>
      <c r="ACX41" s="139"/>
      <c r="ACY41" s="139"/>
      <c r="ACZ41" s="139"/>
      <c r="ADA41" s="139"/>
      <c r="ADB41" s="139"/>
      <c r="ADC41" s="139"/>
      <c r="ADD41" s="139"/>
      <c r="ADE41" s="139"/>
      <c r="ADF41" s="139"/>
      <c r="ADG41" s="139"/>
      <c r="ADH41" s="139"/>
      <c r="ADI41" s="139"/>
      <c r="ADJ41" s="139"/>
      <c r="ADK41" s="139"/>
      <c r="ADL41" s="139"/>
      <c r="ADM41" s="139"/>
      <c r="ADN41" s="139"/>
      <c r="ADO41" s="139"/>
      <c r="ADP41" s="139"/>
      <c r="ADQ41" s="139"/>
      <c r="ADR41" s="139"/>
      <c r="ADS41" s="139"/>
      <c r="ADT41" s="139"/>
      <c r="ADU41" s="139"/>
      <c r="ADV41" s="139"/>
      <c r="ADW41" s="139"/>
      <c r="ADX41" s="139"/>
      <c r="ADY41" s="139"/>
      <c r="ADZ41" s="139"/>
      <c r="AEA41" s="139"/>
      <c r="AEB41" s="139"/>
      <c r="AEC41" s="139"/>
      <c r="AED41" s="139"/>
      <c r="AEE41" s="139"/>
      <c r="AEF41" s="139"/>
      <c r="AEG41" s="139"/>
      <c r="AEH41" s="139"/>
      <c r="AEI41" s="139"/>
      <c r="AEJ41" s="139"/>
      <c r="AEK41" s="139"/>
      <c r="AEL41" s="139"/>
      <c r="AEM41" s="139"/>
      <c r="AEN41" s="139"/>
      <c r="AEO41" s="139"/>
      <c r="AEP41" s="139"/>
      <c r="AEQ41" s="139"/>
      <c r="AER41" s="139"/>
      <c r="AES41" s="139"/>
      <c r="AET41" s="139"/>
      <c r="AEU41" s="139"/>
      <c r="AEV41" s="139"/>
      <c r="AEW41" s="139"/>
      <c r="AEX41" s="139"/>
      <c r="AEY41" s="139"/>
      <c r="AEZ41" s="139"/>
      <c r="AFA41" s="139"/>
      <c r="AFB41" s="139"/>
      <c r="AFC41" s="139"/>
      <c r="AFD41" s="139"/>
      <c r="AFE41" s="139"/>
      <c r="AFF41" s="139"/>
      <c r="AFG41" s="139"/>
      <c r="AFH41" s="139"/>
      <c r="AFI41" s="139"/>
      <c r="AFJ41" s="139"/>
      <c r="AFK41" s="139"/>
      <c r="AFL41" s="139"/>
      <c r="AFM41" s="139"/>
      <c r="AFN41" s="139"/>
      <c r="AFO41" s="139"/>
      <c r="AFP41" s="139"/>
      <c r="AFQ41" s="139"/>
      <c r="AFR41" s="139"/>
      <c r="AFS41" s="139"/>
      <c r="AFT41" s="139"/>
      <c r="AFU41" s="139"/>
      <c r="AFV41" s="139"/>
      <c r="AFW41" s="139"/>
      <c r="AFX41" s="139"/>
      <c r="AFY41" s="139"/>
      <c r="AFZ41" s="139"/>
      <c r="AGA41" s="139"/>
      <c r="AGB41" s="139"/>
      <c r="AGC41" s="139"/>
      <c r="AGD41" s="139"/>
      <c r="AGE41" s="139"/>
      <c r="AGF41" s="139"/>
      <c r="AGG41" s="139"/>
      <c r="AGH41" s="139"/>
      <c r="AGI41" s="139"/>
      <c r="AGJ41" s="139"/>
      <c r="AGK41" s="139"/>
      <c r="AGL41" s="139"/>
      <c r="AGM41" s="139"/>
      <c r="AGN41" s="139"/>
      <c r="AGO41" s="139"/>
      <c r="AGP41" s="139"/>
      <c r="AGQ41" s="139"/>
      <c r="AGR41" s="139"/>
      <c r="AGS41" s="139"/>
      <c r="AGT41" s="139"/>
      <c r="AGU41" s="139"/>
      <c r="AGV41" s="139"/>
      <c r="AGW41" s="139"/>
      <c r="AGX41" s="139"/>
      <c r="AGY41" s="139"/>
      <c r="AGZ41" s="139"/>
      <c r="AHA41" s="139"/>
      <c r="AHB41" s="139"/>
      <c r="AHC41" s="139"/>
      <c r="AHD41" s="139"/>
      <c r="AHE41" s="139"/>
      <c r="AHF41" s="139"/>
      <c r="AHG41" s="139"/>
      <c r="AHH41" s="139"/>
      <c r="AHI41" s="139"/>
      <c r="AHJ41" s="139"/>
      <c r="AHK41" s="139"/>
      <c r="AHL41" s="139"/>
      <c r="AHM41" s="139"/>
      <c r="AHN41" s="139"/>
      <c r="AHO41" s="139"/>
      <c r="AHP41" s="139"/>
      <c r="AHQ41" s="139"/>
      <c r="AHR41" s="139"/>
      <c r="AHS41" s="139"/>
      <c r="AHT41" s="139"/>
      <c r="AHU41" s="139"/>
      <c r="AHV41" s="139"/>
      <c r="AHW41" s="139"/>
      <c r="AHX41" s="139"/>
      <c r="AHY41" s="139"/>
      <c r="AHZ41" s="139"/>
      <c r="AIA41" s="139"/>
      <c r="AIB41" s="139"/>
      <c r="AIC41" s="139"/>
      <c r="AID41" s="139"/>
      <c r="AIE41" s="139"/>
      <c r="AIF41" s="139"/>
      <c r="AIG41" s="139"/>
      <c r="AIH41" s="139"/>
      <c r="AII41" s="139"/>
      <c r="AIJ41" s="139"/>
      <c r="AIK41" s="139"/>
      <c r="AIL41" s="139"/>
      <c r="AIM41" s="139"/>
      <c r="AIN41" s="139"/>
      <c r="AIO41" s="139"/>
      <c r="AIP41" s="139"/>
      <c r="AIQ41" s="139"/>
      <c r="AIR41" s="139"/>
      <c r="AIS41" s="139"/>
      <c r="AIT41" s="139"/>
      <c r="AIU41" s="139"/>
      <c r="AIV41" s="139"/>
      <c r="AIW41" s="139"/>
      <c r="AIX41" s="139"/>
      <c r="AIY41" s="139"/>
      <c r="AIZ41" s="139"/>
      <c r="AJA41" s="139"/>
      <c r="AJB41" s="139"/>
      <c r="AJC41" s="139"/>
      <c r="AJD41" s="139"/>
      <c r="AJE41" s="139"/>
      <c r="AJF41" s="139"/>
      <c r="AJG41" s="139"/>
      <c r="AJH41" s="139"/>
      <c r="AJI41" s="139"/>
      <c r="AJJ41" s="139"/>
      <c r="AJK41" s="139"/>
      <c r="AJL41" s="139"/>
      <c r="AJM41" s="139"/>
      <c r="AJN41" s="139"/>
      <c r="AJO41" s="139"/>
      <c r="AJP41" s="139"/>
      <c r="AJQ41" s="139"/>
      <c r="AJR41" s="139"/>
      <c r="AJS41" s="139"/>
      <c r="AJT41" s="139"/>
      <c r="AJU41" s="139"/>
      <c r="AJV41" s="139"/>
      <c r="AJW41" s="139"/>
      <c r="AJX41" s="139"/>
      <c r="AJY41" s="139"/>
      <c r="AJZ41" s="139"/>
      <c r="AKA41" s="139"/>
      <c r="AKB41" s="139"/>
      <c r="AKC41" s="139"/>
      <c r="AKD41" s="139"/>
      <c r="AKE41" s="139"/>
      <c r="AKF41" s="139"/>
      <c r="AKG41" s="139"/>
      <c r="AKH41" s="139"/>
      <c r="AKI41" s="139"/>
      <c r="AKJ41" s="139"/>
      <c r="AKK41" s="139"/>
      <c r="AKL41" s="139"/>
      <c r="AKM41" s="139"/>
      <c r="AKN41" s="139"/>
      <c r="AKO41" s="139"/>
      <c r="AKP41" s="139"/>
      <c r="AKQ41" s="139"/>
      <c r="AKR41" s="139"/>
      <c r="AKS41" s="139"/>
      <c r="AKT41" s="139"/>
      <c r="AKU41" s="139"/>
      <c r="AKV41" s="139"/>
      <c r="AKW41" s="139"/>
      <c r="AKX41" s="139"/>
      <c r="AKY41" s="139"/>
      <c r="AKZ41" s="139"/>
      <c r="ALA41" s="139"/>
      <c r="ALB41" s="139"/>
      <c r="ALC41" s="139"/>
      <c r="ALD41" s="139"/>
      <c r="ALE41" s="139"/>
      <c r="ALF41" s="139"/>
      <c r="ALG41" s="139"/>
      <c r="ALH41" s="139"/>
      <c r="ALI41" s="139"/>
      <c r="ALJ41" s="139"/>
      <c r="ALK41" s="139"/>
      <c r="ALL41" s="139"/>
      <c r="ALM41" s="139"/>
      <c r="ALN41" s="139"/>
      <c r="ALO41" s="139"/>
      <c r="ALP41" s="139"/>
      <c r="ALQ41" s="139"/>
      <c r="ALR41" s="139"/>
      <c r="ALS41" s="139"/>
      <c r="ALT41" s="139"/>
      <c r="ALU41" s="139"/>
      <c r="ALV41" s="139"/>
      <c r="ALW41" s="139"/>
      <c r="ALX41" s="139"/>
      <c r="ALY41" s="139"/>
      <c r="ALZ41" s="139"/>
      <c r="AMA41" s="139"/>
      <c r="AMB41" s="139"/>
      <c r="AMC41" s="139"/>
      <c r="AMD41" s="139"/>
      <c r="AME41" s="139"/>
      <c r="AMF41" s="139"/>
      <c r="AMG41" s="139"/>
      <c r="AMH41" s="139"/>
      <c r="AMI41" s="139"/>
      <c r="AMJ41" s="139"/>
      <c r="AMK41" s="139"/>
      <c r="AML41" s="139"/>
      <c r="AMM41" s="139"/>
      <c r="AMN41" s="139"/>
      <c r="AMO41" s="139"/>
      <c r="AMP41" s="139"/>
      <c r="AMQ41" s="139"/>
      <c r="AMR41" s="139"/>
      <c r="AMS41" s="139"/>
      <c r="AMT41" s="139"/>
      <c r="AMU41" s="139"/>
      <c r="AMV41" s="139"/>
      <c r="AMW41" s="139"/>
      <c r="AMX41" s="139"/>
      <c r="AMY41" s="139"/>
      <c r="AMZ41" s="139"/>
      <c r="ANA41" s="139"/>
      <c r="ANB41" s="139"/>
      <c r="ANC41" s="139"/>
      <c r="AND41" s="139"/>
      <c r="ANE41" s="139"/>
      <c r="ANF41" s="139"/>
      <c r="ANG41" s="139"/>
      <c r="ANH41" s="139"/>
      <c r="ANI41" s="139"/>
      <c r="ANJ41" s="139"/>
      <c r="ANK41" s="139"/>
      <c r="ANL41" s="139"/>
      <c r="ANM41" s="139"/>
      <c r="ANN41" s="139"/>
      <c r="ANO41" s="139"/>
      <c r="ANP41" s="139"/>
      <c r="ANQ41" s="139"/>
      <c r="ANR41" s="139"/>
      <c r="ANS41" s="139"/>
      <c r="ANT41" s="139"/>
      <c r="ANU41" s="139"/>
      <c r="ANV41" s="139"/>
      <c r="ANW41" s="139"/>
      <c r="ANX41" s="139"/>
      <c r="ANY41" s="139"/>
      <c r="ANZ41" s="139"/>
      <c r="AOA41" s="139"/>
      <c r="AOB41" s="139"/>
      <c r="AOC41" s="139"/>
      <c r="AOD41" s="139"/>
      <c r="AOE41" s="139"/>
      <c r="AOF41" s="139"/>
      <c r="AOG41" s="139"/>
      <c r="AOH41" s="139"/>
      <c r="AOI41" s="139"/>
      <c r="AOJ41" s="139"/>
      <c r="AOK41" s="139"/>
      <c r="AOL41" s="139"/>
      <c r="AOM41" s="139"/>
      <c r="AON41" s="139"/>
      <c r="AOO41" s="139"/>
      <c r="AOP41" s="139"/>
      <c r="AOQ41" s="139"/>
      <c r="AOR41" s="139"/>
      <c r="AOS41" s="139"/>
      <c r="AOT41" s="139"/>
      <c r="AOU41" s="139"/>
      <c r="AOV41" s="139"/>
      <c r="AOW41" s="139"/>
      <c r="AOX41" s="139"/>
      <c r="AOY41" s="139"/>
      <c r="AOZ41" s="139"/>
      <c r="APA41" s="139"/>
      <c r="APB41" s="139"/>
      <c r="APC41" s="139"/>
      <c r="APD41" s="139"/>
      <c r="APE41" s="139"/>
      <c r="APF41" s="139"/>
      <c r="APG41" s="139"/>
      <c r="APH41" s="139"/>
      <c r="API41" s="139"/>
      <c r="APJ41" s="139"/>
      <c r="APK41" s="139"/>
      <c r="APL41" s="139"/>
      <c r="APM41" s="139"/>
      <c r="APN41" s="139"/>
      <c r="APO41" s="139"/>
      <c r="APP41" s="139"/>
      <c r="APQ41" s="139"/>
      <c r="APR41" s="139"/>
      <c r="APS41" s="139"/>
      <c r="APT41" s="139"/>
      <c r="APU41" s="139"/>
      <c r="APV41" s="139"/>
      <c r="APW41" s="139"/>
      <c r="APX41" s="139"/>
      <c r="APY41" s="139"/>
      <c r="APZ41" s="139"/>
      <c r="AQA41" s="139"/>
      <c r="AQB41" s="139"/>
      <c r="AQC41" s="139"/>
      <c r="AQD41" s="139"/>
      <c r="AQE41" s="139"/>
      <c r="AQF41" s="139"/>
      <c r="AQG41" s="139"/>
      <c r="AQH41" s="139"/>
      <c r="AQI41" s="139"/>
      <c r="AQJ41" s="139"/>
      <c r="AQK41" s="139"/>
      <c r="AQL41" s="139"/>
      <c r="AQM41" s="139"/>
      <c r="AQN41" s="139"/>
      <c r="AQO41" s="139"/>
      <c r="AQP41" s="139"/>
      <c r="AQQ41" s="139"/>
      <c r="AQR41" s="139"/>
      <c r="AQS41" s="139"/>
      <c r="AQT41" s="139"/>
      <c r="AQU41" s="139"/>
      <c r="AQV41" s="139"/>
      <c r="AQW41" s="139"/>
      <c r="AQX41" s="139"/>
      <c r="AQY41" s="139"/>
      <c r="AQZ41" s="139"/>
      <c r="ARA41" s="139"/>
      <c r="ARB41" s="139"/>
      <c r="ARC41" s="139"/>
      <c r="ARD41" s="139"/>
      <c r="ARE41" s="139"/>
      <c r="ARF41" s="139"/>
      <c r="ARG41" s="139"/>
      <c r="ARH41" s="139"/>
      <c r="ARI41" s="139"/>
      <c r="ARJ41" s="139"/>
      <c r="ARK41" s="139"/>
      <c r="ARL41" s="139"/>
      <c r="ARM41" s="139"/>
      <c r="ARN41" s="139"/>
      <c r="ARO41" s="139"/>
      <c r="ARP41" s="139"/>
      <c r="ARQ41" s="139"/>
      <c r="ARR41" s="139"/>
      <c r="ARS41" s="139"/>
      <c r="ART41" s="139"/>
      <c r="ARU41" s="139"/>
      <c r="ARV41" s="139"/>
      <c r="ARW41" s="139"/>
      <c r="ARX41" s="139"/>
      <c r="ARY41" s="139"/>
      <c r="ARZ41" s="139"/>
      <c r="ASA41" s="139"/>
      <c r="ASB41" s="139"/>
      <c r="ASC41" s="139"/>
      <c r="ASD41" s="139"/>
      <c r="ASE41" s="139"/>
      <c r="ASF41" s="139"/>
      <c r="ASG41" s="139"/>
      <c r="ASH41" s="139"/>
      <c r="ASI41" s="139"/>
      <c r="ASJ41" s="139"/>
      <c r="ASK41" s="139"/>
      <c r="ASL41" s="139"/>
      <c r="ASM41" s="139"/>
      <c r="ASN41" s="139"/>
      <c r="ASO41" s="139"/>
      <c r="ASP41" s="139"/>
      <c r="ASQ41" s="139"/>
      <c r="ASR41" s="139"/>
      <c r="ASS41" s="139"/>
      <c r="AST41" s="139"/>
      <c r="ASU41" s="139"/>
      <c r="ASV41" s="139"/>
      <c r="ASW41" s="139"/>
      <c r="ASX41" s="139"/>
      <c r="ASY41" s="139"/>
      <c r="ASZ41" s="139"/>
      <c r="ATA41" s="139"/>
      <c r="ATB41" s="139"/>
      <c r="ATC41" s="139"/>
      <c r="ATD41" s="139"/>
      <c r="ATE41" s="139"/>
      <c r="ATF41" s="139"/>
      <c r="ATG41" s="139"/>
      <c r="ATH41" s="139"/>
      <c r="ATI41" s="139"/>
      <c r="ATJ41" s="139"/>
      <c r="ATK41" s="139"/>
      <c r="ATL41" s="139"/>
      <c r="ATM41" s="139"/>
      <c r="ATN41" s="139"/>
      <c r="ATO41" s="139"/>
      <c r="ATP41" s="139"/>
      <c r="ATQ41" s="139"/>
      <c r="ATR41" s="139"/>
      <c r="ATS41" s="139"/>
      <c r="ATT41" s="139"/>
      <c r="ATU41" s="139"/>
      <c r="ATV41" s="139"/>
      <c r="ATW41" s="139"/>
      <c r="ATX41" s="139"/>
      <c r="ATY41" s="139"/>
      <c r="ATZ41" s="139"/>
      <c r="AUA41" s="139"/>
      <c r="AUB41" s="139"/>
      <c r="AUC41" s="139"/>
      <c r="AUD41" s="139"/>
      <c r="AUE41" s="139"/>
      <c r="AUF41" s="139"/>
      <c r="AUG41" s="139"/>
      <c r="AUH41" s="139"/>
      <c r="AUI41" s="139"/>
      <c r="AUJ41" s="139"/>
      <c r="AUK41" s="139"/>
      <c r="AUL41" s="139"/>
      <c r="AUM41" s="139"/>
      <c r="AUN41" s="139"/>
      <c r="AUO41" s="139"/>
      <c r="AUP41" s="139"/>
      <c r="AUQ41" s="139"/>
      <c r="AUR41" s="139"/>
      <c r="AUS41" s="139"/>
      <c r="AUT41" s="139"/>
      <c r="AUU41" s="139"/>
      <c r="AUV41" s="139"/>
      <c r="AUW41" s="139"/>
      <c r="AUX41" s="139"/>
      <c r="AUY41" s="139"/>
      <c r="AUZ41" s="139"/>
      <c r="AVA41" s="139"/>
      <c r="AVB41" s="139"/>
      <c r="AVC41" s="139"/>
      <c r="AVD41" s="139"/>
      <c r="AVE41" s="139"/>
      <c r="AVF41" s="139"/>
      <c r="AVG41" s="139"/>
      <c r="AVH41" s="139"/>
      <c r="AVI41" s="139"/>
      <c r="AVJ41" s="139"/>
      <c r="AVK41" s="139"/>
      <c r="AVL41" s="139"/>
      <c r="AVM41" s="139"/>
      <c r="AVN41" s="139"/>
      <c r="AVO41" s="139"/>
      <c r="AVP41" s="139"/>
      <c r="AVQ41" s="139"/>
      <c r="AVR41" s="139"/>
      <c r="AVS41" s="139"/>
      <c r="AVT41" s="139"/>
      <c r="AVU41" s="139"/>
      <c r="AVV41" s="139"/>
      <c r="AVW41" s="139"/>
      <c r="AVX41" s="139"/>
      <c r="AVY41" s="139"/>
      <c r="AVZ41" s="139"/>
      <c r="AWA41" s="139"/>
      <c r="AWB41" s="139"/>
      <c r="AWC41" s="139"/>
      <c r="AWD41" s="139"/>
      <c r="AWE41" s="139"/>
      <c r="AWF41" s="139"/>
      <c r="AWG41" s="139"/>
      <c r="AWH41" s="139"/>
      <c r="AWI41" s="139"/>
      <c r="AWJ41" s="139"/>
      <c r="AWK41" s="139"/>
      <c r="AWL41" s="139"/>
      <c r="AWM41" s="139"/>
      <c r="AWN41" s="139"/>
      <c r="AWO41" s="139"/>
      <c r="AWP41" s="139"/>
      <c r="AWQ41" s="139"/>
      <c r="AWR41" s="139"/>
      <c r="AWS41" s="139"/>
      <c r="AWT41" s="139"/>
      <c r="AWU41" s="139"/>
      <c r="AWV41" s="139"/>
      <c r="AWW41" s="139"/>
      <c r="AWX41" s="139"/>
      <c r="AWY41" s="139"/>
      <c r="AWZ41" s="139"/>
      <c r="AXA41" s="139"/>
      <c r="AXB41" s="139"/>
      <c r="AXC41" s="139"/>
      <c r="AXD41" s="139"/>
      <c r="AXE41" s="139"/>
      <c r="AXF41" s="139"/>
      <c r="AXG41" s="139"/>
      <c r="AXH41" s="139"/>
      <c r="AXI41" s="139"/>
      <c r="AXJ41" s="139"/>
      <c r="AXK41" s="139"/>
      <c r="AXL41" s="139"/>
      <c r="AXM41" s="139"/>
      <c r="AXN41" s="139"/>
      <c r="AXO41" s="139"/>
      <c r="AXP41" s="139"/>
      <c r="AXQ41" s="139"/>
      <c r="AXR41" s="139"/>
      <c r="AXS41" s="139"/>
      <c r="AXT41" s="139"/>
      <c r="AXU41" s="139"/>
      <c r="AXV41" s="139"/>
      <c r="AXW41" s="139"/>
      <c r="AXX41" s="139"/>
      <c r="AXY41" s="139"/>
      <c r="AXZ41" s="139"/>
      <c r="AYA41" s="139"/>
      <c r="AYB41" s="139"/>
      <c r="AYC41" s="139"/>
      <c r="AYD41" s="139"/>
      <c r="AYE41" s="139"/>
      <c r="AYF41" s="139"/>
      <c r="AYG41" s="139"/>
      <c r="AYH41" s="139"/>
      <c r="AYI41" s="139"/>
      <c r="AYJ41" s="139"/>
      <c r="AYK41" s="139"/>
      <c r="AYL41" s="139"/>
      <c r="AYM41" s="139"/>
      <c r="AYN41" s="139"/>
      <c r="AYO41" s="139"/>
      <c r="AYP41" s="139"/>
      <c r="AYQ41" s="139"/>
      <c r="AYR41" s="139"/>
      <c r="AYS41" s="139"/>
      <c r="AYT41" s="139"/>
      <c r="AYU41" s="139"/>
      <c r="AYV41" s="139"/>
      <c r="AYW41" s="139"/>
      <c r="AYX41" s="139"/>
      <c r="AYY41" s="139"/>
      <c r="AYZ41" s="139"/>
      <c r="AZA41" s="139"/>
      <c r="AZB41" s="139"/>
      <c r="AZC41" s="139"/>
      <c r="AZD41" s="139"/>
      <c r="AZE41" s="139"/>
      <c r="AZF41" s="139"/>
      <c r="AZG41" s="139"/>
      <c r="AZH41" s="139"/>
      <c r="AZI41" s="139"/>
      <c r="AZJ41" s="139"/>
      <c r="AZK41" s="139"/>
      <c r="AZL41" s="139"/>
      <c r="AZM41" s="139"/>
      <c r="AZN41" s="139"/>
      <c r="AZO41" s="139"/>
      <c r="AZP41" s="139"/>
      <c r="AZQ41" s="139"/>
      <c r="AZR41" s="139"/>
      <c r="AZS41" s="139"/>
      <c r="AZT41" s="139"/>
      <c r="AZU41" s="139"/>
      <c r="AZV41" s="139"/>
      <c r="AZW41" s="139"/>
      <c r="AZX41" s="139"/>
      <c r="AZY41" s="139"/>
      <c r="AZZ41" s="139"/>
      <c r="BAA41" s="139"/>
      <c r="BAB41" s="139"/>
      <c r="BAC41" s="139"/>
      <c r="BAD41" s="139"/>
      <c r="BAE41" s="139"/>
      <c r="BAF41" s="139"/>
      <c r="BAG41" s="139"/>
      <c r="BAH41" s="139"/>
      <c r="BAI41" s="139"/>
      <c r="BAJ41" s="139"/>
      <c r="BAK41" s="139"/>
      <c r="BAL41" s="139"/>
      <c r="BAM41" s="139"/>
      <c r="BAN41" s="139"/>
      <c r="BAO41" s="139"/>
      <c r="BAP41" s="139"/>
      <c r="BAQ41" s="139"/>
      <c r="BAR41" s="139"/>
      <c r="BAS41" s="139"/>
      <c r="BAT41" s="139"/>
      <c r="BAU41" s="139"/>
      <c r="BAV41" s="139"/>
      <c r="BAW41" s="139"/>
      <c r="BAX41" s="139"/>
      <c r="BAY41" s="139"/>
      <c r="BAZ41" s="139"/>
      <c r="BBA41" s="139"/>
      <c r="BBB41" s="139"/>
      <c r="BBC41" s="139"/>
      <c r="BBD41" s="139"/>
      <c r="BBE41" s="139"/>
      <c r="BBF41" s="139"/>
      <c r="BBG41" s="139"/>
      <c r="BBH41" s="139"/>
      <c r="BBI41" s="139"/>
      <c r="BBJ41" s="139"/>
      <c r="BBK41" s="139"/>
      <c r="BBL41" s="139"/>
      <c r="BBM41" s="139"/>
      <c r="BBN41" s="139"/>
      <c r="BBO41" s="139"/>
      <c r="BBP41" s="139"/>
      <c r="BBQ41" s="139"/>
      <c r="BBR41" s="139"/>
      <c r="BBS41" s="139"/>
      <c r="BBT41" s="139"/>
      <c r="BBU41" s="139"/>
      <c r="BBV41" s="139"/>
      <c r="BBW41" s="139"/>
      <c r="BBX41" s="139"/>
      <c r="BBY41" s="139"/>
      <c r="BBZ41" s="139"/>
      <c r="BCA41" s="139"/>
      <c r="BCB41" s="139"/>
      <c r="BCC41" s="139"/>
      <c r="BCD41" s="139"/>
      <c r="BCE41" s="139"/>
      <c r="BCF41" s="139"/>
      <c r="BCG41" s="139"/>
      <c r="BCH41" s="139"/>
      <c r="BCI41" s="139"/>
      <c r="BCJ41" s="139"/>
      <c r="BCK41" s="139"/>
      <c r="BCL41" s="139"/>
      <c r="BCM41" s="139"/>
      <c r="BCN41" s="139"/>
      <c r="BCO41" s="139"/>
      <c r="BCP41" s="139"/>
      <c r="BCQ41" s="139"/>
      <c r="BCR41" s="139"/>
      <c r="BCS41" s="139"/>
      <c r="BCT41" s="139"/>
      <c r="BCU41" s="139"/>
      <c r="BCV41" s="139"/>
      <c r="BCW41" s="139"/>
      <c r="BCX41" s="139"/>
      <c r="BCY41" s="139"/>
      <c r="BCZ41" s="139"/>
      <c r="BDA41" s="139"/>
      <c r="BDB41" s="139"/>
      <c r="BDC41" s="139"/>
      <c r="BDD41" s="139"/>
      <c r="BDE41" s="139"/>
      <c r="BDF41" s="139"/>
      <c r="BDG41" s="139"/>
      <c r="BDH41" s="139"/>
      <c r="BDI41" s="139"/>
      <c r="BDJ41" s="139"/>
      <c r="BDK41" s="139"/>
      <c r="BDL41" s="139"/>
      <c r="BDM41" s="139"/>
      <c r="BDN41" s="139"/>
      <c r="BDO41" s="139"/>
      <c r="BDP41" s="139"/>
      <c r="BDQ41" s="139"/>
      <c r="BDR41" s="139"/>
      <c r="BDS41" s="139"/>
      <c r="BDT41" s="139"/>
      <c r="BDU41" s="139"/>
      <c r="BDV41" s="139"/>
      <c r="BDW41" s="139"/>
      <c r="BDX41" s="139"/>
      <c r="BDY41" s="139"/>
      <c r="BDZ41" s="139"/>
      <c r="BEA41" s="139"/>
      <c r="BEB41" s="139"/>
      <c r="BEC41" s="139"/>
      <c r="BED41" s="139"/>
      <c r="BEE41" s="139"/>
      <c r="BEF41" s="139"/>
      <c r="BEG41" s="139"/>
      <c r="BEH41" s="139"/>
      <c r="BEI41" s="139"/>
      <c r="BEJ41" s="139"/>
      <c r="BEK41" s="139"/>
      <c r="BEL41" s="139"/>
      <c r="BEM41" s="139"/>
      <c r="BEN41" s="139"/>
      <c r="BEO41" s="139"/>
      <c r="BEP41" s="139"/>
      <c r="BEQ41" s="139"/>
      <c r="BER41" s="139"/>
      <c r="BES41" s="139"/>
      <c r="BET41" s="139"/>
      <c r="BEU41" s="139"/>
      <c r="BEV41" s="139"/>
      <c r="BEW41" s="139"/>
      <c r="BEX41" s="139"/>
      <c r="BEY41" s="139"/>
      <c r="BEZ41" s="139"/>
      <c r="BFA41" s="139"/>
      <c r="BFB41" s="139"/>
      <c r="BFC41" s="139"/>
      <c r="BFD41" s="139"/>
      <c r="BFE41" s="139"/>
      <c r="BFF41" s="139"/>
      <c r="BFG41" s="139"/>
      <c r="BFH41" s="139"/>
      <c r="BFI41" s="139"/>
      <c r="BFJ41" s="139"/>
      <c r="BFK41" s="139"/>
      <c r="BFL41" s="139"/>
      <c r="BFM41" s="139"/>
      <c r="BFN41" s="139"/>
      <c r="BFO41" s="139"/>
      <c r="BFP41" s="139"/>
      <c r="BFQ41" s="139"/>
      <c r="BFR41" s="139"/>
      <c r="BFS41" s="139"/>
      <c r="BFT41" s="139"/>
      <c r="BFU41" s="139"/>
      <c r="BFV41" s="139"/>
      <c r="BFW41" s="139"/>
      <c r="BFX41" s="139"/>
      <c r="BFY41" s="139"/>
      <c r="BFZ41" s="139"/>
      <c r="BGA41" s="139"/>
      <c r="BGB41" s="139"/>
      <c r="BGC41" s="139"/>
      <c r="BGD41" s="139"/>
      <c r="BGE41" s="139"/>
      <c r="BGF41" s="139"/>
      <c r="BGG41" s="139"/>
      <c r="BGH41" s="139"/>
      <c r="BGI41" s="139"/>
      <c r="BGJ41" s="139"/>
      <c r="BGK41" s="139"/>
      <c r="BGL41" s="139"/>
      <c r="BGM41" s="139"/>
      <c r="BGN41" s="139"/>
      <c r="BGO41" s="139"/>
      <c r="BGP41" s="139"/>
      <c r="BGQ41" s="139"/>
      <c r="BGR41" s="139"/>
      <c r="BGS41" s="139"/>
      <c r="BGT41" s="139"/>
      <c r="BGU41" s="139"/>
      <c r="BGV41" s="139"/>
      <c r="BGW41" s="139"/>
      <c r="BGX41" s="139"/>
      <c r="BGY41" s="139"/>
      <c r="BGZ41" s="139"/>
      <c r="BHA41" s="139"/>
      <c r="BHB41" s="139"/>
      <c r="BHC41" s="139"/>
      <c r="BHD41" s="139"/>
      <c r="BHE41" s="139"/>
      <c r="BHF41" s="139"/>
      <c r="BHG41" s="139"/>
      <c r="BHH41" s="139"/>
      <c r="BHI41" s="139"/>
      <c r="BHJ41" s="139"/>
      <c r="BHK41" s="139"/>
      <c r="BHL41" s="139"/>
      <c r="BHM41" s="139"/>
      <c r="BHN41" s="139"/>
      <c r="BHO41" s="139"/>
      <c r="BHP41" s="139"/>
      <c r="BHQ41" s="139"/>
      <c r="BHR41" s="139"/>
      <c r="BHS41" s="139"/>
      <c r="BHT41" s="139"/>
      <c r="BHU41" s="139"/>
      <c r="BHV41" s="139"/>
      <c r="BHW41" s="139"/>
      <c r="BHX41" s="139"/>
      <c r="BHY41" s="139"/>
      <c r="BHZ41" s="139"/>
      <c r="BIA41" s="139"/>
      <c r="BIB41" s="139"/>
      <c r="BIC41" s="139"/>
      <c r="BID41" s="139"/>
      <c r="BIE41" s="139"/>
      <c r="BIF41" s="139"/>
      <c r="BIG41" s="139"/>
      <c r="BIH41" s="139"/>
      <c r="BII41" s="139"/>
      <c r="BIJ41" s="139"/>
      <c r="BIK41" s="139"/>
      <c r="BIL41" s="139"/>
      <c r="BIM41" s="139"/>
      <c r="BIN41" s="139"/>
      <c r="BIO41" s="139"/>
      <c r="BIP41" s="139"/>
      <c r="BIQ41" s="139"/>
      <c r="BIR41" s="139"/>
      <c r="BIS41" s="139"/>
      <c r="BIT41" s="139"/>
      <c r="BIU41" s="139"/>
      <c r="BIV41" s="139"/>
      <c r="BIW41" s="139"/>
      <c r="BIX41" s="139"/>
      <c r="BIY41" s="139"/>
      <c r="BIZ41" s="139"/>
      <c r="BJA41" s="139"/>
      <c r="BJB41" s="139"/>
      <c r="BJC41" s="139"/>
      <c r="BJD41" s="139"/>
      <c r="BJE41" s="139"/>
      <c r="BJF41" s="139"/>
      <c r="BJG41" s="139"/>
      <c r="BJH41" s="139"/>
      <c r="BJI41" s="139"/>
      <c r="BJJ41" s="139"/>
      <c r="BJK41" s="139"/>
      <c r="BJL41" s="139"/>
      <c r="BJM41" s="139"/>
      <c r="BJN41" s="139"/>
      <c r="BJO41" s="139"/>
      <c r="BJP41" s="139"/>
      <c r="BJQ41" s="139"/>
      <c r="BJR41" s="139"/>
      <c r="BJS41" s="139"/>
      <c r="BJT41" s="139"/>
      <c r="BJU41" s="139"/>
      <c r="BJV41" s="139"/>
      <c r="BJW41" s="139"/>
      <c r="BJX41" s="139"/>
      <c r="BJY41" s="139"/>
      <c r="BJZ41" s="139"/>
      <c r="BKA41" s="139"/>
      <c r="BKB41" s="139"/>
      <c r="BKC41" s="139"/>
      <c r="BKD41" s="139"/>
      <c r="BKE41" s="139"/>
      <c r="BKF41" s="139"/>
      <c r="BKG41" s="139"/>
      <c r="BKH41" s="139"/>
      <c r="BKI41" s="139"/>
      <c r="BKJ41" s="139"/>
      <c r="BKK41" s="139"/>
      <c r="BKL41" s="139"/>
      <c r="BKM41" s="139"/>
      <c r="BKN41" s="139"/>
      <c r="BKO41" s="139"/>
      <c r="BKP41" s="139"/>
      <c r="BKQ41" s="139"/>
      <c r="BKR41" s="139"/>
      <c r="BKS41" s="139"/>
      <c r="BKT41" s="139"/>
      <c r="BKU41" s="139"/>
      <c r="BKV41" s="139"/>
      <c r="BKW41" s="139"/>
      <c r="BKX41" s="139"/>
      <c r="BKY41" s="139"/>
      <c r="BKZ41" s="139"/>
      <c r="BLA41" s="139"/>
      <c r="BLB41" s="139"/>
      <c r="BLC41" s="139"/>
      <c r="BLD41" s="139"/>
      <c r="BLE41" s="139"/>
      <c r="BLF41" s="139"/>
      <c r="BLG41" s="139"/>
      <c r="BLH41" s="139"/>
      <c r="BLI41" s="139"/>
      <c r="BLJ41" s="139"/>
      <c r="BLK41" s="139"/>
      <c r="BLL41" s="139"/>
      <c r="BLM41" s="139"/>
      <c r="BLN41" s="139"/>
      <c r="BLO41" s="139"/>
      <c r="BLP41" s="139"/>
      <c r="BLQ41" s="139"/>
      <c r="BLR41" s="139"/>
      <c r="BLS41" s="139"/>
      <c r="BLT41" s="139"/>
      <c r="BLU41" s="139"/>
      <c r="BLV41" s="139"/>
      <c r="BLW41" s="139"/>
      <c r="BLX41" s="139"/>
      <c r="BLY41" s="139"/>
      <c r="BLZ41" s="139"/>
      <c r="BMA41" s="139"/>
      <c r="BMB41" s="139"/>
      <c r="BMC41" s="139"/>
      <c r="BMD41" s="139"/>
      <c r="BME41" s="139"/>
      <c r="BMF41" s="139"/>
      <c r="BMG41" s="139"/>
      <c r="BMH41" s="139"/>
      <c r="BMI41" s="139"/>
      <c r="BMJ41" s="139"/>
      <c r="BMK41" s="139"/>
      <c r="BML41" s="139"/>
      <c r="BMM41" s="139"/>
      <c r="BMN41" s="139"/>
      <c r="BMO41" s="139"/>
      <c r="BMP41" s="139"/>
      <c r="BMQ41" s="139"/>
      <c r="BMR41" s="139"/>
      <c r="BMS41" s="139"/>
      <c r="BMT41" s="139"/>
      <c r="BMU41" s="139"/>
      <c r="BMV41" s="139"/>
      <c r="BMW41" s="139"/>
      <c r="BMX41" s="139"/>
      <c r="BMY41" s="139"/>
      <c r="BMZ41" s="139"/>
      <c r="BNA41" s="139"/>
      <c r="BNB41" s="139"/>
      <c r="BNC41" s="139"/>
      <c r="BND41" s="139"/>
      <c r="BNE41" s="139"/>
      <c r="BNF41" s="139"/>
      <c r="BNG41" s="139"/>
      <c r="BNH41" s="139"/>
      <c r="BNI41" s="139"/>
      <c r="BNJ41" s="139"/>
      <c r="BNK41" s="139"/>
      <c r="BNL41" s="139"/>
      <c r="BNM41" s="139"/>
      <c r="BNN41" s="139"/>
      <c r="BNO41" s="139"/>
      <c r="BNP41" s="139"/>
      <c r="BNQ41" s="139"/>
      <c r="BNR41" s="139"/>
      <c r="BNS41" s="139"/>
      <c r="BNT41" s="139"/>
      <c r="BNU41" s="139"/>
      <c r="BNV41" s="139"/>
      <c r="BNW41" s="139"/>
      <c r="BNX41" s="139"/>
      <c r="BNY41" s="139"/>
      <c r="BNZ41" s="139"/>
      <c r="BOA41" s="139"/>
      <c r="BOB41" s="139"/>
      <c r="BOC41" s="139"/>
      <c r="BOD41" s="139"/>
      <c r="BOE41" s="139"/>
      <c r="BOF41" s="139"/>
      <c r="BOG41" s="139"/>
      <c r="BOH41" s="139"/>
      <c r="BOI41" s="139"/>
      <c r="BOJ41" s="139"/>
      <c r="BOK41" s="139"/>
      <c r="BOL41" s="139"/>
      <c r="BOM41" s="139"/>
      <c r="BON41" s="139"/>
      <c r="BOO41" s="139"/>
      <c r="BOP41" s="139"/>
      <c r="BOQ41" s="139"/>
      <c r="BOR41" s="139"/>
      <c r="BOS41" s="139"/>
      <c r="BOT41" s="139"/>
      <c r="BOU41" s="139"/>
      <c r="BOV41" s="139"/>
      <c r="BOW41" s="139"/>
      <c r="BOX41" s="139"/>
      <c r="BOY41" s="139"/>
      <c r="BOZ41" s="139"/>
      <c r="BPA41" s="139"/>
      <c r="BPB41" s="139"/>
      <c r="BPC41" s="139"/>
      <c r="BPD41" s="139"/>
      <c r="BPE41" s="139"/>
      <c r="BPF41" s="139"/>
      <c r="BPG41" s="139"/>
      <c r="BPH41" s="139"/>
      <c r="BPI41" s="139"/>
      <c r="BPJ41" s="139"/>
      <c r="BPK41" s="139"/>
      <c r="BPL41" s="139"/>
      <c r="BPM41" s="139"/>
      <c r="BPN41" s="139"/>
      <c r="BPO41" s="139"/>
      <c r="BPP41" s="139"/>
      <c r="BPQ41" s="139"/>
      <c r="BPR41" s="139"/>
      <c r="BPS41" s="139"/>
      <c r="BPT41" s="139"/>
      <c r="BPU41" s="139"/>
      <c r="BPV41" s="139"/>
      <c r="BPW41" s="139"/>
      <c r="BPX41" s="139"/>
      <c r="BPY41" s="139"/>
      <c r="BPZ41" s="139"/>
      <c r="BQA41" s="139"/>
      <c r="BQB41" s="139"/>
      <c r="BQC41" s="139"/>
      <c r="BQD41" s="139"/>
      <c r="BQE41" s="139"/>
      <c r="BQF41" s="139"/>
      <c r="BQG41" s="139"/>
      <c r="BQH41" s="139"/>
      <c r="BQI41" s="139"/>
      <c r="BQJ41" s="139"/>
      <c r="BQK41" s="139"/>
      <c r="BQL41" s="139"/>
      <c r="BQM41" s="139"/>
      <c r="BQN41" s="139"/>
      <c r="BQO41" s="139"/>
      <c r="BQP41" s="139"/>
      <c r="BQQ41" s="139"/>
      <c r="BQR41" s="139"/>
      <c r="BQS41" s="139"/>
      <c r="BQT41" s="139"/>
      <c r="BQU41" s="139"/>
      <c r="BQV41" s="139"/>
      <c r="BQW41" s="139"/>
      <c r="BQX41" s="139"/>
      <c r="BQY41" s="139"/>
      <c r="BQZ41" s="139"/>
      <c r="BRA41" s="139"/>
      <c r="BRB41" s="139"/>
      <c r="BRC41" s="139"/>
      <c r="BRD41" s="139"/>
      <c r="BRE41" s="139"/>
      <c r="BRF41" s="139"/>
      <c r="BRG41" s="139"/>
      <c r="BRH41" s="139"/>
      <c r="BRI41" s="139"/>
      <c r="BRJ41" s="139"/>
      <c r="BRK41" s="139"/>
      <c r="BRL41" s="139"/>
      <c r="BRM41" s="139"/>
      <c r="BRN41" s="139"/>
      <c r="BRO41" s="139"/>
      <c r="BRP41" s="139"/>
      <c r="BRQ41" s="139"/>
      <c r="BRR41" s="139"/>
      <c r="BRS41" s="139"/>
      <c r="BRT41" s="139"/>
      <c r="BRU41" s="139"/>
      <c r="BRV41" s="139"/>
      <c r="BRW41" s="139"/>
      <c r="BRX41" s="139"/>
      <c r="BRY41" s="139"/>
      <c r="BRZ41" s="139"/>
      <c r="BSA41" s="139"/>
      <c r="BSB41" s="139"/>
      <c r="BSC41" s="139"/>
      <c r="BSD41" s="139"/>
      <c r="BSE41" s="139"/>
      <c r="BSF41" s="139"/>
      <c r="BSG41" s="139"/>
      <c r="BSH41" s="139"/>
      <c r="BSI41" s="139"/>
      <c r="BSJ41" s="139"/>
      <c r="BSK41" s="139"/>
      <c r="BSL41" s="139"/>
      <c r="BSM41" s="139"/>
      <c r="BSN41" s="139"/>
      <c r="BSO41" s="139"/>
      <c r="BSP41" s="139"/>
      <c r="BSQ41" s="139"/>
      <c r="BSR41" s="139"/>
      <c r="BSS41" s="139"/>
      <c r="BST41" s="139"/>
      <c r="BSU41" s="139"/>
      <c r="BSV41" s="139"/>
      <c r="BSW41" s="139"/>
      <c r="BSX41" s="139"/>
      <c r="BSY41" s="139"/>
      <c r="BSZ41" s="139"/>
      <c r="BTA41" s="139"/>
      <c r="BTB41" s="139"/>
      <c r="BTC41" s="139"/>
      <c r="BTD41" s="139"/>
      <c r="BTE41" s="139"/>
      <c r="BTF41" s="139"/>
      <c r="BTG41" s="139"/>
      <c r="BTH41" s="139"/>
      <c r="BTI41" s="139"/>
      <c r="BTJ41" s="139"/>
      <c r="BTK41" s="139"/>
      <c r="BTL41" s="139"/>
      <c r="BTM41" s="139"/>
      <c r="BTN41" s="139"/>
      <c r="BTO41" s="139"/>
      <c r="BTP41" s="139"/>
      <c r="BTQ41" s="139"/>
      <c r="BTR41" s="139"/>
      <c r="BTS41" s="139"/>
      <c r="BTT41" s="139"/>
      <c r="BTU41" s="139"/>
      <c r="BTV41" s="139"/>
      <c r="BTW41" s="139"/>
      <c r="BTX41" s="139"/>
      <c r="BTY41" s="139"/>
      <c r="BTZ41" s="139"/>
      <c r="BUA41" s="139"/>
      <c r="BUB41" s="139"/>
      <c r="BUC41" s="139"/>
      <c r="BUD41" s="139"/>
      <c r="BUE41" s="139"/>
      <c r="BUF41" s="139"/>
      <c r="BUG41" s="139"/>
      <c r="BUH41" s="139"/>
      <c r="BUI41" s="139"/>
      <c r="BUJ41" s="139"/>
      <c r="BUK41" s="139"/>
      <c r="BUL41" s="139"/>
      <c r="BUM41" s="139"/>
      <c r="BUN41" s="139"/>
      <c r="BUO41" s="139"/>
      <c r="BUP41" s="139"/>
      <c r="BUQ41" s="139"/>
      <c r="BUR41" s="139"/>
      <c r="BUS41" s="139"/>
      <c r="BUT41" s="139"/>
      <c r="BUU41" s="139"/>
      <c r="BUV41" s="139"/>
      <c r="BUW41" s="139"/>
      <c r="BUX41" s="139"/>
      <c r="BUY41" s="139"/>
      <c r="BUZ41" s="139"/>
      <c r="BVA41" s="139"/>
      <c r="BVB41" s="139"/>
      <c r="BVC41" s="139"/>
      <c r="BVD41" s="139"/>
      <c r="BVE41" s="139"/>
      <c r="BVF41" s="139"/>
      <c r="BVG41" s="139"/>
      <c r="BVH41" s="139"/>
      <c r="BVI41" s="139"/>
      <c r="BVJ41" s="139"/>
      <c r="BVK41" s="139"/>
      <c r="BVL41" s="139"/>
      <c r="BVM41" s="139"/>
      <c r="BVN41" s="139"/>
      <c r="BVO41" s="139"/>
      <c r="BVP41" s="139"/>
      <c r="BVQ41" s="139"/>
      <c r="BVR41" s="139"/>
      <c r="BVS41" s="139"/>
      <c r="BVT41" s="139"/>
      <c r="BVU41" s="139"/>
      <c r="BVV41" s="139"/>
      <c r="BVW41" s="139"/>
      <c r="BVX41" s="139"/>
      <c r="BVY41" s="139"/>
      <c r="BVZ41" s="139"/>
      <c r="BWA41" s="139"/>
      <c r="BWB41" s="139"/>
      <c r="BWC41" s="139"/>
      <c r="BWD41" s="139"/>
      <c r="BWE41" s="139"/>
      <c r="BWF41" s="139"/>
      <c r="BWG41" s="139"/>
      <c r="BWH41" s="139"/>
      <c r="BWI41" s="139"/>
      <c r="BWJ41" s="139"/>
      <c r="BWK41" s="139"/>
      <c r="BWL41" s="139"/>
      <c r="BWM41" s="139"/>
      <c r="BWN41" s="139"/>
      <c r="BWO41" s="139"/>
      <c r="BWP41" s="139"/>
      <c r="BWQ41" s="139"/>
      <c r="BWR41" s="139"/>
      <c r="BWS41" s="139"/>
      <c r="BWT41" s="139"/>
      <c r="BWU41" s="139"/>
      <c r="BWV41" s="139"/>
      <c r="BWW41" s="139"/>
      <c r="BWX41" s="139"/>
      <c r="BWY41" s="139"/>
      <c r="BWZ41" s="139"/>
      <c r="BXA41" s="139"/>
      <c r="BXB41" s="139"/>
      <c r="BXC41" s="139"/>
      <c r="BXD41" s="139"/>
      <c r="BXE41" s="139"/>
      <c r="BXF41" s="139"/>
      <c r="BXG41" s="139"/>
      <c r="BXH41" s="139"/>
      <c r="BXI41" s="139"/>
      <c r="BXJ41" s="139"/>
      <c r="BXK41" s="139"/>
      <c r="BXL41" s="139"/>
      <c r="BXM41" s="139"/>
      <c r="BXN41" s="139"/>
      <c r="BXO41" s="139"/>
      <c r="BXP41" s="139"/>
      <c r="BXQ41" s="139"/>
      <c r="BXR41" s="139"/>
      <c r="BXS41" s="139"/>
      <c r="BXT41" s="139"/>
      <c r="BXU41" s="139"/>
      <c r="BXV41" s="139"/>
      <c r="BXW41" s="139"/>
      <c r="BXX41" s="139"/>
      <c r="BXY41" s="139"/>
      <c r="BXZ41" s="139"/>
      <c r="BYA41" s="139"/>
      <c r="BYB41" s="139"/>
      <c r="BYC41" s="139"/>
      <c r="BYD41" s="139"/>
      <c r="BYE41" s="139"/>
      <c r="BYF41" s="139"/>
      <c r="BYG41" s="139"/>
      <c r="BYH41" s="139"/>
      <c r="BYI41" s="139"/>
      <c r="BYJ41" s="139"/>
      <c r="BYK41" s="139"/>
      <c r="BYL41" s="139"/>
      <c r="BYM41" s="139"/>
      <c r="BYN41" s="139"/>
      <c r="BYO41" s="139"/>
      <c r="BYP41" s="139"/>
      <c r="BYQ41" s="139"/>
      <c r="BYR41" s="139"/>
      <c r="BYS41" s="139"/>
      <c r="BYT41" s="139"/>
      <c r="BYU41" s="139"/>
      <c r="BYV41" s="139"/>
      <c r="BYW41" s="139"/>
      <c r="BYX41" s="139"/>
      <c r="BYY41" s="139"/>
      <c r="BYZ41" s="139"/>
      <c r="BZA41" s="139"/>
      <c r="BZB41" s="139"/>
      <c r="BZC41" s="139"/>
      <c r="BZD41" s="139"/>
      <c r="BZE41" s="139"/>
      <c r="BZF41" s="139"/>
      <c r="BZG41" s="139"/>
      <c r="BZH41" s="139"/>
      <c r="BZI41" s="139"/>
      <c r="BZJ41" s="139"/>
      <c r="BZK41" s="139"/>
      <c r="BZL41" s="139"/>
      <c r="BZM41" s="139"/>
      <c r="BZN41" s="139"/>
      <c r="BZO41" s="139"/>
      <c r="BZP41" s="139"/>
      <c r="BZQ41" s="139"/>
      <c r="BZR41" s="139"/>
      <c r="BZS41" s="139"/>
      <c r="BZT41" s="139"/>
      <c r="BZU41" s="139"/>
      <c r="BZV41" s="139"/>
      <c r="BZW41" s="139"/>
      <c r="BZX41" s="139"/>
      <c r="BZY41" s="139"/>
      <c r="BZZ41" s="139"/>
      <c r="CAA41" s="139"/>
      <c r="CAB41" s="139"/>
      <c r="CAC41" s="139"/>
      <c r="CAD41" s="139"/>
      <c r="CAE41" s="139"/>
      <c r="CAF41" s="139"/>
      <c r="CAG41" s="139"/>
      <c r="CAH41" s="139"/>
      <c r="CAI41" s="139"/>
      <c r="CAJ41" s="139"/>
      <c r="CAK41" s="139"/>
      <c r="CAL41" s="139"/>
      <c r="CAM41" s="139"/>
      <c r="CAN41" s="139"/>
      <c r="CAO41" s="139"/>
      <c r="CAP41" s="139"/>
      <c r="CAQ41" s="139"/>
      <c r="CAR41" s="139"/>
      <c r="CAS41" s="139"/>
      <c r="CAT41" s="139"/>
      <c r="CAU41" s="139"/>
      <c r="CAV41" s="139"/>
      <c r="CAW41" s="139"/>
      <c r="CAX41" s="139"/>
      <c r="CAY41" s="139"/>
      <c r="CAZ41" s="139"/>
      <c r="CBA41" s="139"/>
      <c r="CBB41" s="139"/>
      <c r="CBC41" s="139"/>
      <c r="CBD41" s="139"/>
      <c r="CBE41" s="139"/>
      <c r="CBF41" s="139"/>
      <c r="CBG41" s="139"/>
      <c r="CBH41" s="139"/>
      <c r="CBI41" s="139"/>
      <c r="CBJ41" s="139"/>
      <c r="CBK41" s="139"/>
      <c r="CBL41" s="139"/>
      <c r="CBM41" s="139"/>
      <c r="CBN41" s="139"/>
      <c r="CBO41" s="139"/>
      <c r="CBP41" s="139"/>
      <c r="CBQ41" s="139"/>
      <c r="CBR41" s="139"/>
      <c r="CBS41" s="139"/>
      <c r="CBT41" s="139"/>
      <c r="CBU41" s="139"/>
      <c r="CBV41" s="139"/>
      <c r="CBW41" s="139"/>
      <c r="CBX41" s="139"/>
      <c r="CBY41" s="139"/>
      <c r="CBZ41" s="139"/>
      <c r="CCA41" s="139"/>
      <c r="CCB41" s="139"/>
      <c r="CCC41" s="139"/>
      <c r="CCD41" s="139"/>
      <c r="CCE41" s="139"/>
      <c r="CCF41" s="139"/>
      <c r="CCG41" s="139"/>
      <c r="CCH41" s="139"/>
      <c r="CCI41" s="139"/>
      <c r="CCJ41" s="139"/>
      <c r="CCK41" s="139"/>
      <c r="CCL41" s="139"/>
      <c r="CCM41" s="139"/>
      <c r="CCN41" s="139"/>
      <c r="CCO41" s="139"/>
      <c r="CCP41" s="139"/>
      <c r="CCQ41" s="139"/>
      <c r="CCR41" s="139"/>
      <c r="CCS41" s="139"/>
      <c r="CCT41" s="139"/>
      <c r="CCU41" s="139"/>
      <c r="CCV41" s="139"/>
      <c r="CCW41" s="139"/>
      <c r="CCX41" s="139"/>
      <c r="CCY41" s="139"/>
      <c r="CCZ41" s="139"/>
      <c r="CDA41" s="139"/>
      <c r="CDB41" s="139"/>
      <c r="CDC41" s="139"/>
      <c r="CDD41" s="139"/>
      <c r="CDE41" s="139"/>
      <c r="CDF41" s="139"/>
      <c r="CDG41" s="139"/>
      <c r="CDH41" s="139"/>
      <c r="CDI41" s="139"/>
      <c r="CDJ41" s="139"/>
      <c r="CDK41" s="139"/>
      <c r="CDL41" s="139"/>
      <c r="CDM41" s="139"/>
      <c r="CDN41" s="139"/>
      <c r="CDO41" s="139"/>
      <c r="CDP41" s="139"/>
      <c r="CDQ41" s="139"/>
      <c r="CDR41" s="139"/>
      <c r="CDS41" s="139"/>
      <c r="CDT41" s="139"/>
      <c r="CDU41" s="139"/>
      <c r="CDV41" s="139"/>
      <c r="CDW41" s="139"/>
      <c r="CDX41" s="139"/>
      <c r="CDY41" s="139"/>
      <c r="CDZ41" s="139"/>
      <c r="CEA41" s="139"/>
      <c r="CEB41" s="139"/>
      <c r="CEC41" s="139"/>
      <c r="CED41" s="139"/>
      <c r="CEE41" s="139"/>
      <c r="CEF41" s="139"/>
      <c r="CEG41" s="139"/>
      <c r="CEH41" s="139"/>
      <c r="CEI41" s="139"/>
      <c r="CEJ41" s="139"/>
      <c r="CEK41" s="139"/>
      <c r="CEL41" s="139"/>
      <c r="CEM41" s="139"/>
      <c r="CEN41" s="139"/>
      <c r="CEO41" s="139"/>
      <c r="CEP41" s="139"/>
      <c r="CEQ41" s="139"/>
      <c r="CER41" s="139"/>
      <c r="CES41" s="139"/>
      <c r="CET41" s="139"/>
      <c r="CEU41" s="139"/>
      <c r="CEV41" s="139"/>
      <c r="CEW41" s="139"/>
      <c r="CEX41" s="139"/>
      <c r="CEY41" s="139"/>
      <c r="CEZ41" s="139"/>
      <c r="CFA41" s="139"/>
      <c r="CFB41" s="139"/>
      <c r="CFC41" s="139"/>
      <c r="CFD41" s="139"/>
      <c r="CFE41" s="139"/>
      <c r="CFF41" s="139"/>
      <c r="CFG41" s="139"/>
      <c r="CFH41" s="139"/>
      <c r="CFI41" s="139"/>
      <c r="CFJ41" s="139"/>
      <c r="CFK41" s="139"/>
      <c r="CFL41" s="139"/>
      <c r="CFM41" s="139"/>
      <c r="CFN41" s="139"/>
      <c r="CFO41" s="139"/>
      <c r="CFP41" s="139"/>
      <c r="CFQ41" s="139"/>
      <c r="CFR41" s="139"/>
      <c r="CFS41" s="139"/>
      <c r="CFT41" s="139"/>
      <c r="CFU41" s="139"/>
      <c r="CFV41" s="139"/>
      <c r="CFW41" s="139"/>
      <c r="CFX41" s="139"/>
      <c r="CFY41" s="139"/>
      <c r="CFZ41" s="139"/>
      <c r="CGA41" s="139"/>
      <c r="CGB41" s="139"/>
      <c r="CGC41" s="139"/>
      <c r="CGD41" s="139"/>
      <c r="CGE41" s="139"/>
      <c r="CGF41" s="139"/>
      <c r="CGG41" s="139"/>
      <c r="CGH41" s="139"/>
      <c r="CGI41" s="139"/>
      <c r="CGJ41" s="139"/>
      <c r="CGK41" s="139"/>
      <c r="CGL41" s="139"/>
      <c r="CGM41" s="139"/>
      <c r="CGN41" s="139"/>
      <c r="CGO41" s="139"/>
      <c r="CGP41" s="139"/>
      <c r="CGQ41" s="139"/>
      <c r="CGR41" s="139"/>
      <c r="CGS41" s="139"/>
      <c r="CGT41" s="139"/>
      <c r="CGU41" s="139"/>
      <c r="CGV41" s="139"/>
      <c r="CGW41" s="139"/>
      <c r="CGX41" s="139"/>
      <c r="CGY41" s="139"/>
      <c r="CGZ41" s="139"/>
      <c r="CHA41" s="139"/>
      <c r="CHB41" s="139"/>
      <c r="CHC41" s="139"/>
      <c r="CHD41" s="139"/>
      <c r="CHE41" s="139"/>
      <c r="CHF41" s="139"/>
      <c r="CHG41" s="139"/>
      <c r="CHH41" s="139"/>
      <c r="CHI41" s="139"/>
      <c r="CHJ41" s="139"/>
      <c r="CHK41" s="139"/>
      <c r="CHL41" s="139"/>
      <c r="CHM41" s="139"/>
      <c r="CHN41" s="139"/>
      <c r="CHO41" s="139"/>
      <c r="CHP41" s="139"/>
      <c r="CHQ41" s="139"/>
      <c r="CHR41" s="139"/>
      <c r="CHS41" s="139"/>
      <c r="CHT41" s="139"/>
      <c r="CHU41" s="139"/>
      <c r="CHV41" s="139"/>
      <c r="CHW41" s="139"/>
      <c r="CHX41" s="139"/>
      <c r="CHY41" s="139"/>
      <c r="CHZ41" s="139"/>
      <c r="CIA41" s="139"/>
      <c r="CIB41" s="139"/>
      <c r="CIC41" s="139"/>
      <c r="CID41" s="139"/>
      <c r="CIE41" s="139"/>
      <c r="CIF41" s="139"/>
      <c r="CIG41" s="139"/>
      <c r="CIH41" s="139"/>
      <c r="CII41" s="139"/>
      <c r="CIJ41" s="139"/>
      <c r="CIK41" s="139"/>
      <c r="CIL41" s="139"/>
      <c r="CIM41" s="139"/>
      <c r="CIN41" s="139"/>
      <c r="CIO41" s="139"/>
      <c r="CIP41" s="139"/>
      <c r="CIQ41" s="139"/>
      <c r="CIR41" s="139"/>
      <c r="CIS41" s="139"/>
      <c r="CIT41" s="139"/>
      <c r="CIU41" s="139"/>
      <c r="CIV41" s="139"/>
      <c r="CIW41" s="139"/>
      <c r="CIX41" s="139"/>
      <c r="CIY41" s="139"/>
      <c r="CIZ41" s="139"/>
      <c r="CJA41" s="139"/>
      <c r="CJB41" s="139"/>
      <c r="CJC41" s="139"/>
      <c r="CJD41" s="139"/>
      <c r="CJE41" s="139"/>
      <c r="CJF41" s="139"/>
      <c r="CJG41" s="139"/>
      <c r="CJH41" s="139"/>
      <c r="CJI41" s="139"/>
      <c r="CJJ41" s="139"/>
      <c r="CJK41" s="139"/>
      <c r="CJL41" s="139"/>
      <c r="CJM41" s="139"/>
      <c r="CJN41" s="139"/>
      <c r="CJO41" s="139"/>
      <c r="CJP41" s="139"/>
      <c r="CJQ41" s="139"/>
      <c r="CJR41" s="139"/>
      <c r="CJS41" s="139"/>
      <c r="CJT41" s="139"/>
      <c r="CJU41" s="139"/>
      <c r="CJV41" s="139"/>
      <c r="CJW41" s="139"/>
      <c r="CJX41" s="139"/>
      <c r="CJY41" s="139"/>
      <c r="CJZ41" s="139"/>
      <c r="CKA41" s="139"/>
      <c r="CKB41" s="139"/>
      <c r="CKC41" s="139"/>
      <c r="CKD41" s="139"/>
      <c r="CKE41" s="139"/>
      <c r="CKF41" s="139"/>
      <c r="CKG41" s="139"/>
      <c r="CKH41" s="139"/>
      <c r="CKI41" s="139"/>
      <c r="CKJ41" s="139"/>
      <c r="CKK41" s="139"/>
      <c r="CKL41" s="139"/>
      <c r="CKM41" s="139"/>
      <c r="CKN41" s="139"/>
      <c r="CKO41" s="139"/>
      <c r="CKP41" s="139"/>
      <c r="CKQ41" s="139"/>
      <c r="CKR41" s="139"/>
      <c r="CKS41" s="139"/>
      <c r="CKT41" s="139"/>
      <c r="CKU41" s="139"/>
      <c r="CKV41" s="139"/>
      <c r="CKW41" s="139"/>
      <c r="CKX41" s="139"/>
      <c r="CKY41" s="139"/>
      <c r="CKZ41" s="139"/>
      <c r="CLA41" s="139"/>
      <c r="CLB41" s="139"/>
      <c r="CLC41" s="139"/>
      <c r="CLD41" s="139"/>
      <c r="CLE41" s="139"/>
      <c r="CLF41" s="139"/>
      <c r="CLG41" s="139"/>
      <c r="CLH41" s="139"/>
      <c r="CLI41" s="139"/>
      <c r="CLJ41" s="139"/>
      <c r="CLK41" s="139"/>
      <c r="CLL41" s="139"/>
      <c r="CLM41" s="139"/>
      <c r="CLN41" s="139"/>
      <c r="CLO41" s="139"/>
      <c r="CLP41" s="139"/>
      <c r="CLQ41" s="139"/>
      <c r="CLR41" s="139"/>
      <c r="CLS41" s="139"/>
      <c r="CLT41" s="139"/>
      <c r="CLU41" s="139"/>
      <c r="CLV41" s="139"/>
      <c r="CLW41" s="139"/>
      <c r="CLX41" s="139"/>
      <c r="CLY41" s="139"/>
      <c r="CLZ41" s="139"/>
      <c r="CMA41" s="139"/>
      <c r="CMB41" s="139"/>
      <c r="CMC41" s="139"/>
      <c r="CMD41" s="139"/>
      <c r="CME41" s="139"/>
      <c r="CMF41" s="139"/>
      <c r="CMG41" s="139"/>
      <c r="CMH41" s="139"/>
      <c r="CMI41" s="139"/>
      <c r="CMJ41" s="139"/>
      <c r="CMK41" s="139"/>
      <c r="CML41" s="139"/>
      <c r="CMM41" s="139"/>
      <c r="CMN41" s="139"/>
      <c r="CMO41" s="139"/>
      <c r="CMP41" s="139"/>
      <c r="CMQ41" s="139"/>
      <c r="CMR41" s="139"/>
      <c r="CMS41" s="139"/>
      <c r="CMT41" s="139"/>
      <c r="CMU41" s="139"/>
      <c r="CMV41" s="139"/>
      <c r="CMW41" s="139"/>
      <c r="CMX41" s="139"/>
      <c r="CMY41" s="139"/>
      <c r="CMZ41" s="139"/>
      <c r="CNA41" s="139"/>
      <c r="CNB41" s="139"/>
      <c r="CNC41" s="139"/>
      <c r="CND41" s="139"/>
      <c r="CNE41" s="139"/>
      <c r="CNF41" s="139"/>
      <c r="CNG41" s="139"/>
      <c r="CNH41" s="139"/>
      <c r="CNI41" s="139"/>
      <c r="CNJ41" s="139"/>
      <c r="CNK41" s="139"/>
      <c r="CNL41" s="139"/>
      <c r="CNM41" s="139"/>
      <c r="CNN41" s="139"/>
      <c r="CNO41" s="139"/>
      <c r="CNP41" s="139"/>
      <c r="CNQ41" s="139"/>
      <c r="CNR41" s="139"/>
      <c r="CNS41" s="139"/>
      <c r="CNT41" s="139"/>
      <c r="CNU41" s="139"/>
      <c r="CNV41" s="139"/>
      <c r="CNW41" s="139"/>
      <c r="CNX41" s="139"/>
      <c r="CNY41" s="139"/>
      <c r="CNZ41" s="139"/>
      <c r="COA41" s="139"/>
      <c r="COB41" s="139"/>
      <c r="COC41" s="139"/>
      <c r="COD41" s="139"/>
      <c r="COE41" s="139"/>
      <c r="COF41" s="139"/>
      <c r="COG41" s="139"/>
      <c r="COH41" s="139"/>
      <c r="COI41" s="139"/>
      <c r="COJ41" s="139"/>
      <c r="COK41" s="139"/>
      <c r="COL41" s="139"/>
      <c r="COM41" s="139"/>
      <c r="CON41" s="139"/>
      <c r="COO41" s="139"/>
      <c r="COP41" s="139"/>
      <c r="COQ41" s="139"/>
      <c r="COR41" s="139"/>
      <c r="COS41" s="139"/>
      <c r="COT41" s="139"/>
      <c r="COU41" s="139"/>
      <c r="COV41" s="139"/>
      <c r="COW41" s="139"/>
      <c r="COX41" s="139"/>
      <c r="COY41" s="139"/>
      <c r="COZ41" s="139"/>
      <c r="CPA41" s="139"/>
      <c r="CPB41" s="139"/>
      <c r="CPC41" s="139"/>
      <c r="CPD41" s="139"/>
      <c r="CPE41" s="139"/>
      <c r="CPF41" s="139"/>
      <c r="CPG41" s="139"/>
      <c r="CPH41" s="139"/>
      <c r="CPI41" s="139"/>
      <c r="CPJ41" s="139"/>
      <c r="CPK41" s="139"/>
      <c r="CPL41" s="139"/>
      <c r="CPM41" s="139"/>
      <c r="CPN41" s="139"/>
      <c r="CPO41" s="139"/>
      <c r="CPP41" s="139"/>
      <c r="CPQ41" s="139"/>
      <c r="CPR41" s="139"/>
      <c r="CPS41" s="139"/>
      <c r="CPT41" s="139"/>
      <c r="CPU41" s="139"/>
      <c r="CPV41" s="139"/>
      <c r="CPW41" s="139"/>
      <c r="CPX41" s="139"/>
      <c r="CPY41" s="139"/>
      <c r="CPZ41" s="139"/>
      <c r="CQA41" s="139"/>
      <c r="CQB41" s="139"/>
      <c r="CQC41" s="139"/>
      <c r="CQD41" s="139"/>
      <c r="CQE41" s="139"/>
      <c r="CQF41" s="139"/>
      <c r="CQG41" s="139"/>
      <c r="CQH41" s="139"/>
      <c r="CQI41" s="139"/>
      <c r="CQJ41" s="139"/>
      <c r="CQK41" s="139"/>
      <c r="CQL41" s="139"/>
      <c r="CQM41" s="139"/>
      <c r="CQN41" s="139"/>
      <c r="CQO41" s="139"/>
      <c r="CQP41" s="139"/>
      <c r="CQQ41" s="139"/>
      <c r="CQR41" s="139"/>
      <c r="CQS41" s="139"/>
      <c r="CQT41" s="139"/>
      <c r="CQU41" s="139"/>
      <c r="CQV41" s="139"/>
      <c r="CQW41" s="139"/>
      <c r="CQX41" s="139"/>
      <c r="CQY41" s="139"/>
      <c r="CQZ41" s="139"/>
      <c r="CRA41" s="139"/>
      <c r="CRB41" s="139"/>
      <c r="CRC41" s="139"/>
      <c r="CRD41" s="139"/>
      <c r="CRE41" s="139"/>
      <c r="CRF41" s="139"/>
      <c r="CRG41" s="139"/>
      <c r="CRH41" s="139"/>
      <c r="CRI41" s="139"/>
      <c r="CRJ41" s="139"/>
      <c r="CRK41" s="139"/>
      <c r="CRL41" s="139"/>
      <c r="CRM41" s="139"/>
      <c r="CRN41" s="139"/>
      <c r="CRO41" s="139"/>
      <c r="CRP41" s="139"/>
      <c r="CRQ41" s="139"/>
      <c r="CRR41" s="139"/>
      <c r="CRS41" s="139"/>
      <c r="CRT41" s="139"/>
      <c r="CRU41" s="139"/>
      <c r="CRV41" s="139"/>
      <c r="CRW41" s="139"/>
      <c r="CRX41" s="139"/>
      <c r="CRY41" s="139"/>
      <c r="CRZ41" s="139"/>
      <c r="CSA41" s="139"/>
      <c r="CSB41" s="139"/>
      <c r="CSC41" s="139"/>
      <c r="CSD41" s="139"/>
      <c r="CSE41" s="139"/>
      <c r="CSF41" s="139"/>
      <c r="CSG41" s="139"/>
      <c r="CSH41" s="139"/>
      <c r="CSI41" s="139"/>
      <c r="CSJ41" s="139"/>
      <c r="CSK41" s="139"/>
      <c r="CSL41" s="139"/>
      <c r="CSM41" s="139"/>
      <c r="CSN41" s="139"/>
      <c r="CSO41" s="139"/>
      <c r="CSP41" s="139"/>
      <c r="CSQ41" s="139"/>
      <c r="CSR41" s="139"/>
      <c r="CSS41" s="139"/>
      <c r="CST41" s="139"/>
      <c r="CSU41" s="139"/>
      <c r="CSV41" s="139"/>
      <c r="CSW41" s="139"/>
      <c r="CSX41" s="139"/>
      <c r="CSY41" s="139"/>
      <c r="CSZ41" s="139"/>
      <c r="CTA41" s="139"/>
      <c r="CTB41" s="139"/>
      <c r="CTC41" s="139"/>
      <c r="CTD41" s="139"/>
      <c r="CTE41" s="139"/>
      <c r="CTF41" s="139"/>
      <c r="CTG41" s="139"/>
      <c r="CTH41" s="139"/>
      <c r="CTI41" s="139"/>
      <c r="CTJ41" s="139"/>
      <c r="CTK41" s="139"/>
      <c r="CTL41" s="139"/>
      <c r="CTM41" s="139"/>
      <c r="CTN41" s="139"/>
      <c r="CTO41" s="139"/>
      <c r="CTP41" s="139"/>
      <c r="CTQ41" s="139"/>
      <c r="CTR41" s="139"/>
      <c r="CTS41" s="139"/>
      <c r="CTT41" s="139"/>
      <c r="CTU41" s="139"/>
      <c r="CTV41" s="139"/>
      <c r="CTW41" s="139"/>
      <c r="CTX41" s="139"/>
      <c r="CTY41" s="139"/>
      <c r="CTZ41" s="139"/>
      <c r="CUA41" s="139"/>
      <c r="CUB41" s="139"/>
      <c r="CUC41" s="139"/>
      <c r="CUD41" s="139"/>
      <c r="CUE41" s="139"/>
      <c r="CUF41" s="139"/>
      <c r="CUG41" s="139"/>
      <c r="CUH41" s="139"/>
      <c r="CUI41" s="139"/>
      <c r="CUJ41" s="139"/>
      <c r="CUK41" s="139"/>
      <c r="CUL41" s="139"/>
      <c r="CUM41" s="139"/>
      <c r="CUN41" s="139"/>
      <c r="CUO41" s="139"/>
      <c r="CUP41" s="139"/>
      <c r="CUQ41" s="139"/>
      <c r="CUR41" s="139"/>
      <c r="CUS41" s="139"/>
      <c r="CUT41" s="139"/>
      <c r="CUU41" s="139"/>
      <c r="CUV41" s="139"/>
      <c r="CUW41" s="139"/>
      <c r="CUX41" s="139"/>
      <c r="CUY41" s="139"/>
      <c r="CUZ41" s="139"/>
      <c r="CVA41" s="139"/>
      <c r="CVB41" s="139"/>
      <c r="CVC41" s="139"/>
      <c r="CVD41" s="139"/>
      <c r="CVE41" s="139"/>
      <c r="CVF41" s="139"/>
      <c r="CVG41" s="139"/>
      <c r="CVH41" s="139"/>
      <c r="CVI41" s="139"/>
      <c r="CVJ41" s="139"/>
      <c r="CVK41" s="139"/>
      <c r="CVL41" s="139"/>
      <c r="CVM41" s="139"/>
      <c r="CVN41" s="139"/>
      <c r="CVO41" s="139"/>
      <c r="CVP41" s="139"/>
      <c r="CVQ41" s="139"/>
      <c r="CVR41" s="139"/>
      <c r="CVS41" s="139"/>
      <c r="CVT41" s="139"/>
      <c r="CVU41" s="139"/>
      <c r="CVV41" s="139"/>
      <c r="CVW41" s="139"/>
      <c r="CVX41" s="139"/>
      <c r="CVY41" s="139"/>
      <c r="CVZ41" s="139"/>
      <c r="CWA41" s="139"/>
      <c r="CWB41" s="139"/>
      <c r="CWC41" s="139"/>
      <c r="CWD41" s="139"/>
      <c r="CWE41" s="139"/>
      <c r="CWF41" s="139"/>
      <c r="CWG41" s="139"/>
      <c r="CWH41" s="139"/>
      <c r="CWI41" s="139"/>
      <c r="CWJ41" s="139"/>
      <c r="CWK41" s="139"/>
      <c r="CWL41" s="139"/>
      <c r="CWM41" s="139"/>
      <c r="CWN41" s="139"/>
      <c r="CWO41" s="139"/>
      <c r="CWP41" s="139"/>
      <c r="CWQ41" s="139"/>
      <c r="CWR41" s="139"/>
      <c r="CWS41" s="139"/>
      <c r="CWT41" s="139"/>
      <c r="CWU41" s="139"/>
      <c r="CWV41" s="139"/>
      <c r="CWW41" s="139"/>
      <c r="CWX41" s="139"/>
      <c r="CWY41" s="139"/>
      <c r="CWZ41" s="139"/>
      <c r="CXA41" s="139"/>
      <c r="CXB41" s="139"/>
      <c r="CXC41" s="139"/>
      <c r="CXD41" s="139"/>
      <c r="CXE41" s="139"/>
      <c r="CXF41" s="139"/>
      <c r="CXG41" s="139"/>
      <c r="CXH41" s="139"/>
      <c r="CXI41" s="139"/>
      <c r="CXJ41" s="139"/>
      <c r="CXK41" s="139"/>
      <c r="CXL41" s="139"/>
      <c r="CXM41" s="139"/>
      <c r="CXN41" s="139"/>
      <c r="CXO41" s="139"/>
      <c r="CXP41" s="139"/>
      <c r="CXQ41" s="139"/>
      <c r="CXR41" s="139"/>
      <c r="CXS41" s="139"/>
      <c r="CXT41" s="139"/>
      <c r="CXU41" s="139"/>
      <c r="CXV41" s="139"/>
      <c r="CXW41" s="139"/>
      <c r="CXX41" s="139"/>
      <c r="CXY41" s="139"/>
      <c r="CXZ41" s="139"/>
      <c r="CYA41" s="139"/>
      <c r="CYB41" s="139"/>
      <c r="CYC41" s="139"/>
      <c r="CYD41" s="139"/>
      <c r="CYE41" s="139"/>
      <c r="CYF41" s="139"/>
      <c r="CYG41" s="139"/>
      <c r="CYH41" s="139"/>
      <c r="CYI41" s="139"/>
      <c r="CYJ41" s="139"/>
      <c r="CYK41" s="139"/>
      <c r="CYL41" s="139"/>
      <c r="CYM41" s="139"/>
      <c r="CYN41" s="139"/>
      <c r="CYO41" s="139"/>
      <c r="CYP41" s="139"/>
      <c r="CYQ41" s="139"/>
      <c r="CYR41" s="139"/>
      <c r="CYS41" s="139"/>
      <c r="CYT41" s="139"/>
      <c r="CYU41" s="139"/>
      <c r="CYV41" s="139"/>
      <c r="CYW41" s="139"/>
      <c r="CYX41" s="139"/>
      <c r="CYY41" s="139"/>
      <c r="CYZ41" s="139"/>
      <c r="CZA41" s="139"/>
      <c r="CZB41" s="139"/>
      <c r="CZC41" s="139"/>
      <c r="CZD41" s="139"/>
      <c r="CZE41" s="139"/>
      <c r="CZF41" s="139"/>
      <c r="CZG41" s="139"/>
      <c r="CZH41" s="139"/>
      <c r="CZI41" s="139"/>
      <c r="CZJ41" s="139"/>
      <c r="CZK41" s="139"/>
      <c r="CZL41" s="139"/>
      <c r="CZM41" s="139"/>
      <c r="CZN41" s="139"/>
      <c r="CZO41" s="139"/>
      <c r="CZP41" s="139"/>
      <c r="CZQ41" s="139"/>
      <c r="CZR41" s="139"/>
      <c r="CZS41" s="139"/>
      <c r="CZT41" s="139"/>
      <c r="CZU41" s="139"/>
      <c r="CZV41" s="139"/>
      <c r="CZW41" s="139"/>
      <c r="CZX41" s="139"/>
      <c r="CZY41" s="139"/>
      <c r="CZZ41" s="139"/>
      <c r="DAA41" s="139"/>
      <c r="DAB41" s="139"/>
      <c r="DAC41" s="139"/>
      <c r="DAD41" s="139"/>
      <c r="DAE41" s="139"/>
      <c r="DAF41" s="139"/>
      <c r="DAG41" s="139"/>
      <c r="DAH41" s="139"/>
      <c r="DAI41" s="139"/>
      <c r="DAJ41" s="139"/>
      <c r="DAK41" s="139"/>
      <c r="DAL41" s="139"/>
      <c r="DAM41" s="139"/>
      <c r="DAN41" s="139"/>
      <c r="DAO41" s="139"/>
      <c r="DAP41" s="139"/>
      <c r="DAQ41" s="139"/>
      <c r="DAR41" s="139"/>
      <c r="DAS41" s="139"/>
      <c r="DAT41" s="139"/>
      <c r="DAU41" s="139"/>
      <c r="DAV41" s="139"/>
      <c r="DAW41" s="139"/>
      <c r="DAX41" s="139"/>
      <c r="DAY41" s="139"/>
      <c r="DAZ41" s="139"/>
      <c r="DBA41" s="139"/>
      <c r="DBB41" s="139"/>
      <c r="DBC41" s="139"/>
      <c r="DBD41" s="139"/>
      <c r="DBE41" s="139"/>
      <c r="DBF41" s="139"/>
      <c r="DBG41" s="139"/>
      <c r="DBH41" s="139"/>
      <c r="DBI41" s="139"/>
      <c r="DBJ41" s="139"/>
      <c r="DBK41" s="139"/>
      <c r="DBL41" s="139"/>
      <c r="DBM41" s="139"/>
      <c r="DBN41" s="139"/>
      <c r="DBO41" s="139"/>
      <c r="DBP41" s="139"/>
      <c r="DBQ41" s="139"/>
      <c r="DBR41" s="139"/>
      <c r="DBS41" s="139"/>
      <c r="DBT41" s="139"/>
      <c r="DBU41" s="139"/>
      <c r="DBV41" s="139"/>
      <c r="DBW41" s="139"/>
      <c r="DBX41" s="139"/>
      <c r="DBY41" s="139"/>
      <c r="DBZ41" s="139"/>
      <c r="DCA41" s="139"/>
      <c r="DCB41" s="139"/>
      <c r="DCC41" s="139"/>
      <c r="DCD41" s="139"/>
      <c r="DCE41" s="139"/>
      <c r="DCF41" s="139"/>
      <c r="DCG41" s="139"/>
      <c r="DCH41" s="139"/>
      <c r="DCI41" s="139"/>
      <c r="DCJ41" s="139"/>
      <c r="DCK41" s="139"/>
      <c r="DCL41" s="139"/>
      <c r="DCM41" s="139"/>
      <c r="DCN41" s="139"/>
      <c r="DCO41" s="139"/>
      <c r="DCP41" s="139"/>
      <c r="DCQ41" s="139"/>
      <c r="DCR41" s="139"/>
      <c r="DCS41" s="139"/>
      <c r="DCT41" s="139"/>
      <c r="DCU41" s="139"/>
      <c r="DCV41" s="139"/>
      <c r="DCW41" s="139"/>
      <c r="DCX41" s="139"/>
      <c r="DCY41" s="139"/>
      <c r="DCZ41" s="139"/>
      <c r="DDA41" s="139"/>
      <c r="DDB41" s="139"/>
      <c r="DDC41" s="139"/>
      <c r="DDD41" s="139"/>
      <c r="DDE41" s="139"/>
      <c r="DDF41" s="139"/>
      <c r="DDG41" s="139"/>
      <c r="DDH41" s="139"/>
      <c r="DDI41" s="139"/>
      <c r="DDJ41" s="139"/>
      <c r="DDK41" s="139"/>
      <c r="DDL41" s="139"/>
      <c r="DDM41" s="139"/>
      <c r="DDN41" s="139"/>
      <c r="DDO41" s="139"/>
      <c r="DDP41" s="139"/>
      <c r="DDQ41" s="139"/>
      <c r="DDR41" s="139"/>
      <c r="DDS41" s="139"/>
      <c r="DDT41" s="139"/>
      <c r="DDU41" s="139"/>
      <c r="DDV41" s="139"/>
      <c r="DDW41" s="139"/>
      <c r="DDX41" s="139"/>
      <c r="DDY41" s="139"/>
      <c r="DDZ41" s="139"/>
      <c r="DEA41" s="139"/>
      <c r="DEB41" s="139"/>
      <c r="DEC41" s="139"/>
      <c r="DED41" s="139"/>
      <c r="DEE41" s="139"/>
      <c r="DEF41" s="139"/>
      <c r="DEG41" s="139"/>
      <c r="DEH41" s="139"/>
      <c r="DEI41" s="139"/>
      <c r="DEJ41" s="139"/>
      <c r="DEK41" s="139"/>
      <c r="DEL41" s="139"/>
      <c r="DEM41" s="139"/>
      <c r="DEN41" s="139"/>
      <c r="DEO41" s="139"/>
      <c r="DEP41" s="139"/>
      <c r="DEQ41" s="139"/>
      <c r="DER41" s="139"/>
      <c r="DES41" s="139"/>
      <c r="DET41" s="139"/>
      <c r="DEU41" s="139"/>
      <c r="DEV41" s="139"/>
      <c r="DEW41" s="139"/>
      <c r="DEX41" s="139"/>
      <c r="DEY41" s="139"/>
      <c r="DEZ41" s="139"/>
      <c r="DFA41" s="139"/>
      <c r="DFB41" s="139"/>
      <c r="DFC41" s="139"/>
      <c r="DFD41" s="139"/>
      <c r="DFE41" s="139"/>
      <c r="DFF41" s="139"/>
      <c r="DFG41" s="139"/>
      <c r="DFH41" s="139"/>
      <c r="DFI41" s="139"/>
      <c r="DFJ41" s="139"/>
      <c r="DFK41" s="139"/>
      <c r="DFL41" s="139"/>
      <c r="DFM41" s="139"/>
      <c r="DFN41" s="139"/>
      <c r="DFO41" s="139"/>
      <c r="DFP41" s="139"/>
      <c r="DFQ41" s="139"/>
      <c r="DFR41" s="139"/>
      <c r="DFS41" s="139"/>
      <c r="DFT41" s="139"/>
      <c r="DFU41" s="139"/>
      <c r="DFV41" s="139"/>
      <c r="DFW41" s="139"/>
      <c r="DFX41" s="139"/>
      <c r="DFY41" s="139"/>
      <c r="DFZ41" s="139"/>
      <c r="DGA41" s="139"/>
      <c r="DGB41" s="139"/>
      <c r="DGC41" s="139"/>
      <c r="DGD41" s="139"/>
      <c r="DGE41" s="139"/>
      <c r="DGF41" s="139"/>
      <c r="DGG41" s="139"/>
      <c r="DGH41" s="139"/>
      <c r="DGI41" s="139"/>
      <c r="DGJ41" s="139"/>
      <c r="DGK41" s="139"/>
      <c r="DGL41" s="139"/>
      <c r="DGM41" s="139"/>
      <c r="DGN41" s="139"/>
      <c r="DGO41" s="139"/>
      <c r="DGP41" s="139"/>
      <c r="DGQ41" s="139"/>
      <c r="DGR41" s="139"/>
      <c r="DGS41" s="139"/>
      <c r="DGT41" s="139"/>
      <c r="DGU41" s="139"/>
      <c r="DGV41" s="139"/>
      <c r="DGW41" s="139"/>
      <c r="DGX41" s="139"/>
      <c r="DGY41" s="139"/>
      <c r="DGZ41" s="139"/>
      <c r="DHA41" s="139"/>
      <c r="DHB41" s="139"/>
      <c r="DHC41" s="139"/>
      <c r="DHD41" s="139"/>
      <c r="DHE41" s="139"/>
      <c r="DHF41" s="139"/>
      <c r="DHG41" s="139"/>
      <c r="DHH41" s="139"/>
      <c r="DHI41" s="139"/>
      <c r="DHJ41" s="139"/>
      <c r="DHK41" s="139"/>
      <c r="DHL41" s="139"/>
      <c r="DHM41" s="139"/>
      <c r="DHN41" s="139"/>
      <c r="DHO41" s="139"/>
      <c r="DHP41" s="139"/>
      <c r="DHQ41" s="139"/>
      <c r="DHR41" s="139"/>
      <c r="DHS41" s="139"/>
      <c r="DHT41" s="139"/>
      <c r="DHU41" s="139"/>
      <c r="DHV41" s="139"/>
      <c r="DHW41" s="139"/>
      <c r="DHX41" s="139"/>
      <c r="DHY41" s="139"/>
      <c r="DHZ41" s="139"/>
      <c r="DIA41" s="139"/>
      <c r="DIB41" s="139"/>
      <c r="DIC41" s="139"/>
      <c r="DID41" s="139"/>
      <c r="DIE41" s="139"/>
      <c r="DIF41" s="139"/>
      <c r="DIG41" s="139"/>
      <c r="DIH41" s="139"/>
      <c r="DII41" s="139"/>
      <c r="DIJ41" s="139"/>
      <c r="DIK41" s="139"/>
      <c r="DIL41" s="139"/>
      <c r="DIM41" s="139"/>
      <c r="DIN41" s="139"/>
      <c r="DIO41" s="139"/>
      <c r="DIP41" s="139"/>
      <c r="DIQ41" s="139"/>
      <c r="DIR41" s="139"/>
      <c r="DIS41" s="139"/>
      <c r="DIT41" s="139"/>
      <c r="DIU41" s="139"/>
      <c r="DIV41" s="139"/>
      <c r="DIW41" s="139"/>
      <c r="DIX41" s="139"/>
      <c r="DIY41" s="139"/>
      <c r="DIZ41" s="139"/>
      <c r="DJA41" s="139"/>
      <c r="DJB41" s="139"/>
      <c r="DJC41" s="139"/>
      <c r="DJD41" s="139"/>
      <c r="DJE41" s="139"/>
      <c r="DJF41" s="139"/>
      <c r="DJG41" s="139"/>
      <c r="DJH41" s="139"/>
      <c r="DJI41" s="139"/>
      <c r="DJJ41" s="139"/>
      <c r="DJK41" s="139"/>
      <c r="DJL41" s="139"/>
      <c r="DJM41" s="139"/>
      <c r="DJN41" s="139"/>
      <c r="DJO41" s="139"/>
      <c r="DJP41" s="139"/>
      <c r="DJQ41" s="139"/>
      <c r="DJR41" s="139"/>
      <c r="DJS41" s="139"/>
      <c r="DJT41" s="139"/>
      <c r="DJU41" s="139"/>
      <c r="DJV41" s="139"/>
      <c r="DJW41" s="139"/>
      <c r="DJX41" s="139"/>
      <c r="DJY41" s="139"/>
      <c r="DJZ41" s="139"/>
      <c r="DKA41" s="139"/>
      <c r="DKB41" s="139"/>
      <c r="DKC41" s="139"/>
      <c r="DKD41" s="139"/>
      <c r="DKE41" s="139"/>
      <c r="DKF41" s="139"/>
      <c r="DKG41" s="139"/>
      <c r="DKH41" s="139"/>
      <c r="DKI41" s="139"/>
      <c r="DKJ41" s="139"/>
      <c r="DKK41" s="139"/>
      <c r="DKL41" s="139"/>
      <c r="DKM41" s="139"/>
      <c r="DKN41" s="139"/>
      <c r="DKO41" s="139"/>
      <c r="DKP41" s="139"/>
      <c r="DKQ41" s="139"/>
      <c r="DKR41" s="139"/>
      <c r="DKS41" s="139"/>
      <c r="DKT41" s="139"/>
      <c r="DKU41" s="139"/>
      <c r="DKV41" s="139"/>
      <c r="DKW41" s="139"/>
      <c r="DKX41" s="139"/>
      <c r="DKY41" s="139"/>
      <c r="DKZ41" s="139"/>
      <c r="DLA41" s="139"/>
      <c r="DLB41" s="139"/>
      <c r="DLC41" s="139"/>
      <c r="DLD41" s="139"/>
      <c r="DLE41" s="139"/>
      <c r="DLF41" s="139"/>
      <c r="DLG41" s="139"/>
      <c r="DLH41" s="139"/>
      <c r="DLI41" s="139"/>
      <c r="DLJ41" s="139"/>
      <c r="DLK41" s="139"/>
      <c r="DLL41" s="139"/>
      <c r="DLM41" s="139"/>
      <c r="DLN41" s="139"/>
      <c r="DLO41" s="139"/>
      <c r="DLP41" s="139"/>
      <c r="DLQ41" s="139"/>
      <c r="DLR41" s="139"/>
      <c r="DLS41" s="139"/>
      <c r="DLT41" s="139"/>
      <c r="DLU41" s="139"/>
      <c r="DLV41" s="139"/>
      <c r="DLW41" s="139"/>
      <c r="DLX41" s="139"/>
      <c r="DLY41" s="139"/>
      <c r="DLZ41" s="139"/>
      <c r="DMA41" s="139"/>
      <c r="DMB41" s="139"/>
      <c r="DMC41" s="139"/>
      <c r="DMD41" s="139"/>
      <c r="DME41" s="139"/>
      <c r="DMF41" s="139"/>
      <c r="DMG41" s="139"/>
      <c r="DMH41" s="139"/>
      <c r="DMI41" s="139"/>
      <c r="DMJ41" s="139"/>
      <c r="DMK41" s="139"/>
      <c r="DML41" s="139"/>
      <c r="DMM41" s="139"/>
      <c r="DMN41" s="139"/>
      <c r="DMO41" s="139"/>
      <c r="DMP41" s="139"/>
      <c r="DMQ41" s="139"/>
      <c r="DMR41" s="139"/>
      <c r="DMS41" s="139"/>
      <c r="DMT41" s="139"/>
      <c r="DMU41" s="139"/>
      <c r="DMV41" s="139"/>
      <c r="DMW41" s="139"/>
      <c r="DMX41" s="139"/>
      <c r="DMY41" s="139"/>
      <c r="DMZ41" s="139"/>
      <c r="DNA41" s="139"/>
      <c r="DNB41" s="139"/>
      <c r="DNC41" s="139"/>
      <c r="DND41" s="139"/>
      <c r="DNE41" s="139"/>
      <c r="DNF41" s="139"/>
      <c r="DNG41" s="139"/>
      <c r="DNH41" s="139"/>
      <c r="DNI41" s="139"/>
      <c r="DNJ41" s="139"/>
      <c r="DNK41" s="139"/>
      <c r="DNL41" s="139"/>
      <c r="DNM41" s="139"/>
      <c r="DNN41" s="139"/>
      <c r="DNO41" s="139"/>
      <c r="DNP41" s="139"/>
      <c r="DNQ41" s="139"/>
      <c r="DNR41" s="139"/>
      <c r="DNS41" s="139"/>
      <c r="DNT41" s="139"/>
      <c r="DNU41" s="139"/>
      <c r="DNV41" s="139"/>
      <c r="DNW41" s="139"/>
      <c r="DNX41" s="139"/>
      <c r="DNY41" s="139"/>
      <c r="DNZ41" s="139"/>
      <c r="DOA41" s="139"/>
      <c r="DOB41" s="139"/>
      <c r="DOC41" s="139"/>
      <c r="DOD41" s="139"/>
      <c r="DOE41" s="139"/>
      <c r="DOF41" s="139"/>
      <c r="DOG41" s="139"/>
      <c r="DOH41" s="139"/>
      <c r="DOI41" s="139"/>
      <c r="DOJ41" s="139"/>
      <c r="DOK41" s="139"/>
      <c r="DOL41" s="139"/>
      <c r="DOM41" s="139"/>
      <c r="DON41" s="139"/>
      <c r="DOO41" s="139"/>
      <c r="DOP41" s="139"/>
      <c r="DOQ41" s="139"/>
      <c r="DOR41" s="139"/>
      <c r="DOS41" s="139"/>
      <c r="DOT41" s="139"/>
      <c r="DOU41" s="139"/>
      <c r="DOV41" s="139"/>
      <c r="DOW41" s="139"/>
      <c r="DOX41" s="139"/>
      <c r="DOY41" s="139"/>
      <c r="DOZ41" s="139"/>
      <c r="DPA41" s="139"/>
      <c r="DPB41" s="139"/>
      <c r="DPC41" s="139"/>
      <c r="DPD41" s="139"/>
      <c r="DPE41" s="139"/>
      <c r="DPF41" s="139"/>
      <c r="DPG41" s="139"/>
      <c r="DPH41" s="139"/>
      <c r="DPI41" s="139"/>
      <c r="DPJ41" s="139"/>
      <c r="DPK41" s="139"/>
      <c r="DPL41" s="139"/>
      <c r="DPM41" s="139"/>
      <c r="DPN41" s="139"/>
      <c r="DPO41" s="139"/>
      <c r="DPP41" s="139"/>
      <c r="DPQ41" s="139"/>
      <c r="DPR41" s="139"/>
      <c r="DPS41" s="139"/>
      <c r="DPT41" s="139"/>
      <c r="DPU41" s="139"/>
      <c r="DPV41" s="139"/>
      <c r="DPW41" s="139"/>
      <c r="DPX41" s="139"/>
      <c r="DPY41" s="139"/>
      <c r="DPZ41" s="139"/>
      <c r="DQA41" s="139"/>
      <c r="DQB41" s="139"/>
      <c r="DQC41" s="139"/>
      <c r="DQD41" s="139"/>
      <c r="DQE41" s="139"/>
      <c r="DQF41" s="139"/>
      <c r="DQG41" s="139"/>
      <c r="DQH41" s="139"/>
      <c r="DQI41" s="139"/>
      <c r="DQJ41" s="139"/>
      <c r="DQK41" s="139"/>
      <c r="DQL41" s="139"/>
      <c r="DQM41" s="139"/>
      <c r="DQN41" s="139"/>
      <c r="DQO41" s="139"/>
      <c r="DQP41" s="139"/>
      <c r="DQQ41" s="139"/>
      <c r="DQR41" s="139"/>
      <c r="DQS41" s="139"/>
      <c r="DQT41" s="139"/>
      <c r="DQU41" s="139"/>
      <c r="DQV41" s="139"/>
      <c r="DQW41" s="139"/>
      <c r="DQX41" s="139"/>
      <c r="DQY41" s="139"/>
      <c r="DQZ41" s="139"/>
      <c r="DRA41" s="139"/>
      <c r="DRB41" s="139"/>
      <c r="DRC41" s="139"/>
      <c r="DRD41" s="139"/>
      <c r="DRE41" s="139"/>
      <c r="DRF41" s="139"/>
      <c r="DRG41" s="139"/>
      <c r="DRH41" s="139"/>
      <c r="DRI41" s="139"/>
      <c r="DRJ41" s="139"/>
      <c r="DRK41" s="139"/>
      <c r="DRL41" s="139"/>
      <c r="DRM41" s="139"/>
      <c r="DRN41" s="139"/>
      <c r="DRO41" s="139"/>
      <c r="DRP41" s="139"/>
      <c r="DRQ41" s="139"/>
      <c r="DRR41" s="139"/>
      <c r="DRS41" s="139"/>
      <c r="DRT41" s="139"/>
      <c r="DRU41" s="139"/>
      <c r="DRV41" s="139"/>
      <c r="DRW41" s="139"/>
      <c r="DRX41" s="139"/>
      <c r="DRY41" s="139"/>
      <c r="DRZ41" s="139"/>
      <c r="DSA41" s="139"/>
      <c r="DSB41" s="139"/>
      <c r="DSC41" s="139"/>
      <c r="DSD41" s="139"/>
      <c r="DSE41" s="139"/>
      <c r="DSF41" s="139"/>
      <c r="DSG41" s="139"/>
      <c r="DSH41" s="139"/>
      <c r="DSI41" s="139"/>
      <c r="DSJ41" s="139"/>
      <c r="DSK41" s="139"/>
      <c r="DSL41" s="139"/>
      <c r="DSM41" s="139"/>
      <c r="DSN41" s="139"/>
      <c r="DSO41" s="139"/>
      <c r="DSP41" s="139"/>
      <c r="DSQ41" s="139"/>
      <c r="DSR41" s="139"/>
      <c r="DSS41" s="139"/>
      <c r="DST41" s="139"/>
      <c r="DSU41" s="139"/>
      <c r="DSV41" s="139"/>
      <c r="DSW41" s="139"/>
      <c r="DSX41" s="139"/>
      <c r="DSY41" s="139"/>
      <c r="DSZ41" s="139"/>
      <c r="DTA41" s="139"/>
      <c r="DTB41" s="139"/>
      <c r="DTC41" s="139"/>
      <c r="DTD41" s="139"/>
      <c r="DTE41" s="139"/>
      <c r="DTF41" s="139"/>
      <c r="DTG41" s="139"/>
      <c r="DTH41" s="139"/>
      <c r="DTI41" s="139"/>
      <c r="DTJ41" s="139"/>
      <c r="DTK41" s="139"/>
      <c r="DTL41" s="139"/>
      <c r="DTM41" s="139"/>
      <c r="DTN41" s="139"/>
      <c r="DTO41" s="139"/>
      <c r="DTP41" s="139"/>
      <c r="DTQ41" s="139"/>
      <c r="DTR41" s="139"/>
      <c r="DTS41" s="139"/>
      <c r="DTT41" s="139"/>
      <c r="DTU41" s="139"/>
      <c r="DTV41" s="139"/>
      <c r="DTW41" s="139"/>
      <c r="DTX41" s="139"/>
      <c r="DTY41" s="139"/>
      <c r="DTZ41" s="139"/>
      <c r="DUA41" s="139"/>
      <c r="DUB41" s="139"/>
      <c r="DUC41" s="139"/>
      <c r="DUD41" s="139"/>
      <c r="DUE41" s="139"/>
      <c r="DUF41" s="139"/>
      <c r="DUG41" s="139"/>
      <c r="DUH41" s="139"/>
      <c r="DUI41" s="139"/>
      <c r="DUJ41" s="139"/>
      <c r="DUK41" s="139"/>
      <c r="DUL41" s="139"/>
      <c r="DUM41" s="139"/>
      <c r="DUN41" s="139"/>
      <c r="DUO41" s="139"/>
      <c r="DUP41" s="139"/>
      <c r="DUQ41" s="139"/>
      <c r="DUR41" s="139"/>
      <c r="DUS41" s="139"/>
      <c r="DUT41" s="139"/>
      <c r="DUU41" s="139"/>
      <c r="DUV41" s="139"/>
      <c r="DUW41" s="139"/>
      <c r="DUX41" s="139"/>
      <c r="DUY41" s="139"/>
      <c r="DUZ41" s="139"/>
      <c r="DVA41" s="139"/>
      <c r="DVB41" s="139"/>
      <c r="DVC41" s="139"/>
      <c r="DVD41" s="139"/>
      <c r="DVE41" s="139"/>
      <c r="DVF41" s="139"/>
      <c r="DVG41" s="139"/>
      <c r="DVH41" s="139"/>
      <c r="DVI41" s="139"/>
      <c r="DVJ41" s="139"/>
      <c r="DVK41" s="139"/>
      <c r="DVL41" s="139"/>
      <c r="DVM41" s="139"/>
      <c r="DVN41" s="139"/>
      <c r="DVO41" s="139"/>
      <c r="DVP41" s="139"/>
      <c r="DVQ41" s="139"/>
      <c r="DVR41" s="139"/>
      <c r="DVS41" s="139"/>
      <c r="DVT41" s="139"/>
      <c r="DVU41" s="139"/>
      <c r="DVV41" s="139"/>
      <c r="DVW41" s="139"/>
      <c r="DVX41" s="139"/>
      <c r="DVY41" s="139"/>
      <c r="DVZ41" s="139"/>
      <c r="DWA41" s="139"/>
      <c r="DWB41" s="139"/>
      <c r="DWC41" s="139"/>
      <c r="DWD41" s="139"/>
      <c r="DWE41" s="139"/>
      <c r="DWF41" s="139"/>
      <c r="DWG41" s="139"/>
      <c r="DWH41" s="139"/>
      <c r="DWI41" s="139"/>
      <c r="DWJ41" s="139"/>
      <c r="DWK41" s="139"/>
      <c r="DWL41" s="139"/>
      <c r="DWM41" s="139"/>
      <c r="DWN41" s="139"/>
      <c r="DWO41" s="139"/>
      <c r="DWP41" s="139"/>
      <c r="DWQ41" s="139"/>
      <c r="DWR41" s="139"/>
      <c r="DWS41" s="139"/>
      <c r="DWT41" s="139"/>
      <c r="DWU41" s="139"/>
      <c r="DWV41" s="139"/>
      <c r="DWW41" s="139"/>
      <c r="DWX41" s="139"/>
      <c r="DWY41" s="139"/>
      <c r="DWZ41" s="139"/>
      <c r="DXA41" s="139"/>
      <c r="DXB41" s="139"/>
      <c r="DXC41" s="139"/>
      <c r="DXD41" s="139"/>
      <c r="DXE41" s="139"/>
      <c r="DXF41" s="139"/>
      <c r="DXG41" s="139"/>
      <c r="DXH41" s="139"/>
      <c r="DXI41" s="139"/>
      <c r="DXJ41" s="139"/>
      <c r="DXK41" s="139"/>
      <c r="DXL41" s="139"/>
      <c r="DXM41" s="139"/>
      <c r="DXN41" s="139"/>
      <c r="DXO41" s="139"/>
      <c r="DXP41" s="139"/>
      <c r="DXQ41" s="139"/>
      <c r="DXR41" s="139"/>
      <c r="DXS41" s="139"/>
      <c r="DXT41" s="139"/>
      <c r="DXU41" s="139"/>
      <c r="DXV41" s="139"/>
      <c r="DXW41" s="139"/>
      <c r="DXX41" s="139"/>
      <c r="DXY41" s="139"/>
      <c r="DXZ41" s="139"/>
      <c r="DYA41" s="139"/>
      <c r="DYB41" s="139"/>
      <c r="DYC41" s="139"/>
      <c r="DYD41" s="139"/>
      <c r="DYE41" s="139"/>
      <c r="DYF41" s="139"/>
      <c r="DYG41" s="139"/>
      <c r="DYH41" s="139"/>
      <c r="DYI41" s="139"/>
      <c r="DYJ41" s="139"/>
      <c r="DYK41" s="139"/>
      <c r="DYL41" s="139"/>
      <c r="DYM41" s="139"/>
      <c r="DYN41" s="139"/>
      <c r="DYO41" s="139"/>
      <c r="DYP41" s="139"/>
      <c r="DYQ41" s="139"/>
      <c r="DYR41" s="139"/>
      <c r="DYS41" s="139"/>
      <c r="DYT41" s="139"/>
      <c r="DYU41" s="139"/>
      <c r="DYV41" s="139"/>
      <c r="DYW41" s="139"/>
      <c r="DYX41" s="139"/>
      <c r="DYY41" s="139"/>
      <c r="DYZ41" s="139"/>
      <c r="DZA41" s="139"/>
      <c r="DZB41" s="139"/>
      <c r="DZC41" s="139"/>
      <c r="DZD41" s="139"/>
      <c r="DZE41" s="139"/>
      <c r="DZF41" s="139"/>
      <c r="DZG41" s="139"/>
      <c r="DZH41" s="139"/>
      <c r="DZI41" s="139"/>
      <c r="DZJ41" s="139"/>
      <c r="DZK41" s="139"/>
      <c r="DZL41" s="139"/>
      <c r="DZM41" s="139"/>
      <c r="DZN41" s="139"/>
      <c r="DZO41" s="139"/>
      <c r="DZP41" s="139"/>
      <c r="DZQ41" s="139"/>
      <c r="DZR41" s="139"/>
      <c r="DZS41" s="139"/>
      <c r="DZT41" s="139"/>
      <c r="DZU41" s="139"/>
      <c r="DZV41" s="139"/>
      <c r="DZW41" s="139"/>
      <c r="DZX41" s="139"/>
      <c r="DZY41" s="139"/>
      <c r="DZZ41" s="139"/>
      <c r="EAA41" s="139"/>
      <c r="EAB41" s="139"/>
      <c r="EAC41" s="139"/>
      <c r="EAD41" s="139"/>
      <c r="EAE41" s="139"/>
      <c r="EAF41" s="139"/>
      <c r="EAG41" s="139"/>
      <c r="EAH41" s="139"/>
      <c r="EAI41" s="139"/>
      <c r="EAJ41" s="139"/>
      <c r="EAK41" s="139"/>
      <c r="EAL41" s="139"/>
      <c r="EAM41" s="139"/>
      <c r="EAN41" s="139"/>
      <c r="EAO41" s="139"/>
      <c r="EAP41" s="139"/>
      <c r="EAQ41" s="139"/>
      <c r="EAR41" s="139"/>
      <c r="EAS41" s="139"/>
      <c r="EAT41" s="139"/>
      <c r="EAU41" s="139"/>
      <c r="EAV41" s="139"/>
      <c r="EAW41" s="139"/>
      <c r="EAX41" s="139"/>
      <c r="EAY41" s="139"/>
      <c r="EAZ41" s="139"/>
      <c r="EBA41" s="139"/>
      <c r="EBB41" s="139"/>
      <c r="EBC41" s="139"/>
      <c r="EBD41" s="139"/>
      <c r="EBE41" s="139"/>
      <c r="EBF41" s="139"/>
      <c r="EBG41" s="139"/>
      <c r="EBH41" s="139"/>
      <c r="EBI41" s="139"/>
      <c r="EBJ41" s="139"/>
      <c r="EBK41" s="139"/>
      <c r="EBL41" s="139"/>
      <c r="EBM41" s="139"/>
      <c r="EBN41" s="139"/>
      <c r="EBO41" s="139"/>
      <c r="EBP41" s="139"/>
      <c r="EBQ41" s="139"/>
      <c r="EBR41" s="139"/>
      <c r="EBS41" s="139"/>
      <c r="EBT41" s="139"/>
      <c r="EBU41" s="139"/>
      <c r="EBV41" s="139"/>
      <c r="EBW41" s="139"/>
      <c r="EBX41" s="139"/>
      <c r="EBY41" s="139"/>
      <c r="EBZ41" s="139"/>
      <c r="ECA41" s="139"/>
      <c r="ECB41" s="139"/>
      <c r="ECC41" s="139"/>
      <c r="ECD41" s="139"/>
      <c r="ECE41" s="139"/>
      <c r="ECF41" s="139"/>
      <c r="ECG41" s="139"/>
      <c r="ECH41" s="139"/>
      <c r="ECI41" s="139"/>
      <c r="ECJ41" s="139"/>
      <c r="ECK41" s="139"/>
      <c r="ECL41" s="139"/>
      <c r="ECM41" s="139"/>
      <c r="ECN41" s="139"/>
      <c r="ECO41" s="139"/>
      <c r="ECP41" s="139"/>
      <c r="ECQ41" s="139"/>
      <c r="ECR41" s="139"/>
      <c r="ECS41" s="139"/>
      <c r="ECT41" s="139"/>
      <c r="ECU41" s="139"/>
      <c r="ECV41" s="139"/>
      <c r="ECW41" s="139"/>
      <c r="ECX41" s="139"/>
      <c r="ECY41" s="139"/>
      <c r="ECZ41" s="139"/>
      <c r="EDA41" s="139"/>
      <c r="EDB41" s="139"/>
      <c r="EDC41" s="139"/>
      <c r="EDD41" s="139"/>
      <c r="EDE41" s="139"/>
      <c r="EDF41" s="139"/>
      <c r="EDG41" s="139"/>
      <c r="EDH41" s="139"/>
      <c r="EDI41" s="139"/>
      <c r="EDJ41" s="139"/>
      <c r="EDK41" s="139"/>
      <c r="EDL41" s="139"/>
      <c r="EDM41" s="139"/>
      <c r="EDN41" s="139"/>
      <c r="EDO41" s="139"/>
      <c r="EDP41" s="139"/>
      <c r="EDQ41" s="139"/>
      <c r="EDR41" s="139"/>
      <c r="EDS41" s="139"/>
      <c r="EDT41" s="139"/>
      <c r="EDU41" s="139"/>
      <c r="EDV41" s="139"/>
      <c r="EDW41" s="139"/>
      <c r="EDX41" s="139"/>
      <c r="EDY41" s="139"/>
      <c r="EDZ41" s="139"/>
      <c r="EEA41" s="139"/>
      <c r="EEB41" s="139"/>
      <c r="EEC41" s="139"/>
      <c r="EED41" s="139"/>
      <c r="EEE41" s="139"/>
      <c r="EEF41" s="139"/>
      <c r="EEG41" s="139"/>
      <c r="EEH41" s="139"/>
      <c r="EEI41" s="139"/>
      <c r="EEJ41" s="139"/>
      <c r="EEK41" s="139"/>
      <c r="EEL41" s="139"/>
      <c r="EEM41" s="139"/>
      <c r="EEN41" s="139"/>
      <c r="EEO41" s="139"/>
      <c r="EEP41" s="139"/>
      <c r="EEQ41" s="139"/>
      <c r="EER41" s="139"/>
      <c r="EES41" s="139"/>
      <c r="EET41" s="139"/>
      <c r="EEU41" s="139"/>
      <c r="EEV41" s="139"/>
      <c r="EEW41" s="139"/>
      <c r="EEX41" s="139"/>
      <c r="EEY41" s="139"/>
      <c r="EEZ41" s="139"/>
      <c r="EFA41" s="139"/>
      <c r="EFB41" s="139"/>
      <c r="EFC41" s="139"/>
      <c r="EFD41" s="139"/>
      <c r="EFE41" s="139"/>
      <c r="EFF41" s="139"/>
      <c r="EFG41" s="139"/>
      <c r="EFH41" s="139"/>
      <c r="EFI41" s="139"/>
      <c r="EFJ41" s="139"/>
      <c r="EFK41" s="139"/>
      <c r="EFL41" s="139"/>
      <c r="EFM41" s="139"/>
      <c r="EFN41" s="139"/>
      <c r="EFO41" s="139"/>
      <c r="EFP41" s="139"/>
      <c r="EFQ41" s="139"/>
      <c r="EFR41" s="139"/>
      <c r="EFS41" s="139"/>
      <c r="EFT41" s="139"/>
      <c r="EFU41" s="139"/>
      <c r="EFV41" s="139"/>
      <c r="EFW41" s="139"/>
      <c r="EFX41" s="139"/>
      <c r="EFY41" s="139"/>
      <c r="EFZ41" s="139"/>
      <c r="EGA41" s="139"/>
      <c r="EGB41" s="139"/>
      <c r="EGC41" s="139"/>
      <c r="EGD41" s="139"/>
      <c r="EGE41" s="139"/>
      <c r="EGF41" s="139"/>
      <c r="EGG41" s="139"/>
      <c r="EGH41" s="139"/>
      <c r="EGI41" s="139"/>
      <c r="EGJ41" s="139"/>
      <c r="EGK41" s="139"/>
      <c r="EGL41" s="139"/>
      <c r="EGM41" s="139"/>
      <c r="EGN41" s="139"/>
      <c r="EGO41" s="139"/>
      <c r="EGP41" s="139"/>
      <c r="EGQ41" s="139"/>
      <c r="EGR41" s="139"/>
      <c r="EGS41" s="139"/>
      <c r="EGT41" s="139"/>
      <c r="EGU41" s="139"/>
      <c r="EGV41" s="139"/>
      <c r="EGW41" s="139"/>
      <c r="EGX41" s="139"/>
      <c r="EGY41" s="139"/>
      <c r="EGZ41" s="139"/>
      <c r="EHA41" s="139"/>
      <c r="EHB41" s="139"/>
      <c r="EHC41" s="139"/>
      <c r="EHD41" s="139"/>
      <c r="EHE41" s="139"/>
      <c r="EHF41" s="139"/>
      <c r="EHG41" s="139"/>
      <c r="EHH41" s="139"/>
      <c r="EHI41" s="139"/>
      <c r="EHJ41" s="139"/>
      <c r="EHK41" s="139"/>
      <c r="EHL41" s="139"/>
      <c r="EHM41" s="139"/>
      <c r="EHN41" s="139"/>
      <c r="EHO41" s="139"/>
      <c r="EHP41" s="139"/>
      <c r="EHQ41" s="139"/>
      <c r="EHR41" s="139"/>
      <c r="EHS41" s="139"/>
      <c r="EHT41" s="139"/>
      <c r="EHU41" s="139"/>
      <c r="EHV41" s="139"/>
      <c r="EHW41" s="139"/>
      <c r="EHX41" s="139"/>
      <c r="EHY41" s="139"/>
      <c r="EHZ41" s="139"/>
      <c r="EIA41" s="139"/>
      <c r="EIB41" s="139"/>
      <c r="EIC41" s="139"/>
      <c r="EID41" s="139"/>
      <c r="EIE41" s="139"/>
      <c r="EIF41" s="139"/>
      <c r="EIG41" s="139"/>
      <c r="EIH41" s="139"/>
      <c r="EII41" s="139"/>
      <c r="EIJ41" s="139"/>
      <c r="EIK41" s="139"/>
      <c r="EIL41" s="139"/>
      <c r="EIM41" s="139"/>
      <c r="EIN41" s="139"/>
      <c r="EIO41" s="139"/>
      <c r="EIP41" s="139"/>
      <c r="EIQ41" s="139"/>
      <c r="EIR41" s="139"/>
      <c r="EIS41" s="139"/>
      <c r="EIT41" s="139"/>
      <c r="EIU41" s="139"/>
      <c r="EIV41" s="139"/>
      <c r="EIW41" s="139"/>
      <c r="EIX41" s="139"/>
      <c r="EIY41" s="139"/>
      <c r="EIZ41" s="139"/>
      <c r="EJA41" s="139"/>
      <c r="EJB41" s="139"/>
      <c r="EJC41" s="139"/>
      <c r="EJD41" s="139"/>
      <c r="EJE41" s="139"/>
      <c r="EJF41" s="139"/>
      <c r="EJG41" s="139"/>
      <c r="EJH41" s="139"/>
      <c r="EJI41" s="139"/>
      <c r="EJJ41" s="139"/>
      <c r="EJK41" s="139"/>
      <c r="EJL41" s="139"/>
      <c r="EJM41" s="139"/>
      <c r="EJN41" s="139"/>
      <c r="EJO41" s="139"/>
      <c r="EJP41" s="139"/>
      <c r="EJQ41" s="139"/>
      <c r="EJR41" s="139"/>
      <c r="EJS41" s="139"/>
      <c r="EJT41" s="139"/>
      <c r="EJU41" s="139"/>
      <c r="EJV41" s="139"/>
      <c r="EJW41" s="139"/>
      <c r="EJX41" s="139"/>
      <c r="EJY41" s="139"/>
      <c r="EJZ41" s="139"/>
      <c r="EKA41" s="139"/>
      <c r="EKB41" s="139"/>
      <c r="EKC41" s="139"/>
      <c r="EKD41" s="139"/>
      <c r="EKE41" s="139"/>
      <c r="EKF41" s="139"/>
      <c r="EKG41" s="139"/>
      <c r="EKH41" s="139"/>
      <c r="EKI41" s="139"/>
      <c r="EKJ41" s="139"/>
      <c r="EKK41" s="139"/>
      <c r="EKL41" s="139"/>
      <c r="EKM41" s="139"/>
      <c r="EKN41" s="139"/>
      <c r="EKO41" s="139"/>
      <c r="EKP41" s="139"/>
      <c r="EKQ41" s="139"/>
      <c r="EKR41" s="139"/>
      <c r="EKS41" s="139"/>
      <c r="EKT41" s="139"/>
      <c r="EKU41" s="139"/>
      <c r="EKV41" s="139"/>
      <c r="EKW41" s="139"/>
      <c r="EKX41" s="139"/>
      <c r="EKY41" s="139"/>
      <c r="EKZ41" s="139"/>
      <c r="ELA41" s="139"/>
      <c r="ELB41" s="139"/>
      <c r="ELC41" s="139"/>
      <c r="ELD41" s="139"/>
      <c r="ELE41" s="139"/>
      <c r="ELF41" s="139"/>
      <c r="ELG41" s="139"/>
      <c r="ELH41" s="139"/>
      <c r="ELI41" s="139"/>
      <c r="ELJ41" s="139"/>
      <c r="ELK41" s="139"/>
      <c r="ELL41" s="139"/>
      <c r="ELM41" s="139"/>
      <c r="ELN41" s="139"/>
      <c r="ELO41" s="139"/>
      <c r="ELP41" s="139"/>
      <c r="ELQ41" s="139"/>
      <c r="ELR41" s="139"/>
      <c r="ELS41" s="139"/>
      <c r="ELT41" s="139"/>
      <c r="ELU41" s="139"/>
      <c r="ELV41" s="139"/>
      <c r="ELW41" s="139"/>
      <c r="ELX41" s="139"/>
      <c r="ELY41" s="139"/>
      <c r="ELZ41" s="139"/>
      <c r="EMA41" s="139"/>
      <c r="EMB41" s="139"/>
      <c r="EMC41" s="139"/>
      <c r="EMD41" s="139"/>
      <c r="EME41" s="139"/>
      <c r="EMF41" s="139"/>
      <c r="EMG41" s="139"/>
      <c r="EMH41" s="139"/>
      <c r="EMI41" s="139"/>
      <c r="EMJ41" s="139"/>
      <c r="EMK41" s="139"/>
      <c r="EML41" s="139"/>
      <c r="EMM41" s="139"/>
      <c r="EMN41" s="139"/>
      <c r="EMO41" s="139"/>
      <c r="EMP41" s="139"/>
      <c r="EMQ41" s="139"/>
      <c r="EMR41" s="139"/>
      <c r="EMS41" s="139"/>
      <c r="EMT41" s="139"/>
      <c r="EMU41" s="139"/>
      <c r="EMV41" s="139"/>
      <c r="EMW41" s="139"/>
      <c r="EMX41" s="139"/>
      <c r="EMY41" s="139"/>
      <c r="EMZ41" s="139"/>
      <c r="ENA41" s="139"/>
      <c r="ENB41" s="139"/>
      <c r="ENC41" s="139"/>
      <c r="END41" s="139"/>
      <c r="ENE41" s="139"/>
      <c r="ENF41" s="139"/>
      <c r="ENG41" s="139"/>
      <c r="ENH41" s="139"/>
      <c r="ENI41" s="139"/>
      <c r="ENJ41" s="139"/>
      <c r="ENK41" s="139"/>
      <c r="ENL41" s="139"/>
      <c r="ENM41" s="139"/>
      <c r="ENN41" s="139"/>
      <c r="ENO41" s="139"/>
      <c r="ENP41" s="139"/>
      <c r="ENQ41" s="139"/>
      <c r="ENR41" s="139"/>
      <c r="ENS41" s="139"/>
      <c r="ENT41" s="139"/>
      <c r="ENU41" s="139"/>
      <c r="ENV41" s="139"/>
      <c r="ENW41" s="139"/>
      <c r="ENX41" s="139"/>
      <c r="ENY41" s="139"/>
      <c r="ENZ41" s="139"/>
      <c r="EOA41" s="139"/>
      <c r="EOB41" s="139"/>
      <c r="EOC41" s="139"/>
      <c r="EOD41" s="139"/>
      <c r="EOE41" s="139"/>
      <c r="EOF41" s="139"/>
      <c r="EOG41" s="139"/>
      <c r="EOH41" s="139"/>
      <c r="EOI41" s="139"/>
      <c r="EOJ41" s="139"/>
      <c r="EOK41" s="139"/>
      <c r="EOL41" s="139"/>
      <c r="EOM41" s="139"/>
      <c r="EON41" s="139"/>
      <c r="EOO41" s="139"/>
      <c r="EOP41" s="139"/>
      <c r="EOQ41" s="139"/>
      <c r="EOR41" s="139"/>
      <c r="EOS41" s="139"/>
      <c r="EOT41" s="139"/>
      <c r="EOU41" s="139"/>
      <c r="EOV41" s="139"/>
      <c r="EOW41" s="139"/>
      <c r="EOX41" s="139"/>
      <c r="EOY41" s="139"/>
      <c r="EOZ41" s="139"/>
      <c r="EPA41" s="139"/>
      <c r="EPB41" s="139"/>
      <c r="EPC41" s="139"/>
      <c r="EPD41" s="139"/>
      <c r="EPE41" s="139"/>
      <c r="EPF41" s="139"/>
      <c r="EPG41" s="139"/>
      <c r="EPH41" s="139"/>
      <c r="EPI41" s="139"/>
      <c r="EPJ41" s="139"/>
      <c r="EPK41" s="139"/>
      <c r="EPL41" s="139"/>
      <c r="EPM41" s="139"/>
      <c r="EPN41" s="139"/>
      <c r="EPO41" s="139"/>
      <c r="EPP41" s="139"/>
      <c r="EPQ41" s="139"/>
      <c r="EPR41" s="139"/>
      <c r="EPS41" s="139"/>
      <c r="EPT41" s="139"/>
      <c r="EPU41" s="139"/>
      <c r="EPV41" s="139"/>
      <c r="EPW41" s="139"/>
      <c r="EPX41" s="139"/>
      <c r="EPY41" s="139"/>
      <c r="EPZ41" s="139"/>
      <c r="EQA41" s="139"/>
      <c r="EQB41" s="139"/>
      <c r="EQC41" s="139"/>
      <c r="EQD41" s="139"/>
      <c r="EQE41" s="139"/>
      <c r="EQF41" s="139"/>
      <c r="EQG41" s="139"/>
      <c r="EQH41" s="139"/>
      <c r="EQI41" s="139"/>
      <c r="EQJ41" s="139"/>
      <c r="EQK41" s="139"/>
      <c r="EQL41" s="139"/>
      <c r="EQM41" s="139"/>
      <c r="EQN41" s="139"/>
      <c r="EQO41" s="139"/>
      <c r="EQP41" s="139"/>
      <c r="EQQ41" s="139"/>
      <c r="EQR41" s="139"/>
      <c r="EQS41" s="139"/>
      <c r="EQT41" s="139"/>
      <c r="EQU41" s="139"/>
      <c r="EQV41" s="139"/>
      <c r="EQW41" s="139"/>
      <c r="EQX41" s="139"/>
      <c r="EQY41" s="139"/>
      <c r="EQZ41" s="139"/>
      <c r="ERA41" s="139"/>
      <c r="ERB41" s="139"/>
      <c r="ERC41" s="139"/>
      <c r="ERD41" s="139"/>
      <c r="ERE41" s="139"/>
      <c r="ERF41" s="139"/>
      <c r="ERG41" s="139"/>
      <c r="ERH41" s="139"/>
      <c r="ERI41" s="139"/>
      <c r="ERJ41" s="139"/>
      <c r="ERK41" s="139"/>
      <c r="ERL41" s="139"/>
      <c r="ERM41" s="139"/>
      <c r="ERN41" s="139"/>
      <c r="ERO41" s="139"/>
      <c r="ERP41" s="139"/>
      <c r="ERQ41" s="139"/>
      <c r="ERR41" s="139"/>
      <c r="ERS41" s="139"/>
      <c r="ERT41" s="139"/>
      <c r="ERU41" s="139"/>
      <c r="ERV41" s="139"/>
      <c r="ERW41" s="139"/>
      <c r="ERX41" s="139"/>
      <c r="ERY41" s="139"/>
      <c r="ERZ41" s="139"/>
      <c r="ESA41" s="139"/>
      <c r="ESB41" s="139"/>
      <c r="ESC41" s="139"/>
      <c r="ESD41" s="139"/>
      <c r="ESE41" s="139"/>
      <c r="ESF41" s="139"/>
      <c r="ESG41" s="139"/>
      <c r="ESH41" s="139"/>
      <c r="ESI41" s="139"/>
      <c r="ESJ41" s="139"/>
      <c r="ESK41" s="139"/>
      <c r="ESL41" s="139"/>
      <c r="ESM41" s="139"/>
      <c r="ESN41" s="139"/>
      <c r="ESO41" s="139"/>
      <c r="ESP41" s="139"/>
      <c r="ESQ41" s="139"/>
      <c r="ESR41" s="139"/>
      <c r="ESS41" s="139"/>
      <c r="EST41" s="139"/>
      <c r="ESU41" s="139"/>
      <c r="ESV41" s="139"/>
      <c r="ESW41" s="139"/>
      <c r="ESX41" s="139"/>
      <c r="ESY41" s="139"/>
      <c r="ESZ41" s="139"/>
      <c r="ETA41" s="139"/>
      <c r="ETB41" s="139"/>
      <c r="ETC41" s="139"/>
      <c r="ETD41" s="139"/>
      <c r="ETE41" s="139"/>
      <c r="ETF41" s="139"/>
      <c r="ETG41" s="139"/>
      <c r="ETH41" s="139"/>
      <c r="ETI41" s="139"/>
      <c r="ETJ41" s="139"/>
      <c r="ETK41" s="139"/>
      <c r="ETL41" s="139"/>
      <c r="ETM41" s="139"/>
      <c r="ETN41" s="139"/>
      <c r="ETO41" s="139"/>
      <c r="ETP41" s="139"/>
      <c r="ETQ41" s="139"/>
      <c r="ETR41" s="139"/>
      <c r="ETS41" s="139"/>
      <c r="ETT41" s="139"/>
      <c r="ETU41" s="139"/>
      <c r="ETV41" s="139"/>
      <c r="ETW41" s="139"/>
      <c r="ETX41" s="139"/>
      <c r="ETY41" s="139"/>
      <c r="ETZ41" s="139"/>
      <c r="EUA41" s="139"/>
      <c r="EUB41" s="139"/>
      <c r="EUC41" s="139"/>
      <c r="EUD41" s="139"/>
      <c r="EUE41" s="139"/>
      <c r="EUF41" s="139"/>
      <c r="EUG41" s="139"/>
      <c r="EUH41" s="139"/>
      <c r="EUI41" s="139"/>
      <c r="EUJ41" s="139"/>
      <c r="EUK41" s="139"/>
      <c r="EUL41" s="139"/>
      <c r="EUM41" s="139"/>
      <c r="EUN41" s="139"/>
      <c r="EUO41" s="139"/>
      <c r="EUP41" s="139"/>
      <c r="EUQ41" s="139"/>
      <c r="EUR41" s="139"/>
      <c r="EUS41" s="139"/>
      <c r="EUT41" s="139"/>
      <c r="EUU41" s="139"/>
      <c r="EUV41" s="139"/>
      <c r="EUW41" s="139"/>
      <c r="EUX41" s="139"/>
      <c r="EUY41" s="139"/>
      <c r="EUZ41" s="139"/>
      <c r="EVA41" s="139"/>
      <c r="EVB41" s="139"/>
      <c r="EVC41" s="139"/>
      <c r="EVD41" s="139"/>
      <c r="EVE41" s="139"/>
      <c r="EVF41" s="139"/>
      <c r="EVG41" s="139"/>
      <c r="EVH41" s="139"/>
      <c r="EVI41" s="139"/>
      <c r="EVJ41" s="139"/>
      <c r="EVK41" s="139"/>
      <c r="EVL41" s="139"/>
      <c r="EVM41" s="139"/>
      <c r="EVN41" s="139"/>
      <c r="EVO41" s="139"/>
      <c r="EVP41" s="139"/>
      <c r="EVQ41" s="139"/>
      <c r="EVR41" s="139"/>
      <c r="EVS41" s="139"/>
      <c r="EVT41" s="139"/>
      <c r="EVU41" s="139"/>
      <c r="EVV41" s="139"/>
      <c r="EVW41" s="139"/>
      <c r="EVX41" s="139"/>
      <c r="EVY41" s="139"/>
      <c r="EVZ41" s="139"/>
      <c r="EWA41" s="139"/>
      <c r="EWB41" s="139"/>
      <c r="EWC41" s="139"/>
      <c r="EWD41" s="139"/>
      <c r="EWE41" s="139"/>
      <c r="EWF41" s="139"/>
      <c r="EWG41" s="139"/>
      <c r="EWH41" s="139"/>
      <c r="EWI41" s="139"/>
      <c r="EWJ41" s="139"/>
      <c r="EWK41" s="139"/>
      <c r="EWL41" s="139"/>
      <c r="EWM41" s="139"/>
      <c r="EWN41" s="139"/>
      <c r="EWO41" s="139"/>
      <c r="EWP41" s="139"/>
      <c r="EWQ41" s="139"/>
      <c r="EWR41" s="139"/>
      <c r="EWS41" s="139"/>
      <c r="EWT41" s="139"/>
      <c r="EWU41" s="139"/>
      <c r="EWV41" s="139"/>
      <c r="EWW41" s="139"/>
      <c r="EWX41" s="139"/>
      <c r="EWY41" s="139"/>
      <c r="EWZ41" s="139"/>
      <c r="EXA41" s="139"/>
      <c r="EXB41" s="139"/>
      <c r="EXC41" s="139"/>
      <c r="EXD41" s="139"/>
      <c r="EXE41" s="139"/>
      <c r="EXF41" s="139"/>
      <c r="EXG41" s="139"/>
      <c r="EXH41" s="139"/>
      <c r="EXI41" s="139"/>
      <c r="EXJ41" s="139"/>
      <c r="EXK41" s="139"/>
      <c r="EXL41" s="139"/>
      <c r="EXM41" s="139"/>
      <c r="EXN41" s="139"/>
      <c r="EXO41" s="139"/>
      <c r="EXP41" s="139"/>
      <c r="EXQ41" s="139"/>
      <c r="EXR41" s="139"/>
      <c r="EXS41" s="139"/>
      <c r="EXT41" s="139"/>
      <c r="EXU41" s="139"/>
      <c r="EXV41" s="139"/>
      <c r="EXW41" s="139"/>
      <c r="EXX41" s="139"/>
      <c r="EXY41" s="139"/>
      <c r="EXZ41" s="139"/>
      <c r="EYA41" s="139"/>
      <c r="EYB41" s="139"/>
      <c r="EYC41" s="139"/>
      <c r="EYD41" s="139"/>
      <c r="EYE41" s="139"/>
      <c r="EYF41" s="139"/>
      <c r="EYG41" s="139"/>
      <c r="EYH41" s="139"/>
      <c r="EYI41" s="139"/>
      <c r="EYJ41" s="139"/>
      <c r="EYK41" s="139"/>
      <c r="EYL41" s="139"/>
      <c r="EYM41" s="139"/>
      <c r="EYN41" s="139"/>
      <c r="EYO41" s="139"/>
      <c r="EYP41" s="139"/>
      <c r="EYQ41" s="139"/>
      <c r="EYR41" s="139"/>
      <c r="EYS41" s="139"/>
      <c r="EYT41" s="139"/>
      <c r="EYU41" s="139"/>
      <c r="EYV41" s="139"/>
      <c r="EYW41" s="139"/>
      <c r="EYX41" s="139"/>
      <c r="EYY41" s="139"/>
      <c r="EYZ41" s="139"/>
      <c r="EZA41" s="139"/>
      <c r="EZB41" s="139"/>
      <c r="EZC41" s="139"/>
      <c r="EZD41" s="139"/>
      <c r="EZE41" s="139"/>
      <c r="EZF41" s="139"/>
      <c r="EZG41" s="139"/>
      <c r="EZH41" s="139"/>
      <c r="EZI41" s="139"/>
      <c r="EZJ41" s="139"/>
      <c r="EZK41" s="139"/>
      <c r="EZL41" s="139"/>
      <c r="EZM41" s="139"/>
      <c r="EZN41" s="139"/>
      <c r="EZO41" s="139"/>
      <c r="EZP41" s="139"/>
      <c r="EZQ41" s="139"/>
      <c r="EZR41" s="139"/>
      <c r="EZS41" s="139"/>
      <c r="EZT41" s="139"/>
      <c r="EZU41" s="139"/>
      <c r="EZV41" s="139"/>
      <c r="EZW41" s="139"/>
      <c r="EZX41" s="139"/>
      <c r="EZY41" s="139"/>
      <c r="EZZ41" s="139"/>
      <c r="FAA41" s="139"/>
      <c r="FAB41" s="139"/>
      <c r="FAC41" s="139"/>
      <c r="FAD41" s="139"/>
      <c r="FAE41" s="139"/>
      <c r="FAF41" s="139"/>
      <c r="FAG41" s="139"/>
      <c r="FAH41" s="139"/>
      <c r="FAI41" s="139"/>
      <c r="FAJ41" s="139"/>
      <c r="FAK41" s="139"/>
      <c r="FAL41" s="139"/>
      <c r="FAM41" s="139"/>
      <c r="FAN41" s="139"/>
      <c r="FAO41" s="139"/>
      <c r="FAP41" s="139"/>
      <c r="FAQ41" s="139"/>
      <c r="FAR41" s="139"/>
      <c r="FAS41" s="139"/>
      <c r="FAT41" s="139"/>
      <c r="FAU41" s="139"/>
      <c r="FAV41" s="139"/>
      <c r="FAW41" s="139"/>
      <c r="FAX41" s="139"/>
      <c r="FAY41" s="139"/>
      <c r="FAZ41" s="139"/>
      <c r="FBA41" s="139"/>
      <c r="FBB41" s="139"/>
      <c r="FBC41" s="139"/>
      <c r="FBD41" s="139"/>
      <c r="FBE41" s="139"/>
      <c r="FBF41" s="139"/>
      <c r="FBG41" s="139"/>
      <c r="FBH41" s="139"/>
      <c r="FBI41" s="139"/>
      <c r="FBJ41" s="139"/>
      <c r="FBK41" s="139"/>
      <c r="FBL41" s="139"/>
      <c r="FBM41" s="139"/>
      <c r="FBN41" s="139"/>
      <c r="FBO41" s="139"/>
      <c r="FBP41" s="139"/>
      <c r="FBQ41" s="139"/>
      <c r="FBR41" s="139"/>
      <c r="FBS41" s="139"/>
      <c r="FBT41" s="139"/>
      <c r="FBU41" s="139"/>
      <c r="FBV41" s="139"/>
      <c r="FBW41" s="139"/>
      <c r="FBX41" s="139"/>
      <c r="FBY41" s="139"/>
      <c r="FBZ41" s="139"/>
      <c r="FCA41" s="139"/>
      <c r="FCB41" s="139"/>
      <c r="FCC41" s="139"/>
      <c r="FCD41" s="139"/>
      <c r="FCE41" s="139"/>
      <c r="FCF41" s="139"/>
      <c r="FCG41" s="139"/>
      <c r="FCH41" s="139"/>
      <c r="FCI41" s="139"/>
      <c r="FCJ41" s="139"/>
      <c r="FCK41" s="139"/>
      <c r="FCL41" s="139"/>
      <c r="FCM41" s="139"/>
      <c r="FCN41" s="139"/>
      <c r="FCO41" s="139"/>
      <c r="FCP41" s="139"/>
      <c r="FCQ41" s="139"/>
      <c r="FCR41" s="139"/>
      <c r="FCS41" s="139"/>
      <c r="FCT41" s="139"/>
      <c r="FCU41" s="139"/>
      <c r="FCV41" s="139"/>
      <c r="FCW41" s="139"/>
      <c r="FCX41" s="139"/>
      <c r="FCY41" s="139"/>
      <c r="FCZ41" s="139"/>
      <c r="FDA41" s="139"/>
      <c r="FDB41" s="139"/>
      <c r="FDC41" s="139"/>
      <c r="FDD41" s="139"/>
      <c r="FDE41" s="139"/>
      <c r="FDF41" s="139"/>
      <c r="FDG41" s="139"/>
      <c r="FDH41" s="139"/>
      <c r="FDI41" s="139"/>
      <c r="FDJ41" s="139"/>
      <c r="FDK41" s="139"/>
      <c r="FDL41" s="139"/>
      <c r="FDM41" s="139"/>
      <c r="FDN41" s="139"/>
      <c r="FDO41" s="139"/>
      <c r="FDP41" s="139"/>
      <c r="FDQ41" s="139"/>
      <c r="FDR41" s="139"/>
      <c r="FDS41" s="139"/>
      <c r="FDT41" s="139"/>
      <c r="FDU41" s="139"/>
      <c r="FDV41" s="139"/>
      <c r="FDW41" s="139"/>
      <c r="FDX41" s="139"/>
      <c r="FDY41" s="139"/>
      <c r="FDZ41" s="139"/>
      <c r="FEA41" s="139"/>
      <c r="FEB41" s="139"/>
      <c r="FEC41" s="139"/>
      <c r="FED41" s="139"/>
      <c r="FEE41" s="139"/>
      <c r="FEF41" s="139"/>
      <c r="FEG41" s="139"/>
      <c r="FEH41" s="139"/>
      <c r="FEI41" s="139"/>
      <c r="FEJ41" s="139"/>
      <c r="FEK41" s="139"/>
      <c r="FEL41" s="139"/>
      <c r="FEM41" s="139"/>
      <c r="FEN41" s="139"/>
      <c r="FEO41" s="139"/>
      <c r="FEP41" s="139"/>
      <c r="FEQ41" s="139"/>
      <c r="FER41" s="139"/>
      <c r="FES41" s="139"/>
      <c r="FET41" s="139"/>
      <c r="FEU41" s="139"/>
      <c r="FEV41" s="139"/>
      <c r="FEW41" s="139"/>
      <c r="FEX41" s="139"/>
      <c r="FEY41" s="139"/>
      <c r="FEZ41" s="139"/>
      <c r="FFA41" s="139"/>
      <c r="FFB41" s="139"/>
      <c r="FFC41" s="139"/>
      <c r="FFD41" s="139"/>
      <c r="FFE41" s="139"/>
      <c r="FFF41" s="139"/>
      <c r="FFG41" s="139"/>
      <c r="FFH41" s="139"/>
      <c r="FFI41" s="139"/>
      <c r="FFJ41" s="139"/>
      <c r="FFK41" s="139"/>
      <c r="FFL41" s="139"/>
      <c r="FFM41" s="139"/>
      <c r="FFN41" s="139"/>
      <c r="FFO41" s="139"/>
      <c r="FFP41" s="139"/>
      <c r="FFQ41" s="139"/>
      <c r="FFR41" s="139"/>
      <c r="FFS41" s="139"/>
      <c r="FFT41" s="139"/>
      <c r="FFU41" s="139"/>
      <c r="FFV41" s="139"/>
      <c r="FFW41" s="139"/>
      <c r="FFX41" s="139"/>
      <c r="FFY41" s="139"/>
      <c r="FFZ41" s="139"/>
      <c r="FGA41" s="139"/>
      <c r="FGB41" s="139"/>
      <c r="FGC41" s="139"/>
      <c r="FGD41" s="139"/>
      <c r="FGE41" s="139"/>
      <c r="FGF41" s="139"/>
      <c r="FGG41" s="139"/>
      <c r="FGH41" s="139"/>
      <c r="FGI41" s="139"/>
      <c r="FGJ41" s="139"/>
      <c r="FGK41" s="139"/>
      <c r="FGL41" s="139"/>
      <c r="FGM41" s="139"/>
      <c r="FGN41" s="139"/>
      <c r="FGO41" s="139"/>
      <c r="FGP41" s="139"/>
      <c r="FGQ41" s="139"/>
      <c r="FGR41" s="139"/>
      <c r="FGS41" s="139"/>
      <c r="FGT41" s="139"/>
      <c r="FGU41" s="139"/>
      <c r="FGV41" s="139"/>
      <c r="FGW41" s="139"/>
      <c r="FGX41" s="139"/>
      <c r="FGY41" s="139"/>
      <c r="FGZ41" s="139"/>
      <c r="FHA41" s="139"/>
      <c r="FHB41" s="139"/>
      <c r="FHC41" s="139"/>
      <c r="FHD41" s="139"/>
      <c r="FHE41" s="139"/>
      <c r="FHF41" s="139"/>
      <c r="FHG41" s="139"/>
      <c r="FHH41" s="139"/>
      <c r="FHI41" s="139"/>
      <c r="FHJ41" s="139"/>
      <c r="FHK41" s="139"/>
      <c r="FHL41" s="139"/>
      <c r="FHM41" s="139"/>
      <c r="FHN41" s="139"/>
      <c r="FHO41" s="139"/>
      <c r="FHP41" s="139"/>
      <c r="FHQ41" s="139"/>
      <c r="FHR41" s="139"/>
      <c r="FHS41" s="139"/>
      <c r="FHT41" s="139"/>
      <c r="FHU41" s="139"/>
      <c r="FHV41" s="139"/>
      <c r="FHW41" s="139"/>
      <c r="FHX41" s="139"/>
      <c r="FHY41" s="139"/>
      <c r="FHZ41" s="139"/>
      <c r="FIA41" s="139"/>
      <c r="FIB41" s="139"/>
      <c r="FIC41" s="139"/>
      <c r="FID41" s="139"/>
      <c r="FIE41" s="139"/>
      <c r="FIF41" s="139"/>
      <c r="FIG41" s="139"/>
      <c r="FIH41" s="139"/>
      <c r="FII41" s="139"/>
      <c r="FIJ41" s="139"/>
      <c r="FIK41" s="139"/>
      <c r="FIL41" s="139"/>
      <c r="FIM41" s="139"/>
      <c r="FIN41" s="139"/>
      <c r="FIO41" s="139"/>
      <c r="FIP41" s="139"/>
      <c r="FIQ41" s="139"/>
      <c r="FIR41" s="139"/>
      <c r="FIS41" s="139"/>
      <c r="FIT41" s="139"/>
      <c r="FIU41" s="139"/>
      <c r="FIV41" s="139"/>
      <c r="FIW41" s="139"/>
      <c r="FIX41" s="139"/>
      <c r="FIY41" s="139"/>
      <c r="FIZ41" s="139"/>
      <c r="FJA41" s="139"/>
      <c r="FJB41" s="139"/>
      <c r="FJC41" s="139"/>
      <c r="FJD41" s="139"/>
      <c r="FJE41" s="139"/>
      <c r="FJF41" s="139"/>
      <c r="FJG41" s="139"/>
      <c r="FJH41" s="139"/>
      <c r="FJI41" s="139"/>
      <c r="FJJ41" s="139"/>
      <c r="FJK41" s="139"/>
      <c r="FJL41" s="139"/>
      <c r="FJM41" s="139"/>
      <c r="FJN41" s="139"/>
      <c r="FJO41" s="139"/>
      <c r="FJP41" s="139"/>
      <c r="FJQ41" s="139"/>
      <c r="FJR41" s="139"/>
      <c r="FJS41" s="139"/>
      <c r="FJT41" s="139"/>
      <c r="FJU41" s="139"/>
      <c r="FJV41" s="139"/>
      <c r="FJW41" s="139"/>
      <c r="FJX41" s="139"/>
      <c r="FJY41" s="139"/>
      <c r="FJZ41" s="139"/>
      <c r="FKA41" s="139"/>
      <c r="FKB41" s="139"/>
      <c r="FKC41" s="139"/>
      <c r="FKD41" s="139"/>
      <c r="FKE41" s="139"/>
      <c r="FKF41" s="139"/>
      <c r="FKG41" s="139"/>
      <c r="FKH41" s="139"/>
      <c r="FKI41" s="139"/>
      <c r="FKJ41" s="139"/>
      <c r="FKK41" s="139"/>
      <c r="FKL41" s="139"/>
      <c r="FKM41" s="139"/>
      <c r="FKN41" s="139"/>
      <c r="FKO41" s="139"/>
      <c r="FKP41" s="139"/>
      <c r="FKQ41" s="139"/>
      <c r="FKR41" s="139"/>
      <c r="FKS41" s="139"/>
      <c r="FKT41" s="139"/>
      <c r="FKU41" s="139"/>
      <c r="FKV41" s="139"/>
      <c r="FKW41" s="139"/>
      <c r="FKX41" s="139"/>
      <c r="FKY41" s="139"/>
      <c r="FKZ41" s="139"/>
      <c r="FLA41" s="139"/>
      <c r="FLB41" s="139"/>
      <c r="FLC41" s="139"/>
      <c r="FLD41" s="139"/>
      <c r="FLE41" s="139"/>
      <c r="FLF41" s="139"/>
      <c r="FLG41" s="139"/>
      <c r="FLH41" s="139"/>
      <c r="FLI41" s="139"/>
      <c r="FLJ41" s="139"/>
      <c r="FLK41" s="139"/>
      <c r="FLL41" s="139"/>
      <c r="FLM41" s="139"/>
      <c r="FLN41" s="139"/>
      <c r="FLO41" s="139"/>
      <c r="FLP41" s="139"/>
      <c r="FLQ41" s="139"/>
      <c r="FLR41" s="139"/>
      <c r="FLS41" s="139"/>
      <c r="FLT41" s="139"/>
      <c r="FLU41" s="139"/>
      <c r="FLV41" s="139"/>
      <c r="FLW41" s="139"/>
      <c r="FLX41" s="139"/>
      <c r="FLY41" s="139"/>
      <c r="FLZ41" s="139"/>
      <c r="FMA41" s="139"/>
      <c r="FMB41" s="139"/>
      <c r="FMC41" s="139"/>
      <c r="FMD41" s="139"/>
      <c r="FME41" s="139"/>
      <c r="FMF41" s="139"/>
      <c r="FMG41" s="139"/>
      <c r="FMH41" s="139"/>
      <c r="FMI41" s="139"/>
      <c r="FMJ41" s="139"/>
      <c r="FMK41" s="139"/>
      <c r="FML41" s="139"/>
      <c r="FMM41" s="139"/>
      <c r="FMN41" s="139"/>
      <c r="FMO41" s="139"/>
      <c r="FMP41" s="139"/>
      <c r="FMQ41" s="139"/>
      <c r="FMR41" s="139"/>
      <c r="FMS41" s="139"/>
      <c r="FMT41" s="139"/>
      <c r="FMU41" s="139"/>
      <c r="FMV41" s="139"/>
      <c r="FMW41" s="139"/>
      <c r="FMX41" s="139"/>
      <c r="FMY41" s="139"/>
      <c r="FMZ41" s="139"/>
      <c r="FNA41" s="139"/>
      <c r="FNB41" s="139"/>
      <c r="FNC41" s="139"/>
      <c r="FND41" s="139"/>
      <c r="FNE41" s="139"/>
      <c r="FNF41" s="139"/>
      <c r="FNG41" s="139"/>
      <c r="FNH41" s="139"/>
      <c r="FNI41" s="139"/>
      <c r="FNJ41" s="139"/>
      <c r="FNK41" s="139"/>
      <c r="FNL41" s="139"/>
      <c r="FNM41" s="139"/>
      <c r="FNN41" s="139"/>
      <c r="FNO41" s="139"/>
      <c r="FNP41" s="139"/>
      <c r="FNQ41" s="139"/>
      <c r="FNR41" s="139"/>
      <c r="FNS41" s="139"/>
      <c r="FNT41" s="139"/>
      <c r="FNU41" s="139"/>
      <c r="FNV41" s="139"/>
      <c r="FNW41" s="139"/>
      <c r="FNX41" s="139"/>
      <c r="FNY41" s="139"/>
      <c r="FNZ41" s="139"/>
      <c r="FOA41" s="139"/>
      <c r="FOB41" s="139"/>
      <c r="FOC41" s="139"/>
      <c r="FOD41" s="139"/>
      <c r="FOE41" s="139"/>
      <c r="FOF41" s="139"/>
      <c r="FOG41" s="139"/>
      <c r="FOH41" s="139"/>
      <c r="FOI41" s="139"/>
      <c r="FOJ41" s="139"/>
      <c r="FOK41" s="139"/>
      <c r="FOL41" s="139"/>
      <c r="FOM41" s="139"/>
      <c r="FON41" s="139"/>
      <c r="FOO41" s="139"/>
      <c r="FOP41" s="139"/>
      <c r="FOQ41" s="139"/>
      <c r="FOR41" s="139"/>
      <c r="FOS41" s="139"/>
      <c r="FOT41" s="139"/>
      <c r="FOU41" s="139"/>
      <c r="FOV41" s="139"/>
      <c r="FOW41" s="139"/>
      <c r="FOX41" s="139"/>
      <c r="FOY41" s="139"/>
      <c r="FOZ41" s="139"/>
      <c r="FPA41" s="139"/>
      <c r="FPB41" s="139"/>
      <c r="FPC41" s="139"/>
      <c r="FPD41" s="139"/>
      <c r="FPE41" s="139"/>
      <c r="FPF41" s="139"/>
      <c r="FPG41" s="139"/>
      <c r="FPH41" s="139"/>
      <c r="FPI41" s="139"/>
      <c r="FPJ41" s="139"/>
      <c r="FPK41" s="139"/>
      <c r="FPL41" s="139"/>
      <c r="FPM41" s="139"/>
      <c r="FPN41" s="139"/>
      <c r="FPO41" s="139"/>
      <c r="FPP41" s="139"/>
      <c r="FPQ41" s="139"/>
      <c r="FPR41" s="139"/>
      <c r="FPS41" s="139"/>
      <c r="FPT41" s="139"/>
      <c r="FPU41" s="139"/>
      <c r="FPV41" s="139"/>
      <c r="FPW41" s="139"/>
      <c r="FPX41" s="139"/>
      <c r="FPY41" s="139"/>
      <c r="FPZ41" s="139"/>
      <c r="FQA41" s="139"/>
      <c r="FQB41" s="139"/>
      <c r="FQC41" s="139"/>
      <c r="FQD41" s="139"/>
      <c r="FQE41" s="139"/>
      <c r="FQF41" s="139"/>
      <c r="FQG41" s="139"/>
      <c r="FQH41" s="139"/>
      <c r="FQI41" s="139"/>
      <c r="FQJ41" s="139"/>
      <c r="FQK41" s="139"/>
      <c r="FQL41" s="139"/>
      <c r="FQM41" s="139"/>
      <c r="FQN41" s="139"/>
      <c r="FQO41" s="139"/>
      <c r="FQP41" s="139"/>
      <c r="FQQ41" s="139"/>
      <c r="FQR41" s="139"/>
      <c r="FQS41" s="139"/>
      <c r="FQT41" s="139"/>
      <c r="FQU41" s="139"/>
      <c r="FQV41" s="139"/>
      <c r="FQW41" s="139"/>
      <c r="FQX41" s="139"/>
      <c r="FQY41" s="139"/>
      <c r="FQZ41" s="139"/>
      <c r="FRA41" s="139"/>
      <c r="FRB41" s="139"/>
      <c r="FRC41" s="139"/>
      <c r="FRD41" s="139"/>
      <c r="FRE41" s="139"/>
      <c r="FRF41" s="139"/>
      <c r="FRG41" s="139"/>
      <c r="FRH41" s="139"/>
      <c r="FRI41" s="139"/>
      <c r="FRJ41" s="139"/>
      <c r="FRK41" s="139"/>
      <c r="FRL41" s="139"/>
      <c r="FRM41" s="139"/>
      <c r="FRN41" s="139"/>
      <c r="FRO41" s="139"/>
      <c r="FRP41" s="139"/>
      <c r="FRQ41" s="139"/>
      <c r="FRR41" s="139"/>
      <c r="FRS41" s="139"/>
      <c r="FRT41" s="139"/>
      <c r="FRU41" s="139"/>
      <c r="FRV41" s="139"/>
      <c r="FRW41" s="139"/>
      <c r="FRX41" s="139"/>
      <c r="FRY41" s="139"/>
      <c r="FRZ41" s="139"/>
      <c r="FSA41" s="139"/>
      <c r="FSB41" s="139"/>
      <c r="FSC41" s="139"/>
      <c r="FSD41" s="139"/>
      <c r="FSE41" s="139"/>
      <c r="FSF41" s="139"/>
      <c r="FSG41" s="139"/>
      <c r="FSH41" s="139"/>
      <c r="FSI41" s="139"/>
      <c r="FSJ41" s="139"/>
      <c r="FSK41" s="139"/>
      <c r="FSL41" s="139"/>
      <c r="FSM41" s="139"/>
      <c r="FSN41" s="139"/>
      <c r="FSO41" s="139"/>
      <c r="FSP41" s="139"/>
      <c r="FSQ41" s="139"/>
      <c r="FSR41" s="139"/>
      <c r="FSS41" s="139"/>
      <c r="FST41" s="139"/>
      <c r="FSU41" s="139"/>
      <c r="FSV41" s="139"/>
      <c r="FSW41" s="139"/>
      <c r="FSX41" s="139"/>
      <c r="FSY41" s="139"/>
      <c r="FSZ41" s="139"/>
      <c r="FTA41" s="139"/>
      <c r="FTB41" s="139"/>
      <c r="FTC41" s="139"/>
      <c r="FTD41" s="139"/>
      <c r="FTE41" s="139"/>
      <c r="FTF41" s="139"/>
      <c r="FTG41" s="139"/>
      <c r="FTH41" s="139"/>
      <c r="FTI41" s="139"/>
      <c r="FTJ41" s="139"/>
      <c r="FTK41" s="139"/>
      <c r="FTL41" s="139"/>
      <c r="FTM41" s="139"/>
      <c r="FTN41" s="139"/>
      <c r="FTO41" s="139"/>
      <c r="FTP41" s="139"/>
      <c r="FTQ41" s="139"/>
      <c r="FTR41" s="139"/>
      <c r="FTS41" s="139"/>
      <c r="FTT41" s="139"/>
      <c r="FTU41" s="139"/>
      <c r="FTV41" s="139"/>
      <c r="FTW41" s="139"/>
      <c r="FTX41" s="139"/>
      <c r="FTY41" s="139"/>
      <c r="FTZ41" s="139"/>
      <c r="FUA41" s="139"/>
      <c r="FUB41" s="139"/>
      <c r="FUC41" s="139"/>
      <c r="FUD41" s="139"/>
      <c r="FUE41" s="139"/>
      <c r="FUF41" s="139"/>
      <c r="FUG41" s="139"/>
      <c r="FUH41" s="139"/>
      <c r="FUI41" s="139"/>
      <c r="FUJ41" s="139"/>
      <c r="FUK41" s="139"/>
      <c r="FUL41" s="139"/>
      <c r="FUM41" s="139"/>
      <c r="FUN41" s="139"/>
      <c r="FUO41" s="139"/>
      <c r="FUP41" s="139"/>
      <c r="FUQ41" s="139"/>
      <c r="FUR41" s="139"/>
      <c r="FUS41" s="139"/>
      <c r="FUT41" s="139"/>
      <c r="FUU41" s="139"/>
      <c r="FUV41" s="139"/>
      <c r="FUW41" s="139"/>
      <c r="FUX41" s="139"/>
      <c r="FUY41" s="139"/>
      <c r="FUZ41" s="139"/>
      <c r="FVA41" s="139"/>
      <c r="FVB41" s="139"/>
      <c r="FVC41" s="139"/>
      <c r="FVD41" s="139"/>
      <c r="FVE41" s="139"/>
      <c r="FVF41" s="139"/>
      <c r="FVG41" s="139"/>
      <c r="FVH41" s="139"/>
      <c r="FVI41" s="139"/>
      <c r="FVJ41" s="139"/>
      <c r="FVK41" s="139"/>
      <c r="FVL41" s="139"/>
      <c r="FVM41" s="139"/>
      <c r="FVN41" s="139"/>
      <c r="FVO41" s="139"/>
      <c r="FVP41" s="139"/>
      <c r="FVQ41" s="139"/>
      <c r="FVR41" s="139"/>
      <c r="FVS41" s="139"/>
      <c r="FVT41" s="139"/>
      <c r="FVU41" s="139"/>
      <c r="FVV41" s="139"/>
      <c r="FVW41" s="139"/>
      <c r="FVX41" s="139"/>
      <c r="FVY41" s="139"/>
      <c r="FVZ41" s="139"/>
      <c r="FWA41" s="139"/>
      <c r="FWB41" s="139"/>
      <c r="FWC41" s="139"/>
      <c r="FWD41" s="139"/>
      <c r="FWE41" s="139"/>
      <c r="FWF41" s="139"/>
      <c r="FWG41" s="139"/>
      <c r="FWH41" s="139"/>
      <c r="FWI41" s="139"/>
      <c r="FWJ41" s="139"/>
      <c r="FWK41" s="139"/>
      <c r="FWL41" s="139"/>
      <c r="FWM41" s="139"/>
      <c r="FWN41" s="139"/>
      <c r="FWO41" s="139"/>
      <c r="FWP41" s="139"/>
      <c r="FWQ41" s="139"/>
      <c r="FWR41" s="139"/>
      <c r="FWS41" s="139"/>
      <c r="FWT41" s="139"/>
      <c r="FWU41" s="139"/>
      <c r="FWV41" s="139"/>
      <c r="FWW41" s="139"/>
      <c r="FWX41" s="139"/>
      <c r="FWY41" s="139"/>
      <c r="FWZ41" s="139"/>
      <c r="FXA41" s="139"/>
      <c r="FXB41" s="139"/>
      <c r="FXC41" s="139"/>
      <c r="FXD41" s="139"/>
      <c r="FXE41" s="139"/>
      <c r="FXF41" s="139"/>
      <c r="FXG41" s="139"/>
      <c r="FXH41" s="139"/>
      <c r="FXI41" s="139"/>
      <c r="FXJ41" s="139"/>
      <c r="FXK41" s="139"/>
      <c r="FXL41" s="139"/>
      <c r="FXM41" s="139"/>
      <c r="FXN41" s="139"/>
      <c r="FXO41" s="139"/>
      <c r="FXP41" s="139"/>
      <c r="FXQ41" s="139"/>
      <c r="FXR41" s="139"/>
      <c r="FXS41" s="139"/>
      <c r="FXT41" s="139"/>
      <c r="FXU41" s="139"/>
      <c r="FXV41" s="139"/>
      <c r="FXW41" s="139"/>
      <c r="FXX41" s="139"/>
      <c r="FXY41" s="139"/>
      <c r="FXZ41" s="139"/>
      <c r="FYA41" s="139"/>
      <c r="FYB41" s="139"/>
      <c r="FYC41" s="139"/>
      <c r="FYD41" s="139"/>
      <c r="FYE41" s="139"/>
      <c r="FYF41" s="139"/>
      <c r="FYG41" s="139"/>
      <c r="FYH41" s="139"/>
      <c r="FYI41" s="139"/>
      <c r="FYJ41" s="139"/>
      <c r="FYK41" s="139"/>
      <c r="FYL41" s="139"/>
      <c r="FYM41" s="139"/>
      <c r="FYN41" s="139"/>
      <c r="FYO41" s="139"/>
      <c r="FYP41" s="139"/>
      <c r="FYQ41" s="139"/>
      <c r="FYR41" s="139"/>
      <c r="FYS41" s="139"/>
      <c r="FYT41" s="139"/>
      <c r="FYU41" s="139"/>
      <c r="FYV41" s="139"/>
      <c r="FYW41" s="139"/>
      <c r="FYX41" s="139"/>
      <c r="FYY41" s="139"/>
      <c r="FYZ41" s="139"/>
      <c r="FZA41" s="139"/>
      <c r="FZB41" s="139"/>
      <c r="FZC41" s="139"/>
      <c r="FZD41" s="139"/>
      <c r="FZE41" s="139"/>
      <c r="FZF41" s="139"/>
      <c r="FZG41" s="139"/>
      <c r="FZH41" s="139"/>
      <c r="FZI41" s="139"/>
      <c r="FZJ41" s="139"/>
      <c r="FZK41" s="139"/>
      <c r="FZL41" s="139"/>
      <c r="FZM41" s="139"/>
      <c r="FZN41" s="139"/>
      <c r="FZO41" s="139"/>
      <c r="FZP41" s="139"/>
      <c r="FZQ41" s="139"/>
      <c r="FZR41" s="139"/>
      <c r="FZS41" s="139"/>
      <c r="FZT41" s="139"/>
      <c r="FZU41" s="139"/>
      <c r="FZV41" s="139"/>
      <c r="FZW41" s="139"/>
      <c r="FZX41" s="139"/>
      <c r="FZY41" s="139"/>
      <c r="FZZ41" s="139"/>
      <c r="GAA41" s="139"/>
      <c r="GAB41" s="139"/>
      <c r="GAC41" s="139"/>
      <c r="GAD41" s="139"/>
      <c r="GAE41" s="139"/>
      <c r="GAF41" s="139"/>
      <c r="GAG41" s="139"/>
      <c r="GAH41" s="139"/>
      <c r="GAI41" s="139"/>
      <c r="GAJ41" s="139"/>
      <c r="GAK41" s="139"/>
      <c r="GAL41" s="139"/>
      <c r="GAM41" s="139"/>
      <c r="GAN41" s="139"/>
      <c r="GAO41" s="139"/>
      <c r="GAP41" s="139"/>
      <c r="GAQ41" s="139"/>
      <c r="GAR41" s="139"/>
      <c r="GAS41" s="139"/>
      <c r="GAT41" s="139"/>
      <c r="GAU41" s="139"/>
      <c r="GAV41" s="139"/>
      <c r="GAW41" s="139"/>
      <c r="GAX41" s="139"/>
      <c r="GAY41" s="139"/>
      <c r="GAZ41" s="139"/>
      <c r="GBA41" s="139"/>
      <c r="GBB41" s="139"/>
      <c r="GBC41" s="139"/>
      <c r="GBD41" s="139"/>
      <c r="GBE41" s="139"/>
      <c r="GBF41" s="139"/>
      <c r="GBG41" s="139"/>
      <c r="GBH41" s="139"/>
      <c r="GBI41" s="139"/>
      <c r="GBJ41" s="139"/>
      <c r="GBK41" s="139"/>
      <c r="GBL41" s="139"/>
      <c r="GBM41" s="139"/>
      <c r="GBN41" s="139"/>
      <c r="GBO41" s="139"/>
      <c r="GBP41" s="139"/>
      <c r="GBQ41" s="139"/>
      <c r="GBR41" s="139"/>
      <c r="GBS41" s="139"/>
      <c r="GBT41" s="139"/>
      <c r="GBU41" s="139"/>
      <c r="GBV41" s="139"/>
      <c r="GBW41" s="139"/>
      <c r="GBX41" s="139"/>
      <c r="GBY41" s="139"/>
      <c r="GBZ41" s="139"/>
      <c r="GCA41" s="139"/>
      <c r="GCB41" s="139"/>
      <c r="GCC41" s="139"/>
      <c r="GCD41" s="139"/>
      <c r="GCE41" s="139"/>
      <c r="GCF41" s="139"/>
      <c r="GCG41" s="139"/>
      <c r="GCH41" s="139"/>
      <c r="GCI41" s="139"/>
      <c r="GCJ41" s="139"/>
      <c r="GCK41" s="139"/>
      <c r="GCL41" s="139"/>
      <c r="GCM41" s="139"/>
      <c r="GCN41" s="139"/>
      <c r="GCO41" s="139"/>
      <c r="GCP41" s="139"/>
      <c r="GCQ41" s="139"/>
      <c r="GCR41" s="139"/>
      <c r="GCS41" s="139"/>
      <c r="GCT41" s="139"/>
      <c r="GCU41" s="139"/>
      <c r="GCV41" s="139"/>
      <c r="GCW41" s="139"/>
      <c r="GCX41" s="139"/>
      <c r="GCY41" s="139"/>
      <c r="GCZ41" s="139"/>
      <c r="GDA41" s="139"/>
      <c r="GDB41" s="139"/>
      <c r="GDC41" s="139"/>
      <c r="GDD41" s="139"/>
      <c r="GDE41" s="139"/>
      <c r="GDF41" s="139"/>
      <c r="GDG41" s="139"/>
      <c r="GDH41" s="139"/>
      <c r="GDI41" s="139"/>
      <c r="GDJ41" s="139"/>
      <c r="GDK41" s="139"/>
      <c r="GDL41" s="139"/>
      <c r="GDM41" s="139"/>
      <c r="GDN41" s="139"/>
      <c r="GDO41" s="139"/>
      <c r="GDP41" s="139"/>
      <c r="GDQ41" s="139"/>
      <c r="GDR41" s="139"/>
      <c r="GDS41" s="139"/>
      <c r="GDT41" s="139"/>
      <c r="GDU41" s="139"/>
      <c r="GDV41" s="139"/>
      <c r="GDW41" s="139"/>
      <c r="GDX41" s="139"/>
      <c r="GDY41" s="139"/>
      <c r="GDZ41" s="139"/>
      <c r="GEA41" s="139"/>
      <c r="GEB41" s="139"/>
      <c r="GEC41" s="139"/>
      <c r="GED41" s="139"/>
      <c r="GEE41" s="139"/>
      <c r="GEF41" s="139"/>
      <c r="GEG41" s="139"/>
      <c r="GEH41" s="139"/>
      <c r="GEI41" s="139"/>
      <c r="GEJ41" s="139"/>
      <c r="GEK41" s="139"/>
      <c r="GEL41" s="139"/>
      <c r="GEM41" s="139"/>
      <c r="GEN41" s="139"/>
      <c r="GEO41" s="139"/>
      <c r="GEP41" s="139"/>
      <c r="GEQ41" s="139"/>
      <c r="GER41" s="139"/>
      <c r="GES41" s="139"/>
      <c r="GET41" s="139"/>
      <c r="GEU41" s="139"/>
      <c r="GEV41" s="139"/>
      <c r="GEW41" s="139"/>
      <c r="GEX41" s="139"/>
      <c r="GEY41" s="139"/>
      <c r="GEZ41" s="139"/>
      <c r="GFA41" s="139"/>
      <c r="GFB41" s="139"/>
      <c r="GFC41" s="139"/>
      <c r="GFD41" s="139"/>
      <c r="GFE41" s="139"/>
      <c r="GFF41" s="139"/>
      <c r="GFG41" s="139"/>
      <c r="GFH41" s="139"/>
      <c r="GFI41" s="139"/>
      <c r="GFJ41" s="139"/>
      <c r="GFK41" s="139"/>
      <c r="GFL41" s="139"/>
      <c r="GFM41" s="139"/>
      <c r="GFN41" s="139"/>
      <c r="GFO41" s="139"/>
      <c r="GFP41" s="139"/>
      <c r="GFQ41" s="139"/>
      <c r="GFR41" s="139"/>
      <c r="GFS41" s="139"/>
      <c r="GFT41" s="139"/>
      <c r="GFU41" s="139"/>
      <c r="GFV41" s="139"/>
      <c r="GFW41" s="139"/>
      <c r="GFX41" s="139"/>
      <c r="GFY41" s="139"/>
      <c r="GFZ41" s="139"/>
      <c r="GGA41" s="139"/>
      <c r="GGB41" s="139"/>
      <c r="GGC41" s="139"/>
      <c r="GGD41" s="139"/>
      <c r="GGE41" s="139"/>
      <c r="GGF41" s="139"/>
      <c r="GGG41" s="139"/>
      <c r="GGH41" s="139"/>
      <c r="GGI41" s="139"/>
      <c r="GGJ41" s="139"/>
      <c r="GGK41" s="139"/>
      <c r="GGL41" s="139"/>
      <c r="GGM41" s="139"/>
      <c r="GGN41" s="139"/>
      <c r="GGO41" s="139"/>
      <c r="GGP41" s="139"/>
      <c r="GGQ41" s="139"/>
      <c r="GGR41" s="139"/>
      <c r="GGS41" s="139"/>
      <c r="GGT41" s="139"/>
      <c r="GGU41" s="139"/>
      <c r="GGV41" s="139"/>
      <c r="GGW41" s="139"/>
      <c r="GGX41" s="139"/>
      <c r="GGY41" s="139"/>
      <c r="GGZ41" s="139"/>
      <c r="GHA41" s="139"/>
      <c r="GHB41" s="139"/>
      <c r="GHC41" s="139"/>
      <c r="GHD41" s="139"/>
      <c r="GHE41" s="139"/>
      <c r="GHF41" s="139"/>
      <c r="GHG41" s="139"/>
      <c r="GHH41" s="139"/>
      <c r="GHI41" s="139"/>
      <c r="GHJ41" s="139"/>
      <c r="GHK41" s="139"/>
      <c r="GHL41" s="139"/>
      <c r="GHM41" s="139"/>
      <c r="GHN41" s="139"/>
      <c r="GHO41" s="139"/>
      <c r="GHP41" s="139"/>
      <c r="GHQ41" s="139"/>
      <c r="GHR41" s="139"/>
      <c r="GHS41" s="139"/>
      <c r="GHT41" s="139"/>
      <c r="GHU41" s="139"/>
      <c r="GHV41" s="139"/>
      <c r="GHW41" s="139"/>
      <c r="GHX41" s="139"/>
      <c r="GHY41" s="139"/>
      <c r="GHZ41" s="139"/>
      <c r="GIA41" s="139"/>
      <c r="GIB41" s="139"/>
      <c r="GIC41" s="139"/>
      <c r="GID41" s="139"/>
      <c r="GIE41" s="139"/>
      <c r="GIF41" s="139"/>
      <c r="GIG41" s="139"/>
      <c r="GIH41" s="139"/>
      <c r="GII41" s="139"/>
      <c r="GIJ41" s="139"/>
      <c r="GIK41" s="139"/>
      <c r="GIL41" s="139"/>
      <c r="GIM41" s="139"/>
      <c r="GIN41" s="139"/>
      <c r="GIO41" s="139"/>
      <c r="GIP41" s="139"/>
      <c r="GIQ41" s="139"/>
      <c r="GIR41" s="139"/>
      <c r="GIS41" s="139"/>
      <c r="GIT41" s="139"/>
      <c r="GIU41" s="139"/>
      <c r="GIV41" s="139"/>
      <c r="GIW41" s="139"/>
      <c r="GIX41" s="139"/>
      <c r="GIY41" s="139"/>
      <c r="GIZ41" s="139"/>
      <c r="GJA41" s="139"/>
      <c r="GJB41" s="139"/>
      <c r="GJC41" s="139"/>
      <c r="GJD41" s="139"/>
      <c r="GJE41" s="139"/>
      <c r="GJF41" s="139"/>
      <c r="GJG41" s="139"/>
      <c r="GJH41" s="139"/>
      <c r="GJI41" s="139"/>
      <c r="GJJ41" s="139"/>
      <c r="GJK41" s="139"/>
      <c r="GJL41" s="139"/>
      <c r="GJM41" s="139"/>
      <c r="GJN41" s="139"/>
      <c r="GJO41" s="139"/>
      <c r="GJP41" s="139"/>
      <c r="GJQ41" s="139"/>
      <c r="GJR41" s="139"/>
      <c r="GJS41" s="139"/>
      <c r="GJT41" s="139"/>
      <c r="GJU41" s="139"/>
      <c r="GJV41" s="139"/>
      <c r="GJW41" s="139"/>
      <c r="GJX41" s="139"/>
      <c r="GJY41" s="139"/>
      <c r="GJZ41" s="139"/>
      <c r="GKA41" s="139"/>
      <c r="GKB41" s="139"/>
      <c r="GKC41" s="139"/>
      <c r="GKD41" s="139"/>
      <c r="GKE41" s="139"/>
      <c r="GKF41" s="139"/>
      <c r="GKG41" s="139"/>
      <c r="GKH41" s="139"/>
      <c r="GKI41" s="139"/>
      <c r="GKJ41" s="139"/>
      <c r="GKK41" s="139"/>
      <c r="GKL41" s="139"/>
      <c r="GKM41" s="139"/>
      <c r="GKN41" s="139"/>
      <c r="GKO41" s="139"/>
      <c r="GKP41" s="139"/>
      <c r="GKQ41" s="139"/>
      <c r="GKR41" s="139"/>
      <c r="GKS41" s="139"/>
      <c r="GKT41" s="139"/>
      <c r="GKU41" s="139"/>
      <c r="GKV41" s="139"/>
      <c r="GKW41" s="139"/>
      <c r="GKX41" s="139"/>
      <c r="GKY41" s="139"/>
      <c r="GKZ41" s="139"/>
      <c r="GLA41" s="139"/>
      <c r="GLB41" s="139"/>
      <c r="GLC41" s="139"/>
      <c r="GLD41" s="139"/>
      <c r="GLE41" s="139"/>
      <c r="GLF41" s="139"/>
      <c r="GLG41" s="139"/>
      <c r="GLH41" s="139"/>
      <c r="GLI41" s="139"/>
      <c r="GLJ41" s="139"/>
      <c r="GLK41" s="139"/>
      <c r="GLL41" s="139"/>
      <c r="GLM41" s="139"/>
      <c r="GLN41" s="139"/>
      <c r="GLO41" s="139"/>
      <c r="GLP41" s="139"/>
      <c r="GLQ41" s="139"/>
      <c r="GLR41" s="139"/>
      <c r="GLS41" s="139"/>
      <c r="GLT41" s="139"/>
      <c r="GLU41" s="139"/>
      <c r="GLV41" s="139"/>
      <c r="GLW41" s="139"/>
      <c r="GLX41" s="139"/>
      <c r="GLY41" s="139"/>
      <c r="GLZ41" s="139"/>
      <c r="GMA41" s="139"/>
      <c r="GMB41" s="139"/>
      <c r="GMC41" s="139"/>
      <c r="GMD41" s="139"/>
      <c r="GME41" s="139"/>
      <c r="GMF41" s="139"/>
      <c r="GMG41" s="139"/>
      <c r="GMH41" s="139"/>
      <c r="GMI41" s="139"/>
      <c r="GMJ41" s="139"/>
      <c r="GMK41" s="139"/>
      <c r="GML41" s="139"/>
      <c r="GMM41" s="139"/>
      <c r="GMN41" s="139"/>
      <c r="GMO41" s="139"/>
      <c r="GMP41" s="139"/>
      <c r="GMQ41" s="139"/>
      <c r="GMR41" s="139"/>
      <c r="GMS41" s="139"/>
      <c r="GMT41" s="139"/>
      <c r="GMU41" s="139"/>
      <c r="GMV41" s="139"/>
      <c r="GMW41" s="139"/>
      <c r="GMX41" s="139"/>
      <c r="GMY41" s="139"/>
      <c r="GMZ41" s="139"/>
      <c r="GNA41" s="139"/>
      <c r="GNB41" s="139"/>
      <c r="GNC41" s="139"/>
      <c r="GND41" s="139"/>
      <c r="GNE41" s="139"/>
      <c r="GNF41" s="139"/>
      <c r="GNG41" s="139"/>
      <c r="GNH41" s="139"/>
      <c r="GNI41" s="139"/>
      <c r="GNJ41" s="139"/>
      <c r="GNK41" s="139"/>
      <c r="GNL41" s="139"/>
      <c r="GNM41" s="139"/>
      <c r="GNN41" s="139"/>
      <c r="GNO41" s="139"/>
      <c r="GNP41" s="139"/>
      <c r="GNQ41" s="139"/>
      <c r="GNR41" s="139"/>
      <c r="GNS41" s="139"/>
      <c r="GNT41" s="139"/>
      <c r="GNU41" s="139"/>
      <c r="GNV41" s="139"/>
      <c r="GNW41" s="139"/>
      <c r="GNX41" s="139"/>
      <c r="GNY41" s="139"/>
      <c r="GNZ41" s="139"/>
      <c r="GOA41" s="139"/>
      <c r="GOB41" s="139"/>
      <c r="GOC41" s="139"/>
      <c r="GOD41" s="139"/>
      <c r="GOE41" s="139"/>
      <c r="GOF41" s="139"/>
      <c r="GOG41" s="139"/>
      <c r="GOH41" s="139"/>
      <c r="GOI41" s="139"/>
      <c r="GOJ41" s="139"/>
      <c r="GOK41" s="139"/>
      <c r="GOL41" s="139"/>
      <c r="GOM41" s="139"/>
      <c r="GON41" s="139"/>
      <c r="GOO41" s="139"/>
      <c r="GOP41" s="139"/>
      <c r="GOQ41" s="139"/>
      <c r="GOR41" s="139"/>
      <c r="GOS41" s="139"/>
      <c r="GOT41" s="139"/>
      <c r="GOU41" s="139"/>
      <c r="GOV41" s="139"/>
      <c r="GOW41" s="139"/>
      <c r="GOX41" s="139"/>
      <c r="GOY41" s="139"/>
      <c r="GOZ41" s="139"/>
      <c r="GPA41" s="139"/>
      <c r="GPB41" s="139"/>
      <c r="GPC41" s="139"/>
      <c r="GPD41" s="139"/>
      <c r="GPE41" s="139"/>
      <c r="GPF41" s="139"/>
      <c r="GPG41" s="139"/>
      <c r="GPH41" s="139"/>
      <c r="GPI41" s="139"/>
      <c r="GPJ41" s="139"/>
      <c r="GPK41" s="139"/>
      <c r="GPL41" s="139"/>
      <c r="GPM41" s="139"/>
      <c r="GPN41" s="139"/>
      <c r="GPO41" s="139"/>
      <c r="GPP41" s="139"/>
      <c r="GPQ41" s="139"/>
      <c r="GPR41" s="139"/>
      <c r="GPS41" s="139"/>
      <c r="GPT41" s="139"/>
      <c r="GPU41" s="139"/>
      <c r="GPV41" s="139"/>
      <c r="GPW41" s="139"/>
      <c r="GPX41" s="139"/>
      <c r="GPY41" s="139"/>
      <c r="GPZ41" s="139"/>
      <c r="GQA41" s="139"/>
      <c r="GQB41" s="139"/>
      <c r="GQC41" s="139"/>
      <c r="GQD41" s="139"/>
      <c r="GQE41" s="139"/>
      <c r="GQF41" s="139"/>
      <c r="GQG41" s="139"/>
      <c r="GQH41" s="139"/>
      <c r="GQI41" s="139"/>
      <c r="GQJ41" s="139"/>
      <c r="GQK41" s="139"/>
      <c r="GQL41" s="139"/>
      <c r="GQM41" s="139"/>
      <c r="GQN41" s="139"/>
      <c r="GQO41" s="139"/>
      <c r="GQP41" s="139"/>
      <c r="GQQ41" s="139"/>
      <c r="GQR41" s="139"/>
      <c r="GQS41" s="139"/>
      <c r="GQT41" s="139"/>
      <c r="GQU41" s="139"/>
      <c r="GQV41" s="139"/>
      <c r="GQW41" s="139"/>
      <c r="GQX41" s="139"/>
      <c r="GQY41" s="139"/>
      <c r="GQZ41" s="139"/>
      <c r="GRA41" s="139"/>
      <c r="GRB41" s="139"/>
      <c r="GRC41" s="139"/>
      <c r="GRD41" s="139"/>
      <c r="GRE41" s="139"/>
      <c r="GRF41" s="139"/>
      <c r="GRG41" s="139"/>
      <c r="GRH41" s="139"/>
      <c r="GRI41" s="139"/>
      <c r="GRJ41" s="139"/>
      <c r="GRK41" s="139"/>
      <c r="GRL41" s="139"/>
      <c r="GRM41" s="139"/>
      <c r="GRN41" s="139"/>
      <c r="GRO41" s="139"/>
      <c r="GRP41" s="139"/>
      <c r="GRQ41" s="139"/>
      <c r="GRR41" s="139"/>
      <c r="GRS41" s="139"/>
      <c r="GRT41" s="139"/>
      <c r="GRU41" s="139"/>
      <c r="GRV41" s="139"/>
      <c r="GRW41" s="139"/>
      <c r="GRX41" s="139"/>
      <c r="GRY41" s="139"/>
      <c r="GRZ41" s="139"/>
      <c r="GSA41" s="139"/>
      <c r="GSB41" s="139"/>
      <c r="GSC41" s="139"/>
      <c r="GSD41" s="139"/>
      <c r="GSE41" s="139"/>
      <c r="GSF41" s="139"/>
      <c r="GSG41" s="139"/>
      <c r="GSH41" s="139"/>
      <c r="GSI41" s="139"/>
      <c r="GSJ41" s="139"/>
      <c r="GSK41" s="139"/>
      <c r="GSL41" s="139"/>
      <c r="GSM41" s="139"/>
      <c r="GSN41" s="139"/>
      <c r="GSO41" s="139"/>
      <c r="GSP41" s="139"/>
      <c r="GSQ41" s="139"/>
      <c r="GSR41" s="139"/>
      <c r="GSS41" s="139"/>
      <c r="GST41" s="139"/>
      <c r="GSU41" s="139"/>
      <c r="GSV41" s="139"/>
      <c r="GSW41" s="139"/>
      <c r="GSX41" s="139"/>
      <c r="GSY41" s="139"/>
      <c r="GSZ41" s="139"/>
      <c r="GTA41" s="139"/>
      <c r="GTB41" s="139"/>
      <c r="GTC41" s="139"/>
      <c r="GTD41" s="139"/>
      <c r="GTE41" s="139"/>
      <c r="GTF41" s="139"/>
      <c r="GTG41" s="139"/>
      <c r="GTH41" s="139"/>
      <c r="GTI41" s="139"/>
      <c r="GTJ41" s="139"/>
      <c r="GTK41" s="139"/>
      <c r="GTL41" s="139"/>
      <c r="GTM41" s="139"/>
      <c r="GTN41" s="139"/>
      <c r="GTO41" s="139"/>
      <c r="GTP41" s="139"/>
      <c r="GTQ41" s="139"/>
      <c r="GTR41" s="139"/>
      <c r="GTS41" s="139"/>
      <c r="GTT41" s="139"/>
      <c r="GTU41" s="139"/>
      <c r="GTV41" s="139"/>
      <c r="GTW41" s="139"/>
      <c r="GTX41" s="139"/>
      <c r="GTY41" s="139"/>
      <c r="GTZ41" s="139"/>
      <c r="GUA41" s="139"/>
      <c r="GUB41" s="139"/>
      <c r="GUC41" s="139"/>
      <c r="GUD41" s="139"/>
      <c r="GUE41" s="139"/>
      <c r="GUF41" s="139"/>
      <c r="GUG41" s="139"/>
      <c r="GUH41" s="139"/>
      <c r="GUI41" s="139"/>
      <c r="GUJ41" s="139"/>
      <c r="GUK41" s="139"/>
      <c r="GUL41" s="139"/>
      <c r="GUM41" s="139"/>
      <c r="GUN41" s="139"/>
      <c r="GUO41" s="139"/>
      <c r="GUP41" s="139"/>
      <c r="GUQ41" s="139"/>
      <c r="GUR41" s="139"/>
      <c r="GUS41" s="139"/>
      <c r="GUT41" s="139"/>
      <c r="GUU41" s="139"/>
      <c r="GUV41" s="139"/>
      <c r="GUW41" s="139"/>
      <c r="GUX41" s="139"/>
      <c r="GUY41" s="139"/>
      <c r="GUZ41" s="139"/>
      <c r="GVA41" s="139"/>
      <c r="GVB41" s="139"/>
      <c r="GVC41" s="139"/>
      <c r="GVD41" s="139"/>
      <c r="GVE41" s="139"/>
      <c r="GVF41" s="139"/>
      <c r="GVG41" s="139"/>
      <c r="GVH41" s="139"/>
      <c r="GVI41" s="139"/>
      <c r="GVJ41" s="139"/>
      <c r="GVK41" s="139"/>
      <c r="GVL41" s="139"/>
      <c r="GVM41" s="139"/>
      <c r="GVN41" s="139"/>
      <c r="GVO41" s="139"/>
      <c r="GVP41" s="139"/>
      <c r="GVQ41" s="139"/>
      <c r="GVR41" s="139"/>
      <c r="GVS41" s="139"/>
      <c r="GVT41" s="139"/>
      <c r="GVU41" s="139"/>
      <c r="GVV41" s="139"/>
      <c r="GVW41" s="139"/>
      <c r="GVX41" s="139"/>
      <c r="GVY41" s="139"/>
      <c r="GVZ41" s="139"/>
      <c r="GWA41" s="139"/>
      <c r="GWB41" s="139"/>
      <c r="GWC41" s="139"/>
      <c r="GWD41" s="139"/>
      <c r="GWE41" s="139"/>
      <c r="GWF41" s="139"/>
      <c r="GWG41" s="139"/>
      <c r="GWH41" s="139"/>
      <c r="GWI41" s="139"/>
      <c r="GWJ41" s="139"/>
      <c r="GWK41" s="139"/>
      <c r="GWL41" s="139"/>
      <c r="GWM41" s="139"/>
      <c r="GWN41" s="139"/>
      <c r="GWO41" s="139"/>
      <c r="GWP41" s="139"/>
      <c r="GWQ41" s="139"/>
      <c r="GWR41" s="139"/>
      <c r="GWS41" s="139"/>
      <c r="GWT41" s="139"/>
      <c r="GWU41" s="139"/>
      <c r="GWV41" s="139"/>
      <c r="GWW41" s="139"/>
      <c r="GWX41" s="139"/>
      <c r="GWY41" s="139"/>
      <c r="GWZ41" s="139"/>
      <c r="GXA41" s="139"/>
      <c r="GXB41" s="139"/>
      <c r="GXC41" s="139"/>
      <c r="GXD41" s="139"/>
      <c r="GXE41" s="139"/>
      <c r="GXF41" s="139"/>
      <c r="GXG41" s="139"/>
      <c r="GXH41" s="139"/>
      <c r="GXI41" s="139"/>
      <c r="GXJ41" s="139"/>
      <c r="GXK41" s="139"/>
      <c r="GXL41" s="139"/>
      <c r="GXM41" s="139"/>
      <c r="GXN41" s="139"/>
      <c r="GXO41" s="139"/>
      <c r="GXP41" s="139"/>
      <c r="GXQ41" s="139"/>
      <c r="GXR41" s="139"/>
      <c r="GXS41" s="139"/>
      <c r="GXT41" s="139"/>
      <c r="GXU41" s="139"/>
      <c r="GXV41" s="139"/>
      <c r="GXW41" s="139"/>
      <c r="GXX41" s="139"/>
      <c r="GXY41" s="139"/>
      <c r="GXZ41" s="139"/>
      <c r="GYA41" s="139"/>
      <c r="GYB41" s="139"/>
      <c r="GYC41" s="139"/>
      <c r="GYD41" s="139"/>
      <c r="GYE41" s="139"/>
      <c r="GYF41" s="139"/>
      <c r="GYG41" s="139"/>
      <c r="GYH41" s="139"/>
      <c r="GYI41" s="139"/>
      <c r="GYJ41" s="139"/>
      <c r="GYK41" s="139"/>
      <c r="GYL41" s="139"/>
      <c r="GYM41" s="139"/>
      <c r="GYN41" s="139"/>
      <c r="GYO41" s="139"/>
      <c r="GYP41" s="139"/>
      <c r="GYQ41" s="139"/>
      <c r="GYR41" s="139"/>
      <c r="GYS41" s="139"/>
      <c r="GYT41" s="139"/>
      <c r="GYU41" s="139"/>
      <c r="GYV41" s="139"/>
      <c r="GYW41" s="139"/>
      <c r="GYX41" s="139"/>
      <c r="GYY41" s="139"/>
      <c r="GYZ41" s="139"/>
      <c r="GZA41" s="139"/>
      <c r="GZB41" s="139"/>
      <c r="GZC41" s="139"/>
      <c r="GZD41" s="139"/>
      <c r="GZE41" s="139"/>
      <c r="GZF41" s="139"/>
      <c r="GZG41" s="139"/>
      <c r="GZH41" s="139"/>
      <c r="GZI41" s="139"/>
      <c r="GZJ41" s="139"/>
      <c r="GZK41" s="139"/>
      <c r="GZL41" s="139"/>
      <c r="GZM41" s="139"/>
      <c r="GZN41" s="139"/>
      <c r="GZO41" s="139"/>
      <c r="GZP41" s="139"/>
      <c r="GZQ41" s="139"/>
      <c r="GZR41" s="139"/>
      <c r="GZS41" s="139"/>
      <c r="GZT41" s="139"/>
      <c r="GZU41" s="139"/>
      <c r="GZV41" s="139"/>
      <c r="GZW41" s="139"/>
      <c r="GZX41" s="139"/>
      <c r="GZY41" s="139"/>
      <c r="GZZ41" s="139"/>
      <c r="HAA41" s="139"/>
      <c r="HAB41" s="139"/>
      <c r="HAC41" s="139"/>
      <c r="HAD41" s="139"/>
      <c r="HAE41" s="139"/>
      <c r="HAF41" s="139"/>
      <c r="HAG41" s="139"/>
      <c r="HAH41" s="139"/>
      <c r="HAI41" s="139"/>
      <c r="HAJ41" s="139"/>
      <c r="HAK41" s="139"/>
      <c r="HAL41" s="139"/>
      <c r="HAM41" s="139"/>
      <c r="HAN41" s="139"/>
      <c r="HAO41" s="139"/>
      <c r="HAP41" s="139"/>
      <c r="HAQ41" s="139"/>
      <c r="HAR41" s="139"/>
      <c r="HAS41" s="139"/>
      <c r="HAT41" s="139"/>
      <c r="HAU41" s="139"/>
      <c r="HAV41" s="139"/>
      <c r="HAW41" s="139"/>
      <c r="HAX41" s="139"/>
      <c r="HAY41" s="139"/>
      <c r="HAZ41" s="139"/>
      <c r="HBA41" s="139"/>
      <c r="HBB41" s="139"/>
      <c r="HBC41" s="139"/>
      <c r="HBD41" s="139"/>
      <c r="HBE41" s="139"/>
      <c r="HBF41" s="139"/>
      <c r="HBG41" s="139"/>
      <c r="HBH41" s="139"/>
      <c r="HBI41" s="139"/>
      <c r="HBJ41" s="139"/>
      <c r="HBK41" s="139"/>
      <c r="HBL41" s="139"/>
      <c r="HBM41" s="139"/>
      <c r="HBN41" s="139"/>
      <c r="HBO41" s="139"/>
      <c r="HBP41" s="139"/>
      <c r="HBQ41" s="139"/>
      <c r="HBR41" s="139"/>
      <c r="HBS41" s="139"/>
      <c r="HBT41" s="139"/>
      <c r="HBU41" s="139"/>
      <c r="HBV41" s="139"/>
      <c r="HBW41" s="139"/>
      <c r="HBX41" s="139"/>
      <c r="HBY41" s="139"/>
      <c r="HBZ41" s="139"/>
      <c r="HCA41" s="139"/>
      <c r="HCB41" s="139"/>
      <c r="HCC41" s="139"/>
      <c r="HCD41" s="139"/>
      <c r="HCE41" s="139"/>
      <c r="HCF41" s="139"/>
      <c r="HCG41" s="139"/>
      <c r="HCH41" s="139"/>
      <c r="HCI41" s="139"/>
      <c r="HCJ41" s="139"/>
      <c r="HCK41" s="139"/>
      <c r="HCL41" s="139"/>
      <c r="HCM41" s="139"/>
      <c r="HCN41" s="139"/>
      <c r="HCO41" s="139"/>
      <c r="HCP41" s="139"/>
      <c r="HCQ41" s="139"/>
      <c r="HCR41" s="139"/>
      <c r="HCS41" s="139"/>
      <c r="HCT41" s="139"/>
      <c r="HCU41" s="139"/>
      <c r="HCV41" s="139"/>
      <c r="HCW41" s="139"/>
      <c r="HCX41" s="139"/>
      <c r="HCY41" s="139"/>
      <c r="HCZ41" s="139"/>
      <c r="HDA41" s="139"/>
      <c r="HDB41" s="139"/>
      <c r="HDC41" s="139"/>
      <c r="HDD41" s="139"/>
      <c r="HDE41" s="139"/>
      <c r="HDF41" s="139"/>
      <c r="HDG41" s="139"/>
      <c r="HDH41" s="139"/>
      <c r="HDI41" s="139"/>
      <c r="HDJ41" s="139"/>
      <c r="HDK41" s="139"/>
      <c r="HDL41" s="139"/>
      <c r="HDM41" s="139"/>
      <c r="HDN41" s="139"/>
      <c r="HDO41" s="139"/>
      <c r="HDP41" s="139"/>
      <c r="HDQ41" s="139"/>
      <c r="HDR41" s="139"/>
      <c r="HDS41" s="139"/>
      <c r="HDT41" s="139"/>
      <c r="HDU41" s="139"/>
      <c r="HDV41" s="139"/>
      <c r="HDW41" s="139"/>
      <c r="HDX41" s="139"/>
      <c r="HDY41" s="139"/>
      <c r="HDZ41" s="139"/>
      <c r="HEA41" s="139"/>
      <c r="HEB41" s="139"/>
      <c r="HEC41" s="139"/>
      <c r="HED41" s="139"/>
      <c r="HEE41" s="139"/>
      <c r="HEF41" s="139"/>
      <c r="HEG41" s="139"/>
      <c r="HEH41" s="139"/>
      <c r="HEI41" s="139"/>
      <c r="HEJ41" s="139"/>
      <c r="HEK41" s="139"/>
      <c r="HEL41" s="139"/>
      <c r="HEM41" s="139"/>
      <c r="HEN41" s="139"/>
      <c r="HEO41" s="139"/>
      <c r="HEP41" s="139"/>
      <c r="HEQ41" s="139"/>
      <c r="HER41" s="139"/>
      <c r="HES41" s="139"/>
      <c r="HET41" s="139"/>
      <c r="HEU41" s="139"/>
      <c r="HEV41" s="139"/>
      <c r="HEW41" s="139"/>
      <c r="HEX41" s="139"/>
      <c r="HEY41" s="139"/>
      <c r="HEZ41" s="139"/>
      <c r="HFA41" s="139"/>
      <c r="HFB41" s="139"/>
      <c r="HFC41" s="139"/>
      <c r="HFD41" s="139"/>
      <c r="HFE41" s="139"/>
      <c r="HFF41" s="139"/>
      <c r="HFG41" s="139"/>
      <c r="HFH41" s="139"/>
      <c r="HFI41" s="139"/>
      <c r="HFJ41" s="139"/>
      <c r="HFK41" s="139"/>
      <c r="HFL41" s="139"/>
      <c r="HFM41" s="139"/>
      <c r="HFN41" s="139"/>
      <c r="HFO41" s="139"/>
      <c r="HFP41" s="139"/>
      <c r="HFQ41" s="139"/>
      <c r="HFR41" s="139"/>
      <c r="HFS41" s="139"/>
      <c r="HFT41" s="139"/>
      <c r="HFU41" s="139"/>
      <c r="HFV41" s="139"/>
      <c r="HFW41" s="139"/>
      <c r="HFX41" s="139"/>
      <c r="HFY41" s="139"/>
      <c r="HFZ41" s="139"/>
      <c r="HGA41" s="139"/>
      <c r="HGB41" s="139"/>
      <c r="HGC41" s="139"/>
      <c r="HGD41" s="139"/>
      <c r="HGE41" s="139"/>
      <c r="HGF41" s="139"/>
      <c r="HGG41" s="139"/>
      <c r="HGH41" s="139"/>
      <c r="HGI41" s="139"/>
      <c r="HGJ41" s="139"/>
      <c r="HGK41" s="139"/>
      <c r="HGL41" s="139"/>
      <c r="HGM41" s="139"/>
      <c r="HGN41" s="139"/>
      <c r="HGO41" s="139"/>
      <c r="HGP41" s="139"/>
      <c r="HGQ41" s="139"/>
      <c r="HGR41" s="139"/>
      <c r="HGS41" s="139"/>
      <c r="HGT41" s="139"/>
      <c r="HGU41" s="139"/>
      <c r="HGV41" s="139"/>
      <c r="HGW41" s="139"/>
      <c r="HGX41" s="139"/>
      <c r="HGY41" s="139"/>
      <c r="HGZ41" s="139"/>
      <c r="HHA41" s="139"/>
      <c r="HHB41" s="139"/>
      <c r="HHC41" s="139"/>
      <c r="HHD41" s="139"/>
      <c r="HHE41" s="139"/>
      <c r="HHF41" s="139"/>
      <c r="HHG41" s="139"/>
      <c r="HHH41" s="139"/>
      <c r="HHI41" s="139"/>
      <c r="HHJ41" s="139"/>
      <c r="HHK41" s="139"/>
      <c r="HHL41" s="139"/>
      <c r="HHM41" s="139"/>
      <c r="HHN41" s="139"/>
      <c r="HHO41" s="139"/>
      <c r="HHP41" s="139"/>
      <c r="HHQ41" s="139"/>
      <c r="HHR41" s="139"/>
      <c r="HHS41" s="139"/>
      <c r="HHT41" s="139"/>
      <c r="HHU41" s="139"/>
      <c r="HHV41" s="139"/>
      <c r="HHW41" s="139"/>
      <c r="HHX41" s="139"/>
      <c r="HHY41" s="139"/>
      <c r="HHZ41" s="139"/>
      <c r="HIA41" s="139"/>
      <c r="HIB41" s="139"/>
      <c r="HIC41" s="139"/>
      <c r="HID41" s="139"/>
      <c r="HIE41" s="139"/>
      <c r="HIF41" s="139"/>
      <c r="HIG41" s="139"/>
      <c r="HIH41" s="139"/>
      <c r="HII41" s="139"/>
      <c r="HIJ41" s="139"/>
      <c r="HIK41" s="139"/>
      <c r="HIL41" s="139"/>
      <c r="HIM41" s="139"/>
      <c r="HIN41" s="139"/>
      <c r="HIO41" s="139"/>
      <c r="HIP41" s="139"/>
      <c r="HIQ41" s="139"/>
      <c r="HIR41" s="139"/>
      <c r="HIS41" s="139"/>
      <c r="HIT41" s="139"/>
      <c r="HIU41" s="139"/>
      <c r="HIV41" s="139"/>
      <c r="HIW41" s="139"/>
      <c r="HIX41" s="139"/>
      <c r="HIY41" s="139"/>
      <c r="HIZ41" s="139"/>
      <c r="HJA41" s="139"/>
      <c r="HJB41" s="139"/>
      <c r="HJC41" s="139"/>
      <c r="HJD41" s="139"/>
      <c r="HJE41" s="139"/>
      <c r="HJF41" s="139"/>
      <c r="HJG41" s="139"/>
      <c r="HJH41" s="139"/>
      <c r="HJI41" s="139"/>
      <c r="HJJ41" s="139"/>
      <c r="HJK41" s="139"/>
      <c r="HJL41" s="139"/>
      <c r="HJM41" s="139"/>
      <c r="HJN41" s="139"/>
      <c r="HJO41" s="139"/>
      <c r="HJP41" s="139"/>
      <c r="HJQ41" s="139"/>
      <c r="HJR41" s="139"/>
      <c r="HJS41" s="139"/>
      <c r="HJT41" s="139"/>
      <c r="HJU41" s="139"/>
      <c r="HJV41" s="139"/>
      <c r="HJW41" s="139"/>
      <c r="HJX41" s="139"/>
      <c r="HJY41" s="139"/>
      <c r="HJZ41" s="139"/>
      <c r="HKA41" s="139"/>
      <c r="HKB41" s="139"/>
      <c r="HKC41" s="139"/>
      <c r="HKD41" s="139"/>
      <c r="HKE41" s="139"/>
      <c r="HKF41" s="139"/>
      <c r="HKG41" s="139"/>
      <c r="HKH41" s="139"/>
      <c r="HKI41" s="139"/>
      <c r="HKJ41" s="139"/>
      <c r="HKK41" s="139"/>
      <c r="HKL41" s="139"/>
      <c r="HKM41" s="139"/>
      <c r="HKN41" s="139"/>
      <c r="HKO41" s="139"/>
      <c r="HKP41" s="139"/>
      <c r="HKQ41" s="139"/>
      <c r="HKR41" s="139"/>
      <c r="HKS41" s="139"/>
      <c r="HKT41" s="139"/>
      <c r="HKU41" s="139"/>
      <c r="HKV41" s="139"/>
      <c r="HKW41" s="139"/>
      <c r="HKX41" s="139"/>
      <c r="HKY41" s="139"/>
      <c r="HKZ41" s="139"/>
      <c r="HLA41" s="139"/>
      <c r="HLB41" s="139"/>
      <c r="HLC41" s="139"/>
      <c r="HLD41" s="139"/>
      <c r="HLE41" s="139"/>
      <c r="HLF41" s="139"/>
      <c r="HLG41" s="139"/>
      <c r="HLH41" s="139"/>
      <c r="HLI41" s="139"/>
      <c r="HLJ41" s="139"/>
      <c r="HLK41" s="139"/>
      <c r="HLL41" s="139"/>
      <c r="HLM41" s="139"/>
      <c r="HLN41" s="139"/>
      <c r="HLO41" s="139"/>
      <c r="HLP41" s="139"/>
      <c r="HLQ41" s="139"/>
      <c r="HLR41" s="139"/>
      <c r="HLS41" s="139"/>
      <c r="HLT41" s="139"/>
      <c r="HLU41" s="139"/>
      <c r="HLV41" s="139"/>
      <c r="HLW41" s="139"/>
      <c r="HLX41" s="139"/>
      <c r="HLY41" s="139"/>
      <c r="HLZ41" s="139"/>
      <c r="HMA41" s="139"/>
      <c r="HMB41" s="139"/>
      <c r="HMC41" s="139"/>
      <c r="HMD41" s="139"/>
      <c r="HME41" s="139"/>
      <c r="HMF41" s="139"/>
      <c r="HMG41" s="139"/>
      <c r="HMH41" s="139"/>
      <c r="HMI41" s="139"/>
      <c r="HMJ41" s="139"/>
      <c r="HMK41" s="139"/>
      <c r="HML41" s="139"/>
      <c r="HMM41" s="139"/>
      <c r="HMN41" s="139"/>
      <c r="HMO41" s="139"/>
      <c r="HMP41" s="139"/>
      <c r="HMQ41" s="139"/>
      <c r="HMR41" s="139"/>
      <c r="HMS41" s="139"/>
      <c r="HMT41" s="139"/>
      <c r="HMU41" s="139"/>
      <c r="HMV41" s="139"/>
      <c r="HMW41" s="139"/>
      <c r="HMX41" s="139"/>
      <c r="HMY41" s="139"/>
      <c r="HMZ41" s="139"/>
      <c r="HNA41" s="139"/>
      <c r="HNB41" s="139"/>
      <c r="HNC41" s="139"/>
      <c r="HND41" s="139"/>
      <c r="HNE41" s="139"/>
      <c r="HNF41" s="139"/>
      <c r="HNG41" s="139"/>
      <c r="HNH41" s="139"/>
      <c r="HNI41" s="139"/>
      <c r="HNJ41" s="139"/>
      <c r="HNK41" s="139"/>
      <c r="HNL41" s="139"/>
      <c r="HNM41" s="139"/>
      <c r="HNN41" s="139"/>
      <c r="HNO41" s="139"/>
      <c r="HNP41" s="139"/>
      <c r="HNQ41" s="139"/>
      <c r="HNR41" s="139"/>
      <c r="HNS41" s="139"/>
      <c r="HNT41" s="139"/>
      <c r="HNU41" s="139"/>
      <c r="HNV41" s="139"/>
      <c r="HNW41" s="139"/>
      <c r="HNX41" s="139"/>
      <c r="HNY41" s="139"/>
      <c r="HNZ41" s="139"/>
      <c r="HOA41" s="139"/>
      <c r="HOB41" s="139"/>
      <c r="HOC41" s="139"/>
      <c r="HOD41" s="139"/>
      <c r="HOE41" s="139"/>
      <c r="HOF41" s="139"/>
      <c r="HOG41" s="139"/>
      <c r="HOH41" s="139"/>
      <c r="HOI41" s="139"/>
      <c r="HOJ41" s="139"/>
      <c r="HOK41" s="139"/>
      <c r="HOL41" s="139"/>
      <c r="HOM41" s="139"/>
      <c r="HON41" s="139"/>
      <c r="HOO41" s="139"/>
      <c r="HOP41" s="139"/>
      <c r="HOQ41" s="139"/>
      <c r="HOR41" s="139"/>
      <c r="HOS41" s="139"/>
      <c r="HOT41" s="139"/>
      <c r="HOU41" s="139"/>
      <c r="HOV41" s="139"/>
      <c r="HOW41" s="139"/>
      <c r="HOX41" s="139"/>
      <c r="HOY41" s="139"/>
      <c r="HOZ41" s="139"/>
      <c r="HPA41" s="139"/>
      <c r="HPB41" s="139"/>
      <c r="HPC41" s="139"/>
      <c r="HPD41" s="139"/>
      <c r="HPE41" s="139"/>
      <c r="HPF41" s="139"/>
      <c r="HPG41" s="139"/>
      <c r="HPH41" s="139"/>
      <c r="HPI41" s="139"/>
      <c r="HPJ41" s="139"/>
      <c r="HPK41" s="139"/>
      <c r="HPL41" s="139"/>
      <c r="HPM41" s="139"/>
      <c r="HPN41" s="139"/>
      <c r="HPO41" s="139"/>
      <c r="HPP41" s="139"/>
      <c r="HPQ41" s="139"/>
      <c r="HPR41" s="139"/>
      <c r="HPS41" s="139"/>
      <c r="HPT41" s="139"/>
      <c r="HPU41" s="139"/>
      <c r="HPV41" s="139"/>
      <c r="HPW41" s="139"/>
      <c r="HPX41" s="139"/>
      <c r="HPY41" s="139"/>
      <c r="HPZ41" s="139"/>
      <c r="HQA41" s="139"/>
      <c r="HQB41" s="139"/>
      <c r="HQC41" s="139"/>
      <c r="HQD41" s="139"/>
      <c r="HQE41" s="139"/>
      <c r="HQF41" s="139"/>
      <c r="HQG41" s="139"/>
      <c r="HQH41" s="139"/>
      <c r="HQI41" s="139"/>
      <c r="HQJ41" s="139"/>
      <c r="HQK41" s="139"/>
      <c r="HQL41" s="139"/>
      <c r="HQM41" s="139"/>
      <c r="HQN41" s="139"/>
      <c r="HQO41" s="139"/>
      <c r="HQP41" s="139"/>
      <c r="HQQ41" s="139"/>
      <c r="HQR41" s="139"/>
      <c r="HQS41" s="139"/>
      <c r="HQT41" s="139"/>
      <c r="HQU41" s="139"/>
      <c r="HQV41" s="139"/>
      <c r="HQW41" s="139"/>
      <c r="HQX41" s="139"/>
      <c r="HQY41" s="139"/>
      <c r="HQZ41" s="139"/>
      <c r="HRA41" s="139"/>
      <c r="HRB41" s="139"/>
      <c r="HRC41" s="139"/>
      <c r="HRD41" s="139"/>
      <c r="HRE41" s="139"/>
      <c r="HRF41" s="139"/>
      <c r="HRG41" s="139"/>
      <c r="HRH41" s="139"/>
      <c r="HRI41" s="139"/>
      <c r="HRJ41" s="139"/>
      <c r="HRK41" s="139"/>
      <c r="HRL41" s="139"/>
      <c r="HRM41" s="139"/>
      <c r="HRN41" s="139"/>
      <c r="HRO41" s="139"/>
      <c r="HRP41" s="139"/>
      <c r="HRQ41" s="139"/>
      <c r="HRR41" s="139"/>
      <c r="HRS41" s="139"/>
      <c r="HRT41" s="139"/>
      <c r="HRU41" s="139"/>
      <c r="HRV41" s="139"/>
      <c r="HRW41" s="139"/>
      <c r="HRX41" s="139"/>
      <c r="HRY41" s="139"/>
      <c r="HRZ41" s="139"/>
      <c r="HSA41" s="139"/>
      <c r="HSB41" s="139"/>
      <c r="HSC41" s="139"/>
      <c r="HSD41" s="139"/>
      <c r="HSE41" s="139"/>
      <c r="HSF41" s="139"/>
      <c r="HSG41" s="139"/>
      <c r="HSH41" s="139"/>
      <c r="HSI41" s="139"/>
      <c r="HSJ41" s="139"/>
      <c r="HSK41" s="139"/>
      <c r="HSL41" s="139"/>
      <c r="HSM41" s="139"/>
      <c r="HSN41" s="139"/>
      <c r="HSO41" s="139"/>
      <c r="HSP41" s="139"/>
      <c r="HSQ41" s="139"/>
      <c r="HSR41" s="139"/>
      <c r="HSS41" s="139"/>
      <c r="HST41" s="139"/>
      <c r="HSU41" s="139"/>
      <c r="HSV41" s="139"/>
      <c r="HSW41" s="139"/>
      <c r="HSX41" s="139"/>
      <c r="HSY41" s="139"/>
      <c r="HSZ41" s="139"/>
      <c r="HTA41" s="139"/>
      <c r="HTB41" s="139"/>
      <c r="HTC41" s="139"/>
      <c r="HTD41" s="139"/>
      <c r="HTE41" s="139"/>
      <c r="HTF41" s="139"/>
      <c r="HTG41" s="139"/>
      <c r="HTH41" s="139"/>
      <c r="HTI41" s="139"/>
      <c r="HTJ41" s="139"/>
      <c r="HTK41" s="139"/>
      <c r="HTL41" s="139"/>
      <c r="HTM41" s="139"/>
      <c r="HTN41" s="139"/>
      <c r="HTO41" s="139"/>
      <c r="HTP41" s="139"/>
      <c r="HTQ41" s="139"/>
      <c r="HTR41" s="139"/>
      <c r="HTS41" s="139"/>
      <c r="HTT41" s="139"/>
      <c r="HTU41" s="139"/>
      <c r="HTV41" s="139"/>
      <c r="HTW41" s="139"/>
      <c r="HTX41" s="139"/>
      <c r="HTY41" s="139"/>
      <c r="HTZ41" s="139"/>
      <c r="HUA41" s="139"/>
      <c r="HUB41" s="139"/>
      <c r="HUC41" s="139"/>
      <c r="HUD41" s="139"/>
      <c r="HUE41" s="139"/>
      <c r="HUF41" s="139"/>
      <c r="HUG41" s="139"/>
      <c r="HUH41" s="139"/>
      <c r="HUI41" s="139"/>
      <c r="HUJ41" s="139"/>
      <c r="HUK41" s="139"/>
      <c r="HUL41" s="139"/>
      <c r="HUM41" s="139"/>
      <c r="HUN41" s="139"/>
      <c r="HUO41" s="139"/>
      <c r="HUP41" s="139"/>
      <c r="HUQ41" s="139"/>
      <c r="HUR41" s="139"/>
      <c r="HUS41" s="139"/>
      <c r="HUT41" s="139"/>
      <c r="HUU41" s="139"/>
      <c r="HUV41" s="139"/>
      <c r="HUW41" s="139"/>
      <c r="HUX41" s="139"/>
      <c r="HUY41" s="139"/>
      <c r="HUZ41" s="139"/>
      <c r="HVA41" s="139"/>
      <c r="HVB41" s="139"/>
      <c r="HVC41" s="139"/>
      <c r="HVD41" s="139"/>
      <c r="HVE41" s="139"/>
      <c r="HVF41" s="139"/>
      <c r="HVG41" s="139"/>
      <c r="HVH41" s="139"/>
      <c r="HVI41" s="139"/>
      <c r="HVJ41" s="139"/>
      <c r="HVK41" s="139"/>
      <c r="HVL41" s="139"/>
      <c r="HVM41" s="139"/>
      <c r="HVN41" s="139"/>
      <c r="HVO41" s="139"/>
      <c r="HVP41" s="139"/>
      <c r="HVQ41" s="139"/>
      <c r="HVR41" s="139"/>
      <c r="HVS41" s="139"/>
      <c r="HVT41" s="139"/>
      <c r="HVU41" s="139"/>
      <c r="HVV41" s="139"/>
      <c r="HVW41" s="139"/>
      <c r="HVX41" s="139"/>
      <c r="HVY41" s="139"/>
      <c r="HVZ41" s="139"/>
      <c r="HWA41" s="139"/>
      <c r="HWB41" s="139"/>
      <c r="HWC41" s="139"/>
      <c r="HWD41" s="139"/>
      <c r="HWE41" s="139"/>
      <c r="HWF41" s="139"/>
      <c r="HWG41" s="139"/>
      <c r="HWH41" s="139"/>
      <c r="HWI41" s="139"/>
      <c r="HWJ41" s="139"/>
      <c r="HWK41" s="139"/>
      <c r="HWL41" s="139"/>
      <c r="HWM41" s="139"/>
      <c r="HWN41" s="139"/>
      <c r="HWO41" s="139"/>
      <c r="HWP41" s="139"/>
      <c r="HWQ41" s="139"/>
      <c r="HWR41" s="139"/>
      <c r="HWS41" s="139"/>
      <c r="HWT41" s="139"/>
      <c r="HWU41" s="139"/>
      <c r="HWV41" s="139"/>
      <c r="HWW41" s="139"/>
      <c r="HWX41" s="139"/>
      <c r="HWY41" s="139"/>
      <c r="HWZ41" s="139"/>
      <c r="HXA41" s="139"/>
      <c r="HXB41" s="139"/>
      <c r="HXC41" s="139"/>
      <c r="HXD41" s="139"/>
      <c r="HXE41" s="139"/>
      <c r="HXF41" s="139"/>
      <c r="HXG41" s="139"/>
      <c r="HXH41" s="139"/>
      <c r="HXI41" s="139"/>
      <c r="HXJ41" s="139"/>
      <c r="HXK41" s="139"/>
      <c r="HXL41" s="139"/>
      <c r="HXM41" s="139"/>
      <c r="HXN41" s="139"/>
      <c r="HXO41" s="139"/>
      <c r="HXP41" s="139"/>
      <c r="HXQ41" s="139"/>
      <c r="HXR41" s="139"/>
      <c r="HXS41" s="139"/>
      <c r="HXT41" s="139"/>
      <c r="HXU41" s="139"/>
      <c r="HXV41" s="139"/>
      <c r="HXW41" s="139"/>
      <c r="HXX41" s="139"/>
      <c r="HXY41" s="139"/>
      <c r="HXZ41" s="139"/>
      <c r="HYA41" s="139"/>
      <c r="HYB41" s="139"/>
      <c r="HYC41" s="139"/>
      <c r="HYD41" s="139"/>
      <c r="HYE41" s="139"/>
      <c r="HYF41" s="139"/>
      <c r="HYG41" s="139"/>
      <c r="HYH41" s="139"/>
      <c r="HYI41" s="139"/>
      <c r="HYJ41" s="139"/>
      <c r="HYK41" s="139"/>
      <c r="HYL41" s="139"/>
      <c r="HYM41" s="139"/>
      <c r="HYN41" s="139"/>
      <c r="HYO41" s="139"/>
      <c r="HYP41" s="139"/>
      <c r="HYQ41" s="139"/>
      <c r="HYR41" s="139"/>
      <c r="HYS41" s="139"/>
      <c r="HYT41" s="139"/>
      <c r="HYU41" s="139"/>
      <c r="HYV41" s="139"/>
      <c r="HYW41" s="139"/>
      <c r="HYX41" s="139"/>
      <c r="HYY41" s="139"/>
      <c r="HYZ41" s="139"/>
      <c r="HZA41" s="139"/>
      <c r="HZB41" s="139"/>
      <c r="HZC41" s="139"/>
      <c r="HZD41" s="139"/>
      <c r="HZE41" s="139"/>
      <c r="HZF41" s="139"/>
      <c r="HZG41" s="139"/>
      <c r="HZH41" s="139"/>
      <c r="HZI41" s="139"/>
      <c r="HZJ41" s="139"/>
      <c r="HZK41" s="139"/>
      <c r="HZL41" s="139"/>
      <c r="HZM41" s="139"/>
      <c r="HZN41" s="139"/>
      <c r="HZO41" s="139"/>
      <c r="HZP41" s="139"/>
      <c r="HZQ41" s="139"/>
      <c r="HZR41" s="139"/>
      <c r="HZS41" s="139"/>
      <c r="HZT41" s="139"/>
      <c r="HZU41" s="139"/>
      <c r="HZV41" s="139"/>
      <c r="HZW41" s="139"/>
      <c r="HZX41" s="139"/>
      <c r="HZY41" s="139"/>
      <c r="HZZ41" s="139"/>
      <c r="IAA41" s="139"/>
      <c r="IAB41" s="139"/>
      <c r="IAC41" s="139"/>
      <c r="IAD41" s="139"/>
      <c r="IAE41" s="139"/>
      <c r="IAF41" s="139"/>
      <c r="IAG41" s="139"/>
      <c r="IAH41" s="139"/>
      <c r="IAI41" s="139"/>
      <c r="IAJ41" s="139"/>
      <c r="IAK41" s="139"/>
      <c r="IAL41" s="139"/>
      <c r="IAM41" s="139"/>
      <c r="IAN41" s="139"/>
      <c r="IAO41" s="139"/>
      <c r="IAP41" s="139"/>
      <c r="IAQ41" s="139"/>
      <c r="IAR41" s="139"/>
      <c r="IAS41" s="139"/>
      <c r="IAT41" s="139"/>
      <c r="IAU41" s="139"/>
      <c r="IAV41" s="139"/>
      <c r="IAW41" s="139"/>
      <c r="IAX41" s="139"/>
      <c r="IAY41" s="139"/>
      <c r="IAZ41" s="139"/>
      <c r="IBA41" s="139"/>
      <c r="IBB41" s="139"/>
      <c r="IBC41" s="139"/>
      <c r="IBD41" s="139"/>
      <c r="IBE41" s="139"/>
      <c r="IBF41" s="139"/>
      <c r="IBG41" s="139"/>
      <c r="IBH41" s="139"/>
      <c r="IBI41" s="139"/>
      <c r="IBJ41" s="139"/>
      <c r="IBK41" s="139"/>
      <c r="IBL41" s="139"/>
      <c r="IBM41" s="139"/>
      <c r="IBN41" s="139"/>
      <c r="IBO41" s="139"/>
      <c r="IBP41" s="139"/>
      <c r="IBQ41" s="139"/>
      <c r="IBR41" s="139"/>
      <c r="IBS41" s="139"/>
      <c r="IBT41" s="139"/>
      <c r="IBU41" s="139"/>
      <c r="IBV41" s="139"/>
      <c r="IBW41" s="139"/>
      <c r="IBX41" s="139"/>
      <c r="IBY41" s="139"/>
      <c r="IBZ41" s="139"/>
      <c r="ICA41" s="139"/>
      <c r="ICB41" s="139"/>
      <c r="ICC41" s="139"/>
      <c r="ICD41" s="139"/>
      <c r="ICE41" s="139"/>
      <c r="ICF41" s="139"/>
      <c r="ICG41" s="139"/>
      <c r="ICH41" s="139"/>
      <c r="ICI41" s="139"/>
      <c r="ICJ41" s="139"/>
      <c r="ICK41" s="139"/>
      <c r="ICL41" s="139"/>
      <c r="ICM41" s="139"/>
      <c r="ICN41" s="139"/>
      <c r="ICO41" s="139"/>
      <c r="ICP41" s="139"/>
      <c r="ICQ41" s="139"/>
      <c r="ICR41" s="139"/>
      <c r="ICS41" s="139"/>
      <c r="ICT41" s="139"/>
      <c r="ICU41" s="139"/>
      <c r="ICV41" s="139"/>
      <c r="ICW41" s="139"/>
      <c r="ICX41" s="139"/>
      <c r="ICY41" s="139"/>
      <c r="ICZ41" s="139"/>
      <c r="IDA41" s="139"/>
      <c r="IDB41" s="139"/>
      <c r="IDC41" s="139"/>
      <c r="IDD41" s="139"/>
      <c r="IDE41" s="139"/>
      <c r="IDF41" s="139"/>
      <c r="IDG41" s="139"/>
      <c r="IDH41" s="139"/>
      <c r="IDI41" s="139"/>
      <c r="IDJ41" s="139"/>
      <c r="IDK41" s="139"/>
      <c r="IDL41" s="139"/>
      <c r="IDM41" s="139"/>
      <c r="IDN41" s="139"/>
      <c r="IDO41" s="139"/>
      <c r="IDP41" s="139"/>
      <c r="IDQ41" s="139"/>
      <c r="IDR41" s="139"/>
      <c r="IDS41" s="139"/>
      <c r="IDT41" s="139"/>
      <c r="IDU41" s="139"/>
      <c r="IDV41" s="139"/>
      <c r="IDW41" s="139"/>
      <c r="IDX41" s="139"/>
      <c r="IDY41" s="139"/>
      <c r="IDZ41" s="139"/>
      <c r="IEA41" s="139"/>
      <c r="IEB41" s="139"/>
      <c r="IEC41" s="139"/>
      <c r="IED41" s="139"/>
      <c r="IEE41" s="139"/>
      <c r="IEF41" s="139"/>
      <c r="IEG41" s="139"/>
      <c r="IEH41" s="139"/>
      <c r="IEI41" s="139"/>
      <c r="IEJ41" s="139"/>
      <c r="IEK41" s="139"/>
      <c r="IEL41" s="139"/>
      <c r="IEM41" s="139"/>
      <c r="IEN41" s="139"/>
      <c r="IEO41" s="139"/>
      <c r="IEP41" s="139"/>
      <c r="IEQ41" s="139"/>
      <c r="IER41" s="139"/>
      <c r="IES41" s="139"/>
      <c r="IET41" s="139"/>
      <c r="IEU41" s="139"/>
      <c r="IEV41" s="139"/>
      <c r="IEW41" s="139"/>
      <c r="IEX41" s="139"/>
      <c r="IEY41" s="139"/>
      <c r="IEZ41" s="139"/>
      <c r="IFA41" s="139"/>
      <c r="IFB41" s="139"/>
      <c r="IFC41" s="139"/>
      <c r="IFD41" s="139"/>
      <c r="IFE41" s="139"/>
      <c r="IFF41" s="139"/>
      <c r="IFG41" s="139"/>
      <c r="IFH41" s="139"/>
      <c r="IFI41" s="139"/>
      <c r="IFJ41" s="139"/>
      <c r="IFK41" s="139"/>
      <c r="IFL41" s="139"/>
      <c r="IFM41" s="139"/>
      <c r="IFN41" s="139"/>
      <c r="IFO41" s="139"/>
      <c r="IFP41" s="139"/>
      <c r="IFQ41" s="139"/>
      <c r="IFR41" s="139"/>
      <c r="IFS41" s="139"/>
      <c r="IFT41" s="139"/>
      <c r="IFU41" s="139"/>
      <c r="IFV41" s="139"/>
      <c r="IFW41" s="139"/>
      <c r="IFX41" s="139"/>
      <c r="IFY41" s="139"/>
      <c r="IFZ41" s="139"/>
      <c r="IGA41" s="139"/>
      <c r="IGB41" s="139"/>
      <c r="IGC41" s="139"/>
      <c r="IGD41" s="139"/>
      <c r="IGE41" s="139"/>
      <c r="IGF41" s="139"/>
      <c r="IGG41" s="139"/>
      <c r="IGH41" s="139"/>
      <c r="IGI41" s="139"/>
      <c r="IGJ41" s="139"/>
      <c r="IGK41" s="139"/>
      <c r="IGL41" s="139"/>
      <c r="IGM41" s="139"/>
      <c r="IGN41" s="139"/>
      <c r="IGO41" s="139"/>
      <c r="IGP41" s="139"/>
      <c r="IGQ41" s="139"/>
      <c r="IGR41" s="139"/>
      <c r="IGS41" s="139"/>
      <c r="IGT41" s="139"/>
      <c r="IGU41" s="139"/>
      <c r="IGV41" s="139"/>
      <c r="IGW41" s="139"/>
      <c r="IGX41" s="139"/>
      <c r="IGY41" s="139"/>
      <c r="IGZ41" s="139"/>
      <c r="IHA41" s="139"/>
      <c r="IHB41" s="139"/>
      <c r="IHC41" s="139"/>
      <c r="IHD41" s="139"/>
      <c r="IHE41" s="139"/>
      <c r="IHF41" s="139"/>
      <c r="IHG41" s="139"/>
      <c r="IHH41" s="139"/>
      <c r="IHI41" s="139"/>
      <c r="IHJ41" s="139"/>
      <c r="IHK41" s="139"/>
      <c r="IHL41" s="139"/>
      <c r="IHM41" s="139"/>
      <c r="IHN41" s="139"/>
      <c r="IHO41" s="139"/>
      <c r="IHP41" s="139"/>
      <c r="IHQ41" s="139"/>
      <c r="IHR41" s="139"/>
      <c r="IHS41" s="139"/>
      <c r="IHT41" s="139"/>
      <c r="IHU41" s="139"/>
      <c r="IHV41" s="139"/>
      <c r="IHW41" s="139"/>
      <c r="IHX41" s="139"/>
      <c r="IHY41" s="139"/>
      <c r="IHZ41" s="139"/>
      <c r="IIA41" s="139"/>
      <c r="IIB41" s="139"/>
      <c r="IIC41" s="139"/>
      <c r="IID41" s="139"/>
      <c r="IIE41" s="139"/>
      <c r="IIF41" s="139"/>
      <c r="IIG41" s="139"/>
      <c r="IIH41" s="139"/>
      <c r="III41" s="139"/>
      <c r="IIJ41" s="139"/>
      <c r="IIK41" s="139"/>
      <c r="IIL41" s="139"/>
      <c r="IIM41" s="139"/>
      <c r="IIN41" s="139"/>
      <c r="IIO41" s="139"/>
      <c r="IIP41" s="139"/>
      <c r="IIQ41" s="139"/>
      <c r="IIR41" s="139"/>
      <c r="IIS41" s="139"/>
      <c r="IIT41" s="139"/>
      <c r="IIU41" s="139"/>
      <c r="IIV41" s="139"/>
      <c r="IIW41" s="139"/>
      <c r="IIX41" s="139"/>
      <c r="IIY41" s="139"/>
      <c r="IIZ41" s="139"/>
      <c r="IJA41" s="139"/>
      <c r="IJB41" s="139"/>
      <c r="IJC41" s="139"/>
      <c r="IJD41" s="139"/>
      <c r="IJE41" s="139"/>
      <c r="IJF41" s="139"/>
      <c r="IJG41" s="139"/>
      <c r="IJH41" s="139"/>
      <c r="IJI41" s="139"/>
      <c r="IJJ41" s="139"/>
      <c r="IJK41" s="139"/>
      <c r="IJL41" s="139"/>
      <c r="IJM41" s="139"/>
      <c r="IJN41" s="139"/>
      <c r="IJO41" s="139"/>
      <c r="IJP41" s="139"/>
      <c r="IJQ41" s="139"/>
      <c r="IJR41" s="139"/>
      <c r="IJS41" s="139"/>
      <c r="IJT41" s="139"/>
      <c r="IJU41" s="139"/>
      <c r="IJV41" s="139"/>
      <c r="IJW41" s="139"/>
      <c r="IJX41" s="139"/>
      <c r="IJY41" s="139"/>
      <c r="IJZ41" s="139"/>
      <c r="IKA41" s="139"/>
      <c r="IKB41" s="139"/>
      <c r="IKC41" s="139"/>
      <c r="IKD41" s="139"/>
      <c r="IKE41" s="139"/>
      <c r="IKF41" s="139"/>
      <c r="IKG41" s="139"/>
      <c r="IKH41" s="139"/>
      <c r="IKI41" s="139"/>
      <c r="IKJ41" s="139"/>
      <c r="IKK41" s="139"/>
      <c r="IKL41" s="139"/>
      <c r="IKM41" s="139"/>
      <c r="IKN41" s="139"/>
      <c r="IKO41" s="139"/>
      <c r="IKP41" s="139"/>
      <c r="IKQ41" s="139"/>
      <c r="IKR41" s="139"/>
      <c r="IKS41" s="139"/>
      <c r="IKT41" s="139"/>
      <c r="IKU41" s="139"/>
      <c r="IKV41" s="139"/>
      <c r="IKW41" s="139"/>
      <c r="IKX41" s="139"/>
      <c r="IKY41" s="139"/>
      <c r="IKZ41" s="139"/>
      <c r="ILA41" s="139"/>
      <c r="ILB41" s="139"/>
      <c r="ILC41" s="139"/>
      <c r="ILD41" s="139"/>
      <c r="ILE41" s="139"/>
      <c r="ILF41" s="139"/>
      <c r="ILG41" s="139"/>
      <c r="ILH41" s="139"/>
      <c r="ILI41" s="139"/>
      <c r="ILJ41" s="139"/>
      <c r="ILK41" s="139"/>
      <c r="ILL41" s="139"/>
      <c r="ILM41" s="139"/>
      <c r="ILN41" s="139"/>
      <c r="ILO41" s="139"/>
      <c r="ILP41" s="139"/>
      <c r="ILQ41" s="139"/>
      <c r="ILR41" s="139"/>
      <c r="ILS41" s="139"/>
      <c r="ILT41" s="139"/>
      <c r="ILU41" s="139"/>
      <c r="ILV41" s="139"/>
      <c r="ILW41" s="139"/>
      <c r="ILX41" s="139"/>
      <c r="ILY41" s="139"/>
      <c r="ILZ41" s="139"/>
      <c r="IMA41" s="139"/>
      <c r="IMB41" s="139"/>
      <c r="IMC41" s="139"/>
      <c r="IMD41" s="139"/>
      <c r="IME41" s="139"/>
      <c r="IMF41" s="139"/>
      <c r="IMG41" s="139"/>
      <c r="IMH41" s="139"/>
      <c r="IMI41" s="139"/>
      <c r="IMJ41" s="139"/>
      <c r="IMK41" s="139"/>
      <c r="IML41" s="139"/>
      <c r="IMM41" s="139"/>
      <c r="IMN41" s="139"/>
      <c r="IMO41" s="139"/>
      <c r="IMP41" s="139"/>
      <c r="IMQ41" s="139"/>
      <c r="IMR41" s="139"/>
      <c r="IMS41" s="139"/>
      <c r="IMT41" s="139"/>
      <c r="IMU41" s="139"/>
      <c r="IMV41" s="139"/>
      <c r="IMW41" s="139"/>
      <c r="IMX41" s="139"/>
      <c r="IMY41" s="139"/>
      <c r="IMZ41" s="139"/>
      <c r="INA41" s="139"/>
      <c r="INB41" s="139"/>
      <c r="INC41" s="139"/>
      <c r="IND41" s="139"/>
      <c r="INE41" s="139"/>
      <c r="INF41" s="139"/>
      <c r="ING41" s="139"/>
      <c r="INH41" s="139"/>
      <c r="INI41" s="139"/>
      <c r="INJ41" s="139"/>
      <c r="INK41" s="139"/>
      <c r="INL41" s="139"/>
      <c r="INM41" s="139"/>
      <c r="INN41" s="139"/>
      <c r="INO41" s="139"/>
      <c r="INP41" s="139"/>
      <c r="INQ41" s="139"/>
      <c r="INR41" s="139"/>
      <c r="INS41" s="139"/>
      <c r="INT41" s="139"/>
      <c r="INU41" s="139"/>
      <c r="INV41" s="139"/>
      <c r="INW41" s="139"/>
      <c r="INX41" s="139"/>
      <c r="INY41" s="139"/>
      <c r="INZ41" s="139"/>
      <c r="IOA41" s="139"/>
      <c r="IOB41" s="139"/>
      <c r="IOC41" s="139"/>
      <c r="IOD41" s="139"/>
      <c r="IOE41" s="139"/>
      <c r="IOF41" s="139"/>
      <c r="IOG41" s="139"/>
      <c r="IOH41" s="139"/>
      <c r="IOI41" s="139"/>
      <c r="IOJ41" s="139"/>
      <c r="IOK41" s="139"/>
      <c r="IOL41" s="139"/>
      <c r="IOM41" s="139"/>
      <c r="ION41" s="139"/>
      <c r="IOO41" s="139"/>
      <c r="IOP41" s="139"/>
      <c r="IOQ41" s="139"/>
      <c r="IOR41" s="139"/>
      <c r="IOS41" s="139"/>
      <c r="IOT41" s="139"/>
      <c r="IOU41" s="139"/>
      <c r="IOV41" s="139"/>
      <c r="IOW41" s="139"/>
      <c r="IOX41" s="139"/>
      <c r="IOY41" s="139"/>
      <c r="IOZ41" s="139"/>
      <c r="IPA41" s="139"/>
      <c r="IPB41" s="139"/>
      <c r="IPC41" s="139"/>
      <c r="IPD41" s="139"/>
      <c r="IPE41" s="139"/>
      <c r="IPF41" s="139"/>
      <c r="IPG41" s="139"/>
      <c r="IPH41" s="139"/>
      <c r="IPI41" s="139"/>
      <c r="IPJ41" s="139"/>
      <c r="IPK41" s="139"/>
      <c r="IPL41" s="139"/>
      <c r="IPM41" s="139"/>
      <c r="IPN41" s="139"/>
      <c r="IPO41" s="139"/>
      <c r="IPP41" s="139"/>
      <c r="IPQ41" s="139"/>
      <c r="IPR41" s="139"/>
      <c r="IPS41" s="139"/>
      <c r="IPT41" s="139"/>
      <c r="IPU41" s="139"/>
      <c r="IPV41" s="139"/>
      <c r="IPW41" s="139"/>
      <c r="IPX41" s="139"/>
      <c r="IPY41" s="139"/>
      <c r="IPZ41" s="139"/>
      <c r="IQA41" s="139"/>
      <c r="IQB41" s="139"/>
      <c r="IQC41" s="139"/>
      <c r="IQD41" s="139"/>
      <c r="IQE41" s="139"/>
      <c r="IQF41" s="139"/>
      <c r="IQG41" s="139"/>
      <c r="IQH41" s="139"/>
      <c r="IQI41" s="139"/>
      <c r="IQJ41" s="139"/>
      <c r="IQK41" s="139"/>
      <c r="IQL41" s="139"/>
      <c r="IQM41" s="139"/>
      <c r="IQN41" s="139"/>
      <c r="IQO41" s="139"/>
      <c r="IQP41" s="139"/>
      <c r="IQQ41" s="139"/>
      <c r="IQR41" s="139"/>
      <c r="IQS41" s="139"/>
      <c r="IQT41" s="139"/>
      <c r="IQU41" s="139"/>
      <c r="IQV41" s="139"/>
      <c r="IQW41" s="139"/>
      <c r="IQX41" s="139"/>
      <c r="IQY41" s="139"/>
      <c r="IQZ41" s="139"/>
      <c r="IRA41" s="139"/>
      <c r="IRB41" s="139"/>
      <c r="IRC41" s="139"/>
      <c r="IRD41" s="139"/>
      <c r="IRE41" s="139"/>
      <c r="IRF41" s="139"/>
      <c r="IRG41" s="139"/>
      <c r="IRH41" s="139"/>
      <c r="IRI41" s="139"/>
      <c r="IRJ41" s="139"/>
      <c r="IRK41" s="139"/>
      <c r="IRL41" s="139"/>
      <c r="IRM41" s="139"/>
      <c r="IRN41" s="139"/>
      <c r="IRO41" s="139"/>
      <c r="IRP41" s="139"/>
      <c r="IRQ41" s="139"/>
      <c r="IRR41" s="139"/>
      <c r="IRS41" s="139"/>
      <c r="IRT41" s="139"/>
      <c r="IRU41" s="139"/>
      <c r="IRV41" s="139"/>
      <c r="IRW41" s="139"/>
      <c r="IRX41" s="139"/>
      <c r="IRY41" s="139"/>
      <c r="IRZ41" s="139"/>
      <c r="ISA41" s="139"/>
      <c r="ISB41" s="139"/>
      <c r="ISC41" s="139"/>
      <c r="ISD41" s="139"/>
      <c r="ISE41" s="139"/>
      <c r="ISF41" s="139"/>
      <c r="ISG41" s="139"/>
      <c r="ISH41" s="139"/>
      <c r="ISI41" s="139"/>
      <c r="ISJ41" s="139"/>
      <c r="ISK41" s="139"/>
      <c r="ISL41" s="139"/>
      <c r="ISM41" s="139"/>
      <c r="ISN41" s="139"/>
      <c r="ISO41" s="139"/>
      <c r="ISP41" s="139"/>
      <c r="ISQ41" s="139"/>
      <c r="ISR41" s="139"/>
      <c r="ISS41" s="139"/>
      <c r="IST41" s="139"/>
      <c r="ISU41" s="139"/>
      <c r="ISV41" s="139"/>
      <c r="ISW41" s="139"/>
      <c r="ISX41" s="139"/>
      <c r="ISY41" s="139"/>
      <c r="ISZ41" s="139"/>
      <c r="ITA41" s="139"/>
      <c r="ITB41" s="139"/>
      <c r="ITC41" s="139"/>
      <c r="ITD41" s="139"/>
      <c r="ITE41" s="139"/>
      <c r="ITF41" s="139"/>
      <c r="ITG41" s="139"/>
      <c r="ITH41" s="139"/>
      <c r="ITI41" s="139"/>
      <c r="ITJ41" s="139"/>
      <c r="ITK41" s="139"/>
      <c r="ITL41" s="139"/>
      <c r="ITM41" s="139"/>
      <c r="ITN41" s="139"/>
      <c r="ITO41" s="139"/>
      <c r="ITP41" s="139"/>
      <c r="ITQ41" s="139"/>
      <c r="ITR41" s="139"/>
      <c r="ITS41" s="139"/>
      <c r="ITT41" s="139"/>
      <c r="ITU41" s="139"/>
      <c r="ITV41" s="139"/>
      <c r="ITW41" s="139"/>
      <c r="ITX41" s="139"/>
      <c r="ITY41" s="139"/>
      <c r="ITZ41" s="139"/>
      <c r="IUA41" s="139"/>
      <c r="IUB41" s="139"/>
      <c r="IUC41" s="139"/>
      <c r="IUD41" s="139"/>
      <c r="IUE41" s="139"/>
      <c r="IUF41" s="139"/>
      <c r="IUG41" s="139"/>
      <c r="IUH41" s="139"/>
      <c r="IUI41" s="139"/>
      <c r="IUJ41" s="139"/>
      <c r="IUK41" s="139"/>
      <c r="IUL41" s="139"/>
      <c r="IUM41" s="139"/>
      <c r="IUN41" s="139"/>
      <c r="IUO41" s="139"/>
      <c r="IUP41" s="139"/>
      <c r="IUQ41" s="139"/>
      <c r="IUR41" s="139"/>
      <c r="IUS41" s="139"/>
      <c r="IUT41" s="139"/>
      <c r="IUU41" s="139"/>
      <c r="IUV41" s="139"/>
      <c r="IUW41" s="139"/>
      <c r="IUX41" s="139"/>
      <c r="IUY41" s="139"/>
      <c r="IUZ41" s="139"/>
      <c r="IVA41" s="139"/>
      <c r="IVB41" s="139"/>
      <c r="IVC41" s="139"/>
      <c r="IVD41" s="139"/>
      <c r="IVE41" s="139"/>
      <c r="IVF41" s="139"/>
      <c r="IVG41" s="139"/>
      <c r="IVH41" s="139"/>
      <c r="IVI41" s="139"/>
      <c r="IVJ41" s="139"/>
      <c r="IVK41" s="139"/>
      <c r="IVL41" s="139"/>
      <c r="IVM41" s="139"/>
      <c r="IVN41" s="139"/>
      <c r="IVO41" s="139"/>
      <c r="IVP41" s="139"/>
      <c r="IVQ41" s="139"/>
      <c r="IVR41" s="139"/>
      <c r="IVS41" s="139"/>
      <c r="IVT41" s="139"/>
      <c r="IVU41" s="139"/>
      <c r="IVV41" s="139"/>
      <c r="IVW41" s="139"/>
      <c r="IVX41" s="139"/>
      <c r="IVY41" s="139"/>
      <c r="IVZ41" s="139"/>
      <c r="IWA41" s="139"/>
      <c r="IWB41" s="139"/>
      <c r="IWC41" s="139"/>
      <c r="IWD41" s="139"/>
      <c r="IWE41" s="139"/>
      <c r="IWF41" s="139"/>
      <c r="IWG41" s="139"/>
      <c r="IWH41" s="139"/>
      <c r="IWI41" s="139"/>
      <c r="IWJ41" s="139"/>
      <c r="IWK41" s="139"/>
      <c r="IWL41" s="139"/>
      <c r="IWM41" s="139"/>
      <c r="IWN41" s="139"/>
      <c r="IWO41" s="139"/>
      <c r="IWP41" s="139"/>
      <c r="IWQ41" s="139"/>
      <c r="IWR41" s="139"/>
      <c r="IWS41" s="139"/>
      <c r="IWT41" s="139"/>
      <c r="IWU41" s="139"/>
      <c r="IWV41" s="139"/>
      <c r="IWW41" s="139"/>
      <c r="IWX41" s="139"/>
      <c r="IWY41" s="139"/>
      <c r="IWZ41" s="139"/>
      <c r="IXA41" s="139"/>
      <c r="IXB41" s="139"/>
      <c r="IXC41" s="139"/>
      <c r="IXD41" s="139"/>
      <c r="IXE41" s="139"/>
      <c r="IXF41" s="139"/>
      <c r="IXG41" s="139"/>
      <c r="IXH41" s="139"/>
      <c r="IXI41" s="139"/>
      <c r="IXJ41" s="139"/>
      <c r="IXK41" s="139"/>
      <c r="IXL41" s="139"/>
      <c r="IXM41" s="139"/>
      <c r="IXN41" s="139"/>
      <c r="IXO41" s="139"/>
      <c r="IXP41" s="139"/>
      <c r="IXQ41" s="139"/>
      <c r="IXR41" s="139"/>
      <c r="IXS41" s="139"/>
      <c r="IXT41" s="139"/>
      <c r="IXU41" s="139"/>
      <c r="IXV41" s="139"/>
      <c r="IXW41" s="139"/>
      <c r="IXX41" s="139"/>
      <c r="IXY41" s="139"/>
      <c r="IXZ41" s="139"/>
      <c r="IYA41" s="139"/>
      <c r="IYB41" s="139"/>
      <c r="IYC41" s="139"/>
      <c r="IYD41" s="139"/>
      <c r="IYE41" s="139"/>
      <c r="IYF41" s="139"/>
      <c r="IYG41" s="139"/>
      <c r="IYH41" s="139"/>
      <c r="IYI41" s="139"/>
      <c r="IYJ41" s="139"/>
      <c r="IYK41" s="139"/>
      <c r="IYL41" s="139"/>
      <c r="IYM41" s="139"/>
      <c r="IYN41" s="139"/>
      <c r="IYO41" s="139"/>
      <c r="IYP41" s="139"/>
      <c r="IYQ41" s="139"/>
      <c r="IYR41" s="139"/>
      <c r="IYS41" s="139"/>
      <c r="IYT41" s="139"/>
      <c r="IYU41" s="139"/>
      <c r="IYV41" s="139"/>
      <c r="IYW41" s="139"/>
      <c r="IYX41" s="139"/>
      <c r="IYY41" s="139"/>
      <c r="IYZ41" s="139"/>
      <c r="IZA41" s="139"/>
      <c r="IZB41" s="139"/>
      <c r="IZC41" s="139"/>
      <c r="IZD41" s="139"/>
      <c r="IZE41" s="139"/>
      <c r="IZF41" s="139"/>
      <c r="IZG41" s="139"/>
      <c r="IZH41" s="139"/>
      <c r="IZI41" s="139"/>
      <c r="IZJ41" s="139"/>
      <c r="IZK41" s="139"/>
      <c r="IZL41" s="139"/>
      <c r="IZM41" s="139"/>
      <c r="IZN41" s="139"/>
      <c r="IZO41" s="139"/>
      <c r="IZP41" s="139"/>
      <c r="IZQ41" s="139"/>
      <c r="IZR41" s="139"/>
      <c r="IZS41" s="139"/>
      <c r="IZT41" s="139"/>
      <c r="IZU41" s="139"/>
      <c r="IZV41" s="139"/>
      <c r="IZW41" s="139"/>
      <c r="IZX41" s="139"/>
      <c r="IZY41" s="139"/>
      <c r="IZZ41" s="139"/>
      <c r="JAA41" s="139"/>
      <c r="JAB41" s="139"/>
      <c r="JAC41" s="139"/>
      <c r="JAD41" s="139"/>
      <c r="JAE41" s="139"/>
      <c r="JAF41" s="139"/>
      <c r="JAG41" s="139"/>
      <c r="JAH41" s="139"/>
      <c r="JAI41" s="139"/>
      <c r="JAJ41" s="139"/>
      <c r="JAK41" s="139"/>
      <c r="JAL41" s="139"/>
      <c r="JAM41" s="139"/>
      <c r="JAN41" s="139"/>
      <c r="JAO41" s="139"/>
      <c r="JAP41" s="139"/>
      <c r="JAQ41" s="139"/>
      <c r="JAR41" s="139"/>
      <c r="JAS41" s="139"/>
      <c r="JAT41" s="139"/>
      <c r="JAU41" s="139"/>
      <c r="JAV41" s="139"/>
      <c r="JAW41" s="139"/>
      <c r="JAX41" s="139"/>
      <c r="JAY41" s="139"/>
      <c r="JAZ41" s="139"/>
      <c r="JBA41" s="139"/>
      <c r="JBB41" s="139"/>
      <c r="JBC41" s="139"/>
      <c r="JBD41" s="139"/>
      <c r="JBE41" s="139"/>
      <c r="JBF41" s="139"/>
      <c r="JBG41" s="139"/>
      <c r="JBH41" s="139"/>
      <c r="JBI41" s="139"/>
      <c r="JBJ41" s="139"/>
      <c r="JBK41" s="139"/>
      <c r="JBL41" s="139"/>
      <c r="JBM41" s="139"/>
      <c r="JBN41" s="139"/>
      <c r="JBO41" s="139"/>
      <c r="JBP41" s="139"/>
      <c r="JBQ41" s="139"/>
      <c r="JBR41" s="139"/>
      <c r="JBS41" s="139"/>
      <c r="JBT41" s="139"/>
      <c r="JBU41" s="139"/>
      <c r="JBV41" s="139"/>
      <c r="JBW41" s="139"/>
      <c r="JBX41" s="139"/>
      <c r="JBY41" s="139"/>
      <c r="JBZ41" s="139"/>
      <c r="JCA41" s="139"/>
      <c r="JCB41" s="139"/>
      <c r="JCC41" s="139"/>
      <c r="JCD41" s="139"/>
      <c r="JCE41" s="139"/>
      <c r="JCF41" s="139"/>
      <c r="JCG41" s="139"/>
      <c r="JCH41" s="139"/>
      <c r="JCI41" s="139"/>
      <c r="JCJ41" s="139"/>
      <c r="JCK41" s="139"/>
      <c r="JCL41" s="139"/>
      <c r="JCM41" s="139"/>
      <c r="JCN41" s="139"/>
      <c r="JCO41" s="139"/>
      <c r="JCP41" s="139"/>
      <c r="JCQ41" s="139"/>
      <c r="JCR41" s="139"/>
      <c r="JCS41" s="139"/>
      <c r="JCT41" s="139"/>
      <c r="JCU41" s="139"/>
      <c r="JCV41" s="139"/>
      <c r="JCW41" s="139"/>
      <c r="JCX41" s="139"/>
      <c r="JCY41" s="139"/>
      <c r="JCZ41" s="139"/>
      <c r="JDA41" s="139"/>
      <c r="JDB41" s="139"/>
      <c r="JDC41" s="139"/>
      <c r="JDD41" s="139"/>
      <c r="JDE41" s="139"/>
      <c r="JDF41" s="139"/>
      <c r="JDG41" s="139"/>
      <c r="JDH41" s="139"/>
      <c r="JDI41" s="139"/>
      <c r="JDJ41" s="139"/>
      <c r="JDK41" s="139"/>
      <c r="JDL41" s="139"/>
      <c r="JDM41" s="139"/>
      <c r="JDN41" s="139"/>
      <c r="JDO41" s="139"/>
      <c r="JDP41" s="139"/>
      <c r="JDQ41" s="139"/>
      <c r="JDR41" s="139"/>
      <c r="JDS41" s="139"/>
      <c r="JDT41" s="139"/>
      <c r="JDU41" s="139"/>
      <c r="JDV41" s="139"/>
      <c r="JDW41" s="139"/>
      <c r="JDX41" s="139"/>
      <c r="JDY41" s="139"/>
      <c r="JDZ41" s="139"/>
      <c r="JEA41" s="139"/>
      <c r="JEB41" s="139"/>
      <c r="JEC41" s="139"/>
      <c r="JED41" s="139"/>
      <c r="JEE41" s="139"/>
      <c r="JEF41" s="139"/>
      <c r="JEG41" s="139"/>
      <c r="JEH41" s="139"/>
      <c r="JEI41" s="139"/>
      <c r="JEJ41" s="139"/>
      <c r="JEK41" s="139"/>
      <c r="JEL41" s="139"/>
      <c r="JEM41" s="139"/>
      <c r="JEN41" s="139"/>
      <c r="JEO41" s="139"/>
      <c r="JEP41" s="139"/>
      <c r="JEQ41" s="139"/>
      <c r="JER41" s="139"/>
      <c r="JES41" s="139"/>
      <c r="JET41" s="139"/>
      <c r="JEU41" s="139"/>
      <c r="JEV41" s="139"/>
      <c r="JEW41" s="139"/>
      <c r="JEX41" s="139"/>
      <c r="JEY41" s="139"/>
      <c r="JEZ41" s="139"/>
      <c r="JFA41" s="139"/>
      <c r="JFB41" s="139"/>
      <c r="JFC41" s="139"/>
      <c r="JFD41" s="139"/>
      <c r="JFE41" s="139"/>
      <c r="JFF41" s="139"/>
      <c r="JFG41" s="139"/>
      <c r="JFH41" s="139"/>
      <c r="JFI41" s="139"/>
      <c r="JFJ41" s="139"/>
      <c r="JFK41" s="139"/>
      <c r="JFL41" s="139"/>
      <c r="JFM41" s="139"/>
      <c r="JFN41" s="139"/>
      <c r="JFO41" s="139"/>
      <c r="JFP41" s="139"/>
      <c r="JFQ41" s="139"/>
      <c r="JFR41" s="139"/>
      <c r="JFS41" s="139"/>
      <c r="JFT41" s="139"/>
      <c r="JFU41" s="139"/>
      <c r="JFV41" s="139"/>
      <c r="JFW41" s="139"/>
      <c r="JFX41" s="139"/>
      <c r="JFY41" s="139"/>
      <c r="JFZ41" s="139"/>
      <c r="JGA41" s="139"/>
      <c r="JGB41" s="139"/>
      <c r="JGC41" s="139"/>
      <c r="JGD41" s="139"/>
      <c r="JGE41" s="139"/>
      <c r="JGF41" s="139"/>
      <c r="JGG41" s="139"/>
      <c r="JGH41" s="139"/>
      <c r="JGI41" s="139"/>
      <c r="JGJ41" s="139"/>
      <c r="JGK41" s="139"/>
      <c r="JGL41" s="139"/>
      <c r="JGM41" s="139"/>
      <c r="JGN41" s="139"/>
      <c r="JGO41" s="139"/>
      <c r="JGP41" s="139"/>
      <c r="JGQ41" s="139"/>
      <c r="JGR41" s="139"/>
      <c r="JGS41" s="139"/>
      <c r="JGT41" s="139"/>
      <c r="JGU41" s="139"/>
      <c r="JGV41" s="139"/>
      <c r="JGW41" s="139"/>
      <c r="JGX41" s="139"/>
      <c r="JGY41" s="139"/>
      <c r="JGZ41" s="139"/>
      <c r="JHA41" s="139"/>
      <c r="JHB41" s="139"/>
      <c r="JHC41" s="139"/>
      <c r="JHD41" s="139"/>
      <c r="JHE41" s="139"/>
      <c r="JHF41" s="139"/>
      <c r="JHG41" s="139"/>
      <c r="JHH41" s="139"/>
      <c r="JHI41" s="139"/>
      <c r="JHJ41" s="139"/>
      <c r="JHK41" s="139"/>
      <c r="JHL41" s="139"/>
      <c r="JHM41" s="139"/>
      <c r="JHN41" s="139"/>
      <c r="JHO41" s="139"/>
      <c r="JHP41" s="139"/>
      <c r="JHQ41" s="139"/>
      <c r="JHR41" s="139"/>
      <c r="JHS41" s="139"/>
      <c r="JHT41" s="139"/>
      <c r="JHU41" s="139"/>
      <c r="JHV41" s="139"/>
      <c r="JHW41" s="139"/>
      <c r="JHX41" s="139"/>
      <c r="JHY41" s="139"/>
      <c r="JHZ41" s="139"/>
      <c r="JIA41" s="139"/>
      <c r="JIB41" s="139"/>
      <c r="JIC41" s="139"/>
      <c r="JID41" s="139"/>
      <c r="JIE41" s="139"/>
      <c r="JIF41" s="139"/>
      <c r="JIG41" s="139"/>
      <c r="JIH41" s="139"/>
      <c r="JII41" s="139"/>
      <c r="JIJ41" s="139"/>
      <c r="JIK41" s="139"/>
      <c r="JIL41" s="139"/>
      <c r="JIM41" s="139"/>
      <c r="JIN41" s="139"/>
      <c r="JIO41" s="139"/>
      <c r="JIP41" s="139"/>
      <c r="JIQ41" s="139"/>
      <c r="JIR41" s="139"/>
      <c r="JIS41" s="139"/>
      <c r="JIT41" s="139"/>
      <c r="JIU41" s="139"/>
      <c r="JIV41" s="139"/>
      <c r="JIW41" s="139"/>
      <c r="JIX41" s="139"/>
      <c r="JIY41" s="139"/>
      <c r="JIZ41" s="139"/>
      <c r="JJA41" s="139"/>
      <c r="JJB41" s="139"/>
      <c r="JJC41" s="139"/>
      <c r="JJD41" s="139"/>
      <c r="JJE41" s="139"/>
      <c r="JJF41" s="139"/>
      <c r="JJG41" s="139"/>
      <c r="JJH41" s="139"/>
      <c r="JJI41" s="139"/>
      <c r="JJJ41" s="139"/>
      <c r="JJK41" s="139"/>
      <c r="JJL41" s="139"/>
      <c r="JJM41" s="139"/>
      <c r="JJN41" s="139"/>
      <c r="JJO41" s="139"/>
      <c r="JJP41" s="139"/>
      <c r="JJQ41" s="139"/>
      <c r="JJR41" s="139"/>
      <c r="JJS41" s="139"/>
      <c r="JJT41" s="139"/>
      <c r="JJU41" s="139"/>
      <c r="JJV41" s="139"/>
      <c r="JJW41" s="139"/>
      <c r="JJX41" s="139"/>
      <c r="JJY41" s="139"/>
      <c r="JJZ41" s="139"/>
      <c r="JKA41" s="139"/>
      <c r="JKB41" s="139"/>
      <c r="JKC41" s="139"/>
      <c r="JKD41" s="139"/>
      <c r="JKE41" s="139"/>
      <c r="JKF41" s="139"/>
      <c r="JKG41" s="139"/>
      <c r="JKH41" s="139"/>
      <c r="JKI41" s="139"/>
      <c r="JKJ41" s="139"/>
      <c r="JKK41" s="139"/>
      <c r="JKL41" s="139"/>
      <c r="JKM41" s="139"/>
      <c r="JKN41" s="139"/>
      <c r="JKO41" s="139"/>
      <c r="JKP41" s="139"/>
      <c r="JKQ41" s="139"/>
      <c r="JKR41" s="139"/>
      <c r="JKS41" s="139"/>
      <c r="JKT41" s="139"/>
      <c r="JKU41" s="139"/>
      <c r="JKV41" s="139"/>
      <c r="JKW41" s="139"/>
      <c r="JKX41" s="139"/>
      <c r="JKY41" s="139"/>
      <c r="JKZ41" s="139"/>
      <c r="JLA41" s="139"/>
      <c r="JLB41" s="139"/>
      <c r="JLC41" s="139"/>
      <c r="JLD41" s="139"/>
      <c r="JLE41" s="139"/>
      <c r="JLF41" s="139"/>
      <c r="JLG41" s="139"/>
      <c r="JLH41" s="139"/>
      <c r="JLI41" s="139"/>
      <c r="JLJ41" s="139"/>
      <c r="JLK41" s="139"/>
      <c r="JLL41" s="139"/>
      <c r="JLM41" s="139"/>
      <c r="JLN41" s="139"/>
      <c r="JLO41" s="139"/>
      <c r="JLP41" s="139"/>
      <c r="JLQ41" s="139"/>
      <c r="JLR41" s="139"/>
      <c r="JLS41" s="139"/>
      <c r="JLT41" s="139"/>
      <c r="JLU41" s="139"/>
      <c r="JLV41" s="139"/>
      <c r="JLW41" s="139"/>
      <c r="JLX41" s="139"/>
      <c r="JLY41" s="139"/>
      <c r="JLZ41" s="139"/>
      <c r="JMA41" s="139"/>
      <c r="JMB41" s="139"/>
      <c r="JMC41" s="139"/>
      <c r="JMD41" s="139"/>
      <c r="JME41" s="139"/>
      <c r="JMF41" s="139"/>
      <c r="JMG41" s="139"/>
      <c r="JMH41" s="139"/>
      <c r="JMI41" s="139"/>
      <c r="JMJ41" s="139"/>
      <c r="JMK41" s="139"/>
      <c r="JML41" s="139"/>
      <c r="JMM41" s="139"/>
      <c r="JMN41" s="139"/>
      <c r="JMO41" s="139"/>
      <c r="JMP41" s="139"/>
      <c r="JMQ41" s="139"/>
      <c r="JMR41" s="139"/>
      <c r="JMS41" s="139"/>
      <c r="JMT41" s="139"/>
      <c r="JMU41" s="139"/>
      <c r="JMV41" s="139"/>
      <c r="JMW41" s="139"/>
      <c r="JMX41" s="139"/>
      <c r="JMY41" s="139"/>
      <c r="JMZ41" s="139"/>
      <c r="JNA41" s="139"/>
      <c r="JNB41" s="139"/>
      <c r="JNC41" s="139"/>
      <c r="JND41" s="139"/>
      <c r="JNE41" s="139"/>
      <c r="JNF41" s="139"/>
      <c r="JNG41" s="139"/>
      <c r="JNH41" s="139"/>
      <c r="JNI41" s="139"/>
      <c r="JNJ41" s="139"/>
      <c r="JNK41" s="139"/>
      <c r="JNL41" s="139"/>
      <c r="JNM41" s="139"/>
      <c r="JNN41" s="139"/>
      <c r="JNO41" s="139"/>
      <c r="JNP41" s="139"/>
      <c r="JNQ41" s="139"/>
      <c r="JNR41" s="139"/>
      <c r="JNS41" s="139"/>
      <c r="JNT41" s="139"/>
      <c r="JNU41" s="139"/>
      <c r="JNV41" s="139"/>
      <c r="JNW41" s="139"/>
      <c r="JNX41" s="139"/>
      <c r="JNY41" s="139"/>
      <c r="JNZ41" s="139"/>
      <c r="JOA41" s="139"/>
      <c r="JOB41" s="139"/>
      <c r="JOC41" s="139"/>
      <c r="JOD41" s="139"/>
      <c r="JOE41" s="139"/>
      <c r="JOF41" s="139"/>
      <c r="JOG41" s="139"/>
      <c r="JOH41" s="139"/>
      <c r="JOI41" s="139"/>
      <c r="JOJ41" s="139"/>
      <c r="JOK41" s="139"/>
      <c r="JOL41" s="139"/>
      <c r="JOM41" s="139"/>
      <c r="JON41" s="139"/>
      <c r="JOO41" s="139"/>
      <c r="JOP41" s="139"/>
      <c r="JOQ41" s="139"/>
      <c r="JOR41" s="139"/>
      <c r="JOS41" s="139"/>
      <c r="JOT41" s="139"/>
      <c r="JOU41" s="139"/>
      <c r="JOV41" s="139"/>
      <c r="JOW41" s="139"/>
      <c r="JOX41" s="139"/>
      <c r="JOY41" s="139"/>
      <c r="JOZ41" s="139"/>
      <c r="JPA41" s="139"/>
      <c r="JPB41" s="139"/>
      <c r="JPC41" s="139"/>
      <c r="JPD41" s="139"/>
      <c r="JPE41" s="139"/>
      <c r="JPF41" s="139"/>
      <c r="JPG41" s="139"/>
      <c r="JPH41" s="139"/>
      <c r="JPI41" s="139"/>
      <c r="JPJ41" s="139"/>
      <c r="JPK41" s="139"/>
      <c r="JPL41" s="139"/>
      <c r="JPM41" s="139"/>
      <c r="JPN41" s="139"/>
      <c r="JPO41" s="139"/>
      <c r="JPP41" s="139"/>
      <c r="JPQ41" s="139"/>
      <c r="JPR41" s="139"/>
      <c r="JPS41" s="139"/>
      <c r="JPT41" s="139"/>
      <c r="JPU41" s="139"/>
      <c r="JPV41" s="139"/>
      <c r="JPW41" s="139"/>
      <c r="JPX41" s="139"/>
      <c r="JPY41" s="139"/>
      <c r="JPZ41" s="139"/>
      <c r="JQA41" s="139"/>
      <c r="JQB41" s="139"/>
      <c r="JQC41" s="139"/>
      <c r="JQD41" s="139"/>
      <c r="JQE41" s="139"/>
      <c r="JQF41" s="139"/>
      <c r="JQG41" s="139"/>
      <c r="JQH41" s="139"/>
      <c r="JQI41" s="139"/>
      <c r="JQJ41" s="139"/>
      <c r="JQK41" s="139"/>
      <c r="JQL41" s="139"/>
      <c r="JQM41" s="139"/>
      <c r="JQN41" s="139"/>
      <c r="JQO41" s="139"/>
      <c r="JQP41" s="139"/>
      <c r="JQQ41" s="139"/>
      <c r="JQR41" s="139"/>
      <c r="JQS41" s="139"/>
      <c r="JQT41" s="139"/>
      <c r="JQU41" s="139"/>
      <c r="JQV41" s="139"/>
      <c r="JQW41" s="139"/>
      <c r="JQX41" s="139"/>
      <c r="JQY41" s="139"/>
      <c r="JQZ41" s="139"/>
      <c r="JRA41" s="139"/>
      <c r="JRB41" s="139"/>
      <c r="JRC41" s="139"/>
      <c r="JRD41" s="139"/>
      <c r="JRE41" s="139"/>
      <c r="JRF41" s="139"/>
      <c r="JRG41" s="139"/>
      <c r="JRH41" s="139"/>
      <c r="JRI41" s="139"/>
      <c r="JRJ41" s="139"/>
      <c r="JRK41" s="139"/>
      <c r="JRL41" s="139"/>
      <c r="JRM41" s="139"/>
      <c r="JRN41" s="139"/>
      <c r="JRO41" s="139"/>
      <c r="JRP41" s="139"/>
      <c r="JRQ41" s="139"/>
      <c r="JRR41" s="139"/>
      <c r="JRS41" s="139"/>
      <c r="JRT41" s="139"/>
      <c r="JRU41" s="139"/>
      <c r="JRV41" s="139"/>
      <c r="JRW41" s="139"/>
      <c r="JRX41" s="139"/>
      <c r="JRY41" s="139"/>
      <c r="JRZ41" s="139"/>
      <c r="JSA41" s="139"/>
      <c r="JSB41" s="139"/>
      <c r="JSC41" s="139"/>
      <c r="JSD41" s="139"/>
      <c r="JSE41" s="139"/>
      <c r="JSF41" s="139"/>
      <c r="JSG41" s="139"/>
      <c r="JSH41" s="139"/>
      <c r="JSI41" s="139"/>
      <c r="JSJ41" s="139"/>
      <c r="JSK41" s="139"/>
      <c r="JSL41" s="139"/>
      <c r="JSM41" s="139"/>
      <c r="JSN41" s="139"/>
      <c r="JSO41" s="139"/>
      <c r="JSP41" s="139"/>
      <c r="JSQ41" s="139"/>
      <c r="JSR41" s="139"/>
      <c r="JSS41" s="139"/>
      <c r="JST41" s="139"/>
      <c r="JSU41" s="139"/>
      <c r="JSV41" s="139"/>
      <c r="JSW41" s="139"/>
      <c r="JSX41" s="139"/>
      <c r="JSY41" s="139"/>
      <c r="JSZ41" s="139"/>
      <c r="JTA41" s="139"/>
      <c r="JTB41" s="139"/>
      <c r="JTC41" s="139"/>
      <c r="JTD41" s="139"/>
      <c r="JTE41" s="139"/>
      <c r="JTF41" s="139"/>
      <c r="JTG41" s="139"/>
      <c r="JTH41" s="139"/>
      <c r="JTI41" s="139"/>
      <c r="JTJ41" s="139"/>
      <c r="JTK41" s="139"/>
      <c r="JTL41" s="139"/>
      <c r="JTM41" s="139"/>
      <c r="JTN41" s="139"/>
      <c r="JTO41" s="139"/>
      <c r="JTP41" s="139"/>
      <c r="JTQ41" s="139"/>
      <c r="JTR41" s="139"/>
      <c r="JTS41" s="139"/>
      <c r="JTT41" s="139"/>
      <c r="JTU41" s="139"/>
      <c r="JTV41" s="139"/>
      <c r="JTW41" s="139"/>
      <c r="JTX41" s="139"/>
      <c r="JTY41" s="139"/>
      <c r="JTZ41" s="139"/>
      <c r="JUA41" s="139"/>
      <c r="JUB41" s="139"/>
      <c r="JUC41" s="139"/>
      <c r="JUD41" s="139"/>
      <c r="JUE41" s="139"/>
      <c r="JUF41" s="139"/>
      <c r="JUG41" s="139"/>
      <c r="JUH41" s="139"/>
      <c r="JUI41" s="139"/>
      <c r="JUJ41" s="139"/>
      <c r="JUK41" s="139"/>
      <c r="JUL41" s="139"/>
      <c r="JUM41" s="139"/>
      <c r="JUN41" s="139"/>
      <c r="JUO41" s="139"/>
      <c r="JUP41" s="139"/>
      <c r="JUQ41" s="139"/>
      <c r="JUR41" s="139"/>
      <c r="JUS41" s="139"/>
      <c r="JUT41" s="139"/>
      <c r="JUU41" s="139"/>
      <c r="JUV41" s="139"/>
      <c r="JUW41" s="139"/>
      <c r="JUX41" s="139"/>
      <c r="JUY41" s="139"/>
      <c r="JUZ41" s="139"/>
      <c r="JVA41" s="139"/>
      <c r="JVB41" s="139"/>
      <c r="JVC41" s="139"/>
      <c r="JVD41" s="139"/>
      <c r="JVE41" s="139"/>
      <c r="JVF41" s="139"/>
      <c r="JVG41" s="139"/>
      <c r="JVH41" s="139"/>
      <c r="JVI41" s="139"/>
      <c r="JVJ41" s="139"/>
      <c r="JVK41" s="139"/>
      <c r="JVL41" s="139"/>
      <c r="JVM41" s="139"/>
      <c r="JVN41" s="139"/>
      <c r="JVO41" s="139"/>
      <c r="JVP41" s="139"/>
      <c r="JVQ41" s="139"/>
      <c r="JVR41" s="139"/>
      <c r="JVS41" s="139"/>
      <c r="JVT41" s="139"/>
      <c r="JVU41" s="139"/>
      <c r="JVV41" s="139"/>
      <c r="JVW41" s="139"/>
      <c r="JVX41" s="139"/>
      <c r="JVY41" s="139"/>
      <c r="JVZ41" s="139"/>
      <c r="JWA41" s="139"/>
      <c r="JWB41" s="139"/>
      <c r="JWC41" s="139"/>
      <c r="JWD41" s="139"/>
      <c r="JWE41" s="139"/>
      <c r="JWF41" s="139"/>
      <c r="JWG41" s="139"/>
      <c r="JWH41" s="139"/>
      <c r="JWI41" s="139"/>
      <c r="JWJ41" s="139"/>
      <c r="JWK41" s="139"/>
      <c r="JWL41" s="139"/>
      <c r="JWM41" s="139"/>
      <c r="JWN41" s="139"/>
      <c r="JWO41" s="139"/>
      <c r="JWP41" s="139"/>
      <c r="JWQ41" s="139"/>
      <c r="JWR41" s="139"/>
      <c r="JWS41" s="139"/>
      <c r="JWT41" s="139"/>
      <c r="JWU41" s="139"/>
      <c r="JWV41" s="139"/>
      <c r="JWW41" s="139"/>
      <c r="JWX41" s="139"/>
      <c r="JWY41" s="139"/>
      <c r="JWZ41" s="139"/>
      <c r="JXA41" s="139"/>
      <c r="JXB41" s="139"/>
      <c r="JXC41" s="139"/>
      <c r="JXD41" s="139"/>
      <c r="JXE41" s="139"/>
      <c r="JXF41" s="139"/>
      <c r="JXG41" s="139"/>
      <c r="JXH41" s="139"/>
      <c r="JXI41" s="139"/>
      <c r="JXJ41" s="139"/>
      <c r="JXK41" s="139"/>
      <c r="JXL41" s="139"/>
      <c r="JXM41" s="139"/>
      <c r="JXN41" s="139"/>
      <c r="JXO41" s="139"/>
      <c r="JXP41" s="139"/>
      <c r="JXQ41" s="139"/>
      <c r="JXR41" s="139"/>
      <c r="JXS41" s="139"/>
      <c r="JXT41" s="139"/>
      <c r="JXU41" s="139"/>
      <c r="JXV41" s="139"/>
      <c r="JXW41" s="139"/>
      <c r="JXX41" s="139"/>
      <c r="JXY41" s="139"/>
      <c r="JXZ41" s="139"/>
      <c r="JYA41" s="139"/>
      <c r="JYB41" s="139"/>
      <c r="JYC41" s="139"/>
      <c r="JYD41" s="139"/>
      <c r="JYE41" s="139"/>
      <c r="JYF41" s="139"/>
      <c r="JYG41" s="139"/>
      <c r="JYH41" s="139"/>
      <c r="JYI41" s="139"/>
      <c r="JYJ41" s="139"/>
      <c r="JYK41" s="139"/>
      <c r="JYL41" s="139"/>
      <c r="JYM41" s="139"/>
      <c r="JYN41" s="139"/>
      <c r="JYO41" s="139"/>
      <c r="JYP41" s="139"/>
      <c r="JYQ41" s="139"/>
      <c r="JYR41" s="139"/>
      <c r="JYS41" s="139"/>
      <c r="JYT41" s="139"/>
      <c r="JYU41" s="139"/>
      <c r="JYV41" s="139"/>
      <c r="JYW41" s="139"/>
      <c r="JYX41" s="139"/>
      <c r="JYY41" s="139"/>
      <c r="JYZ41" s="139"/>
      <c r="JZA41" s="139"/>
      <c r="JZB41" s="139"/>
      <c r="JZC41" s="139"/>
      <c r="JZD41" s="139"/>
      <c r="JZE41" s="139"/>
      <c r="JZF41" s="139"/>
      <c r="JZG41" s="139"/>
      <c r="JZH41" s="139"/>
      <c r="JZI41" s="139"/>
      <c r="JZJ41" s="139"/>
      <c r="JZK41" s="139"/>
      <c r="JZL41" s="139"/>
      <c r="JZM41" s="139"/>
      <c r="JZN41" s="139"/>
      <c r="JZO41" s="139"/>
      <c r="JZP41" s="139"/>
      <c r="JZQ41" s="139"/>
      <c r="JZR41" s="139"/>
      <c r="JZS41" s="139"/>
      <c r="JZT41" s="139"/>
      <c r="JZU41" s="139"/>
      <c r="JZV41" s="139"/>
      <c r="JZW41" s="139"/>
      <c r="JZX41" s="139"/>
      <c r="JZY41" s="139"/>
      <c r="JZZ41" s="139"/>
      <c r="KAA41" s="139"/>
      <c r="KAB41" s="139"/>
      <c r="KAC41" s="139"/>
      <c r="KAD41" s="139"/>
      <c r="KAE41" s="139"/>
      <c r="KAF41" s="139"/>
      <c r="KAG41" s="139"/>
      <c r="KAH41" s="139"/>
      <c r="KAI41" s="139"/>
      <c r="KAJ41" s="139"/>
      <c r="KAK41" s="139"/>
      <c r="KAL41" s="139"/>
      <c r="KAM41" s="139"/>
      <c r="KAN41" s="139"/>
      <c r="KAO41" s="139"/>
      <c r="KAP41" s="139"/>
      <c r="KAQ41" s="139"/>
      <c r="KAR41" s="139"/>
      <c r="KAS41" s="139"/>
      <c r="KAT41" s="139"/>
      <c r="KAU41" s="139"/>
      <c r="KAV41" s="139"/>
      <c r="KAW41" s="139"/>
      <c r="KAX41" s="139"/>
      <c r="KAY41" s="139"/>
      <c r="KAZ41" s="139"/>
      <c r="KBA41" s="139"/>
      <c r="KBB41" s="139"/>
      <c r="KBC41" s="139"/>
      <c r="KBD41" s="139"/>
      <c r="KBE41" s="139"/>
      <c r="KBF41" s="139"/>
      <c r="KBG41" s="139"/>
      <c r="KBH41" s="139"/>
      <c r="KBI41" s="139"/>
      <c r="KBJ41" s="139"/>
      <c r="KBK41" s="139"/>
      <c r="KBL41" s="139"/>
      <c r="KBM41" s="139"/>
      <c r="KBN41" s="139"/>
      <c r="KBO41" s="139"/>
      <c r="KBP41" s="139"/>
      <c r="KBQ41" s="139"/>
      <c r="KBR41" s="139"/>
      <c r="KBS41" s="139"/>
      <c r="KBT41" s="139"/>
      <c r="KBU41" s="139"/>
      <c r="KBV41" s="139"/>
      <c r="KBW41" s="139"/>
      <c r="KBX41" s="139"/>
      <c r="KBY41" s="139"/>
      <c r="KBZ41" s="139"/>
      <c r="KCA41" s="139"/>
      <c r="KCB41" s="139"/>
      <c r="KCC41" s="139"/>
      <c r="KCD41" s="139"/>
      <c r="KCE41" s="139"/>
      <c r="KCF41" s="139"/>
      <c r="KCG41" s="139"/>
      <c r="KCH41" s="139"/>
      <c r="KCI41" s="139"/>
      <c r="KCJ41" s="139"/>
      <c r="KCK41" s="139"/>
      <c r="KCL41" s="139"/>
      <c r="KCM41" s="139"/>
      <c r="KCN41" s="139"/>
      <c r="KCO41" s="139"/>
      <c r="KCP41" s="139"/>
      <c r="KCQ41" s="139"/>
      <c r="KCR41" s="139"/>
      <c r="KCS41" s="139"/>
      <c r="KCT41" s="139"/>
      <c r="KCU41" s="139"/>
      <c r="KCV41" s="139"/>
      <c r="KCW41" s="139"/>
      <c r="KCX41" s="139"/>
      <c r="KCY41" s="139"/>
      <c r="KCZ41" s="139"/>
      <c r="KDA41" s="139"/>
      <c r="KDB41" s="139"/>
      <c r="KDC41" s="139"/>
      <c r="KDD41" s="139"/>
      <c r="KDE41" s="139"/>
      <c r="KDF41" s="139"/>
      <c r="KDG41" s="139"/>
      <c r="KDH41" s="139"/>
      <c r="KDI41" s="139"/>
      <c r="KDJ41" s="139"/>
      <c r="KDK41" s="139"/>
      <c r="KDL41" s="139"/>
      <c r="KDM41" s="139"/>
      <c r="KDN41" s="139"/>
      <c r="KDO41" s="139"/>
      <c r="KDP41" s="139"/>
      <c r="KDQ41" s="139"/>
      <c r="KDR41" s="139"/>
      <c r="KDS41" s="139"/>
      <c r="KDT41" s="139"/>
      <c r="KDU41" s="139"/>
      <c r="KDV41" s="139"/>
      <c r="KDW41" s="139"/>
      <c r="KDX41" s="139"/>
      <c r="KDY41" s="139"/>
      <c r="KDZ41" s="139"/>
      <c r="KEA41" s="139"/>
      <c r="KEB41" s="139"/>
      <c r="KEC41" s="139"/>
      <c r="KED41" s="139"/>
      <c r="KEE41" s="139"/>
      <c r="KEF41" s="139"/>
      <c r="KEG41" s="139"/>
      <c r="KEH41" s="139"/>
      <c r="KEI41" s="139"/>
      <c r="KEJ41" s="139"/>
      <c r="KEK41" s="139"/>
      <c r="KEL41" s="139"/>
      <c r="KEM41" s="139"/>
      <c r="KEN41" s="139"/>
      <c r="KEO41" s="139"/>
      <c r="KEP41" s="139"/>
      <c r="KEQ41" s="139"/>
      <c r="KER41" s="139"/>
      <c r="KES41" s="139"/>
      <c r="KET41" s="139"/>
      <c r="KEU41" s="139"/>
      <c r="KEV41" s="139"/>
      <c r="KEW41" s="139"/>
      <c r="KEX41" s="139"/>
      <c r="KEY41" s="139"/>
      <c r="KEZ41" s="139"/>
      <c r="KFA41" s="139"/>
      <c r="KFB41" s="139"/>
      <c r="KFC41" s="139"/>
      <c r="KFD41" s="139"/>
      <c r="KFE41" s="139"/>
      <c r="KFF41" s="139"/>
      <c r="KFG41" s="139"/>
      <c r="KFH41" s="139"/>
      <c r="KFI41" s="139"/>
      <c r="KFJ41" s="139"/>
      <c r="KFK41" s="139"/>
      <c r="KFL41" s="139"/>
      <c r="KFM41" s="139"/>
      <c r="KFN41" s="139"/>
      <c r="KFO41" s="139"/>
      <c r="KFP41" s="139"/>
      <c r="KFQ41" s="139"/>
      <c r="KFR41" s="139"/>
      <c r="KFS41" s="139"/>
      <c r="KFT41" s="139"/>
      <c r="KFU41" s="139"/>
      <c r="KFV41" s="139"/>
      <c r="KFW41" s="139"/>
      <c r="KFX41" s="139"/>
      <c r="KFY41" s="139"/>
      <c r="KFZ41" s="139"/>
      <c r="KGA41" s="139"/>
      <c r="KGB41" s="139"/>
      <c r="KGC41" s="139"/>
      <c r="KGD41" s="139"/>
      <c r="KGE41" s="139"/>
      <c r="KGF41" s="139"/>
      <c r="KGG41" s="139"/>
      <c r="KGH41" s="139"/>
      <c r="KGI41" s="139"/>
      <c r="KGJ41" s="139"/>
      <c r="KGK41" s="139"/>
      <c r="KGL41" s="139"/>
      <c r="KGM41" s="139"/>
      <c r="KGN41" s="139"/>
      <c r="KGO41" s="139"/>
      <c r="KGP41" s="139"/>
      <c r="KGQ41" s="139"/>
      <c r="KGR41" s="139"/>
      <c r="KGS41" s="139"/>
      <c r="KGT41" s="139"/>
      <c r="KGU41" s="139"/>
      <c r="KGV41" s="139"/>
      <c r="KGW41" s="139"/>
      <c r="KGX41" s="139"/>
      <c r="KGY41" s="139"/>
      <c r="KGZ41" s="139"/>
      <c r="KHA41" s="139"/>
      <c r="KHB41" s="139"/>
      <c r="KHC41" s="139"/>
      <c r="KHD41" s="139"/>
      <c r="KHE41" s="139"/>
      <c r="KHF41" s="139"/>
      <c r="KHG41" s="139"/>
      <c r="KHH41" s="139"/>
      <c r="KHI41" s="139"/>
      <c r="KHJ41" s="139"/>
      <c r="KHK41" s="139"/>
      <c r="KHL41" s="139"/>
      <c r="KHM41" s="139"/>
      <c r="KHN41" s="139"/>
      <c r="KHO41" s="139"/>
      <c r="KHP41" s="139"/>
      <c r="KHQ41" s="139"/>
      <c r="KHR41" s="139"/>
      <c r="KHS41" s="139"/>
      <c r="KHT41" s="139"/>
      <c r="KHU41" s="139"/>
      <c r="KHV41" s="139"/>
      <c r="KHW41" s="139"/>
      <c r="KHX41" s="139"/>
      <c r="KHY41" s="139"/>
      <c r="KHZ41" s="139"/>
      <c r="KIA41" s="139"/>
      <c r="KIB41" s="139"/>
      <c r="KIC41" s="139"/>
      <c r="KID41" s="139"/>
      <c r="KIE41" s="139"/>
      <c r="KIF41" s="139"/>
      <c r="KIG41" s="139"/>
      <c r="KIH41" s="139"/>
      <c r="KII41" s="139"/>
      <c r="KIJ41" s="139"/>
      <c r="KIK41" s="139"/>
      <c r="KIL41" s="139"/>
      <c r="KIM41" s="139"/>
      <c r="KIN41" s="139"/>
      <c r="KIO41" s="139"/>
      <c r="KIP41" s="139"/>
      <c r="KIQ41" s="139"/>
      <c r="KIR41" s="139"/>
      <c r="KIS41" s="139"/>
      <c r="KIT41" s="139"/>
      <c r="KIU41" s="139"/>
      <c r="KIV41" s="139"/>
      <c r="KIW41" s="139"/>
      <c r="KIX41" s="139"/>
      <c r="KIY41" s="139"/>
      <c r="KIZ41" s="139"/>
      <c r="KJA41" s="139"/>
      <c r="KJB41" s="139"/>
      <c r="KJC41" s="139"/>
      <c r="KJD41" s="139"/>
      <c r="KJE41" s="139"/>
      <c r="KJF41" s="139"/>
      <c r="KJG41" s="139"/>
      <c r="KJH41" s="139"/>
      <c r="KJI41" s="139"/>
      <c r="KJJ41" s="139"/>
      <c r="KJK41" s="139"/>
      <c r="KJL41" s="139"/>
      <c r="KJM41" s="139"/>
      <c r="KJN41" s="139"/>
      <c r="KJO41" s="139"/>
      <c r="KJP41" s="139"/>
      <c r="KJQ41" s="139"/>
      <c r="KJR41" s="139"/>
      <c r="KJS41" s="139"/>
      <c r="KJT41" s="139"/>
      <c r="KJU41" s="139"/>
      <c r="KJV41" s="139"/>
      <c r="KJW41" s="139"/>
      <c r="KJX41" s="139"/>
      <c r="KJY41" s="139"/>
      <c r="KJZ41" s="139"/>
      <c r="KKA41" s="139"/>
      <c r="KKB41" s="139"/>
      <c r="KKC41" s="139"/>
      <c r="KKD41" s="139"/>
      <c r="KKE41" s="139"/>
      <c r="KKF41" s="139"/>
      <c r="KKG41" s="139"/>
      <c r="KKH41" s="139"/>
      <c r="KKI41" s="139"/>
      <c r="KKJ41" s="139"/>
      <c r="KKK41" s="139"/>
      <c r="KKL41" s="139"/>
      <c r="KKM41" s="139"/>
      <c r="KKN41" s="139"/>
      <c r="KKO41" s="139"/>
      <c r="KKP41" s="139"/>
      <c r="KKQ41" s="139"/>
      <c r="KKR41" s="139"/>
      <c r="KKS41" s="139"/>
      <c r="KKT41" s="139"/>
      <c r="KKU41" s="139"/>
      <c r="KKV41" s="139"/>
      <c r="KKW41" s="139"/>
      <c r="KKX41" s="139"/>
      <c r="KKY41" s="139"/>
      <c r="KKZ41" s="139"/>
      <c r="KLA41" s="139"/>
      <c r="KLB41" s="139"/>
      <c r="KLC41" s="139"/>
      <c r="KLD41" s="139"/>
      <c r="KLE41" s="139"/>
      <c r="KLF41" s="139"/>
      <c r="KLG41" s="139"/>
      <c r="KLH41" s="139"/>
      <c r="KLI41" s="139"/>
      <c r="KLJ41" s="139"/>
      <c r="KLK41" s="139"/>
      <c r="KLL41" s="139"/>
      <c r="KLM41" s="139"/>
      <c r="KLN41" s="139"/>
      <c r="KLO41" s="139"/>
      <c r="KLP41" s="139"/>
      <c r="KLQ41" s="139"/>
      <c r="KLR41" s="139"/>
      <c r="KLS41" s="139"/>
      <c r="KLT41" s="139"/>
      <c r="KLU41" s="139"/>
      <c r="KLV41" s="139"/>
      <c r="KLW41" s="139"/>
      <c r="KLX41" s="139"/>
      <c r="KLY41" s="139"/>
      <c r="KLZ41" s="139"/>
      <c r="KMA41" s="139"/>
      <c r="KMB41" s="139"/>
      <c r="KMC41" s="139"/>
      <c r="KMD41" s="139"/>
      <c r="KME41" s="139"/>
      <c r="KMF41" s="139"/>
      <c r="KMG41" s="139"/>
      <c r="KMH41" s="139"/>
      <c r="KMI41" s="139"/>
      <c r="KMJ41" s="139"/>
      <c r="KMK41" s="139"/>
      <c r="KML41" s="139"/>
      <c r="KMM41" s="139"/>
      <c r="KMN41" s="139"/>
      <c r="KMO41" s="139"/>
      <c r="KMP41" s="139"/>
      <c r="KMQ41" s="139"/>
      <c r="KMR41" s="139"/>
      <c r="KMS41" s="139"/>
      <c r="KMT41" s="139"/>
      <c r="KMU41" s="139"/>
      <c r="KMV41" s="139"/>
      <c r="KMW41" s="139"/>
      <c r="KMX41" s="139"/>
      <c r="KMY41" s="139"/>
      <c r="KMZ41" s="139"/>
      <c r="KNA41" s="139"/>
      <c r="KNB41" s="139"/>
      <c r="KNC41" s="139"/>
      <c r="KND41" s="139"/>
      <c r="KNE41" s="139"/>
      <c r="KNF41" s="139"/>
      <c r="KNG41" s="139"/>
      <c r="KNH41" s="139"/>
      <c r="KNI41" s="139"/>
      <c r="KNJ41" s="139"/>
      <c r="KNK41" s="139"/>
      <c r="KNL41" s="139"/>
      <c r="KNM41" s="139"/>
      <c r="KNN41" s="139"/>
      <c r="KNO41" s="139"/>
      <c r="KNP41" s="139"/>
      <c r="KNQ41" s="139"/>
      <c r="KNR41" s="139"/>
      <c r="KNS41" s="139"/>
      <c r="KNT41" s="139"/>
      <c r="KNU41" s="139"/>
      <c r="KNV41" s="139"/>
      <c r="KNW41" s="139"/>
      <c r="KNX41" s="139"/>
      <c r="KNY41" s="139"/>
      <c r="KNZ41" s="139"/>
      <c r="KOA41" s="139"/>
      <c r="KOB41" s="139"/>
      <c r="KOC41" s="139"/>
      <c r="KOD41" s="139"/>
      <c r="KOE41" s="139"/>
      <c r="KOF41" s="139"/>
      <c r="KOG41" s="139"/>
      <c r="KOH41" s="139"/>
      <c r="KOI41" s="139"/>
      <c r="KOJ41" s="139"/>
      <c r="KOK41" s="139"/>
      <c r="KOL41" s="139"/>
      <c r="KOM41" s="139"/>
      <c r="KON41" s="139"/>
      <c r="KOO41" s="139"/>
      <c r="KOP41" s="139"/>
      <c r="KOQ41" s="139"/>
      <c r="KOR41" s="139"/>
      <c r="KOS41" s="139"/>
      <c r="KOT41" s="139"/>
      <c r="KOU41" s="139"/>
      <c r="KOV41" s="139"/>
      <c r="KOW41" s="139"/>
      <c r="KOX41" s="139"/>
      <c r="KOY41" s="139"/>
      <c r="KOZ41" s="139"/>
      <c r="KPA41" s="139"/>
      <c r="KPB41" s="139"/>
      <c r="KPC41" s="139"/>
      <c r="KPD41" s="139"/>
      <c r="KPE41" s="139"/>
      <c r="KPF41" s="139"/>
      <c r="KPG41" s="139"/>
      <c r="KPH41" s="139"/>
      <c r="KPI41" s="139"/>
      <c r="KPJ41" s="139"/>
      <c r="KPK41" s="139"/>
      <c r="KPL41" s="139"/>
      <c r="KPM41" s="139"/>
      <c r="KPN41" s="139"/>
      <c r="KPO41" s="139"/>
      <c r="KPP41" s="139"/>
      <c r="KPQ41" s="139"/>
      <c r="KPR41" s="139"/>
      <c r="KPS41" s="139"/>
      <c r="KPT41" s="139"/>
      <c r="KPU41" s="139"/>
      <c r="KPV41" s="139"/>
      <c r="KPW41" s="139"/>
      <c r="KPX41" s="139"/>
      <c r="KPY41" s="139"/>
      <c r="KPZ41" s="139"/>
      <c r="KQA41" s="139"/>
      <c r="KQB41" s="139"/>
      <c r="KQC41" s="139"/>
      <c r="KQD41" s="139"/>
      <c r="KQE41" s="139"/>
      <c r="KQF41" s="139"/>
      <c r="KQG41" s="139"/>
      <c r="KQH41" s="139"/>
      <c r="KQI41" s="139"/>
      <c r="KQJ41" s="139"/>
      <c r="KQK41" s="139"/>
      <c r="KQL41" s="139"/>
      <c r="KQM41" s="139"/>
      <c r="KQN41" s="139"/>
      <c r="KQO41" s="139"/>
      <c r="KQP41" s="139"/>
      <c r="KQQ41" s="139"/>
      <c r="KQR41" s="139"/>
      <c r="KQS41" s="139"/>
      <c r="KQT41" s="139"/>
      <c r="KQU41" s="139"/>
      <c r="KQV41" s="139"/>
      <c r="KQW41" s="139"/>
      <c r="KQX41" s="139"/>
      <c r="KQY41" s="139"/>
      <c r="KQZ41" s="139"/>
      <c r="KRA41" s="139"/>
      <c r="KRB41" s="139"/>
      <c r="KRC41" s="139"/>
      <c r="KRD41" s="139"/>
      <c r="KRE41" s="139"/>
      <c r="KRF41" s="139"/>
      <c r="KRG41" s="139"/>
      <c r="KRH41" s="139"/>
      <c r="KRI41" s="139"/>
      <c r="KRJ41" s="139"/>
      <c r="KRK41" s="139"/>
      <c r="KRL41" s="139"/>
      <c r="KRM41" s="139"/>
      <c r="KRN41" s="139"/>
      <c r="KRO41" s="139"/>
      <c r="KRP41" s="139"/>
      <c r="KRQ41" s="139"/>
      <c r="KRR41" s="139"/>
      <c r="KRS41" s="139"/>
      <c r="KRT41" s="139"/>
      <c r="KRU41" s="139"/>
      <c r="KRV41" s="139"/>
      <c r="KRW41" s="139"/>
      <c r="KRX41" s="139"/>
      <c r="KRY41" s="139"/>
      <c r="KRZ41" s="139"/>
      <c r="KSA41" s="139"/>
      <c r="KSB41" s="139"/>
      <c r="KSC41" s="139"/>
      <c r="KSD41" s="139"/>
      <c r="KSE41" s="139"/>
      <c r="KSF41" s="139"/>
      <c r="KSG41" s="139"/>
      <c r="KSH41" s="139"/>
      <c r="KSI41" s="139"/>
      <c r="KSJ41" s="139"/>
      <c r="KSK41" s="139"/>
      <c r="KSL41" s="139"/>
      <c r="KSM41" s="139"/>
      <c r="KSN41" s="139"/>
      <c r="KSO41" s="139"/>
      <c r="KSP41" s="139"/>
      <c r="KSQ41" s="139"/>
      <c r="KSR41" s="139"/>
      <c r="KSS41" s="139"/>
      <c r="KST41" s="139"/>
      <c r="KSU41" s="139"/>
      <c r="KSV41" s="139"/>
      <c r="KSW41" s="139"/>
      <c r="KSX41" s="139"/>
      <c r="KSY41" s="139"/>
      <c r="KSZ41" s="139"/>
      <c r="KTA41" s="139"/>
      <c r="KTB41" s="139"/>
      <c r="KTC41" s="139"/>
      <c r="KTD41" s="139"/>
      <c r="KTE41" s="139"/>
      <c r="KTF41" s="139"/>
      <c r="KTG41" s="139"/>
      <c r="KTH41" s="139"/>
      <c r="KTI41" s="139"/>
      <c r="KTJ41" s="139"/>
      <c r="KTK41" s="139"/>
      <c r="KTL41" s="139"/>
      <c r="KTM41" s="139"/>
      <c r="KTN41" s="139"/>
      <c r="KTO41" s="139"/>
      <c r="KTP41" s="139"/>
      <c r="KTQ41" s="139"/>
      <c r="KTR41" s="139"/>
      <c r="KTS41" s="139"/>
      <c r="KTT41" s="139"/>
      <c r="KTU41" s="139"/>
      <c r="KTV41" s="139"/>
      <c r="KTW41" s="139"/>
      <c r="KTX41" s="139"/>
      <c r="KTY41" s="139"/>
      <c r="KTZ41" s="139"/>
      <c r="KUA41" s="139"/>
      <c r="KUB41" s="139"/>
      <c r="KUC41" s="139"/>
      <c r="KUD41" s="139"/>
      <c r="KUE41" s="139"/>
      <c r="KUF41" s="139"/>
      <c r="KUG41" s="139"/>
      <c r="KUH41" s="139"/>
      <c r="KUI41" s="139"/>
      <c r="KUJ41" s="139"/>
      <c r="KUK41" s="139"/>
      <c r="KUL41" s="139"/>
      <c r="KUM41" s="139"/>
      <c r="KUN41" s="139"/>
      <c r="KUO41" s="139"/>
      <c r="KUP41" s="139"/>
      <c r="KUQ41" s="139"/>
      <c r="KUR41" s="139"/>
      <c r="KUS41" s="139"/>
      <c r="KUT41" s="139"/>
      <c r="KUU41" s="139"/>
      <c r="KUV41" s="139"/>
      <c r="KUW41" s="139"/>
      <c r="KUX41" s="139"/>
      <c r="KUY41" s="139"/>
      <c r="KUZ41" s="139"/>
      <c r="KVA41" s="139"/>
      <c r="KVB41" s="139"/>
      <c r="KVC41" s="139"/>
      <c r="KVD41" s="139"/>
      <c r="KVE41" s="139"/>
      <c r="KVF41" s="139"/>
      <c r="KVG41" s="139"/>
      <c r="KVH41" s="139"/>
      <c r="KVI41" s="139"/>
      <c r="KVJ41" s="139"/>
      <c r="KVK41" s="139"/>
      <c r="KVL41" s="139"/>
      <c r="KVM41" s="139"/>
      <c r="KVN41" s="139"/>
      <c r="KVO41" s="139"/>
      <c r="KVP41" s="139"/>
      <c r="KVQ41" s="139"/>
      <c r="KVR41" s="139"/>
      <c r="KVS41" s="139"/>
      <c r="KVT41" s="139"/>
      <c r="KVU41" s="139"/>
      <c r="KVV41" s="139"/>
      <c r="KVW41" s="139"/>
      <c r="KVX41" s="139"/>
      <c r="KVY41" s="139"/>
      <c r="KVZ41" s="139"/>
      <c r="KWA41" s="139"/>
      <c r="KWB41" s="139"/>
      <c r="KWC41" s="139"/>
      <c r="KWD41" s="139"/>
      <c r="KWE41" s="139"/>
      <c r="KWF41" s="139"/>
      <c r="KWG41" s="139"/>
      <c r="KWH41" s="139"/>
      <c r="KWI41" s="139"/>
      <c r="KWJ41" s="139"/>
      <c r="KWK41" s="139"/>
      <c r="KWL41" s="139"/>
      <c r="KWM41" s="139"/>
      <c r="KWN41" s="139"/>
      <c r="KWO41" s="139"/>
      <c r="KWP41" s="139"/>
      <c r="KWQ41" s="139"/>
      <c r="KWR41" s="139"/>
      <c r="KWS41" s="139"/>
      <c r="KWT41" s="139"/>
      <c r="KWU41" s="139"/>
      <c r="KWV41" s="139"/>
      <c r="KWW41" s="139"/>
      <c r="KWX41" s="139"/>
      <c r="KWY41" s="139"/>
      <c r="KWZ41" s="139"/>
      <c r="KXA41" s="139"/>
      <c r="KXB41" s="139"/>
      <c r="KXC41" s="139"/>
      <c r="KXD41" s="139"/>
      <c r="KXE41" s="139"/>
      <c r="KXF41" s="139"/>
      <c r="KXG41" s="139"/>
      <c r="KXH41" s="139"/>
      <c r="KXI41" s="139"/>
      <c r="KXJ41" s="139"/>
      <c r="KXK41" s="139"/>
      <c r="KXL41" s="139"/>
      <c r="KXM41" s="139"/>
      <c r="KXN41" s="139"/>
      <c r="KXO41" s="139"/>
      <c r="KXP41" s="139"/>
      <c r="KXQ41" s="139"/>
      <c r="KXR41" s="139"/>
      <c r="KXS41" s="139"/>
      <c r="KXT41" s="139"/>
      <c r="KXU41" s="139"/>
      <c r="KXV41" s="139"/>
      <c r="KXW41" s="139"/>
      <c r="KXX41" s="139"/>
      <c r="KXY41" s="139"/>
      <c r="KXZ41" s="139"/>
      <c r="KYA41" s="139"/>
      <c r="KYB41" s="139"/>
      <c r="KYC41" s="139"/>
      <c r="KYD41" s="139"/>
      <c r="KYE41" s="139"/>
      <c r="KYF41" s="139"/>
      <c r="KYG41" s="139"/>
      <c r="KYH41" s="139"/>
      <c r="KYI41" s="139"/>
      <c r="KYJ41" s="139"/>
      <c r="KYK41" s="139"/>
      <c r="KYL41" s="139"/>
      <c r="KYM41" s="139"/>
      <c r="KYN41" s="139"/>
      <c r="KYO41" s="139"/>
      <c r="KYP41" s="139"/>
      <c r="KYQ41" s="139"/>
      <c r="KYR41" s="139"/>
      <c r="KYS41" s="139"/>
      <c r="KYT41" s="139"/>
      <c r="KYU41" s="139"/>
      <c r="KYV41" s="139"/>
      <c r="KYW41" s="139"/>
      <c r="KYX41" s="139"/>
      <c r="KYY41" s="139"/>
      <c r="KYZ41" s="139"/>
      <c r="KZA41" s="139"/>
      <c r="KZB41" s="139"/>
      <c r="KZC41" s="139"/>
      <c r="KZD41" s="139"/>
      <c r="KZE41" s="139"/>
      <c r="KZF41" s="139"/>
      <c r="KZG41" s="139"/>
      <c r="KZH41" s="139"/>
      <c r="KZI41" s="139"/>
      <c r="KZJ41" s="139"/>
      <c r="KZK41" s="139"/>
      <c r="KZL41" s="139"/>
      <c r="KZM41" s="139"/>
      <c r="KZN41" s="139"/>
      <c r="KZO41" s="139"/>
      <c r="KZP41" s="139"/>
      <c r="KZQ41" s="139"/>
      <c r="KZR41" s="139"/>
      <c r="KZS41" s="139"/>
      <c r="KZT41" s="139"/>
      <c r="KZU41" s="139"/>
      <c r="KZV41" s="139"/>
      <c r="KZW41" s="139"/>
      <c r="KZX41" s="139"/>
      <c r="KZY41" s="139"/>
      <c r="KZZ41" s="139"/>
      <c r="LAA41" s="139"/>
      <c r="LAB41" s="139"/>
      <c r="LAC41" s="139"/>
      <c r="LAD41" s="139"/>
      <c r="LAE41" s="139"/>
      <c r="LAF41" s="139"/>
      <c r="LAG41" s="139"/>
      <c r="LAH41" s="139"/>
      <c r="LAI41" s="139"/>
      <c r="LAJ41" s="139"/>
      <c r="LAK41" s="139"/>
      <c r="LAL41" s="139"/>
      <c r="LAM41" s="139"/>
      <c r="LAN41" s="139"/>
      <c r="LAO41" s="139"/>
      <c r="LAP41" s="139"/>
      <c r="LAQ41" s="139"/>
      <c r="LAR41" s="139"/>
      <c r="LAS41" s="139"/>
      <c r="LAT41" s="139"/>
      <c r="LAU41" s="139"/>
      <c r="LAV41" s="139"/>
      <c r="LAW41" s="139"/>
      <c r="LAX41" s="139"/>
      <c r="LAY41" s="139"/>
      <c r="LAZ41" s="139"/>
      <c r="LBA41" s="139"/>
      <c r="LBB41" s="139"/>
      <c r="LBC41" s="139"/>
      <c r="LBD41" s="139"/>
      <c r="LBE41" s="139"/>
      <c r="LBF41" s="139"/>
      <c r="LBG41" s="139"/>
      <c r="LBH41" s="139"/>
      <c r="LBI41" s="139"/>
      <c r="LBJ41" s="139"/>
      <c r="LBK41" s="139"/>
      <c r="LBL41" s="139"/>
      <c r="LBM41" s="139"/>
      <c r="LBN41" s="139"/>
      <c r="LBO41" s="139"/>
      <c r="LBP41" s="139"/>
      <c r="LBQ41" s="139"/>
      <c r="LBR41" s="139"/>
      <c r="LBS41" s="139"/>
      <c r="LBT41" s="139"/>
      <c r="LBU41" s="139"/>
      <c r="LBV41" s="139"/>
      <c r="LBW41" s="139"/>
      <c r="LBX41" s="139"/>
      <c r="LBY41" s="139"/>
      <c r="LBZ41" s="139"/>
      <c r="LCA41" s="139"/>
      <c r="LCB41" s="139"/>
      <c r="LCC41" s="139"/>
      <c r="LCD41" s="139"/>
      <c r="LCE41" s="139"/>
      <c r="LCF41" s="139"/>
      <c r="LCG41" s="139"/>
      <c r="LCH41" s="139"/>
      <c r="LCI41" s="139"/>
      <c r="LCJ41" s="139"/>
      <c r="LCK41" s="139"/>
      <c r="LCL41" s="139"/>
      <c r="LCM41" s="139"/>
      <c r="LCN41" s="139"/>
      <c r="LCO41" s="139"/>
      <c r="LCP41" s="139"/>
      <c r="LCQ41" s="139"/>
      <c r="LCR41" s="139"/>
      <c r="LCS41" s="139"/>
      <c r="LCT41" s="139"/>
      <c r="LCU41" s="139"/>
      <c r="LCV41" s="139"/>
      <c r="LCW41" s="139"/>
      <c r="LCX41" s="139"/>
      <c r="LCY41" s="139"/>
      <c r="LCZ41" s="139"/>
      <c r="LDA41" s="139"/>
      <c r="LDB41" s="139"/>
      <c r="LDC41" s="139"/>
      <c r="LDD41" s="139"/>
      <c r="LDE41" s="139"/>
      <c r="LDF41" s="139"/>
      <c r="LDG41" s="139"/>
      <c r="LDH41" s="139"/>
      <c r="LDI41" s="139"/>
      <c r="LDJ41" s="139"/>
      <c r="LDK41" s="139"/>
      <c r="LDL41" s="139"/>
      <c r="LDM41" s="139"/>
      <c r="LDN41" s="139"/>
      <c r="LDO41" s="139"/>
      <c r="LDP41" s="139"/>
      <c r="LDQ41" s="139"/>
      <c r="LDR41" s="139"/>
      <c r="LDS41" s="139"/>
      <c r="LDT41" s="139"/>
      <c r="LDU41" s="139"/>
      <c r="LDV41" s="139"/>
      <c r="LDW41" s="139"/>
      <c r="LDX41" s="139"/>
      <c r="LDY41" s="139"/>
      <c r="LDZ41" s="139"/>
      <c r="LEA41" s="139"/>
      <c r="LEB41" s="139"/>
      <c r="LEC41" s="139"/>
      <c r="LED41" s="139"/>
      <c r="LEE41" s="139"/>
      <c r="LEF41" s="139"/>
      <c r="LEG41" s="139"/>
      <c r="LEH41" s="139"/>
      <c r="LEI41" s="139"/>
      <c r="LEJ41" s="139"/>
      <c r="LEK41" s="139"/>
      <c r="LEL41" s="139"/>
      <c r="LEM41" s="139"/>
      <c r="LEN41" s="139"/>
      <c r="LEO41" s="139"/>
      <c r="LEP41" s="139"/>
      <c r="LEQ41" s="139"/>
      <c r="LER41" s="139"/>
      <c r="LES41" s="139"/>
      <c r="LET41" s="139"/>
      <c r="LEU41" s="139"/>
      <c r="LEV41" s="139"/>
      <c r="LEW41" s="139"/>
      <c r="LEX41" s="139"/>
      <c r="LEY41" s="139"/>
      <c r="LEZ41" s="139"/>
      <c r="LFA41" s="139"/>
      <c r="LFB41" s="139"/>
      <c r="LFC41" s="139"/>
      <c r="LFD41" s="139"/>
      <c r="LFE41" s="139"/>
      <c r="LFF41" s="139"/>
      <c r="LFG41" s="139"/>
      <c r="LFH41" s="139"/>
      <c r="LFI41" s="139"/>
      <c r="LFJ41" s="139"/>
      <c r="LFK41" s="139"/>
      <c r="LFL41" s="139"/>
      <c r="LFM41" s="139"/>
      <c r="LFN41" s="139"/>
      <c r="LFO41" s="139"/>
      <c r="LFP41" s="139"/>
      <c r="LFQ41" s="139"/>
      <c r="LFR41" s="139"/>
      <c r="LFS41" s="139"/>
      <c r="LFT41" s="139"/>
      <c r="LFU41" s="139"/>
      <c r="LFV41" s="139"/>
      <c r="LFW41" s="139"/>
      <c r="LFX41" s="139"/>
      <c r="LFY41" s="139"/>
      <c r="LFZ41" s="139"/>
      <c r="LGA41" s="139"/>
      <c r="LGB41" s="139"/>
      <c r="LGC41" s="139"/>
      <c r="LGD41" s="139"/>
      <c r="LGE41" s="139"/>
      <c r="LGF41" s="139"/>
      <c r="LGG41" s="139"/>
      <c r="LGH41" s="139"/>
      <c r="LGI41" s="139"/>
      <c r="LGJ41" s="139"/>
      <c r="LGK41" s="139"/>
      <c r="LGL41" s="139"/>
      <c r="LGM41" s="139"/>
      <c r="LGN41" s="139"/>
      <c r="LGO41" s="139"/>
      <c r="LGP41" s="139"/>
      <c r="LGQ41" s="139"/>
      <c r="LGR41" s="139"/>
      <c r="LGS41" s="139"/>
      <c r="LGT41" s="139"/>
      <c r="LGU41" s="139"/>
      <c r="LGV41" s="139"/>
      <c r="LGW41" s="139"/>
      <c r="LGX41" s="139"/>
      <c r="LGY41" s="139"/>
      <c r="LGZ41" s="139"/>
      <c r="LHA41" s="139"/>
      <c r="LHB41" s="139"/>
      <c r="LHC41" s="139"/>
      <c r="LHD41" s="139"/>
      <c r="LHE41" s="139"/>
      <c r="LHF41" s="139"/>
      <c r="LHG41" s="139"/>
      <c r="LHH41" s="139"/>
      <c r="LHI41" s="139"/>
      <c r="LHJ41" s="139"/>
      <c r="LHK41" s="139"/>
      <c r="LHL41" s="139"/>
      <c r="LHM41" s="139"/>
      <c r="LHN41" s="139"/>
      <c r="LHO41" s="139"/>
      <c r="LHP41" s="139"/>
      <c r="LHQ41" s="139"/>
      <c r="LHR41" s="139"/>
      <c r="LHS41" s="139"/>
      <c r="LHT41" s="139"/>
      <c r="LHU41" s="139"/>
      <c r="LHV41" s="139"/>
      <c r="LHW41" s="139"/>
      <c r="LHX41" s="139"/>
      <c r="LHY41" s="139"/>
      <c r="LHZ41" s="139"/>
      <c r="LIA41" s="139"/>
      <c r="LIB41" s="139"/>
      <c r="LIC41" s="139"/>
      <c r="LID41" s="139"/>
      <c r="LIE41" s="139"/>
      <c r="LIF41" s="139"/>
      <c r="LIG41" s="139"/>
      <c r="LIH41" s="139"/>
      <c r="LII41" s="139"/>
      <c r="LIJ41" s="139"/>
      <c r="LIK41" s="139"/>
      <c r="LIL41" s="139"/>
      <c r="LIM41" s="139"/>
      <c r="LIN41" s="139"/>
      <c r="LIO41" s="139"/>
      <c r="LIP41" s="139"/>
      <c r="LIQ41" s="139"/>
      <c r="LIR41" s="139"/>
      <c r="LIS41" s="139"/>
      <c r="LIT41" s="139"/>
      <c r="LIU41" s="139"/>
      <c r="LIV41" s="139"/>
      <c r="LIW41" s="139"/>
      <c r="LIX41" s="139"/>
      <c r="LIY41" s="139"/>
      <c r="LIZ41" s="139"/>
      <c r="LJA41" s="139"/>
      <c r="LJB41" s="139"/>
      <c r="LJC41" s="139"/>
      <c r="LJD41" s="139"/>
      <c r="LJE41" s="139"/>
      <c r="LJF41" s="139"/>
      <c r="LJG41" s="139"/>
      <c r="LJH41" s="139"/>
      <c r="LJI41" s="139"/>
      <c r="LJJ41" s="139"/>
      <c r="LJK41" s="139"/>
      <c r="LJL41" s="139"/>
      <c r="LJM41" s="139"/>
      <c r="LJN41" s="139"/>
      <c r="LJO41" s="139"/>
      <c r="LJP41" s="139"/>
      <c r="LJQ41" s="139"/>
      <c r="LJR41" s="139"/>
      <c r="LJS41" s="139"/>
      <c r="LJT41" s="139"/>
      <c r="LJU41" s="139"/>
      <c r="LJV41" s="139"/>
      <c r="LJW41" s="139"/>
      <c r="LJX41" s="139"/>
      <c r="LJY41" s="139"/>
      <c r="LJZ41" s="139"/>
      <c r="LKA41" s="139"/>
      <c r="LKB41" s="139"/>
      <c r="LKC41" s="139"/>
      <c r="LKD41" s="139"/>
      <c r="LKE41" s="139"/>
      <c r="LKF41" s="139"/>
      <c r="LKG41" s="139"/>
      <c r="LKH41" s="139"/>
      <c r="LKI41" s="139"/>
      <c r="LKJ41" s="139"/>
      <c r="LKK41" s="139"/>
      <c r="LKL41" s="139"/>
      <c r="LKM41" s="139"/>
      <c r="LKN41" s="139"/>
      <c r="LKO41" s="139"/>
      <c r="LKP41" s="139"/>
      <c r="LKQ41" s="139"/>
      <c r="LKR41" s="139"/>
      <c r="LKS41" s="139"/>
      <c r="LKT41" s="139"/>
      <c r="LKU41" s="139"/>
      <c r="LKV41" s="139"/>
      <c r="LKW41" s="139"/>
      <c r="LKX41" s="139"/>
      <c r="LKY41" s="139"/>
      <c r="LKZ41" s="139"/>
      <c r="LLA41" s="139"/>
      <c r="LLB41" s="139"/>
      <c r="LLC41" s="139"/>
      <c r="LLD41" s="139"/>
      <c r="LLE41" s="139"/>
      <c r="LLF41" s="139"/>
      <c r="LLG41" s="139"/>
      <c r="LLH41" s="139"/>
      <c r="LLI41" s="139"/>
      <c r="LLJ41" s="139"/>
      <c r="LLK41" s="139"/>
      <c r="LLL41" s="139"/>
      <c r="LLM41" s="139"/>
      <c r="LLN41" s="139"/>
      <c r="LLO41" s="139"/>
      <c r="LLP41" s="139"/>
      <c r="LLQ41" s="139"/>
      <c r="LLR41" s="139"/>
      <c r="LLS41" s="139"/>
      <c r="LLT41" s="139"/>
      <c r="LLU41" s="139"/>
      <c r="LLV41" s="139"/>
      <c r="LLW41" s="139"/>
      <c r="LLX41" s="139"/>
      <c r="LLY41" s="139"/>
      <c r="LLZ41" s="139"/>
      <c r="LMA41" s="139"/>
      <c r="LMB41" s="139"/>
      <c r="LMC41" s="139"/>
      <c r="LMD41" s="139"/>
      <c r="LME41" s="139"/>
      <c r="LMF41" s="139"/>
      <c r="LMG41" s="139"/>
      <c r="LMH41" s="139"/>
      <c r="LMI41" s="139"/>
      <c r="LMJ41" s="139"/>
      <c r="LMK41" s="139"/>
      <c r="LML41" s="139"/>
      <c r="LMM41" s="139"/>
      <c r="LMN41" s="139"/>
      <c r="LMO41" s="139"/>
      <c r="LMP41" s="139"/>
      <c r="LMQ41" s="139"/>
      <c r="LMR41" s="139"/>
      <c r="LMS41" s="139"/>
      <c r="LMT41" s="139"/>
      <c r="LMU41" s="139"/>
      <c r="LMV41" s="139"/>
      <c r="LMW41" s="139"/>
      <c r="LMX41" s="139"/>
      <c r="LMY41" s="139"/>
      <c r="LMZ41" s="139"/>
      <c r="LNA41" s="139"/>
      <c r="LNB41" s="139"/>
      <c r="LNC41" s="139"/>
      <c r="LND41" s="139"/>
      <c r="LNE41" s="139"/>
      <c r="LNF41" s="139"/>
      <c r="LNG41" s="139"/>
      <c r="LNH41" s="139"/>
      <c r="LNI41" s="139"/>
      <c r="LNJ41" s="139"/>
      <c r="LNK41" s="139"/>
      <c r="LNL41" s="139"/>
      <c r="LNM41" s="139"/>
      <c r="LNN41" s="139"/>
      <c r="LNO41" s="139"/>
      <c r="LNP41" s="139"/>
      <c r="LNQ41" s="139"/>
      <c r="LNR41" s="139"/>
      <c r="LNS41" s="139"/>
      <c r="LNT41" s="139"/>
      <c r="LNU41" s="139"/>
      <c r="LNV41" s="139"/>
      <c r="LNW41" s="139"/>
      <c r="LNX41" s="139"/>
      <c r="LNY41" s="139"/>
      <c r="LNZ41" s="139"/>
      <c r="LOA41" s="139"/>
      <c r="LOB41" s="139"/>
      <c r="LOC41" s="139"/>
      <c r="LOD41" s="139"/>
      <c r="LOE41" s="139"/>
      <c r="LOF41" s="139"/>
      <c r="LOG41" s="139"/>
      <c r="LOH41" s="139"/>
      <c r="LOI41" s="139"/>
      <c r="LOJ41" s="139"/>
      <c r="LOK41" s="139"/>
      <c r="LOL41" s="139"/>
      <c r="LOM41" s="139"/>
      <c r="LON41" s="139"/>
      <c r="LOO41" s="139"/>
      <c r="LOP41" s="139"/>
      <c r="LOQ41" s="139"/>
      <c r="LOR41" s="139"/>
      <c r="LOS41" s="139"/>
      <c r="LOT41" s="139"/>
      <c r="LOU41" s="139"/>
      <c r="LOV41" s="139"/>
      <c r="LOW41" s="139"/>
      <c r="LOX41" s="139"/>
      <c r="LOY41" s="139"/>
      <c r="LOZ41" s="139"/>
      <c r="LPA41" s="139"/>
      <c r="LPB41" s="139"/>
      <c r="LPC41" s="139"/>
      <c r="LPD41" s="139"/>
      <c r="LPE41" s="139"/>
      <c r="LPF41" s="139"/>
      <c r="LPG41" s="139"/>
      <c r="LPH41" s="139"/>
      <c r="LPI41" s="139"/>
      <c r="LPJ41" s="139"/>
      <c r="LPK41" s="139"/>
      <c r="LPL41" s="139"/>
      <c r="LPM41" s="139"/>
      <c r="LPN41" s="139"/>
      <c r="LPO41" s="139"/>
      <c r="LPP41" s="139"/>
      <c r="LPQ41" s="139"/>
      <c r="LPR41" s="139"/>
      <c r="LPS41" s="139"/>
      <c r="LPT41" s="139"/>
      <c r="LPU41" s="139"/>
      <c r="LPV41" s="139"/>
      <c r="LPW41" s="139"/>
      <c r="LPX41" s="139"/>
      <c r="LPY41" s="139"/>
      <c r="LPZ41" s="139"/>
      <c r="LQA41" s="139"/>
      <c r="LQB41" s="139"/>
      <c r="LQC41" s="139"/>
      <c r="LQD41" s="139"/>
      <c r="LQE41" s="139"/>
      <c r="LQF41" s="139"/>
      <c r="LQG41" s="139"/>
      <c r="LQH41" s="139"/>
      <c r="LQI41" s="139"/>
      <c r="LQJ41" s="139"/>
      <c r="LQK41" s="139"/>
      <c r="LQL41" s="139"/>
      <c r="LQM41" s="139"/>
      <c r="LQN41" s="139"/>
      <c r="LQO41" s="139"/>
      <c r="LQP41" s="139"/>
      <c r="LQQ41" s="139"/>
      <c r="LQR41" s="139"/>
      <c r="LQS41" s="139"/>
      <c r="LQT41" s="139"/>
      <c r="LQU41" s="139"/>
      <c r="LQV41" s="139"/>
      <c r="LQW41" s="139"/>
      <c r="LQX41" s="139"/>
      <c r="LQY41" s="139"/>
      <c r="LQZ41" s="139"/>
      <c r="LRA41" s="139"/>
      <c r="LRB41" s="139"/>
      <c r="LRC41" s="139"/>
      <c r="LRD41" s="139"/>
      <c r="LRE41" s="139"/>
      <c r="LRF41" s="139"/>
      <c r="LRG41" s="139"/>
      <c r="LRH41" s="139"/>
      <c r="LRI41" s="139"/>
      <c r="LRJ41" s="139"/>
      <c r="LRK41" s="139"/>
      <c r="LRL41" s="139"/>
      <c r="LRM41" s="139"/>
      <c r="LRN41" s="139"/>
      <c r="LRO41" s="139"/>
      <c r="LRP41" s="139"/>
      <c r="LRQ41" s="139"/>
      <c r="LRR41" s="139"/>
      <c r="LRS41" s="139"/>
      <c r="LRT41" s="139"/>
      <c r="LRU41" s="139"/>
      <c r="LRV41" s="139"/>
      <c r="LRW41" s="139"/>
      <c r="LRX41" s="139"/>
      <c r="LRY41" s="139"/>
      <c r="LRZ41" s="139"/>
      <c r="LSA41" s="139"/>
      <c r="LSB41" s="139"/>
      <c r="LSC41" s="139"/>
      <c r="LSD41" s="139"/>
      <c r="LSE41" s="139"/>
      <c r="LSF41" s="139"/>
      <c r="LSG41" s="139"/>
      <c r="LSH41" s="139"/>
      <c r="LSI41" s="139"/>
      <c r="LSJ41" s="139"/>
      <c r="LSK41" s="139"/>
      <c r="LSL41" s="139"/>
      <c r="LSM41" s="139"/>
      <c r="LSN41" s="139"/>
      <c r="LSO41" s="139"/>
      <c r="LSP41" s="139"/>
      <c r="LSQ41" s="139"/>
      <c r="LSR41" s="139"/>
      <c r="LSS41" s="139"/>
      <c r="LST41" s="139"/>
      <c r="LSU41" s="139"/>
      <c r="LSV41" s="139"/>
      <c r="LSW41" s="139"/>
      <c r="LSX41" s="139"/>
      <c r="LSY41" s="139"/>
      <c r="LSZ41" s="139"/>
      <c r="LTA41" s="139"/>
      <c r="LTB41" s="139"/>
      <c r="LTC41" s="139"/>
      <c r="LTD41" s="139"/>
      <c r="LTE41" s="139"/>
      <c r="LTF41" s="139"/>
      <c r="LTG41" s="139"/>
      <c r="LTH41" s="139"/>
      <c r="LTI41" s="139"/>
      <c r="LTJ41" s="139"/>
      <c r="LTK41" s="139"/>
      <c r="LTL41" s="139"/>
      <c r="LTM41" s="139"/>
      <c r="LTN41" s="139"/>
      <c r="LTO41" s="139"/>
      <c r="LTP41" s="139"/>
      <c r="LTQ41" s="139"/>
      <c r="LTR41" s="139"/>
      <c r="LTS41" s="139"/>
      <c r="LTT41" s="139"/>
      <c r="LTU41" s="139"/>
      <c r="LTV41" s="139"/>
      <c r="LTW41" s="139"/>
      <c r="LTX41" s="139"/>
      <c r="LTY41" s="139"/>
      <c r="LTZ41" s="139"/>
      <c r="LUA41" s="139"/>
      <c r="LUB41" s="139"/>
      <c r="LUC41" s="139"/>
      <c r="LUD41" s="139"/>
      <c r="LUE41" s="139"/>
      <c r="LUF41" s="139"/>
      <c r="LUG41" s="139"/>
      <c r="LUH41" s="139"/>
      <c r="LUI41" s="139"/>
      <c r="LUJ41" s="139"/>
      <c r="LUK41" s="139"/>
      <c r="LUL41" s="139"/>
      <c r="LUM41" s="139"/>
      <c r="LUN41" s="139"/>
      <c r="LUO41" s="139"/>
      <c r="LUP41" s="139"/>
      <c r="LUQ41" s="139"/>
      <c r="LUR41" s="139"/>
      <c r="LUS41" s="139"/>
      <c r="LUT41" s="139"/>
      <c r="LUU41" s="139"/>
      <c r="LUV41" s="139"/>
      <c r="LUW41" s="139"/>
      <c r="LUX41" s="139"/>
      <c r="LUY41" s="139"/>
      <c r="LUZ41" s="139"/>
      <c r="LVA41" s="139"/>
      <c r="LVB41" s="139"/>
      <c r="LVC41" s="139"/>
      <c r="LVD41" s="139"/>
      <c r="LVE41" s="139"/>
      <c r="LVF41" s="139"/>
      <c r="LVG41" s="139"/>
      <c r="LVH41" s="139"/>
      <c r="LVI41" s="139"/>
      <c r="LVJ41" s="139"/>
      <c r="LVK41" s="139"/>
      <c r="LVL41" s="139"/>
      <c r="LVM41" s="139"/>
      <c r="LVN41" s="139"/>
      <c r="LVO41" s="139"/>
      <c r="LVP41" s="139"/>
      <c r="LVQ41" s="139"/>
      <c r="LVR41" s="139"/>
      <c r="LVS41" s="139"/>
      <c r="LVT41" s="139"/>
      <c r="LVU41" s="139"/>
      <c r="LVV41" s="139"/>
      <c r="LVW41" s="139"/>
      <c r="LVX41" s="139"/>
      <c r="LVY41" s="139"/>
      <c r="LVZ41" s="139"/>
      <c r="LWA41" s="139"/>
      <c r="LWB41" s="139"/>
      <c r="LWC41" s="139"/>
      <c r="LWD41" s="139"/>
      <c r="LWE41" s="139"/>
      <c r="LWF41" s="139"/>
      <c r="LWG41" s="139"/>
      <c r="LWH41" s="139"/>
      <c r="LWI41" s="139"/>
      <c r="LWJ41" s="139"/>
      <c r="LWK41" s="139"/>
      <c r="LWL41" s="139"/>
      <c r="LWM41" s="139"/>
      <c r="LWN41" s="139"/>
      <c r="LWO41" s="139"/>
      <c r="LWP41" s="139"/>
      <c r="LWQ41" s="139"/>
      <c r="LWR41" s="139"/>
      <c r="LWS41" s="139"/>
      <c r="LWT41" s="139"/>
      <c r="LWU41" s="139"/>
      <c r="LWV41" s="139"/>
      <c r="LWW41" s="139"/>
      <c r="LWX41" s="139"/>
      <c r="LWY41" s="139"/>
      <c r="LWZ41" s="139"/>
      <c r="LXA41" s="139"/>
      <c r="LXB41" s="139"/>
      <c r="LXC41" s="139"/>
      <c r="LXD41" s="139"/>
      <c r="LXE41" s="139"/>
      <c r="LXF41" s="139"/>
      <c r="LXG41" s="139"/>
      <c r="LXH41" s="139"/>
      <c r="LXI41" s="139"/>
      <c r="LXJ41" s="139"/>
      <c r="LXK41" s="139"/>
      <c r="LXL41" s="139"/>
      <c r="LXM41" s="139"/>
      <c r="LXN41" s="139"/>
      <c r="LXO41" s="139"/>
      <c r="LXP41" s="139"/>
      <c r="LXQ41" s="139"/>
      <c r="LXR41" s="139"/>
      <c r="LXS41" s="139"/>
      <c r="LXT41" s="139"/>
      <c r="LXU41" s="139"/>
      <c r="LXV41" s="139"/>
      <c r="LXW41" s="139"/>
      <c r="LXX41" s="139"/>
      <c r="LXY41" s="139"/>
      <c r="LXZ41" s="139"/>
      <c r="LYA41" s="139"/>
      <c r="LYB41" s="139"/>
      <c r="LYC41" s="139"/>
      <c r="LYD41" s="139"/>
      <c r="LYE41" s="139"/>
      <c r="LYF41" s="139"/>
      <c r="LYG41" s="139"/>
      <c r="LYH41" s="139"/>
      <c r="LYI41" s="139"/>
      <c r="LYJ41" s="139"/>
      <c r="LYK41" s="139"/>
      <c r="LYL41" s="139"/>
      <c r="LYM41" s="139"/>
      <c r="LYN41" s="139"/>
      <c r="LYO41" s="139"/>
      <c r="LYP41" s="139"/>
      <c r="LYQ41" s="139"/>
      <c r="LYR41" s="139"/>
      <c r="LYS41" s="139"/>
      <c r="LYT41" s="139"/>
      <c r="LYU41" s="139"/>
      <c r="LYV41" s="139"/>
      <c r="LYW41" s="139"/>
      <c r="LYX41" s="139"/>
      <c r="LYY41" s="139"/>
      <c r="LYZ41" s="139"/>
      <c r="LZA41" s="139"/>
      <c r="LZB41" s="139"/>
      <c r="LZC41" s="139"/>
      <c r="LZD41" s="139"/>
      <c r="LZE41" s="139"/>
      <c r="LZF41" s="139"/>
      <c r="LZG41" s="139"/>
      <c r="LZH41" s="139"/>
      <c r="LZI41" s="139"/>
      <c r="LZJ41" s="139"/>
      <c r="LZK41" s="139"/>
      <c r="LZL41" s="139"/>
      <c r="LZM41" s="139"/>
      <c r="LZN41" s="139"/>
      <c r="LZO41" s="139"/>
      <c r="LZP41" s="139"/>
      <c r="LZQ41" s="139"/>
      <c r="LZR41" s="139"/>
      <c r="LZS41" s="139"/>
      <c r="LZT41" s="139"/>
      <c r="LZU41" s="139"/>
      <c r="LZV41" s="139"/>
      <c r="LZW41" s="139"/>
      <c r="LZX41" s="139"/>
      <c r="LZY41" s="139"/>
      <c r="LZZ41" s="139"/>
      <c r="MAA41" s="139"/>
      <c r="MAB41" s="139"/>
      <c r="MAC41" s="139"/>
      <c r="MAD41" s="139"/>
      <c r="MAE41" s="139"/>
      <c r="MAF41" s="139"/>
      <c r="MAG41" s="139"/>
      <c r="MAH41" s="139"/>
      <c r="MAI41" s="139"/>
      <c r="MAJ41" s="139"/>
      <c r="MAK41" s="139"/>
      <c r="MAL41" s="139"/>
      <c r="MAM41" s="139"/>
      <c r="MAN41" s="139"/>
      <c r="MAO41" s="139"/>
      <c r="MAP41" s="139"/>
      <c r="MAQ41" s="139"/>
      <c r="MAR41" s="139"/>
      <c r="MAS41" s="139"/>
      <c r="MAT41" s="139"/>
      <c r="MAU41" s="139"/>
      <c r="MAV41" s="139"/>
      <c r="MAW41" s="139"/>
      <c r="MAX41" s="139"/>
      <c r="MAY41" s="139"/>
      <c r="MAZ41" s="139"/>
      <c r="MBA41" s="139"/>
      <c r="MBB41" s="139"/>
      <c r="MBC41" s="139"/>
      <c r="MBD41" s="139"/>
      <c r="MBE41" s="139"/>
      <c r="MBF41" s="139"/>
      <c r="MBG41" s="139"/>
      <c r="MBH41" s="139"/>
      <c r="MBI41" s="139"/>
      <c r="MBJ41" s="139"/>
      <c r="MBK41" s="139"/>
      <c r="MBL41" s="139"/>
      <c r="MBM41" s="139"/>
      <c r="MBN41" s="139"/>
      <c r="MBO41" s="139"/>
      <c r="MBP41" s="139"/>
      <c r="MBQ41" s="139"/>
      <c r="MBR41" s="139"/>
      <c r="MBS41" s="139"/>
      <c r="MBT41" s="139"/>
      <c r="MBU41" s="139"/>
      <c r="MBV41" s="139"/>
      <c r="MBW41" s="139"/>
      <c r="MBX41" s="139"/>
      <c r="MBY41" s="139"/>
      <c r="MBZ41" s="139"/>
      <c r="MCA41" s="139"/>
      <c r="MCB41" s="139"/>
      <c r="MCC41" s="139"/>
      <c r="MCD41" s="139"/>
      <c r="MCE41" s="139"/>
      <c r="MCF41" s="139"/>
      <c r="MCG41" s="139"/>
      <c r="MCH41" s="139"/>
      <c r="MCI41" s="139"/>
      <c r="MCJ41" s="139"/>
      <c r="MCK41" s="139"/>
      <c r="MCL41" s="139"/>
      <c r="MCM41" s="139"/>
      <c r="MCN41" s="139"/>
      <c r="MCO41" s="139"/>
      <c r="MCP41" s="139"/>
      <c r="MCQ41" s="139"/>
      <c r="MCR41" s="139"/>
      <c r="MCS41" s="139"/>
      <c r="MCT41" s="139"/>
      <c r="MCU41" s="139"/>
      <c r="MCV41" s="139"/>
      <c r="MCW41" s="139"/>
      <c r="MCX41" s="139"/>
      <c r="MCY41" s="139"/>
      <c r="MCZ41" s="139"/>
      <c r="MDA41" s="139"/>
      <c r="MDB41" s="139"/>
      <c r="MDC41" s="139"/>
      <c r="MDD41" s="139"/>
      <c r="MDE41" s="139"/>
      <c r="MDF41" s="139"/>
      <c r="MDG41" s="139"/>
      <c r="MDH41" s="139"/>
      <c r="MDI41" s="139"/>
      <c r="MDJ41" s="139"/>
      <c r="MDK41" s="139"/>
      <c r="MDL41" s="139"/>
      <c r="MDM41" s="139"/>
      <c r="MDN41" s="139"/>
      <c r="MDO41" s="139"/>
      <c r="MDP41" s="139"/>
      <c r="MDQ41" s="139"/>
      <c r="MDR41" s="139"/>
      <c r="MDS41" s="139"/>
      <c r="MDT41" s="139"/>
      <c r="MDU41" s="139"/>
      <c r="MDV41" s="139"/>
      <c r="MDW41" s="139"/>
      <c r="MDX41" s="139"/>
      <c r="MDY41" s="139"/>
      <c r="MDZ41" s="139"/>
      <c r="MEA41" s="139"/>
      <c r="MEB41" s="139"/>
      <c r="MEC41" s="139"/>
      <c r="MED41" s="139"/>
      <c r="MEE41" s="139"/>
      <c r="MEF41" s="139"/>
      <c r="MEG41" s="139"/>
      <c r="MEH41" s="139"/>
      <c r="MEI41" s="139"/>
      <c r="MEJ41" s="139"/>
      <c r="MEK41" s="139"/>
      <c r="MEL41" s="139"/>
      <c r="MEM41" s="139"/>
      <c r="MEN41" s="139"/>
      <c r="MEO41" s="139"/>
      <c r="MEP41" s="139"/>
      <c r="MEQ41" s="139"/>
      <c r="MER41" s="139"/>
      <c r="MES41" s="139"/>
      <c r="MET41" s="139"/>
      <c r="MEU41" s="139"/>
      <c r="MEV41" s="139"/>
      <c r="MEW41" s="139"/>
      <c r="MEX41" s="139"/>
      <c r="MEY41" s="139"/>
      <c r="MEZ41" s="139"/>
      <c r="MFA41" s="139"/>
      <c r="MFB41" s="139"/>
      <c r="MFC41" s="139"/>
      <c r="MFD41" s="139"/>
      <c r="MFE41" s="139"/>
      <c r="MFF41" s="139"/>
      <c r="MFG41" s="139"/>
      <c r="MFH41" s="139"/>
      <c r="MFI41" s="139"/>
      <c r="MFJ41" s="139"/>
      <c r="MFK41" s="139"/>
      <c r="MFL41" s="139"/>
      <c r="MFM41" s="139"/>
      <c r="MFN41" s="139"/>
      <c r="MFO41" s="139"/>
      <c r="MFP41" s="139"/>
      <c r="MFQ41" s="139"/>
      <c r="MFR41" s="139"/>
      <c r="MFS41" s="139"/>
      <c r="MFT41" s="139"/>
      <c r="MFU41" s="139"/>
      <c r="MFV41" s="139"/>
      <c r="MFW41" s="139"/>
      <c r="MFX41" s="139"/>
      <c r="MFY41" s="139"/>
      <c r="MFZ41" s="139"/>
      <c r="MGA41" s="139"/>
      <c r="MGB41" s="139"/>
      <c r="MGC41" s="139"/>
      <c r="MGD41" s="139"/>
      <c r="MGE41" s="139"/>
      <c r="MGF41" s="139"/>
      <c r="MGG41" s="139"/>
      <c r="MGH41" s="139"/>
      <c r="MGI41" s="139"/>
      <c r="MGJ41" s="139"/>
      <c r="MGK41" s="139"/>
      <c r="MGL41" s="139"/>
      <c r="MGM41" s="139"/>
      <c r="MGN41" s="139"/>
      <c r="MGO41" s="139"/>
      <c r="MGP41" s="139"/>
      <c r="MGQ41" s="139"/>
      <c r="MGR41" s="139"/>
      <c r="MGS41" s="139"/>
      <c r="MGT41" s="139"/>
      <c r="MGU41" s="139"/>
      <c r="MGV41" s="139"/>
      <c r="MGW41" s="139"/>
      <c r="MGX41" s="139"/>
      <c r="MGY41" s="139"/>
      <c r="MGZ41" s="139"/>
      <c r="MHA41" s="139"/>
      <c r="MHB41" s="139"/>
      <c r="MHC41" s="139"/>
      <c r="MHD41" s="139"/>
      <c r="MHE41" s="139"/>
      <c r="MHF41" s="139"/>
      <c r="MHG41" s="139"/>
      <c r="MHH41" s="139"/>
      <c r="MHI41" s="139"/>
      <c r="MHJ41" s="139"/>
      <c r="MHK41" s="139"/>
      <c r="MHL41" s="139"/>
      <c r="MHM41" s="139"/>
      <c r="MHN41" s="139"/>
      <c r="MHO41" s="139"/>
      <c r="MHP41" s="139"/>
      <c r="MHQ41" s="139"/>
      <c r="MHR41" s="139"/>
      <c r="MHS41" s="139"/>
      <c r="MHT41" s="139"/>
      <c r="MHU41" s="139"/>
      <c r="MHV41" s="139"/>
      <c r="MHW41" s="139"/>
      <c r="MHX41" s="139"/>
      <c r="MHY41" s="139"/>
      <c r="MHZ41" s="139"/>
      <c r="MIA41" s="139"/>
      <c r="MIB41" s="139"/>
      <c r="MIC41" s="139"/>
      <c r="MID41" s="139"/>
      <c r="MIE41" s="139"/>
      <c r="MIF41" s="139"/>
      <c r="MIG41" s="139"/>
      <c r="MIH41" s="139"/>
      <c r="MII41" s="139"/>
      <c r="MIJ41" s="139"/>
      <c r="MIK41" s="139"/>
      <c r="MIL41" s="139"/>
      <c r="MIM41" s="139"/>
      <c r="MIN41" s="139"/>
      <c r="MIO41" s="139"/>
      <c r="MIP41" s="139"/>
      <c r="MIQ41" s="139"/>
      <c r="MIR41" s="139"/>
      <c r="MIS41" s="139"/>
      <c r="MIT41" s="139"/>
      <c r="MIU41" s="139"/>
      <c r="MIV41" s="139"/>
      <c r="MIW41" s="139"/>
      <c r="MIX41" s="139"/>
      <c r="MIY41" s="139"/>
      <c r="MIZ41" s="139"/>
      <c r="MJA41" s="139"/>
      <c r="MJB41" s="139"/>
      <c r="MJC41" s="139"/>
      <c r="MJD41" s="139"/>
      <c r="MJE41" s="139"/>
      <c r="MJF41" s="139"/>
      <c r="MJG41" s="139"/>
      <c r="MJH41" s="139"/>
      <c r="MJI41" s="139"/>
      <c r="MJJ41" s="139"/>
      <c r="MJK41" s="139"/>
      <c r="MJL41" s="139"/>
      <c r="MJM41" s="139"/>
      <c r="MJN41" s="139"/>
      <c r="MJO41" s="139"/>
      <c r="MJP41" s="139"/>
      <c r="MJQ41" s="139"/>
      <c r="MJR41" s="139"/>
      <c r="MJS41" s="139"/>
      <c r="MJT41" s="139"/>
      <c r="MJU41" s="139"/>
      <c r="MJV41" s="139"/>
      <c r="MJW41" s="139"/>
      <c r="MJX41" s="139"/>
      <c r="MJY41" s="139"/>
      <c r="MJZ41" s="139"/>
      <c r="MKA41" s="139"/>
      <c r="MKB41" s="139"/>
      <c r="MKC41" s="139"/>
      <c r="MKD41" s="139"/>
      <c r="MKE41" s="139"/>
      <c r="MKF41" s="139"/>
      <c r="MKG41" s="139"/>
      <c r="MKH41" s="139"/>
      <c r="MKI41" s="139"/>
      <c r="MKJ41" s="139"/>
      <c r="MKK41" s="139"/>
      <c r="MKL41" s="139"/>
      <c r="MKM41" s="139"/>
      <c r="MKN41" s="139"/>
      <c r="MKO41" s="139"/>
      <c r="MKP41" s="139"/>
      <c r="MKQ41" s="139"/>
      <c r="MKR41" s="139"/>
      <c r="MKS41" s="139"/>
      <c r="MKT41" s="139"/>
      <c r="MKU41" s="139"/>
      <c r="MKV41" s="139"/>
      <c r="MKW41" s="139"/>
      <c r="MKX41" s="139"/>
      <c r="MKY41" s="139"/>
      <c r="MKZ41" s="139"/>
      <c r="MLA41" s="139"/>
      <c r="MLB41" s="139"/>
      <c r="MLC41" s="139"/>
      <c r="MLD41" s="139"/>
      <c r="MLE41" s="139"/>
      <c r="MLF41" s="139"/>
      <c r="MLG41" s="139"/>
      <c r="MLH41" s="139"/>
      <c r="MLI41" s="139"/>
      <c r="MLJ41" s="139"/>
      <c r="MLK41" s="139"/>
      <c r="MLL41" s="139"/>
      <c r="MLM41" s="139"/>
      <c r="MLN41" s="139"/>
      <c r="MLO41" s="139"/>
      <c r="MLP41" s="139"/>
      <c r="MLQ41" s="139"/>
      <c r="MLR41" s="139"/>
      <c r="MLS41" s="139"/>
      <c r="MLT41" s="139"/>
      <c r="MLU41" s="139"/>
      <c r="MLV41" s="139"/>
      <c r="MLW41" s="139"/>
      <c r="MLX41" s="139"/>
      <c r="MLY41" s="139"/>
      <c r="MLZ41" s="139"/>
      <c r="MMA41" s="139"/>
      <c r="MMB41" s="139"/>
      <c r="MMC41" s="139"/>
      <c r="MMD41" s="139"/>
      <c r="MME41" s="139"/>
      <c r="MMF41" s="139"/>
      <c r="MMG41" s="139"/>
      <c r="MMH41" s="139"/>
      <c r="MMI41" s="139"/>
      <c r="MMJ41" s="139"/>
      <c r="MMK41" s="139"/>
      <c r="MML41" s="139"/>
      <c r="MMM41" s="139"/>
      <c r="MMN41" s="139"/>
      <c r="MMO41" s="139"/>
      <c r="MMP41" s="139"/>
      <c r="MMQ41" s="139"/>
      <c r="MMR41" s="139"/>
      <c r="MMS41" s="139"/>
      <c r="MMT41" s="139"/>
      <c r="MMU41" s="139"/>
      <c r="MMV41" s="139"/>
      <c r="MMW41" s="139"/>
      <c r="MMX41" s="139"/>
      <c r="MMY41" s="139"/>
      <c r="MMZ41" s="139"/>
      <c r="MNA41" s="139"/>
      <c r="MNB41" s="139"/>
      <c r="MNC41" s="139"/>
      <c r="MND41" s="139"/>
      <c r="MNE41" s="139"/>
      <c r="MNF41" s="139"/>
      <c r="MNG41" s="139"/>
      <c r="MNH41" s="139"/>
      <c r="MNI41" s="139"/>
      <c r="MNJ41" s="139"/>
      <c r="MNK41" s="139"/>
      <c r="MNL41" s="139"/>
      <c r="MNM41" s="139"/>
      <c r="MNN41" s="139"/>
      <c r="MNO41" s="139"/>
      <c r="MNP41" s="139"/>
      <c r="MNQ41" s="139"/>
      <c r="MNR41" s="139"/>
      <c r="MNS41" s="139"/>
      <c r="MNT41" s="139"/>
      <c r="MNU41" s="139"/>
      <c r="MNV41" s="139"/>
      <c r="MNW41" s="139"/>
      <c r="MNX41" s="139"/>
      <c r="MNY41" s="139"/>
      <c r="MNZ41" s="139"/>
      <c r="MOA41" s="139"/>
      <c r="MOB41" s="139"/>
      <c r="MOC41" s="139"/>
      <c r="MOD41" s="139"/>
      <c r="MOE41" s="139"/>
      <c r="MOF41" s="139"/>
      <c r="MOG41" s="139"/>
      <c r="MOH41" s="139"/>
      <c r="MOI41" s="139"/>
      <c r="MOJ41" s="139"/>
      <c r="MOK41" s="139"/>
      <c r="MOL41" s="139"/>
      <c r="MOM41" s="139"/>
      <c r="MON41" s="139"/>
      <c r="MOO41" s="139"/>
      <c r="MOP41" s="139"/>
      <c r="MOQ41" s="139"/>
      <c r="MOR41" s="139"/>
      <c r="MOS41" s="139"/>
      <c r="MOT41" s="139"/>
      <c r="MOU41" s="139"/>
      <c r="MOV41" s="139"/>
      <c r="MOW41" s="139"/>
      <c r="MOX41" s="139"/>
      <c r="MOY41" s="139"/>
      <c r="MOZ41" s="139"/>
      <c r="MPA41" s="139"/>
      <c r="MPB41" s="139"/>
      <c r="MPC41" s="139"/>
      <c r="MPD41" s="139"/>
      <c r="MPE41" s="139"/>
      <c r="MPF41" s="139"/>
      <c r="MPG41" s="139"/>
      <c r="MPH41" s="139"/>
      <c r="MPI41" s="139"/>
      <c r="MPJ41" s="139"/>
      <c r="MPK41" s="139"/>
      <c r="MPL41" s="139"/>
      <c r="MPM41" s="139"/>
      <c r="MPN41" s="139"/>
      <c r="MPO41" s="139"/>
      <c r="MPP41" s="139"/>
      <c r="MPQ41" s="139"/>
      <c r="MPR41" s="139"/>
      <c r="MPS41" s="139"/>
      <c r="MPT41" s="139"/>
      <c r="MPU41" s="139"/>
      <c r="MPV41" s="139"/>
      <c r="MPW41" s="139"/>
      <c r="MPX41" s="139"/>
      <c r="MPY41" s="139"/>
      <c r="MPZ41" s="139"/>
      <c r="MQA41" s="139"/>
      <c r="MQB41" s="139"/>
      <c r="MQC41" s="139"/>
      <c r="MQD41" s="139"/>
      <c r="MQE41" s="139"/>
      <c r="MQF41" s="139"/>
      <c r="MQG41" s="139"/>
      <c r="MQH41" s="139"/>
      <c r="MQI41" s="139"/>
      <c r="MQJ41" s="139"/>
      <c r="MQK41" s="139"/>
      <c r="MQL41" s="139"/>
      <c r="MQM41" s="139"/>
      <c r="MQN41" s="139"/>
      <c r="MQO41" s="139"/>
      <c r="MQP41" s="139"/>
      <c r="MQQ41" s="139"/>
      <c r="MQR41" s="139"/>
      <c r="MQS41" s="139"/>
      <c r="MQT41" s="139"/>
      <c r="MQU41" s="139"/>
      <c r="MQV41" s="139"/>
      <c r="MQW41" s="139"/>
      <c r="MQX41" s="139"/>
      <c r="MQY41" s="139"/>
      <c r="MQZ41" s="139"/>
      <c r="MRA41" s="139"/>
      <c r="MRB41" s="139"/>
      <c r="MRC41" s="139"/>
      <c r="MRD41" s="139"/>
      <c r="MRE41" s="139"/>
      <c r="MRF41" s="139"/>
      <c r="MRG41" s="139"/>
      <c r="MRH41" s="139"/>
      <c r="MRI41" s="139"/>
      <c r="MRJ41" s="139"/>
      <c r="MRK41" s="139"/>
      <c r="MRL41" s="139"/>
      <c r="MRM41" s="139"/>
      <c r="MRN41" s="139"/>
      <c r="MRO41" s="139"/>
      <c r="MRP41" s="139"/>
      <c r="MRQ41" s="139"/>
      <c r="MRR41" s="139"/>
      <c r="MRS41" s="139"/>
      <c r="MRT41" s="139"/>
      <c r="MRU41" s="139"/>
      <c r="MRV41" s="139"/>
      <c r="MRW41" s="139"/>
      <c r="MRX41" s="139"/>
      <c r="MRY41" s="139"/>
      <c r="MRZ41" s="139"/>
      <c r="MSA41" s="139"/>
      <c r="MSB41" s="139"/>
      <c r="MSC41" s="139"/>
      <c r="MSD41" s="139"/>
      <c r="MSE41" s="139"/>
      <c r="MSF41" s="139"/>
      <c r="MSG41" s="139"/>
      <c r="MSH41" s="139"/>
      <c r="MSI41" s="139"/>
      <c r="MSJ41" s="139"/>
      <c r="MSK41" s="139"/>
      <c r="MSL41" s="139"/>
      <c r="MSM41" s="139"/>
      <c r="MSN41" s="139"/>
      <c r="MSO41" s="139"/>
      <c r="MSP41" s="139"/>
      <c r="MSQ41" s="139"/>
      <c r="MSR41" s="139"/>
      <c r="MSS41" s="139"/>
      <c r="MST41" s="139"/>
      <c r="MSU41" s="139"/>
      <c r="MSV41" s="139"/>
      <c r="MSW41" s="139"/>
      <c r="MSX41" s="139"/>
      <c r="MSY41" s="139"/>
      <c r="MSZ41" s="139"/>
      <c r="MTA41" s="139"/>
      <c r="MTB41" s="139"/>
      <c r="MTC41" s="139"/>
      <c r="MTD41" s="139"/>
      <c r="MTE41" s="139"/>
      <c r="MTF41" s="139"/>
      <c r="MTG41" s="139"/>
      <c r="MTH41" s="139"/>
      <c r="MTI41" s="139"/>
      <c r="MTJ41" s="139"/>
      <c r="MTK41" s="139"/>
      <c r="MTL41" s="139"/>
      <c r="MTM41" s="139"/>
      <c r="MTN41" s="139"/>
      <c r="MTO41" s="139"/>
      <c r="MTP41" s="139"/>
      <c r="MTQ41" s="139"/>
      <c r="MTR41" s="139"/>
      <c r="MTS41" s="139"/>
      <c r="MTT41" s="139"/>
      <c r="MTU41" s="139"/>
      <c r="MTV41" s="139"/>
      <c r="MTW41" s="139"/>
      <c r="MTX41" s="139"/>
      <c r="MTY41" s="139"/>
      <c r="MTZ41" s="139"/>
      <c r="MUA41" s="139"/>
      <c r="MUB41" s="139"/>
      <c r="MUC41" s="139"/>
      <c r="MUD41" s="139"/>
      <c r="MUE41" s="139"/>
      <c r="MUF41" s="139"/>
      <c r="MUG41" s="139"/>
      <c r="MUH41" s="139"/>
      <c r="MUI41" s="139"/>
      <c r="MUJ41" s="139"/>
      <c r="MUK41" s="139"/>
      <c r="MUL41" s="139"/>
      <c r="MUM41" s="139"/>
      <c r="MUN41" s="139"/>
      <c r="MUO41" s="139"/>
      <c r="MUP41" s="139"/>
      <c r="MUQ41" s="139"/>
      <c r="MUR41" s="139"/>
      <c r="MUS41" s="139"/>
      <c r="MUT41" s="139"/>
      <c r="MUU41" s="139"/>
      <c r="MUV41" s="139"/>
      <c r="MUW41" s="139"/>
      <c r="MUX41" s="139"/>
      <c r="MUY41" s="139"/>
      <c r="MUZ41" s="139"/>
      <c r="MVA41" s="139"/>
      <c r="MVB41" s="139"/>
      <c r="MVC41" s="139"/>
      <c r="MVD41" s="139"/>
      <c r="MVE41" s="139"/>
      <c r="MVF41" s="139"/>
      <c r="MVG41" s="139"/>
      <c r="MVH41" s="139"/>
      <c r="MVI41" s="139"/>
      <c r="MVJ41" s="139"/>
      <c r="MVK41" s="139"/>
      <c r="MVL41" s="139"/>
      <c r="MVM41" s="139"/>
      <c r="MVN41" s="139"/>
      <c r="MVO41" s="139"/>
      <c r="MVP41" s="139"/>
      <c r="MVQ41" s="139"/>
      <c r="MVR41" s="139"/>
      <c r="MVS41" s="139"/>
      <c r="MVT41" s="139"/>
      <c r="MVU41" s="139"/>
      <c r="MVV41" s="139"/>
      <c r="MVW41" s="139"/>
      <c r="MVX41" s="139"/>
      <c r="MVY41" s="139"/>
      <c r="MVZ41" s="139"/>
      <c r="MWA41" s="139"/>
      <c r="MWB41" s="139"/>
      <c r="MWC41" s="139"/>
      <c r="MWD41" s="139"/>
      <c r="MWE41" s="139"/>
      <c r="MWF41" s="139"/>
      <c r="MWG41" s="139"/>
      <c r="MWH41" s="139"/>
      <c r="MWI41" s="139"/>
      <c r="MWJ41" s="139"/>
      <c r="MWK41" s="139"/>
      <c r="MWL41" s="139"/>
      <c r="MWM41" s="139"/>
      <c r="MWN41" s="139"/>
      <c r="MWO41" s="139"/>
      <c r="MWP41" s="139"/>
      <c r="MWQ41" s="139"/>
      <c r="MWR41" s="139"/>
      <c r="MWS41" s="139"/>
      <c r="MWT41" s="139"/>
      <c r="MWU41" s="139"/>
      <c r="MWV41" s="139"/>
      <c r="MWW41" s="139"/>
      <c r="MWX41" s="139"/>
      <c r="MWY41" s="139"/>
      <c r="MWZ41" s="139"/>
      <c r="MXA41" s="139"/>
      <c r="MXB41" s="139"/>
      <c r="MXC41" s="139"/>
      <c r="MXD41" s="139"/>
      <c r="MXE41" s="139"/>
      <c r="MXF41" s="139"/>
      <c r="MXG41" s="139"/>
      <c r="MXH41" s="139"/>
      <c r="MXI41" s="139"/>
      <c r="MXJ41" s="139"/>
      <c r="MXK41" s="139"/>
      <c r="MXL41" s="139"/>
      <c r="MXM41" s="139"/>
      <c r="MXN41" s="139"/>
      <c r="MXO41" s="139"/>
      <c r="MXP41" s="139"/>
      <c r="MXQ41" s="139"/>
      <c r="MXR41" s="139"/>
      <c r="MXS41" s="139"/>
      <c r="MXT41" s="139"/>
      <c r="MXU41" s="139"/>
      <c r="MXV41" s="139"/>
      <c r="MXW41" s="139"/>
      <c r="MXX41" s="139"/>
      <c r="MXY41" s="139"/>
      <c r="MXZ41" s="139"/>
      <c r="MYA41" s="139"/>
      <c r="MYB41" s="139"/>
      <c r="MYC41" s="139"/>
      <c r="MYD41" s="139"/>
      <c r="MYE41" s="139"/>
      <c r="MYF41" s="139"/>
      <c r="MYG41" s="139"/>
      <c r="MYH41" s="139"/>
      <c r="MYI41" s="139"/>
      <c r="MYJ41" s="139"/>
      <c r="MYK41" s="139"/>
      <c r="MYL41" s="139"/>
      <c r="MYM41" s="139"/>
      <c r="MYN41" s="139"/>
      <c r="MYO41" s="139"/>
      <c r="MYP41" s="139"/>
      <c r="MYQ41" s="139"/>
      <c r="MYR41" s="139"/>
      <c r="MYS41" s="139"/>
      <c r="MYT41" s="139"/>
      <c r="MYU41" s="139"/>
      <c r="MYV41" s="139"/>
      <c r="MYW41" s="139"/>
      <c r="MYX41" s="139"/>
      <c r="MYY41" s="139"/>
      <c r="MYZ41" s="139"/>
      <c r="MZA41" s="139"/>
      <c r="MZB41" s="139"/>
      <c r="MZC41" s="139"/>
      <c r="MZD41" s="139"/>
      <c r="MZE41" s="139"/>
      <c r="MZF41" s="139"/>
      <c r="MZG41" s="139"/>
      <c r="MZH41" s="139"/>
      <c r="MZI41" s="139"/>
      <c r="MZJ41" s="139"/>
      <c r="MZK41" s="139"/>
      <c r="MZL41" s="139"/>
      <c r="MZM41" s="139"/>
      <c r="MZN41" s="139"/>
      <c r="MZO41" s="139"/>
      <c r="MZP41" s="139"/>
      <c r="MZQ41" s="139"/>
      <c r="MZR41" s="139"/>
      <c r="MZS41" s="139"/>
      <c r="MZT41" s="139"/>
      <c r="MZU41" s="139"/>
      <c r="MZV41" s="139"/>
      <c r="MZW41" s="139"/>
      <c r="MZX41" s="139"/>
      <c r="MZY41" s="139"/>
      <c r="MZZ41" s="139"/>
      <c r="NAA41" s="139"/>
      <c r="NAB41" s="139"/>
      <c r="NAC41" s="139"/>
      <c r="NAD41" s="139"/>
      <c r="NAE41" s="139"/>
      <c r="NAF41" s="139"/>
      <c r="NAG41" s="139"/>
      <c r="NAH41" s="139"/>
      <c r="NAI41" s="139"/>
      <c r="NAJ41" s="139"/>
      <c r="NAK41" s="139"/>
      <c r="NAL41" s="139"/>
      <c r="NAM41" s="139"/>
      <c r="NAN41" s="139"/>
      <c r="NAO41" s="139"/>
      <c r="NAP41" s="139"/>
      <c r="NAQ41" s="139"/>
      <c r="NAR41" s="139"/>
      <c r="NAS41" s="139"/>
      <c r="NAT41" s="139"/>
      <c r="NAU41" s="139"/>
      <c r="NAV41" s="139"/>
      <c r="NAW41" s="139"/>
      <c r="NAX41" s="139"/>
      <c r="NAY41" s="139"/>
      <c r="NAZ41" s="139"/>
      <c r="NBA41" s="139"/>
      <c r="NBB41" s="139"/>
      <c r="NBC41" s="139"/>
      <c r="NBD41" s="139"/>
      <c r="NBE41" s="139"/>
      <c r="NBF41" s="139"/>
      <c r="NBG41" s="139"/>
      <c r="NBH41" s="139"/>
      <c r="NBI41" s="139"/>
      <c r="NBJ41" s="139"/>
      <c r="NBK41" s="139"/>
      <c r="NBL41" s="139"/>
      <c r="NBM41" s="139"/>
      <c r="NBN41" s="139"/>
      <c r="NBO41" s="139"/>
      <c r="NBP41" s="139"/>
      <c r="NBQ41" s="139"/>
      <c r="NBR41" s="139"/>
      <c r="NBS41" s="139"/>
      <c r="NBT41" s="139"/>
      <c r="NBU41" s="139"/>
      <c r="NBV41" s="139"/>
      <c r="NBW41" s="139"/>
      <c r="NBX41" s="139"/>
      <c r="NBY41" s="139"/>
      <c r="NBZ41" s="139"/>
      <c r="NCA41" s="139"/>
      <c r="NCB41" s="139"/>
      <c r="NCC41" s="139"/>
      <c r="NCD41" s="139"/>
      <c r="NCE41" s="139"/>
      <c r="NCF41" s="139"/>
      <c r="NCG41" s="139"/>
      <c r="NCH41" s="139"/>
      <c r="NCI41" s="139"/>
      <c r="NCJ41" s="139"/>
      <c r="NCK41" s="139"/>
      <c r="NCL41" s="139"/>
      <c r="NCM41" s="139"/>
      <c r="NCN41" s="139"/>
      <c r="NCO41" s="139"/>
      <c r="NCP41" s="139"/>
      <c r="NCQ41" s="139"/>
      <c r="NCR41" s="139"/>
      <c r="NCS41" s="139"/>
      <c r="NCT41" s="139"/>
      <c r="NCU41" s="139"/>
      <c r="NCV41" s="139"/>
      <c r="NCW41" s="139"/>
      <c r="NCX41" s="139"/>
      <c r="NCY41" s="139"/>
      <c r="NCZ41" s="139"/>
      <c r="NDA41" s="139"/>
      <c r="NDB41" s="139"/>
      <c r="NDC41" s="139"/>
      <c r="NDD41" s="139"/>
      <c r="NDE41" s="139"/>
      <c r="NDF41" s="139"/>
      <c r="NDG41" s="139"/>
      <c r="NDH41" s="139"/>
      <c r="NDI41" s="139"/>
      <c r="NDJ41" s="139"/>
      <c r="NDK41" s="139"/>
      <c r="NDL41" s="139"/>
      <c r="NDM41" s="139"/>
      <c r="NDN41" s="139"/>
      <c r="NDO41" s="139"/>
      <c r="NDP41" s="139"/>
      <c r="NDQ41" s="139"/>
      <c r="NDR41" s="139"/>
      <c r="NDS41" s="139"/>
      <c r="NDT41" s="139"/>
      <c r="NDU41" s="139"/>
      <c r="NDV41" s="139"/>
      <c r="NDW41" s="139"/>
      <c r="NDX41" s="139"/>
      <c r="NDY41" s="139"/>
      <c r="NDZ41" s="139"/>
      <c r="NEA41" s="139"/>
      <c r="NEB41" s="139"/>
      <c r="NEC41" s="139"/>
      <c r="NED41" s="139"/>
      <c r="NEE41" s="139"/>
      <c r="NEF41" s="139"/>
      <c r="NEG41" s="139"/>
      <c r="NEH41" s="139"/>
      <c r="NEI41" s="139"/>
      <c r="NEJ41" s="139"/>
      <c r="NEK41" s="139"/>
      <c r="NEL41" s="139"/>
      <c r="NEM41" s="139"/>
      <c r="NEN41" s="139"/>
      <c r="NEO41" s="139"/>
      <c r="NEP41" s="139"/>
      <c r="NEQ41" s="139"/>
      <c r="NER41" s="139"/>
      <c r="NES41" s="139"/>
      <c r="NET41" s="139"/>
      <c r="NEU41" s="139"/>
      <c r="NEV41" s="139"/>
      <c r="NEW41" s="139"/>
      <c r="NEX41" s="139"/>
      <c r="NEY41" s="139"/>
      <c r="NEZ41" s="139"/>
      <c r="NFA41" s="139"/>
      <c r="NFB41" s="139"/>
      <c r="NFC41" s="139"/>
      <c r="NFD41" s="139"/>
      <c r="NFE41" s="139"/>
      <c r="NFF41" s="139"/>
      <c r="NFG41" s="139"/>
      <c r="NFH41" s="139"/>
      <c r="NFI41" s="139"/>
      <c r="NFJ41" s="139"/>
      <c r="NFK41" s="139"/>
      <c r="NFL41" s="139"/>
      <c r="NFM41" s="139"/>
      <c r="NFN41" s="139"/>
      <c r="NFO41" s="139"/>
      <c r="NFP41" s="139"/>
      <c r="NFQ41" s="139"/>
      <c r="NFR41" s="139"/>
      <c r="NFS41" s="139"/>
      <c r="NFT41" s="139"/>
      <c r="NFU41" s="139"/>
      <c r="NFV41" s="139"/>
      <c r="NFW41" s="139"/>
      <c r="NFX41" s="139"/>
      <c r="NFY41" s="139"/>
      <c r="NFZ41" s="139"/>
      <c r="NGA41" s="139"/>
      <c r="NGB41" s="139"/>
      <c r="NGC41" s="139"/>
      <c r="NGD41" s="139"/>
      <c r="NGE41" s="139"/>
      <c r="NGF41" s="139"/>
      <c r="NGG41" s="139"/>
      <c r="NGH41" s="139"/>
      <c r="NGI41" s="139"/>
      <c r="NGJ41" s="139"/>
      <c r="NGK41" s="139"/>
      <c r="NGL41" s="139"/>
      <c r="NGM41" s="139"/>
      <c r="NGN41" s="139"/>
      <c r="NGO41" s="139"/>
      <c r="NGP41" s="139"/>
      <c r="NGQ41" s="139"/>
      <c r="NGR41" s="139"/>
      <c r="NGS41" s="139"/>
      <c r="NGT41" s="139"/>
      <c r="NGU41" s="139"/>
      <c r="NGV41" s="139"/>
      <c r="NGW41" s="139"/>
      <c r="NGX41" s="139"/>
      <c r="NGY41" s="139"/>
      <c r="NGZ41" s="139"/>
      <c r="NHA41" s="139"/>
      <c r="NHB41" s="139"/>
      <c r="NHC41" s="139"/>
      <c r="NHD41" s="139"/>
      <c r="NHE41" s="139"/>
      <c r="NHF41" s="139"/>
      <c r="NHG41" s="139"/>
      <c r="NHH41" s="139"/>
      <c r="NHI41" s="139"/>
      <c r="NHJ41" s="139"/>
      <c r="NHK41" s="139"/>
      <c r="NHL41" s="139"/>
      <c r="NHM41" s="139"/>
      <c r="NHN41" s="139"/>
      <c r="NHO41" s="139"/>
      <c r="NHP41" s="139"/>
      <c r="NHQ41" s="139"/>
      <c r="NHR41" s="139"/>
      <c r="NHS41" s="139"/>
      <c r="NHT41" s="139"/>
      <c r="NHU41" s="139"/>
      <c r="NHV41" s="139"/>
      <c r="NHW41" s="139"/>
      <c r="NHX41" s="139"/>
      <c r="NHY41" s="139"/>
      <c r="NHZ41" s="139"/>
      <c r="NIA41" s="139"/>
      <c r="NIB41" s="139"/>
      <c r="NIC41" s="139"/>
      <c r="NID41" s="139"/>
      <c r="NIE41" s="139"/>
      <c r="NIF41" s="139"/>
      <c r="NIG41" s="139"/>
      <c r="NIH41" s="139"/>
      <c r="NII41" s="139"/>
      <c r="NIJ41" s="139"/>
      <c r="NIK41" s="139"/>
      <c r="NIL41" s="139"/>
      <c r="NIM41" s="139"/>
      <c r="NIN41" s="139"/>
      <c r="NIO41" s="139"/>
      <c r="NIP41" s="139"/>
      <c r="NIQ41" s="139"/>
      <c r="NIR41" s="139"/>
      <c r="NIS41" s="139"/>
      <c r="NIT41" s="139"/>
      <c r="NIU41" s="139"/>
      <c r="NIV41" s="139"/>
      <c r="NIW41" s="139"/>
      <c r="NIX41" s="139"/>
      <c r="NIY41" s="139"/>
      <c r="NIZ41" s="139"/>
      <c r="NJA41" s="139"/>
      <c r="NJB41" s="139"/>
      <c r="NJC41" s="139"/>
      <c r="NJD41" s="139"/>
      <c r="NJE41" s="139"/>
      <c r="NJF41" s="139"/>
      <c r="NJG41" s="139"/>
      <c r="NJH41" s="139"/>
      <c r="NJI41" s="139"/>
      <c r="NJJ41" s="139"/>
      <c r="NJK41" s="139"/>
      <c r="NJL41" s="139"/>
      <c r="NJM41" s="139"/>
      <c r="NJN41" s="139"/>
      <c r="NJO41" s="139"/>
      <c r="NJP41" s="139"/>
      <c r="NJQ41" s="139"/>
      <c r="NJR41" s="139"/>
      <c r="NJS41" s="139"/>
      <c r="NJT41" s="139"/>
      <c r="NJU41" s="139"/>
      <c r="NJV41" s="139"/>
      <c r="NJW41" s="139"/>
      <c r="NJX41" s="139"/>
      <c r="NJY41" s="139"/>
      <c r="NJZ41" s="139"/>
      <c r="NKA41" s="139"/>
      <c r="NKB41" s="139"/>
      <c r="NKC41" s="139"/>
      <c r="NKD41" s="139"/>
      <c r="NKE41" s="139"/>
      <c r="NKF41" s="139"/>
      <c r="NKG41" s="139"/>
      <c r="NKH41" s="139"/>
      <c r="NKI41" s="139"/>
      <c r="NKJ41" s="139"/>
      <c r="NKK41" s="139"/>
      <c r="NKL41" s="139"/>
      <c r="NKM41" s="139"/>
      <c r="NKN41" s="139"/>
      <c r="NKO41" s="139"/>
      <c r="NKP41" s="139"/>
      <c r="NKQ41" s="139"/>
      <c r="NKR41" s="139"/>
      <c r="NKS41" s="139"/>
      <c r="NKT41" s="139"/>
      <c r="NKU41" s="139"/>
      <c r="NKV41" s="139"/>
      <c r="NKW41" s="139"/>
      <c r="NKX41" s="139"/>
      <c r="NKY41" s="139"/>
      <c r="NKZ41" s="139"/>
      <c r="NLA41" s="139"/>
      <c r="NLB41" s="139"/>
      <c r="NLC41" s="139"/>
      <c r="NLD41" s="139"/>
      <c r="NLE41" s="139"/>
      <c r="NLF41" s="139"/>
      <c r="NLG41" s="139"/>
      <c r="NLH41" s="139"/>
      <c r="NLI41" s="139"/>
      <c r="NLJ41" s="139"/>
      <c r="NLK41" s="139"/>
      <c r="NLL41" s="139"/>
      <c r="NLM41" s="139"/>
      <c r="NLN41" s="139"/>
      <c r="NLO41" s="139"/>
      <c r="NLP41" s="139"/>
      <c r="NLQ41" s="139"/>
      <c r="NLR41" s="139"/>
      <c r="NLS41" s="139"/>
      <c r="NLT41" s="139"/>
      <c r="NLU41" s="139"/>
      <c r="NLV41" s="139"/>
      <c r="NLW41" s="139"/>
      <c r="NLX41" s="139"/>
      <c r="NLY41" s="139"/>
      <c r="NLZ41" s="139"/>
      <c r="NMA41" s="139"/>
      <c r="NMB41" s="139"/>
      <c r="NMC41" s="139"/>
      <c r="NMD41" s="139"/>
      <c r="NME41" s="139"/>
      <c r="NMF41" s="139"/>
      <c r="NMG41" s="139"/>
      <c r="NMH41" s="139"/>
      <c r="NMI41" s="139"/>
      <c r="NMJ41" s="139"/>
      <c r="NMK41" s="139"/>
      <c r="NML41" s="139"/>
      <c r="NMM41" s="139"/>
      <c r="NMN41" s="139"/>
      <c r="NMO41" s="139"/>
      <c r="NMP41" s="139"/>
      <c r="NMQ41" s="139"/>
      <c r="NMR41" s="139"/>
      <c r="NMS41" s="139"/>
      <c r="NMT41" s="139"/>
      <c r="NMU41" s="139"/>
      <c r="NMV41" s="139"/>
      <c r="NMW41" s="139"/>
      <c r="NMX41" s="139"/>
      <c r="NMY41" s="139"/>
      <c r="NMZ41" s="139"/>
      <c r="NNA41" s="139"/>
      <c r="NNB41" s="139"/>
      <c r="NNC41" s="139"/>
      <c r="NND41" s="139"/>
      <c r="NNE41" s="139"/>
      <c r="NNF41" s="139"/>
      <c r="NNG41" s="139"/>
      <c r="NNH41" s="139"/>
      <c r="NNI41" s="139"/>
      <c r="NNJ41" s="139"/>
      <c r="NNK41" s="139"/>
      <c r="NNL41" s="139"/>
      <c r="NNM41" s="139"/>
      <c r="NNN41" s="139"/>
      <c r="NNO41" s="139"/>
      <c r="NNP41" s="139"/>
      <c r="NNQ41" s="139"/>
      <c r="NNR41" s="139"/>
      <c r="NNS41" s="139"/>
      <c r="NNT41" s="139"/>
      <c r="NNU41" s="139"/>
      <c r="NNV41" s="139"/>
      <c r="NNW41" s="139"/>
      <c r="NNX41" s="139"/>
      <c r="NNY41" s="139"/>
      <c r="NNZ41" s="139"/>
      <c r="NOA41" s="139"/>
      <c r="NOB41" s="139"/>
      <c r="NOC41" s="139"/>
      <c r="NOD41" s="139"/>
      <c r="NOE41" s="139"/>
      <c r="NOF41" s="139"/>
      <c r="NOG41" s="139"/>
      <c r="NOH41" s="139"/>
      <c r="NOI41" s="139"/>
      <c r="NOJ41" s="139"/>
      <c r="NOK41" s="139"/>
      <c r="NOL41" s="139"/>
      <c r="NOM41" s="139"/>
      <c r="NON41" s="139"/>
      <c r="NOO41" s="139"/>
      <c r="NOP41" s="139"/>
      <c r="NOQ41" s="139"/>
      <c r="NOR41" s="139"/>
      <c r="NOS41" s="139"/>
      <c r="NOT41" s="139"/>
      <c r="NOU41" s="139"/>
      <c r="NOV41" s="139"/>
      <c r="NOW41" s="139"/>
      <c r="NOX41" s="139"/>
      <c r="NOY41" s="139"/>
      <c r="NOZ41" s="139"/>
      <c r="NPA41" s="139"/>
      <c r="NPB41" s="139"/>
      <c r="NPC41" s="139"/>
      <c r="NPD41" s="139"/>
      <c r="NPE41" s="139"/>
      <c r="NPF41" s="139"/>
      <c r="NPG41" s="139"/>
      <c r="NPH41" s="139"/>
      <c r="NPI41" s="139"/>
      <c r="NPJ41" s="139"/>
      <c r="NPK41" s="139"/>
      <c r="NPL41" s="139"/>
      <c r="NPM41" s="139"/>
      <c r="NPN41" s="139"/>
      <c r="NPO41" s="139"/>
      <c r="NPP41" s="139"/>
      <c r="NPQ41" s="139"/>
      <c r="NPR41" s="139"/>
      <c r="NPS41" s="139"/>
      <c r="NPT41" s="139"/>
      <c r="NPU41" s="139"/>
      <c r="NPV41" s="139"/>
      <c r="NPW41" s="139"/>
      <c r="NPX41" s="139"/>
      <c r="NPY41" s="139"/>
      <c r="NPZ41" s="139"/>
      <c r="NQA41" s="139"/>
      <c r="NQB41" s="139"/>
      <c r="NQC41" s="139"/>
      <c r="NQD41" s="139"/>
      <c r="NQE41" s="139"/>
      <c r="NQF41" s="139"/>
      <c r="NQG41" s="139"/>
      <c r="NQH41" s="139"/>
      <c r="NQI41" s="139"/>
      <c r="NQJ41" s="139"/>
      <c r="NQK41" s="139"/>
      <c r="NQL41" s="139"/>
      <c r="NQM41" s="139"/>
      <c r="NQN41" s="139"/>
      <c r="NQO41" s="139"/>
      <c r="NQP41" s="139"/>
      <c r="NQQ41" s="139"/>
      <c r="NQR41" s="139"/>
      <c r="NQS41" s="139"/>
      <c r="NQT41" s="139"/>
      <c r="NQU41" s="139"/>
      <c r="NQV41" s="139"/>
      <c r="NQW41" s="139"/>
      <c r="NQX41" s="139"/>
      <c r="NQY41" s="139"/>
      <c r="NQZ41" s="139"/>
      <c r="NRA41" s="139"/>
      <c r="NRB41" s="139"/>
      <c r="NRC41" s="139"/>
      <c r="NRD41" s="139"/>
      <c r="NRE41" s="139"/>
      <c r="NRF41" s="139"/>
      <c r="NRG41" s="139"/>
      <c r="NRH41" s="139"/>
      <c r="NRI41" s="139"/>
      <c r="NRJ41" s="139"/>
      <c r="NRK41" s="139"/>
      <c r="NRL41" s="139"/>
      <c r="NRM41" s="139"/>
      <c r="NRN41" s="139"/>
      <c r="NRO41" s="139"/>
      <c r="NRP41" s="139"/>
      <c r="NRQ41" s="139"/>
      <c r="NRR41" s="139"/>
      <c r="NRS41" s="139"/>
      <c r="NRT41" s="139"/>
      <c r="NRU41" s="139"/>
      <c r="NRV41" s="139"/>
      <c r="NRW41" s="139"/>
      <c r="NRX41" s="139"/>
      <c r="NRY41" s="139"/>
      <c r="NRZ41" s="139"/>
      <c r="NSA41" s="139"/>
      <c r="NSB41" s="139"/>
      <c r="NSC41" s="139"/>
      <c r="NSD41" s="139"/>
      <c r="NSE41" s="139"/>
      <c r="NSF41" s="139"/>
      <c r="NSG41" s="139"/>
      <c r="NSH41" s="139"/>
      <c r="NSI41" s="139"/>
      <c r="NSJ41" s="139"/>
      <c r="NSK41" s="139"/>
      <c r="NSL41" s="139"/>
      <c r="NSM41" s="139"/>
      <c r="NSN41" s="139"/>
      <c r="NSO41" s="139"/>
      <c r="NSP41" s="139"/>
      <c r="NSQ41" s="139"/>
      <c r="NSR41" s="139"/>
      <c r="NSS41" s="139"/>
      <c r="NST41" s="139"/>
      <c r="NSU41" s="139"/>
      <c r="NSV41" s="139"/>
      <c r="NSW41" s="139"/>
      <c r="NSX41" s="139"/>
      <c r="NSY41" s="139"/>
      <c r="NSZ41" s="139"/>
      <c r="NTA41" s="139"/>
      <c r="NTB41" s="139"/>
      <c r="NTC41" s="139"/>
      <c r="NTD41" s="139"/>
      <c r="NTE41" s="139"/>
      <c r="NTF41" s="139"/>
      <c r="NTG41" s="139"/>
      <c r="NTH41" s="139"/>
      <c r="NTI41" s="139"/>
      <c r="NTJ41" s="139"/>
      <c r="NTK41" s="139"/>
      <c r="NTL41" s="139"/>
      <c r="NTM41" s="139"/>
      <c r="NTN41" s="139"/>
      <c r="NTO41" s="139"/>
      <c r="NTP41" s="139"/>
      <c r="NTQ41" s="139"/>
      <c r="NTR41" s="139"/>
      <c r="NTS41" s="139"/>
      <c r="NTT41" s="139"/>
      <c r="NTU41" s="139"/>
      <c r="NTV41" s="139"/>
      <c r="NTW41" s="139"/>
      <c r="NTX41" s="139"/>
      <c r="NTY41" s="139"/>
      <c r="NTZ41" s="139"/>
      <c r="NUA41" s="139"/>
      <c r="NUB41" s="139"/>
      <c r="NUC41" s="139"/>
      <c r="NUD41" s="139"/>
      <c r="NUE41" s="139"/>
      <c r="NUF41" s="139"/>
      <c r="NUG41" s="139"/>
      <c r="NUH41" s="139"/>
      <c r="NUI41" s="139"/>
      <c r="NUJ41" s="139"/>
      <c r="NUK41" s="139"/>
      <c r="NUL41" s="139"/>
      <c r="NUM41" s="139"/>
      <c r="NUN41" s="139"/>
      <c r="NUO41" s="139"/>
      <c r="NUP41" s="139"/>
      <c r="NUQ41" s="139"/>
      <c r="NUR41" s="139"/>
      <c r="NUS41" s="139"/>
      <c r="NUT41" s="139"/>
      <c r="NUU41" s="139"/>
      <c r="NUV41" s="139"/>
      <c r="NUW41" s="139"/>
      <c r="NUX41" s="139"/>
      <c r="NUY41" s="139"/>
      <c r="NUZ41" s="139"/>
      <c r="NVA41" s="139"/>
      <c r="NVB41" s="139"/>
      <c r="NVC41" s="139"/>
      <c r="NVD41" s="139"/>
      <c r="NVE41" s="139"/>
      <c r="NVF41" s="139"/>
      <c r="NVG41" s="139"/>
      <c r="NVH41" s="139"/>
      <c r="NVI41" s="139"/>
      <c r="NVJ41" s="139"/>
      <c r="NVK41" s="139"/>
      <c r="NVL41" s="139"/>
      <c r="NVM41" s="139"/>
      <c r="NVN41" s="139"/>
      <c r="NVO41" s="139"/>
      <c r="NVP41" s="139"/>
      <c r="NVQ41" s="139"/>
      <c r="NVR41" s="139"/>
      <c r="NVS41" s="139"/>
      <c r="NVT41" s="139"/>
      <c r="NVU41" s="139"/>
      <c r="NVV41" s="139"/>
      <c r="NVW41" s="139"/>
      <c r="NVX41" s="139"/>
      <c r="NVY41" s="139"/>
      <c r="NVZ41" s="139"/>
      <c r="NWA41" s="139"/>
      <c r="NWB41" s="139"/>
      <c r="NWC41" s="139"/>
      <c r="NWD41" s="139"/>
      <c r="NWE41" s="139"/>
      <c r="NWF41" s="139"/>
      <c r="NWG41" s="139"/>
      <c r="NWH41" s="139"/>
      <c r="NWI41" s="139"/>
      <c r="NWJ41" s="139"/>
      <c r="NWK41" s="139"/>
      <c r="NWL41" s="139"/>
      <c r="NWM41" s="139"/>
      <c r="NWN41" s="139"/>
      <c r="NWO41" s="139"/>
      <c r="NWP41" s="139"/>
      <c r="NWQ41" s="139"/>
      <c r="NWR41" s="139"/>
      <c r="NWS41" s="139"/>
      <c r="NWT41" s="139"/>
      <c r="NWU41" s="139"/>
      <c r="NWV41" s="139"/>
      <c r="NWW41" s="139"/>
      <c r="NWX41" s="139"/>
      <c r="NWY41" s="139"/>
      <c r="NWZ41" s="139"/>
      <c r="NXA41" s="139"/>
      <c r="NXB41" s="139"/>
      <c r="NXC41" s="139"/>
      <c r="NXD41" s="139"/>
      <c r="NXE41" s="139"/>
      <c r="NXF41" s="139"/>
      <c r="NXG41" s="139"/>
      <c r="NXH41" s="139"/>
      <c r="NXI41" s="139"/>
      <c r="NXJ41" s="139"/>
      <c r="NXK41" s="139"/>
      <c r="NXL41" s="139"/>
      <c r="NXM41" s="139"/>
      <c r="NXN41" s="139"/>
      <c r="NXO41" s="139"/>
      <c r="NXP41" s="139"/>
      <c r="NXQ41" s="139"/>
      <c r="NXR41" s="139"/>
      <c r="NXS41" s="139"/>
      <c r="NXT41" s="139"/>
      <c r="NXU41" s="139"/>
      <c r="NXV41" s="139"/>
      <c r="NXW41" s="139"/>
      <c r="NXX41" s="139"/>
      <c r="NXY41" s="139"/>
      <c r="NXZ41" s="139"/>
      <c r="NYA41" s="139"/>
      <c r="NYB41" s="139"/>
      <c r="NYC41" s="139"/>
      <c r="NYD41" s="139"/>
      <c r="NYE41" s="139"/>
      <c r="NYF41" s="139"/>
      <c r="NYG41" s="139"/>
      <c r="NYH41" s="139"/>
      <c r="NYI41" s="139"/>
      <c r="NYJ41" s="139"/>
      <c r="NYK41" s="139"/>
      <c r="NYL41" s="139"/>
      <c r="NYM41" s="139"/>
      <c r="NYN41" s="139"/>
      <c r="NYO41" s="139"/>
      <c r="NYP41" s="139"/>
      <c r="NYQ41" s="139"/>
      <c r="NYR41" s="139"/>
      <c r="NYS41" s="139"/>
      <c r="NYT41" s="139"/>
      <c r="NYU41" s="139"/>
      <c r="NYV41" s="139"/>
      <c r="NYW41" s="139"/>
      <c r="NYX41" s="139"/>
      <c r="NYY41" s="139"/>
      <c r="NYZ41" s="139"/>
      <c r="NZA41" s="139"/>
      <c r="NZB41" s="139"/>
      <c r="NZC41" s="139"/>
      <c r="NZD41" s="139"/>
      <c r="NZE41" s="139"/>
      <c r="NZF41" s="139"/>
      <c r="NZG41" s="139"/>
      <c r="NZH41" s="139"/>
      <c r="NZI41" s="139"/>
      <c r="NZJ41" s="139"/>
      <c r="NZK41" s="139"/>
      <c r="NZL41" s="139"/>
      <c r="NZM41" s="139"/>
      <c r="NZN41" s="139"/>
      <c r="NZO41" s="139"/>
      <c r="NZP41" s="139"/>
      <c r="NZQ41" s="139"/>
      <c r="NZR41" s="139"/>
      <c r="NZS41" s="139"/>
      <c r="NZT41" s="139"/>
      <c r="NZU41" s="139"/>
      <c r="NZV41" s="139"/>
      <c r="NZW41" s="139"/>
      <c r="NZX41" s="139"/>
      <c r="NZY41" s="139"/>
      <c r="NZZ41" s="139"/>
      <c r="OAA41" s="139"/>
      <c r="OAB41" s="139"/>
      <c r="OAC41" s="139"/>
      <c r="OAD41" s="139"/>
      <c r="OAE41" s="139"/>
      <c r="OAF41" s="139"/>
      <c r="OAG41" s="139"/>
      <c r="OAH41" s="139"/>
      <c r="OAI41" s="139"/>
      <c r="OAJ41" s="139"/>
      <c r="OAK41" s="139"/>
      <c r="OAL41" s="139"/>
      <c r="OAM41" s="139"/>
      <c r="OAN41" s="139"/>
      <c r="OAO41" s="139"/>
      <c r="OAP41" s="139"/>
      <c r="OAQ41" s="139"/>
      <c r="OAR41" s="139"/>
      <c r="OAS41" s="139"/>
      <c r="OAT41" s="139"/>
      <c r="OAU41" s="139"/>
      <c r="OAV41" s="139"/>
      <c r="OAW41" s="139"/>
      <c r="OAX41" s="139"/>
      <c r="OAY41" s="139"/>
      <c r="OAZ41" s="139"/>
      <c r="OBA41" s="139"/>
      <c r="OBB41" s="139"/>
      <c r="OBC41" s="139"/>
      <c r="OBD41" s="139"/>
      <c r="OBE41" s="139"/>
      <c r="OBF41" s="139"/>
      <c r="OBG41" s="139"/>
      <c r="OBH41" s="139"/>
      <c r="OBI41" s="139"/>
      <c r="OBJ41" s="139"/>
      <c r="OBK41" s="139"/>
      <c r="OBL41" s="139"/>
      <c r="OBM41" s="139"/>
      <c r="OBN41" s="139"/>
      <c r="OBO41" s="139"/>
      <c r="OBP41" s="139"/>
      <c r="OBQ41" s="139"/>
      <c r="OBR41" s="139"/>
      <c r="OBS41" s="139"/>
      <c r="OBT41" s="139"/>
      <c r="OBU41" s="139"/>
      <c r="OBV41" s="139"/>
      <c r="OBW41" s="139"/>
      <c r="OBX41" s="139"/>
      <c r="OBY41" s="139"/>
      <c r="OBZ41" s="139"/>
      <c r="OCA41" s="139"/>
      <c r="OCB41" s="139"/>
      <c r="OCC41" s="139"/>
      <c r="OCD41" s="139"/>
      <c r="OCE41" s="139"/>
      <c r="OCF41" s="139"/>
      <c r="OCG41" s="139"/>
      <c r="OCH41" s="139"/>
      <c r="OCI41" s="139"/>
      <c r="OCJ41" s="139"/>
      <c r="OCK41" s="139"/>
      <c r="OCL41" s="139"/>
      <c r="OCM41" s="139"/>
      <c r="OCN41" s="139"/>
      <c r="OCO41" s="139"/>
      <c r="OCP41" s="139"/>
      <c r="OCQ41" s="139"/>
      <c r="OCR41" s="139"/>
      <c r="OCS41" s="139"/>
      <c r="OCT41" s="139"/>
      <c r="OCU41" s="139"/>
      <c r="OCV41" s="139"/>
      <c r="OCW41" s="139"/>
      <c r="OCX41" s="139"/>
      <c r="OCY41" s="139"/>
      <c r="OCZ41" s="139"/>
      <c r="ODA41" s="139"/>
      <c r="ODB41" s="139"/>
      <c r="ODC41" s="139"/>
      <c r="ODD41" s="139"/>
      <c r="ODE41" s="139"/>
      <c r="ODF41" s="139"/>
      <c r="ODG41" s="139"/>
      <c r="ODH41" s="139"/>
      <c r="ODI41" s="139"/>
      <c r="ODJ41" s="139"/>
      <c r="ODK41" s="139"/>
      <c r="ODL41" s="139"/>
      <c r="ODM41" s="139"/>
      <c r="ODN41" s="139"/>
      <c r="ODO41" s="139"/>
      <c r="ODP41" s="139"/>
      <c r="ODQ41" s="139"/>
      <c r="ODR41" s="139"/>
      <c r="ODS41" s="139"/>
      <c r="ODT41" s="139"/>
      <c r="ODU41" s="139"/>
      <c r="ODV41" s="139"/>
      <c r="ODW41" s="139"/>
      <c r="ODX41" s="139"/>
      <c r="ODY41" s="139"/>
      <c r="ODZ41" s="139"/>
      <c r="OEA41" s="139"/>
      <c r="OEB41" s="139"/>
      <c r="OEC41" s="139"/>
      <c r="OED41" s="139"/>
      <c r="OEE41" s="139"/>
      <c r="OEF41" s="139"/>
      <c r="OEG41" s="139"/>
      <c r="OEH41" s="139"/>
      <c r="OEI41" s="139"/>
      <c r="OEJ41" s="139"/>
      <c r="OEK41" s="139"/>
      <c r="OEL41" s="139"/>
      <c r="OEM41" s="139"/>
      <c r="OEN41" s="139"/>
      <c r="OEO41" s="139"/>
      <c r="OEP41" s="139"/>
      <c r="OEQ41" s="139"/>
      <c r="OER41" s="139"/>
      <c r="OES41" s="139"/>
      <c r="OET41" s="139"/>
      <c r="OEU41" s="139"/>
      <c r="OEV41" s="139"/>
      <c r="OEW41" s="139"/>
      <c r="OEX41" s="139"/>
      <c r="OEY41" s="139"/>
      <c r="OEZ41" s="139"/>
      <c r="OFA41" s="139"/>
      <c r="OFB41" s="139"/>
      <c r="OFC41" s="139"/>
      <c r="OFD41" s="139"/>
      <c r="OFE41" s="139"/>
      <c r="OFF41" s="139"/>
      <c r="OFG41" s="139"/>
      <c r="OFH41" s="139"/>
      <c r="OFI41" s="139"/>
      <c r="OFJ41" s="139"/>
      <c r="OFK41" s="139"/>
      <c r="OFL41" s="139"/>
      <c r="OFM41" s="139"/>
      <c r="OFN41" s="139"/>
      <c r="OFO41" s="139"/>
      <c r="OFP41" s="139"/>
      <c r="OFQ41" s="139"/>
      <c r="OFR41" s="139"/>
      <c r="OFS41" s="139"/>
      <c r="OFT41" s="139"/>
      <c r="OFU41" s="139"/>
      <c r="OFV41" s="139"/>
      <c r="OFW41" s="139"/>
      <c r="OFX41" s="139"/>
      <c r="OFY41" s="139"/>
      <c r="OFZ41" s="139"/>
      <c r="OGA41" s="139"/>
      <c r="OGB41" s="139"/>
      <c r="OGC41" s="139"/>
      <c r="OGD41" s="139"/>
      <c r="OGE41" s="139"/>
      <c r="OGF41" s="139"/>
      <c r="OGG41" s="139"/>
      <c r="OGH41" s="139"/>
      <c r="OGI41" s="139"/>
      <c r="OGJ41" s="139"/>
      <c r="OGK41" s="139"/>
      <c r="OGL41" s="139"/>
      <c r="OGM41" s="139"/>
      <c r="OGN41" s="139"/>
      <c r="OGO41" s="139"/>
      <c r="OGP41" s="139"/>
      <c r="OGQ41" s="139"/>
      <c r="OGR41" s="139"/>
      <c r="OGS41" s="139"/>
      <c r="OGT41" s="139"/>
      <c r="OGU41" s="139"/>
      <c r="OGV41" s="139"/>
      <c r="OGW41" s="139"/>
      <c r="OGX41" s="139"/>
      <c r="OGY41" s="139"/>
      <c r="OGZ41" s="139"/>
      <c r="OHA41" s="139"/>
      <c r="OHB41" s="139"/>
      <c r="OHC41" s="139"/>
      <c r="OHD41" s="139"/>
      <c r="OHE41" s="139"/>
      <c r="OHF41" s="139"/>
      <c r="OHG41" s="139"/>
      <c r="OHH41" s="139"/>
      <c r="OHI41" s="139"/>
      <c r="OHJ41" s="139"/>
      <c r="OHK41" s="139"/>
      <c r="OHL41" s="139"/>
      <c r="OHM41" s="139"/>
      <c r="OHN41" s="139"/>
      <c r="OHO41" s="139"/>
      <c r="OHP41" s="139"/>
      <c r="OHQ41" s="139"/>
      <c r="OHR41" s="139"/>
      <c r="OHS41" s="139"/>
      <c r="OHT41" s="139"/>
      <c r="OHU41" s="139"/>
      <c r="OHV41" s="139"/>
      <c r="OHW41" s="139"/>
      <c r="OHX41" s="139"/>
      <c r="OHY41" s="139"/>
      <c r="OHZ41" s="139"/>
      <c r="OIA41" s="139"/>
      <c r="OIB41" s="139"/>
      <c r="OIC41" s="139"/>
      <c r="OID41" s="139"/>
      <c r="OIE41" s="139"/>
      <c r="OIF41" s="139"/>
      <c r="OIG41" s="139"/>
      <c r="OIH41" s="139"/>
      <c r="OII41" s="139"/>
      <c r="OIJ41" s="139"/>
      <c r="OIK41" s="139"/>
      <c r="OIL41" s="139"/>
      <c r="OIM41" s="139"/>
      <c r="OIN41" s="139"/>
      <c r="OIO41" s="139"/>
      <c r="OIP41" s="139"/>
      <c r="OIQ41" s="139"/>
      <c r="OIR41" s="139"/>
      <c r="OIS41" s="139"/>
      <c r="OIT41" s="139"/>
      <c r="OIU41" s="139"/>
      <c r="OIV41" s="139"/>
      <c r="OIW41" s="139"/>
      <c r="OIX41" s="139"/>
      <c r="OIY41" s="139"/>
      <c r="OIZ41" s="139"/>
      <c r="OJA41" s="139"/>
      <c r="OJB41" s="139"/>
      <c r="OJC41" s="139"/>
      <c r="OJD41" s="139"/>
      <c r="OJE41" s="139"/>
      <c r="OJF41" s="139"/>
      <c r="OJG41" s="139"/>
      <c r="OJH41" s="139"/>
      <c r="OJI41" s="139"/>
      <c r="OJJ41" s="139"/>
      <c r="OJK41" s="139"/>
      <c r="OJL41" s="139"/>
      <c r="OJM41" s="139"/>
      <c r="OJN41" s="139"/>
      <c r="OJO41" s="139"/>
      <c r="OJP41" s="139"/>
      <c r="OJQ41" s="139"/>
      <c r="OJR41" s="139"/>
      <c r="OJS41" s="139"/>
      <c r="OJT41" s="139"/>
      <c r="OJU41" s="139"/>
      <c r="OJV41" s="139"/>
      <c r="OJW41" s="139"/>
      <c r="OJX41" s="139"/>
      <c r="OJY41" s="139"/>
      <c r="OJZ41" s="139"/>
      <c r="OKA41" s="139"/>
      <c r="OKB41" s="139"/>
      <c r="OKC41" s="139"/>
      <c r="OKD41" s="139"/>
      <c r="OKE41" s="139"/>
      <c r="OKF41" s="139"/>
      <c r="OKG41" s="139"/>
      <c r="OKH41" s="139"/>
      <c r="OKI41" s="139"/>
      <c r="OKJ41" s="139"/>
      <c r="OKK41" s="139"/>
      <c r="OKL41" s="139"/>
      <c r="OKM41" s="139"/>
      <c r="OKN41" s="139"/>
      <c r="OKO41" s="139"/>
      <c r="OKP41" s="139"/>
      <c r="OKQ41" s="139"/>
      <c r="OKR41" s="139"/>
      <c r="OKS41" s="139"/>
      <c r="OKT41" s="139"/>
      <c r="OKU41" s="139"/>
      <c r="OKV41" s="139"/>
      <c r="OKW41" s="139"/>
      <c r="OKX41" s="139"/>
      <c r="OKY41" s="139"/>
      <c r="OKZ41" s="139"/>
      <c r="OLA41" s="139"/>
      <c r="OLB41" s="139"/>
      <c r="OLC41" s="139"/>
      <c r="OLD41" s="139"/>
      <c r="OLE41" s="139"/>
      <c r="OLF41" s="139"/>
      <c r="OLG41" s="139"/>
      <c r="OLH41" s="139"/>
      <c r="OLI41" s="139"/>
      <c r="OLJ41" s="139"/>
      <c r="OLK41" s="139"/>
      <c r="OLL41" s="139"/>
      <c r="OLM41" s="139"/>
      <c r="OLN41" s="139"/>
      <c r="OLO41" s="139"/>
      <c r="OLP41" s="139"/>
      <c r="OLQ41" s="139"/>
      <c r="OLR41" s="139"/>
      <c r="OLS41" s="139"/>
      <c r="OLT41" s="139"/>
      <c r="OLU41" s="139"/>
      <c r="OLV41" s="139"/>
      <c r="OLW41" s="139"/>
      <c r="OLX41" s="139"/>
      <c r="OLY41" s="139"/>
      <c r="OLZ41" s="139"/>
      <c r="OMA41" s="139"/>
      <c r="OMB41" s="139"/>
      <c r="OMC41" s="139"/>
      <c r="OMD41" s="139"/>
      <c r="OME41" s="139"/>
      <c r="OMF41" s="139"/>
      <c r="OMG41" s="139"/>
      <c r="OMH41" s="139"/>
      <c r="OMI41" s="139"/>
      <c r="OMJ41" s="139"/>
      <c r="OMK41" s="139"/>
      <c r="OML41" s="139"/>
      <c r="OMM41" s="139"/>
      <c r="OMN41" s="139"/>
      <c r="OMO41" s="139"/>
      <c r="OMP41" s="139"/>
      <c r="OMQ41" s="139"/>
      <c r="OMR41" s="139"/>
      <c r="OMS41" s="139"/>
      <c r="OMT41" s="139"/>
      <c r="OMU41" s="139"/>
      <c r="OMV41" s="139"/>
      <c r="OMW41" s="139"/>
      <c r="OMX41" s="139"/>
      <c r="OMY41" s="139"/>
      <c r="OMZ41" s="139"/>
      <c r="ONA41" s="139"/>
      <c r="ONB41" s="139"/>
      <c r="ONC41" s="139"/>
      <c r="OND41" s="139"/>
      <c r="ONE41" s="139"/>
      <c r="ONF41" s="139"/>
      <c r="ONG41" s="139"/>
      <c r="ONH41" s="139"/>
      <c r="ONI41" s="139"/>
      <c r="ONJ41" s="139"/>
      <c r="ONK41" s="139"/>
      <c r="ONL41" s="139"/>
      <c r="ONM41" s="139"/>
      <c r="ONN41" s="139"/>
      <c r="ONO41" s="139"/>
      <c r="ONP41" s="139"/>
      <c r="ONQ41" s="139"/>
      <c r="ONR41" s="139"/>
      <c r="ONS41" s="139"/>
      <c r="ONT41" s="139"/>
      <c r="ONU41" s="139"/>
      <c r="ONV41" s="139"/>
      <c r="ONW41" s="139"/>
      <c r="ONX41" s="139"/>
      <c r="ONY41" s="139"/>
      <c r="ONZ41" s="139"/>
      <c r="OOA41" s="139"/>
      <c r="OOB41" s="139"/>
      <c r="OOC41" s="139"/>
      <c r="OOD41" s="139"/>
      <c r="OOE41" s="139"/>
      <c r="OOF41" s="139"/>
      <c r="OOG41" s="139"/>
      <c r="OOH41" s="139"/>
      <c r="OOI41" s="139"/>
      <c r="OOJ41" s="139"/>
      <c r="OOK41" s="139"/>
      <c r="OOL41" s="139"/>
      <c r="OOM41" s="139"/>
      <c r="OON41" s="139"/>
      <c r="OOO41" s="139"/>
      <c r="OOP41" s="139"/>
      <c r="OOQ41" s="139"/>
      <c r="OOR41" s="139"/>
      <c r="OOS41" s="139"/>
      <c r="OOT41" s="139"/>
      <c r="OOU41" s="139"/>
      <c r="OOV41" s="139"/>
      <c r="OOW41" s="139"/>
      <c r="OOX41" s="139"/>
      <c r="OOY41" s="139"/>
      <c r="OOZ41" s="139"/>
      <c r="OPA41" s="139"/>
      <c r="OPB41" s="139"/>
      <c r="OPC41" s="139"/>
      <c r="OPD41" s="139"/>
      <c r="OPE41" s="139"/>
      <c r="OPF41" s="139"/>
      <c r="OPG41" s="139"/>
      <c r="OPH41" s="139"/>
      <c r="OPI41" s="139"/>
      <c r="OPJ41" s="139"/>
      <c r="OPK41" s="139"/>
      <c r="OPL41" s="139"/>
      <c r="OPM41" s="139"/>
      <c r="OPN41" s="139"/>
      <c r="OPO41" s="139"/>
      <c r="OPP41" s="139"/>
      <c r="OPQ41" s="139"/>
      <c r="OPR41" s="139"/>
      <c r="OPS41" s="139"/>
      <c r="OPT41" s="139"/>
      <c r="OPU41" s="139"/>
      <c r="OPV41" s="139"/>
      <c r="OPW41" s="139"/>
      <c r="OPX41" s="139"/>
      <c r="OPY41" s="139"/>
      <c r="OPZ41" s="139"/>
      <c r="OQA41" s="139"/>
      <c r="OQB41" s="139"/>
      <c r="OQC41" s="139"/>
      <c r="OQD41" s="139"/>
      <c r="OQE41" s="139"/>
      <c r="OQF41" s="139"/>
      <c r="OQG41" s="139"/>
      <c r="OQH41" s="139"/>
      <c r="OQI41" s="139"/>
      <c r="OQJ41" s="139"/>
      <c r="OQK41" s="139"/>
      <c r="OQL41" s="139"/>
      <c r="OQM41" s="139"/>
      <c r="OQN41" s="139"/>
      <c r="OQO41" s="139"/>
      <c r="OQP41" s="139"/>
      <c r="OQQ41" s="139"/>
      <c r="OQR41" s="139"/>
      <c r="OQS41" s="139"/>
      <c r="OQT41" s="139"/>
      <c r="OQU41" s="139"/>
      <c r="OQV41" s="139"/>
      <c r="OQW41" s="139"/>
      <c r="OQX41" s="139"/>
      <c r="OQY41" s="139"/>
      <c r="OQZ41" s="139"/>
      <c r="ORA41" s="139"/>
      <c r="ORB41" s="139"/>
      <c r="ORC41" s="139"/>
      <c r="ORD41" s="139"/>
      <c r="ORE41" s="139"/>
      <c r="ORF41" s="139"/>
      <c r="ORG41" s="139"/>
      <c r="ORH41" s="139"/>
      <c r="ORI41" s="139"/>
      <c r="ORJ41" s="139"/>
      <c r="ORK41" s="139"/>
      <c r="ORL41" s="139"/>
      <c r="ORM41" s="139"/>
      <c r="ORN41" s="139"/>
      <c r="ORO41" s="139"/>
      <c r="ORP41" s="139"/>
      <c r="ORQ41" s="139"/>
      <c r="ORR41" s="139"/>
      <c r="ORS41" s="139"/>
      <c r="ORT41" s="139"/>
      <c r="ORU41" s="139"/>
      <c r="ORV41" s="139"/>
      <c r="ORW41" s="139"/>
      <c r="ORX41" s="139"/>
      <c r="ORY41" s="139"/>
      <c r="ORZ41" s="139"/>
      <c r="OSA41" s="139"/>
      <c r="OSB41" s="139"/>
      <c r="OSC41" s="139"/>
      <c r="OSD41" s="139"/>
      <c r="OSE41" s="139"/>
      <c r="OSF41" s="139"/>
      <c r="OSG41" s="139"/>
      <c r="OSH41" s="139"/>
      <c r="OSI41" s="139"/>
      <c r="OSJ41" s="139"/>
      <c r="OSK41" s="139"/>
      <c r="OSL41" s="139"/>
      <c r="OSM41" s="139"/>
      <c r="OSN41" s="139"/>
      <c r="OSO41" s="139"/>
      <c r="OSP41" s="139"/>
      <c r="OSQ41" s="139"/>
      <c r="OSR41" s="139"/>
      <c r="OSS41" s="139"/>
      <c r="OST41" s="139"/>
      <c r="OSU41" s="139"/>
      <c r="OSV41" s="139"/>
      <c r="OSW41" s="139"/>
      <c r="OSX41" s="139"/>
      <c r="OSY41" s="139"/>
      <c r="OSZ41" s="139"/>
      <c r="OTA41" s="139"/>
      <c r="OTB41" s="139"/>
      <c r="OTC41" s="139"/>
      <c r="OTD41" s="139"/>
      <c r="OTE41" s="139"/>
      <c r="OTF41" s="139"/>
      <c r="OTG41" s="139"/>
      <c r="OTH41" s="139"/>
      <c r="OTI41" s="139"/>
      <c r="OTJ41" s="139"/>
      <c r="OTK41" s="139"/>
      <c r="OTL41" s="139"/>
      <c r="OTM41" s="139"/>
      <c r="OTN41" s="139"/>
      <c r="OTO41" s="139"/>
      <c r="OTP41" s="139"/>
      <c r="OTQ41" s="139"/>
      <c r="OTR41" s="139"/>
      <c r="OTS41" s="139"/>
      <c r="OTT41" s="139"/>
      <c r="OTU41" s="139"/>
      <c r="OTV41" s="139"/>
      <c r="OTW41" s="139"/>
      <c r="OTX41" s="139"/>
      <c r="OTY41" s="139"/>
      <c r="OTZ41" s="139"/>
      <c r="OUA41" s="139"/>
      <c r="OUB41" s="139"/>
      <c r="OUC41" s="139"/>
      <c r="OUD41" s="139"/>
      <c r="OUE41" s="139"/>
      <c r="OUF41" s="139"/>
      <c r="OUG41" s="139"/>
      <c r="OUH41" s="139"/>
      <c r="OUI41" s="139"/>
      <c r="OUJ41" s="139"/>
      <c r="OUK41" s="139"/>
      <c r="OUL41" s="139"/>
      <c r="OUM41" s="139"/>
      <c r="OUN41" s="139"/>
      <c r="OUO41" s="139"/>
      <c r="OUP41" s="139"/>
      <c r="OUQ41" s="139"/>
      <c r="OUR41" s="139"/>
      <c r="OUS41" s="139"/>
      <c r="OUT41" s="139"/>
      <c r="OUU41" s="139"/>
      <c r="OUV41" s="139"/>
      <c r="OUW41" s="139"/>
      <c r="OUX41" s="139"/>
      <c r="OUY41" s="139"/>
      <c r="OUZ41" s="139"/>
      <c r="OVA41" s="139"/>
      <c r="OVB41" s="139"/>
      <c r="OVC41" s="139"/>
      <c r="OVD41" s="139"/>
      <c r="OVE41" s="139"/>
      <c r="OVF41" s="139"/>
      <c r="OVG41" s="139"/>
      <c r="OVH41" s="139"/>
      <c r="OVI41" s="139"/>
      <c r="OVJ41" s="139"/>
      <c r="OVK41" s="139"/>
      <c r="OVL41" s="139"/>
      <c r="OVM41" s="139"/>
      <c r="OVN41" s="139"/>
      <c r="OVO41" s="139"/>
      <c r="OVP41" s="139"/>
      <c r="OVQ41" s="139"/>
      <c r="OVR41" s="139"/>
      <c r="OVS41" s="139"/>
      <c r="OVT41" s="139"/>
      <c r="OVU41" s="139"/>
      <c r="OVV41" s="139"/>
      <c r="OVW41" s="139"/>
      <c r="OVX41" s="139"/>
      <c r="OVY41" s="139"/>
      <c r="OVZ41" s="139"/>
      <c r="OWA41" s="139"/>
      <c r="OWB41" s="139"/>
      <c r="OWC41" s="139"/>
      <c r="OWD41" s="139"/>
      <c r="OWE41" s="139"/>
      <c r="OWF41" s="139"/>
      <c r="OWG41" s="139"/>
      <c r="OWH41" s="139"/>
      <c r="OWI41" s="139"/>
      <c r="OWJ41" s="139"/>
      <c r="OWK41" s="139"/>
      <c r="OWL41" s="139"/>
      <c r="OWM41" s="139"/>
      <c r="OWN41" s="139"/>
      <c r="OWO41" s="139"/>
      <c r="OWP41" s="139"/>
      <c r="OWQ41" s="139"/>
      <c r="OWR41" s="139"/>
      <c r="OWS41" s="139"/>
      <c r="OWT41" s="139"/>
      <c r="OWU41" s="139"/>
      <c r="OWV41" s="139"/>
      <c r="OWW41" s="139"/>
      <c r="OWX41" s="139"/>
      <c r="OWY41" s="139"/>
      <c r="OWZ41" s="139"/>
      <c r="OXA41" s="139"/>
      <c r="OXB41" s="139"/>
      <c r="OXC41" s="139"/>
      <c r="OXD41" s="139"/>
      <c r="OXE41" s="139"/>
      <c r="OXF41" s="139"/>
      <c r="OXG41" s="139"/>
      <c r="OXH41" s="139"/>
      <c r="OXI41" s="139"/>
      <c r="OXJ41" s="139"/>
      <c r="OXK41" s="139"/>
      <c r="OXL41" s="139"/>
      <c r="OXM41" s="139"/>
      <c r="OXN41" s="139"/>
      <c r="OXO41" s="139"/>
      <c r="OXP41" s="139"/>
      <c r="OXQ41" s="139"/>
      <c r="OXR41" s="139"/>
      <c r="OXS41" s="139"/>
      <c r="OXT41" s="139"/>
      <c r="OXU41" s="139"/>
      <c r="OXV41" s="139"/>
      <c r="OXW41" s="139"/>
      <c r="OXX41" s="139"/>
      <c r="OXY41" s="139"/>
      <c r="OXZ41" s="139"/>
      <c r="OYA41" s="139"/>
      <c r="OYB41" s="139"/>
      <c r="OYC41" s="139"/>
      <c r="OYD41" s="139"/>
      <c r="OYE41" s="139"/>
      <c r="OYF41" s="139"/>
      <c r="OYG41" s="139"/>
      <c r="OYH41" s="139"/>
      <c r="OYI41" s="139"/>
      <c r="OYJ41" s="139"/>
      <c r="OYK41" s="139"/>
      <c r="OYL41" s="139"/>
      <c r="OYM41" s="139"/>
      <c r="OYN41" s="139"/>
      <c r="OYO41" s="139"/>
      <c r="OYP41" s="139"/>
      <c r="OYQ41" s="139"/>
      <c r="OYR41" s="139"/>
      <c r="OYS41" s="139"/>
      <c r="OYT41" s="139"/>
      <c r="OYU41" s="139"/>
      <c r="OYV41" s="139"/>
      <c r="OYW41" s="139"/>
      <c r="OYX41" s="139"/>
      <c r="OYY41" s="139"/>
      <c r="OYZ41" s="139"/>
      <c r="OZA41" s="139"/>
      <c r="OZB41" s="139"/>
      <c r="OZC41" s="139"/>
      <c r="OZD41" s="139"/>
      <c r="OZE41" s="139"/>
      <c r="OZF41" s="139"/>
      <c r="OZG41" s="139"/>
      <c r="OZH41" s="139"/>
      <c r="OZI41" s="139"/>
      <c r="OZJ41" s="139"/>
      <c r="OZK41" s="139"/>
      <c r="OZL41" s="139"/>
      <c r="OZM41" s="139"/>
      <c r="OZN41" s="139"/>
      <c r="OZO41" s="139"/>
      <c r="OZP41" s="139"/>
      <c r="OZQ41" s="139"/>
      <c r="OZR41" s="139"/>
      <c r="OZS41" s="139"/>
      <c r="OZT41" s="139"/>
      <c r="OZU41" s="139"/>
      <c r="OZV41" s="139"/>
      <c r="OZW41" s="139"/>
      <c r="OZX41" s="139"/>
      <c r="OZY41" s="139"/>
      <c r="OZZ41" s="139"/>
      <c r="PAA41" s="139"/>
      <c r="PAB41" s="139"/>
      <c r="PAC41" s="139"/>
      <c r="PAD41" s="139"/>
      <c r="PAE41" s="139"/>
      <c r="PAF41" s="139"/>
      <c r="PAG41" s="139"/>
      <c r="PAH41" s="139"/>
      <c r="PAI41" s="139"/>
      <c r="PAJ41" s="139"/>
      <c r="PAK41" s="139"/>
      <c r="PAL41" s="139"/>
      <c r="PAM41" s="139"/>
      <c r="PAN41" s="139"/>
      <c r="PAO41" s="139"/>
      <c r="PAP41" s="139"/>
      <c r="PAQ41" s="139"/>
      <c r="PAR41" s="139"/>
      <c r="PAS41" s="139"/>
      <c r="PAT41" s="139"/>
      <c r="PAU41" s="139"/>
      <c r="PAV41" s="139"/>
      <c r="PAW41" s="139"/>
      <c r="PAX41" s="139"/>
      <c r="PAY41" s="139"/>
      <c r="PAZ41" s="139"/>
      <c r="PBA41" s="139"/>
      <c r="PBB41" s="139"/>
      <c r="PBC41" s="139"/>
      <c r="PBD41" s="139"/>
      <c r="PBE41" s="139"/>
      <c r="PBF41" s="139"/>
      <c r="PBG41" s="139"/>
      <c r="PBH41" s="139"/>
      <c r="PBI41" s="139"/>
      <c r="PBJ41" s="139"/>
      <c r="PBK41" s="139"/>
      <c r="PBL41" s="139"/>
      <c r="PBM41" s="139"/>
      <c r="PBN41" s="139"/>
      <c r="PBO41" s="139"/>
      <c r="PBP41" s="139"/>
      <c r="PBQ41" s="139"/>
      <c r="PBR41" s="139"/>
      <c r="PBS41" s="139"/>
      <c r="PBT41" s="139"/>
      <c r="PBU41" s="139"/>
      <c r="PBV41" s="139"/>
      <c r="PBW41" s="139"/>
      <c r="PBX41" s="139"/>
      <c r="PBY41" s="139"/>
      <c r="PBZ41" s="139"/>
      <c r="PCA41" s="139"/>
      <c r="PCB41" s="139"/>
      <c r="PCC41" s="139"/>
      <c r="PCD41" s="139"/>
      <c r="PCE41" s="139"/>
      <c r="PCF41" s="139"/>
      <c r="PCG41" s="139"/>
      <c r="PCH41" s="139"/>
      <c r="PCI41" s="139"/>
      <c r="PCJ41" s="139"/>
      <c r="PCK41" s="139"/>
      <c r="PCL41" s="139"/>
      <c r="PCM41" s="139"/>
      <c r="PCN41" s="139"/>
      <c r="PCO41" s="139"/>
      <c r="PCP41" s="139"/>
      <c r="PCQ41" s="139"/>
      <c r="PCR41" s="139"/>
      <c r="PCS41" s="139"/>
      <c r="PCT41" s="139"/>
      <c r="PCU41" s="139"/>
      <c r="PCV41" s="139"/>
      <c r="PCW41" s="139"/>
      <c r="PCX41" s="139"/>
      <c r="PCY41" s="139"/>
      <c r="PCZ41" s="139"/>
      <c r="PDA41" s="139"/>
      <c r="PDB41" s="139"/>
      <c r="PDC41" s="139"/>
      <c r="PDD41" s="139"/>
      <c r="PDE41" s="139"/>
      <c r="PDF41" s="139"/>
      <c r="PDG41" s="139"/>
      <c r="PDH41" s="139"/>
      <c r="PDI41" s="139"/>
      <c r="PDJ41" s="139"/>
      <c r="PDK41" s="139"/>
      <c r="PDL41" s="139"/>
      <c r="PDM41" s="139"/>
      <c r="PDN41" s="139"/>
      <c r="PDO41" s="139"/>
      <c r="PDP41" s="139"/>
      <c r="PDQ41" s="139"/>
      <c r="PDR41" s="139"/>
      <c r="PDS41" s="139"/>
      <c r="PDT41" s="139"/>
      <c r="PDU41" s="139"/>
      <c r="PDV41" s="139"/>
      <c r="PDW41" s="139"/>
      <c r="PDX41" s="139"/>
      <c r="PDY41" s="139"/>
      <c r="PDZ41" s="139"/>
      <c r="PEA41" s="139"/>
      <c r="PEB41" s="139"/>
      <c r="PEC41" s="139"/>
      <c r="PED41" s="139"/>
      <c r="PEE41" s="139"/>
      <c r="PEF41" s="139"/>
      <c r="PEG41" s="139"/>
      <c r="PEH41" s="139"/>
      <c r="PEI41" s="139"/>
      <c r="PEJ41" s="139"/>
      <c r="PEK41" s="139"/>
      <c r="PEL41" s="139"/>
      <c r="PEM41" s="139"/>
      <c r="PEN41" s="139"/>
      <c r="PEO41" s="139"/>
      <c r="PEP41" s="139"/>
      <c r="PEQ41" s="139"/>
      <c r="PER41" s="139"/>
      <c r="PES41" s="139"/>
      <c r="PET41" s="139"/>
      <c r="PEU41" s="139"/>
      <c r="PEV41" s="139"/>
      <c r="PEW41" s="139"/>
      <c r="PEX41" s="139"/>
      <c r="PEY41" s="139"/>
      <c r="PEZ41" s="139"/>
      <c r="PFA41" s="139"/>
      <c r="PFB41" s="139"/>
      <c r="PFC41" s="139"/>
      <c r="PFD41" s="139"/>
      <c r="PFE41" s="139"/>
      <c r="PFF41" s="139"/>
      <c r="PFG41" s="139"/>
      <c r="PFH41" s="139"/>
      <c r="PFI41" s="139"/>
      <c r="PFJ41" s="139"/>
      <c r="PFK41" s="139"/>
      <c r="PFL41" s="139"/>
      <c r="PFM41" s="139"/>
      <c r="PFN41" s="139"/>
      <c r="PFO41" s="139"/>
      <c r="PFP41" s="139"/>
      <c r="PFQ41" s="139"/>
      <c r="PFR41" s="139"/>
      <c r="PFS41" s="139"/>
      <c r="PFT41" s="139"/>
      <c r="PFU41" s="139"/>
      <c r="PFV41" s="139"/>
      <c r="PFW41" s="139"/>
      <c r="PFX41" s="139"/>
      <c r="PFY41" s="139"/>
      <c r="PFZ41" s="139"/>
      <c r="PGA41" s="139"/>
      <c r="PGB41" s="139"/>
      <c r="PGC41" s="139"/>
      <c r="PGD41" s="139"/>
      <c r="PGE41" s="139"/>
      <c r="PGF41" s="139"/>
      <c r="PGG41" s="139"/>
      <c r="PGH41" s="139"/>
      <c r="PGI41" s="139"/>
      <c r="PGJ41" s="139"/>
      <c r="PGK41" s="139"/>
      <c r="PGL41" s="139"/>
      <c r="PGM41" s="139"/>
      <c r="PGN41" s="139"/>
      <c r="PGO41" s="139"/>
      <c r="PGP41" s="139"/>
      <c r="PGQ41" s="139"/>
      <c r="PGR41" s="139"/>
      <c r="PGS41" s="139"/>
      <c r="PGT41" s="139"/>
      <c r="PGU41" s="139"/>
      <c r="PGV41" s="139"/>
      <c r="PGW41" s="139"/>
      <c r="PGX41" s="139"/>
      <c r="PGY41" s="139"/>
      <c r="PGZ41" s="139"/>
      <c r="PHA41" s="139"/>
      <c r="PHB41" s="139"/>
      <c r="PHC41" s="139"/>
      <c r="PHD41" s="139"/>
      <c r="PHE41" s="139"/>
      <c r="PHF41" s="139"/>
      <c r="PHG41" s="139"/>
      <c r="PHH41" s="139"/>
      <c r="PHI41" s="139"/>
      <c r="PHJ41" s="139"/>
      <c r="PHK41" s="139"/>
      <c r="PHL41" s="139"/>
      <c r="PHM41" s="139"/>
      <c r="PHN41" s="139"/>
      <c r="PHO41" s="139"/>
      <c r="PHP41" s="139"/>
      <c r="PHQ41" s="139"/>
      <c r="PHR41" s="139"/>
      <c r="PHS41" s="139"/>
      <c r="PHT41" s="139"/>
      <c r="PHU41" s="139"/>
      <c r="PHV41" s="139"/>
      <c r="PHW41" s="139"/>
      <c r="PHX41" s="139"/>
      <c r="PHY41" s="139"/>
      <c r="PHZ41" s="139"/>
      <c r="PIA41" s="139"/>
      <c r="PIB41" s="139"/>
      <c r="PIC41" s="139"/>
      <c r="PID41" s="139"/>
      <c r="PIE41" s="139"/>
      <c r="PIF41" s="139"/>
      <c r="PIG41" s="139"/>
      <c r="PIH41" s="139"/>
      <c r="PII41" s="139"/>
      <c r="PIJ41" s="139"/>
      <c r="PIK41" s="139"/>
      <c r="PIL41" s="139"/>
      <c r="PIM41" s="139"/>
      <c r="PIN41" s="139"/>
      <c r="PIO41" s="139"/>
      <c r="PIP41" s="139"/>
      <c r="PIQ41" s="139"/>
      <c r="PIR41" s="139"/>
      <c r="PIS41" s="139"/>
      <c r="PIT41" s="139"/>
      <c r="PIU41" s="139"/>
      <c r="PIV41" s="139"/>
      <c r="PIW41" s="139"/>
      <c r="PIX41" s="139"/>
      <c r="PIY41" s="139"/>
      <c r="PIZ41" s="139"/>
      <c r="PJA41" s="139"/>
      <c r="PJB41" s="139"/>
      <c r="PJC41" s="139"/>
      <c r="PJD41" s="139"/>
      <c r="PJE41" s="139"/>
      <c r="PJF41" s="139"/>
      <c r="PJG41" s="139"/>
      <c r="PJH41" s="139"/>
      <c r="PJI41" s="139"/>
      <c r="PJJ41" s="139"/>
      <c r="PJK41" s="139"/>
      <c r="PJL41" s="139"/>
      <c r="PJM41" s="139"/>
      <c r="PJN41" s="139"/>
      <c r="PJO41" s="139"/>
      <c r="PJP41" s="139"/>
      <c r="PJQ41" s="139"/>
      <c r="PJR41" s="139"/>
      <c r="PJS41" s="139"/>
      <c r="PJT41" s="139"/>
      <c r="PJU41" s="139"/>
      <c r="PJV41" s="139"/>
      <c r="PJW41" s="139"/>
      <c r="PJX41" s="139"/>
      <c r="PJY41" s="139"/>
      <c r="PJZ41" s="139"/>
      <c r="PKA41" s="139"/>
      <c r="PKB41" s="139"/>
      <c r="PKC41" s="139"/>
      <c r="PKD41" s="139"/>
      <c r="PKE41" s="139"/>
      <c r="PKF41" s="139"/>
      <c r="PKG41" s="139"/>
      <c r="PKH41" s="139"/>
      <c r="PKI41" s="139"/>
      <c r="PKJ41" s="139"/>
      <c r="PKK41" s="139"/>
      <c r="PKL41" s="139"/>
      <c r="PKM41" s="139"/>
      <c r="PKN41" s="139"/>
      <c r="PKO41" s="139"/>
      <c r="PKP41" s="139"/>
      <c r="PKQ41" s="139"/>
      <c r="PKR41" s="139"/>
      <c r="PKS41" s="139"/>
      <c r="PKT41" s="139"/>
      <c r="PKU41" s="139"/>
      <c r="PKV41" s="139"/>
      <c r="PKW41" s="139"/>
      <c r="PKX41" s="139"/>
      <c r="PKY41" s="139"/>
      <c r="PKZ41" s="139"/>
      <c r="PLA41" s="139"/>
      <c r="PLB41" s="139"/>
      <c r="PLC41" s="139"/>
      <c r="PLD41" s="139"/>
      <c r="PLE41" s="139"/>
      <c r="PLF41" s="139"/>
      <c r="PLG41" s="139"/>
      <c r="PLH41" s="139"/>
      <c r="PLI41" s="139"/>
      <c r="PLJ41" s="139"/>
      <c r="PLK41" s="139"/>
      <c r="PLL41" s="139"/>
      <c r="PLM41" s="139"/>
      <c r="PLN41" s="139"/>
      <c r="PLO41" s="139"/>
      <c r="PLP41" s="139"/>
      <c r="PLQ41" s="139"/>
      <c r="PLR41" s="139"/>
      <c r="PLS41" s="139"/>
      <c r="PLT41" s="139"/>
      <c r="PLU41" s="139"/>
      <c r="PLV41" s="139"/>
      <c r="PLW41" s="139"/>
      <c r="PLX41" s="139"/>
      <c r="PLY41" s="139"/>
      <c r="PLZ41" s="139"/>
      <c r="PMA41" s="139"/>
      <c r="PMB41" s="139"/>
      <c r="PMC41" s="139"/>
      <c r="PMD41" s="139"/>
      <c r="PME41" s="139"/>
      <c r="PMF41" s="139"/>
      <c r="PMG41" s="139"/>
      <c r="PMH41" s="139"/>
      <c r="PMI41" s="139"/>
      <c r="PMJ41" s="139"/>
      <c r="PMK41" s="139"/>
      <c r="PML41" s="139"/>
      <c r="PMM41" s="139"/>
      <c r="PMN41" s="139"/>
      <c r="PMO41" s="139"/>
      <c r="PMP41" s="139"/>
      <c r="PMQ41" s="139"/>
      <c r="PMR41" s="139"/>
      <c r="PMS41" s="139"/>
      <c r="PMT41" s="139"/>
      <c r="PMU41" s="139"/>
      <c r="PMV41" s="139"/>
      <c r="PMW41" s="139"/>
      <c r="PMX41" s="139"/>
      <c r="PMY41" s="139"/>
      <c r="PMZ41" s="139"/>
      <c r="PNA41" s="139"/>
      <c r="PNB41" s="139"/>
      <c r="PNC41" s="139"/>
      <c r="PND41" s="139"/>
      <c r="PNE41" s="139"/>
      <c r="PNF41" s="139"/>
      <c r="PNG41" s="139"/>
      <c r="PNH41" s="139"/>
      <c r="PNI41" s="139"/>
      <c r="PNJ41" s="139"/>
      <c r="PNK41" s="139"/>
      <c r="PNL41" s="139"/>
      <c r="PNM41" s="139"/>
      <c r="PNN41" s="139"/>
      <c r="PNO41" s="139"/>
      <c r="PNP41" s="139"/>
      <c r="PNQ41" s="139"/>
      <c r="PNR41" s="139"/>
      <c r="PNS41" s="139"/>
      <c r="PNT41" s="139"/>
      <c r="PNU41" s="139"/>
      <c r="PNV41" s="139"/>
      <c r="PNW41" s="139"/>
      <c r="PNX41" s="139"/>
      <c r="PNY41" s="139"/>
      <c r="PNZ41" s="139"/>
      <c r="POA41" s="139"/>
      <c r="POB41" s="139"/>
      <c r="POC41" s="139"/>
      <c r="POD41" s="139"/>
      <c r="POE41" s="139"/>
      <c r="POF41" s="139"/>
      <c r="POG41" s="139"/>
      <c r="POH41" s="139"/>
      <c r="POI41" s="139"/>
      <c r="POJ41" s="139"/>
      <c r="POK41" s="139"/>
      <c r="POL41" s="139"/>
      <c r="POM41" s="139"/>
      <c r="PON41" s="139"/>
      <c r="POO41" s="139"/>
      <c r="POP41" s="139"/>
      <c r="POQ41" s="139"/>
      <c r="POR41" s="139"/>
      <c r="POS41" s="139"/>
      <c r="POT41" s="139"/>
      <c r="POU41" s="139"/>
      <c r="POV41" s="139"/>
      <c r="POW41" s="139"/>
      <c r="POX41" s="139"/>
      <c r="POY41" s="139"/>
      <c r="POZ41" s="139"/>
      <c r="PPA41" s="139"/>
      <c r="PPB41" s="139"/>
      <c r="PPC41" s="139"/>
      <c r="PPD41" s="139"/>
      <c r="PPE41" s="139"/>
      <c r="PPF41" s="139"/>
      <c r="PPG41" s="139"/>
      <c r="PPH41" s="139"/>
      <c r="PPI41" s="139"/>
      <c r="PPJ41" s="139"/>
      <c r="PPK41" s="139"/>
      <c r="PPL41" s="139"/>
      <c r="PPM41" s="139"/>
      <c r="PPN41" s="139"/>
      <c r="PPO41" s="139"/>
      <c r="PPP41" s="139"/>
      <c r="PPQ41" s="139"/>
      <c r="PPR41" s="139"/>
      <c r="PPS41" s="139"/>
      <c r="PPT41" s="139"/>
      <c r="PPU41" s="139"/>
      <c r="PPV41" s="139"/>
      <c r="PPW41" s="139"/>
      <c r="PPX41" s="139"/>
      <c r="PPY41" s="139"/>
      <c r="PPZ41" s="139"/>
      <c r="PQA41" s="139"/>
      <c r="PQB41" s="139"/>
      <c r="PQC41" s="139"/>
      <c r="PQD41" s="139"/>
      <c r="PQE41" s="139"/>
      <c r="PQF41" s="139"/>
      <c r="PQG41" s="139"/>
      <c r="PQH41" s="139"/>
      <c r="PQI41" s="139"/>
      <c r="PQJ41" s="139"/>
      <c r="PQK41" s="139"/>
      <c r="PQL41" s="139"/>
      <c r="PQM41" s="139"/>
      <c r="PQN41" s="139"/>
      <c r="PQO41" s="139"/>
      <c r="PQP41" s="139"/>
      <c r="PQQ41" s="139"/>
      <c r="PQR41" s="139"/>
      <c r="PQS41" s="139"/>
      <c r="PQT41" s="139"/>
      <c r="PQU41" s="139"/>
      <c r="PQV41" s="139"/>
      <c r="PQW41" s="139"/>
      <c r="PQX41" s="139"/>
      <c r="PQY41" s="139"/>
      <c r="PQZ41" s="139"/>
      <c r="PRA41" s="139"/>
      <c r="PRB41" s="139"/>
      <c r="PRC41" s="139"/>
      <c r="PRD41" s="139"/>
      <c r="PRE41" s="139"/>
      <c r="PRF41" s="139"/>
      <c r="PRG41" s="139"/>
      <c r="PRH41" s="139"/>
      <c r="PRI41" s="139"/>
      <c r="PRJ41" s="139"/>
      <c r="PRK41" s="139"/>
      <c r="PRL41" s="139"/>
      <c r="PRM41" s="139"/>
      <c r="PRN41" s="139"/>
      <c r="PRO41" s="139"/>
      <c r="PRP41" s="139"/>
      <c r="PRQ41" s="139"/>
      <c r="PRR41" s="139"/>
      <c r="PRS41" s="139"/>
      <c r="PRT41" s="139"/>
      <c r="PRU41" s="139"/>
      <c r="PRV41" s="139"/>
      <c r="PRW41" s="139"/>
      <c r="PRX41" s="139"/>
      <c r="PRY41" s="139"/>
      <c r="PRZ41" s="139"/>
      <c r="PSA41" s="139"/>
      <c r="PSB41" s="139"/>
      <c r="PSC41" s="139"/>
      <c r="PSD41" s="139"/>
      <c r="PSE41" s="139"/>
      <c r="PSF41" s="139"/>
      <c r="PSG41" s="139"/>
      <c r="PSH41" s="139"/>
      <c r="PSI41" s="139"/>
      <c r="PSJ41" s="139"/>
      <c r="PSK41" s="139"/>
      <c r="PSL41" s="139"/>
      <c r="PSM41" s="139"/>
      <c r="PSN41" s="139"/>
      <c r="PSO41" s="139"/>
      <c r="PSP41" s="139"/>
      <c r="PSQ41" s="139"/>
      <c r="PSR41" s="139"/>
      <c r="PSS41" s="139"/>
      <c r="PST41" s="139"/>
      <c r="PSU41" s="139"/>
      <c r="PSV41" s="139"/>
      <c r="PSW41" s="139"/>
      <c r="PSX41" s="139"/>
      <c r="PSY41" s="139"/>
      <c r="PSZ41" s="139"/>
      <c r="PTA41" s="139"/>
      <c r="PTB41" s="139"/>
      <c r="PTC41" s="139"/>
      <c r="PTD41" s="139"/>
      <c r="PTE41" s="139"/>
      <c r="PTF41" s="139"/>
      <c r="PTG41" s="139"/>
      <c r="PTH41" s="139"/>
      <c r="PTI41" s="139"/>
      <c r="PTJ41" s="139"/>
      <c r="PTK41" s="139"/>
      <c r="PTL41" s="139"/>
      <c r="PTM41" s="139"/>
      <c r="PTN41" s="139"/>
      <c r="PTO41" s="139"/>
      <c r="PTP41" s="139"/>
      <c r="PTQ41" s="139"/>
      <c r="PTR41" s="139"/>
      <c r="PTS41" s="139"/>
      <c r="PTT41" s="139"/>
      <c r="PTU41" s="139"/>
      <c r="PTV41" s="139"/>
      <c r="PTW41" s="139"/>
      <c r="PTX41" s="139"/>
      <c r="PTY41" s="139"/>
      <c r="PTZ41" s="139"/>
      <c r="PUA41" s="139"/>
      <c r="PUB41" s="139"/>
      <c r="PUC41" s="139"/>
      <c r="PUD41" s="139"/>
      <c r="PUE41" s="139"/>
      <c r="PUF41" s="139"/>
      <c r="PUG41" s="139"/>
      <c r="PUH41" s="139"/>
      <c r="PUI41" s="139"/>
      <c r="PUJ41" s="139"/>
      <c r="PUK41" s="139"/>
      <c r="PUL41" s="139"/>
      <c r="PUM41" s="139"/>
      <c r="PUN41" s="139"/>
      <c r="PUO41" s="139"/>
      <c r="PUP41" s="139"/>
      <c r="PUQ41" s="139"/>
      <c r="PUR41" s="139"/>
      <c r="PUS41" s="139"/>
      <c r="PUT41" s="139"/>
      <c r="PUU41" s="139"/>
      <c r="PUV41" s="139"/>
      <c r="PUW41" s="139"/>
      <c r="PUX41" s="139"/>
      <c r="PUY41" s="139"/>
      <c r="PUZ41" s="139"/>
      <c r="PVA41" s="139"/>
      <c r="PVB41" s="139"/>
      <c r="PVC41" s="139"/>
      <c r="PVD41" s="139"/>
      <c r="PVE41" s="139"/>
      <c r="PVF41" s="139"/>
      <c r="PVG41" s="139"/>
      <c r="PVH41" s="139"/>
      <c r="PVI41" s="139"/>
      <c r="PVJ41" s="139"/>
      <c r="PVK41" s="139"/>
      <c r="PVL41" s="139"/>
      <c r="PVM41" s="139"/>
      <c r="PVN41" s="139"/>
      <c r="PVO41" s="139"/>
      <c r="PVP41" s="139"/>
      <c r="PVQ41" s="139"/>
      <c r="PVR41" s="139"/>
      <c r="PVS41" s="139"/>
      <c r="PVT41" s="139"/>
      <c r="PVU41" s="139"/>
      <c r="PVV41" s="139"/>
      <c r="PVW41" s="139"/>
      <c r="PVX41" s="139"/>
      <c r="PVY41" s="139"/>
      <c r="PVZ41" s="139"/>
      <c r="PWA41" s="139"/>
      <c r="PWB41" s="139"/>
      <c r="PWC41" s="139"/>
      <c r="PWD41" s="139"/>
      <c r="PWE41" s="139"/>
      <c r="PWF41" s="139"/>
      <c r="PWG41" s="139"/>
      <c r="PWH41" s="139"/>
      <c r="PWI41" s="139"/>
      <c r="PWJ41" s="139"/>
      <c r="PWK41" s="139"/>
      <c r="PWL41" s="139"/>
      <c r="PWM41" s="139"/>
      <c r="PWN41" s="139"/>
      <c r="PWO41" s="139"/>
      <c r="PWP41" s="139"/>
      <c r="PWQ41" s="139"/>
      <c r="PWR41" s="139"/>
      <c r="PWS41" s="139"/>
      <c r="PWT41" s="139"/>
      <c r="PWU41" s="139"/>
      <c r="PWV41" s="139"/>
      <c r="PWW41" s="139"/>
      <c r="PWX41" s="139"/>
      <c r="PWY41" s="139"/>
      <c r="PWZ41" s="139"/>
      <c r="PXA41" s="139"/>
      <c r="PXB41" s="139"/>
      <c r="PXC41" s="139"/>
      <c r="PXD41" s="139"/>
      <c r="PXE41" s="139"/>
      <c r="PXF41" s="139"/>
      <c r="PXG41" s="139"/>
      <c r="PXH41" s="139"/>
      <c r="PXI41" s="139"/>
      <c r="PXJ41" s="139"/>
      <c r="PXK41" s="139"/>
      <c r="PXL41" s="139"/>
      <c r="PXM41" s="139"/>
      <c r="PXN41" s="139"/>
      <c r="PXO41" s="139"/>
      <c r="PXP41" s="139"/>
      <c r="PXQ41" s="139"/>
      <c r="PXR41" s="139"/>
      <c r="PXS41" s="139"/>
      <c r="PXT41" s="139"/>
      <c r="PXU41" s="139"/>
      <c r="PXV41" s="139"/>
      <c r="PXW41" s="139"/>
      <c r="PXX41" s="139"/>
      <c r="PXY41" s="139"/>
      <c r="PXZ41" s="139"/>
      <c r="PYA41" s="139"/>
      <c r="PYB41" s="139"/>
      <c r="PYC41" s="139"/>
      <c r="PYD41" s="139"/>
      <c r="PYE41" s="139"/>
      <c r="PYF41" s="139"/>
      <c r="PYG41" s="139"/>
      <c r="PYH41" s="139"/>
      <c r="PYI41" s="139"/>
      <c r="PYJ41" s="139"/>
      <c r="PYK41" s="139"/>
      <c r="PYL41" s="139"/>
      <c r="PYM41" s="139"/>
      <c r="PYN41" s="139"/>
      <c r="PYO41" s="139"/>
      <c r="PYP41" s="139"/>
      <c r="PYQ41" s="139"/>
      <c r="PYR41" s="139"/>
      <c r="PYS41" s="139"/>
      <c r="PYT41" s="139"/>
      <c r="PYU41" s="139"/>
      <c r="PYV41" s="139"/>
      <c r="PYW41" s="139"/>
      <c r="PYX41" s="139"/>
      <c r="PYY41" s="139"/>
      <c r="PYZ41" s="139"/>
      <c r="PZA41" s="139"/>
      <c r="PZB41" s="139"/>
      <c r="PZC41" s="139"/>
      <c r="PZD41" s="139"/>
      <c r="PZE41" s="139"/>
      <c r="PZF41" s="139"/>
      <c r="PZG41" s="139"/>
      <c r="PZH41" s="139"/>
      <c r="PZI41" s="139"/>
      <c r="PZJ41" s="139"/>
      <c r="PZK41" s="139"/>
      <c r="PZL41" s="139"/>
      <c r="PZM41" s="139"/>
      <c r="PZN41" s="139"/>
      <c r="PZO41" s="139"/>
      <c r="PZP41" s="139"/>
      <c r="PZQ41" s="139"/>
      <c r="PZR41" s="139"/>
      <c r="PZS41" s="139"/>
      <c r="PZT41" s="139"/>
      <c r="PZU41" s="139"/>
      <c r="PZV41" s="139"/>
      <c r="PZW41" s="139"/>
      <c r="PZX41" s="139"/>
      <c r="PZY41" s="139"/>
      <c r="PZZ41" s="139"/>
      <c r="QAA41" s="139"/>
      <c r="QAB41" s="139"/>
      <c r="QAC41" s="139"/>
      <c r="QAD41" s="139"/>
      <c r="QAE41" s="139"/>
      <c r="QAF41" s="139"/>
      <c r="QAG41" s="139"/>
      <c r="QAH41" s="139"/>
      <c r="QAI41" s="139"/>
      <c r="QAJ41" s="139"/>
      <c r="QAK41" s="139"/>
      <c r="QAL41" s="139"/>
      <c r="QAM41" s="139"/>
      <c r="QAN41" s="139"/>
      <c r="QAO41" s="139"/>
      <c r="QAP41" s="139"/>
      <c r="QAQ41" s="139"/>
      <c r="QAR41" s="139"/>
      <c r="QAS41" s="139"/>
      <c r="QAT41" s="139"/>
      <c r="QAU41" s="139"/>
      <c r="QAV41" s="139"/>
      <c r="QAW41" s="139"/>
      <c r="QAX41" s="139"/>
      <c r="QAY41" s="139"/>
      <c r="QAZ41" s="139"/>
      <c r="QBA41" s="139"/>
      <c r="QBB41" s="139"/>
      <c r="QBC41" s="139"/>
      <c r="QBD41" s="139"/>
      <c r="QBE41" s="139"/>
      <c r="QBF41" s="139"/>
      <c r="QBG41" s="139"/>
      <c r="QBH41" s="139"/>
      <c r="QBI41" s="139"/>
      <c r="QBJ41" s="139"/>
      <c r="QBK41" s="139"/>
      <c r="QBL41" s="139"/>
      <c r="QBM41" s="139"/>
      <c r="QBN41" s="139"/>
      <c r="QBO41" s="139"/>
      <c r="QBP41" s="139"/>
      <c r="QBQ41" s="139"/>
      <c r="QBR41" s="139"/>
      <c r="QBS41" s="139"/>
      <c r="QBT41" s="139"/>
      <c r="QBU41" s="139"/>
      <c r="QBV41" s="139"/>
      <c r="QBW41" s="139"/>
      <c r="QBX41" s="139"/>
      <c r="QBY41" s="139"/>
      <c r="QBZ41" s="139"/>
      <c r="QCA41" s="139"/>
      <c r="QCB41" s="139"/>
      <c r="QCC41" s="139"/>
      <c r="QCD41" s="139"/>
      <c r="QCE41" s="139"/>
      <c r="QCF41" s="139"/>
      <c r="QCG41" s="139"/>
      <c r="QCH41" s="139"/>
      <c r="QCI41" s="139"/>
      <c r="QCJ41" s="139"/>
      <c r="QCK41" s="139"/>
      <c r="QCL41" s="139"/>
      <c r="QCM41" s="139"/>
      <c r="QCN41" s="139"/>
      <c r="QCO41" s="139"/>
      <c r="QCP41" s="139"/>
      <c r="QCQ41" s="139"/>
      <c r="QCR41" s="139"/>
      <c r="QCS41" s="139"/>
      <c r="QCT41" s="139"/>
      <c r="QCU41" s="139"/>
      <c r="QCV41" s="139"/>
      <c r="QCW41" s="139"/>
      <c r="QCX41" s="139"/>
      <c r="QCY41" s="139"/>
      <c r="QCZ41" s="139"/>
      <c r="QDA41" s="139"/>
      <c r="QDB41" s="139"/>
      <c r="QDC41" s="139"/>
      <c r="QDD41" s="139"/>
      <c r="QDE41" s="139"/>
      <c r="QDF41" s="139"/>
      <c r="QDG41" s="139"/>
      <c r="QDH41" s="139"/>
      <c r="QDI41" s="139"/>
      <c r="QDJ41" s="139"/>
      <c r="QDK41" s="139"/>
      <c r="QDL41" s="139"/>
      <c r="QDM41" s="139"/>
      <c r="QDN41" s="139"/>
      <c r="QDO41" s="139"/>
      <c r="QDP41" s="139"/>
      <c r="QDQ41" s="139"/>
      <c r="QDR41" s="139"/>
      <c r="QDS41" s="139"/>
      <c r="QDT41" s="139"/>
      <c r="QDU41" s="139"/>
      <c r="QDV41" s="139"/>
      <c r="QDW41" s="139"/>
      <c r="QDX41" s="139"/>
      <c r="QDY41" s="139"/>
      <c r="QDZ41" s="139"/>
      <c r="QEA41" s="139"/>
      <c r="QEB41" s="139"/>
      <c r="QEC41" s="139"/>
      <c r="QED41" s="139"/>
      <c r="QEE41" s="139"/>
      <c r="QEF41" s="139"/>
      <c r="QEG41" s="139"/>
      <c r="QEH41" s="139"/>
      <c r="QEI41" s="139"/>
      <c r="QEJ41" s="139"/>
      <c r="QEK41" s="139"/>
      <c r="QEL41" s="139"/>
      <c r="QEM41" s="139"/>
      <c r="QEN41" s="139"/>
      <c r="QEO41" s="139"/>
      <c r="QEP41" s="139"/>
      <c r="QEQ41" s="139"/>
      <c r="QER41" s="139"/>
      <c r="QES41" s="139"/>
      <c r="QET41" s="139"/>
      <c r="QEU41" s="139"/>
      <c r="QEV41" s="139"/>
      <c r="QEW41" s="139"/>
      <c r="QEX41" s="139"/>
      <c r="QEY41" s="139"/>
      <c r="QEZ41" s="139"/>
      <c r="QFA41" s="139"/>
      <c r="QFB41" s="139"/>
      <c r="QFC41" s="139"/>
      <c r="QFD41" s="139"/>
      <c r="QFE41" s="139"/>
      <c r="QFF41" s="139"/>
      <c r="QFG41" s="139"/>
      <c r="QFH41" s="139"/>
      <c r="QFI41" s="139"/>
      <c r="QFJ41" s="139"/>
      <c r="QFK41" s="139"/>
      <c r="QFL41" s="139"/>
      <c r="QFM41" s="139"/>
      <c r="QFN41" s="139"/>
      <c r="QFO41" s="139"/>
      <c r="QFP41" s="139"/>
      <c r="QFQ41" s="139"/>
      <c r="QFR41" s="139"/>
      <c r="QFS41" s="139"/>
      <c r="QFT41" s="139"/>
      <c r="QFU41" s="139"/>
      <c r="QFV41" s="139"/>
      <c r="QFW41" s="139"/>
      <c r="QFX41" s="139"/>
      <c r="QFY41" s="139"/>
      <c r="QFZ41" s="139"/>
      <c r="QGA41" s="139"/>
      <c r="QGB41" s="139"/>
      <c r="QGC41" s="139"/>
      <c r="QGD41" s="139"/>
      <c r="QGE41" s="139"/>
      <c r="QGF41" s="139"/>
      <c r="QGG41" s="139"/>
      <c r="QGH41" s="139"/>
      <c r="QGI41" s="139"/>
      <c r="QGJ41" s="139"/>
      <c r="QGK41" s="139"/>
      <c r="QGL41" s="139"/>
      <c r="QGM41" s="139"/>
      <c r="QGN41" s="139"/>
      <c r="QGO41" s="139"/>
      <c r="QGP41" s="139"/>
      <c r="QGQ41" s="139"/>
      <c r="QGR41" s="139"/>
      <c r="QGS41" s="139"/>
      <c r="QGT41" s="139"/>
      <c r="QGU41" s="139"/>
      <c r="QGV41" s="139"/>
      <c r="QGW41" s="139"/>
      <c r="QGX41" s="139"/>
      <c r="QGY41" s="139"/>
      <c r="QGZ41" s="139"/>
      <c r="QHA41" s="139"/>
      <c r="QHB41" s="139"/>
      <c r="QHC41" s="139"/>
      <c r="QHD41" s="139"/>
      <c r="QHE41" s="139"/>
      <c r="QHF41" s="139"/>
      <c r="QHG41" s="139"/>
      <c r="QHH41" s="139"/>
      <c r="QHI41" s="139"/>
      <c r="QHJ41" s="139"/>
      <c r="QHK41" s="139"/>
      <c r="QHL41" s="139"/>
      <c r="QHM41" s="139"/>
      <c r="QHN41" s="139"/>
      <c r="QHO41" s="139"/>
      <c r="QHP41" s="139"/>
      <c r="QHQ41" s="139"/>
      <c r="QHR41" s="139"/>
      <c r="QHS41" s="139"/>
      <c r="QHT41" s="139"/>
      <c r="QHU41" s="139"/>
      <c r="QHV41" s="139"/>
      <c r="QHW41" s="139"/>
      <c r="QHX41" s="139"/>
      <c r="QHY41" s="139"/>
      <c r="QHZ41" s="139"/>
      <c r="QIA41" s="139"/>
      <c r="QIB41" s="139"/>
      <c r="QIC41" s="139"/>
      <c r="QID41" s="139"/>
      <c r="QIE41" s="139"/>
      <c r="QIF41" s="139"/>
      <c r="QIG41" s="139"/>
      <c r="QIH41" s="139"/>
      <c r="QII41" s="139"/>
      <c r="QIJ41" s="139"/>
      <c r="QIK41" s="139"/>
      <c r="QIL41" s="139"/>
      <c r="QIM41" s="139"/>
      <c r="QIN41" s="139"/>
      <c r="QIO41" s="139"/>
      <c r="QIP41" s="139"/>
      <c r="QIQ41" s="139"/>
      <c r="QIR41" s="139"/>
      <c r="QIS41" s="139"/>
      <c r="QIT41" s="139"/>
      <c r="QIU41" s="139"/>
      <c r="QIV41" s="139"/>
      <c r="QIW41" s="139"/>
      <c r="QIX41" s="139"/>
      <c r="QIY41" s="139"/>
      <c r="QIZ41" s="139"/>
      <c r="QJA41" s="139"/>
      <c r="QJB41" s="139"/>
      <c r="QJC41" s="139"/>
      <c r="QJD41" s="139"/>
      <c r="QJE41" s="139"/>
      <c r="QJF41" s="139"/>
      <c r="QJG41" s="139"/>
      <c r="QJH41" s="139"/>
      <c r="QJI41" s="139"/>
      <c r="QJJ41" s="139"/>
      <c r="QJK41" s="139"/>
      <c r="QJL41" s="139"/>
      <c r="QJM41" s="139"/>
      <c r="QJN41" s="139"/>
      <c r="QJO41" s="139"/>
      <c r="QJP41" s="139"/>
      <c r="QJQ41" s="139"/>
      <c r="QJR41" s="139"/>
      <c r="QJS41" s="139"/>
      <c r="QJT41" s="139"/>
      <c r="QJU41" s="139"/>
      <c r="QJV41" s="139"/>
      <c r="QJW41" s="139"/>
      <c r="QJX41" s="139"/>
      <c r="QJY41" s="139"/>
      <c r="QJZ41" s="139"/>
      <c r="QKA41" s="139"/>
      <c r="QKB41" s="139"/>
      <c r="QKC41" s="139"/>
      <c r="QKD41" s="139"/>
      <c r="QKE41" s="139"/>
      <c r="QKF41" s="139"/>
      <c r="QKG41" s="139"/>
      <c r="QKH41" s="139"/>
      <c r="QKI41" s="139"/>
      <c r="QKJ41" s="139"/>
      <c r="QKK41" s="139"/>
      <c r="QKL41" s="139"/>
      <c r="QKM41" s="139"/>
      <c r="QKN41" s="139"/>
      <c r="QKO41" s="139"/>
      <c r="QKP41" s="139"/>
      <c r="QKQ41" s="139"/>
      <c r="QKR41" s="139"/>
      <c r="QKS41" s="139"/>
      <c r="QKT41" s="139"/>
      <c r="QKU41" s="139"/>
      <c r="QKV41" s="139"/>
      <c r="QKW41" s="139"/>
      <c r="QKX41" s="139"/>
      <c r="QKY41" s="139"/>
      <c r="QKZ41" s="139"/>
      <c r="QLA41" s="139"/>
      <c r="QLB41" s="139"/>
      <c r="QLC41" s="139"/>
      <c r="QLD41" s="139"/>
      <c r="QLE41" s="139"/>
      <c r="QLF41" s="139"/>
      <c r="QLG41" s="139"/>
      <c r="QLH41" s="139"/>
      <c r="QLI41" s="139"/>
      <c r="QLJ41" s="139"/>
      <c r="QLK41" s="139"/>
      <c r="QLL41" s="139"/>
      <c r="QLM41" s="139"/>
      <c r="QLN41" s="139"/>
      <c r="QLO41" s="139"/>
      <c r="QLP41" s="139"/>
      <c r="QLQ41" s="139"/>
      <c r="QLR41" s="139"/>
      <c r="QLS41" s="139"/>
      <c r="QLT41" s="139"/>
      <c r="QLU41" s="139"/>
      <c r="QLV41" s="139"/>
      <c r="QLW41" s="139"/>
      <c r="QLX41" s="139"/>
      <c r="QLY41" s="139"/>
      <c r="QLZ41" s="139"/>
      <c r="QMA41" s="139"/>
      <c r="QMB41" s="139"/>
      <c r="QMC41" s="139"/>
      <c r="QMD41" s="139"/>
      <c r="QME41" s="139"/>
      <c r="QMF41" s="139"/>
      <c r="QMG41" s="139"/>
      <c r="QMH41" s="139"/>
      <c r="QMI41" s="139"/>
      <c r="QMJ41" s="139"/>
      <c r="QMK41" s="139"/>
      <c r="QML41" s="139"/>
      <c r="QMM41" s="139"/>
      <c r="QMN41" s="139"/>
      <c r="QMO41" s="139"/>
      <c r="QMP41" s="139"/>
      <c r="QMQ41" s="139"/>
      <c r="QMR41" s="139"/>
      <c r="QMS41" s="139"/>
      <c r="QMT41" s="139"/>
      <c r="QMU41" s="139"/>
      <c r="QMV41" s="139"/>
      <c r="QMW41" s="139"/>
      <c r="QMX41" s="139"/>
      <c r="QMY41" s="139"/>
      <c r="QMZ41" s="139"/>
      <c r="QNA41" s="139"/>
      <c r="QNB41" s="139"/>
      <c r="QNC41" s="139"/>
      <c r="QND41" s="139"/>
      <c r="QNE41" s="139"/>
      <c r="QNF41" s="139"/>
      <c r="QNG41" s="139"/>
      <c r="QNH41" s="139"/>
      <c r="QNI41" s="139"/>
      <c r="QNJ41" s="139"/>
      <c r="QNK41" s="139"/>
      <c r="QNL41" s="139"/>
      <c r="QNM41" s="139"/>
      <c r="QNN41" s="139"/>
      <c r="QNO41" s="139"/>
      <c r="QNP41" s="139"/>
      <c r="QNQ41" s="139"/>
      <c r="QNR41" s="139"/>
      <c r="QNS41" s="139"/>
      <c r="QNT41" s="139"/>
      <c r="QNU41" s="139"/>
      <c r="QNV41" s="139"/>
      <c r="QNW41" s="139"/>
      <c r="QNX41" s="139"/>
      <c r="QNY41" s="139"/>
      <c r="QNZ41" s="139"/>
      <c r="QOA41" s="139"/>
      <c r="QOB41" s="139"/>
      <c r="QOC41" s="139"/>
      <c r="QOD41" s="139"/>
      <c r="QOE41" s="139"/>
      <c r="QOF41" s="139"/>
      <c r="QOG41" s="139"/>
      <c r="QOH41" s="139"/>
      <c r="QOI41" s="139"/>
      <c r="QOJ41" s="139"/>
      <c r="QOK41" s="139"/>
      <c r="QOL41" s="139"/>
      <c r="QOM41" s="139"/>
      <c r="QON41" s="139"/>
      <c r="QOO41" s="139"/>
      <c r="QOP41" s="139"/>
      <c r="QOQ41" s="139"/>
      <c r="QOR41" s="139"/>
      <c r="QOS41" s="139"/>
      <c r="QOT41" s="139"/>
      <c r="QOU41" s="139"/>
      <c r="QOV41" s="139"/>
      <c r="QOW41" s="139"/>
      <c r="QOX41" s="139"/>
      <c r="QOY41" s="139"/>
      <c r="QOZ41" s="139"/>
      <c r="QPA41" s="139"/>
      <c r="QPB41" s="139"/>
      <c r="QPC41" s="139"/>
      <c r="QPD41" s="139"/>
      <c r="QPE41" s="139"/>
      <c r="QPF41" s="139"/>
      <c r="QPG41" s="139"/>
      <c r="QPH41" s="139"/>
      <c r="QPI41" s="139"/>
      <c r="QPJ41" s="139"/>
      <c r="QPK41" s="139"/>
      <c r="QPL41" s="139"/>
      <c r="QPM41" s="139"/>
      <c r="QPN41" s="139"/>
      <c r="QPO41" s="139"/>
      <c r="QPP41" s="139"/>
      <c r="QPQ41" s="139"/>
      <c r="QPR41" s="139"/>
      <c r="QPS41" s="139"/>
      <c r="QPT41" s="139"/>
      <c r="QPU41" s="139"/>
      <c r="QPV41" s="139"/>
      <c r="QPW41" s="139"/>
      <c r="QPX41" s="139"/>
      <c r="QPY41" s="139"/>
      <c r="QPZ41" s="139"/>
      <c r="QQA41" s="139"/>
      <c r="QQB41" s="139"/>
      <c r="QQC41" s="139"/>
      <c r="QQD41" s="139"/>
      <c r="QQE41" s="139"/>
      <c r="QQF41" s="139"/>
      <c r="QQG41" s="139"/>
      <c r="QQH41" s="139"/>
      <c r="QQI41" s="139"/>
      <c r="QQJ41" s="139"/>
      <c r="QQK41" s="139"/>
      <c r="QQL41" s="139"/>
      <c r="QQM41" s="139"/>
      <c r="QQN41" s="139"/>
      <c r="QQO41" s="139"/>
      <c r="QQP41" s="139"/>
      <c r="QQQ41" s="139"/>
      <c r="QQR41" s="139"/>
      <c r="QQS41" s="139"/>
      <c r="QQT41" s="139"/>
      <c r="QQU41" s="139"/>
      <c r="QQV41" s="139"/>
      <c r="QQW41" s="139"/>
      <c r="QQX41" s="139"/>
      <c r="QQY41" s="139"/>
      <c r="QQZ41" s="139"/>
      <c r="QRA41" s="139"/>
      <c r="QRB41" s="139"/>
      <c r="QRC41" s="139"/>
      <c r="QRD41" s="139"/>
      <c r="QRE41" s="139"/>
      <c r="QRF41" s="139"/>
      <c r="QRG41" s="139"/>
      <c r="QRH41" s="139"/>
      <c r="QRI41" s="139"/>
      <c r="QRJ41" s="139"/>
      <c r="QRK41" s="139"/>
      <c r="QRL41" s="139"/>
      <c r="QRM41" s="139"/>
      <c r="QRN41" s="139"/>
      <c r="QRO41" s="139"/>
      <c r="QRP41" s="139"/>
      <c r="QRQ41" s="139"/>
      <c r="QRR41" s="139"/>
      <c r="QRS41" s="139"/>
      <c r="QRT41" s="139"/>
      <c r="QRU41" s="139"/>
      <c r="QRV41" s="139"/>
      <c r="QRW41" s="139"/>
      <c r="QRX41" s="139"/>
      <c r="QRY41" s="139"/>
      <c r="QRZ41" s="139"/>
      <c r="QSA41" s="139"/>
      <c r="QSB41" s="139"/>
      <c r="QSC41" s="139"/>
      <c r="QSD41" s="139"/>
      <c r="QSE41" s="139"/>
      <c r="QSF41" s="139"/>
      <c r="QSG41" s="139"/>
      <c r="QSH41" s="139"/>
      <c r="QSI41" s="139"/>
      <c r="QSJ41" s="139"/>
      <c r="QSK41" s="139"/>
      <c r="QSL41" s="139"/>
      <c r="QSM41" s="139"/>
      <c r="QSN41" s="139"/>
      <c r="QSO41" s="139"/>
      <c r="QSP41" s="139"/>
      <c r="QSQ41" s="139"/>
      <c r="QSR41" s="139"/>
      <c r="QSS41" s="139"/>
      <c r="QST41" s="139"/>
      <c r="QSU41" s="139"/>
      <c r="QSV41" s="139"/>
      <c r="QSW41" s="139"/>
      <c r="QSX41" s="139"/>
      <c r="QSY41" s="139"/>
      <c r="QSZ41" s="139"/>
      <c r="QTA41" s="139"/>
      <c r="QTB41" s="139"/>
      <c r="QTC41" s="139"/>
      <c r="QTD41" s="139"/>
      <c r="QTE41" s="139"/>
      <c r="QTF41" s="139"/>
      <c r="QTG41" s="139"/>
      <c r="QTH41" s="139"/>
      <c r="QTI41" s="139"/>
      <c r="QTJ41" s="139"/>
      <c r="QTK41" s="139"/>
      <c r="QTL41" s="139"/>
      <c r="QTM41" s="139"/>
      <c r="QTN41" s="139"/>
      <c r="QTO41" s="139"/>
      <c r="QTP41" s="139"/>
      <c r="QTQ41" s="139"/>
      <c r="QTR41" s="139"/>
      <c r="QTS41" s="139"/>
      <c r="QTT41" s="139"/>
      <c r="QTU41" s="139"/>
      <c r="QTV41" s="139"/>
      <c r="QTW41" s="139"/>
      <c r="QTX41" s="139"/>
      <c r="QTY41" s="139"/>
      <c r="QTZ41" s="139"/>
      <c r="QUA41" s="139"/>
      <c r="QUB41" s="139"/>
      <c r="QUC41" s="139"/>
      <c r="QUD41" s="139"/>
      <c r="QUE41" s="139"/>
      <c r="QUF41" s="139"/>
      <c r="QUG41" s="139"/>
      <c r="QUH41" s="139"/>
      <c r="QUI41" s="139"/>
      <c r="QUJ41" s="139"/>
      <c r="QUK41" s="139"/>
      <c r="QUL41" s="139"/>
      <c r="QUM41" s="139"/>
      <c r="QUN41" s="139"/>
      <c r="QUO41" s="139"/>
      <c r="QUP41" s="139"/>
      <c r="QUQ41" s="139"/>
      <c r="QUR41" s="139"/>
      <c r="QUS41" s="139"/>
      <c r="QUT41" s="139"/>
      <c r="QUU41" s="139"/>
      <c r="QUV41" s="139"/>
      <c r="QUW41" s="139"/>
      <c r="QUX41" s="139"/>
      <c r="QUY41" s="139"/>
      <c r="QUZ41" s="139"/>
      <c r="QVA41" s="139"/>
      <c r="QVB41" s="139"/>
      <c r="QVC41" s="139"/>
      <c r="QVD41" s="139"/>
      <c r="QVE41" s="139"/>
      <c r="QVF41" s="139"/>
      <c r="QVG41" s="139"/>
      <c r="QVH41" s="139"/>
      <c r="QVI41" s="139"/>
      <c r="QVJ41" s="139"/>
      <c r="QVK41" s="139"/>
      <c r="QVL41" s="139"/>
      <c r="QVM41" s="139"/>
      <c r="QVN41" s="139"/>
      <c r="QVO41" s="139"/>
      <c r="QVP41" s="139"/>
      <c r="QVQ41" s="139"/>
      <c r="QVR41" s="139"/>
      <c r="QVS41" s="139"/>
      <c r="QVT41" s="139"/>
      <c r="QVU41" s="139"/>
      <c r="QVV41" s="139"/>
      <c r="QVW41" s="139"/>
      <c r="QVX41" s="139"/>
      <c r="QVY41" s="139"/>
      <c r="QVZ41" s="139"/>
      <c r="QWA41" s="139"/>
      <c r="QWB41" s="139"/>
      <c r="QWC41" s="139"/>
      <c r="QWD41" s="139"/>
      <c r="QWE41" s="139"/>
      <c r="QWF41" s="139"/>
      <c r="QWG41" s="139"/>
      <c r="QWH41" s="139"/>
      <c r="QWI41" s="139"/>
      <c r="QWJ41" s="139"/>
      <c r="QWK41" s="139"/>
      <c r="QWL41" s="139"/>
      <c r="QWM41" s="139"/>
      <c r="QWN41" s="139"/>
      <c r="QWO41" s="139"/>
      <c r="QWP41" s="139"/>
      <c r="QWQ41" s="139"/>
      <c r="QWR41" s="139"/>
      <c r="QWS41" s="139"/>
      <c r="QWT41" s="139"/>
      <c r="QWU41" s="139"/>
      <c r="QWV41" s="139"/>
      <c r="QWW41" s="139"/>
      <c r="QWX41" s="139"/>
      <c r="QWY41" s="139"/>
      <c r="QWZ41" s="139"/>
      <c r="QXA41" s="139"/>
      <c r="QXB41" s="139"/>
      <c r="QXC41" s="139"/>
      <c r="QXD41" s="139"/>
      <c r="QXE41" s="139"/>
      <c r="QXF41" s="139"/>
      <c r="QXG41" s="139"/>
      <c r="QXH41" s="139"/>
      <c r="QXI41" s="139"/>
      <c r="QXJ41" s="139"/>
      <c r="QXK41" s="139"/>
      <c r="QXL41" s="139"/>
      <c r="QXM41" s="139"/>
      <c r="QXN41" s="139"/>
      <c r="QXO41" s="139"/>
      <c r="QXP41" s="139"/>
      <c r="QXQ41" s="139"/>
      <c r="QXR41" s="139"/>
      <c r="QXS41" s="139"/>
      <c r="QXT41" s="139"/>
      <c r="QXU41" s="139"/>
      <c r="QXV41" s="139"/>
      <c r="QXW41" s="139"/>
      <c r="QXX41" s="139"/>
      <c r="QXY41" s="139"/>
      <c r="QXZ41" s="139"/>
      <c r="QYA41" s="139"/>
      <c r="QYB41" s="139"/>
      <c r="QYC41" s="139"/>
      <c r="QYD41" s="139"/>
      <c r="QYE41" s="139"/>
      <c r="QYF41" s="139"/>
      <c r="QYG41" s="139"/>
      <c r="QYH41" s="139"/>
      <c r="QYI41" s="139"/>
      <c r="QYJ41" s="139"/>
      <c r="QYK41" s="139"/>
      <c r="QYL41" s="139"/>
      <c r="QYM41" s="139"/>
      <c r="QYN41" s="139"/>
      <c r="QYO41" s="139"/>
      <c r="QYP41" s="139"/>
      <c r="QYQ41" s="139"/>
      <c r="QYR41" s="139"/>
      <c r="QYS41" s="139"/>
      <c r="QYT41" s="139"/>
      <c r="QYU41" s="139"/>
      <c r="QYV41" s="139"/>
      <c r="QYW41" s="139"/>
      <c r="QYX41" s="139"/>
      <c r="QYY41" s="139"/>
      <c r="QYZ41" s="139"/>
      <c r="QZA41" s="139"/>
      <c r="QZB41" s="139"/>
      <c r="QZC41" s="139"/>
      <c r="QZD41" s="139"/>
      <c r="QZE41" s="139"/>
      <c r="QZF41" s="139"/>
      <c r="QZG41" s="139"/>
      <c r="QZH41" s="139"/>
      <c r="QZI41" s="139"/>
      <c r="QZJ41" s="139"/>
      <c r="QZK41" s="139"/>
      <c r="QZL41" s="139"/>
      <c r="QZM41" s="139"/>
      <c r="QZN41" s="139"/>
      <c r="QZO41" s="139"/>
      <c r="QZP41" s="139"/>
      <c r="QZQ41" s="139"/>
      <c r="QZR41" s="139"/>
      <c r="QZS41" s="139"/>
      <c r="QZT41" s="139"/>
      <c r="QZU41" s="139"/>
      <c r="QZV41" s="139"/>
      <c r="QZW41" s="139"/>
      <c r="QZX41" s="139"/>
      <c r="QZY41" s="139"/>
      <c r="QZZ41" s="139"/>
      <c r="RAA41" s="139"/>
      <c r="RAB41" s="139"/>
      <c r="RAC41" s="139"/>
      <c r="RAD41" s="139"/>
      <c r="RAE41" s="139"/>
      <c r="RAF41" s="139"/>
      <c r="RAG41" s="139"/>
      <c r="RAH41" s="139"/>
      <c r="RAI41" s="139"/>
      <c r="RAJ41" s="139"/>
      <c r="RAK41" s="139"/>
      <c r="RAL41" s="139"/>
      <c r="RAM41" s="139"/>
      <c r="RAN41" s="139"/>
      <c r="RAO41" s="139"/>
      <c r="RAP41" s="139"/>
      <c r="RAQ41" s="139"/>
      <c r="RAR41" s="139"/>
      <c r="RAS41" s="139"/>
      <c r="RAT41" s="139"/>
      <c r="RAU41" s="139"/>
      <c r="RAV41" s="139"/>
      <c r="RAW41" s="139"/>
      <c r="RAX41" s="139"/>
      <c r="RAY41" s="139"/>
      <c r="RAZ41" s="139"/>
      <c r="RBA41" s="139"/>
      <c r="RBB41" s="139"/>
      <c r="RBC41" s="139"/>
      <c r="RBD41" s="139"/>
      <c r="RBE41" s="139"/>
      <c r="RBF41" s="139"/>
      <c r="RBG41" s="139"/>
      <c r="RBH41" s="139"/>
      <c r="RBI41" s="139"/>
      <c r="RBJ41" s="139"/>
      <c r="RBK41" s="139"/>
      <c r="RBL41" s="139"/>
      <c r="RBM41" s="139"/>
      <c r="RBN41" s="139"/>
      <c r="RBO41" s="139"/>
      <c r="RBP41" s="139"/>
      <c r="RBQ41" s="139"/>
      <c r="RBR41" s="139"/>
      <c r="RBS41" s="139"/>
      <c r="RBT41" s="139"/>
      <c r="RBU41" s="139"/>
      <c r="RBV41" s="139"/>
      <c r="RBW41" s="139"/>
      <c r="RBX41" s="139"/>
      <c r="RBY41" s="139"/>
      <c r="RBZ41" s="139"/>
      <c r="RCA41" s="139"/>
      <c r="RCB41" s="139"/>
      <c r="RCC41" s="139"/>
      <c r="RCD41" s="139"/>
      <c r="RCE41" s="139"/>
      <c r="RCF41" s="139"/>
      <c r="RCG41" s="139"/>
      <c r="RCH41" s="139"/>
      <c r="RCI41" s="139"/>
      <c r="RCJ41" s="139"/>
      <c r="RCK41" s="139"/>
      <c r="RCL41" s="139"/>
      <c r="RCM41" s="139"/>
      <c r="RCN41" s="139"/>
      <c r="RCO41" s="139"/>
      <c r="RCP41" s="139"/>
      <c r="RCQ41" s="139"/>
      <c r="RCR41" s="139"/>
      <c r="RCS41" s="139"/>
      <c r="RCT41" s="139"/>
      <c r="RCU41" s="139"/>
      <c r="RCV41" s="139"/>
      <c r="RCW41" s="139"/>
      <c r="RCX41" s="139"/>
      <c r="RCY41" s="139"/>
      <c r="RCZ41" s="139"/>
      <c r="RDA41" s="139"/>
      <c r="RDB41" s="139"/>
      <c r="RDC41" s="139"/>
      <c r="RDD41" s="139"/>
      <c r="RDE41" s="139"/>
      <c r="RDF41" s="139"/>
      <c r="RDG41" s="139"/>
      <c r="RDH41" s="139"/>
      <c r="RDI41" s="139"/>
      <c r="RDJ41" s="139"/>
      <c r="RDK41" s="139"/>
      <c r="RDL41" s="139"/>
      <c r="RDM41" s="139"/>
      <c r="RDN41" s="139"/>
      <c r="RDO41" s="139"/>
      <c r="RDP41" s="139"/>
      <c r="RDQ41" s="139"/>
      <c r="RDR41" s="139"/>
      <c r="RDS41" s="139"/>
      <c r="RDT41" s="139"/>
      <c r="RDU41" s="139"/>
      <c r="RDV41" s="139"/>
      <c r="RDW41" s="139"/>
      <c r="RDX41" s="139"/>
      <c r="RDY41" s="139"/>
      <c r="RDZ41" s="139"/>
      <c r="REA41" s="139"/>
      <c r="REB41" s="139"/>
      <c r="REC41" s="139"/>
      <c r="RED41" s="139"/>
      <c r="REE41" s="139"/>
      <c r="REF41" s="139"/>
      <c r="REG41" s="139"/>
      <c r="REH41" s="139"/>
      <c r="REI41" s="139"/>
      <c r="REJ41" s="139"/>
      <c r="REK41" s="139"/>
      <c r="REL41" s="139"/>
      <c r="REM41" s="139"/>
      <c r="REN41" s="139"/>
      <c r="REO41" s="139"/>
      <c r="REP41" s="139"/>
      <c r="REQ41" s="139"/>
      <c r="RER41" s="139"/>
      <c r="RES41" s="139"/>
      <c r="RET41" s="139"/>
      <c r="REU41" s="139"/>
      <c r="REV41" s="139"/>
      <c r="REW41" s="139"/>
      <c r="REX41" s="139"/>
      <c r="REY41" s="139"/>
      <c r="REZ41" s="139"/>
      <c r="RFA41" s="139"/>
      <c r="RFB41" s="139"/>
      <c r="RFC41" s="139"/>
      <c r="RFD41" s="139"/>
      <c r="RFE41" s="139"/>
      <c r="RFF41" s="139"/>
      <c r="RFG41" s="139"/>
      <c r="RFH41" s="139"/>
      <c r="RFI41" s="139"/>
      <c r="RFJ41" s="139"/>
      <c r="RFK41" s="139"/>
      <c r="RFL41" s="139"/>
      <c r="RFM41" s="139"/>
      <c r="RFN41" s="139"/>
      <c r="RFO41" s="139"/>
      <c r="RFP41" s="139"/>
      <c r="RFQ41" s="139"/>
      <c r="RFR41" s="139"/>
      <c r="RFS41" s="139"/>
      <c r="RFT41" s="139"/>
      <c r="RFU41" s="139"/>
      <c r="RFV41" s="139"/>
      <c r="RFW41" s="139"/>
      <c r="RFX41" s="139"/>
      <c r="RFY41" s="139"/>
      <c r="RFZ41" s="139"/>
      <c r="RGA41" s="139"/>
      <c r="RGB41" s="139"/>
      <c r="RGC41" s="139"/>
      <c r="RGD41" s="139"/>
      <c r="RGE41" s="139"/>
      <c r="RGF41" s="139"/>
      <c r="RGG41" s="139"/>
      <c r="RGH41" s="139"/>
      <c r="RGI41" s="139"/>
      <c r="RGJ41" s="139"/>
      <c r="RGK41" s="139"/>
      <c r="RGL41" s="139"/>
      <c r="RGM41" s="139"/>
      <c r="RGN41" s="139"/>
      <c r="RGO41" s="139"/>
      <c r="RGP41" s="139"/>
      <c r="RGQ41" s="139"/>
      <c r="RGR41" s="139"/>
      <c r="RGS41" s="139"/>
      <c r="RGT41" s="139"/>
      <c r="RGU41" s="139"/>
      <c r="RGV41" s="139"/>
      <c r="RGW41" s="139"/>
      <c r="RGX41" s="139"/>
      <c r="RGY41" s="139"/>
      <c r="RGZ41" s="139"/>
      <c r="RHA41" s="139"/>
      <c r="RHB41" s="139"/>
      <c r="RHC41" s="139"/>
      <c r="RHD41" s="139"/>
      <c r="RHE41" s="139"/>
      <c r="RHF41" s="139"/>
      <c r="RHG41" s="139"/>
      <c r="RHH41" s="139"/>
      <c r="RHI41" s="139"/>
      <c r="RHJ41" s="139"/>
      <c r="RHK41" s="139"/>
      <c r="RHL41" s="139"/>
      <c r="RHM41" s="139"/>
      <c r="RHN41" s="139"/>
      <c r="RHO41" s="139"/>
      <c r="RHP41" s="139"/>
      <c r="RHQ41" s="139"/>
      <c r="RHR41" s="139"/>
      <c r="RHS41" s="139"/>
      <c r="RHT41" s="139"/>
      <c r="RHU41" s="139"/>
      <c r="RHV41" s="139"/>
      <c r="RHW41" s="139"/>
      <c r="RHX41" s="139"/>
      <c r="RHY41" s="139"/>
      <c r="RHZ41" s="139"/>
      <c r="RIA41" s="139"/>
      <c r="RIB41" s="139"/>
      <c r="RIC41" s="139"/>
      <c r="RID41" s="139"/>
      <c r="RIE41" s="139"/>
      <c r="RIF41" s="139"/>
      <c r="RIG41" s="139"/>
      <c r="RIH41" s="139"/>
      <c r="RII41" s="139"/>
      <c r="RIJ41" s="139"/>
      <c r="RIK41" s="139"/>
      <c r="RIL41" s="139"/>
      <c r="RIM41" s="139"/>
      <c r="RIN41" s="139"/>
      <c r="RIO41" s="139"/>
      <c r="RIP41" s="139"/>
      <c r="RIQ41" s="139"/>
      <c r="RIR41" s="139"/>
      <c r="RIS41" s="139"/>
      <c r="RIT41" s="139"/>
      <c r="RIU41" s="139"/>
      <c r="RIV41" s="139"/>
      <c r="RIW41" s="139"/>
      <c r="RIX41" s="139"/>
      <c r="RIY41" s="139"/>
      <c r="RIZ41" s="139"/>
      <c r="RJA41" s="139"/>
      <c r="RJB41" s="139"/>
      <c r="RJC41" s="139"/>
      <c r="RJD41" s="139"/>
      <c r="RJE41" s="139"/>
      <c r="RJF41" s="139"/>
      <c r="RJG41" s="139"/>
      <c r="RJH41" s="139"/>
      <c r="RJI41" s="139"/>
      <c r="RJJ41" s="139"/>
      <c r="RJK41" s="139"/>
      <c r="RJL41" s="139"/>
      <c r="RJM41" s="139"/>
      <c r="RJN41" s="139"/>
      <c r="RJO41" s="139"/>
      <c r="RJP41" s="139"/>
      <c r="RJQ41" s="139"/>
      <c r="RJR41" s="139"/>
      <c r="RJS41" s="139"/>
      <c r="RJT41" s="139"/>
      <c r="RJU41" s="139"/>
      <c r="RJV41" s="139"/>
      <c r="RJW41" s="139"/>
      <c r="RJX41" s="139"/>
      <c r="RJY41" s="139"/>
      <c r="RJZ41" s="139"/>
      <c r="RKA41" s="139"/>
      <c r="RKB41" s="139"/>
      <c r="RKC41" s="139"/>
      <c r="RKD41" s="139"/>
      <c r="RKE41" s="139"/>
      <c r="RKF41" s="139"/>
      <c r="RKG41" s="139"/>
      <c r="RKH41" s="139"/>
      <c r="RKI41" s="139"/>
      <c r="RKJ41" s="139"/>
      <c r="RKK41" s="139"/>
      <c r="RKL41" s="139"/>
      <c r="RKM41" s="139"/>
      <c r="RKN41" s="139"/>
      <c r="RKO41" s="139"/>
      <c r="RKP41" s="139"/>
      <c r="RKQ41" s="139"/>
      <c r="RKR41" s="139"/>
      <c r="RKS41" s="139"/>
      <c r="RKT41" s="139"/>
      <c r="RKU41" s="139"/>
      <c r="RKV41" s="139"/>
      <c r="RKW41" s="139"/>
      <c r="RKX41" s="139"/>
      <c r="RKY41" s="139"/>
      <c r="RKZ41" s="139"/>
      <c r="RLA41" s="139"/>
      <c r="RLB41" s="139"/>
      <c r="RLC41" s="139"/>
      <c r="RLD41" s="139"/>
      <c r="RLE41" s="139"/>
      <c r="RLF41" s="139"/>
      <c r="RLG41" s="139"/>
      <c r="RLH41" s="139"/>
      <c r="RLI41" s="139"/>
      <c r="RLJ41" s="139"/>
      <c r="RLK41" s="139"/>
      <c r="RLL41" s="139"/>
      <c r="RLM41" s="139"/>
      <c r="RLN41" s="139"/>
      <c r="RLO41" s="139"/>
      <c r="RLP41" s="139"/>
      <c r="RLQ41" s="139"/>
      <c r="RLR41" s="139"/>
      <c r="RLS41" s="139"/>
      <c r="RLT41" s="139"/>
      <c r="RLU41" s="139"/>
      <c r="RLV41" s="139"/>
      <c r="RLW41" s="139"/>
      <c r="RLX41" s="139"/>
      <c r="RLY41" s="139"/>
      <c r="RLZ41" s="139"/>
      <c r="RMA41" s="139"/>
      <c r="RMB41" s="139"/>
      <c r="RMC41" s="139"/>
      <c r="RMD41" s="139"/>
      <c r="RME41" s="139"/>
      <c r="RMF41" s="139"/>
      <c r="RMG41" s="139"/>
      <c r="RMH41" s="139"/>
      <c r="RMI41" s="139"/>
      <c r="RMJ41" s="139"/>
      <c r="RMK41" s="139"/>
      <c r="RML41" s="139"/>
      <c r="RMM41" s="139"/>
      <c r="RMN41" s="139"/>
      <c r="RMO41" s="139"/>
      <c r="RMP41" s="139"/>
      <c r="RMQ41" s="139"/>
      <c r="RMR41" s="139"/>
      <c r="RMS41" s="139"/>
      <c r="RMT41" s="139"/>
      <c r="RMU41" s="139"/>
      <c r="RMV41" s="139"/>
      <c r="RMW41" s="139"/>
      <c r="RMX41" s="139"/>
      <c r="RMY41" s="139"/>
      <c r="RMZ41" s="139"/>
      <c r="RNA41" s="139"/>
      <c r="RNB41" s="139"/>
      <c r="RNC41" s="139"/>
      <c r="RND41" s="139"/>
      <c r="RNE41" s="139"/>
      <c r="RNF41" s="139"/>
      <c r="RNG41" s="139"/>
      <c r="RNH41" s="139"/>
      <c r="RNI41" s="139"/>
      <c r="RNJ41" s="139"/>
      <c r="RNK41" s="139"/>
      <c r="RNL41" s="139"/>
      <c r="RNM41" s="139"/>
      <c r="RNN41" s="139"/>
      <c r="RNO41" s="139"/>
      <c r="RNP41" s="139"/>
      <c r="RNQ41" s="139"/>
      <c r="RNR41" s="139"/>
      <c r="RNS41" s="139"/>
      <c r="RNT41" s="139"/>
      <c r="RNU41" s="139"/>
      <c r="RNV41" s="139"/>
      <c r="RNW41" s="139"/>
      <c r="RNX41" s="139"/>
      <c r="RNY41" s="139"/>
      <c r="RNZ41" s="139"/>
      <c r="ROA41" s="139"/>
      <c r="ROB41" s="139"/>
      <c r="ROC41" s="139"/>
      <c r="ROD41" s="139"/>
      <c r="ROE41" s="139"/>
      <c r="ROF41" s="139"/>
      <c r="ROG41" s="139"/>
      <c r="ROH41" s="139"/>
      <c r="ROI41" s="139"/>
      <c r="ROJ41" s="139"/>
      <c r="ROK41" s="139"/>
      <c r="ROL41" s="139"/>
      <c r="ROM41" s="139"/>
      <c r="RON41" s="139"/>
      <c r="ROO41" s="139"/>
      <c r="ROP41" s="139"/>
      <c r="ROQ41" s="139"/>
      <c r="ROR41" s="139"/>
      <c r="ROS41" s="139"/>
      <c r="ROT41" s="139"/>
      <c r="ROU41" s="139"/>
      <c r="ROV41" s="139"/>
      <c r="ROW41" s="139"/>
      <c r="ROX41" s="139"/>
      <c r="ROY41" s="139"/>
      <c r="ROZ41" s="139"/>
      <c r="RPA41" s="139"/>
      <c r="RPB41" s="139"/>
      <c r="RPC41" s="139"/>
      <c r="RPD41" s="139"/>
      <c r="RPE41" s="139"/>
      <c r="RPF41" s="139"/>
      <c r="RPG41" s="139"/>
      <c r="RPH41" s="139"/>
      <c r="RPI41" s="139"/>
      <c r="RPJ41" s="139"/>
      <c r="RPK41" s="139"/>
      <c r="RPL41" s="139"/>
      <c r="RPM41" s="139"/>
      <c r="RPN41" s="139"/>
      <c r="RPO41" s="139"/>
      <c r="RPP41" s="139"/>
      <c r="RPQ41" s="139"/>
      <c r="RPR41" s="139"/>
      <c r="RPS41" s="139"/>
      <c r="RPT41" s="139"/>
      <c r="RPU41" s="139"/>
      <c r="RPV41" s="139"/>
      <c r="RPW41" s="139"/>
      <c r="RPX41" s="139"/>
      <c r="RPY41" s="139"/>
      <c r="RPZ41" s="139"/>
      <c r="RQA41" s="139"/>
      <c r="RQB41" s="139"/>
      <c r="RQC41" s="139"/>
      <c r="RQD41" s="139"/>
      <c r="RQE41" s="139"/>
      <c r="RQF41" s="139"/>
      <c r="RQG41" s="139"/>
      <c r="RQH41" s="139"/>
      <c r="RQI41" s="139"/>
      <c r="RQJ41" s="139"/>
      <c r="RQK41" s="139"/>
      <c r="RQL41" s="139"/>
      <c r="RQM41" s="139"/>
      <c r="RQN41" s="139"/>
      <c r="RQO41" s="139"/>
      <c r="RQP41" s="139"/>
      <c r="RQQ41" s="139"/>
      <c r="RQR41" s="139"/>
      <c r="RQS41" s="139"/>
      <c r="RQT41" s="139"/>
      <c r="RQU41" s="139"/>
      <c r="RQV41" s="139"/>
      <c r="RQW41" s="139"/>
      <c r="RQX41" s="139"/>
      <c r="RQY41" s="139"/>
      <c r="RQZ41" s="139"/>
      <c r="RRA41" s="139"/>
      <c r="RRB41" s="139"/>
      <c r="RRC41" s="139"/>
      <c r="RRD41" s="139"/>
      <c r="RRE41" s="139"/>
      <c r="RRF41" s="139"/>
      <c r="RRG41" s="139"/>
      <c r="RRH41" s="139"/>
      <c r="RRI41" s="139"/>
      <c r="RRJ41" s="139"/>
      <c r="RRK41" s="139"/>
      <c r="RRL41" s="139"/>
      <c r="RRM41" s="139"/>
      <c r="RRN41" s="139"/>
      <c r="RRO41" s="139"/>
      <c r="RRP41" s="139"/>
      <c r="RRQ41" s="139"/>
      <c r="RRR41" s="139"/>
      <c r="RRS41" s="139"/>
      <c r="RRT41" s="139"/>
      <c r="RRU41" s="139"/>
      <c r="RRV41" s="139"/>
      <c r="RRW41" s="139"/>
      <c r="RRX41" s="139"/>
      <c r="RRY41" s="139"/>
      <c r="RRZ41" s="139"/>
      <c r="RSA41" s="139"/>
      <c r="RSB41" s="139"/>
      <c r="RSC41" s="139"/>
      <c r="RSD41" s="139"/>
      <c r="RSE41" s="139"/>
      <c r="RSF41" s="139"/>
      <c r="RSG41" s="139"/>
      <c r="RSH41" s="139"/>
      <c r="RSI41" s="139"/>
      <c r="RSJ41" s="139"/>
      <c r="RSK41" s="139"/>
      <c r="RSL41" s="139"/>
      <c r="RSM41" s="139"/>
      <c r="RSN41" s="139"/>
      <c r="RSO41" s="139"/>
      <c r="RSP41" s="139"/>
      <c r="RSQ41" s="139"/>
      <c r="RSR41" s="139"/>
      <c r="RSS41" s="139"/>
      <c r="RST41" s="139"/>
      <c r="RSU41" s="139"/>
      <c r="RSV41" s="139"/>
      <c r="RSW41" s="139"/>
      <c r="RSX41" s="139"/>
      <c r="RSY41" s="139"/>
      <c r="RSZ41" s="139"/>
      <c r="RTA41" s="139"/>
      <c r="RTB41" s="139"/>
      <c r="RTC41" s="139"/>
      <c r="RTD41" s="139"/>
      <c r="RTE41" s="139"/>
      <c r="RTF41" s="139"/>
      <c r="RTG41" s="139"/>
      <c r="RTH41" s="139"/>
      <c r="RTI41" s="139"/>
      <c r="RTJ41" s="139"/>
      <c r="RTK41" s="139"/>
      <c r="RTL41" s="139"/>
      <c r="RTM41" s="139"/>
      <c r="RTN41" s="139"/>
      <c r="RTO41" s="139"/>
      <c r="RTP41" s="139"/>
      <c r="RTQ41" s="139"/>
      <c r="RTR41" s="139"/>
      <c r="RTS41" s="139"/>
      <c r="RTT41" s="139"/>
      <c r="RTU41" s="139"/>
      <c r="RTV41" s="139"/>
      <c r="RTW41" s="139"/>
      <c r="RTX41" s="139"/>
      <c r="RTY41" s="139"/>
      <c r="RTZ41" s="139"/>
      <c r="RUA41" s="139"/>
      <c r="RUB41" s="139"/>
      <c r="RUC41" s="139"/>
      <c r="RUD41" s="139"/>
      <c r="RUE41" s="139"/>
      <c r="RUF41" s="139"/>
      <c r="RUG41" s="139"/>
      <c r="RUH41" s="139"/>
      <c r="RUI41" s="139"/>
      <c r="RUJ41" s="139"/>
      <c r="RUK41" s="139"/>
      <c r="RUL41" s="139"/>
      <c r="RUM41" s="139"/>
      <c r="RUN41" s="139"/>
      <c r="RUO41" s="139"/>
      <c r="RUP41" s="139"/>
      <c r="RUQ41" s="139"/>
      <c r="RUR41" s="139"/>
      <c r="RUS41" s="139"/>
      <c r="RUT41" s="139"/>
      <c r="RUU41" s="139"/>
      <c r="RUV41" s="139"/>
      <c r="RUW41" s="139"/>
      <c r="RUX41" s="139"/>
      <c r="RUY41" s="139"/>
      <c r="RUZ41" s="139"/>
      <c r="RVA41" s="139"/>
      <c r="RVB41" s="139"/>
      <c r="RVC41" s="139"/>
      <c r="RVD41" s="139"/>
      <c r="RVE41" s="139"/>
      <c r="RVF41" s="139"/>
      <c r="RVG41" s="139"/>
      <c r="RVH41" s="139"/>
      <c r="RVI41" s="139"/>
      <c r="RVJ41" s="139"/>
      <c r="RVK41" s="139"/>
      <c r="RVL41" s="139"/>
      <c r="RVM41" s="139"/>
      <c r="RVN41" s="139"/>
      <c r="RVO41" s="139"/>
      <c r="RVP41" s="139"/>
      <c r="RVQ41" s="139"/>
      <c r="RVR41" s="139"/>
      <c r="RVS41" s="139"/>
      <c r="RVT41" s="139"/>
      <c r="RVU41" s="139"/>
      <c r="RVV41" s="139"/>
      <c r="RVW41" s="139"/>
      <c r="RVX41" s="139"/>
      <c r="RVY41" s="139"/>
      <c r="RVZ41" s="139"/>
      <c r="RWA41" s="139"/>
      <c r="RWB41" s="139"/>
      <c r="RWC41" s="139"/>
      <c r="RWD41" s="139"/>
      <c r="RWE41" s="139"/>
      <c r="RWF41" s="139"/>
      <c r="RWG41" s="139"/>
      <c r="RWH41" s="139"/>
      <c r="RWI41" s="139"/>
      <c r="RWJ41" s="139"/>
      <c r="RWK41" s="139"/>
      <c r="RWL41" s="139"/>
      <c r="RWM41" s="139"/>
      <c r="RWN41" s="139"/>
      <c r="RWO41" s="139"/>
      <c r="RWP41" s="139"/>
      <c r="RWQ41" s="139"/>
      <c r="RWR41" s="139"/>
      <c r="RWS41" s="139"/>
      <c r="RWT41" s="139"/>
      <c r="RWU41" s="139"/>
      <c r="RWV41" s="139"/>
      <c r="RWW41" s="139"/>
      <c r="RWX41" s="139"/>
      <c r="RWY41" s="139"/>
      <c r="RWZ41" s="139"/>
      <c r="RXA41" s="139"/>
      <c r="RXB41" s="139"/>
      <c r="RXC41" s="139"/>
      <c r="RXD41" s="139"/>
      <c r="RXE41" s="139"/>
      <c r="RXF41" s="139"/>
      <c r="RXG41" s="139"/>
      <c r="RXH41" s="139"/>
      <c r="RXI41" s="139"/>
      <c r="RXJ41" s="139"/>
      <c r="RXK41" s="139"/>
      <c r="RXL41" s="139"/>
      <c r="RXM41" s="139"/>
      <c r="RXN41" s="139"/>
      <c r="RXO41" s="139"/>
      <c r="RXP41" s="139"/>
      <c r="RXQ41" s="139"/>
      <c r="RXR41" s="139"/>
      <c r="RXS41" s="139"/>
      <c r="RXT41" s="139"/>
      <c r="RXU41" s="139"/>
      <c r="RXV41" s="139"/>
      <c r="RXW41" s="139"/>
      <c r="RXX41" s="139"/>
      <c r="RXY41" s="139"/>
      <c r="RXZ41" s="139"/>
      <c r="RYA41" s="139"/>
      <c r="RYB41" s="139"/>
      <c r="RYC41" s="139"/>
      <c r="RYD41" s="139"/>
      <c r="RYE41" s="139"/>
      <c r="RYF41" s="139"/>
      <c r="RYG41" s="139"/>
      <c r="RYH41" s="139"/>
      <c r="RYI41" s="139"/>
      <c r="RYJ41" s="139"/>
      <c r="RYK41" s="139"/>
      <c r="RYL41" s="139"/>
      <c r="RYM41" s="139"/>
      <c r="RYN41" s="139"/>
      <c r="RYO41" s="139"/>
      <c r="RYP41" s="139"/>
      <c r="RYQ41" s="139"/>
      <c r="RYR41" s="139"/>
      <c r="RYS41" s="139"/>
      <c r="RYT41" s="139"/>
      <c r="RYU41" s="139"/>
      <c r="RYV41" s="139"/>
      <c r="RYW41" s="139"/>
      <c r="RYX41" s="139"/>
      <c r="RYY41" s="139"/>
      <c r="RYZ41" s="139"/>
      <c r="RZA41" s="139"/>
      <c r="RZB41" s="139"/>
      <c r="RZC41" s="139"/>
      <c r="RZD41" s="139"/>
      <c r="RZE41" s="139"/>
      <c r="RZF41" s="139"/>
      <c r="RZG41" s="139"/>
      <c r="RZH41" s="139"/>
      <c r="RZI41" s="139"/>
      <c r="RZJ41" s="139"/>
      <c r="RZK41" s="139"/>
      <c r="RZL41" s="139"/>
      <c r="RZM41" s="139"/>
      <c r="RZN41" s="139"/>
      <c r="RZO41" s="139"/>
      <c r="RZP41" s="139"/>
      <c r="RZQ41" s="139"/>
      <c r="RZR41" s="139"/>
      <c r="RZS41" s="139"/>
      <c r="RZT41" s="139"/>
      <c r="RZU41" s="139"/>
      <c r="RZV41" s="139"/>
      <c r="RZW41" s="139"/>
      <c r="RZX41" s="139"/>
      <c r="RZY41" s="139"/>
      <c r="RZZ41" s="139"/>
      <c r="SAA41" s="139"/>
      <c r="SAB41" s="139"/>
      <c r="SAC41" s="139"/>
      <c r="SAD41" s="139"/>
      <c r="SAE41" s="139"/>
      <c r="SAF41" s="139"/>
      <c r="SAG41" s="139"/>
      <c r="SAH41" s="139"/>
      <c r="SAI41" s="139"/>
      <c r="SAJ41" s="139"/>
      <c r="SAK41" s="139"/>
      <c r="SAL41" s="139"/>
      <c r="SAM41" s="139"/>
      <c r="SAN41" s="139"/>
      <c r="SAO41" s="139"/>
      <c r="SAP41" s="139"/>
      <c r="SAQ41" s="139"/>
      <c r="SAR41" s="139"/>
      <c r="SAS41" s="139"/>
      <c r="SAT41" s="139"/>
      <c r="SAU41" s="139"/>
      <c r="SAV41" s="139"/>
      <c r="SAW41" s="139"/>
      <c r="SAX41" s="139"/>
      <c r="SAY41" s="139"/>
      <c r="SAZ41" s="139"/>
      <c r="SBA41" s="139"/>
      <c r="SBB41" s="139"/>
      <c r="SBC41" s="139"/>
      <c r="SBD41" s="139"/>
      <c r="SBE41" s="139"/>
      <c r="SBF41" s="139"/>
      <c r="SBG41" s="139"/>
      <c r="SBH41" s="139"/>
      <c r="SBI41" s="139"/>
      <c r="SBJ41" s="139"/>
      <c r="SBK41" s="139"/>
      <c r="SBL41" s="139"/>
      <c r="SBM41" s="139"/>
      <c r="SBN41" s="139"/>
      <c r="SBO41" s="139"/>
      <c r="SBP41" s="139"/>
      <c r="SBQ41" s="139"/>
      <c r="SBR41" s="139"/>
      <c r="SBS41" s="139"/>
      <c r="SBT41" s="139"/>
      <c r="SBU41" s="139"/>
      <c r="SBV41" s="139"/>
      <c r="SBW41" s="139"/>
      <c r="SBX41" s="139"/>
      <c r="SBY41" s="139"/>
      <c r="SBZ41" s="139"/>
      <c r="SCA41" s="139"/>
      <c r="SCB41" s="139"/>
      <c r="SCC41" s="139"/>
      <c r="SCD41" s="139"/>
      <c r="SCE41" s="139"/>
      <c r="SCF41" s="139"/>
      <c r="SCG41" s="139"/>
      <c r="SCH41" s="139"/>
      <c r="SCI41" s="139"/>
      <c r="SCJ41" s="139"/>
      <c r="SCK41" s="139"/>
      <c r="SCL41" s="139"/>
      <c r="SCM41" s="139"/>
      <c r="SCN41" s="139"/>
      <c r="SCO41" s="139"/>
      <c r="SCP41" s="139"/>
      <c r="SCQ41" s="139"/>
      <c r="SCR41" s="139"/>
      <c r="SCS41" s="139"/>
      <c r="SCT41" s="139"/>
      <c r="SCU41" s="139"/>
      <c r="SCV41" s="139"/>
      <c r="SCW41" s="139"/>
      <c r="SCX41" s="139"/>
      <c r="SCY41" s="139"/>
      <c r="SCZ41" s="139"/>
      <c r="SDA41" s="139"/>
      <c r="SDB41" s="139"/>
      <c r="SDC41" s="139"/>
      <c r="SDD41" s="139"/>
      <c r="SDE41" s="139"/>
      <c r="SDF41" s="139"/>
      <c r="SDG41" s="139"/>
      <c r="SDH41" s="139"/>
      <c r="SDI41" s="139"/>
      <c r="SDJ41" s="139"/>
      <c r="SDK41" s="139"/>
      <c r="SDL41" s="139"/>
      <c r="SDM41" s="139"/>
      <c r="SDN41" s="139"/>
      <c r="SDO41" s="139"/>
      <c r="SDP41" s="139"/>
      <c r="SDQ41" s="139"/>
      <c r="SDR41" s="139"/>
      <c r="SDS41" s="139"/>
      <c r="SDT41" s="139"/>
      <c r="SDU41" s="139"/>
      <c r="SDV41" s="139"/>
      <c r="SDW41" s="139"/>
      <c r="SDX41" s="139"/>
      <c r="SDY41" s="139"/>
      <c r="SDZ41" s="139"/>
      <c r="SEA41" s="139"/>
      <c r="SEB41" s="139"/>
      <c r="SEC41" s="139"/>
      <c r="SED41" s="139"/>
      <c r="SEE41" s="139"/>
      <c r="SEF41" s="139"/>
      <c r="SEG41" s="139"/>
      <c r="SEH41" s="139"/>
      <c r="SEI41" s="139"/>
      <c r="SEJ41" s="139"/>
      <c r="SEK41" s="139"/>
      <c r="SEL41" s="139"/>
      <c r="SEM41" s="139"/>
      <c r="SEN41" s="139"/>
      <c r="SEO41" s="139"/>
      <c r="SEP41" s="139"/>
      <c r="SEQ41" s="139"/>
      <c r="SER41" s="139"/>
      <c r="SES41" s="139"/>
      <c r="SET41" s="139"/>
      <c r="SEU41" s="139"/>
      <c r="SEV41" s="139"/>
      <c r="SEW41" s="139"/>
      <c r="SEX41" s="139"/>
      <c r="SEY41" s="139"/>
      <c r="SEZ41" s="139"/>
      <c r="SFA41" s="139"/>
      <c r="SFB41" s="139"/>
      <c r="SFC41" s="139"/>
      <c r="SFD41" s="139"/>
      <c r="SFE41" s="139"/>
      <c r="SFF41" s="139"/>
      <c r="SFG41" s="139"/>
      <c r="SFH41" s="139"/>
      <c r="SFI41" s="139"/>
      <c r="SFJ41" s="139"/>
      <c r="SFK41" s="139"/>
      <c r="SFL41" s="139"/>
      <c r="SFM41" s="139"/>
      <c r="SFN41" s="139"/>
      <c r="SFO41" s="139"/>
      <c r="SFP41" s="139"/>
      <c r="SFQ41" s="139"/>
      <c r="SFR41" s="139"/>
      <c r="SFS41" s="139"/>
      <c r="SFT41" s="139"/>
      <c r="SFU41" s="139"/>
      <c r="SFV41" s="139"/>
      <c r="SFW41" s="139"/>
      <c r="SFX41" s="139"/>
      <c r="SFY41" s="139"/>
      <c r="SFZ41" s="139"/>
      <c r="SGA41" s="139"/>
      <c r="SGB41" s="139"/>
      <c r="SGC41" s="139"/>
      <c r="SGD41" s="139"/>
      <c r="SGE41" s="139"/>
      <c r="SGF41" s="139"/>
      <c r="SGG41" s="139"/>
      <c r="SGH41" s="139"/>
      <c r="SGI41" s="139"/>
      <c r="SGJ41" s="139"/>
      <c r="SGK41" s="139"/>
      <c r="SGL41" s="139"/>
      <c r="SGM41" s="139"/>
      <c r="SGN41" s="139"/>
      <c r="SGO41" s="139"/>
      <c r="SGP41" s="139"/>
      <c r="SGQ41" s="139"/>
      <c r="SGR41" s="139"/>
      <c r="SGS41" s="139"/>
      <c r="SGT41" s="139"/>
      <c r="SGU41" s="139"/>
      <c r="SGV41" s="139"/>
      <c r="SGW41" s="139"/>
      <c r="SGX41" s="139"/>
      <c r="SGY41" s="139"/>
      <c r="SGZ41" s="139"/>
      <c r="SHA41" s="139"/>
      <c r="SHB41" s="139"/>
      <c r="SHC41" s="139"/>
      <c r="SHD41" s="139"/>
      <c r="SHE41" s="139"/>
      <c r="SHF41" s="139"/>
      <c r="SHG41" s="139"/>
      <c r="SHH41" s="139"/>
      <c r="SHI41" s="139"/>
      <c r="SHJ41" s="139"/>
      <c r="SHK41" s="139"/>
      <c r="SHL41" s="139"/>
      <c r="SHM41" s="139"/>
      <c r="SHN41" s="139"/>
      <c r="SHO41" s="139"/>
      <c r="SHP41" s="139"/>
      <c r="SHQ41" s="139"/>
      <c r="SHR41" s="139"/>
      <c r="SHS41" s="139"/>
      <c r="SHT41" s="139"/>
      <c r="SHU41" s="139"/>
      <c r="SHV41" s="139"/>
      <c r="SHW41" s="139"/>
      <c r="SHX41" s="139"/>
      <c r="SHY41" s="139"/>
      <c r="SHZ41" s="139"/>
      <c r="SIA41" s="139"/>
      <c r="SIB41" s="139"/>
      <c r="SIC41" s="139"/>
      <c r="SID41" s="139"/>
      <c r="SIE41" s="139"/>
      <c r="SIF41" s="139"/>
      <c r="SIG41" s="139"/>
      <c r="SIH41" s="139"/>
      <c r="SII41" s="139"/>
      <c r="SIJ41" s="139"/>
      <c r="SIK41" s="139"/>
      <c r="SIL41" s="139"/>
      <c r="SIM41" s="139"/>
      <c r="SIN41" s="139"/>
      <c r="SIO41" s="139"/>
      <c r="SIP41" s="139"/>
      <c r="SIQ41" s="139"/>
      <c r="SIR41" s="139"/>
      <c r="SIS41" s="139"/>
      <c r="SIT41" s="139"/>
      <c r="SIU41" s="139"/>
      <c r="SIV41" s="139"/>
      <c r="SIW41" s="139"/>
      <c r="SIX41" s="139"/>
      <c r="SIY41" s="139"/>
      <c r="SIZ41" s="139"/>
      <c r="SJA41" s="139"/>
      <c r="SJB41" s="139"/>
      <c r="SJC41" s="139"/>
      <c r="SJD41" s="139"/>
      <c r="SJE41" s="139"/>
      <c r="SJF41" s="139"/>
      <c r="SJG41" s="139"/>
      <c r="SJH41" s="139"/>
      <c r="SJI41" s="139"/>
      <c r="SJJ41" s="139"/>
      <c r="SJK41" s="139"/>
      <c r="SJL41" s="139"/>
      <c r="SJM41" s="139"/>
      <c r="SJN41" s="139"/>
      <c r="SJO41" s="139"/>
      <c r="SJP41" s="139"/>
      <c r="SJQ41" s="139"/>
      <c r="SJR41" s="139"/>
      <c r="SJS41" s="139"/>
      <c r="SJT41" s="139"/>
      <c r="SJU41" s="139"/>
      <c r="SJV41" s="139"/>
      <c r="SJW41" s="139"/>
      <c r="SJX41" s="139"/>
      <c r="SJY41" s="139"/>
      <c r="SJZ41" s="139"/>
      <c r="SKA41" s="139"/>
      <c r="SKB41" s="139"/>
      <c r="SKC41" s="139"/>
      <c r="SKD41" s="139"/>
      <c r="SKE41" s="139"/>
      <c r="SKF41" s="139"/>
      <c r="SKG41" s="139"/>
      <c r="SKH41" s="139"/>
      <c r="SKI41" s="139"/>
      <c r="SKJ41" s="139"/>
      <c r="SKK41" s="139"/>
      <c r="SKL41" s="139"/>
      <c r="SKM41" s="139"/>
      <c r="SKN41" s="139"/>
      <c r="SKO41" s="139"/>
      <c r="SKP41" s="139"/>
      <c r="SKQ41" s="139"/>
      <c r="SKR41" s="139"/>
      <c r="SKS41" s="139"/>
      <c r="SKT41" s="139"/>
      <c r="SKU41" s="139"/>
      <c r="SKV41" s="139"/>
      <c r="SKW41" s="139"/>
      <c r="SKX41" s="139"/>
      <c r="SKY41" s="139"/>
      <c r="SKZ41" s="139"/>
      <c r="SLA41" s="139"/>
      <c r="SLB41" s="139"/>
      <c r="SLC41" s="139"/>
      <c r="SLD41" s="139"/>
      <c r="SLE41" s="139"/>
      <c r="SLF41" s="139"/>
      <c r="SLG41" s="139"/>
      <c r="SLH41" s="139"/>
      <c r="SLI41" s="139"/>
      <c r="SLJ41" s="139"/>
      <c r="SLK41" s="139"/>
      <c r="SLL41" s="139"/>
      <c r="SLM41" s="139"/>
      <c r="SLN41" s="139"/>
      <c r="SLO41" s="139"/>
      <c r="SLP41" s="139"/>
      <c r="SLQ41" s="139"/>
      <c r="SLR41" s="139"/>
      <c r="SLS41" s="139"/>
      <c r="SLT41" s="139"/>
      <c r="SLU41" s="139"/>
      <c r="SLV41" s="139"/>
      <c r="SLW41" s="139"/>
      <c r="SLX41" s="139"/>
      <c r="SLY41" s="139"/>
      <c r="SLZ41" s="139"/>
      <c r="SMA41" s="139"/>
      <c r="SMB41" s="139"/>
      <c r="SMC41" s="139"/>
      <c r="SMD41" s="139"/>
      <c r="SME41" s="139"/>
      <c r="SMF41" s="139"/>
      <c r="SMG41" s="139"/>
      <c r="SMH41" s="139"/>
      <c r="SMI41" s="139"/>
      <c r="SMJ41" s="139"/>
      <c r="SMK41" s="139"/>
      <c r="SML41" s="139"/>
      <c r="SMM41" s="139"/>
      <c r="SMN41" s="139"/>
      <c r="SMO41" s="139"/>
      <c r="SMP41" s="139"/>
      <c r="SMQ41" s="139"/>
      <c r="SMR41" s="139"/>
      <c r="SMS41" s="139"/>
      <c r="SMT41" s="139"/>
      <c r="SMU41" s="139"/>
      <c r="SMV41" s="139"/>
      <c r="SMW41" s="139"/>
      <c r="SMX41" s="139"/>
      <c r="SMY41" s="139"/>
      <c r="SMZ41" s="139"/>
      <c r="SNA41" s="139"/>
      <c r="SNB41" s="139"/>
      <c r="SNC41" s="139"/>
      <c r="SND41" s="139"/>
      <c r="SNE41" s="139"/>
      <c r="SNF41" s="139"/>
      <c r="SNG41" s="139"/>
      <c r="SNH41" s="139"/>
      <c r="SNI41" s="139"/>
      <c r="SNJ41" s="139"/>
      <c r="SNK41" s="139"/>
      <c r="SNL41" s="139"/>
      <c r="SNM41" s="139"/>
      <c r="SNN41" s="139"/>
      <c r="SNO41" s="139"/>
      <c r="SNP41" s="139"/>
      <c r="SNQ41" s="139"/>
      <c r="SNR41" s="139"/>
      <c r="SNS41" s="139"/>
      <c r="SNT41" s="139"/>
      <c r="SNU41" s="139"/>
      <c r="SNV41" s="139"/>
      <c r="SNW41" s="139"/>
      <c r="SNX41" s="139"/>
      <c r="SNY41" s="139"/>
      <c r="SNZ41" s="139"/>
      <c r="SOA41" s="139"/>
      <c r="SOB41" s="139"/>
      <c r="SOC41" s="139"/>
      <c r="SOD41" s="139"/>
      <c r="SOE41" s="139"/>
      <c r="SOF41" s="139"/>
      <c r="SOG41" s="139"/>
      <c r="SOH41" s="139"/>
      <c r="SOI41" s="139"/>
      <c r="SOJ41" s="139"/>
      <c r="SOK41" s="139"/>
      <c r="SOL41" s="139"/>
      <c r="SOM41" s="139"/>
      <c r="SON41" s="139"/>
      <c r="SOO41" s="139"/>
      <c r="SOP41" s="139"/>
      <c r="SOQ41" s="139"/>
      <c r="SOR41" s="139"/>
      <c r="SOS41" s="139"/>
      <c r="SOT41" s="139"/>
      <c r="SOU41" s="139"/>
      <c r="SOV41" s="139"/>
      <c r="SOW41" s="139"/>
      <c r="SOX41" s="139"/>
      <c r="SOY41" s="139"/>
      <c r="SOZ41" s="139"/>
      <c r="SPA41" s="139"/>
      <c r="SPB41" s="139"/>
      <c r="SPC41" s="139"/>
      <c r="SPD41" s="139"/>
      <c r="SPE41" s="139"/>
      <c r="SPF41" s="139"/>
      <c r="SPG41" s="139"/>
      <c r="SPH41" s="139"/>
      <c r="SPI41" s="139"/>
      <c r="SPJ41" s="139"/>
      <c r="SPK41" s="139"/>
      <c r="SPL41" s="139"/>
      <c r="SPM41" s="139"/>
      <c r="SPN41" s="139"/>
      <c r="SPO41" s="139"/>
      <c r="SPP41" s="139"/>
      <c r="SPQ41" s="139"/>
      <c r="SPR41" s="139"/>
      <c r="SPS41" s="139"/>
      <c r="SPT41" s="139"/>
      <c r="SPU41" s="139"/>
      <c r="SPV41" s="139"/>
      <c r="SPW41" s="139"/>
      <c r="SPX41" s="139"/>
      <c r="SPY41" s="139"/>
      <c r="SPZ41" s="139"/>
      <c r="SQA41" s="139"/>
      <c r="SQB41" s="139"/>
      <c r="SQC41" s="139"/>
      <c r="SQD41" s="139"/>
      <c r="SQE41" s="139"/>
      <c r="SQF41" s="139"/>
      <c r="SQG41" s="139"/>
      <c r="SQH41" s="139"/>
      <c r="SQI41" s="139"/>
      <c r="SQJ41" s="139"/>
      <c r="SQK41" s="139"/>
      <c r="SQL41" s="139"/>
      <c r="SQM41" s="139"/>
      <c r="SQN41" s="139"/>
      <c r="SQO41" s="139"/>
      <c r="SQP41" s="139"/>
      <c r="SQQ41" s="139"/>
      <c r="SQR41" s="139"/>
      <c r="SQS41" s="139"/>
      <c r="SQT41" s="139"/>
      <c r="SQU41" s="139"/>
      <c r="SQV41" s="139"/>
      <c r="SQW41" s="139"/>
      <c r="SQX41" s="139"/>
      <c r="SQY41" s="139"/>
      <c r="SQZ41" s="139"/>
      <c r="SRA41" s="139"/>
      <c r="SRB41" s="139"/>
      <c r="SRC41" s="139"/>
      <c r="SRD41" s="139"/>
      <c r="SRE41" s="139"/>
      <c r="SRF41" s="139"/>
      <c r="SRG41" s="139"/>
      <c r="SRH41" s="139"/>
      <c r="SRI41" s="139"/>
      <c r="SRJ41" s="139"/>
      <c r="SRK41" s="139"/>
      <c r="SRL41" s="139"/>
      <c r="SRM41" s="139"/>
      <c r="SRN41" s="139"/>
      <c r="SRO41" s="139"/>
      <c r="SRP41" s="139"/>
      <c r="SRQ41" s="139"/>
      <c r="SRR41" s="139"/>
      <c r="SRS41" s="139"/>
      <c r="SRT41" s="139"/>
      <c r="SRU41" s="139"/>
      <c r="SRV41" s="139"/>
      <c r="SRW41" s="139"/>
      <c r="SRX41" s="139"/>
      <c r="SRY41" s="139"/>
      <c r="SRZ41" s="139"/>
      <c r="SSA41" s="139"/>
      <c r="SSB41" s="139"/>
      <c r="SSC41" s="139"/>
      <c r="SSD41" s="139"/>
      <c r="SSE41" s="139"/>
      <c r="SSF41" s="139"/>
      <c r="SSG41" s="139"/>
      <c r="SSH41" s="139"/>
      <c r="SSI41" s="139"/>
      <c r="SSJ41" s="139"/>
      <c r="SSK41" s="139"/>
      <c r="SSL41" s="139"/>
      <c r="SSM41" s="139"/>
      <c r="SSN41" s="139"/>
      <c r="SSO41" s="139"/>
      <c r="SSP41" s="139"/>
      <c r="SSQ41" s="139"/>
      <c r="SSR41" s="139"/>
      <c r="SSS41" s="139"/>
      <c r="SST41" s="139"/>
      <c r="SSU41" s="139"/>
      <c r="SSV41" s="139"/>
      <c r="SSW41" s="139"/>
      <c r="SSX41" s="139"/>
      <c r="SSY41" s="139"/>
      <c r="SSZ41" s="139"/>
      <c r="STA41" s="139"/>
      <c r="STB41" s="139"/>
      <c r="STC41" s="139"/>
      <c r="STD41" s="139"/>
      <c r="STE41" s="139"/>
      <c r="STF41" s="139"/>
      <c r="STG41" s="139"/>
      <c r="STH41" s="139"/>
      <c r="STI41" s="139"/>
      <c r="STJ41" s="139"/>
      <c r="STK41" s="139"/>
      <c r="STL41" s="139"/>
      <c r="STM41" s="139"/>
      <c r="STN41" s="139"/>
      <c r="STO41" s="139"/>
      <c r="STP41" s="139"/>
      <c r="STQ41" s="139"/>
      <c r="STR41" s="139"/>
      <c r="STS41" s="139"/>
      <c r="STT41" s="139"/>
      <c r="STU41" s="139"/>
      <c r="STV41" s="139"/>
      <c r="STW41" s="139"/>
      <c r="STX41" s="139"/>
      <c r="STY41" s="139"/>
      <c r="STZ41" s="139"/>
      <c r="SUA41" s="139"/>
      <c r="SUB41" s="139"/>
      <c r="SUC41" s="139"/>
      <c r="SUD41" s="139"/>
      <c r="SUE41" s="139"/>
      <c r="SUF41" s="139"/>
      <c r="SUG41" s="139"/>
      <c r="SUH41" s="139"/>
      <c r="SUI41" s="139"/>
      <c r="SUJ41" s="139"/>
      <c r="SUK41" s="139"/>
      <c r="SUL41" s="139"/>
      <c r="SUM41" s="139"/>
      <c r="SUN41" s="139"/>
      <c r="SUO41" s="139"/>
      <c r="SUP41" s="139"/>
      <c r="SUQ41" s="139"/>
      <c r="SUR41" s="139"/>
      <c r="SUS41" s="139"/>
      <c r="SUT41" s="139"/>
      <c r="SUU41" s="139"/>
      <c r="SUV41" s="139"/>
      <c r="SUW41" s="139"/>
      <c r="SUX41" s="139"/>
      <c r="SUY41" s="139"/>
      <c r="SUZ41" s="139"/>
      <c r="SVA41" s="139"/>
      <c r="SVB41" s="139"/>
      <c r="SVC41" s="139"/>
      <c r="SVD41" s="139"/>
      <c r="SVE41" s="139"/>
      <c r="SVF41" s="139"/>
      <c r="SVG41" s="139"/>
      <c r="SVH41" s="139"/>
      <c r="SVI41" s="139"/>
      <c r="SVJ41" s="139"/>
      <c r="SVK41" s="139"/>
      <c r="SVL41" s="139"/>
      <c r="SVM41" s="139"/>
      <c r="SVN41" s="139"/>
      <c r="SVO41" s="139"/>
      <c r="SVP41" s="139"/>
      <c r="SVQ41" s="139"/>
      <c r="SVR41" s="139"/>
      <c r="SVS41" s="139"/>
      <c r="SVT41" s="139"/>
      <c r="SVU41" s="139"/>
      <c r="SVV41" s="139"/>
      <c r="SVW41" s="139"/>
      <c r="SVX41" s="139"/>
      <c r="SVY41" s="139"/>
      <c r="SVZ41" s="139"/>
      <c r="SWA41" s="139"/>
      <c r="SWB41" s="139"/>
      <c r="SWC41" s="139"/>
      <c r="SWD41" s="139"/>
      <c r="SWE41" s="139"/>
      <c r="SWF41" s="139"/>
      <c r="SWG41" s="139"/>
      <c r="SWH41" s="139"/>
      <c r="SWI41" s="139"/>
      <c r="SWJ41" s="139"/>
      <c r="SWK41" s="139"/>
      <c r="SWL41" s="139"/>
      <c r="SWM41" s="139"/>
      <c r="SWN41" s="139"/>
      <c r="SWO41" s="139"/>
      <c r="SWP41" s="139"/>
      <c r="SWQ41" s="139"/>
      <c r="SWR41" s="139"/>
      <c r="SWS41" s="139"/>
      <c r="SWT41" s="139"/>
      <c r="SWU41" s="139"/>
      <c r="SWV41" s="139"/>
      <c r="SWW41" s="139"/>
      <c r="SWX41" s="139"/>
      <c r="SWY41" s="139"/>
      <c r="SWZ41" s="139"/>
      <c r="SXA41" s="139"/>
      <c r="SXB41" s="139"/>
      <c r="SXC41" s="139"/>
      <c r="SXD41" s="139"/>
      <c r="SXE41" s="139"/>
      <c r="SXF41" s="139"/>
      <c r="SXG41" s="139"/>
      <c r="SXH41" s="139"/>
      <c r="SXI41" s="139"/>
      <c r="SXJ41" s="139"/>
      <c r="SXK41" s="139"/>
      <c r="SXL41" s="139"/>
      <c r="SXM41" s="139"/>
      <c r="SXN41" s="139"/>
      <c r="SXO41" s="139"/>
      <c r="SXP41" s="139"/>
      <c r="SXQ41" s="139"/>
      <c r="SXR41" s="139"/>
      <c r="SXS41" s="139"/>
      <c r="SXT41" s="139"/>
      <c r="SXU41" s="139"/>
      <c r="SXV41" s="139"/>
      <c r="SXW41" s="139"/>
      <c r="SXX41" s="139"/>
      <c r="SXY41" s="139"/>
      <c r="SXZ41" s="139"/>
      <c r="SYA41" s="139"/>
      <c r="SYB41" s="139"/>
      <c r="SYC41" s="139"/>
      <c r="SYD41" s="139"/>
      <c r="SYE41" s="139"/>
      <c r="SYF41" s="139"/>
      <c r="SYG41" s="139"/>
      <c r="SYH41" s="139"/>
      <c r="SYI41" s="139"/>
      <c r="SYJ41" s="139"/>
      <c r="SYK41" s="139"/>
      <c r="SYL41" s="139"/>
      <c r="SYM41" s="139"/>
      <c r="SYN41" s="139"/>
      <c r="SYO41" s="139"/>
      <c r="SYP41" s="139"/>
      <c r="SYQ41" s="139"/>
      <c r="SYR41" s="139"/>
      <c r="SYS41" s="139"/>
      <c r="SYT41" s="139"/>
      <c r="SYU41" s="139"/>
      <c r="SYV41" s="139"/>
      <c r="SYW41" s="139"/>
      <c r="SYX41" s="139"/>
      <c r="SYY41" s="139"/>
      <c r="SYZ41" s="139"/>
      <c r="SZA41" s="139"/>
      <c r="SZB41" s="139"/>
      <c r="SZC41" s="139"/>
      <c r="SZD41" s="139"/>
      <c r="SZE41" s="139"/>
      <c r="SZF41" s="139"/>
      <c r="SZG41" s="139"/>
      <c r="SZH41" s="139"/>
      <c r="SZI41" s="139"/>
      <c r="SZJ41" s="139"/>
      <c r="SZK41" s="139"/>
      <c r="SZL41" s="139"/>
      <c r="SZM41" s="139"/>
      <c r="SZN41" s="139"/>
      <c r="SZO41" s="139"/>
      <c r="SZP41" s="139"/>
      <c r="SZQ41" s="139"/>
      <c r="SZR41" s="139"/>
      <c r="SZS41" s="139"/>
      <c r="SZT41" s="139"/>
      <c r="SZU41" s="139"/>
      <c r="SZV41" s="139"/>
      <c r="SZW41" s="139"/>
      <c r="SZX41" s="139"/>
      <c r="SZY41" s="139"/>
      <c r="SZZ41" s="139"/>
      <c r="TAA41" s="139"/>
      <c r="TAB41" s="139"/>
      <c r="TAC41" s="139"/>
      <c r="TAD41" s="139"/>
      <c r="TAE41" s="139"/>
      <c r="TAF41" s="139"/>
      <c r="TAG41" s="139"/>
      <c r="TAH41" s="139"/>
      <c r="TAI41" s="139"/>
      <c r="TAJ41" s="139"/>
      <c r="TAK41" s="139"/>
      <c r="TAL41" s="139"/>
      <c r="TAM41" s="139"/>
      <c r="TAN41" s="139"/>
      <c r="TAO41" s="139"/>
      <c r="TAP41" s="139"/>
      <c r="TAQ41" s="139"/>
      <c r="TAR41" s="139"/>
      <c r="TAS41" s="139"/>
      <c r="TAT41" s="139"/>
      <c r="TAU41" s="139"/>
      <c r="TAV41" s="139"/>
      <c r="TAW41" s="139"/>
      <c r="TAX41" s="139"/>
      <c r="TAY41" s="139"/>
      <c r="TAZ41" s="139"/>
      <c r="TBA41" s="139"/>
      <c r="TBB41" s="139"/>
      <c r="TBC41" s="139"/>
      <c r="TBD41" s="139"/>
      <c r="TBE41" s="139"/>
      <c r="TBF41" s="139"/>
      <c r="TBG41" s="139"/>
      <c r="TBH41" s="139"/>
      <c r="TBI41" s="139"/>
      <c r="TBJ41" s="139"/>
      <c r="TBK41" s="139"/>
      <c r="TBL41" s="139"/>
      <c r="TBM41" s="139"/>
      <c r="TBN41" s="139"/>
      <c r="TBO41" s="139"/>
      <c r="TBP41" s="139"/>
      <c r="TBQ41" s="139"/>
      <c r="TBR41" s="139"/>
      <c r="TBS41" s="139"/>
      <c r="TBT41" s="139"/>
      <c r="TBU41" s="139"/>
      <c r="TBV41" s="139"/>
      <c r="TBW41" s="139"/>
      <c r="TBX41" s="139"/>
      <c r="TBY41" s="139"/>
      <c r="TBZ41" s="139"/>
      <c r="TCA41" s="139"/>
      <c r="TCB41" s="139"/>
      <c r="TCC41" s="139"/>
      <c r="TCD41" s="139"/>
      <c r="TCE41" s="139"/>
      <c r="TCF41" s="139"/>
      <c r="TCG41" s="139"/>
      <c r="TCH41" s="139"/>
      <c r="TCI41" s="139"/>
      <c r="TCJ41" s="139"/>
      <c r="TCK41" s="139"/>
      <c r="TCL41" s="139"/>
      <c r="TCM41" s="139"/>
      <c r="TCN41" s="139"/>
      <c r="TCO41" s="139"/>
      <c r="TCP41" s="139"/>
      <c r="TCQ41" s="139"/>
      <c r="TCR41" s="139"/>
      <c r="TCS41" s="139"/>
      <c r="TCT41" s="139"/>
      <c r="TCU41" s="139"/>
      <c r="TCV41" s="139"/>
      <c r="TCW41" s="139"/>
      <c r="TCX41" s="139"/>
      <c r="TCY41" s="139"/>
      <c r="TCZ41" s="139"/>
      <c r="TDA41" s="139"/>
      <c r="TDB41" s="139"/>
      <c r="TDC41" s="139"/>
      <c r="TDD41" s="139"/>
      <c r="TDE41" s="139"/>
      <c r="TDF41" s="139"/>
      <c r="TDG41" s="139"/>
      <c r="TDH41" s="139"/>
      <c r="TDI41" s="139"/>
      <c r="TDJ41" s="139"/>
      <c r="TDK41" s="139"/>
      <c r="TDL41" s="139"/>
      <c r="TDM41" s="139"/>
      <c r="TDN41" s="139"/>
      <c r="TDO41" s="139"/>
      <c r="TDP41" s="139"/>
      <c r="TDQ41" s="139"/>
      <c r="TDR41" s="139"/>
      <c r="TDS41" s="139"/>
      <c r="TDT41" s="139"/>
      <c r="TDU41" s="139"/>
      <c r="TDV41" s="139"/>
      <c r="TDW41" s="139"/>
      <c r="TDX41" s="139"/>
      <c r="TDY41" s="139"/>
      <c r="TDZ41" s="139"/>
      <c r="TEA41" s="139"/>
      <c r="TEB41" s="139"/>
      <c r="TEC41" s="139"/>
      <c r="TED41" s="139"/>
      <c r="TEE41" s="139"/>
      <c r="TEF41" s="139"/>
      <c r="TEG41" s="139"/>
      <c r="TEH41" s="139"/>
      <c r="TEI41" s="139"/>
      <c r="TEJ41" s="139"/>
      <c r="TEK41" s="139"/>
      <c r="TEL41" s="139"/>
      <c r="TEM41" s="139"/>
      <c r="TEN41" s="139"/>
      <c r="TEO41" s="139"/>
      <c r="TEP41" s="139"/>
      <c r="TEQ41" s="139"/>
      <c r="TER41" s="139"/>
      <c r="TES41" s="139"/>
      <c r="TET41" s="139"/>
      <c r="TEU41" s="139"/>
      <c r="TEV41" s="139"/>
      <c r="TEW41" s="139"/>
      <c r="TEX41" s="139"/>
      <c r="TEY41" s="139"/>
      <c r="TEZ41" s="139"/>
      <c r="TFA41" s="139"/>
      <c r="TFB41" s="139"/>
      <c r="TFC41" s="139"/>
      <c r="TFD41" s="139"/>
      <c r="TFE41" s="139"/>
      <c r="TFF41" s="139"/>
      <c r="TFG41" s="139"/>
      <c r="TFH41" s="139"/>
      <c r="TFI41" s="139"/>
      <c r="TFJ41" s="139"/>
      <c r="TFK41" s="139"/>
      <c r="TFL41" s="139"/>
      <c r="TFM41" s="139"/>
      <c r="TFN41" s="139"/>
      <c r="TFO41" s="139"/>
      <c r="TFP41" s="139"/>
      <c r="TFQ41" s="139"/>
      <c r="TFR41" s="139"/>
      <c r="TFS41" s="139"/>
      <c r="TFT41" s="139"/>
      <c r="TFU41" s="139"/>
      <c r="TFV41" s="139"/>
      <c r="TFW41" s="139"/>
      <c r="TFX41" s="139"/>
      <c r="TFY41" s="139"/>
      <c r="TFZ41" s="139"/>
      <c r="TGA41" s="139"/>
      <c r="TGB41" s="139"/>
      <c r="TGC41" s="139"/>
      <c r="TGD41" s="139"/>
      <c r="TGE41" s="139"/>
      <c r="TGF41" s="139"/>
      <c r="TGG41" s="139"/>
      <c r="TGH41" s="139"/>
      <c r="TGI41" s="139"/>
      <c r="TGJ41" s="139"/>
      <c r="TGK41" s="139"/>
      <c r="TGL41" s="139"/>
      <c r="TGM41" s="139"/>
      <c r="TGN41" s="139"/>
      <c r="TGO41" s="139"/>
      <c r="TGP41" s="139"/>
      <c r="TGQ41" s="139"/>
      <c r="TGR41" s="139"/>
      <c r="TGS41" s="139"/>
      <c r="TGT41" s="139"/>
      <c r="TGU41" s="139"/>
      <c r="TGV41" s="139"/>
      <c r="TGW41" s="139"/>
      <c r="TGX41" s="139"/>
      <c r="TGY41" s="139"/>
      <c r="TGZ41" s="139"/>
      <c r="THA41" s="139"/>
      <c r="THB41" s="139"/>
      <c r="THC41" s="139"/>
      <c r="THD41" s="139"/>
      <c r="THE41" s="139"/>
      <c r="THF41" s="139"/>
      <c r="THG41" s="139"/>
      <c r="THH41" s="139"/>
      <c r="THI41" s="139"/>
      <c r="THJ41" s="139"/>
      <c r="THK41" s="139"/>
      <c r="THL41" s="139"/>
      <c r="THM41" s="139"/>
      <c r="THN41" s="139"/>
      <c r="THO41" s="139"/>
      <c r="THP41" s="139"/>
      <c r="THQ41" s="139"/>
      <c r="THR41" s="139"/>
      <c r="THS41" s="139"/>
      <c r="THT41" s="139"/>
      <c r="THU41" s="139"/>
      <c r="THV41" s="139"/>
      <c r="THW41" s="139"/>
      <c r="THX41" s="139"/>
      <c r="THY41" s="139"/>
      <c r="THZ41" s="139"/>
      <c r="TIA41" s="139"/>
      <c r="TIB41" s="139"/>
      <c r="TIC41" s="139"/>
      <c r="TID41" s="139"/>
      <c r="TIE41" s="139"/>
      <c r="TIF41" s="139"/>
      <c r="TIG41" s="139"/>
      <c r="TIH41" s="139"/>
      <c r="TII41" s="139"/>
      <c r="TIJ41" s="139"/>
      <c r="TIK41" s="139"/>
      <c r="TIL41" s="139"/>
      <c r="TIM41" s="139"/>
      <c r="TIN41" s="139"/>
      <c r="TIO41" s="139"/>
      <c r="TIP41" s="139"/>
      <c r="TIQ41" s="139"/>
      <c r="TIR41" s="139"/>
      <c r="TIS41" s="139"/>
      <c r="TIT41" s="139"/>
      <c r="TIU41" s="139"/>
      <c r="TIV41" s="139"/>
      <c r="TIW41" s="139"/>
      <c r="TIX41" s="139"/>
      <c r="TIY41" s="139"/>
      <c r="TIZ41" s="139"/>
      <c r="TJA41" s="139"/>
      <c r="TJB41" s="139"/>
      <c r="TJC41" s="139"/>
      <c r="TJD41" s="139"/>
      <c r="TJE41" s="139"/>
      <c r="TJF41" s="139"/>
      <c r="TJG41" s="139"/>
      <c r="TJH41" s="139"/>
      <c r="TJI41" s="139"/>
      <c r="TJJ41" s="139"/>
      <c r="TJK41" s="139"/>
      <c r="TJL41" s="139"/>
      <c r="TJM41" s="139"/>
      <c r="TJN41" s="139"/>
      <c r="TJO41" s="139"/>
      <c r="TJP41" s="139"/>
      <c r="TJQ41" s="139"/>
      <c r="TJR41" s="139"/>
      <c r="TJS41" s="139"/>
      <c r="TJT41" s="139"/>
      <c r="TJU41" s="139"/>
      <c r="TJV41" s="139"/>
      <c r="TJW41" s="139"/>
      <c r="TJX41" s="139"/>
      <c r="TJY41" s="139"/>
      <c r="TJZ41" s="139"/>
      <c r="TKA41" s="139"/>
      <c r="TKB41" s="139"/>
      <c r="TKC41" s="139"/>
      <c r="TKD41" s="139"/>
      <c r="TKE41" s="139"/>
      <c r="TKF41" s="139"/>
      <c r="TKG41" s="139"/>
      <c r="TKH41" s="139"/>
      <c r="TKI41" s="139"/>
      <c r="TKJ41" s="139"/>
      <c r="TKK41" s="139"/>
      <c r="TKL41" s="139"/>
      <c r="TKM41" s="139"/>
      <c r="TKN41" s="139"/>
      <c r="TKO41" s="139"/>
      <c r="TKP41" s="139"/>
      <c r="TKQ41" s="139"/>
      <c r="TKR41" s="139"/>
      <c r="TKS41" s="139"/>
      <c r="TKT41" s="139"/>
      <c r="TKU41" s="139"/>
      <c r="TKV41" s="139"/>
      <c r="TKW41" s="139"/>
      <c r="TKX41" s="139"/>
      <c r="TKY41" s="139"/>
      <c r="TKZ41" s="139"/>
      <c r="TLA41" s="139"/>
      <c r="TLB41" s="139"/>
      <c r="TLC41" s="139"/>
      <c r="TLD41" s="139"/>
      <c r="TLE41" s="139"/>
      <c r="TLF41" s="139"/>
      <c r="TLG41" s="139"/>
      <c r="TLH41" s="139"/>
      <c r="TLI41" s="139"/>
      <c r="TLJ41" s="139"/>
      <c r="TLK41" s="139"/>
      <c r="TLL41" s="139"/>
      <c r="TLM41" s="139"/>
      <c r="TLN41" s="139"/>
      <c r="TLO41" s="139"/>
      <c r="TLP41" s="139"/>
      <c r="TLQ41" s="139"/>
      <c r="TLR41" s="139"/>
      <c r="TLS41" s="139"/>
      <c r="TLT41" s="139"/>
      <c r="TLU41" s="139"/>
      <c r="TLV41" s="139"/>
      <c r="TLW41" s="139"/>
      <c r="TLX41" s="139"/>
      <c r="TLY41" s="139"/>
      <c r="TLZ41" s="139"/>
      <c r="TMA41" s="139"/>
      <c r="TMB41" s="139"/>
      <c r="TMC41" s="139"/>
      <c r="TMD41" s="139"/>
      <c r="TME41" s="139"/>
      <c r="TMF41" s="139"/>
      <c r="TMG41" s="139"/>
      <c r="TMH41" s="139"/>
      <c r="TMI41" s="139"/>
      <c r="TMJ41" s="139"/>
      <c r="TMK41" s="139"/>
      <c r="TML41" s="139"/>
      <c r="TMM41" s="139"/>
      <c r="TMN41" s="139"/>
      <c r="TMO41" s="139"/>
      <c r="TMP41" s="139"/>
      <c r="TMQ41" s="139"/>
      <c r="TMR41" s="139"/>
      <c r="TMS41" s="139"/>
      <c r="TMT41" s="139"/>
      <c r="TMU41" s="139"/>
      <c r="TMV41" s="139"/>
      <c r="TMW41" s="139"/>
      <c r="TMX41" s="139"/>
      <c r="TMY41" s="139"/>
      <c r="TMZ41" s="139"/>
      <c r="TNA41" s="139"/>
      <c r="TNB41" s="139"/>
      <c r="TNC41" s="139"/>
      <c r="TND41" s="139"/>
      <c r="TNE41" s="139"/>
      <c r="TNF41" s="139"/>
      <c r="TNG41" s="139"/>
      <c r="TNH41" s="139"/>
      <c r="TNI41" s="139"/>
      <c r="TNJ41" s="139"/>
      <c r="TNK41" s="139"/>
      <c r="TNL41" s="139"/>
      <c r="TNM41" s="139"/>
      <c r="TNN41" s="139"/>
      <c r="TNO41" s="139"/>
      <c r="TNP41" s="139"/>
      <c r="TNQ41" s="139"/>
      <c r="TNR41" s="139"/>
      <c r="TNS41" s="139"/>
      <c r="TNT41" s="139"/>
      <c r="TNU41" s="139"/>
      <c r="TNV41" s="139"/>
      <c r="TNW41" s="139"/>
      <c r="TNX41" s="139"/>
      <c r="TNY41" s="139"/>
      <c r="TNZ41" s="139"/>
      <c r="TOA41" s="139"/>
      <c r="TOB41" s="139"/>
      <c r="TOC41" s="139"/>
      <c r="TOD41" s="139"/>
      <c r="TOE41" s="139"/>
      <c r="TOF41" s="139"/>
      <c r="TOG41" s="139"/>
      <c r="TOH41" s="139"/>
      <c r="TOI41" s="139"/>
      <c r="TOJ41" s="139"/>
      <c r="TOK41" s="139"/>
      <c r="TOL41" s="139"/>
      <c r="TOM41" s="139"/>
      <c r="TON41" s="139"/>
      <c r="TOO41" s="139"/>
      <c r="TOP41" s="139"/>
      <c r="TOQ41" s="139"/>
      <c r="TOR41" s="139"/>
      <c r="TOS41" s="139"/>
      <c r="TOT41" s="139"/>
      <c r="TOU41" s="139"/>
      <c r="TOV41" s="139"/>
      <c r="TOW41" s="139"/>
      <c r="TOX41" s="139"/>
      <c r="TOY41" s="139"/>
      <c r="TOZ41" s="139"/>
      <c r="TPA41" s="139"/>
      <c r="TPB41" s="139"/>
      <c r="TPC41" s="139"/>
      <c r="TPD41" s="139"/>
      <c r="TPE41" s="139"/>
      <c r="TPF41" s="139"/>
      <c r="TPG41" s="139"/>
      <c r="TPH41" s="139"/>
      <c r="TPI41" s="139"/>
      <c r="TPJ41" s="139"/>
      <c r="TPK41" s="139"/>
      <c r="TPL41" s="139"/>
      <c r="TPM41" s="139"/>
      <c r="TPN41" s="139"/>
      <c r="TPO41" s="139"/>
      <c r="TPP41" s="139"/>
      <c r="TPQ41" s="139"/>
      <c r="TPR41" s="139"/>
      <c r="TPS41" s="139"/>
      <c r="TPT41" s="139"/>
      <c r="TPU41" s="139"/>
      <c r="TPV41" s="139"/>
      <c r="TPW41" s="139"/>
      <c r="TPX41" s="139"/>
      <c r="TPY41" s="139"/>
      <c r="TPZ41" s="139"/>
      <c r="TQA41" s="139"/>
      <c r="TQB41" s="139"/>
      <c r="TQC41" s="139"/>
      <c r="TQD41" s="139"/>
      <c r="TQE41" s="139"/>
      <c r="TQF41" s="139"/>
      <c r="TQG41" s="139"/>
      <c r="TQH41" s="139"/>
      <c r="TQI41" s="139"/>
      <c r="TQJ41" s="139"/>
      <c r="TQK41" s="139"/>
      <c r="TQL41" s="139"/>
      <c r="TQM41" s="139"/>
      <c r="TQN41" s="139"/>
      <c r="TQO41" s="139"/>
      <c r="TQP41" s="139"/>
      <c r="TQQ41" s="139"/>
      <c r="TQR41" s="139"/>
      <c r="TQS41" s="139"/>
      <c r="TQT41" s="139"/>
      <c r="TQU41" s="139"/>
      <c r="TQV41" s="139"/>
      <c r="TQW41" s="139"/>
      <c r="TQX41" s="139"/>
      <c r="TQY41" s="139"/>
      <c r="TQZ41" s="139"/>
      <c r="TRA41" s="139"/>
      <c r="TRB41" s="139"/>
      <c r="TRC41" s="139"/>
      <c r="TRD41" s="139"/>
      <c r="TRE41" s="139"/>
      <c r="TRF41" s="139"/>
      <c r="TRG41" s="139"/>
      <c r="TRH41" s="139"/>
      <c r="TRI41" s="139"/>
      <c r="TRJ41" s="139"/>
      <c r="TRK41" s="139"/>
      <c r="TRL41" s="139"/>
      <c r="TRM41" s="139"/>
      <c r="TRN41" s="139"/>
      <c r="TRO41" s="139"/>
      <c r="TRP41" s="139"/>
      <c r="TRQ41" s="139"/>
      <c r="TRR41" s="139"/>
      <c r="TRS41" s="139"/>
      <c r="TRT41" s="139"/>
      <c r="TRU41" s="139"/>
      <c r="TRV41" s="139"/>
      <c r="TRW41" s="139"/>
      <c r="TRX41" s="139"/>
      <c r="TRY41" s="139"/>
      <c r="TRZ41" s="139"/>
      <c r="TSA41" s="139"/>
      <c r="TSB41" s="139"/>
      <c r="TSC41" s="139"/>
      <c r="TSD41" s="139"/>
      <c r="TSE41" s="139"/>
      <c r="TSF41" s="139"/>
      <c r="TSG41" s="139"/>
      <c r="TSH41" s="139"/>
      <c r="TSI41" s="139"/>
      <c r="TSJ41" s="139"/>
      <c r="TSK41" s="139"/>
      <c r="TSL41" s="139"/>
      <c r="TSM41" s="139"/>
      <c r="TSN41" s="139"/>
      <c r="TSO41" s="139"/>
      <c r="TSP41" s="139"/>
      <c r="TSQ41" s="139"/>
      <c r="TSR41" s="139"/>
      <c r="TSS41" s="139"/>
      <c r="TST41" s="139"/>
      <c r="TSU41" s="139"/>
      <c r="TSV41" s="139"/>
      <c r="TSW41" s="139"/>
      <c r="TSX41" s="139"/>
      <c r="TSY41" s="139"/>
      <c r="TSZ41" s="139"/>
      <c r="TTA41" s="139"/>
      <c r="TTB41" s="139"/>
      <c r="TTC41" s="139"/>
      <c r="TTD41" s="139"/>
      <c r="TTE41" s="139"/>
      <c r="TTF41" s="139"/>
      <c r="TTG41" s="139"/>
      <c r="TTH41" s="139"/>
      <c r="TTI41" s="139"/>
      <c r="TTJ41" s="139"/>
      <c r="TTK41" s="139"/>
      <c r="TTL41" s="139"/>
      <c r="TTM41" s="139"/>
      <c r="TTN41" s="139"/>
      <c r="TTO41" s="139"/>
      <c r="TTP41" s="139"/>
      <c r="TTQ41" s="139"/>
      <c r="TTR41" s="139"/>
      <c r="TTS41" s="139"/>
      <c r="TTT41" s="139"/>
      <c r="TTU41" s="139"/>
      <c r="TTV41" s="139"/>
      <c r="TTW41" s="139"/>
      <c r="TTX41" s="139"/>
      <c r="TTY41" s="139"/>
      <c r="TTZ41" s="139"/>
      <c r="TUA41" s="139"/>
      <c r="TUB41" s="139"/>
      <c r="TUC41" s="139"/>
      <c r="TUD41" s="139"/>
      <c r="TUE41" s="139"/>
      <c r="TUF41" s="139"/>
      <c r="TUG41" s="139"/>
      <c r="TUH41" s="139"/>
      <c r="TUI41" s="139"/>
      <c r="TUJ41" s="139"/>
      <c r="TUK41" s="139"/>
      <c r="TUL41" s="139"/>
      <c r="TUM41" s="139"/>
      <c r="TUN41" s="139"/>
      <c r="TUO41" s="139"/>
      <c r="TUP41" s="139"/>
      <c r="TUQ41" s="139"/>
      <c r="TUR41" s="139"/>
      <c r="TUS41" s="139"/>
      <c r="TUT41" s="139"/>
      <c r="TUU41" s="139"/>
      <c r="TUV41" s="139"/>
      <c r="TUW41" s="139"/>
      <c r="TUX41" s="139"/>
      <c r="TUY41" s="139"/>
      <c r="TUZ41" s="139"/>
      <c r="TVA41" s="139"/>
      <c r="TVB41" s="139"/>
      <c r="TVC41" s="139"/>
      <c r="TVD41" s="139"/>
      <c r="TVE41" s="139"/>
      <c r="TVF41" s="139"/>
      <c r="TVG41" s="139"/>
      <c r="TVH41" s="139"/>
      <c r="TVI41" s="139"/>
      <c r="TVJ41" s="139"/>
      <c r="TVK41" s="139"/>
      <c r="TVL41" s="139"/>
      <c r="TVM41" s="139"/>
      <c r="TVN41" s="139"/>
      <c r="TVO41" s="139"/>
      <c r="TVP41" s="139"/>
      <c r="TVQ41" s="139"/>
      <c r="TVR41" s="139"/>
      <c r="TVS41" s="139"/>
      <c r="TVT41" s="139"/>
      <c r="TVU41" s="139"/>
      <c r="TVV41" s="139"/>
      <c r="TVW41" s="139"/>
      <c r="TVX41" s="139"/>
      <c r="TVY41" s="139"/>
      <c r="TVZ41" s="139"/>
      <c r="TWA41" s="139"/>
      <c r="TWB41" s="139"/>
      <c r="TWC41" s="139"/>
      <c r="TWD41" s="139"/>
      <c r="TWE41" s="139"/>
      <c r="TWF41" s="139"/>
      <c r="TWG41" s="139"/>
      <c r="TWH41" s="139"/>
      <c r="TWI41" s="139"/>
      <c r="TWJ41" s="139"/>
      <c r="TWK41" s="139"/>
      <c r="TWL41" s="139"/>
      <c r="TWM41" s="139"/>
      <c r="TWN41" s="139"/>
      <c r="TWO41" s="139"/>
      <c r="TWP41" s="139"/>
      <c r="TWQ41" s="139"/>
      <c r="TWR41" s="139"/>
      <c r="TWS41" s="139"/>
      <c r="TWT41" s="139"/>
      <c r="TWU41" s="139"/>
      <c r="TWV41" s="139"/>
      <c r="TWW41" s="139"/>
      <c r="TWX41" s="139"/>
      <c r="TWY41" s="139"/>
      <c r="TWZ41" s="139"/>
      <c r="TXA41" s="139"/>
      <c r="TXB41" s="139"/>
      <c r="TXC41" s="139"/>
      <c r="TXD41" s="139"/>
      <c r="TXE41" s="139"/>
      <c r="TXF41" s="139"/>
      <c r="TXG41" s="139"/>
      <c r="TXH41" s="139"/>
      <c r="TXI41" s="139"/>
      <c r="TXJ41" s="139"/>
      <c r="TXK41" s="139"/>
      <c r="TXL41" s="139"/>
      <c r="TXM41" s="139"/>
      <c r="TXN41" s="139"/>
      <c r="TXO41" s="139"/>
      <c r="TXP41" s="139"/>
      <c r="TXQ41" s="139"/>
      <c r="TXR41" s="139"/>
      <c r="TXS41" s="139"/>
      <c r="TXT41" s="139"/>
      <c r="TXU41" s="139"/>
      <c r="TXV41" s="139"/>
      <c r="TXW41" s="139"/>
      <c r="TXX41" s="139"/>
      <c r="TXY41" s="139"/>
      <c r="TXZ41" s="139"/>
      <c r="TYA41" s="139"/>
      <c r="TYB41" s="139"/>
      <c r="TYC41" s="139"/>
      <c r="TYD41" s="139"/>
      <c r="TYE41" s="139"/>
      <c r="TYF41" s="139"/>
      <c r="TYG41" s="139"/>
      <c r="TYH41" s="139"/>
      <c r="TYI41" s="139"/>
      <c r="TYJ41" s="139"/>
      <c r="TYK41" s="139"/>
      <c r="TYL41" s="139"/>
      <c r="TYM41" s="139"/>
      <c r="TYN41" s="139"/>
      <c r="TYO41" s="139"/>
      <c r="TYP41" s="139"/>
      <c r="TYQ41" s="139"/>
      <c r="TYR41" s="139"/>
      <c r="TYS41" s="139"/>
      <c r="TYT41" s="139"/>
      <c r="TYU41" s="139"/>
      <c r="TYV41" s="139"/>
      <c r="TYW41" s="139"/>
      <c r="TYX41" s="139"/>
      <c r="TYY41" s="139"/>
      <c r="TYZ41" s="139"/>
      <c r="TZA41" s="139"/>
      <c r="TZB41" s="139"/>
      <c r="TZC41" s="139"/>
      <c r="TZD41" s="139"/>
      <c r="TZE41" s="139"/>
      <c r="TZF41" s="139"/>
      <c r="TZG41" s="139"/>
      <c r="TZH41" s="139"/>
      <c r="TZI41" s="139"/>
      <c r="TZJ41" s="139"/>
      <c r="TZK41" s="139"/>
      <c r="TZL41" s="139"/>
      <c r="TZM41" s="139"/>
      <c r="TZN41" s="139"/>
      <c r="TZO41" s="139"/>
      <c r="TZP41" s="139"/>
      <c r="TZQ41" s="139"/>
      <c r="TZR41" s="139"/>
      <c r="TZS41" s="139"/>
      <c r="TZT41" s="139"/>
      <c r="TZU41" s="139"/>
      <c r="TZV41" s="139"/>
      <c r="TZW41" s="139"/>
      <c r="TZX41" s="139"/>
      <c r="TZY41" s="139"/>
      <c r="TZZ41" s="139"/>
      <c r="UAA41" s="139"/>
      <c r="UAB41" s="139"/>
      <c r="UAC41" s="139"/>
      <c r="UAD41" s="139"/>
      <c r="UAE41" s="139"/>
      <c r="UAF41" s="139"/>
      <c r="UAG41" s="139"/>
      <c r="UAH41" s="139"/>
      <c r="UAI41" s="139"/>
      <c r="UAJ41" s="139"/>
      <c r="UAK41" s="139"/>
      <c r="UAL41" s="139"/>
      <c r="UAM41" s="139"/>
      <c r="UAN41" s="139"/>
      <c r="UAO41" s="139"/>
      <c r="UAP41" s="139"/>
      <c r="UAQ41" s="139"/>
      <c r="UAR41" s="139"/>
      <c r="UAS41" s="139"/>
      <c r="UAT41" s="139"/>
      <c r="UAU41" s="139"/>
      <c r="UAV41" s="139"/>
      <c r="UAW41" s="139"/>
      <c r="UAX41" s="139"/>
      <c r="UAY41" s="139"/>
      <c r="UAZ41" s="139"/>
      <c r="UBA41" s="139"/>
      <c r="UBB41" s="139"/>
      <c r="UBC41" s="139"/>
      <c r="UBD41" s="139"/>
      <c r="UBE41" s="139"/>
      <c r="UBF41" s="139"/>
      <c r="UBG41" s="139"/>
      <c r="UBH41" s="139"/>
      <c r="UBI41" s="139"/>
      <c r="UBJ41" s="139"/>
      <c r="UBK41" s="139"/>
      <c r="UBL41" s="139"/>
      <c r="UBM41" s="139"/>
      <c r="UBN41" s="139"/>
      <c r="UBO41" s="139"/>
      <c r="UBP41" s="139"/>
      <c r="UBQ41" s="139"/>
      <c r="UBR41" s="139"/>
      <c r="UBS41" s="139"/>
      <c r="UBT41" s="139"/>
      <c r="UBU41" s="139"/>
      <c r="UBV41" s="139"/>
      <c r="UBW41" s="139"/>
      <c r="UBX41" s="139"/>
      <c r="UBY41" s="139"/>
      <c r="UBZ41" s="139"/>
      <c r="UCA41" s="139"/>
      <c r="UCB41" s="139"/>
      <c r="UCC41" s="139"/>
      <c r="UCD41" s="139"/>
      <c r="UCE41" s="139"/>
      <c r="UCF41" s="139"/>
      <c r="UCG41" s="139"/>
      <c r="UCH41" s="139"/>
      <c r="UCI41" s="139"/>
      <c r="UCJ41" s="139"/>
      <c r="UCK41" s="139"/>
      <c r="UCL41" s="139"/>
      <c r="UCM41" s="139"/>
      <c r="UCN41" s="139"/>
      <c r="UCO41" s="139"/>
      <c r="UCP41" s="139"/>
      <c r="UCQ41" s="139"/>
      <c r="UCR41" s="139"/>
      <c r="UCS41" s="139"/>
      <c r="UCT41" s="139"/>
      <c r="UCU41" s="139"/>
      <c r="UCV41" s="139"/>
      <c r="UCW41" s="139"/>
      <c r="UCX41" s="139"/>
      <c r="UCY41" s="139"/>
      <c r="UCZ41" s="139"/>
      <c r="UDA41" s="139"/>
      <c r="UDB41" s="139"/>
      <c r="UDC41" s="139"/>
      <c r="UDD41" s="139"/>
      <c r="UDE41" s="139"/>
      <c r="UDF41" s="139"/>
      <c r="UDG41" s="139"/>
      <c r="UDH41" s="139"/>
      <c r="UDI41" s="139"/>
      <c r="UDJ41" s="139"/>
      <c r="UDK41" s="139"/>
      <c r="UDL41" s="139"/>
      <c r="UDM41" s="139"/>
      <c r="UDN41" s="139"/>
      <c r="UDO41" s="139"/>
      <c r="UDP41" s="139"/>
      <c r="UDQ41" s="139"/>
      <c r="UDR41" s="139"/>
      <c r="UDS41" s="139"/>
      <c r="UDT41" s="139"/>
      <c r="UDU41" s="139"/>
      <c r="UDV41" s="139"/>
      <c r="UDW41" s="139"/>
      <c r="UDX41" s="139"/>
      <c r="UDY41" s="139"/>
      <c r="UDZ41" s="139"/>
      <c r="UEA41" s="139"/>
      <c r="UEB41" s="139"/>
      <c r="UEC41" s="139"/>
      <c r="UED41" s="139"/>
      <c r="UEE41" s="139"/>
      <c r="UEF41" s="139"/>
      <c r="UEG41" s="139"/>
      <c r="UEH41" s="139"/>
      <c r="UEI41" s="139"/>
      <c r="UEJ41" s="139"/>
      <c r="UEK41" s="139"/>
      <c r="UEL41" s="139"/>
      <c r="UEM41" s="139"/>
      <c r="UEN41" s="139"/>
      <c r="UEO41" s="139"/>
      <c r="UEP41" s="139"/>
      <c r="UEQ41" s="139"/>
      <c r="UER41" s="139"/>
      <c r="UES41" s="139"/>
      <c r="UET41" s="139"/>
      <c r="UEU41" s="139"/>
      <c r="UEV41" s="139"/>
      <c r="UEW41" s="139"/>
      <c r="UEX41" s="139"/>
      <c r="UEY41" s="139"/>
      <c r="UEZ41" s="139"/>
      <c r="UFA41" s="139"/>
      <c r="UFB41" s="139"/>
      <c r="UFC41" s="139"/>
      <c r="UFD41" s="139"/>
      <c r="UFE41" s="139"/>
      <c r="UFF41" s="139"/>
      <c r="UFG41" s="139"/>
      <c r="UFH41" s="139"/>
      <c r="UFI41" s="139"/>
      <c r="UFJ41" s="139"/>
      <c r="UFK41" s="139"/>
      <c r="UFL41" s="139"/>
      <c r="UFM41" s="139"/>
      <c r="UFN41" s="139"/>
      <c r="UFO41" s="139"/>
      <c r="UFP41" s="139"/>
      <c r="UFQ41" s="139"/>
      <c r="UFR41" s="139"/>
      <c r="UFS41" s="139"/>
      <c r="UFT41" s="139"/>
      <c r="UFU41" s="139"/>
      <c r="UFV41" s="139"/>
      <c r="UFW41" s="139"/>
      <c r="UFX41" s="139"/>
      <c r="UFY41" s="139"/>
      <c r="UFZ41" s="139"/>
      <c r="UGA41" s="139"/>
      <c r="UGB41" s="139"/>
      <c r="UGC41" s="139"/>
      <c r="UGD41" s="139"/>
      <c r="UGE41" s="139"/>
      <c r="UGF41" s="139"/>
      <c r="UGG41" s="139"/>
      <c r="UGH41" s="139"/>
      <c r="UGI41" s="139"/>
      <c r="UGJ41" s="139"/>
      <c r="UGK41" s="139"/>
      <c r="UGL41" s="139"/>
      <c r="UGM41" s="139"/>
      <c r="UGN41" s="139"/>
      <c r="UGO41" s="139"/>
      <c r="UGP41" s="139"/>
      <c r="UGQ41" s="139"/>
      <c r="UGR41" s="139"/>
      <c r="UGS41" s="139"/>
      <c r="UGT41" s="139"/>
      <c r="UGU41" s="139"/>
      <c r="UGV41" s="139"/>
      <c r="UGW41" s="139"/>
      <c r="UGX41" s="139"/>
      <c r="UGY41" s="139"/>
      <c r="UGZ41" s="139"/>
      <c r="UHA41" s="139"/>
      <c r="UHB41" s="139"/>
      <c r="UHC41" s="139"/>
      <c r="UHD41" s="139"/>
      <c r="UHE41" s="139"/>
      <c r="UHF41" s="139"/>
      <c r="UHG41" s="139"/>
      <c r="UHH41" s="139"/>
      <c r="UHI41" s="139"/>
      <c r="UHJ41" s="139"/>
      <c r="UHK41" s="139"/>
      <c r="UHL41" s="139"/>
      <c r="UHM41" s="139"/>
      <c r="UHN41" s="139"/>
      <c r="UHO41" s="139"/>
      <c r="UHP41" s="139"/>
      <c r="UHQ41" s="139"/>
      <c r="UHR41" s="139"/>
      <c r="UHS41" s="139"/>
      <c r="UHT41" s="139"/>
      <c r="UHU41" s="139"/>
      <c r="UHV41" s="139"/>
      <c r="UHW41" s="139"/>
      <c r="UHX41" s="139"/>
      <c r="UHY41" s="139"/>
      <c r="UHZ41" s="139"/>
      <c r="UIA41" s="139"/>
      <c r="UIB41" s="139"/>
      <c r="UIC41" s="139"/>
      <c r="UID41" s="139"/>
      <c r="UIE41" s="139"/>
      <c r="UIF41" s="139"/>
      <c r="UIG41" s="139"/>
      <c r="UIH41" s="139"/>
      <c r="UII41" s="139"/>
      <c r="UIJ41" s="139"/>
      <c r="UIK41" s="139"/>
      <c r="UIL41" s="139"/>
      <c r="UIM41" s="139"/>
      <c r="UIN41" s="139"/>
      <c r="UIO41" s="139"/>
      <c r="UIP41" s="139"/>
      <c r="UIQ41" s="139"/>
      <c r="UIR41" s="139"/>
      <c r="UIS41" s="139"/>
      <c r="UIT41" s="139"/>
      <c r="UIU41" s="139"/>
      <c r="UIV41" s="139"/>
      <c r="UIW41" s="139"/>
      <c r="UIX41" s="139"/>
      <c r="UIY41" s="139"/>
      <c r="UIZ41" s="139"/>
      <c r="UJA41" s="139"/>
      <c r="UJB41" s="139"/>
      <c r="UJC41" s="139"/>
      <c r="UJD41" s="139"/>
      <c r="UJE41" s="139"/>
      <c r="UJF41" s="139"/>
      <c r="UJG41" s="139"/>
      <c r="UJH41" s="139"/>
      <c r="UJI41" s="139"/>
      <c r="UJJ41" s="139"/>
      <c r="UJK41" s="139"/>
      <c r="UJL41" s="139"/>
      <c r="UJM41" s="139"/>
      <c r="UJN41" s="139"/>
      <c r="UJO41" s="139"/>
      <c r="UJP41" s="139"/>
      <c r="UJQ41" s="139"/>
      <c r="UJR41" s="139"/>
      <c r="UJS41" s="139"/>
      <c r="UJT41" s="139"/>
      <c r="UJU41" s="139"/>
      <c r="UJV41" s="139"/>
      <c r="UJW41" s="139"/>
      <c r="UJX41" s="139"/>
      <c r="UJY41" s="139"/>
      <c r="UJZ41" s="139"/>
      <c r="UKA41" s="139"/>
      <c r="UKB41" s="139"/>
      <c r="UKC41" s="139"/>
      <c r="UKD41" s="139"/>
      <c r="UKE41" s="139"/>
      <c r="UKF41" s="139"/>
      <c r="UKG41" s="139"/>
      <c r="UKH41" s="139"/>
      <c r="UKI41" s="139"/>
      <c r="UKJ41" s="139"/>
      <c r="UKK41" s="139"/>
      <c r="UKL41" s="139"/>
      <c r="UKM41" s="139"/>
      <c r="UKN41" s="139"/>
      <c r="UKO41" s="139"/>
      <c r="UKP41" s="139"/>
      <c r="UKQ41" s="139"/>
      <c r="UKR41" s="139"/>
      <c r="UKS41" s="139"/>
      <c r="UKT41" s="139"/>
      <c r="UKU41" s="139"/>
      <c r="UKV41" s="139"/>
      <c r="UKW41" s="139"/>
      <c r="UKX41" s="139"/>
      <c r="UKY41" s="139"/>
      <c r="UKZ41" s="139"/>
      <c r="ULA41" s="139"/>
      <c r="ULB41" s="139"/>
      <c r="ULC41" s="139"/>
      <c r="ULD41" s="139"/>
      <c r="ULE41" s="139"/>
      <c r="ULF41" s="139"/>
      <c r="ULG41" s="139"/>
      <c r="ULH41" s="139"/>
      <c r="ULI41" s="139"/>
      <c r="ULJ41" s="139"/>
      <c r="ULK41" s="139"/>
      <c r="ULL41" s="139"/>
      <c r="ULM41" s="139"/>
      <c r="ULN41" s="139"/>
      <c r="ULO41" s="139"/>
      <c r="ULP41" s="139"/>
      <c r="ULQ41" s="139"/>
      <c r="ULR41" s="139"/>
      <c r="ULS41" s="139"/>
      <c r="ULT41" s="139"/>
      <c r="ULU41" s="139"/>
      <c r="ULV41" s="139"/>
      <c r="ULW41" s="139"/>
      <c r="ULX41" s="139"/>
      <c r="ULY41" s="139"/>
      <c r="ULZ41" s="139"/>
      <c r="UMA41" s="139"/>
      <c r="UMB41" s="139"/>
      <c r="UMC41" s="139"/>
      <c r="UMD41" s="139"/>
      <c r="UME41" s="139"/>
      <c r="UMF41" s="139"/>
      <c r="UMG41" s="139"/>
      <c r="UMH41" s="139"/>
      <c r="UMI41" s="139"/>
      <c r="UMJ41" s="139"/>
      <c r="UMK41" s="139"/>
      <c r="UML41" s="139"/>
      <c r="UMM41" s="139"/>
      <c r="UMN41" s="139"/>
      <c r="UMO41" s="139"/>
      <c r="UMP41" s="139"/>
      <c r="UMQ41" s="139"/>
      <c r="UMR41" s="139"/>
      <c r="UMS41" s="139"/>
      <c r="UMT41" s="139"/>
      <c r="UMU41" s="139"/>
      <c r="UMV41" s="139"/>
      <c r="UMW41" s="139"/>
      <c r="UMX41" s="139"/>
      <c r="UMY41" s="139"/>
      <c r="UMZ41" s="139"/>
      <c r="UNA41" s="139"/>
      <c r="UNB41" s="139"/>
      <c r="UNC41" s="139"/>
      <c r="UND41" s="139"/>
      <c r="UNE41" s="139"/>
      <c r="UNF41" s="139"/>
      <c r="UNG41" s="139"/>
      <c r="UNH41" s="139"/>
      <c r="UNI41" s="139"/>
      <c r="UNJ41" s="139"/>
      <c r="UNK41" s="139"/>
      <c r="UNL41" s="139"/>
      <c r="UNM41" s="139"/>
      <c r="UNN41" s="139"/>
      <c r="UNO41" s="139"/>
      <c r="UNP41" s="139"/>
      <c r="UNQ41" s="139"/>
      <c r="UNR41" s="139"/>
      <c r="UNS41" s="139"/>
      <c r="UNT41" s="139"/>
      <c r="UNU41" s="139"/>
      <c r="UNV41" s="139"/>
      <c r="UNW41" s="139"/>
      <c r="UNX41" s="139"/>
      <c r="UNY41" s="139"/>
      <c r="UNZ41" s="139"/>
      <c r="UOA41" s="139"/>
      <c r="UOB41" s="139"/>
      <c r="UOC41" s="139"/>
      <c r="UOD41" s="139"/>
      <c r="UOE41" s="139"/>
      <c r="UOF41" s="139"/>
      <c r="UOG41" s="139"/>
      <c r="UOH41" s="139"/>
      <c r="UOI41" s="139"/>
      <c r="UOJ41" s="139"/>
      <c r="UOK41" s="139"/>
      <c r="UOL41" s="139"/>
      <c r="UOM41" s="139"/>
      <c r="UON41" s="139"/>
      <c r="UOO41" s="139"/>
      <c r="UOP41" s="139"/>
      <c r="UOQ41" s="139"/>
      <c r="UOR41" s="139"/>
      <c r="UOS41" s="139"/>
      <c r="UOT41" s="139"/>
      <c r="UOU41" s="139"/>
      <c r="UOV41" s="139"/>
      <c r="UOW41" s="139"/>
      <c r="UOX41" s="139"/>
      <c r="UOY41" s="139"/>
      <c r="UOZ41" s="139"/>
      <c r="UPA41" s="139"/>
      <c r="UPB41" s="139"/>
      <c r="UPC41" s="139"/>
      <c r="UPD41" s="139"/>
      <c r="UPE41" s="139"/>
      <c r="UPF41" s="139"/>
      <c r="UPG41" s="139"/>
      <c r="UPH41" s="139"/>
      <c r="UPI41" s="139"/>
      <c r="UPJ41" s="139"/>
      <c r="UPK41" s="139"/>
      <c r="UPL41" s="139"/>
      <c r="UPM41" s="139"/>
      <c r="UPN41" s="139"/>
      <c r="UPO41" s="139"/>
      <c r="UPP41" s="139"/>
      <c r="UPQ41" s="139"/>
      <c r="UPR41" s="139"/>
      <c r="UPS41" s="139"/>
      <c r="UPT41" s="139"/>
      <c r="UPU41" s="139"/>
      <c r="UPV41" s="139"/>
      <c r="UPW41" s="139"/>
      <c r="UPX41" s="139"/>
      <c r="UPY41" s="139"/>
      <c r="UPZ41" s="139"/>
      <c r="UQA41" s="139"/>
      <c r="UQB41" s="139"/>
      <c r="UQC41" s="139"/>
      <c r="UQD41" s="139"/>
      <c r="UQE41" s="139"/>
      <c r="UQF41" s="139"/>
      <c r="UQG41" s="139"/>
      <c r="UQH41" s="139"/>
      <c r="UQI41" s="139"/>
      <c r="UQJ41" s="139"/>
      <c r="UQK41" s="139"/>
      <c r="UQL41" s="139"/>
      <c r="UQM41" s="139"/>
      <c r="UQN41" s="139"/>
      <c r="UQO41" s="139"/>
      <c r="UQP41" s="139"/>
      <c r="UQQ41" s="139"/>
      <c r="UQR41" s="139"/>
      <c r="UQS41" s="139"/>
      <c r="UQT41" s="139"/>
      <c r="UQU41" s="139"/>
      <c r="UQV41" s="139"/>
      <c r="UQW41" s="139"/>
      <c r="UQX41" s="139"/>
      <c r="UQY41" s="139"/>
      <c r="UQZ41" s="139"/>
      <c r="URA41" s="139"/>
      <c r="URB41" s="139"/>
      <c r="URC41" s="139"/>
      <c r="URD41" s="139"/>
      <c r="URE41" s="139"/>
      <c r="URF41" s="139"/>
      <c r="URG41" s="139"/>
      <c r="URH41" s="139"/>
      <c r="URI41" s="139"/>
      <c r="URJ41" s="139"/>
      <c r="URK41" s="139"/>
      <c r="URL41" s="139"/>
      <c r="URM41" s="139"/>
      <c r="URN41" s="139"/>
      <c r="URO41" s="139"/>
      <c r="URP41" s="139"/>
      <c r="URQ41" s="139"/>
      <c r="URR41" s="139"/>
      <c r="URS41" s="139"/>
      <c r="URT41" s="139"/>
      <c r="URU41" s="139"/>
      <c r="URV41" s="139"/>
      <c r="URW41" s="139"/>
      <c r="URX41" s="139"/>
      <c r="URY41" s="139"/>
      <c r="URZ41" s="139"/>
      <c r="USA41" s="139"/>
      <c r="USB41" s="139"/>
      <c r="USC41" s="139"/>
      <c r="USD41" s="139"/>
      <c r="USE41" s="139"/>
      <c r="USF41" s="139"/>
      <c r="USG41" s="139"/>
      <c r="USH41" s="139"/>
      <c r="USI41" s="139"/>
      <c r="USJ41" s="139"/>
      <c r="USK41" s="139"/>
      <c r="USL41" s="139"/>
      <c r="USM41" s="139"/>
      <c r="USN41" s="139"/>
      <c r="USO41" s="139"/>
      <c r="USP41" s="139"/>
      <c r="USQ41" s="139"/>
      <c r="USR41" s="139"/>
      <c r="USS41" s="139"/>
      <c r="UST41" s="139"/>
      <c r="USU41" s="139"/>
      <c r="USV41" s="139"/>
      <c r="USW41" s="139"/>
      <c r="USX41" s="139"/>
      <c r="USY41" s="139"/>
      <c r="USZ41" s="139"/>
      <c r="UTA41" s="139"/>
      <c r="UTB41" s="139"/>
      <c r="UTC41" s="139"/>
      <c r="UTD41" s="139"/>
      <c r="UTE41" s="139"/>
      <c r="UTF41" s="139"/>
      <c r="UTG41" s="139"/>
      <c r="UTH41" s="139"/>
      <c r="UTI41" s="139"/>
      <c r="UTJ41" s="139"/>
      <c r="UTK41" s="139"/>
      <c r="UTL41" s="139"/>
      <c r="UTM41" s="139"/>
      <c r="UTN41" s="139"/>
      <c r="UTO41" s="139"/>
      <c r="UTP41" s="139"/>
      <c r="UTQ41" s="139"/>
      <c r="UTR41" s="139"/>
      <c r="UTS41" s="139"/>
      <c r="UTT41" s="139"/>
      <c r="UTU41" s="139"/>
      <c r="UTV41" s="139"/>
      <c r="UTW41" s="139"/>
      <c r="UTX41" s="139"/>
      <c r="UTY41" s="139"/>
      <c r="UTZ41" s="139"/>
      <c r="UUA41" s="139"/>
      <c r="UUB41" s="139"/>
      <c r="UUC41" s="139"/>
      <c r="UUD41" s="139"/>
      <c r="UUE41" s="139"/>
      <c r="UUF41" s="139"/>
      <c r="UUG41" s="139"/>
      <c r="UUH41" s="139"/>
      <c r="UUI41" s="139"/>
      <c r="UUJ41" s="139"/>
      <c r="UUK41" s="139"/>
      <c r="UUL41" s="139"/>
      <c r="UUM41" s="139"/>
      <c r="UUN41" s="139"/>
      <c r="UUO41" s="139"/>
      <c r="UUP41" s="139"/>
      <c r="UUQ41" s="139"/>
      <c r="UUR41" s="139"/>
      <c r="UUS41" s="139"/>
      <c r="UUT41" s="139"/>
      <c r="UUU41" s="139"/>
      <c r="UUV41" s="139"/>
      <c r="UUW41" s="139"/>
      <c r="UUX41" s="139"/>
      <c r="UUY41" s="139"/>
      <c r="UUZ41" s="139"/>
      <c r="UVA41" s="139"/>
      <c r="UVB41" s="139"/>
      <c r="UVC41" s="139"/>
      <c r="UVD41" s="139"/>
      <c r="UVE41" s="139"/>
      <c r="UVF41" s="139"/>
      <c r="UVG41" s="139"/>
      <c r="UVH41" s="139"/>
      <c r="UVI41" s="139"/>
      <c r="UVJ41" s="139"/>
      <c r="UVK41" s="139"/>
      <c r="UVL41" s="139"/>
      <c r="UVM41" s="139"/>
      <c r="UVN41" s="139"/>
      <c r="UVO41" s="139"/>
      <c r="UVP41" s="139"/>
      <c r="UVQ41" s="139"/>
      <c r="UVR41" s="139"/>
      <c r="UVS41" s="139"/>
      <c r="UVT41" s="139"/>
      <c r="UVU41" s="139"/>
      <c r="UVV41" s="139"/>
      <c r="UVW41" s="139"/>
      <c r="UVX41" s="139"/>
      <c r="UVY41" s="139"/>
      <c r="UVZ41" s="139"/>
      <c r="UWA41" s="139"/>
      <c r="UWB41" s="139"/>
      <c r="UWC41" s="139"/>
      <c r="UWD41" s="139"/>
      <c r="UWE41" s="139"/>
      <c r="UWF41" s="139"/>
      <c r="UWG41" s="139"/>
      <c r="UWH41" s="139"/>
      <c r="UWI41" s="139"/>
      <c r="UWJ41" s="139"/>
      <c r="UWK41" s="139"/>
      <c r="UWL41" s="139"/>
      <c r="UWM41" s="139"/>
      <c r="UWN41" s="139"/>
      <c r="UWO41" s="139"/>
      <c r="UWP41" s="139"/>
      <c r="UWQ41" s="139"/>
      <c r="UWR41" s="139"/>
      <c r="UWS41" s="139"/>
      <c r="UWT41" s="139"/>
      <c r="UWU41" s="139"/>
      <c r="UWV41" s="139"/>
      <c r="UWW41" s="139"/>
      <c r="UWX41" s="139"/>
      <c r="UWY41" s="139"/>
      <c r="UWZ41" s="139"/>
      <c r="UXA41" s="139"/>
      <c r="UXB41" s="139"/>
      <c r="UXC41" s="139"/>
      <c r="UXD41" s="139"/>
      <c r="UXE41" s="139"/>
      <c r="UXF41" s="139"/>
      <c r="UXG41" s="139"/>
      <c r="UXH41" s="139"/>
      <c r="UXI41" s="139"/>
      <c r="UXJ41" s="139"/>
      <c r="UXK41" s="139"/>
      <c r="UXL41" s="139"/>
      <c r="UXM41" s="139"/>
      <c r="UXN41" s="139"/>
      <c r="UXO41" s="139"/>
      <c r="UXP41" s="139"/>
      <c r="UXQ41" s="139"/>
      <c r="UXR41" s="139"/>
      <c r="UXS41" s="139"/>
      <c r="UXT41" s="139"/>
      <c r="UXU41" s="139"/>
      <c r="UXV41" s="139"/>
      <c r="UXW41" s="139"/>
      <c r="UXX41" s="139"/>
      <c r="UXY41" s="139"/>
      <c r="UXZ41" s="139"/>
      <c r="UYA41" s="139"/>
      <c r="UYB41" s="139"/>
      <c r="UYC41" s="139"/>
      <c r="UYD41" s="139"/>
      <c r="UYE41" s="139"/>
      <c r="UYF41" s="139"/>
      <c r="UYG41" s="139"/>
      <c r="UYH41" s="139"/>
      <c r="UYI41" s="139"/>
      <c r="UYJ41" s="139"/>
      <c r="UYK41" s="139"/>
      <c r="UYL41" s="139"/>
      <c r="UYM41" s="139"/>
      <c r="UYN41" s="139"/>
      <c r="UYO41" s="139"/>
      <c r="UYP41" s="139"/>
      <c r="UYQ41" s="139"/>
      <c r="UYR41" s="139"/>
      <c r="UYS41" s="139"/>
      <c r="UYT41" s="139"/>
      <c r="UYU41" s="139"/>
      <c r="UYV41" s="139"/>
      <c r="UYW41" s="139"/>
      <c r="UYX41" s="139"/>
      <c r="UYY41" s="139"/>
      <c r="UYZ41" s="139"/>
      <c r="UZA41" s="139"/>
      <c r="UZB41" s="139"/>
      <c r="UZC41" s="139"/>
      <c r="UZD41" s="139"/>
      <c r="UZE41" s="139"/>
      <c r="UZF41" s="139"/>
      <c r="UZG41" s="139"/>
      <c r="UZH41" s="139"/>
      <c r="UZI41" s="139"/>
      <c r="UZJ41" s="139"/>
      <c r="UZK41" s="139"/>
      <c r="UZL41" s="139"/>
      <c r="UZM41" s="139"/>
      <c r="UZN41" s="139"/>
      <c r="UZO41" s="139"/>
      <c r="UZP41" s="139"/>
      <c r="UZQ41" s="139"/>
      <c r="UZR41" s="139"/>
      <c r="UZS41" s="139"/>
      <c r="UZT41" s="139"/>
      <c r="UZU41" s="139"/>
      <c r="UZV41" s="139"/>
      <c r="UZW41" s="139"/>
      <c r="UZX41" s="139"/>
      <c r="UZY41" s="139"/>
      <c r="UZZ41" s="139"/>
      <c r="VAA41" s="139"/>
      <c r="VAB41" s="139"/>
      <c r="VAC41" s="139"/>
      <c r="VAD41" s="139"/>
      <c r="VAE41" s="139"/>
      <c r="VAF41" s="139"/>
      <c r="VAG41" s="139"/>
      <c r="VAH41" s="139"/>
      <c r="VAI41" s="139"/>
      <c r="VAJ41" s="139"/>
      <c r="VAK41" s="139"/>
      <c r="VAL41" s="139"/>
      <c r="VAM41" s="139"/>
      <c r="VAN41" s="139"/>
      <c r="VAO41" s="139"/>
      <c r="VAP41" s="139"/>
      <c r="VAQ41" s="139"/>
      <c r="VAR41" s="139"/>
      <c r="VAS41" s="139"/>
      <c r="VAT41" s="139"/>
      <c r="VAU41" s="139"/>
      <c r="VAV41" s="139"/>
      <c r="VAW41" s="139"/>
      <c r="VAX41" s="139"/>
      <c r="VAY41" s="139"/>
      <c r="VAZ41" s="139"/>
      <c r="VBA41" s="139"/>
      <c r="VBB41" s="139"/>
      <c r="VBC41" s="139"/>
      <c r="VBD41" s="139"/>
      <c r="VBE41" s="139"/>
      <c r="VBF41" s="139"/>
      <c r="VBG41" s="139"/>
      <c r="VBH41" s="139"/>
      <c r="VBI41" s="139"/>
      <c r="VBJ41" s="139"/>
      <c r="VBK41" s="139"/>
      <c r="VBL41" s="139"/>
      <c r="VBM41" s="139"/>
      <c r="VBN41" s="139"/>
      <c r="VBO41" s="139"/>
      <c r="VBP41" s="139"/>
      <c r="VBQ41" s="139"/>
      <c r="VBR41" s="139"/>
      <c r="VBS41" s="139"/>
      <c r="VBT41" s="139"/>
      <c r="VBU41" s="139"/>
      <c r="VBV41" s="139"/>
      <c r="VBW41" s="139"/>
      <c r="VBX41" s="139"/>
      <c r="VBY41" s="139"/>
      <c r="VBZ41" s="139"/>
      <c r="VCA41" s="139"/>
      <c r="VCB41" s="139"/>
      <c r="VCC41" s="139"/>
      <c r="VCD41" s="139"/>
      <c r="VCE41" s="139"/>
      <c r="VCF41" s="139"/>
      <c r="VCG41" s="139"/>
      <c r="VCH41" s="139"/>
      <c r="VCI41" s="139"/>
      <c r="VCJ41" s="139"/>
      <c r="VCK41" s="139"/>
      <c r="VCL41" s="139"/>
      <c r="VCM41" s="139"/>
      <c r="VCN41" s="139"/>
      <c r="VCO41" s="139"/>
      <c r="VCP41" s="139"/>
      <c r="VCQ41" s="139"/>
      <c r="VCR41" s="139"/>
      <c r="VCS41" s="139"/>
      <c r="VCT41" s="139"/>
      <c r="VCU41" s="139"/>
      <c r="VCV41" s="139"/>
      <c r="VCW41" s="139"/>
      <c r="VCX41" s="139"/>
      <c r="VCY41" s="139"/>
      <c r="VCZ41" s="139"/>
      <c r="VDA41" s="139"/>
      <c r="VDB41" s="139"/>
      <c r="VDC41" s="139"/>
      <c r="VDD41" s="139"/>
      <c r="VDE41" s="139"/>
      <c r="VDF41" s="139"/>
      <c r="VDG41" s="139"/>
      <c r="VDH41" s="139"/>
      <c r="VDI41" s="139"/>
      <c r="VDJ41" s="139"/>
      <c r="VDK41" s="139"/>
      <c r="VDL41" s="139"/>
      <c r="VDM41" s="139"/>
      <c r="VDN41" s="139"/>
      <c r="VDO41" s="139"/>
      <c r="VDP41" s="139"/>
      <c r="VDQ41" s="139"/>
      <c r="VDR41" s="139"/>
      <c r="VDS41" s="139"/>
      <c r="VDT41" s="139"/>
      <c r="VDU41" s="139"/>
      <c r="VDV41" s="139"/>
      <c r="VDW41" s="139"/>
      <c r="VDX41" s="139"/>
      <c r="VDY41" s="139"/>
      <c r="VDZ41" s="139"/>
      <c r="VEA41" s="139"/>
      <c r="VEB41" s="139"/>
      <c r="VEC41" s="139"/>
      <c r="VED41" s="139"/>
      <c r="VEE41" s="139"/>
      <c r="VEF41" s="139"/>
      <c r="VEG41" s="139"/>
      <c r="VEH41" s="139"/>
      <c r="VEI41" s="139"/>
      <c r="VEJ41" s="139"/>
      <c r="VEK41" s="139"/>
      <c r="VEL41" s="139"/>
      <c r="VEM41" s="139"/>
      <c r="VEN41" s="139"/>
      <c r="VEO41" s="139"/>
      <c r="VEP41" s="139"/>
      <c r="VEQ41" s="139"/>
      <c r="VER41" s="139"/>
      <c r="VES41" s="139"/>
      <c r="VET41" s="139"/>
      <c r="VEU41" s="139"/>
      <c r="VEV41" s="139"/>
      <c r="VEW41" s="139"/>
      <c r="VEX41" s="139"/>
      <c r="VEY41" s="139"/>
      <c r="VEZ41" s="139"/>
      <c r="VFA41" s="139"/>
      <c r="VFB41" s="139"/>
      <c r="VFC41" s="139"/>
      <c r="VFD41" s="139"/>
      <c r="VFE41" s="139"/>
      <c r="VFF41" s="139"/>
      <c r="VFG41" s="139"/>
      <c r="VFH41" s="139"/>
      <c r="VFI41" s="139"/>
      <c r="VFJ41" s="139"/>
      <c r="VFK41" s="139"/>
      <c r="VFL41" s="139"/>
      <c r="VFM41" s="139"/>
      <c r="VFN41" s="139"/>
      <c r="VFO41" s="139"/>
      <c r="VFP41" s="139"/>
      <c r="VFQ41" s="139"/>
      <c r="VFR41" s="139"/>
      <c r="VFS41" s="139"/>
      <c r="VFT41" s="139"/>
      <c r="VFU41" s="139"/>
      <c r="VFV41" s="139"/>
      <c r="VFW41" s="139"/>
      <c r="VFX41" s="139"/>
      <c r="VFY41" s="139"/>
      <c r="VFZ41" s="139"/>
      <c r="VGA41" s="139"/>
      <c r="VGB41" s="139"/>
      <c r="VGC41" s="139"/>
      <c r="VGD41" s="139"/>
      <c r="VGE41" s="139"/>
      <c r="VGF41" s="139"/>
      <c r="VGG41" s="139"/>
      <c r="VGH41" s="139"/>
      <c r="VGI41" s="139"/>
      <c r="VGJ41" s="139"/>
      <c r="VGK41" s="139"/>
      <c r="VGL41" s="139"/>
      <c r="VGM41" s="139"/>
      <c r="VGN41" s="139"/>
      <c r="VGO41" s="139"/>
      <c r="VGP41" s="139"/>
      <c r="VGQ41" s="139"/>
      <c r="VGR41" s="139"/>
      <c r="VGS41" s="139"/>
      <c r="VGT41" s="139"/>
      <c r="VGU41" s="139"/>
      <c r="VGV41" s="139"/>
      <c r="VGW41" s="139"/>
      <c r="VGX41" s="139"/>
      <c r="VGY41" s="139"/>
      <c r="VGZ41" s="139"/>
      <c r="VHA41" s="139"/>
      <c r="VHB41" s="139"/>
      <c r="VHC41" s="139"/>
      <c r="VHD41" s="139"/>
      <c r="VHE41" s="139"/>
      <c r="VHF41" s="139"/>
      <c r="VHG41" s="139"/>
      <c r="VHH41" s="139"/>
      <c r="VHI41" s="139"/>
      <c r="VHJ41" s="139"/>
      <c r="VHK41" s="139"/>
      <c r="VHL41" s="139"/>
      <c r="VHM41" s="139"/>
      <c r="VHN41" s="139"/>
      <c r="VHO41" s="139"/>
      <c r="VHP41" s="139"/>
      <c r="VHQ41" s="139"/>
      <c r="VHR41" s="139"/>
      <c r="VHS41" s="139"/>
      <c r="VHT41" s="139"/>
      <c r="VHU41" s="139"/>
      <c r="VHV41" s="139"/>
      <c r="VHW41" s="139"/>
      <c r="VHX41" s="139"/>
      <c r="VHY41" s="139"/>
      <c r="VHZ41" s="139"/>
      <c r="VIA41" s="139"/>
      <c r="VIB41" s="139"/>
      <c r="VIC41" s="139"/>
      <c r="VID41" s="139"/>
      <c r="VIE41" s="139"/>
      <c r="VIF41" s="139"/>
      <c r="VIG41" s="139"/>
      <c r="VIH41" s="139"/>
      <c r="VII41" s="139"/>
      <c r="VIJ41" s="139"/>
      <c r="VIK41" s="139"/>
      <c r="VIL41" s="139"/>
      <c r="VIM41" s="139"/>
      <c r="VIN41" s="139"/>
      <c r="VIO41" s="139"/>
      <c r="VIP41" s="139"/>
      <c r="VIQ41" s="139"/>
      <c r="VIR41" s="139"/>
      <c r="VIS41" s="139"/>
      <c r="VIT41" s="139"/>
      <c r="VIU41" s="139"/>
      <c r="VIV41" s="139"/>
      <c r="VIW41" s="139"/>
      <c r="VIX41" s="139"/>
      <c r="VIY41" s="139"/>
      <c r="VIZ41" s="139"/>
      <c r="VJA41" s="139"/>
      <c r="VJB41" s="139"/>
      <c r="VJC41" s="139"/>
      <c r="VJD41" s="139"/>
      <c r="VJE41" s="139"/>
      <c r="VJF41" s="139"/>
      <c r="VJG41" s="139"/>
      <c r="VJH41" s="139"/>
      <c r="VJI41" s="139"/>
      <c r="VJJ41" s="139"/>
      <c r="VJK41" s="139"/>
      <c r="VJL41" s="139"/>
      <c r="VJM41" s="139"/>
      <c r="VJN41" s="139"/>
      <c r="VJO41" s="139"/>
      <c r="VJP41" s="139"/>
      <c r="VJQ41" s="139"/>
      <c r="VJR41" s="139"/>
      <c r="VJS41" s="139"/>
      <c r="VJT41" s="139"/>
      <c r="VJU41" s="139"/>
      <c r="VJV41" s="139"/>
      <c r="VJW41" s="139"/>
      <c r="VJX41" s="139"/>
      <c r="VJY41" s="139"/>
      <c r="VJZ41" s="139"/>
      <c r="VKA41" s="139"/>
      <c r="VKB41" s="139"/>
      <c r="VKC41" s="139"/>
      <c r="VKD41" s="139"/>
      <c r="VKE41" s="139"/>
      <c r="VKF41" s="139"/>
      <c r="VKG41" s="139"/>
      <c r="VKH41" s="139"/>
      <c r="VKI41" s="139"/>
      <c r="VKJ41" s="139"/>
      <c r="VKK41" s="139"/>
      <c r="VKL41" s="139"/>
      <c r="VKM41" s="139"/>
      <c r="VKN41" s="139"/>
      <c r="VKO41" s="139"/>
      <c r="VKP41" s="139"/>
      <c r="VKQ41" s="139"/>
      <c r="VKR41" s="139"/>
      <c r="VKS41" s="139"/>
      <c r="VKT41" s="139"/>
      <c r="VKU41" s="139"/>
      <c r="VKV41" s="139"/>
      <c r="VKW41" s="139"/>
      <c r="VKX41" s="139"/>
      <c r="VKY41" s="139"/>
      <c r="VKZ41" s="139"/>
      <c r="VLA41" s="139"/>
      <c r="VLB41" s="139"/>
      <c r="VLC41" s="139"/>
      <c r="VLD41" s="139"/>
      <c r="VLE41" s="139"/>
      <c r="VLF41" s="139"/>
      <c r="VLG41" s="139"/>
      <c r="VLH41" s="139"/>
      <c r="VLI41" s="139"/>
      <c r="VLJ41" s="139"/>
      <c r="VLK41" s="139"/>
      <c r="VLL41" s="139"/>
      <c r="VLM41" s="139"/>
      <c r="VLN41" s="139"/>
      <c r="VLO41" s="139"/>
      <c r="VLP41" s="139"/>
      <c r="VLQ41" s="139"/>
      <c r="VLR41" s="139"/>
      <c r="VLS41" s="139"/>
      <c r="VLT41" s="139"/>
      <c r="VLU41" s="139"/>
      <c r="VLV41" s="139"/>
      <c r="VLW41" s="139"/>
      <c r="VLX41" s="139"/>
      <c r="VLY41" s="139"/>
      <c r="VLZ41" s="139"/>
      <c r="VMA41" s="139"/>
      <c r="VMB41" s="139"/>
      <c r="VMC41" s="139"/>
      <c r="VMD41" s="139"/>
      <c r="VME41" s="139"/>
      <c r="VMF41" s="139"/>
      <c r="VMG41" s="139"/>
      <c r="VMH41" s="139"/>
      <c r="VMI41" s="139"/>
      <c r="VMJ41" s="139"/>
      <c r="VMK41" s="139"/>
      <c r="VML41" s="139"/>
      <c r="VMM41" s="139"/>
      <c r="VMN41" s="139"/>
      <c r="VMO41" s="139"/>
      <c r="VMP41" s="139"/>
      <c r="VMQ41" s="139"/>
      <c r="VMR41" s="139"/>
      <c r="VMS41" s="139"/>
      <c r="VMT41" s="139"/>
      <c r="VMU41" s="139"/>
      <c r="VMV41" s="139"/>
      <c r="VMW41" s="139"/>
      <c r="VMX41" s="139"/>
      <c r="VMY41" s="139"/>
      <c r="VMZ41" s="139"/>
      <c r="VNA41" s="139"/>
      <c r="VNB41" s="139"/>
      <c r="VNC41" s="139"/>
      <c r="VND41" s="139"/>
      <c r="VNE41" s="139"/>
      <c r="VNF41" s="139"/>
      <c r="VNG41" s="139"/>
      <c r="VNH41" s="139"/>
      <c r="VNI41" s="139"/>
      <c r="VNJ41" s="139"/>
      <c r="VNK41" s="139"/>
      <c r="VNL41" s="139"/>
      <c r="VNM41" s="139"/>
      <c r="VNN41" s="139"/>
      <c r="VNO41" s="139"/>
      <c r="VNP41" s="139"/>
      <c r="VNQ41" s="139"/>
      <c r="VNR41" s="139"/>
      <c r="VNS41" s="139"/>
      <c r="VNT41" s="139"/>
      <c r="VNU41" s="139"/>
      <c r="VNV41" s="139"/>
      <c r="VNW41" s="139"/>
      <c r="VNX41" s="139"/>
      <c r="VNY41" s="139"/>
      <c r="VNZ41" s="139"/>
      <c r="VOA41" s="139"/>
      <c r="VOB41" s="139"/>
      <c r="VOC41" s="139"/>
      <c r="VOD41" s="139"/>
      <c r="VOE41" s="139"/>
      <c r="VOF41" s="139"/>
      <c r="VOG41" s="139"/>
      <c r="VOH41" s="139"/>
      <c r="VOI41" s="139"/>
      <c r="VOJ41" s="139"/>
      <c r="VOK41" s="139"/>
      <c r="VOL41" s="139"/>
      <c r="VOM41" s="139"/>
      <c r="VON41" s="139"/>
      <c r="VOO41" s="139"/>
      <c r="VOP41" s="139"/>
      <c r="VOQ41" s="139"/>
      <c r="VOR41" s="139"/>
      <c r="VOS41" s="139"/>
      <c r="VOT41" s="139"/>
      <c r="VOU41" s="139"/>
      <c r="VOV41" s="139"/>
      <c r="VOW41" s="139"/>
      <c r="VOX41" s="139"/>
      <c r="VOY41" s="139"/>
      <c r="VOZ41" s="139"/>
      <c r="VPA41" s="139"/>
      <c r="VPB41" s="139"/>
      <c r="VPC41" s="139"/>
      <c r="VPD41" s="139"/>
      <c r="VPE41" s="139"/>
      <c r="VPF41" s="139"/>
      <c r="VPG41" s="139"/>
      <c r="VPH41" s="139"/>
      <c r="VPI41" s="139"/>
      <c r="VPJ41" s="139"/>
      <c r="VPK41" s="139"/>
      <c r="VPL41" s="139"/>
      <c r="VPM41" s="139"/>
      <c r="VPN41" s="139"/>
      <c r="VPO41" s="139"/>
      <c r="VPP41" s="139"/>
      <c r="VPQ41" s="139"/>
      <c r="VPR41" s="139"/>
      <c r="VPS41" s="139"/>
      <c r="VPT41" s="139"/>
      <c r="VPU41" s="139"/>
      <c r="VPV41" s="139"/>
      <c r="VPW41" s="139"/>
      <c r="VPX41" s="139"/>
      <c r="VPY41" s="139"/>
      <c r="VPZ41" s="139"/>
      <c r="VQA41" s="139"/>
      <c r="VQB41" s="139"/>
      <c r="VQC41" s="139"/>
      <c r="VQD41" s="139"/>
      <c r="VQE41" s="139"/>
      <c r="VQF41" s="139"/>
      <c r="VQG41" s="139"/>
      <c r="VQH41" s="139"/>
      <c r="VQI41" s="139"/>
      <c r="VQJ41" s="139"/>
      <c r="VQK41" s="139"/>
      <c r="VQL41" s="139"/>
      <c r="VQM41" s="139"/>
      <c r="VQN41" s="139"/>
      <c r="VQO41" s="139"/>
      <c r="VQP41" s="139"/>
      <c r="VQQ41" s="139"/>
      <c r="VQR41" s="139"/>
      <c r="VQS41" s="139"/>
      <c r="VQT41" s="139"/>
      <c r="VQU41" s="139"/>
      <c r="VQV41" s="139"/>
      <c r="VQW41" s="139"/>
      <c r="VQX41" s="139"/>
      <c r="VQY41" s="139"/>
      <c r="VQZ41" s="139"/>
      <c r="VRA41" s="139"/>
      <c r="VRB41" s="139"/>
      <c r="VRC41" s="139"/>
      <c r="VRD41" s="139"/>
      <c r="VRE41" s="139"/>
      <c r="VRF41" s="139"/>
      <c r="VRG41" s="139"/>
      <c r="VRH41" s="139"/>
      <c r="VRI41" s="139"/>
      <c r="VRJ41" s="139"/>
      <c r="VRK41" s="139"/>
      <c r="VRL41" s="139"/>
      <c r="VRM41" s="139"/>
      <c r="VRN41" s="139"/>
      <c r="VRO41" s="139"/>
      <c r="VRP41" s="139"/>
      <c r="VRQ41" s="139"/>
      <c r="VRR41" s="139"/>
      <c r="VRS41" s="139"/>
      <c r="VRT41" s="139"/>
      <c r="VRU41" s="139"/>
      <c r="VRV41" s="139"/>
      <c r="VRW41" s="139"/>
      <c r="VRX41" s="139"/>
      <c r="VRY41" s="139"/>
      <c r="VRZ41" s="139"/>
      <c r="VSA41" s="139"/>
      <c r="VSB41" s="139"/>
      <c r="VSC41" s="139"/>
      <c r="VSD41" s="139"/>
      <c r="VSE41" s="139"/>
      <c r="VSF41" s="139"/>
      <c r="VSG41" s="139"/>
      <c r="VSH41" s="139"/>
      <c r="VSI41" s="139"/>
      <c r="VSJ41" s="139"/>
      <c r="VSK41" s="139"/>
      <c r="VSL41" s="139"/>
      <c r="VSM41" s="139"/>
      <c r="VSN41" s="139"/>
      <c r="VSO41" s="139"/>
      <c r="VSP41" s="139"/>
      <c r="VSQ41" s="139"/>
      <c r="VSR41" s="139"/>
      <c r="VSS41" s="139"/>
      <c r="VST41" s="139"/>
      <c r="VSU41" s="139"/>
      <c r="VSV41" s="139"/>
      <c r="VSW41" s="139"/>
      <c r="VSX41" s="139"/>
      <c r="VSY41" s="139"/>
      <c r="VSZ41" s="139"/>
      <c r="VTA41" s="139"/>
      <c r="VTB41" s="139"/>
      <c r="VTC41" s="139"/>
      <c r="VTD41" s="139"/>
      <c r="VTE41" s="139"/>
      <c r="VTF41" s="139"/>
      <c r="VTG41" s="139"/>
      <c r="VTH41" s="139"/>
      <c r="VTI41" s="139"/>
      <c r="VTJ41" s="139"/>
      <c r="VTK41" s="139"/>
      <c r="VTL41" s="139"/>
      <c r="VTM41" s="139"/>
      <c r="VTN41" s="139"/>
      <c r="VTO41" s="139"/>
      <c r="VTP41" s="139"/>
      <c r="VTQ41" s="139"/>
      <c r="VTR41" s="139"/>
      <c r="VTS41" s="139"/>
      <c r="VTT41" s="139"/>
      <c r="VTU41" s="139"/>
      <c r="VTV41" s="139"/>
      <c r="VTW41" s="139"/>
      <c r="VTX41" s="139"/>
      <c r="VTY41" s="139"/>
      <c r="VTZ41" s="139"/>
      <c r="VUA41" s="139"/>
      <c r="VUB41" s="139"/>
      <c r="VUC41" s="139"/>
      <c r="VUD41" s="139"/>
      <c r="VUE41" s="139"/>
      <c r="VUF41" s="139"/>
      <c r="VUG41" s="139"/>
      <c r="VUH41" s="139"/>
      <c r="VUI41" s="139"/>
      <c r="VUJ41" s="139"/>
      <c r="VUK41" s="139"/>
      <c r="VUL41" s="139"/>
      <c r="VUM41" s="139"/>
      <c r="VUN41" s="139"/>
      <c r="VUO41" s="139"/>
      <c r="VUP41" s="139"/>
      <c r="VUQ41" s="139"/>
      <c r="VUR41" s="139"/>
      <c r="VUS41" s="139"/>
      <c r="VUT41" s="139"/>
      <c r="VUU41" s="139"/>
      <c r="VUV41" s="139"/>
      <c r="VUW41" s="139"/>
      <c r="VUX41" s="139"/>
      <c r="VUY41" s="139"/>
      <c r="VUZ41" s="139"/>
      <c r="VVA41" s="139"/>
      <c r="VVB41" s="139"/>
      <c r="VVC41" s="139"/>
      <c r="VVD41" s="139"/>
      <c r="VVE41" s="139"/>
      <c r="VVF41" s="139"/>
      <c r="VVG41" s="139"/>
      <c r="VVH41" s="139"/>
      <c r="VVI41" s="139"/>
      <c r="VVJ41" s="139"/>
      <c r="VVK41" s="139"/>
      <c r="VVL41" s="139"/>
      <c r="VVM41" s="139"/>
      <c r="VVN41" s="139"/>
      <c r="VVO41" s="139"/>
      <c r="VVP41" s="139"/>
      <c r="VVQ41" s="139"/>
      <c r="VVR41" s="139"/>
      <c r="VVS41" s="139"/>
      <c r="VVT41" s="139"/>
      <c r="VVU41" s="139"/>
      <c r="VVV41" s="139"/>
      <c r="VVW41" s="139"/>
      <c r="VVX41" s="139"/>
      <c r="VVY41" s="139"/>
      <c r="VVZ41" s="139"/>
      <c r="VWA41" s="139"/>
      <c r="VWB41" s="139"/>
      <c r="VWC41" s="139"/>
      <c r="VWD41" s="139"/>
      <c r="VWE41" s="139"/>
      <c r="VWF41" s="139"/>
      <c r="VWG41" s="139"/>
      <c r="VWH41" s="139"/>
      <c r="VWI41" s="139"/>
      <c r="VWJ41" s="139"/>
      <c r="VWK41" s="139"/>
      <c r="VWL41" s="139"/>
      <c r="VWM41" s="139"/>
      <c r="VWN41" s="139"/>
      <c r="VWO41" s="139"/>
      <c r="VWP41" s="139"/>
      <c r="VWQ41" s="139"/>
      <c r="VWR41" s="139"/>
      <c r="VWS41" s="139"/>
      <c r="VWT41" s="139"/>
      <c r="VWU41" s="139"/>
      <c r="VWV41" s="139"/>
      <c r="VWW41" s="139"/>
      <c r="VWX41" s="139"/>
      <c r="VWY41" s="139"/>
      <c r="VWZ41" s="139"/>
      <c r="VXA41" s="139"/>
      <c r="VXB41" s="139"/>
      <c r="VXC41" s="139"/>
      <c r="VXD41" s="139"/>
      <c r="VXE41" s="139"/>
      <c r="VXF41" s="139"/>
      <c r="VXG41" s="139"/>
      <c r="VXH41" s="139"/>
      <c r="VXI41" s="139"/>
      <c r="VXJ41" s="139"/>
      <c r="VXK41" s="139"/>
      <c r="VXL41" s="139"/>
      <c r="VXM41" s="139"/>
      <c r="VXN41" s="139"/>
      <c r="VXO41" s="139"/>
      <c r="VXP41" s="139"/>
      <c r="VXQ41" s="139"/>
      <c r="VXR41" s="139"/>
      <c r="VXS41" s="139"/>
      <c r="VXT41" s="139"/>
      <c r="VXU41" s="139"/>
      <c r="VXV41" s="139"/>
      <c r="VXW41" s="139"/>
      <c r="VXX41" s="139"/>
      <c r="VXY41" s="139"/>
      <c r="VXZ41" s="139"/>
      <c r="VYA41" s="139"/>
      <c r="VYB41" s="139"/>
      <c r="VYC41" s="139"/>
      <c r="VYD41" s="139"/>
      <c r="VYE41" s="139"/>
      <c r="VYF41" s="139"/>
      <c r="VYG41" s="139"/>
      <c r="VYH41" s="139"/>
      <c r="VYI41" s="139"/>
      <c r="VYJ41" s="139"/>
      <c r="VYK41" s="139"/>
      <c r="VYL41" s="139"/>
      <c r="VYM41" s="139"/>
      <c r="VYN41" s="139"/>
      <c r="VYO41" s="139"/>
      <c r="VYP41" s="139"/>
      <c r="VYQ41" s="139"/>
      <c r="VYR41" s="139"/>
      <c r="VYS41" s="139"/>
      <c r="VYT41" s="139"/>
      <c r="VYU41" s="139"/>
      <c r="VYV41" s="139"/>
      <c r="VYW41" s="139"/>
      <c r="VYX41" s="139"/>
      <c r="VYY41" s="139"/>
      <c r="VYZ41" s="139"/>
      <c r="VZA41" s="139"/>
      <c r="VZB41" s="139"/>
      <c r="VZC41" s="139"/>
      <c r="VZD41" s="139"/>
      <c r="VZE41" s="139"/>
      <c r="VZF41" s="139"/>
      <c r="VZG41" s="139"/>
      <c r="VZH41" s="139"/>
      <c r="VZI41" s="139"/>
      <c r="VZJ41" s="139"/>
      <c r="VZK41" s="139"/>
      <c r="VZL41" s="139"/>
      <c r="VZM41" s="139"/>
      <c r="VZN41" s="139"/>
      <c r="VZO41" s="139"/>
      <c r="VZP41" s="139"/>
      <c r="VZQ41" s="139"/>
      <c r="VZR41" s="139"/>
      <c r="VZS41" s="139"/>
      <c r="VZT41" s="139"/>
      <c r="VZU41" s="139"/>
      <c r="VZV41" s="139"/>
      <c r="VZW41" s="139"/>
      <c r="VZX41" s="139"/>
      <c r="VZY41" s="139"/>
      <c r="VZZ41" s="139"/>
      <c r="WAA41" s="139"/>
      <c r="WAB41" s="139"/>
      <c r="WAC41" s="139"/>
      <c r="WAD41" s="139"/>
      <c r="WAE41" s="139"/>
      <c r="WAF41" s="139"/>
      <c r="WAG41" s="139"/>
      <c r="WAH41" s="139"/>
      <c r="WAI41" s="139"/>
      <c r="WAJ41" s="139"/>
      <c r="WAK41" s="139"/>
      <c r="WAL41" s="139"/>
      <c r="WAM41" s="139"/>
      <c r="WAN41" s="139"/>
      <c r="WAO41" s="139"/>
      <c r="WAP41" s="139"/>
      <c r="WAQ41" s="139"/>
      <c r="WAR41" s="139"/>
      <c r="WAS41" s="139"/>
      <c r="WAT41" s="139"/>
      <c r="WAU41" s="139"/>
      <c r="WAV41" s="139"/>
      <c r="WAW41" s="139"/>
      <c r="WAX41" s="139"/>
      <c r="WAY41" s="139"/>
      <c r="WAZ41" s="139"/>
      <c r="WBA41" s="139"/>
      <c r="WBB41" s="139"/>
      <c r="WBC41" s="139"/>
      <c r="WBD41" s="139"/>
      <c r="WBE41" s="139"/>
      <c r="WBF41" s="139"/>
      <c r="WBG41" s="139"/>
      <c r="WBH41" s="139"/>
      <c r="WBI41" s="139"/>
      <c r="WBJ41" s="139"/>
      <c r="WBK41" s="139"/>
      <c r="WBL41" s="139"/>
      <c r="WBM41" s="139"/>
      <c r="WBN41" s="139"/>
      <c r="WBO41" s="139"/>
      <c r="WBP41" s="139"/>
      <c r="WBQ41" s="139"/>
      <c r="WBR41" s="139"/>
      <c r="WBS41" s="139"/>
      <c r="WBT41" s="139"/>
      <c r="WBU41" s="139"/>
      <c r="WBV41" s="139"/>
      <c r="WBW41" s="139"/>
      <c r="WBX41" s="139"/>
      <c r="WBY41" s="139"/>
      <c r="WBZ41" s="139"/>
      <c r="WCA41" s="139"/>
      <c r="WCB41" s="139"/>
      <c r="WCC41" s="139"/>
      <c r="WCD41" s="139"/>
      <c r="WCE41" s="139"/>
      <c r="WCF41" s="139"/>
      <c r="WCG41" s="139"/>
      <c r="WCH41" s="139"/>
      <c r="WCI41" s="139"/>
      <c r="WCJ41" s="139"/>
      <c r="WCK41" s="139"/>
      <c r="WCL41" s="139"/>
      <c r="WCM41" s="139"/>
      <c r="WCN41" s="139"/>
      <c r="WCO41" s="139"/>
      <c r="WCP41" s="139"/>
      <c r="WCQ41" s="139"/>
      <c r="WCR41" s="139"/>
      <c r="WCS41" s="139"/>
      <c r="WCT41" s="139"/>
      <c r="WCU41" s="139"/>
      <c r="WCV41" s="139"/>
      <c r="WCW41" s="139"/>
      <c r="WCX41" s="139"/>
      <c r="WCY41" s="139"/>
      <c r="WCZ41" s="139"/>
      <c r="WDA41" s="139"/>
      <c r="WDB41" s="139"/>
      <c r="WDC41" s="139"/>
      <c r="WDD41" s="139"/>
      <c r="WDE41" s="139"/>
      <c r="WDF41" s="139"/>
      <c r="WDG41" s="139"/>
      <c r="WDH41" s="139"/>
      <c r="WDI41" s="139"/>
      <c r="WDJ41" s="139"/>
      <c r="WDK41" s="139"/>
      <c r="WDL41" s="139"/>
      <c r="WDM41" s="139"/>
      <c r="WDN41" s="139"/>
      <c r="WDO41" s="139"/>
      <c r="WDP41" s="139"/>
      <c r="WDQ41" s="139"/>
      <c r="WDR41" s="139"/>
      <c r="WDS41" s="139"/>
      <c r="WDT41" s="139"/>
      <c r="WDU41" s="139"/>
      <c r="WDV41" s="139"/>
      <c r="WDW41" s="139"/>
      <c r="WDX41" s="139"/>
      <c r="WDY41" s="139"/>
      <c r="WDZ41" s="139"/>
      <c r="WEA41" s="139"/>
      <c r="WEB41" s="139"/>
      <c r="WEC41" s="139"/>
      <c r="WED41" s="139"/>
      <c r="WEE41" s="139"/>
      <c r="WEF41" s="139"/>
      <c r="WEG41" s="139"/>
      <c r="WEH41" s="139"/>
      <c r="WEI41" s="139"/>
      <c r="WEJ41" s="139"/>
      <c r="WEK41" s="139"/>
      <c r="WEL41" s="139"/>
      <c r="WEM41" s="139"/>
      <c r="WEN41" s="139"/>
      <c r="WEO41" s="139"/>
      <c r="WEP41" s="139"/>
      <c r="WEQ41" s="139"/>
      <c r="WER41" s="139"/>
      <c r="WES41" s="139"/>
      <c r="WET41" s="139"/>
      <c r="WEU41" s="139"/>
      <c r="WEV41" s="139"/>
      <c r="WEW41" s="139"/>
      <c r="WEX41" s="139"/>
      <c r="WEY41" s="139"/>
      <c r="WEZ41" s="139"/>
      <c r="WFA41" s="139"/>
      <c r="WFB41" s="139"/>
      <c r="WFC41" s="139"/>
      <c r="WFD41" s="139"/>
      <c r="WFE41" s="139"/>
      <c r="WFF41" s="139"/>
      <c r="WFG41" s="139"/>
      <c r="WFH41" s="139"/>
      <c r="WFI41" s="139"/>
      <c r="WFJ41" s="139"/>
      <c r="WFK41" s="139"/>
      <c r="WFL41" s="139"/>
      <c r="WFM41" s="139"/>
      <c r="WFN41" s="139"/>
      <c r="WFO41" s="139"/>
      <c r="WFP41" s="139"/>
      <c r="WFQ41" s="139"/>
      <c r="WFR41" s="139"/>
      <c r="WFS41" s="139"/>
      <c r="WFT41" s="139"/>
      <c r="WFU41" s="139"/>
      <c r="WFV41" s="139"/>
      <c r="WFW41" s="139"/>
      <c r="WFX41" s="139"/>
      <c r="WFY41" s="139"/>
      <c r="WFZ41" s="139"/>
      <c r="WGA41" s="139"/>
      <c r="WGB41" s="139"/>
      <c r="WGC41" s="139"/>
      <c r="WGD41" s="139"/>
      <c r="WGE41" s="139"/>
      <c r="WGF41" s="139"/>
      <c r="WGG41" s="139"/>
      <c r="WGH41" s="139"/>
      <c r="WGI41" s="139"/>
      <c r="WGJ41" s="139"/>
      <c r="WGK41" s="139"/>
      <c r="WGL41" s="139"/>
      <c r="WGM41" s="139"/>
      <c r="WGN41" s="139"/>
      <c r="WGO41" s="139"/>
      <c r="WGP41" s="139"/>
      <c r="WGQ41" s="139"/>
      <c r="WGR41" s="139"/>
      <c r="WGS41" s="139"/>
      <c r="WGT41" s="139"/>
      <c r="WGU41" s="139"/>
      <c r="WGV41" s="139"/>
      <c r="WGW41" s="139"/>
      <c r="WGX41" s="139"/>
      <c r="WGY41" s="139"/>
      <c r="WGZ41" s="139"/>
      <c r="WHA41" s="139"/>
      <c r="WHB41" s="139"/>
      <c r="WHC41" s="139"/>
      <c r="WHD41" s="139"/>
      <c r="WHE41" s="139"/>
      <c r="WHF41" s="139"/>
      <c r="WHG41" s="139"/>
      <c r="WHH41" s="139"/>
      <c r="WHI41" s="139"/>
      <c r="WHJ41" s="139"/>
      <c r="WHK41" s="139"/>
      <c r="WHL41" s="139"/>
      <c r="WHM41" s="139"/>
      <c r="WHN41" s="139"/>
      <c r="WHO41" s="139"/>
      <c r="WHP41" s="139"/>
      <c r="WHQ41" s="139"/>
      <c r="WHR41" s="139"/>
      <c r="WHS41" s="139"/>
      <c r="WHT41" s="139"/>
      <c r="WHU41" s="139"/>
      <c r="WHV41" s="139"/>
      <c r="WHW41" s="139"/>
      <c r="WHX41" s="139"/>
      <c r="WHY41" s="139"/>
      <c r="WHZ41" s="139"/>
      <c r="WIA41" s="139"/>
      <c r="WIB41" s="139"/>
      <c r="WIC41" s="139"/>
      <c r="WID41" s="139"/>
      <c r="WIE41" s="139"/>
      <c r="WIF41" s="139"/>
      <c r="WIG41" s="139"/>
      <c r="WIH41" s="139"/>
      <c r="WII41" s="139"/>
      <c r="WIJ41" s="139"/>
      <c r="WIK41" s="139"/>
      <c r="WIL41" s="139"/>
      <c r="WIM41" s="139"/>
      <c r="WIN41" s="139"/>
      <c r="WIO41" s="139"/>
      <c r="WIP41" s="139"/>
      <c r="WIQ41" s="139"/>
      <c r="WIR41" s="139"/>
      <c r="WIS41" s="139"/>
      <c r="WIT41" s="139"/>
      <c r="WIU41" s="139"/>
      <c r="WIV41" s="139"/>
      <c r="WIW41" s="139"/>
      <c r="WIX41" s="139"/>
      <c r="WIY41" s="139"/>
      <c r="WIZ41" s="139"/>
      <c r="WJA41" s="139"/>
      <c r="WJB41" s="139"/>
      <c r="WJC41" s="139"/>
      <c r="WJD41" s="139"/>
      <c r="WJE41" s="139"/>
      <c r="WJF41" s="139"/>
      <c r="WJG41" s="139"/>
      <c r="WJH41" s="139"/>
      <c r="WJI41" s="139"/>
      <c r="WJJ41" s="139"/>
      <c r="WJK41" s="139"/>
      <c r="WJL41" s="139"/>
      <c r="WJM41" s="139"/>
      <c r="WJN41" s="139"/>
      <c r="WJO41" s="139"/>
      <c r="WJP41" s="139"/>
      <c r="WJQ41" s="139"/>
      <c r="WJR41" s="139"/>
      <c r="WJS41" s="139"/>
      <c r="WJT41" s="139"/>
      <c r="WJU41" s="139"/>
      <c r="WJV41" s="139"/>
      <c r="WJW41" s="139"/>
      <c r="WJX41" s="139"/>
      <c r="WJY41" s="139"/>
      <c r="WJZ41" s="139"/>
      <c r="WKA41" s="139"/>
      <c r="WKB41" s="139"/>
      <c r="WKC41" s="139"/>
      <c r="WKD41" s="139"/>
      <c r="WKE41" s="139"/>
      <c r="WKF41" s="139"/>
      <c r="WKG41" s="139"/>
      <c r="WKH41" s="139"/>
      <c r="WKI41" s="139"/>
      <c r="WKJ41" s="139"/>
      <c r="WKK41" s="139"/>
      <c r="WKL41" s="139"/>
      <c r="WKM41" s="139"/>
      <c r="WKN41" s="139"/>
      <c r="WKO41" s="139"/>
      <c r="WKP41" s="139"/>
      <c r="WKQ41" s="139"/>
      <c r="WKR41" s="139"/>
      <c r="WKS41" s="139"/>
      <c r="WKT41" s="139"/>
      <c r="WKU41" s="139"/>
      <c r="WKV41" s="139"/>
      <c r="WKW41" s="139"/>
      <c r="WKX41" s="139"/>
      <c r="WKY41" s="139"/>
      <c r="WKZ41" s="139"/>
      <c r="WLA41" s="139"/>
      <c r="WLB41" s="139"/>
      <c r="WLC41" s="139"/>
      <c r="WLD41" s="139"/>
      <c r="WLE41" s="139"/>
      <c r="WLF41" s="139"/>
      <c r="WLG41" s="139"/>
      <c r="WLH41" s="139"/>
      <c r="WLI41" s="139"/>
      <c r="WLJ41" s="139"/>
      <c r="WLK41" s="139"/>
      <c r="WLL41" s="139"/>
      <c r="WLM41" s="139"/>
      <c r="WLN41" s="139"/>
      <c r="WLO41" s="139"/>
      <c r="WLP41" s="139"/>
      <c r="WLQ41" s="139"/>
      <c r="WLR41" s="139"/>
      <c r="WLS41" s="139"/>
      <c r="WLT41" s="139"/>
      <c r="WLU41" s="139"/>
      <c r="WLV41" s="139"/>
      <c r="WLW41" s="139"/>
      <c r="WLX41" s="139"/>
      <c r="WLY41" s="139"/>
      <c r="WLZ41" s="139"/>
      <c r="WMA41" s="139"/>
      <c r="WMB41" s="139"/>
      <c r="WMC41" s="139"/>
      <c r="WMD41" s="139"/>
      <c r="WME41" s="139"/>
      <c r="WMF41" s="139"/>
      <c r="WMG41" s="139"/>
      <c r="WMH41" s="139"/>
      <c r="WMI41" s="139"/>
      <c r="WMJ41" s="139"/>
      <c r="WMK41" s="139"/>
      <c r="WML41" s="139"/>
      <c r="WMM41" s="139"/>
      <c r="WMN41" s="139"/>
      <c r="WMO41" s="139"/>
      <c r="WMP41" s="139"/>
      <c r="WMQ41" s="139"/>
      <c r="WMR41" s="139"/>
      <c r="WMS41" s="139"/>
      <c r="WMT41" s="139"/>
      <c r="WMU41" s="139"/>
      <c r="WMV41" s="139"/>
      <c r="WMW41" s="139"/>
      <c r="WMX41" s="139"/>
      <c r="WMY41" s="139"/>
      <c r="WMZ41" s="139"/>
      <c r="WNA41" s="139"/>
      <c r="WNB41" s="139"/>
      <c r="WNC41" s="139"/>
      <c r="WND41" s="139"/>
      <c r="WNE41" s="139"/>
      <c r="WNF41" s="139"/>
      <c r="WNG41" s="139"/>
      <c r="WNH41" s="139"/>
      <c r="WNI41" s="139"/>
      <c r="WNJ41" s="139"/>
      <c r="WNK41" s="139"/>
      <c r="WNL41" s="139"/>
      <c r="WNM41" s="139"/>
      <c r="WNN41" s="139"/>
      <c r="WNO41" s="139"/>
      <c r="WNP41" s="139"/>
      <c r="WNQ41" s="139"/>
      <c r="WNR41" s="139"/>
      <c r="WNS41" s="139"/>
      <c r="WNT41" s="139"/>
      <c r="WNU41" s="139"/>
      <c r="WNV41" s="139"/>
      <c r="WNW41" s="139"/>
      <c r="WNX41" s="139"/>
      <c r="WNY41" s="139"/>
      <c r="WNZ41" s="139"/>
      <c r="WOA41" s="139"/>
      <c r="WOB41" s="139"/>
      <c r="WOC41" s="139"/>
      <c r="WOD41" s="139"/>
      <c r="WOE41" s="139"/>
      <c r="WOF41" s="139"/>
      <c r="WOG41" s="139"/>
      <c r="WOH41" s="139"/>
      <c r="WOI41" s="139"/>
      <c r="WOJ41" s="139"/>
      <c r="WOK41" s="139"/>
      <c r="WOL41" s="139"/>
      <c r="WOM41" s="139"/>
      <c r="WON41" s="139"/>
      <c r="WOO41" s="139"/>
      <c r="WOP41" s="139"/>
      <c r="WOQ41" s="139"/>
      <c r="WOR41" s="139"/>
      <c r="WOS41" s="139"/>
      <c r="WOT41" s="139"/>
      <c r="WOU41" s="139"/>
      <c r="WOV41" s="139"/>
      <c r="WOW41" s="139"/>
      <c r="WOX41" s="139"/>
      <c r="WOY41" s="139"/>
      <c r="WOZ41" s="139"/>
      <c r="WPA41" s="139"/>
      <c r="WPB41" s="139"/>
      <c r="WPC41" s="139"/>
      <c r="WPD41" s="139"/>
      <c r="WPE41" s="139"/>
      <c r="WPF41" s="139"/>
      <c r="WPG41" s="139"/>
      <c r="WPH41" s="139"/>
      <c r="WPI41" s="139"/>
      <c r="WPJ41" s="139"/>
      <c r="WPK41" s="139"/>
      <c r="WPL41" s="139"/>
      <c r="WPM41" s="139"/>
      <c r="WPN41" s="139"/>
      <c r="WPO41" s="139"/>
      <c r="WPP41" s="139"/>
      <c r="WPQ41" s="139"/>
      <c r="WPR41" s="139"/>
      <c r="WPS41" s="139"/>
      <c r="WPT41" s="139"/>
      <c r="WPU41" s="139"/>
      <c r="WPV41" s="139"/>
      <c r="WPW41" s="139"/>
      <c r="WPX41" s="139"/>
      <c r="WPY41" s="139"/>
      <c r="WPZ41" s="139"/>
      <c r="WQA41" s="139"/>
      <c r="WQB41" s="139"/>
      <c r="WQC41" s="139"/>
      <c r="WQD41" s="139"/>
      <c r="WQE41" s="139"/>
      <c r="WQF41" s="139"/>
      <c r="WQG41" s="139"/>
      <c r="WQH41" s="139"/>
      <c r="WQI41" s="139"/>
      <c r="WQJ41" s="139"/>
      <c r="WQK41" s="139"/>
      <c r="WQL41" s="139"/>
      <c r="WQM41" s="139"/>
      <c r="WQN41" s="139"/>
      <c r="WQO41" s="139"/>
      <c r="WQP41" s="139"/>
      <c r="WQQ41" s="139"/>
      <c r="WQR41" s="139"/>
      <c r="WQS41" s="139"/>
      <c r="WQT41" s="139"/>
      <c r="WQU41" s="139"/>
      <c r="WQV41" s="139"/>
      <c r="WQW41" s="139"/>
      <c r="WQX41" s="139"/>
      <c r="WQY41" s="139"/>
      <c r="WQZ41" s="139"/>
      <c r="WRA41" s="139"/>
      <c r="WRB41" s="139"/>
      <c r="WRC41" s="139"/>
      <c r="WRD41" s="139"/>
      <c r="WRE41" s="139"/>
      <c r="WRF41" s="139"/>
      <c r="WRG41" s="139"/>
      <c r="WRH41" s="139"/>
      <c r="WRI41" s="139"/>
      <c r="WRJ41" s="139"/>
      <c r="WRK41" s="139"/>
      <c r="WRL41" s="139"/>
      <c r="WRM41" s="139"/>
      <c r="WRN41" s="139"/>
      <c r="WRO41" s="139"/>
      <c r="WRP41" s="139"/>
      <c r="WRQ41" s="139"/>
      <c r="WRR41" s="139"/>
      <c r="WRS41" s="139"/>
      <c r="WRT41" s="139"/>
      <c r="WRU41" s="139"/>
      <c r="WRV41" s="139"/>
      <c r="WRW41" s="139"/>
      <c r="WRX41" s="139"/>
      <c r="WRY41" s="139"/>
      <c r="WRZ41" s="139"/>
      <c r="WSA41" s="139"/>
      <c r="WSB41" s="139"/>
      <c r="WSC41" s="139"/>
      <c r="WSD41" s="139"/>
      <c r="WSE41" s="139"/>
      <c r="WSF41" s="139"/>
      <c r="WSG41" s="139"/>
      <c r="WSH41" s="139"/>
      <c r="WSI41" s="139"/>
      <c r="WSJ41" s="139"/>
      <c r="WSK41" s="139"/>
      <c r="WSL41" s="139"/>
      <c r="WSM41" s="139"/>
      <c r="WSN41" s="139"/>
      <c r="WSO41" s="139"/>
      <c r="WSP41" s="139"/>
      <c r="WSQ41" s="139"/>
      <c r="WSR41" s="139"/>
      <c r="WSS41" s="139"/>
      <c r="WST41" s="139"/>
      <c r="WSU41" s="139"/>
      <c r="WSV41" s="139"/>
      <c r="WSW41" s="139"/>
      <c r="WSX41" s="139"/>
      <c r="WSY41" s="139"/>
      <c r="WSZ41" s="139"/>
      <c r="WTA41" s="139"/>
      <c r="WTB41" s="139"/>
      <c r="WTC41" s="139"/>
      <c r="WTD41" s="139"/>
      <c r="WTE41" s="139"/>
      <c r="WTF41" s="139"/>
      <c r="WTG41" s="139"/>
      <c r="WTH41" s="139"/>
      <c r="WTI41" s="139"/>
      <c r="WTJ41" s="139"/>
      <c r="WTK41" s="139"/>
      <c r="WTL41" s="139"/>
      <c r="WTM41" s="139"/>
      <c r="WTN41" s="139"/>
      <c r="WTO41" s="139"/>
      <c r="WTP41" s="139"/>
      <c r="WTQ41" s="139"/>
      <c r="WTR41" s="139"/>
      <c r="WTS41" s="139"/>
      <c r="WTT41" s="139"/>
      <c r="WTU41" s="139"/>
      <c r="WTV41" s="139"/>
      <c r="WTW41" s="139"/>
      <c r="WTX41" s="139"/>
      <c r="WTY41" s="139"/>
      <c r="WTZ41" s="139"/>
      <c r="WUA41" s="139"/>
      <c r="WUB41" s="139"/>
      <c r="WUC41" s="139"/>
      <c r="WUD41" s="139"/>
      <c r="WUE41" s="139"/>
      <c r="WUF41" s="139"/>
      <c r="WUG41" s="139"/>
      <c r="WUH41" s="139"/>
      <c r="WUI41" s="139"/>
      <c r="WUJ41" s="139"/>
      <c r="WUK41" s="139"/>
      <c r="WUL41" s="139"/>
      <c r="WUM41" s="139"/>
      <c r="WUN41" s="139"/>
      <c r="WUO41" s="139"/>
      <c r="WUP41" s="139"/>
      <c r="WUQ41" s="139"/>
      <c r="WUR41" s="139"/>
      <c r="WUS41" s="139"/>
      <c r="WUT41" s="139"/>
      <c r="WUU41" s="139"/>
      <c r="WUV41" s="139"/>
      <c r="WUW41" s="139"/>
      <c r="WUX41" s="139"/>
      <c r="WUY41" s="139"/>
      <c r="WUZ41" s="139"/>
      <c r="WVA41" s="139"/>
      <c r="WVB41" s="139"/>
      <c r="WVC41" s="139"/>
      <c r="WVD41" s="139"/>
      <c r="WVE41" s="139"/>
      <c r="WVF41" s="139"/>
      <c r="WVG41" s="139"/>
      <c r="WVH41" s="139"/>
      <c r="WVI41" s="139"/>
      <c r="WVJ41" s="139"/>
      <c r="WVK41" s="139"/>
      <c r="WVL41" s="139"/>
      <c r="WVM41" s="139"/>
      <c r="WVN41" s="139"/>
      <c r="WVO41" s="139"/>
      <c r="WVP41" s="139"/>
      <c r="WVQ41" s="139"/>
      <c r="WVR41" s="139"/>
      <c r="WVS41" s="139"/>
      <c r="WVT41" s="139"/>
      <c r="WVU41" s="139"/>
      <c r="WVV41" s="139"/>
      <c r="WVW41" s="139"/>
      <c r="WVX41" s="139"/>
      <c r="WVY41" s="139"/>
      <c r="WVZ41" s="139"/>
      <c r="WWA41" s="139"/>
      <c r="WWB41" s="139"/>
      <c r="WWC41" s="139"/>
      <c r="WWD41" s="139"/>
      <c r="WWE41" s="139"/>
      <c r="WWF41" s="139"/>
      <c r="WWG41" s="139"/>
      <c r="WWH41" s="139"/>
      <c r="WWI41" s="139"/>
      <c r="WWJ41" s="139"/>
      <c r="WWK41" s="139"/>
      <c r="WWL41" s="139"/>
      <c r="WWM41" s="139"/>
      <c r="WWN41" s="139"/>
      <c r="WWO41" s="139"/>
      <c r="WWP41" s="139"/>
      <c r="WWQ41" s="139"/>
      <c r="WWR41" s="139"/>
      <c r="WWS41" s="139"/>
      <c r="WWT41" s="139"/>
      <c r="WWU41" s="139"/>
      <c r="WWV41" s="139"/>
      <c r="WWW41" s="139"/>
      <c r="WWX41" s="139"/>
      <c r="WWY41" s="139"/>
      <c r="WWZ41" s="139"/>
      <c r="WXA41" s="139"/>
      <c r="WXB41" s="139"/>
      <c r="WXC41" s="139"/>
      <c r="WXD41" s="139"/>
      <c r="WXE41" s="139"/>
      <c r="WXF41" s="139"/>
      <c r="WXG41" s="139"/>
      <c r="WXH41" s="139"/>
      <c r="WXI41" s="139"/>
      <c r="WXJ41" s="139"/>
      <c r="WXK41" s="139"/>
      <c r="WXL41" s="139"/>
      <c r="WXM41" s="139"/>
      <c r="WXN41" s="139"/>
      <c r="WXO41" s="139"/>
      <c r="WXP41" s="139"/>
      <c r="WXQ41" s="139"/>
      <c r="WXR41" s="139"/>
      <c r="WXS41" s="139"/>
      <c r="WXT41" s="139"/>
      <c r="WXU41" s="139"/>
      <c r="WXV41" s="139"/>
      <c r="WXW41" s="139"/>
      <c r="WXX41" s="139"/>
      <c r="WXY41" s="139"/>
      <c r="WXZ41" s="139"/>
      <c r="WYA41" s="139"/>
      <c r="WYB41" s="139"/>
      <c r="WYC41" s="139"/>
      <c r="WYD41" s="139"/>
      <c r="WYE41" s="139"/>
      <c r="WYF41" s="139"/>
      <c r="WYG41" s="139"/>
      <c r="WYH41" s="139"/>
      <c r="WYI41" s="139"/>
      <c r="WYJ41" s="139"/>
      <c r="WYK41" s="139"/>
      <c r="WYL41" s="139"/>
      <c r="WYM41" s="139"/>
      <c r="WYN41" s="139"/>
      <c r="WYO41" s="139"/>
      <c r="WYP41" s="139"/>
      <c r="WYQ41" s="139"/>
      <c r="WYR41" s="139"/>
      <c r="WYS41" s="139"/>
      <c r="WYT41" s="139"/>
      <c r="WYU41" s="139"/>
      <c r="WYV41" s="139"/>
      <c r="WYW41" s="139"/>
      <c r="WYX41" s="139"/>
      <c r="WYY41" s="139"/>
      <c r="WYZ41" s="139"/>
      <c r="WZA41" s="139"/>
      <c r="WZB41" s="139"/>
      <c r="WZC41" s="139"/>
      <c r="WZD41" s="139"/>
      <c r="WZE41" s="139"/>
      <c r="WZF41" s="139"/>
      <c r="WZG41" s="139"/>
      <c r="WZH41" s="139"/>
      <c r="WZI41" s="139"/>
      <c r="WZJ41" s="139"/>
      <c r="WZK41" s="139"/>
      <c r="WZL41" s="139"/>
      <c r="WZM41" s="139"/>
      <c r="WZN41" s="139"/>
      <c r="WZO41" s="139"/>
      <c r="WZP41" s="139"/>
      <c r="WZQ41" s="139"/>
      <c r="WZR41" s="139"/>
      <c r="WZS41" s="139"/>
      <c r="WZT41" s="139"/>
      <c r="WZU41" s="139"/>
      <c r="WZV41" s="139"/>
      <c r="WZW41" s="139"/>
      <c r="WZX41" s="139"/>
      <c r="WZY41" s="139"/>
      <c r="WZZ41" s="139"/>
      <c r="XAA41" s="139"/>
      <c r="XAB41" s="139"/>
      <c r="XAC41" s="139"/>
      <c r="XAD41" s="139"/>
      <c r="XAE41" s="139"/>
      <c r="XAF41" s="139"/>
      <c r="XAG41" s="139"/>
      <c r="XAH41" s="139"/>
      <c r="XAI41" s="139"/>
      <c r="XAJ41" s="139"/>
      <c r="XAK41" s="139"/>
      <c r="XAL41" s="139"/>
      <c r="XAM41" s="139"/>
      <c r="XAN41" s="139"/>
      <c r="XAO41" s="139"/>
      <c r="XAP41" s="139"/>
      <c r="XAQ41" s="139"/>
      <c r="XAR41" s="139"/>
      <c r="XAS41" s="139"/>
      <c r="XAT41" s="139"/>
      <c r="XAU41" s="139"/>
      <c r="XAV41" s="139"/>
      <c r="XAW41" s="139"/>
      <c r="XAX41" s="139"/>
      <c r="XAY41" s="139"/>
      <c r="XAZ41" s="139"/>
      <c r="XBA41" s="139"/>
      <c r="XBB41" s="139"/>
      <c r="XBC41" s="139"/>
      <c r="XBD41" s="139"/>
      <c r="XBE41" s="139"/>
      <c r="XBF41" s="139"/>
      <c r="XBG41" s="139"/>
      <c r="XBH41" s="139"/>
      <c r="XBI41" s="139"/>
      <c r="XBJ41" s="139"/>
      <c r="XBK41" s="139"/>
      <c r="XBL41" s="139"/>
      <c r="XBM41" s="139"/>
      <c r="XBN41" s="139"/>
      <c r="XBO41" s="139"/>
      <c r="XBP41" s="139"/>
      <c r="XBQ41" s="139"/>
      <c r="XBR41" s="139"/>
      <c r="XBS41" s="139"/>
      <c r="XBT41" s="139"/>
      <c r="XBU41" s="139"/>
      <c r="XBV41" s="139"/>
      <c r="XBW41" s="139"/>
      <c r="XBX41" s="139"/>
      <c r="XBY41" s="139"/>
      <c r="XBZ41" s="139"/>
      <c r="XCA41" s="139"/>
      <c r="XCB41" s="139"/>
      <c r="XCC41" s="139"/>
      <c r="XCD41" s="139"/>
      <c r="XCE41" s="139"/>
      <c r="XCF41" s="139"/>
      <c r="XCG41" s="139"/>
      <c r="XCH41" s="139"/>
      <c r="XCI41" s="139"/>
      <c r="XCJ41" s="139"/>
      <c r="XCK41" s="139"/>
      <c r="XCL41" s="139"/>
      <c r="XCM41" s="139"/>
      <c r="XCN41" s="139"/>
      <c r="XCO41" s="139"/>
      <c r="XCP41" s="139"/>
      <c r="XCQ41" s="139"/>
      <c r="XCR41" s="139"/>
      <c r="XCS41" s="139"/>
      <c r="XCT41" s="139"/>
      <c r="XCU41" s="139"/>
      <c r="XCV41" s="139"/>
      <c r="XCW41" s="139"/>
      <c r="XCX41" s="139"/>
      <c r="XCY41" s="139"/>
      <c r="XCZ41" s="139"/>
      <c r="XDA41" s="139"/>
      <c r="XDB41" s="139"/>
      <c r="XDC41" s="139"/>
      <c r="XDD41" s="139"/>
      <c r="XDE41" s="139"/>
      <c r="XDF41" s="139"/>
      <c r="XDG41" s="139"/>
      <c r="XDH41" s="139"/>
      <c r="XDI41" s="139"/>
      <c r="XDJ41" s="139"/>
      <c r="XDK41" s="139"/>
      <c r="XDL41" s="139"/>
      <c r="XDM41" s="139"/>
      <c r="XDN41" s="139"/>
      <c r="XDO41" s="139"/>
      <c r="XDP41" s="139"/>
      <c r="XDQ41" s="139"/>
      <c r="XDR41" s="139"/>
      <c r="XDS41" s="139"/>
      <c r="XDT41" s="139"/>
      <c r="XDU41" s="139"/>
      <c r="XDV41" s="139"/>
      <c r="XDW41" s="139"/>
      <c r="XDX41" s="139"/>
      <c r="XDY41" s="139"/>
      <c r="XDZ41" s="139"/>
      <c r="XEA41" s="139"/>
      <c r="XEB41" s="139"/>
      <c r="XEC41" s="139"/>
      <c r="XED41" s="139"/>
      <c r="XEE41" s="139"/>
      <c r="XEF41" s="139"/>
      <c r="XEG41" s="139"/>
      <c r="XEH41" s="139"/>
      <c r="XEI41" s="139"/>
      <c r="XEJ41" s="139"/>
      <c r="XEK41" s="139"/>
      <c r="XEL41" s="139"/>
      <c r="XEM41" s="139"/>
      <c r="XEN41" s="139"/>
      <c r="XEO41" s="139"/>
      <c r="XEP41" s="139"/>
    </row>
    <row r="42" spans="1:16370" s="72" customFormat="1" ht="13.25" customHeight="1" x14ac:dyDescent="0.3">
      <c r="B42" s="100" t="s">
        <v>92</v>
      </c>
      <c r="C42" s="101">
        <v>10880037782</v>
      </c>
      <c r="D42" s="105">
        <v>880000120390</v>
      </c>
      <c r="E42" s="145">
        <v>880000120390</v>
      </c>
      <c r="F42" s="100" t="s">
        <v>1838</v>
      </c>
      <c r="G42" s="101">
        <v>200</v>
      </c>
      <c r="H42" s="103">
        <v>200</v>
      </c>
      <c r="I42" s="104" t="e">
        <f>VLOOKUP(C42,'[2]IE model  海尔产品'!$A$1:$D$65536,4,0)</f>
        <v>#N/A</v>
      </c>
      <c r="J42" s="104" cm="1">
        <f t="array" ref="J42">INDEX($A$2:$AF$2,MIN(IF(M42:AF42&lt;&gt;0,COLUMN(M42:AF42))))</f>
        <v>46147</v>
      </c>
      <c r="K42" s="100" t="e">
        <f>VLOOKUP(C42,'[2]IE model  海尔产品'!$A$1:$H$65536,8,0)</f>
        <v>#N/A</v>
      </c>
      <c r="L42" s="100" t="e">
        <f>VLOOKUP(C42,'[2]IE model  海尔产品'!$A$1:$I$65536,9,0)</f>
        <v>#N/A</v>
      </c>
      <c r="M42" s="115"/>
      <c r="N42" s="115"/>
      <c r="O42" s="115"/>
      <c r="P42" s="124"/>
      <c r="Q42" s="115">
        <v>200</v>
      </c>
      <c r="R42" s="124"/>
      <c r="S42" s="115"/>
      <c r="T42" s="124"/>
      <c r="U42" s="115"/>
      <c r="V42" s="124"/>
      <c r="W42" s="115"/>
      <c r="X42" s="124"/>
      <c r="Y42" s="115"/>
      <c r="Z42" s="124"/>
      <c r="AA42" s="115"/>
      <c r="AB42" s="124"/>
      <c r="AC42" s="127"/>
      <c r="AD42" s="124"/>
      <c r="AE42" s="127"/>
      <c r="AF42" s="127"/>
      <c r="AG42" s="115">
        <f t="shared" ref="AG42" si="14">SUM(M42:AF42)</f>
        <v>200</v>
      </c>
      <c r="AH42" s="124">
        <f t="shared" ref="AH42" si="15">+H42-AG42</f>
        <v>0</v>
      </c>
      <c r="AI42" s="130" t="s">
        <v>1841</v>
      </c>
      <c r="AJ42" s="139"/>
      <c r="AK42" s="139"/>
      <c r="AL42" s="139"/>
      <c r="AM42" s="72" t="e">
        <f>_xlfn.XLOOKUP(C42,'[4]4-30'!$F:$F,'[4]4-30'!$S:$S)</f>
        <v>#N/A</v>
      </c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39"/>
      <c r="EL42" s="139"/>
      <c r="EM42" s="139"/>
      <c r="EN42" s="139"/>
      <c r="EO42" s="139"/>
      <c r="EP42" s="139"/>
      <c r="EQ42" s="139"/>
      <c r="ER42" s="139"/>
      <c r="ES42" s="139"/>
      <c r="ET42" s="139"/>
      <c r="EU42" s="139"/>
      <c r="EV42" s="139"/>
      <c r="EW42" s="139"/>
      <c r="EX42" s="139"/>
      <c r="EY42" s="139"/>
      <c r="EZ42" s="139"/>
      <c r="FA42" s="139"/>
      <c r="FB42" s="139"/>
      <c r="FC42" s="139"/>
      <c r="FD42" s="139"/>
      <c r="FE42" s="139"/>
      <c r="FF42" s="139"/>
      <c r="FG42" s="139"/>
      <c r="FH42" s="139"/>
      <c r="FI42" s="139"/>
      <c r="FJ42" s="139"/>
      <c r="FK42" s="139"/>
      <c r="FL42" s="139"/>
      <c r="FM42" s="139"/>
      <c r="FN42" s="139"/>
      <c r="FO42" s="139"/>
      <c r="FP42" s="139"/>
      <c r="FQ42" s="139"/>
      <c r="FR42" s="139"/>
      <c r="FS42" s="139"/>
      <c r="FT42" s="139"/>
      <c r="FU42" s="139"/>
      <c r="FV42" s="139"/>
      <c r="FW42" s="139"/>
      <c r="FX42" s="139"/>
      <c r="FY42" s="139"/>
      <c r="FZ42" s="139"/>
      <c r="GA42" s="139"/>
      <c r="GB42" s="139"/>
      <c r="GC42" s="139"/>
      <c r="GD42" s="139"/>
      <c r="GE42" s="139"/>
      <c r="GF42" s="139"/>
      <c r="GG42" s="139"/>
      <c r="GH42" s="139"/>
      <c r="GI42" s="139"/>
      <c r="GJ42" s="139"/>
      <c r="GK42" s="139"/>
      <c r="GL42" s="139"/>
      <c r="GM42" s="139"/>
      <c r="GN42" s="139"/>
      <c r="GO42" s="139"/>
      <c r="GP42" s="139"/>
      <c r="GQ42" s="139"/>
      <c r="GR42" s="139"/>
      <c r="GS42" s="139"/>
      <c r="GT42" s="139"/>
      <c r="GU42" s="139"/>
      <c r="GV42" s="139"/>
      <c r="GW42" s="139"/>
      <c r="GX42" s="139"/>
      <c r="GY42" s="139"/>
      <c r="GZ42" s="139"/>
      <c r="HA42" s="139"/>
      <c r="HB42" s="139"/>
      <c r="HC42" s="139"/>
      <c r="HD42" s="139"/>
      <c r="HE42" s="139"/>
      <c r="HF42" s="139"/>
      <c r="HG42" s="139"/>
      <c r="HH42" s="139"/>
      <c r="HI42" s="139"/>
      <c r="HJ42" s="139"/>
      <c r="HK42" s="139"/>
      <c r="HL42" s="139"/>
      <c r="HM42" s="139"/>
      <c r="HN42" s="139"/>
      <c r="HO42" s="139"/>
      <c r="HP42" s="139"/>
      <c r="HQ42" s="139"/>
      <c r="HR42" s="139"/>
      <c r="HS42" s="139"/>
      <c r="HT42" s="139"/>
      <c r="HU42" s="139"/>
      <c r="HV42" s="139"/>
      <c r="HW42" s="139"/>
      <c r="HX42" s="139"/>
      <c r="HY42" s="139"/>
      <c r="HZ42" s="139"/>
      <c r="IA42" s="139"/>
      <c r="IB42" s="139"/>
      <c r="IC42" s="139"/>
      <c r="ID42" s="139"/>
      <c r="IE42" s="139"/>
      <c r="IF42" s="139"/>
      <c r="IG42" s="139"/>
      <c r="IH42" s="139"/>
      <c r="II42" s="139"/>
      <c r="IJ42" s="139"/>
      <c r="IK42" s="139"/>
      <c r="IL42" s="139"/>
      <c r="IM42" s="139"/>
      <c r="IN42" s="139"/>
      <c r="IO42" s="139"/>
      <c r="IP42" s="139"/>
      <c r="IQ42" s="139"/>
      <c r="IR42" s="139"/>
      <c r="IS42" s="139"/>
      <c r="IT42" s="139"/>
      <c r="IU42" s="139"/>
      <c r="IV42" s="139"/>
      <c r="IW42" s="139"/>
      <c r="IX42" s="139"/>
      <c r="IY42" s="139"/>
      <c r="IZ42" s="139"/>
      <c r="JA42" s="139"/>
      <c r="JB42" s="139"/>
      <c r="JC42" s="139"/>
      <c r="JD42" s="139"/>
      <c r="JE42" s="139"/>
      <c r="JF42" s="139"/>
      <c r="JG42" s="139"/>
      <c r="JH42" s="139"/>
      <c r="JI42" s="139"/>
      <c r="JJ42" s="139"/>
      <c r="JK42" s="139"/>
      <c r="JL42" s="139"/>
      <c r="JM42" s="139"/>
      <c r="JN42" s="139"/>
      <c r="JO42" s="139"/>
      <c r="JP42" s="139"/>
      <c r="JQ42" s="139"/>
      <c r="JR42" s="139"/>
      <c r="JS42" s="139"/>
      <c r="JT42" s="139"/>
      <c r="JU42" s="139"/>
      <c r="JV42" s="139"/>
      <c r="JW42" s="139"/>
      <c r="JX42" s="139"/>
      <c r="JY42" s="139"/>
      <c r="JZ42" s="139"/>
      <c r="KA42" s="139"/>
      <c r="KB42" s="139"/>
      <c r="KC42" s="139"/>
      <c r="KD42" s="139"/>
      <c r="KE42" s="139"/>
      <c r="KF42" s="139"/>
      <c r="KG42" s="139"/>
      <c r="KH42" s="139"/>
      <c r="KI42" s="139"/>
      <c r="KJ42" s="139"/>
      <c r="KK42" s="139"/>
      <c r="KL42" s="139"/>
      <c r="KM42" s="139"/>
      <c r="KN42" s="139"/>
      <c r="KO42" s="139"/>
      <c r="KP42" s="139"/>
      <c r="KQ42" s="139"/>
      <c r="KR42" s="139"/>
      <c r="KS42" s="139"/>
      <c r="KT42" s="139"/>
      <c r="KU42" s="139"/>
      <c r="KV42" s="139"/>
      <c r="KW42" s="139"/>
      <c r="KX42" s="139"/>
      <c r="KY42" s="139"/>
      <c r="KZ42" s="139"/>
      <c r="LA42" s="139"/>
      <c r="LB42" s="139"/>
      <c r="LC42" s="139"/>
      <c r="LD42" s="139"/>
      <c r="LE42" s="139"/>
      <c r="LF42" s="139"/>
      <c r="LG42" s="139"/>
      <c r="LH42" s="139"/>
      <c r="LI42" s="139"/>
      <c r="LJ42" s="139"/>
      <c r="LK42" s="139"/>
      <c r="LL42" s="139"/>
      <c r="LM42" s="139"/>
      <c r="LN42" s="139"/>
      <c r="LO42" s="139"/>
      <c r="LP42" s="139"/>
      <c r="LQ42" s="139"/>
      <c r="LR42" s="139"/>
      <c r="LS42" s="139"/>
      <c r="LT42" s="139"/>
      <c r="LU42" s="139"/>
      <c r="LV42" s="139"/>
      <c r="LW42" s="139"/>
      <c r="LX42" s="139"/>
      <c r="LY42" s="139"/>
      <c r="LZ42" s="139"/>
      <c r="MA42" s="139"/>
      <c r="MB42" s="139"/>
      <c r="MC42" s="139"/>
      <c r="MD42" s="139"/>
      <c r="ME42" s="139"/>
      <c r="MF42" s="139"/>
      <c r="MG42" s="139"/>
      <c r="MH42" s="139"/>
      <c r="MI42" s="139"/>
      <c r="MJ42" s="139"/>
      <c r="MK42" s="139"/>
      <c r="ML42" s="139"/>
      <c r="MM42" s="139"/>
      <c r="MN42" s="139"/>
      <c r="MO42" s="139"/>
      <c r="MP42" s="139"/>
      <c r="MQ42" s="139"/>
      <c r="MR42" s="139"/>
      <c r="MS42" s="139"/>
      <c r="MT42" s="139"/>
      <c r="MU42" s="139"/>
      <c r="MV42" s="139"/>
      <c r="MW42" s="139"/>
      <c r="MX42" s="139"/>
      <c r="MY42" s="139"/>
      <c r="MZ42" s="139"/>
      <c r="NA42" s="139"/>
      <c r="NB42" s="139"/>
      <c r="NC42" s="139"/>
      <c r="ND42" s="139"/>
      <c r="NE42" s="139"/>
      <c r="NF42" s="139"/>
      <c r="NG42" s="139"/>
      <c r="NH42" s="139"/>
      <c r="NI42" s="139"/>
      <c r="NJ42" s="139"/>
      <c r="NK42" s="139"/>
      <c r="NL42" s="139"/>
      <c r="NM42" s="139"/>
      <c r="NN42" s="139"/>
      <c r="NO42" s="139"/>
      <c r="NP42" s="139"/>
      <c r="NQ42" s="139"/>
      <c r="NR42" s="139"/>
      <c r="NS42" s="139"/>
      <c r="NT42" s="139"/>
      <c r="NU42" s="139"/>
      <c r="NV42" s="139"/>
      <c r="NW42" s="139"/>
      <c r="NX42" s="139"/>
      <c r="NY42" s="139"/>
      <c r="NZ42" s="139"/>
      <c r="OA42" s="139"/>
      <c r="OB42" s="139"/>
      <c r="OC42" s="139"/>
      <c r="OD42" s="139"/>
      <c r="OE42" s="139"/>
      <c r="OF42" s="139"/>
      <c r="OG42" s="139"/>
      <c r="OH42" s="139"/>
      <c r="OI42" s="139"/>
      <c r="OJ42" s="139"/>
      <c r="OK42" s="139"/>
      <c r="OL42" s="139"/>
      <c r="OM42" s="139"/>
      <c r="ON42" s="139"/>
      <c r="OO42" s="139"/>
      <c r="OP42" s="139"/>
      <c r="OQ42" s="139"/>
      <c r="OR42" s="139"/>
      <c r="OS42" s="139"/>
      <c r="OT42" s="139"/>
      <c r="OU42" s="139"/>
      <c r="OV42" s="139"/>
      <c r="OW42" s="139"/>
      <c r="OX42" s="139"/>
      <c r="OY42" s="139"/>
      <c r="OZ42" s="139"/>
      <c r="PA42" s="139"/>
      <c r="PB42" s="139"/>
      <c r="PC42" s="139"/>
      <c r="PD42" s="139"/>
      <c r="PE42" s="139"/>
      <c r="PF42" s="139"/>
      <c r="PG42" s="139"/>
      <c r="PH42" s="139"/>
      <c r="PI42" s="139"/>
      <c r="PJ42" s="139"/>
      <c r="PK42" s="139"/>
      <c r="PL42" s="139"/>
      <c r="PM42" s="139"/>
      <c r="PN42" s="139"/>
      <c r="PO42" s="139"/>
      <c r="PP42" s="139"/>
      <c r="PQ42" s="139"/>
      <c r="PR42" s="139"/>
      <c r="PS42" s="139"/>
      <c r="PT42" s="139"/>
      <c r="PU42" s="139"/>
      <c r="PV42" s="139"/>
      <c r="PW42" s="139"/>
      <c r="PX42" s="139"/>
      <c r="PY42" s="139"/>
      <c r="PZ42" s="139"/>
      <c r="QA42" s="139"/>
      <c r="QB42" s="139"/>
      <c r="QC42" s="139"/>
      <c r="QD42" s="139"/>
      <c r="QE42" s="139"/>
      <c r="QF42" s="139"/>
      <c r="QG42" s="139"/>
      <c r="QH42" s="139"/>
      <c r="QI42" s="139"/>
      <c r="QJ42" s="139"/>
      <c r="QK42" s="139"/>
      <c r="QL42" s="139"/>
      <c r="QM42" s="139"/>
      <c r="QN42" s="139"/>
      <c r="QO42" s="139"/>
      <c r="QP42" s="139"/>
      <c r="QQ42" s="139"/>
      <c r="QR42" s="139"/>
      <c r="QS42" s="139"/>
      <c r="QT42" s="139"/>
      <c r="QU42" s="139"/>
      <c r="QV42" s="139"/>
      <c r="QW42" s="139"/>
      <c r="QX42" s="139"/>
      <c r="QY42" s="139"/>
      <c r="QZ42" s="139"/>
      <c r="RA42" s="139"/>
      <c r="RB42" s="139"/>
      <c r="RC42" s="139"/>
      <c r="RD42" s="139"/>
      <c r="RE42" s="139"/>
      <c r="RF42" s="139"/>
      <c r="RG42" s="139"/>
      <c r="RH42" s="139"/>
      <c r="RI42" s="139"/>
      <c r="RJ42" s="139"/>
      <c r="RK42" s="139"/>
      <c r="RL42" s="139"/>
      <c r="RM42" s="139"/>
      <c r="RN42" s="139"/>
      <c r="RO42" s="139"/>
      <c r="RP42" s="139"/>
      <c r="RQ42" s="139"/>
      <c r="RR42" s="139"/>
      <c r="RS42" s="139"/>
      <c r="RT42" s="139"/>
      <c r="RU42" s="139"/>
      <c r="RV42" s="139"/>
      <c r="RW42" s="139"/>
      <c r="RX42" s="139"/>
      <c r="RY42" s="139"/>
      <c r="RZ42" s="139"/>
      <c r="SA42" s="139"/>
      <c r="SB42" s="139"/>
      <c r="SC42" s="139"/>
      <c r="SD42" s="139"/>
      <c r="SE42" s="139"/>
      <c r="SF42" s="139"/>
      <c r="SG42" s="139"/>
      <c r="SH42" s="139"/>
      <c r="SI42" s="139"/>
      <c r="SJ42" s="139"/>
      <c r="SK42" s="139"/>
      <c r="SL42" s="139"/>
      <c r="SM42" s="139"/>
      <c r="SN42" s="139"/>
      <c r="SO42" s="139"/>
      <c r="SP42" s="139"/>
      <c r="SQ42" s="139"/>
      <c r="SR42" s="139"/>
      <c r="SS42" s="139"/>
      <c r="ST42" s="139"/>
      <c r="SU42" s="139"/>
      <c r="SV42" s="139"/>
      <c r="SW42" s="139"/>
      <c r="SX42" s="139"/>
      <c r="SY42" s="139"/>
      <c r="SZ42" s="139"/>
      <c r="TA42" s="139"/>
      <c r="TB42" s="139"/>
      <c r="TC42" s="139"/>
      <c r="TD42" s="139"/>
      <c r="TE42" s="139"/>
      <c r="TF42" s="139"/>
      <c r="TG42" s="139"/>
      <c r="TH42" s="139"/>
      <c r="TI42" s="139"/>
      <c r="TJ42" s="139"/>
      <c r="TK42" s="139"/>
      <c r="TL42" s="139"/>
      <c r="TM42" s="139"/>
      <c r="TN42" s="139"/>
      <c r="TO42" s="139"/>
      <c r="TP42" s="139"/>
      <c r="TQ42" s="139"/>
      <c r="TR42" s="139"/>
      <c r="TS42" s="139"/>
      <c r="TT42" s="139"/>
      <c r="TU42" s="139"/>
      <c r="TV42" s="139"/>
      <c r="TW42" s="139"/>
      <c r="TX42" s="139"/>
      <c r="TY42" s="139"/>
      <c r="TZ42" s="139"/>
      <c r="UA42" s="139"/>
      <c r="UB42" s="139"/>
      <c r="UC42" s="139"/>
      <c r="UD42" s="139"/>
      <c r="UE42" s="139"/>
      <c r="UF42" s="139"/>
      <c r="UG42" s="139"/>
      <c r="UH42" s="139"/>
      <c r="UI42" s="139"/>
      <c r="UJ42" s="139"/>
      <c r="UK42" s="139"/>
      <c r="UL42" s="139"/>
      <c r="UM42" s="139"/>
      <c r="UN42" s="139"/>
      <c r="UO42" s="139"/>
      <c r="UP42" s="139"/>
      <c r="UQ42" s="139"/>
      <c r="UR42" s="139"/>
      <c r="US42" s="139"/>
      <c r="UT42" s="139"/>
      <c r="UU42" s="139"/>
      <c r="UV42" s="139"/>
      <c r="UW42" s="139"/>
      <c r="UX42" s="139"/>
      <c r="UY42" s="139"/>
      <c r="UZ42" s="139"/>
      <c r="VA42" s="139"/>
      <c r="VB42" s="139"/>
      <c r="VC42" s="139"/>
      <c r="VD42" s="139"/>
      <c r="VE42" s="139"/>
      <c r="VF42" s="139"/>
      <c r="VG42" s="139"/>
      <c r="VH42" s="139"/>
      <c r="VI42" s="139"/>
      <c r="VJ42" s="139"/>
      <c r="VK42" s="139"/>
      <c r="VL42" s="139"/>
      <c r="VM42" s="139"/>
      <c r="VN42" s="139"/>
      <c r="VO42" s="139"/>
      <c r="VP42" s="139"/>
      <c r="VQ42" s="139"/>
      <c r="VR42" s="139"/>
      <c r="VS42" s="139"/>
      <c r="VT42" s="139"/>
      <c r="VU42" s="139"/>
      <c r="VV42" s="139"/>
      <c r="VW42" s="139"/>
      <c r="VX42" s="139"/>
      <c r="VY42" s="139"/>
      <c r="VZ42" s="139"/>
      <c r="WA42" s="139"/>
      <c r="WB42" s="139"/>
      <c r="WC42" s="139"/>
      <c r="WD42" s="139"/>
      <c r="WE42" s="139"/>
      <c r="WF42" s="139"/>
      <c r="WG42" s="139"/>
      <c r="WH42" s="139"/>
      <c r="WI42" s="139"/>
      <c r="WJ42" s="139"/>
      <c r="WK42" s="139"/>
      <c r="WL42" s="139"/>
      <c r="WM42" s="139"/>
      <c r="WN42" s="139"/>
      <c r="WO42" s="139"/>
      <c r="WP42" s="139"/>
      <c r="WQ42" s="139"/>
      <c r="WR42" s="139"/>
      <c r="WS42" s="139"/>
      <c r="WT42" s="139"/>
      <c r="WU42" s="139"/>
      <c r="WV42" s="139"/>
      <c r="WW42" s="139"/>
      <c r="WX42" s="139"/>
      <c r="WY42" s="139"/>
      <c r="WZ42" s="139"/>
      <c r="XA42" s="139"/>
      <c r="XB42" s="139"/>
      <c r="XC42" s="139"/>
      <c r="XD42" s="139"/>
      <c r="XE42" s="139"/>
      <c r="XF42" s="139"/>
      <c r="XG42" s="139"/>
      <c r="XH42" s="139"/>
      <c r="XI42" s="139"/>
      <c r="XJ42" s="139"/>
      <c r="XK42" s="139"/>
      <c r="XL42" s="139"/>
      <c r="XM42" s="139"/>
      <c r="XN42" s="139"/>
      <c r="XO42" s="139"/>
      <c r="XP42" s="139"/>
      <c r="XQ42" s="139"/>
      <c r="XR42" s="139"/>
      <c r="XS42" s="139"/>
      <c r="XT42" s="139"/>
      <c r="XU42" s="139"/>
      <c r="XV42" s="139"/>
      <c r="XW42" s="139"/>
      <c r="XX42" s="139"/>
      <c r="XY42" s="139"/>
      <c r="XZ42" s="139"/>
      <c r="YA42" s="139"/>
      <c r="YB42" s="139"/>
      <c r="YC42" s="139"/>
      <c r="YD42" s="139"/>
      <c r="YE42" s="139"/>
      <c r="YF42" s="139"/>
      <c r="YG42" s="139"/>
      <c r="YH42" s="139"/>
      <c r="YI42" s="139"/>
      <c r="YJ42" s="139"/>
      <c r="YK42" s="139"/>
      <c r="YL42" s="139"/>
      <c r="YM42" s="139"/>
      <c r="YN42" s="139"/>
      <c r="YO42" s="139"/>
      <c r="YP42" s="139"/>
      <c r="YQ42" s="139"/>
      <c r="YR42" s="139"/>
      <c r="YS42" s="139"/>
      <c r="YT42" s="139"/>
      <c r="YU42" s="139"/>
      <c r="YV42" s="139"/>
      <c r="YW42" s="139"/>
      <c r="YX42" s="139"/>
      <c r="YY42" s="139"/>
      <c r="YZ42" s="139"/>
      <c r="ZA42" s="139"/>
      <c r="ZB42" s="139"/>
      <c r="ZC42" s="139"/>
      <c r="ZD42" s="139"/>
      <c r="ZE42" s="139"/>
      <c r="ZF42" s="139"/>
      <c r="ZG42" s="139"/>
      <c r="ZH42" s="139"/>
      <c r="ZI42" s="139"/>
      <c r="ZJ42" s="139"/>
      <c r="ZK42" s="139"/>
      <c r="ZL42" s="139"/>
      <c r="ZM42" s="139"/>
      <c r="ZN42" s="139"/>
      <c r="ZO42" s="139"/>
      <c r="ZP42" s="139"/>
      <c r="ZQ42" s="139"/>
      <c r="ZR42" s="139"/>
      <c r="ZS42" s="139"/>
      <c r="ZT42" s="139"/>
      <c r="ZU42" s="139"/>
      <c r="ZV42" s="139"/>
      <c r="ZW42" s="139"/>
      <c r="ZX42" s="139"/>
      <c r="ZY42" s="139"/>
      <c r="ZZ42" s="139"/>
      <c r="AAA42" s="139"/>
      <c r="AAB42" s="139"/>
      <c r="AAC42" s="139"/>
      <c r="AAD42" s="139"/>
      <c r="AAE42" s="139"/>
      <c r="AAF42" s="139"/>
      <c r="AAG42" s="139"/>
      <c r="AAH42" s="139"/>
      <c r="AAI42" s="139"/>
      <c r="AAJ42" s="139"/>
      <c r="AAK42" s="139"/>
      <c r="AAL42" s="139"/>
      <c r="AAM42" s="139"/>
      <c r="AAN42" s="139"/>
      <c r="AAO42" s="139"/>
      <c r="AAP42" s="139"/>
      <c r="AAQ42" s="139"/>
      <c r="AAR42" s="139"/>
      <c r="AAS42" s="139"/>
      <c r="AAT42" s="139"/>
      <c r="AAU42" s="139"/>
      <c r="AAV42" s="139"/>
      <c r="AAW42" s="139"/>
      <c r="AAX42" s="139"/>
      <c r="AAY42" s="139"/>
      <c r="AAZ42" s="139"/>
      <c r="ABA42" s="139"/>
      <c r="ABB42" s="139"/>
      <c r="ABC42" s="139"/>
      <c r="ABD42" s="139"/>
      <c r="ABE42" s="139"/>
      <c r="ABF42" s="139"/>
      <c r="ABG42" s="139"/>
      <c r="ABH42" s="139"/>
      <c r="ABI42" s="139"/>
      <c r="ABJ42" s="139"/>
      <c r="ABK42" s="139"/>
      <c r="ABL42" s="139"/>
      <c r="ABM42" s="139"/>
      <c r="ABN42" s="139"/>
      <c r="ABO42" s="139"/>
      <c r="ABP42" s="139"/>
      <c r="ABQ42" s="139"/>
      <c r="ABR42" s="139"/>
      <c r="ABS42" s="139"/>
      <c r="ABT42" s="139"/>
      <c r="ABU42" s="139"/>
      <c r="ABV42" s="139"/>
      <c r="ABW42" s="139"/>
      <c r="ABX42" s="139"/>
      <c r="ABY42" s="139"/>
      <c r="ABZ42" s="139"/>
      <c r="ACA42" s="139"/>
      <c r="ACB42" s="139"/>
      <c r="ACC42" s="139"/>
      <c r="ACD42" s="139"/>
      <c r="ACE42" s="139"/>
      <c r="ACF42" s="139"/>
      <c r="ACG42" s="139"/>
      <c r="ACH42" s="139"/>
      <c r="ACI42" s="139"/>
      <c r="ACJ42" s="139"/>
      <c r="ACK42" s="139"/>
      <c r="ACL42" s="139"/>
      <c r="ACM42" s="139"/>
      <c r="ACN42" s="139"/>
      <c r="ACO42" s="139"/>
      <c r="ACP42" s="139"/>
      <c r="ACQ42" s="139"/>
      <c r="ACR42" s="139"/>
      <c r="ACS42" s="139"/>
      <c r="ACT42" s="139"/>
      <c r="ACU42" s="139"/>
      <c r="ACV42" s="139"/>
      <c r="ACW42" s="139"/>
      <c r="ACX42" s="139"/>
      <c r="ACY42" s="139"/>
      <c r="ACZ42" s="139"/>
      <c r="ADA42" s="139"/>
      <c r="ADB42" s="139"/>
      <c r="ADC42" s="139"/>
      <c r="ADD42" s="139"/>
      <c r="ADE42" s="139"/>
      <c r="ADF42" s="139"/>
      <c r="ADG42" s="139"/>
      <c r="ADH42" s="139"/>
      <c r="ADI42" s="139"/>
      <c r="ADJ42" s="139"/>
      <c r="ADK42" s="139"/>
      <c r="ADL42" s="139"/>
      <c r="ADM42" s="139"/>
      <c r="ADN42" s="139"/>
      <c r="ADO42" s="139"/>
      <c r="ADP42" s="139"/>
      <c r="ADQ42" s="139"/>
      <c r="ADR42" s="139"/>
      <c r="ADS42" s="139"/>
      <c r="ADT42" s="139"/>
      <c r="ADU42" s="139"/>
      <c r="ADV42" s="139"/>
      <c r="ADW42" s="139"/>
      <c r="ADX42" s="139"/>
      <c r="ADY42" s="139"/>
      <c r="ADZ42" s="139"/>
      <c r="AEA42" s="139"/>
      <c r="AEB42" s="139"/>
      <c r="AEC42" s="139"/>
      <c r="AED42" s="139"/>
      <c r="AEE42" s="139"/>
      <c r="AEF42" s="139"/>
      <c r="AEG42" s="139"/>
      <c r="AEH42" s="139"/>
      <c r="AEI42" s="139"/>
      <c r="AEJ42" s="139"/>
      <c r="AEK42" s="139"/>
      <c r="AEL42" s="139"/>
      <c r="AEM42" s="139"/>
      <c r="AEN42" s="139"/>
      <c r="AEO42" s="139"/>
      <c r="AEP42" s="139"/>
      <c r="AEQ42" s="139"/>
      <c r="AER42" s="139"/>
      <c r="AES42" s="139"/>
      <c r="AET42" s="139"/>
      <c r="AEU42" s="139"/>
      <c r="AEV42" s="139"/>
      <c r="AEW42" s="139"/>
      <c r="AEX42" s="139"/>
      <c r="AEY42" s="139"/>
      <c r="AEZ42" s="139"/>
      <c r="AFA42" s="139"/>
      <c r="AFB42" s="139"/>
      <c r="AFC42" s="139"/>
      <c r="AFD42" s="139"/>
      <c r="AFE42" s="139"/>
      <c r="AFF42" s="139"/>
      <c r="AFG42" s="139"/>
      <c r="AFH42" s="139"/>
      <c r="AFI42" s="139"/>
      <c r="AFJ42" s="139"/>
      <c r="AFK42" s="139"/>
      <c r="AFL42" s="139"/>
      <c r="AFM42" s="139"/>
      <c r="AFN42" s="139"/>
      <c r="AFO42" s="139"/>
      <c r="AFP42" s="139"/>
      <c r="AFQ42" s="139"/>
      <c r="AFR42" s="139"/>
      <c r="AFS42" s="139"/>
      <c r="AFT42" s="139"/>
      <c r="AFU42" s="139"/>
      <c r="AFV42" s="139"/>
      <c r="AFW42" s="139"/>
      <c r="AFX42" s="139"/>
      <c r="AFY42" s="139"/>
      <c r="AFZ42" s="139"/>
      <c r="AGA42" s="139"/>
      <c r="AGB42" s="139"/>
      <c r="AGC42" s="139"/>
      <c r="AGD42" s="139"/>
      <c r="AGE42" s="139"/>
      <c r="AGF42" s="139"/>
      <c r="AGG42" s="139"/>
      <c r="AGH42" s="139"/>
      <c r="AGI42" s="139"/>
      <c r="AGJ42" s="139"/>
      <c r="AGK42" s="139"/>
      <c r="AGL42" s="139"/>
      <c r="AGM42" s="139"/>
      <c r="AGN42" s="139"/>
      <c r="AGO42" s="139"/>
      <c r="AGP42" s="139"/>
      <c r="AGQ42" s="139"/>
      <c r="AGR42" s="139"/>
      <c r="AGS42" s="139"/>
      <c r="AGT42" s="139"/>
      <c r="AGU42" s="139"/>
      <c r="AGV42" s="139"/>
      <c r="AGW42" s="139"/>
      <c r="AGX42" s="139"/>
      <c r="AGY42" s="139"/>
      <c r="AGZ42" s="139"/>
      <c r="AHA42" s="139"/>
      <c r="AHB42" s="139"/>
      <c r="AHC42" s="139"/>
      <c r="AHD42" s="139"/>
      <c r="AHE42" s="139"/>
      <c r="AHF42" s="139"/>
      <c r="AHG42" s="139"/>
      <c r="AHH42" s="139"/>
      <c r="AHI42" s="139"/>
      <c r="AHJ42" s="139"/>
      <c r="AHK42" s="139"/>
      <c r="AHL42" s="139"/>
      <c r="AHM42" s="139"/>
      <c r="AHN42" s="139"/>
      <c r="AHO42" s="139"/>
      <c r="AHP42" s="139"/>
      <c r="AHQ42" s="139"/>
      <c r="AHR42" s="139"/>
      <c r="AHS42" s="139"/>
      <c r="AHT42" s="139"/>
      <c r="AHU42" s="139"/>
      <c r="AHV42" s="139"/>
      <c r="AHW42" s="139"/>
      <c r="AHX42" s="139"/>
      <c r="AHY42" s="139"/>
      <c r="AHZ42" s="139"/>
      <c r="AIA42" s="139"/>
      <c r="AIB42" s="139"/>
      <c r="AIC42" s="139"/>
      <c r="AID42" s="139"/>
      <c r="AIE42" s="139"/>
      <c r="AIF42" s="139"/>
      <c r="AIG42" s="139"/>
      <c r="AIH42" s="139"/>
      <c r="AII42" s="139"/>
      <c r="AIJ42" s="139"/>
      <c r="AIK42" s="139"/>
      <c r="AIL42" s="139"/>
      <c r="AIM42" s="139"/>
      <c r="AIN42" s="139"/>
      <c r="AIO42" s="139"/>
      <c r="AIP42" s="139"/>
      <c r="AIQ42" s="139"/>
      <c r="AIR42" s="139"/>
      <c r="AIS42" s="139"/>
      <c r="AIT42" s="139"/>
      <c r="AIU42" s="139"/>
      <c r="AIV42" s="139"/>
      <c r="AIW42" s="139"/>
      <c r="AIX42" s="139"/>
      <c r="AIY42" s="139"/>
      <c r="AIZ42" s="139"/>
      <c r="AJA42" s="139"/>
      <c r="AJB42" s="139"/>
      <c r="AJC42" s="139"/>
      <c r="AJD42" s="139"/>
      <c r="AJE42" s="139"/>
      <c r="AJF42" s="139"/>
      <c r="AJG42" s="139"/>
      <c r="AJH42" s="139"/>
      <c r="AJI42" s="139"/>
      <c r="AJJ42" s="139"/>
      <c r="AJK42" s="139"/>
      <c r="AJL42" s="139"/>
      <c r="AJM42" s="139"/>
      <c r="AJN42" s="139"/>
      <c r="AJO42" s="139"/>
      <c r="AJP42" s="139"/>
      <c r="AJQ42" s="139"/>
      <c r="AJR42" s="139"/>
      <c r="AJS42" s="139"/>
      <c r="AJT42" s="139"/>
      <c r="AJU42" s="139"/>
      <c r="AJV42" s="139"/>
      <c r="AJW42" s="139"/>
      <c r="AJX42" s="139"/>
      <c r="AJY42" s="139"/>
      <c r="AJZ42" s="139"/>
      <c r="AKA42" s="139"/>
      <c r="AKB42" s="139"/>
      <c r="AKC42" s="139"/>
      <c r="AKD42" s="139"/>
      <c r="AKE42" s="139"/>
      <c r="AKF42" s="139"/>
      <c r="AKG42" s="139"/>
      <c r="AKH42" s="139"/>
      <c r="AKI42" s="139"/>
      <c r="AKJ42" s="139"/>
      <c r="AKK42" s="139"/>
      <c r="AKL42" s="139"/>
      <c r="AKM42" s="139"/>
      <c r="AKN42" s="139"/>
      <c r="AKO42" s="139"/>
      <c r="AKP42" s="139"/>
      <c r="AKQ42" s="139"/>
      <c r="AKR42" s="139"/>
      <c r="AKS42" s="139"/>
      <c r="AKT42" s="139"/>
      <c r="AKU42" s="139"/>
      <c r="AKV42" s="139"/>
      <c r="AKW42" s="139"/>
      <c r="AKX42" s="139"/>
      <c r="AKY42" s="139"/>
      <c r="AKZ42" s="139"/>
      <c r="ALA42" s="139"/>
      <c r="ALB42" s="139"/>
      <c r="ALC42" s="139"/>
      <c r="ALD42" s="139"/>
      <c r="ALE42" s="139"/>
      <c r="ALF42" s="139"/>
      <c r="ALG42" s="139"/>
      <c r="ALH42" s="139"/>
      <c r="ALI42" s="139"/>
      <c r="ALJ42" s="139"/>
      <c r="ALK42" s="139"/>
      <c r="ALL42" s="139"/>
      <c r="ALM42" s="139"/>
      <c r="ALN42" s="139"/>
      <c r="ALO42" s="139"/>
      <c r="ALP42" s="139"/>
      <c r="ALQ42" s="139"/>
      <c r="ALR42" s="139"/>
      <c r="ALS42" s="139"/>
      <c r="ALT42" s="139"/>
      <c r="ALU42" s="139"/>
      <c r="ALV42" s="139"/>
      <c r="ALW42" s="139"/>
      <c r="ALX42" s="139"/>
      <c r="ALY42" s="139"/>
      <c r="ALZ42" s="139"/>
      <c r="AMA42" s="139"/>
      <c r="AMB42" s="139"/>
      <c r="AMC42" s="139"/>
      <c r="AMD42" s="139"/>
      <c r="AME42" s="139"/>
      <c r="AMF42" s="139"/>
      <c r="AMG42" s="139"/>
      <c r="AMH42" s="139"/>
      <c r="AMI42" s="139"/>
      <c r="AMJ42" s="139"/>
      <c r="AMK42" s="139"/>
      <c r="AML42" s="139"/>
      <c r="AMM42" s="139"/>
      <c r="AMN42" s="139"/>
      <c r="AMO42" s="139"/>
      <c r="AMP42" s="139"/>
      <c r="AMQ42" s="139"/>
      <c r="AMR42" s="139"/>
      <c r="AMS42" s="139"/>
      <c r="AMT42" s="139"/>
      <c r="AMU42" s="139"/>
      <c r="AMV42" s="139"/>
      <c r="AMW42" s="139"/>
      <c r="AMX42" s="139"/>
      <c r="AMY42" s="139"/>
      <c r="AMZ42" s="139"/>
      <c r="ANA42" s="139"/>
      <c r="ANB42" s="139"/>
      <c r="ANC42" s="139"/>
      <c r="AND42" s="139"/>
      <c r="ANE42" s="139"/>
      <c r="ANF42" s="139"/>
      <c r="ANG42" s="139"/>
      <c r="ANH42" s="139"/>
      <c r="ANI42" s="139"/>
      <c r="ANJ42" s="139"/>
      <c r="ANK42" s="139"/>
      <c r="ANL42" s="139"/>
      <c r="ANM42" s="139"/>
      <c r="ANN42" s="139"/>
      <c r="ANO42" s="139"/>
      <c r="ANP42" s="139"/>
      <c r="ANQ42" s="139"/>
      <c r="ANR42" s="139"/>
      <c r="ANS42" s="139"/>
      <c r="ANT42" s="139"/>
      <c r="ANU42" s="139"/>
      <c r="ANV42" s="139"/>
      <c r="ANW42" s="139"/>
      <c r="ANX42" s="139"/>
      <c r="ANY42" s="139"/>
      <c r="ANZ42" s="139"/>
      <c r="AOA42" s="139"/>
      <c r="AOB42" s="139"/>
      <c r="AOC42" s="139"/>
      <c r="AOD42" s="139"/>
      <c r="AOE42" s="139"/>
      <c r="AOF42" s="139"/>
      <c r="AOG42" s="139"/>
      <c r="AOH42" s="139"/>
      <c r="AOI42" s="139"/>
      <c r="AOJ42" s="139"/>
      <c r="AOK42" s="139"/>
      <c r="AOL42" s="139"/>
      <c r="AOM42" s="139"/>
      <c r="AON42" s="139"/>
      <c r="AOO42" s="139"/>
      <c r="AOP42" s="139"/>
      <c r="AOQ42" s="139"/>
      <c r="AOR42" s="139"/>
      <c r="AOS42" s="139"/>
      <c r="AOT42" s="139"/>
      <c r="AOU42" s="139"/>
      <c r="AOV42" s="139"/>
      <c r="AOW42" s="139"/>
      <c r="AOX42" s="139"/>
      <c r="AOY42" s="139"/>
      <c r="AOZ42" s="139"/>
      <c r="APA42" s="139"/>
      <c r="APB42" s="139"/>
      <c r="APC42" s="139"/>
      <c r="APD42" s="139"/>
      <c r="APE42" s="139"/>
      <c r="APF42" s="139"/>
      <c r="APG42" s="139"/>
      <c r="APH42" s="139"/>
      <c r="API42" s="139"/>
      <c r="APJ42" s="139"/>
      <c r="APK42" s="139"/>
      <c r="APL42" s="139"/>
      <c r="APM42" s="139"/>
      <c r="APN42" s="139"/>
      <c r="APO42" s="139"/>
      <c r="APP42" s="139"/>
      <c r="APQ42" s="139"/>
      <c r="APR42" s="139"/>
      <c r="APS42" s="139"/>
      <c r="APT42" s="139"/>
      <c r="APU42" s="139"/>
      <c r="APV42" s="139"/>
      <c r="APW42" s="139"/>
      <c r="APX42" s="139"/>
      <c r="APY42" s="139"/>
      <c r="APZ42" s="139"/>
      <c r="AQA42" s="139"/>
      <c r="AQB42" s="139"/>
      <c r="AQC42" s="139"/>
      <c r="AQD42" s="139"/>
      <c r="AQE42" s="139"/>
      <c r="AQF42" s="139"/>
      <c r="AQG42" s="139"/>
      <c r="AQH42" s="139"/>
      <c r="AQI42" s="139"/>
      <c r="AQJ42" s="139"/>
      <c r="AQK42" s="139"/>
      <c r="AQL42" s="139"/>
      <c r="AQM42" s="139"/>
      <c r="AQN42" s="139"/>
      <c r="AQO42" s="139"/>
      <c r="AQP42" s="139"/>
      <c r="AQQ42" s="139"/>
      <c r="AQR42" s="139"/>
      <c r="AQS42" s="139"/>
      <c r="AQT42" s="139"/>
      <c r="AQU42" s="139"/>
      <c r="AQV42" s="139"/>
      <c r="AQW42" s="139"/>
      <c r="AQX42" s="139"/>
      <c r="AQY42" s="139"/>
      <c r="AQZ42" s="139"/>
      <c r="ARA42" s="139"/>
      <c r="ARB42" s="139"/>
      <c r="ARC42" s="139"/>
      <c r="ARD42" s="139"/>
      <c r="ARE42" s="139"/>
      <c r="ARF42" s="139"/>
      <c r="ARG42" s="139"/>
      <c r="ARH42" s="139"/>
      <c r="ARI42" s="139"/>
      <c r="ARJ42" s="139"/>
      <c r="ARK42" s="139"/>
      <c r="ARL42" s="139"/>
      <c r="ARM42" s="139"/>
      <c r="ARN42" s="139"/>
      <c r="ARO42" s="139"/>
      <c r="ARP42" s="139"/>
      <c r="ARQ42" s="139"/>
      <c r="ARR42" s="139"/>
      <c r="ARS42" s="139"/>
      <c r="ART42" s="139"/>
      <c r="ARU42" s="139"/>
      <c r="ARV42" s="139"/>
      <c r="ARW42" s="139"/>
      <c r="ARX42" s="139"/>
      <c r="ARY42" s="139"/>
      <c r="ARZ42" s="139"/>
      <c r="ASA42" s="139"/>
      <c r="ASB42" s="139"/>
      <c r="ASC42" s="139"/>
      <c r="ASD42" s="139"/>
      <c r="ASE42" s="139"/>
      <c r="ASF42" s="139"/>
      <c r="ASG42" s="139"/>
      <c r="ASH42" s="139"/>
      <c r="ASI42" s="139"/>
      <c r="ASJ42" s="139"/>
      <c r="ASK42" s="139"/>
      <c r="ASL42" s="139"/>
      <c r="ASM42" s="139"/>
      <c r="ASN42" s="139"/>
      <c r="ASO42" s="139"/>
      <c r="ASP42" s="139"/>
      <c r="ASQ42" s="139"/>
      <c r="ASR42" s="139"/>
      <c r="ASS42" s="139"/>
      <c r="AST42" s="139"/>
      <c r="ASU42" s="139"/>
      <c r="ASV42" s="139"/>
      <c r="ASW42" s="139"/>
      <c r="ASX42" s="139"/>
      <c r="ASY42" s="139"/>
      <c r="ASZ42" s="139"/>
      <c r="ATA42" s="139"/>
      <c r="ATB42" s="139"/>
      <c r="ATC42" s="139"/>
      <c r="ATD42" s="139"/>
      <c r="ATE42" s="139"/>
      <c r="ATF42" s="139"/>
      <c r="ATG42" s="139"/>
      <c r="ATH42" s="139"/>
      <c r="ATI42" s="139"/>
      <c r="ATJ42" s="139"/>
      <c r="ATK42" s="139"/>
      <c r="ATL42" s="139"/>
      <c r="ATM42" s="139"/>
      <c r="ATN42" s="139"/>
      <c r="ATO42" s="139"/>
      <c r="ATP42" s="139"/>
      <c r="ATQ42" s="139"/>
      <c r="ATR42" s="139"/>
      <c r="ATS42" s="139"/>
      <c r="ATT42" s="139"/>
      <c r="ATU42" s="139"/>
      <c r="ATV42" s="139"/>
      <c r="ATW42" s="139"/>
      <c r="ATX42" s="139"/>
      <c r="ATY42" s="139"/>
      <c r="ATZ42" s="139"/>
      <c r="AUA42" s="139"/>
      <c r="AUB42" s="139"/>
      <c r="AUC42" s="139"/>
      <c r="AUD42" s="139"/>
      <c r="AUE42" s="139"/>
      <c r="AUF42" s="139"/>
      <c r="AUG42" s="139"/>
      <c r="AUH42" s="139"/>
      <c r="AUI42" s="139"/>
      <c r="AUJ42" s="139"/>
      <c r="AUK42" s="139"/>
      <c r="AUL42" s="139"/>
      <c r="AUM42" s="139"/>
      <c r="AUN42" s="139"/>
      <c r="AUO42" s="139"/>
      <c r="AUP42" s="139"/>
      <c r="AUQ42" s="139"/>
      <c r="AUR42" s="139"/>
      <c r="AUS42" s="139"/>
      <c r="AUT42" s="139"/>
      <c r="AUU42" s="139"/>
      <c r="AUV42" s="139"/>
      <c r="AUW42" s="139"/>
      <c r="AUX42" s="139"/>
      <c r="AUY42" s="139"/>
      <c r="AUZ42" s="139"/>
      <c r="AVA42" s="139"/>
      <c r="AVB42" s="139"/>
      <c r="AVC42" s="139"/>
      <c r="AVD42" s="139"/>
      <c r="AVE42" s="139"/>
      <c r="AVF42" s="139"/>
      <c r="AVG42" s="139"/>
      <c r="AVH42" s="139"/>
      <c r="AVI42" s="139"/>
      <c r="AVJ42" s="139"/>
      <c r="AVK42" s="139"/>
      <c r="AVL42" s="139"/>
      <c r="AVM42" s="139"/>
      <c r="AVN42" s="139"/>
      <c r="AVO42" s="139"/>
      <c r="AVP42" s="139"/>
      <c r="AVQ42" s="139"/>
      <c r="AVR42" s="139"/>
      <c r="AVS42" s="139"/>
      <c r="AVT42" s="139"/>
      <c r="AVU42" s="139"/>
      <c r="AVV42" s="139"/>
      <c r="AVW42" s="139"/>
      <c r="AVX42" s="139"/>
      <c r="AVY42" s="139"/>
      <c r="AVZ42" s="139"/>
      <c r="AWA42" s="139"/>
      <c r="AWB42" s="139"/>
      <c r="AWC42" s="139"/>
      <c r="AWD42" s="139"/>
      <c r="AWE42" s="139"/>
      <c r="AWF42" s="139"/>
      <c r="AWG42" s="139"/>
      <c r="AWH42" s="139"/>
      <c r="AWI42" s="139"/>
      <c r="AWJ42" s="139"/>
      <c r="AWK42" s="139"/>
      <c r="AWL42" s="139"/>
      <c r="AWM42" s="139"/>
      <c r="AWN42" s="139"/>
      <c r="AWO42" s="139"/>
      <c r="AWP42" s="139"/>
      <c r="AWQ42" s="139"/>
      <c r="AWR42" s="139"/>
      <c r="AWS42" s="139"/>
      <c r="AWT42" s="139"/>
      <c r="AWU42" s="139"/>
      <c r="AWV42" s="139"/>
      <c r="AWW42" s="139"/>
      <c r="AWX42" s="139"/>
      <c r="AWY42" s="139"/>
      <c r="AWZ42" s="139"/>
      <c r="AXA42" s="139"/>
      <c r="AXB42" s="139"/>
      <c r="AXC42" s="139"/>
      <c r="AXD42" s="139"/>
      <c r="AXE42" s="139"/>
      <c r="AXF42" s="139"/>
      <c r="AXG42" s="139"/>
      <c r="AXH42" s="139"/>
      <c r="AXI42" s="139"/>
      <c r="AXJ42" s="139"/>
      <c r="AXK42" s="139"/>
      <c r="AXL42" s="139"/>
      <c r="AXM42" s="139"/>
      <c r="AXN42" s="139"/>
      <c r="AXO42" s="139"/>
      <c r="AXP42" s="139"/>
      <c r="AXQ42" s="139"/>
      <c r="AXR42" s="139"/>
      <c r="AXS42" s="139"/>
      <c r="AXT42" s="139"/>
      <c r="AXU42" s="139"/>
      <c r="AXV42" s="139"/>
      <c r="AXW42" s="139"/>
      <c r="AXX42" s="139"/>
      <c r="AXY42" s="139"/>
      <c r="AXZ42" s="139"/>
      <c r="AYA42" s="139"/>
      <c r="AYB42" s="139"/>
      <c r="AYC42" s="139"/>
      <c r="AYD42" s="139"/>
      <c r="AYE42" s="139"/>
      <c r="AYF42" s="139"/>
      <c r="AYG42" s="139"/>
      <c r="AYH42" s="139"/>
      <c r="AYI42" s="139"/>
      <c r="AYJ42" s="139"/>
      <c r="AYK42" s="139"/>
      <c r="AYL42" s="139"/>
      <c r="AYM42" s="139"/>
      <c r="AYN42" s="139"/>
      <c r="AYO42" s="139"/>
      <c r="AYP42" s="139"/>
      <c r="AYQ42" s="139"/>
      <c r="AYR42" s="139"/>
      <c r="AYS42" s="139"/>
      <c r="AYT42" s="139"/>
      <c r="AYU42" s="139"/>
      <c r="AYV42" s="139"/>
      <c r="AYW42" s="139"/>
      <c r="AYX42" s="139"/>
      <c r="AYY42" s="139"/>
      <c r="AYZ42" s="139"/>
      <c r="AZA42" s="139"/>
      <c r="AZB42" s="139"/>
      <c r="AZC42" s="139"/>
      <c r="AZD42" s="139"/>
      <c r="AZE42" s="139"/>
      <c r="AZF42" s="139"/>
      <c r="AZG42" s="139"/>
      <c r="AZH42" s="139"/>
      <c r="AZI42" s="139"/>
      <c r="AZJ42" s="139"/>
      <c r="AZK42" s="139"/>
      <c r="AZL42" s="139"/>
      <c r="AZM42" s="139"/>
      <c r="AZN42" s="139"/>
      <c r="AZO42" s="139"/>
      <c r="AZP42" s="139"/>
      <c r="AZQ42" s="139"/>
      <c r="AZR42" s="139"/>
      <c r="AZS42" s="139"/>
      <c r="AZT42" s="139"/>
      <c r="AZU42" s="139"/>
      <c r="AZV42" s="139"/>
      <c r="AZW42" s="139"/>
      <c r="AZX42" s="139"/>
      <c r="AZY42" s="139"/>
      <c r="AZZ42" s="139"/>
      <c r="BAA42" s="139"/>
      <c r="BAB42" s="139"/>
      <c r="BAC42" s="139"/>
      <c r="BAD42" s="139"/>
      <c r="BAE42" s="139"/>
      <c r="BAF42" s="139"/>
      <c r="BAG42" s="139"/>
      <c r="BAH42" s="139"/>
      <c r="BAI42" s="139"/>
      <c r="BAJ42" s="139"/>
      <c r="BAK42" s="139"/>
      <c r="BAL42" s="139"/>
      <c r="BAM42" s="139"/>
      <c r="BAN42" s="139"/>
      <c r="BAO42" s="139"/>
      <c r="BAP42" s="139"/>
      <c r="BAQ42" s="139"/>
      <c r="BAR42" s="139"/>
      <c r="BAS42" s="139"/>
      <c r="BAT42" s="139"/>
      <c r="BAU42" s="139"/>
      <c r="BAV42" s="139"/>
      <c r="BAW42" s="139"/>
      <c r="BAX42" s="139"/>
      <c r="BAY42" s="139"/>
      <c r="BAZ42" s="139"/>
      <c r="BBA42" s="139"/>
      <c r="BBB42" s="139"/>
      <c r="BBC42" s="139"/>
      <c r="BBD42" s="139"/>
      <c r="BBE42" s="139"/>
      <c r="BBF42" s="139"/>
      <c r="BBG42" s="139"/>
      <c r="BBH42" s="139"/>
      <c r="BBI42" s="139"/>
      <c r="BBJ42" s="139"/>
      <c r="BBK42" s="139"/>
      <c r="BBL42" s="139"/>
      <c r="BBM42" s="139"/>
      <c r="BBN42" s="139"/>
      <c r="BBO42" s="139"/>
      <c r="BBP42" s="139"/>
      <c r="BBQ42" s="139"/>
      <c r="BBR42" s="139"/>
      <c r="BBS42" s="139"/>
      <c r="BBT42" s="139"/>
      <c r="BBU42" s="139"/>
      <c r="BBV42" s="139"/>
      <c r="BBW42" s="139"/>
      <c r="BBX42" s="139"/>
      <c r="BBY42" s="139"/>
      <c r="BBZ42" s="139"/>
      <c r="BCA42" s="139"/>
      <c r="BCB42" s="139"/>
      <c r="BCC42" s="139"/>
      <c r="BCD42" s="139"/>
      <c r="BCE42" s="139"/>
      <c r="BCF42" s="139"/>
      <c r="BCG42" s="139"/>
      <c r="BCH42" s="139"/>
      <c r="BCI42" s="139"/>
      <c r="BCJ42" s="139"/>
      <c r="BCK42" s="139"/>
      <c r="BCL42" s="139"/>
      <c r="BCM42" s="139"/>
      <c r="BCN42" s="139"/>
      <c r="BCO42" s="139"/>
      <c r="BCP42" s="139"/>
      <c r="BCQ42" s="139"/>
      <c r="BCR42" s="139"/>
      <c r="BCS42" s="139"/>
      <c r="BCT42" s="139"/>
      <c r="BCU42" s="139"/>
      <c r="BCV42" s="139"/>
      <c r="BCW42" s="139"/>
      <c r="BCX42" s="139"/>
      <c r="BCY42" s="139"/>
      <c r="BCZ42" s="139"/>
      <c r="BDA42" s="139"/>
      <c r="BDB42" s="139"/>
      <c r="BDC42" s="139"/>
      <c r="BDD42" s="139"/>
      <c r="BDE42" s="139"/>
      <c r="BDF42" s="139"/>
      <c r="BDG42" s="139"/>
      <c r="BDH42" s="139"/>
      <c r="BDI42" s="139"/>
      <c r="BDJ42" s="139"/>
      <c r="BDK42" s="139"/>
      <c r="BDL42" s="139"/>
      <c r="BDM42" s="139"/>
      <c r="BDN42" s="139"/>
      <c r="BDO42" s="139"/>
      <c r="BDP42" s="139"/>
      <c r="BDQ42" s="139"/>
      <c r="BDR42" s="139"/>
      <c r="BDS42" s="139"/>
      <c r="BDT42" s="139"/>
      <c r="BDU42" s="139"/>
      <c r="BDV42" s="139"/>
      <c r="BDW42" s="139"/>
      <c r="BDX42" s="139"/>
      <c r="BDY42" s="139"/>
      <c r="BDZ42" s="139"/>
      <c r="BEA42" s="139"/>
      <c r="BEB42" s="139"/>
      <c r="BEC42" s="139"/>
      <c r="BED42" s="139"/>
      <c r="BEE42" s="139"/>
      <c r="BEF42" s="139"/>
      <c r="BEG42" s="139"/>
      <c r="BEH42" s="139"/>
      <c r="BEI42" s="139"/>
      <c r="BEJ42" s="139"/>
      <c r="BEK42" s="139"/>
      <c r="BEL42" s="139"/>
      <c r="BEM42" s="139"/>
      <c r="BEN42" s="139"/>
      <c r="BEO42" s="139"/>
      <c r="BEP42" s="139"/>
      <c r="BEQ42" s="139"/>
      <c r="BER42" s="139"/>
      <c r="BES42" s="139"/>
      <c r="BET42" s="139"/>
      <c r="BEU42" s="139"/>
      <c r="BEV42" s="139"/>
      <c r="BEW42" s="139"/>
      <c r="BEX42" s="139"/>
      <c r="BEY42" s="139"/>
      <c r="BEZ42" s="139"/>
      <c r="BFA42" s="139"/>
      <c r="BFB42" s="139"/>
      <c r="BFC42" s="139"/>
      <c r="BFD42" s="139"/>
      <c r="BFE42" s="139"/>
      <c r="BFF42" s="139"/>
      <c r="BFG42" s="139"/>
      <c r="BFH42" s="139"/>
      <c r="BFI42" s="139"/>
      <c r="BFJ42" s="139"/>
      <c r="BFK42" s="139"/>
      <c r="BFL42" s="139"/>
      <c r="BFM42" s="139"/>
      <c r="BFN42" s="139"/>
      <c r="BFO42" s="139"/>
      <c r="BFP42" s="139"/>
      <c r="BFQ42" s="139"/>
      <c r="BFR42" s="139"/>
      <c r="BFS42" s="139"/>
      <c r="BFT42" s="139"/>
      <c r="BFU42" s="139"/>
      <c r="BFV42" s="139"/>
      <c r="BFW42" s="139"/>
      <c r="BFX42" s="139"/>
      <c r="BFY42" s="139"/>
      <c r="BFZ42" s="139"/>
      <c r="BGA42" s="139"/>
      <c r="BGB42" s="139"/>
      <c r="BGC42" s="139"/>
      <c r="BGD42" s="139"/>
      <c r="BGE42" s="139"/>
      <c r="BGF42" s="139"/>
      <c r="BGG42" s="139"/>
      <c r="BGH42" s="139"/>
      <c r="BGI42" s="139"/>
      <c r="BGJ42" s="139"/>
      <c r="BGK42" s="139"/>
      <c r="BGL42" s="139"/>
      <c r="BGM42" s="139"/>
      <c r="BGN42" s="139"/>
      <c r="BGO42" s="139"/>
      <c r="BGP42" s="139"/>
      <c r="BGQ42" s="139"/>
      <c r="BGR42" s="139"/>
      <c r="BGS42" s="139"/>
      <c r="BGT42" s="139"/>
      <c r="BGU42" s="139"/>
      <c r="BGV42" s="139"/>
      <c r="BGW42" s="139"/>
      <c r="BGX42" s="139"/>
      <c r="BGY42" s="139"/>
      <c r="BGZ42" s="139"/>
      <c r="BHA42" s="139"/>
      <c r="BHB42" s="139"/>
      <c r="BHC42" s="139"/>
      <c r="BHD42" s="139"/>
      <c r="BHE42" s="139"/>
      <c r="BHF42" s="139"/>
      <c r="BHG42" s="139"/>
      <c r="BHH42" s="139"/>
      <c r="BHI42" s="139"/>
      <c r="BHJ42" s="139"/>
      <c r="BHK42" s="139"/>
      <c r="BHL42" s="139"/>
      <c r="BHM42" s="139"/>
      <c r="BHN42" s="139"/>
      <c r="BHO42" s="139"/>
      <c r="BHP42" s="139"/>
      <c r="BHQ42" s="139"/>
      <c r="BHR42" s="139"/>
      <c r="BHS42" s="139"/>
      <c r="BHT42" s="139"/>
      <c r="BHU42" s="139"/>
      <c r="BHV42" s="139"/>
      <c r="BHW42" s="139"/>
      <c r="BHX42" s="139"/>
      <c r="BHY42" s="139"/>
      <c r="BHZ42" s="139"/>
      <c r="BIA42" s="139"/>
      <c r="BIB42" s="139"/>
      <c r="BIC42" s="139"/>
      <c r="BID42" s="139"/>
      <c r="BIE42" s="139"/>
      <c r="BIF42" s="139"/>
      <c r="BIG42" s="139"/>
      <c r="BIH42" s="139"/>
      <c r="BII42" s="139"/>
      <c r="BIJ42" s="139"/>
      <c r="BIK42" s="139"/>
      <c r="BIL42" s="139"/>
      <c r="BIM42" s="139"/>
      <c r="BIN42" s="139"/>
      <c r="BIO42" s="139"/>
      <c r="BIP42" s="139"/>
      <c r="BIQ42" s="139"/>
      <c r="BIR42" s="139"/>
      <c r="BIS42" s="139"/>
      <c r="BIT42" s="139"/>
      <c r="BIU42" s="139"/>
      <c r="BIV42" s="139"/>
      <c r="BIW42" s="139"/>
      <c r="BIX42" s="139"/>
      <c r="BIY42" s="139"/>
      <c r="BIZ42" s="139"/>
      <c r="BJA42" s="139"/>
      <c r="BJB42" s="139"/>
      <c r="BJC42" s="139"/>
      <c r="BJD42" s="139"/>
      <c r="BJE42" s="139"/>
      <c r="BJF42" s="139"/>
      <c r="BJG42" s="139"/>
      <c r="BJH42" s="139"/>
      <c r="BJI42" s="139"/>
      <c r="BJJ42" s="139"/>
      <c r="BJK42" s="139"/>
      <c r="BJL42" s="139"/>
      <c r="BJM42" s="139"/>
      <c r="BJN42" s="139"/>
      <c r="BJO42" s="139"/>
      <c r="BJP42" s="139"/>
      <c r="BJQ42" s="139"/>
      <c r="BJR42" s="139"/>
      <c r="BJS42" s="139"/>
      <c r="BJT42" s="139"/>
      <c r="BJU42" s="139"/>
      <c r="BJV42" s="139"/>
      <c r="BJW42" s="139"/>
      <c r="BJX42" s="139"/>
      <c r="BJY42" s="139"/>
      <c r="BJZ42" s="139"/>
      <c r="BKA42" s="139"/>
      <c r="BKB42" s="139"/>
      <c r="BKC42" s="139"/>
      <c r="BKD42" s="139"/>
      <c r="BKE42" s="139"/>
      <c r="BKF42" s="139"/>
      <c r="BKG42" s="139"/>
      <c r="BKH42" s="139"/>
      <c r="BKI42" s="139"/>
      <c r="BKJ42" s="139"/>
      <c r="BKK42" s="139"/>
      <c r="BKL42" s="139"/>
      <c r="BKM42" s="139"/>
      <c r="BKN42" s="139"/>
      <c r="BKO42" s="139"/>
      <c r="BKP42" s="139"/>
      <c r="BKQ42" s="139"/>
      <c r="BKR42" s="139"/>
      <c r="BKS42" s="139"/>
      <c r="BKT42" s="139"/>
      <c r="BKU42" s="139"/>
      <c r="BKV42" s="139"/>
      <c r="BKW42" s="139"/>
      <c r="BKX42" s="139"/>
      <c r="BKY42" s="139"/>
      <c r="BKZ42" s="139"/>
      <c r="BLA42" s="139"/>
      <c r="BLB42" s="139"/>
      <c r="BLC42" s="139"/>
      <c r="BLD42" s="139"/>
      <c r="BLE42" s="139"/>
      <c r="BLF42" s="139"/>
      <c r="BLG42" s="139"/>
      <c r="BLH42" s="139"/>
      <c r="BLI42" s="139"/>
      <c r="BLJ42" s="139"/>
      <c r="BLK42" s="139"/>
      <c r="BLL42" s="139"/>
      <c r="BLM42" s="139"/>
      <c r="BLN42" s="139"/>
      <c r="BLO42" s="139"/>
      <c r="BLP42" s="139"/>
      <c r="BLQ42" s="139"/>
      <c r="BLR42" s="139"/>
      <c r="BLS42" s="139"/>
      <c r="BLT42" s="139"/>
      <c r="BLU42" s="139"/>
      <c r="BLV42" s="139"/>
      <c r="BLW42" s="139"/>
      <c r="BLX42" s="139"/>
      <c r="BLY42" s="139"/>
      <c r="BLZ42" s="139"/>
      <c r="BMA42" s="139"/>
      <c r="BMB42" s="139"/>
      <c r="BMC42" s="139"/>
      <c r="BMD42" s="139"/>
      <c r="BME42" s="139"/>
      <c r="BMF42" s="139"/>
      <c r="BMG42" s="139"/>
      <c r="BMH42" s="139"/>
      <c r="BMI42" s="139"/>
      <c r="BMJ42" s="139"/>
      <c r="BMK42" s="139"/>
      <c r="BML42" s="139"/>
      <c r="BMM42" s="139"/>
      <c r="BMN42" s="139"/>
      <c r="BMO42" s="139"/>
      <c r="BMP42" s="139"/>
      <c r="BMQ42" s="139"/>
      <c r="BMR42" s="139"/>
      <c r="BMS42" s="139"/>
      <c r="BMT42" s="139"/>
      <c r="BMU42" s="139"/>
      <c r="BMV42" s="139"/>
      <c r="BMW42" s="139"/>
      <c r="BMX42" s="139"/>
      <c r="BMY42" s="139"/>
      <c r="BMZ42" s="139"/>
      <c r="BNA42" s="139"/>
      <c r="BNB42" s="139"/>
      <c r="BNC42" s="139"/>
      <c r="BND42" s="139"/>
      <c r="BNE42" s="139"/>
      <c r="BNF42" s="139"/>
      <c r="BNG42" s="139"/>
      <c r="BNH42" s="139"/>
      <c r="BNI42" s="139"/>
      <c r="BNJ42" s="139"/>
      <c r="BNK42" s="139"/>
      <c r="BNL42" s="139"/>
      <c r="BNM42" s="139"/>
      <c r="BNN42" s="139"/>
      <c r="BNO42" s="139"/>
      <c r="BNP42" s="139"/>
      <c r="BNQ42" s="139"/>
      <c r="BNR42" s="139"/>
      <c r="BNS42" s="139"/>
      <c r="BNT42" s="139"/>
      <c r="BNU42" s="139"/>
      <c r="BNV42" s="139"/>
      <c r="BNW42" s="139"/>
      <c r="BNX42" s="139"/>
      <c r="BNY42" s="139"/>
      <c r="BNZ42" s="139"/>
      <c r="BOA42" s="139"/>
      <c r="BOB42" s="139"/>
      <c r="BOC42" s="139"/>
      <c r="BOD42" s="139"/>
      <c r="BOE42" s="139"/>
      <c r="BOF42" s="139"/>
      <c r="BOG42" s="139"/>
      <c r="BOH42" s="139"/>
      <c r="BOI42" s="139"/>
      <c r="BOJ42" s="139"/>
      <c r="BOK42" s="139"/>
      <c r="BOL42" s="139"/>
      <c r="BOM42" s="139"/>
      <c r="BON42" s="139"/>
      <c r="BOO42" s="139"/>
      <c r="BOP42" s="139"/>
      <c r="BOQ42" s="139"/>
      <c r="BOR42" s="139"/>
      <c r="BOS42" s="139"/>
      <c r="BOT42" s="139"/>
      <c r="BOU42" s="139"/>
      <c r="BOV42" s="139"/>
      <c r="BOW42" s="139"/>
      <c r="BOX42" s="139"/>
      <c r="BOY42" s="139"/>
      <c r="BOZ42" s="139"/>
      <c r="BPA42" s="139"/>
      <c r="BPB42" s="139"/>
      <c r="BPC42" s="139"/>
      <c r="BPD42" s="139"/>
      <c r="BPE42" s="139"/>
      <c r="BPF42" s="139"/>
      <c r="BPG42" s="139"/>
      <c r="BPH42" s="139"/>
      <c r="BPI42" s="139"/>
      <c r="BPJ42" s="139"/>
      <c r="BPK42" s="139"/>
      <c r="BPL42" s="139"/>
      <c r="BPM42" s="139"/>
      <c r="BPN42" s="139"/>
      <c r="BPO42" s="139"/>
      <c r="BPP42" s="139"/>
      <c r="BPQ42" s="139"/>
      <c r="BPR42" s="139"/>
      <c r="BPS42" s="139"/>
      <c r="BPT42" s="139"/>
      <c r="BPU42" s="139"/>
      <c r="BPV42" s="139"/>
      <c r="BPW42" s="139"/>
      <c r="BPX42" s="139"/>
      <c r="BPY42" s="139"/>
      <c r="BPZ42" s="139"/>
      <c r="BQA42" s="139"/>
      <c r="BQB42" s="139"/>
      <c r="BQC42" s="139"/>
      <c r="BQD42" s="139"/>
      <c r="BQE42" s="139"/>
      <c r="BQF42" s="139"/>
      <c r="BQG42" s="139"/>
      <c r="BQH42" s="139"/>
      <c r="BQI42" s="139"/>
      <c r="BQJ42" s="139"/>
      <c r="BQK42" s="139"/>
      <c r="BQL42" s="139"/>
      <c r="BQM42" s="139"/>
      <c r="BQN42" s="139"/>
      <c r="BQO42" s="139"/>
      <c r="BQP42" s="139"/>
      <c r="BQQ42" s="139"/>
      <c r="BQR42" s="139"/>
      <c r="BQS42" s="139"/>
      <c r="BQT42" s="139"/>
      <c r="BQU42" s="139"/>
      <c r="BQV42" s="139"/>
      <c r="BQW42" s="139"/>
      <c r="BQX42" s="139"/>
      <c r="BQY42" s="139"/>
      <c r="BQZ42" s="139"/>
      <c r="BRA42" s="139"/>
      <c r="BRB42" s="139"/>
      <c r="BRC42" s="139"/>
      <c r="BRD42" s="139"/>
      <c r="BRE42" s="139"/>
      <c r="BRF42" s="139"/>
      <c r="BRG42" s="139"/>
      <c r="BRH42" s="139"/>
      <c r="BRI42" s="139"/>
      <c r="BRJ42" s="139"/>
      <c r="BRK42" s="139"/>
      <c r="BRL42" s="139"/>
      <c r="BRM42" s="139"/>
      <c r="BRN42" s="139"/>
      <c r="BRO42" s="139"/>
      <c r="BRP42" s="139"/>
      <c r="BRQ42" s="139"/>
      <c r="BRR42" s="139"/>
      <c r="BRS42" s="139"/>
      <c r="BRT42" s="139"/>
      <c r="BRU42" s="139"/>
      <c r="BRV42" s="139"/>
      <c r="BRW42" s="139"/>
      <c r="BRX42" s="139"/>
      <c r="BRY42" s="139"/>
      <c r="BRZ42" s="139"/>
      <c r="BSA42" s="139"/>
      <c r="BSB42" s="139"/>
      <c r="BSC42" s="139"/>
      <c r="BSD42" s="139"/>
      <c r="BSE42" s="139"/>
      <c r="BSF42" s="139"/>
      <c r="BSG42" s="139"/>
      <c r="BSH42" s="139"/>
      <c r="BSI42" s="139"/>
      <c r="BSJ42" s="139"/>
      <c r="BSK42" s="139"/>
      <c r="BSL42" s="139"/>
      <c r="BSM42" s="139"/>
      <c r="BSN42" s="139"/>
      <c r="BSO42" s="139"/>
      <c r="BSP42" s="139"/>
      <c r="BSQ42" s="139"/>
      <c r="BSR42" s="139"/>
      <c r="BSS42" s="139"/>
      <c r="BST42" s="139"/>
      <c r="BSU42" s="139"/>
      <c r="BSV42" s="139"/>
      <c r="BSW42" s="139"/>
      <c r="BSX42" s="139"/>
      <c r="BSY42" s="139"/>
      <c r="BSZ42" s="139"/>
      <c r="BTA42" s="139"/>
      <c r="BTB42" s="139"/>
      <c r="BTC42" s="139"/>
      <c r="BTD42" s="139"/>
      <c r="BTE42" s="139"/>
      <c r="BTF42" s="139"/>
      <c r="BTG42" s="139"/>
      <c r="BTH42" s="139"/>
      <c r="BTI42" s="139"/>
      <c r="BTJ42" s="139"/>
      <c r="BTK42" s="139"/>
      <c r="BTL42" s="139"/>
      <c r="BTM42" s="139"/>
      <c r="BTN42" s="139"/>
      <c r="BTO42" s="139"/>
      <c r="BTP42" s="139"/>
      <c r="BTQ42" s="139"/>
      <c r="BTR42" s="139"/>
      <c r="BTS42" s="139"/>
      <c r="BTT42" s="139"/>
      <c r="BTU42" s="139"/>
      <c r="BTV42" s="139"/>
      <c r="BTW42" s="139"/>
      <c r="BTX42" s="139"/>
      <c r="BTY42" s="139"/>
      <c r="BTZ42" s="139"/>
      <c r="BUA42" s="139"/>
      <c r="BUB42" s="139"/>
      <c r="BUC42" s="139"/>
      <c r="BUD42" s="139"/>
      <c r="BUE42" s="139"/>
      <c r="BUF42" s="139"/>
      <c r="BUG42" s="139"/>
      <c r="BUH42" s="139"/>
      <c r="BUI42" s="139"/>
      <c r="BUJ42" s="139"/>
      <c r="BUK42" s="139"/>
      <c r="BUL42" s="139"/>
      <c r="BUM42" s="139"/>
      <c r="BUN42" s="139"/>
      <c r="BUO42" s="139"/>
      <c r="BUP42" s="139"/>
      <c r="BUQ42" s="139"/>
      <c r="BUR42" s="139"/>
      <c r="BUS42" s="139"/>
      <c r="BUT42" s="139"/>
      <c r="BUU42" s="139"/>
      <c r="BUV42" s="139"/>
      <c r="BUW42" s="139"/>
      <c r="BUX42" s="139"/>
      <c r="BUY42" s="139"/>
      <c r="BUZ42" s="139"/>
      <c r="BVA42" s="139"/>
      <c r="BVB42" s="139"/>
      <c r="BVC42" s="139"/>
      <c r="BVD42" s="139"/>
      <c r="BVE42" s="139"/>
      <c r="BVF42" s="139"/>
      <c r="BVG42" s="139"/>
      <c r="BVH42" s="139"/>
      <c r="BVI42" s="139"/>
      <c r="BVJ42" s="139"/>
      <c r="BVK42" s="139"/>
      <c r="BVL42" s="139"/>
      <c r="BVM42" s="139"/>
      <c r="BVN42" s="139"/>
      <c r="BVO42" s="139"/>
      <c r="BVP42" s="139"/>
      <c r="BVQ42" s="139"/>
      <c r="BVR42" s="139"/>
      <c r="BVS42" s="139"/>
      <c r="BVT42" s="139"/>
      <c r="BVU42" s="139"/>
      <c r="BVV42" s="139"/>
      <c r="BVW42" s="139"/>
      <c r="BVX42" s="139"/>
      <c r="BVY42" s="139"/>
      <c r="BVZ42" s="139"/>
      <c r="BWA42" s="139"/>
      <c r="BWB42" s="139"/>
      <c r="BWC42" s="139"/>
      <c r="BWD42" s="139"/>
      <c r="BWE42" s="139"/>
      <c r="BWF42" s="139"/>
      <c r="BWG42" s="139"/>
      <c r="BWH42" s="139"/>
      <c r="BWI42" s="139"/>
      <c r="BWJ42" s="139"/>
      <c r="BWK42" s="139"/>
      <c r="BWL42" s="139"/>
      <c r="BWM42" s="139"/>
      <c r="BWN42" s="139"/>
      <c r="BWO42" s="139"/>
      <c r="BWP42" s="139"/>
      <c r="BWQ42" s="139"/>
      <c r="BWR42" s="139"/>
      <c r="BWS42" s="139"/>
      <c r="BWT42" s="139"/>
      <c r="BWU42" s="139"/>
      <c r="BWV42" s="139"/>
      <c r="BWW42" s="139"/>
      <c r="BWX42" s="139"/>
      <c r="BWY42" s="139"/>
      <c r="BWZ42" s="139"/>
      <c r="BXA42" s="139"/>
      <c r="BXB42" s="139"/>
      <c r="BXC42" s="139"/>
      <c r="BXD42" s="139"/>
      <c r="BXE42" s="139"/>
      <c r="BXF42" s="139"/>
      <c r="BXG42" s="139"/>
      <c r="BXH42" s="139"/>
      <c r="BXI42" s="139"/>
      <c r="BXJ42" s="139"/>
      <c r="BXK42" s="139"/>
      <c r="BXL42" s="139"/>
      <c r="BXM42" s="139"/>
      <c r="BXN42" s="139"/>
      <c r="BXO42" s="139"/>
      <c r="BXP42" s="139"/>
      <c r="BXQ42" s="139"/>
      <c r="BXR42" s="139"/>
      <c r="BXS42" s="139"/>
      <c r="BXT42" s="139"/>
      <c r="BXU42" s="139"/>
      <c r="BXV42" s="139"/>
      <c r="BXW42" s="139"/>
      <c r="BXX42" s="139"/>
      <c r="BXY42" s="139"/>
      <c r="BXZ42" s="139"/>
      <c r="BYA42" s="139"/>
      <c r="BYB42" s="139"/>
      <c r="BYC42" s="139"/>
      <c r="BYD42" s="139"/>
      <c r="BYE42" s="139"/>
      <c r="BYF42" s="139"/>
      <c r="BYG42" s="139"/>
      <c r="BYH42" s="139"/>
      <c r="BYI42" s="139"/>
      <c r="BYJ42" s="139"/>
      <c r="BYK42" s="139"/>
      <c r="BYL42" s="139"/>
      <c r="BYM42" s="139"/>
      <c r="BYN42" s="139"/>
      <c r="BYO42" s="139"/>
      <c r="BYP42" s="139"/>
      <c r="BYQ42" s="139"/>
      <c r="BYR42" s="139"/>
      <c r="BYS42" s="139"/>
      <c r="BYT42" s="139"/>
      <c r="BYU42" s="139"/>
      <c r="BYV42" s="139"/>
      <c r="BYW42" s="139"/>
      <c r="BYX42" s="139"/>
      <c r="BYY42" s="139"/>
      <c r="BYZ42" s="139"/>
      <c r="BZA42" s="139"/>
      <c r="BZB42" s="139"/>
      <c r="BZC42" s="139"/>
      <c r="BZD42" s="139"/>
      <c r="BZE42" s="139"/>
      <c r="BZF42" s="139"/>
      <c r="BZG42" s="139"/>
      <c r="BZH42" s="139"/>
      <c r="BZI42" s="139"/>
      <c r="BZJ42" s="139"/>
      <c r="BZK42" s="139"/>
      <c r="BZL42" s="139"/>
      <c r="BZM42" s="139"/>
      <c r="BZN42" s="139"/>
      <c r="BZO42" s="139"/>
      <c r="BZP42" s="139"/>
      <c r="BZQ42" s="139"/>
      <c r="BZR42" s="139"/>
      <c r="BZS42" s="139"/>
      <c r="BZT42" s="139"/>
      <c r="BZU42" s="139"/>
      <c r="BZV42" s="139"/>
      <c r="BZW42" s="139"/>
      <c r="BZX42" s="139"/>
      <c r="BZY42" s="139"/>
      <c r="BZZ42" s="139"/>
      <c r="CAA42" s="139"/>
      <c r="CAB42" s="139"/>
      <c r="CAC42" s="139"/>
      <c r="CAD42" s="139"/>
      <c r="CAE42" s="139"/>
      <c r="CAF42" s="139"/>
      <c r="CAG42" s="139"/>
      <c r="CAH42" s="139"/>
      <c r="CAI42" s="139"/>
      <c r="CAJ42" s="139"/>
      <c r="CAK42" s="139"/>
      <c r="CAL42" s="139"/>
      <c r="CAM42" s="139"/>
      <c r="CAN42" s="139"/>
      <c r="CAO42" s="139"/>
      <c r="CAP42" s="139"/>
      <c r="CAQ42" s="139"/>
      <c r="CAR42" s="139"/>
      <c r="CAS42" s="139"/>
      <c r="CAT42" s="139"/>
      <c r="CAU42" s="139"/>
      <c r="CAV42" s="139"/>
      <c r="CAW42" s="139"/>
      <c r="CAX42" s="139"/>
      <c r="CAY42" s="139"/>
      <c r="CAZ42" s="139"/>
      <c r="CBA42" s="139"/>
      <c r="CBB42" s="139"/>
      <c r="CBC42" s="139"/>
      <c r="CBD42" s="139"/>
      <c r="CBE42" s="139"/>
      <c r="CBF42" s="139"/>
      <c r="CBG42" s="139"/>
      <c r="CBH42" s="139"/>
      <c r="CBI42" s="139"/>
      <c r="CBJ42" s="139"/>
      <c r="CBK42" s="139"/>
      <c r="CBL42" s="139"/>
      <c r="CBM42" s="139"/>
      <c r="CBN42" s="139"/>
      <c r="CBO42" s="139"/>
      <c r="CBP42" s="139"/>
      <c r="CBQ42" s="139"/>
      <c r="CBR42" s="139"/>
      <c r="CBS42" s="139"/>
      <c r="CBT42" s="139"/>
      <c r="CBU42" s="139"/>
      <c r="CBV42" s="139"/>
      <c r="CBW42" s="139"/>
      <c r="CBX42" s="139"/>
      <c r="CBY42" s="139"/>
      <c r="CBZ42" s="139"/>
      <c r="CCA42" s="139"/>
      <c r="CCB42" s="139"/>
      <c r="CCC42" s="139"/>
      <c r="CCD42" s="139"/>
      <c r="CCE42" s="139"/>
      <c r="CCF42" s="139"/>
      <c r="CCG42" s="139"/>
      <c r="CCH42" s="139"/>
      <c r="CCI42" s="139"/>
      <c r="CCJ42" s="139"/>
      <c r="CCK42" s="139"/>
      <c r="CCL42" s="139"/>
      <c r="CCM42" s="139"/>
      <c r="CCN42" s="139"/>
      <c r="CCO42" s="139"/>
      <c r="CCP42" s="139"/>
      <c r="CCQ42" s="139"/>
      <c r="CCR42" s="139"/>
      <c r="CCS42" s="139"/>
      <c r="CCT42" s="139"/>
      <c r="CCU42" s="139"/>
      <c r="CCV42" s="139"/>
      <c r="CCW42" s="139"/>
      <c r="CCX42" s="139"/>
      <c r="CCY42" s="139"/>
      <c r="CCZ42" s="139"/>
      <c r="CDA42" s="139"/>
      <c r="CDB42" s="139"/>
      <c r="CDC42" s="139"/>
      <c r="CDD42" s="139"/>
      <c r="CDE42" s="139"/>
      <c r="CDF42" s="139"/>
      <c r="CDG42" s="139"/>
      <c r="CDH42" s="139"/>
      <c r="CDI42" s="139"/>
      <c r="CDJ42" s="139"/>
      <c r="CDK42" s="139"/>
      <c r="CDL42" s="139"/>
      <c r="CDM42" s="139"/>
      <c r="CDN42" s="139"/>
      <c r="CDO42" s="139"/>
      <c r="CDP42" s="139"/>
      <c r="CDQ42" s="139"/>
      <c r="CDR42" s="139"/>
      <c r="CDS42" s="139"/>
      <c r="CDT42" s="139"/>
      <c r="CDU42" s="139"/>
      <c r="CDV42" s="139"/>
      <c r="CDW42" s="139"/>
      <c r="CDX42" s="139"/>
      <c r="CDY42" s="139"/>
      <c r="CDZ42" s="139"/>
      <c r="CEA42" s="139"/>
      <c r="CEB42" s="139"/>
      <c r="CEC42" s="139"/>
      <c r="CED42" s="139"/>
      <c r="CEE42" s="139"/>
      <c r="CEF42" s="139"/>
      <c r="CEG42" s="139"/>
      <c r="CEH42" s="139"/>
      <c r="CEI42" s="139"/>
      <c r="CEJ42" s="139"/>
      <c r="CEK42" s="139"/>
      <c r="CEL42" s="139"/>
      <c r="CEM42" s="139"/>
      <c r="CEN42" s="139"/>
      <c r="CEO42" s="139"/>
      <c r="CEP42" s="139"/>
      <c r="CEQ42" s="139"/>
      <c r="CER42" s="139"/>
      <c r="CES42" s="139"/>
      <c r="CET42" s="139"/>
      <c r="CEU42" s="139"/>
      <c r="CEV42" s="139"/>
      <c r="CEW42" s="139"/>
      <c r="CEX42" s="139"/>
      <c r="CEY42" s="139"/>
      <c r="CEZ42" s="139"/>
      <c r="CFA42" s="139"/>
      <c r="CFB42" s="139"/>
      <c r="CFC42" s="139"/>
      <c r="CFD42" s="139"/>
      <c r="CFE42" s="139"/>
      <c r="CFF42" s="139"/>
      <c r="CFG42" s="139"/>
      <c r="CFH42" s="139"/>
      <c r="CFI42" s="139"/>
      <c r="CFJ42" s="139"/>
      <c r="CFK42" s="139"/>
      <c r="CFL42" s="139"/>
      <c r="CFM42" s="139"/>
      <c r="CFN42" s="139"/>
      <c r="CFO42" s="139"/>
      <c r="CFP42" s="139"/>
      <c r="CFQ42" s="139"/>
      <c r="CFR42" s="139"/>
      <c r="CFS42" s="139"/>
      <c r="CFT42" s="139"/>
      <c r="CFU42" s="139"/>
      <c r="CFV42" s="139"/>
      <c r="CFW42" s="139"/>
      <c r="CFX42" s="139"/>
      <c r="CFY42" s="139"/>
      <c r="CFZ42" s="139"/>
      <c r="CGA42" s="139"/>
      <c r="CGB42" s="139"/>
      <c r="CGC42" s="139"/>
      <c r="CGD42" s="139"/>
      <c r="CGE42" s="139"/>
      <c r="CGF42" s="139"/>
      <c r="CGG42" s="139"/>
      <c r="CGH42" s="139"/>
      <c r="CGI42" s="139"/>
      <c r="CGJ42" s="139"/>
      <c r="CGK42" s="139"/>
      <c r="CGL42" s="139"/>
      <c r="CGM42" s="139"/>
      <c r="CGN42" s="139"/>
      <c r="CGO42" s="139"/>
      <c r="CGP42" s="139"/>
      <c r="CGQ42" s="139"/>
      <c r="CGR42" s="139"/>
      <c r="CGS42" s="139"/>
      <c r="CGT42" s="139"/>
      <c r="CGU42" s="139"/>
      <c r="CGV42" s="139"/>
      <c r="CGW42" s="139"/>
      <c r="CGX42" s="139"/>
      <c r="CGY42" s="139"/>
      <c r="CGZ42" s="139"/>
      <c r="CHA42" s="139"/>
      <c r="CHB42" s="139"/>
      <c r="CHC42" s="139"/>
      <c r="CHD42" s="139"/>
      <c r="CHE42" s="139"/>
      <c r="CHF42" s="139"/>
      <c r="CHG42" s="139"/>
      <c r="CHH42" s="139"/>
      <c r="CHI42" s="139"/>
      <c r="CHJ42" s="139"/>
      <c r="CHK42" s="139"/>
      <c r="CHL42" s="139"/>
      <c r="CHM42" s="139"/>
      <c r="CHN42" s="139"/>
      <c r="CHO42" s="139"/>
      <c r="CHP42" s="139"/>
      <c r="CHQ42" s="139"/>
      <c r="CHR42" s="139"/>
      <c r="CHS42" s="139"/>
      <c r="CHT42" s="139"/>
      <c r="CHU42" s="139"/>
      <c r="CHV42" s="139"/>
      <c r="CHW42" s="139"/>
      <c r="CHX42" s="139"/>
      <c r="CHY42" s="139"/>
      <c r="CHZ42" s="139"/>
      <c r="CIA42" s="139"/>
      <c r="CIB42" s="139"/>
      <c r="CIC42" s="139"/>
      <c r="CID42" s="139"/>
      <c r="CIE42" s="139"/>
      <c r="CIF42" s="139"/>
      <c r="CIG42" s="139"/>
      <c r="CIH42" s="139"/>
      <c r="CII42" s="139"/>
      <c r="CIJ42" s="139"/>
      <c r="CIK42" s="139"/>
      <c r="CIL42" s="139"/>
      <c r="CIM42" s="139"/>
      <c r="CIN42" s="139"/>
      <c r="CIO42" s="139"/>
      <c r="CIP42" s="139"/>
      <c r="CIQ42" s="139"/>
      <c r="CIR42" s="139"/>
      <c r="CIS42" s="139"/>
      <c r="CIT42" s="139"/>
      <c r="CIU42" s="139"/>
      <c r="CIV42" s="139"/>
      <c r="CIW42" s="139"/>
      <c r="CIX42" s="139"/>
      <c r="CIY42" s="139"/>
      <c r="CIZ42" s="139"/>
      <c r="CJA42" s="139"/>
      <c r="CJB42" s="139"/>
      <c r="CJC42" s="139"/>
      <c r="CJD42" s="139"/>
      <c r="CJE42" s="139"/>
      <c r="CJF42" s="139"/>
      <c r="CJG42" s="139"/>
      <c r="CJH42" s="139"/>
      <c r="CJI42" s="139"/>
      <c r="CJJ42" s="139"/>
      <c r="CJK42" s="139"/>
      <c r="CJL42" s="139"/>
      <c r="CJM42" s="139"/>
      <c r="CJN42" s="139"/>
      <c r="CJO42" s="139"/>
      <c r="CJP42" s="139"/>
      <c r="CJQ42" s="139"/>
      <c r="CJR42" s="139"/>
      <c r="CJS42" s="139"/>
      <c r="CJT42" s="139"/>
      <c r="CJU42" s="139"/>
      <c r="CJV42" s="139"/>
      <c r="CJW42" s="139"/>
      <c r="CJX42" s="139"/>
      <c r="CJY42" s="139"/>
      <c r="CJZ42" s="139"/>
      <c r="CKA42" s="139"/>
      <c r="CKB42" s="139"/>
      <c r="CKC42" s="139"/>
      <c r="CKD42" s="139"/>
      <c r="CKE42" s="139"/>
      <c r="CKF42" s="139"/>
      <c r="CKG42" s="139"/>
      <c r="CKH42" s="139"/>
      <c r="CKI42" s="139"/>
      <c r="CKJ42" s="139"/>
      <c r="CKK42" s="139"/>
      <c r="CKL42" s="139"/>
      <c r="CKM42" s="139"/>
      <c r="CKN42" s="139"/>
      <c r="CKO42" s="139"/>
      <c r="CKP42" s="139"/>
      <c r="CKQ42" s="139"/>
      <c r="CKR42" s="139"/>
      <c r="CKS42" s="139"/>
      <c r="CKT42" s="139"/>
      <c r="CKU42" s="139"/>
      <c r="CKV42" s="139"/>
      <c r="CKW42" s="139"/>
      <c r="CKX42" s="139"/>
      <c r="CKY42" s="139"/>
      <c r="CKZ42" s="139"/>
      <c r="CLA42" s="139"/>
      <c r="CLB42" s="139"/>
      <c r="CLC42" s="139"/>
      <c r="CLD42" s="139"/>
      <c r="CLE42" s="139"/>
      <c r="CLF42" s="139"/>
      <c r="CLG42" s="139"/>
      <c r="CLH42" s="139"/>
      <c r="CLI42" s="139"/>
      <c r="CLJ42" s="139"/>
      <c r="CLK42" s="139"/>
      <c r="CLL42" s="139"/>
      <c r="CLM42" s="139"/>
      <c r="CLN42" s="139"/>
      <c r="CLO42" s="139"/>
      <c r="CLP42" s="139"/>
      <c r="CLQ42" s="139"/>
      <c r="CLR42" s="139"/>
      <c r="CLS42" s="139"/>
      <c r="CLT42" s="139"/>
      <c r="CLU42" s="139"/>
      <c r="CLV42" s="139"/>
      <c r="CLW42" s="139"/>
      <c r="CLX42" s="139"/>
      <c r="CLY42" s="139"/>
      <c r="CLZ42" s="139"/>
      <c r="CMA42" s="139"/>
      <c r="CMB42" s="139"/>
      <c r="CMC42" s="139"/>
      <c r="CMD42" s="139"/>
      <c r="CME42" s="139"/>
      <c r="CMF42" s="139"/>
      <c r="CMG42" s="139"/>
      <c r="CMH42" s="139"/>
      <c r="CMI42" s="139"/>
      <c r="CMJ42" s="139"/>
      <c r="CMK42" s="139"/>
      <c r="CML42" s="139"/>
      <c r="CMM42" s="139"/>
      <c r="CMN42" s="139"/>
      <c r="CMO42" s="139"/>
      <c r="CMP42" s="139"/>
      <c r="CMQ42" s="139"/>
      <c r="CMR42" s="139"/>
      <c r="CMS42" s="139"/>
      <c r="CMT42" s="139"/>
      <c r="CMU42" s="139"/>
      <c r="CMV42" s="139"/>
      <c r="CMW42" s="139"/>
      <c r="CMX42" s="139"/>
      <c r="CMY42" s="139"/>
      <c r="CMZ42" s="139"/>
      <c r="CNA42" s="139"/>
      <c r="CNB42" s="139"/>
      <c r="CNC42" s="139"/>
      <c r="CND42" s="139"/>
      <c r="CNE42" s="139"/>
      <c r="CNF42" s="139"/>
      <c r="CNG42" s="139"/>
      <c r="CNH42" s="139"/>
      <c r="CNI42" s="139"/>
      <c r="CNJ42" s="139"/>
      <c r="CNK42" s="139"/>
      <c r="CNL42" s="139"/>
      <c r="CNM42" s="139"/>
      <c r="CNN42" s="139"/>
      <c r="CNO42" s="139"/>
      <c r="CNP42" s="139"/>
      <c r="CNQ42" s="139"/>
      <c r="CNR42" s="139"/>
      <c r="CNS42" s="139"/>
      <c r="CNT42" s="139"/>
      <c r="CNU42" s="139"/>
      <c r="CNV42" s="139"/>
      <c r="CNW42" s="139"/>
      <c r="CNX42" s="139"/>
      <c r="CNY42" s="139"/>
      <c r="CNZ42" s="139"/>
      <c r="COA42" s="139"/>
      <c r="COB42" s="139"/>
      <c r="COC42" s="139"/>
      <c r="COD42" s="139"/>
      <c r="COE42" s="139"/>
      <c r="COF42" s="139"/>
      <c r="COG42" s="139"/>
      <c r="COH42" s="139"/>
      <c r="COI42" s="139"/>
      <c r="COJ42" s="139"/>
      <c r="COK42" s="139"/>
      <c r="COL42" s="139"/>
      <c r="COM42" s="139"/>
      <c r="CON42" s="139"/>
      <c r="COO42" s="139"/>
      <c r="COP42" s="139"/>
      <c r="COQ42" s="139"/>
      <c r="COR42" s="139"/>
      <c r="COS42" s="139"/>
      <c r="COT42" s="139"/>
      <c r="COU42" s="139"/>
      <c r="COV42" s="139"/>
      <c r="COW42" s="139"/>
      <c r="COX42" s="139"/>
      <c r="COY42" s="139"/>
      <c r="COZ42" s="139"/>
      <c r="CPA42" s="139"/>
      <c r="CPB42" s="139"/>
      <c r="CPC42" s="139"/>
      <c r="CPD42" s="139"/>
      <c r="CPE42" s="139"/>
      <c r="CPF42" s="139"/>
      <c r="CPG42" s="139"/>
      <c r="CPH42" s="139"/>
      <c r="CPI42" s="139"/>
      <c r="CPJ42" s="139"/>
      <c r="CPK42" s="139"/>
      <c r="CPL42" s="139"/>
      <c r="CPM42" s="139"/>
      <c r="CPN42" s="139"/>
      <c r="CPO42" s="139"/>
      <c r="CPP42" s="139"/>
      <c r="CPQ42" s="139"/>
      <c r="CPR42" s="139"/>
      <c r="CPS42" s="139"/>
      <c r="CPT42" s="139"/>
      <c r="CPU42" s="139"/>
      <c r="CPV42" s="139"/>
      <c r="CPW42" s="139"/>
      <c r="CPX42" s="139"/>
      <c r="CPY42" s="139"/>
      <c r="CPZ42" s="139"/>
      <c r="CQA42" s="139"/>
      <c r="CQB42" s="139"/>
      <c r="CQC42" s="139"/>
      <c r="CQD42" s="139"/>
      <c r="CQE42" s="139"/>
      <c r="CQF42" s="139"/>
      <c r="CQG42" s="139"/>
      <c r="CQH42" s="139"/>
      <c r="CQI42" s="139"/>
      <c r="CQJ42" s="139"/>
      <c r="CQK42" s="139"/>
      <c r="CQL42" s="139"/>
      <c r="CQM42" s="139"/>
      <c r="CQN42" s="139"/>
      <c r="CQO42" s="139"/>
      <c r="CQP42" s="139"/>
      <c r="CQQ42" s="139"/>
      <c r="CQR42" s="139"/>
      <c r="CQS42" s="139"/>
      <c r="CQT42" s="139"/>
      <c r="CQU42" s="139"/>
      <c r="CQV42" s="139"/>
      <c r="CQW42" s="139"/>
      <c r="CQX42" s="139"/>
      <c r="CQY42" s="139"/>
      <c r="CQZ42" s="139"/>
      <c r="CRA42" s="139"/>
      <c r="CRB42" s="139"/>
      <c r="CRC42" s="139"/>
      <c r="CRD42" s="139"/>
      <c r="CRE42" s="139"/>
      <c r="CRF42" s="139"/>
      <c r="CRG42" s="139"/>
      <c r="CRH42" s="139"/>
      <c r="CRI42" s="139"/>
      <c r="CRJ42" s="139"/>
      <c r="CRK42" s="139"/>
      <c r="CRL42" s="139"/>
      <c r="CRM42" s="139"/>
      <c r="CRN42" s="139"/>
      <c r="CRO42" s="139"/>
      <c r="CRP42" s="139"/>
      <c r="CRQ42" s="139"/>
      <c r="CRR42" s="139"/>
      <c r="CRS42" s="139"/>
      <c r="CRT42" s="139"/>
      <c r="CRU42" s="139"/>
      <c r="CRV42" s="139"/>
      <c r="CRW42" s="139"/>
      <c r="CRX42" s="139"/>
      <c r="CRY42" s="139"/>
      <c r="CRZ42" s="139"/>
      <c r="CSA42" s="139"/>
      <c r="CSB42" s="139"/>
      <c r="CSC42" s="139"/>
      <c r="CSD42" s="139"/>
      <c r="CSE42" s="139"/>
      <c r="CSF42" s="139"/>
      <c r="CSG42" s="139"/>
      <c r="CSH42" s="139"/>
      <c r="CSI42" s="139"/>
      <c r="CSJ42" s="139"/>
      <c r="CSK42" s="139"/>
      <c r="CSL42" s="139"/>
      <c r="CSM42" s="139"/>
      <c r="CSN42" s="139"/>
      <c r="CSO42" s="139"/>
      <c r="CSP42" s="139"/>
      <c r="CSQ42" s="139"/>
      <c r="CSR42" s="139"/>
      <c r="CSS42" s="139"/>
      <c r="CST42" s="139"/>
      <c r="CSU42" s="139"/>
      <c r="CSV42" s="139"/>
      <c r="CSW42" s="139"/>
      <c r="CSX42" s="139"/>
      <c r="CSY42" s="139"/>
      <c r="CSZ42" s="139"/>
      <c r="CTA42" s="139"/>
      <c r="CTB42" s="139"/>
      <c r="CTC42" s="139"/>
      <c r="CTD42" s="139"/>
      <c r="CTE42" s="139"/>
      <c r="CTF42" s="139"/>
      <c r="CTG42" s="139"/>
      <c r="CTH42" s="139"/>
      <c r="CTI42" s="139"/>
      <c r="CTJ42" s="139"/>
      <c r="CTK42" s="139"/>
      <c r="CTL42" s="139"/>
      <c r="CTM42" s="139"/>
      <c r="CTN42" s="139"/>
      <c r="CTO42" s="139"/>
      <c r="CTP42" s="139"/>
      <c r="CTQ42" s="139"/>
      <c r="CTR42" s="139"/>
      <c r="CTS42" s="139"/>
      <c r="CTT42" s="139"/>
      <c r="CTU42" s="139"/>
      <c r="CTV42" s="139"/>
      <c r="CTW42" s="139"/>
      <c r="CTX42" s="139"/>
      <c r="CTY42" s="139"/>
      <c r="CTZ42" s="139"/>
      <c r="CUA42" s="139"/>
      <c r="CUB42" s="139"/>
      <c r="CUC42" s="139"/>
      <c r="CUD42" s="139"/>
      <c r="CUE42" s="139"/>
      <c r="CUF42" s="139"/>
      <c r="CUG42" s="139"/>
      <c r="CUH42" s="139"/>
      <c r="CUI42" s="139"/>
      <c r="CUJ42" s="139"/>
      <c r="CUK42" s="139"/>
      <c r="CUL42" s="139"/>
      <c r="CUM42" s="139"/>
      <c r="CUN42" s="139"/>
      <c r="CUO42" s="139"/>
      <c r="CUP42" s="139"/>
      <c r="CUQ42" s="139"/>
      <c r="CUR42" s="139"/>
      <c r="CUS42" s="139"/>
      <c r="CUT42" s="139"/>
      <c r="CUU42" s="139"/>
      <c r="CUV42" s="139"/>
      <c r="CUW42" s="139"/>
      <c r="CUX42" s="139"/>
      <c r="CUY42" s="139"/>
      <c r="CUZ42" s="139"/>
      <c r="CVA42" s="139"/>
      <c r="CVB42" s="139"/>
      <c r="CVC42" s="139"/>
      <c r="CVD42" s="139"/>
      <c r="CVE42" s="139"/>
      <c r="CVF42" s="139"/>
      <c r="CVG42" s="139"/>
      <c r="CVH42" s="139"/>
      <c r="CVI42" s="139"/>
      <c r="CVJ42" s="139"/>
      <c r="CVK42" s="139"/>
      <c r="CVL42" s="139"/>
      <c r="CVM42" s="139"/>
      <c r="CVN42" s="139"/>
      <c r="CVO42" s="139"/>
      <c r="CVP42" s="139"/>
      <c r="CVQ42" s="139"/>
      <c r="CVR42" s="139"/>
      <c r="CVS42" s="139"/>
      <c r="CVT42" s="139"/>
      <c r="CVU42" s="139"/>
      <c r="CVV42" s="139"/>
      <c r="CVW42" s="139"/>
      <c r="CVX42" s="139"/>
      <c r="CVY42" s="139"/>
      <c r="CVZ42" s="139"/>
      <c r="CWA42" s="139"/>
      <c r="CWB42" s="139"/>
      <c r="CWC42" s="139"/>
      <c r="CWD42" s="139"/>
      <c r="CWE42" s="139"/>
      <c r="CWF42" s="139"/>
      <c r="CWG42" s="139"/>
      <c r="CWH42" s="139"/>
      <c r="CWI42" s="139"/>
      <c r="CWJ42" s="139"/>
      <c r="CWK42" s="139"/>
      <c r="CWL42" s="139"/>
      <c r="CWM42" s="139"/>
      <c r="CWN42" s="139"/>
      <c r="CWO42" s="139"/>
      <c r="CWP42" s="139"/>
      <c r="CWQ42" s="139"/>
      <c r="CWR42" s="139"/>
      <c r="CWS42" s="139"/>
      <c r="CWT42" s="139"/>
      <c r="CWU42" s="139"/>
      <c r="CWV42" s="139"/>
      <c r="CWW42" s="139"/>
      <c r="CWX42" s="139"/>
      <c r="CWY42" s="139"/>
      <c r="CWZ42" s="139"/>
      <c r="CXA42" s="139"/>
      <c r="CXB42" s="139"/>
      <c r="CXC42" s="139"/>
      <c r="CXD42" s="139"/>
      <c r="CXE42" s="139"/>
      <c r="CXF42" s="139"/>
      <c r="CXG42" s="139"/>
      <c r="CXH42" s="139"/>
      <c r="CXI42" s="139"/>
      <c r="CXJ42" s="139"/>
      <c r="CXK42" s="139"/>
      <c r="CXL42" s="139"/>
      <c r="CXM42" s="139"/>
      <c r="CXN42" s="139"/>
      <c r="CXO42" s="139"/>
      <c r="CXP42" s="139"/>
      <c r="CXQ42" s="139"/>
      <c r="CXR42" s="139"/>
      <c r="CXS42" s="139"/>
      <c r="CXT42" s="139"/>
      <c r="CXU42" s="139"/>
      <c r="CXV42" s="139"/>
      <c r="CXW42" s="139"/>
      <c r="CXX42" s="139"/>
      <c r="CXY42" s="139"/>
      <c r="CXZ42" s="139"/>
      <c r="CYA42" s="139"/>
      <c r="CYB42" s="139"/>
      <c r="CYC42" s="139"/>
      <c r="CYD42" s="139"/>
      <c r="CYE42" s="139"/>
      <c r="CYF42" s="139"/>
      <c r="CYG42" s="139"/>
      <c r="CYH42" s="139"/>
      <c r="CYI42" s="139"/>
      <c r="CYJ42" s="139"/>
      <c r="CYK42" s="139"/>
      <c r="CYL42" s="139"/>
      <c r="CYM42" s="139"/>
      <c r="CYN42" s="139"/>
      <c r="CYO42" s="139"/>
      <c r="CYP42" s="139"/>
      <c r="CYQ42" s="139"/>
      <c r="CYR42" s="139"/>
      <c r="CYS42" s="139"/>
      <c r="CYT42" s="139"/>
      <c r="CYU42" s="139"/>
      <c r="CYV42" s="139"/>
      <c r="CYW42" s="139"/>
      <c r="CYX42" s="139"/>
      <c r="CYY42" s="139"/>
      <c r="CYZ42" s="139"/>
      <c r="CZA42" s="139"/>
      <c r="CZB42" s="139"/>
      <c r="CZC42" s="139"/>
      <c r="CZD42" s="139"/>
      <c r="CZE42" s="139"/>
      <c r="CZF42" s="139"/>
      <c r="CZG42" s="139"/>
      <c r="CZH42" s="139"/>
      <c r="CZI42" s="139"/>
      <c r="CZJ42" s="139"/>
      <c r="CZK42" s="139"/>
      <c r="CZL42" s="139"/>
      <c r="CZM42" s="139"/>
      <c r="CZN42" s="139"/>
      <c r="CZO42" s="139"/>
      <c r="CZP42" s="139"/>
      <c r="CZQ42" s="139"/>
      <c r="CZR42" s="139"/>
      <c r="CZS42" s="139"/>
      <c r="CZT42" s="139"/>
      <c r="CZU42" s="139"/>
      <c r="CZV42" s="139"/>
      <c r="CZW42" s="139"/>
      <c r="CZX42" s="139"/>
      <c r="CZY42" s="139"/>
      <c r="CZZ42" s="139"/>
      <c r="DAA42" s="139"/>
      <c r="DAB42" s="139"/>
      <c r="DAC42" s="139"/>
      <c r="DAD42" s="139"/>
      <c r="DAE42" s="139"/>
      <c r="DAF42" s="139"/>
      <c r="DAG42" s="139"/>
      <c r="DAH42" s="139"/>
      <c r="DAI42" s="139"/>
      <c r="DAJ42" s="139"/>
      <c r="DAK42" s="139"/>
      <c r="DAL42" s="139"/>
      <c r="DAM42" s="139"/>
      <c r="DAN42" s="139"/>
      <c r="DAO42" s="139"/>
      <c r="DAP42" s="139"/>
      <c r="DAQ42" s="139"/>
      <c r="DAR42" s="139"/>
      <c r="DAS42" s="139"/>
      <c r="DAT42" s="139"/>
      <c r="DAU42" s="139"/>
      <c r="DAV42" s="139"/>
      <c r="DAW42" s="139"/>
      <c r="DAX42" s="139"/>
      <c r="DAY42" s="139"/>
      <c r="DAZ42" s="139"/>
      <c r="DBA42" s="139"/>
      <c r="DBB42" s="139"/>
      <c r="DBC42" s="139"/>
      <c r="DBD42" s="139"/>
      <c r="DBE42" s="139"/>
      <c r="DBF42" s="139"/>
      <c r="DBG42" s="139"/>
      <c r="DBH42" s="139"/>
      <c r="DBI42" s="139"/>
      <c r="DBJ42" s="139"/>
      <c r="DBK42" s="139"/>
      <c r="DBL42" s="139"/>
      <c r="DBM42" s="139"/>
      <c r="DBN42" s="139"/>
      <c r="DBO42" s="139"/>
      <c r="DBP42" s="139"/>
      <c r="DBQ42" s="139"/>
      <c r="DBR42" s="139"/>
      <c r="DBS42" s="139"/>
      <c r="DBT42" s="139"/>
      <c r="DBU42" s="139"/>
      <c r="DBV42" s="139"/>
      <c r="DBW42" s="139"/>
      <c r="DBX42" s="139"/>
      <c r="DBY42" s="139"/>
      <c r="DBZ42" s="139"/>
      <c r="DCA42" s="139"/>
      <c r="DCB42" s="139"/>
      <c r="DCC42" s="139"/>
      <c r="DCD42" s="139"/>
      <c r="DCE42" s="139"/>
      <c r="DCF42" s="139"/>
      <c r="DCG42" s="139"/>
      <c r="DCH42" s="139"/>
      <c r="DCI42" s="139"/>
      <c r="DCJ42" s="139"/>
      <c r="DCK42" s="139"/>
      <c r="DCL42" s="139"/>
      <c r="DCM42" s="139"/>
      <c r="DCN42" s="139"/>
      <c r="DCO42" s="139"/>
      <c r="DCP42" s="139"/>
      <c r="DCQ42" s="139"/>
      <c r="DCR42" s="139"/>
      <c r="DCS42" s="139"/>
      <c r="DCT42" s="139"/>
      <c r="DCU42" s="139"/>
      <c r="DCV42" s="139"/>
      <c r="DCW42" s="139"/>
      <c r="DCX42" s="139"/>
      <c r="DCY42" s="139"/>
      <c r="DCZ42" s="139"/>
      <c r="DDA42" s="139"/>
      <c r="DDB42" s="139"/>
      <c r="DDC42" s="139"/>
      <c r="DDD42" s="139"/>
      <c r="DDE42" s="139"/>
      <c r="DDF42" s="139"/>
      <c r="DDG42" s="139"/>
      <c r="DDH42" s="139"/>
      <c r="DDI42" s="139"/>
      <c r="DDJ42" s="139"/>
      <c r="DDK42" s="139"/>
      <c r="DDL42" s="139"/>
      <c r="DDM42" s="139"/>
      <c r="DDN42" s="139"/>
      <c r="DDO42" s="139"/>
      <c r="DDP42" s="139"/>
      <c r="DDQ42" s="139"/>
      <c r="DDR42" s="139"/>
      <c r="DDS42" s="139"/>
      <c r="DDT42" s="139"/>
      <c r="DDU42" s="139"/>
      <c r="DDV42" s="139"/>
      <c r="DDW42" s="139"/>
      <c r="DDX42" s="139"/>
      <c r="DDY42" s="139"/>
      <c r="DDZ42" s="139"/>
      <c r="DEA42" s="139"/>
      <c r="DEB42" s="139"/>
      <c r="DEC42" s="139"/>
      <c r="DED42" s="139"/>
      <c r="DEE42" s="139"/>
      <c r="DEF42" s="139"/>
      <c r="DEG42" s="139"/>
      <c r="DEH42" s="139"/>
      <c r="DEI42" s="139"/>
      <c r="DEJ42" s="139"/>
      <c r="DEK42" s="139"/>
      <c r="DEL42" s="139"/>
      <c r="DEM42" s="139"/>
      <c r="DEN42" s="139"/>
      <c r="DEO42" s="139"/>
      <c r="DEP42" s="139"/>
      <c r="DEQ42" s="139"/>
      <c r="DER42" s="139"/>
      <c r="DES42" s="139"/>
      <c r="DET42" s="139"/>
      <c r="DEU42" s="139"/>
      <c r="DEV42" s="139"/>
      <c r="DEW42" s="139"/>
      <c r="DEX42" s="139"/>
      <c r="DEY42" s="139"/>
      <c r="DEZ42" s="139"/>
      <c r="DFA42" s="139"/>
      <c r="DFB42" s="139"/>
      <c r="DFC42" s="139"/>
      <c r="DFD42" s="139"/>
      <c r="DFE42" s="139"/>
      <c r="DFF42" s="139"/>
      <c r="DFG42" s="139"/>
      <c r="DFH42" s="139"/>
      <c r="DFI42" s="139"/>
      <c r="DFJ42" s="139"/>
      <c r="DFK42" s="139"/>
      <c r="DFL42" s="139"/>
      <c r="DFM42" s="139"/>
      <c r="DFN42" s="139"/>
      <c r="DFO42" s="139"/>
      <c r="DFP42" s="139"/>
      <c r="DFQ42" s="139"/>
      <c r="DFR42" s="139"/>
      <c r="DFS42" s="139"/>
      <c r="DFT42" s="139"/>
      <c r="DFU42" s="139"/>
      <c r="DFV42" s="139"/>
      <c r="DFW42" s="139"/>
      <c r="DFX42" s="139"/>
      <c r="DFY42" s="139"/>
      <c r="DFZ42" s="139"/>
      <c r="DGA42" s="139"/>
      <c r="DGB42" s="139"/>
      <c r="DGC42" s="139"/>
      <c r="DGD42" s="139"/>
      <c r="DGE42" s="139"/>
      <c r="DGF42" s="139"/>
      <c r="DGG42" s="139"/>
      <c r="DGH42" s="139"/>
      <c r="DGI42" s="139"/>
      <c r="DGJ42" s="139"/>
      <c r="DGK42" s="139"/>
      <c r="DGL42" s="139"/>
      <c r="DGM42" s="139"/>
      <c r="DGN42" s="139"/>
      <c r="DGO42" s="139"/>
      <c r="DGP42" s="139"/>
      <c r="DGQ42" s="139"/>
      <c r="DGR42" s="139"/>
      <c r="DGS42" s="139"/>
      <c r="DGT42" s="139"/>
      <c r="DGU42" s="139"/>
      <c r="DGV42" s="139"/>
      <c r="DGW42" s="139"/>
      <c r="DGX42" s="139"/>
      <c r="DGY42" s="139"/>
      <c r="DGZ42" s="139"/>
      <c r="DHA42" s="139"/>
      <c r="DHB42" s="139"/>
      <c r="DHC42" s="139"/>
      <c r="DHD42" s="139"/>
      <c r="DHE42" s="139"/>
      <c r="DHF42" s="139"/>
      <c r="DHG42" s="139"/>
      <c r="DHH42" s="139"/>
      <c r="DHI42" s="139"/>
      <c r="DHJ42" s="139"/>
      <c r="DHK42" s="139"/>
      <c r="DHL42" s="139"/>
      <c r="DHM42" s="139"/>
      <c r="DHN42" s="139"/>
      <c r="DHO42" s="139"/>
      <c r="DHP42" s="139"/>
      <c r="DHQ42" s="139"/>
      <c r="DHR42" s="139"/>
      <c r="DHS42" s="139"/>
      <c r="DHT42" s="139"/>
      <c r="DHU42" s="139"/>
      <c r="DHV42" s="139"/>
      <c r="DHW42" s="139"/>
      <c r="DHX42" s="139"/>
      <c r="DHY42" s="139"/>
      <c r="DHZ42" s="139"/>
      <c r="DIA42" s="139"/>
      <c r="DIB42" s="139"/>
      <c r="DIC42" s="139"/>
      <c r="DID42" s="139"/>
      <c r="DIE42" s="139"/>
      <c r="DIF42" s="139"/>
      <c r="DIG42" s="139"/>
      <c r="DIH42" s="139"/>
      <c r="DII42" s="139"/>
      <c r="DIJ42" s="139"/>
      <c r="DIK42" s="139"/>
      <c r="DIL42" s="139"/>
      <c r="DIM42" s="139"/>
      <c r="DIN42" s="139"/>
      <c r="DIO42" s="139"/>
      <c r="DIP42" s="139"/>
      <c r="DIQ42" s="139"/>
      <c r="DIR42" s="139"/>
      <c r="DIS42" s="139"/>
      <c r="DIT42" s="139"/>
      <c r="DIU42" s="139"/>
      <c r="DIV42" s="139"/>
      <c r="DIW42" s="139"/>
      <c r="DIX42" s="139"/>
      <c r="DIY42" s="139"/>
      <c r="DIZ42" s="139"/>
      <c r="DJA42" s="139"/>
      <c r="DJB42" s="139"/>
      <c r="DJC42" s="139"/>
      <c r="DJD42" s="139"/>
      <c r="DJE42" s="139"/>
      <c r="DJF42" s="139"/>
      <c r="DJG42" s="139"/>
      <c r="DJH42" s="139"/>
      <c r="DJI42" s="139"/>
      <c r="DJJ42" s="139"/>
      <c r="DJK42" s="139"/>
      <c r="DJL42" s="139"/>
      <c r="DJM42" s="139"/>
      <c r="DJN42" s="139"/>
      <c r="DJO42" s="139"/>
      <c r="DJP42" s="139"/>
      <c r="DJQ42" s="139"/>
      <c r="DJR42" s="139"/>
      <c r="DJS42" s="139"/>
      <c r="DJT42" s="139"/>
      <c r="DJU42" s="139"/>
      <c r="DJV42" s="139"/>
      <c r="DJW42" s="139"/>
      <c r="DJX42" s="139"/>
      <c r="DJY42" s="139"/>
      <c r="DJZ42" s="139"/>
      <c r="DKA42" s="139"/>
      <c r="DKB42" s="139"/>
      <c r="DKC42" s="139"/>
      <c r="DKD42" s="139"/>
      <c r="DKE42" s="139"/>
      <c r="DKF42" s="139"/>
      <c r="DKG42" s="139"/>
      <c r="DKH42" s="139"/>
      <c r="DKI42" s="139"/>
      <c r="DKJ42" s="139"/>
      <c r="DKK42" s="139"/>
      <c r="DKL42" s="139"/>
      <c r="DKM42" s="139"/>
      <c r="DKN42" s="139"/>
      <c r="DKO42" s="139"/>
      <c r="DKP42" s="139"/>
      <c r="DKQ42" s="139"/>
      <c r="DKR42" s="139"/>
      <c r="DKS42" s="139"/>
      <c r="DKT42" s="139"/>
      <c r="DKU42" s="139"/>
      <c r="DKV42" s="139"/>
      <c r="DKW42" s="139"/>
      <c r="DKX42" s="139"/>
      <c r="DKY42" s="139"/>
      <c r="DKZ42" s="139"/>
      <c r="DLA42" s="139"/>
      <c r="DLB42" s="139"/>
      <c r="DLC42" s="139"/>
      <c r="DLD42" s="139"/>
      <c r="DLE42" s="139"/>
      <c r="DLF42" s="139"/>
      <c r="DLG42" s="139"/>
      <c r="DLH42" s="139"/>
      <c r="DLI42" s="139"/>
      <c r="DLJ42" s="139"/>
      <c r="DLK42" s="139"/>
      <c r="DLL42" s="139"/>
      <c r="DLM42" s="139"/>
      <c r="DLN42" s="139"/>
      <c r="DLO42" s="139"/>
      <c r="DLP42" s="139"/>
      <c r="DLQ42" s="139"/>
      <c r="DLR42" s="139"/>
      <c r="DLS42" s="139"/>
      <c r="DLT42" s="139"/>
      <c r="DLU42" s="139"/>
      <c r="DLV42" s="139"/>
      <c r="DLW42" s="139"/>
      <c r="DLX42" s="139"/>
      <c r="DLY42" s="139"/>
      <c r="DLZ42" s="139"/>
      <c r="DMA42" s="139"/>
      <c r="DMB42" s="139"/>
      <c r="DMC42" s="139"/>
      <c r="DMD42" s="139"/>
      <c r="DME42" s="139"/>
      <c r="DMF42" s="139"/>
      <c r="DMG42" s="139"/>
      <c r="DMH42" s="139"/>
      <c r="DMI42" s="139"/>
      <c r="DMJ42" s="139"/>
      <c r="DMK42" s="139"/>
      <c r="DML42" s="139"/>
      <c r="DMM42" s="139"/>
      <c r="DMN42" s="139"/>
      <c r="DMO42" s="139"/>
      <c r="DMP42" s="139"/>
      <c r="DMQ42" s="139"/>
      <c r="DMR42" s="139"/>
      <c r="DMS42" s="139"/>
      <c r="DMT42" s="139"/>
      <c r="DMU42" s="139"/>
      <c r="DMV42" s="139"/>
      <c r="DMW42" s="139"/>
      <c r="DMX42" s="139"/>
      <c r="DMY42" s="139"/>
      <c r="DMZ42" s="139"/>
      <c r="DNA42" s="139"/>
      <c r="DNB42" s="139"/>
      <c r="DNC42" s="139"/>
      <c r="DND42" s="139"/>
      <c r="DNE42" s="139"/>
      <c r="DNF42" s="139"/>
      <c r="DNG42" s="139"/>
      <c r="DNH42" s="139"/>
      <c r="DNI42" s="139"/>
      <c r="DNJ42" s="139"/>
      <c r="DNK42" s="139"/>
      <c r="DNL42" s="139"/>
      <c r="DNM42" s="139"/>
      <c r="DNN42" s="139"/>
      <c r="DNO42" s="139"/>
      <c r="DNP42" s="139"/>
      <c r="DNQ42" s="139"/>
      <c r="DNR42" s="139"/>
      <c r="DNS42" s="139"/>
      <c r="DNT42" s="139"/>
      <c r="DNU42" s="139"/>
      <c r="DNV42" s="139"/>
      <c r="DNW42" s="139"/>
      <c r="DNX42" s="139"/>
      <c r="DNY42" s="139"/>
      <c r="DNZ42" s="139"/>
      <c r="DOA42" s="139"/>
      <c r="DOB42" s="139"/>
      <c r="DOC42" s="139"/>
      <c r="DOD42" s="139"/>
      <c r="DOE42" s="139"/>
      <c r="DOF42" s="139"/>
      <c r="DOG42" s="139"/>
      <c r="DOH42" s="139"/>
      <c r="DOI42" s="139"/>
      <c r="DOJ42" s="139"/>
      <c r="DOK42" s="139"/>
      <c r="DOL42" s="139"/>
      <c r="DOM42" s="139"/>
      <c r="DON42" s="139"/>
      <c r="DOO42" s="139"/>
      <c r="DOP42" s="139"/>
      <c r="DOQ42" s="139"/>
      <c r="DOR42" s="139"/>
      <c r="DOS42" s="139"/>
      <c r="DOT42" s="139"/>
      <c r="DOU42" s="139"/>
      <c r="DOV42" s="139"/>
      <c r="DOW42" s="139"/>
      <c r="DOX42" s="139"/>
      <c r="DOY42" s="139"/>
      <c r="DOZ42" s="139"/>
      <c r="DPA42" s="139"/>
      <c r="DPB42" s="139"/>
      <c r="DPC42" s="139"/>
      <c r="DPD42" s="139"/>
      <c r="DPE42" s="139"/>
      <c r="DPF42" s="139"/>
      <c r="DPG42" s="139"/>
      <c r="DPH42" s="139"/>
      <c r="DPI42" s="139"/>
      <c r="DPJ42" s="139"/>
      <c r="DPK42" s="139"/>
      <c r="DPL42" s="139"/>
      <c r="DPM42" s="139"/>
      <c r="DPN42" s="139"/>
      <c r="DPO42" s="139"/>
      <c r="DPP42" s="139"/>
      <c r="DPQ42" s="139"/>
      <c r="DPR42" s="139"/>
      <c r="DPS42" s="139"/>
      <c r="DPT42" s="139"/>
      <c r="DPU42" s="139"/>
      <c r="DPV42" s="139"/>
      <c r="DPW42" s="139"/>
      <c r="DPX42" s="139"/>
      <c r="DPY42" s="139"/>
      <c r="DPZ42" s="139"/>
      <c r="DQA42" s="139"/>
      <c r="DQB42" s="139"/>
      <c r="DQC42" s="139"/>
      <c r="DQD42" s="139"/>
      <c r="DQE42" s="139"/>
      <c r="DQF42" s="139"/>
      <c r="DQG42" s="139"/>
      <c r="DQH42" s="139"/>
      <c r="DQI42" s="139"/>
      <c r="DQJ42" s="139"/>
      <c r="DQK42" s="139"/>
      <c r="DQL42" s="139"/>
      <c r="DQM42" s="139"/>
      <c r="DQN42" s="139"/>
      <c r="DQO42" s="139"/>
      <c r="DQP42" s="139"/>
      <c r="DQQ42" s="139"/>
      <c r="DQR42" s="139"/>
      <c r="DQS42" s="139"/>
      <c r="DQT42" s="139"/>
      <c r="DQU42" s="139"/>
      <c r="DQV42" s="139"/>
      <c r="DQW42" s="139"/>
      <c r="DQX42" s="139"/>
      <c r="DQY42" s="139"/>
      <c r="DQZ42" s="139"/>
      <c r="DRA42" s="139"/>
      <c r="DRB42" s="139"/>
      <c r="DRC42" s="139"/>
      <c r="DRD42" s="139"/>
      <c r="DRE42" s="139"/>
      <c r="DRF42" s="139"/>
      <c r="DRG42" s="139"/>
      <c r="DRH42" s="139"/>
      <c r="DRI42" s="139"/>
      <c r="DRJ42" s="139"/>
      <c r="DRK42" s="139"/>
      <c r="DRL42" s="139"/>
      <c r="DRM42" s="139"/>
      <c r="DRN42" s="139"/>
      <c r="DRO42" s="139"/>
      <c r="DRP42" s="139"/>
      <c r="DRQ42" s="139"/>
      <c r="DRR42" s="139"/>
      <c r="DRS42" s="139"/>
      <c r="DRT42" s="139"/>
      <c r="DRU42" s="139"/>
      <c r="DRV42" s="139"/>
      <c r="DRW42" s="139"/>
      <c r="DRX42" s="139"/>
      <c r="DRY42" s="139"/>
      <c r="DRZ42" s="139"/>
      <c r="DSA42" s="139"/>
      <c r="DSB42" s="139"/>
      <c r="DSC42" s="139"/>
      <c r="DSD42" s="139"/>
      <c r="DSE42" s="139"/>
      <c r="DSF42" s="139"/>
      <c r="DSG42" s="139"/>
      <c r="DSH42" s="139"/>
      <c r="DSI42" s="139"/>
      <c r="DSJ42" s="139"/>
      <c r="DSK42" s="139"/>
      <c r="DSL42" s="139"/>
      <c r="DSM42" s="139"/>
      <c r="DSN42" s="139"/>
      <c r="DSO42" s="139"/>
      <c r="DSP42" s="139"/>
      <c r="DSQ42" s="139"/>
      <c r="DSR42" s="139"/>
      <c r="DSS42" s="139"/>
      <c r="DST42" s="139"/>
      <c r="DSU42" s="139"/>
      <c r="DSV42" s="139"/>
      <c r="DSW42" s="139"/>
      <c r="DSX42" s="139"/>
      <c r="DSY42" s="139"/>
      <c r="DSZ42" s="139"/>
      <c r="DTA42" s="139"/>
      <c r="DTB42" s="139"/>
      <c r="DTC42" s="139"/>
      <c r="DTD42" s="139"/>
      <c r="DTE42" s="139"/>
      <c r="DTF42" s="139"/>
      <c r="DTG42" s="139"/>
      <c r="DTH42" s="139"/>
      <c r="DTI42" s="139"/>
      <c r="DTJ42" s="139"/>
      <c r="DTK42" s="139"/>
      <c r="DTL42" s="139"/>
      <c r="DTM42" s="139"/>
      <c r="DTN42" s="139"/>
      <c r="DTO42" s="139"/>
      <c r="DTP42" s="139"/>
      <c r="DTQ42" s="139"/>
      <c r="DTR42" s="139"/>
      <c r="DTS42" s="139"/>
      <c r="DTT42" s="139"/>
      <c r="DTU42" s="139"/>
      <c r="DTV42" s="139"/>
      <c r="DTW42" s="139"/>
      <c r="DTX42" s="139"/>
      <c r="DTY42" s="139"/>
      <c r="DTZ42" s="139"/>
      <c r="DUA42" s="139"/>
      <c r="DUB42" s="139"/>
      <c r="DUC42" s="139"/>
      <c r="DUD42" s="139"/>
      <c r="DUE42" s="139"/>
      <c r="DUF42" s="139"/>
      <c r="DUG42" s="139"/>
      <c r="DUH42" s="139"/>
      <c r="DUI42" s="139"/>
      <c r="DUJ42" s="139"/>
      <c r="DUK42" s="139"/>
      <c r="DUL42" s="139"/>
      <c r="DUM42" s="139"/>
      <c r="DUN42" s="139"/>
      <c r="DUO42" s="139"/>
      <c r="DUP42" s="139"/>
      <c r="DUQ42" s="139"/>
      <c r="DUR42" s="139"/>
      <c r="DUS42" s="139"/>
      <c r="DUT42" s="139"/>
      <c r="DUU42" s="139"/>
      <c r="DUV42" s="139"/>
      <c r="DUW42" s="139"/>
      <c r="DUX42" s="139"/>
      <c r="DUY42" s="139"/>
      <c r="DUZ42" s="139"/>
      <c r="DVA42" s="139"/>
      <c r="DVB42" s="139"/>
      <c r="DVC42" s="139"/>
      <c r="DVD42" s="139"/>
      <c r="DVE42" s="139"/>
      <c r="DVF42" s="139"/>
      <c r="DVG42" s="139"/>
      <c r="DVH42" s="139"/>
      <c r="DVI42" s="139"/>
      <c r="DVJ42" s="139"/>
      <c r="DVK42" s="139"/>
      <c r="DVL42" s="139"/>
      <c r="DVM42" s="139"/>
      <c r="DVN42" s="139"/>
      <c r="DVO42" s="139"/>
      <c r="DVP42" s="139"/>
      <c r="DVQ42" s="139"/>
      <c r="DVR42" s="139"/>
      <c r="DVS42" s="139"/>
      <c r="DVT42" s="139"/>
      <c r="DVU42" s="139"/>
      <c r="DVV42" s="139"/>
      <c r="DVW42" s="139"/>
      <c r="DVX42" s="139"/>
      <c r="DVY42" s="139"/>
      <c r="DVZ42" s="139"/>
      <c r="DWA42" s="139"/>
      <c r="DWB42" s="139"/>
      <c r="DWC42" s="139"/>
      <c r="DWD42" s="139"/>
      <c r="DWE42" s="139"/>
      <c r="DWF42" s="139"/>
      <c r="DWG42" s="139"/>
      <c r="DWH42" s="139"/>
      <c r="DWI42" s="139"/>
      <c r="DWJ42" s="139"/>
      <c r="DWK42" s="139"/>
      <c r="DWL42" s="139"/>
      <c r="DWM42" s="139"/>
      <c r="DWN42" s="139"/>
      <c r="DWO42" s="139"/>
      <c r="DWP42" s="139"/>
      <c r="DWQ42" s="139"/>
      <c r="DWR42" s="139"/>
      <c r="DWS42" s="139"/>
      <c r="DWT42" s="139"/>
      <c r="DWU42" s="139"/>
      <c r="DWV42" s="139"/>
      <c r="DWW42" s="139"/>
      <c r="DWX42" s="139"/>
      <c r="DWY42" s="139"/>
      <c r="DWZ42" s="139"/>
      <c r="DXA42" s="139"/>
      <c r="DXB42" s="139"/>
      <c r="DXC42" s="139"/>
      <c r="DXD42" s="139"/>
      <c r="DXE42" s="139"/>
      <c r="DXF42" s="139"/>
      <c r="DXG42" s="139"/>
      <c r="DXH42" s="139"/>
      <c r="DXI42" s="139"/>
      <c r="DXJ42" s="139"/>
      <c r="DXK42" s="139"/>
      <c r="DXL42" s="139"/>
      <c r="DXM42" s="139"/>
      <c r="DXN42" s="139"/>
      <c r="DXO42" s="139"/>
      <c r="DXP42" s="139"/>
      <c r="DXQ42" s="139"/>
      <c r="DXR42" s="139"/>
      <c r="DXS42" s="139"/>
      <c r="DXT42" s="139"/>
      <c r="DXU42" s="139"/>
      <c r="DXV42" s="139"/>
      <c r="DXW42" s="139"/>
      <c r="DXX42" s="139"/>
      <c r="DXY42" s="139"/>
      <c r="DXZ42" s="139"/>
      <c r="DYA42" s="139"/>
      <c r="DYB42" s="139"/>
      <c r="DYC42" s="139"/>
      <c r="DYD42" s="139"/>
      <c r="DYE42" s="139"/>
      <c r="DYF42" s="139"/>
      <c r="DYG42" s="139"/>
      <c r="DYH42" s="139"/>
      <c r="DYI42" s="139"/>
      <c r="DYJ42" s="139"/>
      <c r="DYK42" s="139"/>
      <c r="DYL42" s="139"/>
      <c r="DYM42" s="139"/>
      <c r="DYN42" s="139"/>
      <c r="DYO42" s="139"/>
      <c r="DYP42" s="139"/>
      <c r="DYQ42" s="139"/>
      <c r="DYR42" s="139"/>
      <c r="DYS42" s="139"/>
      <c r="DYT42" s="139"/>
      <c r="DYU42" s="139"/>
      <c r="DYV42" s="139"/>
      <c r="DYW42" s="139"/>
      <c r="DYX42" s="139"/>
      <c r="DYY42" s="139"/>
      <c r="DYZ42" s="139"/>
      <c r="DZA42" s="139"/>
      <c r="DZB42" s="139"/>
      <c r="DZC42" s="139"/>
      <c r="DZD42" s="139"/>
      <c r="DZE42" s="139"/>
      <c r="DZF42" s="139"/>
      <c r="DZG42" s="139"/>
      <c r="DZH42" s="139"/>
      <c r="DZI42" s="139"/>
      <c r="DZJ42" s="139"/>
      <c r="DZK42" s="139"/>
      <c r="DZL42" s="139"/>
      <c r="DZM42" s="139"/>
      <c r="DZN42" s="139"/>
      <c r="DZO42" s="139"/>
      <c r="DZP42" s="139"/>
      <c r="DZQ42" s="139"/>
      <c r="DZR42" s="139"/>
      <c r="DZS42" s="139"/>
      <c r="DZT42" s="139"/>
      <c r="DZU42" s="139"/>
      <c r="DZV42" s="139"/>
      <c r="DZW42" s="139"/>
      <c r="DZX42" s="139"/>
      <c r="DZY42" s="139"/>
      <c r="DZZ42" s="139"/>
      <c r="EAA42" s="139"/>
      <c r="EAB42" s="139"/>
      <c r="EAC42" s="139"/>
      <c r="EAD42" s="139"/>
      <c r="EAE42" s="139"/>
      <c r="EAF42" s="139"/>
      <c r="EAG42" s="139"/>
      <c r="EAH42" s="139"/>
      <c r="EAI42" s="139"/>
      <c r="EAJ42" s="139"/>
      <c r="EAK42" s="139"/>
      <c r="EAL42" s="139"/>
      <c r="EAM42" s="139"/>
      <c r="EAN42" s="139"/>
      <c r="EAO42" s="139"/>
      <c r="EAP42" s="139"/>
      <c r="EAQ42" s="139"/>
      <c r="EAR42" s="139"/>
      <c r="EAS42" s="139"/>
      <c r="EAT42" s="139"/>
      <c r="EAU42" s="139"/>
      <c r="EAV42" s="139"/>
      <c r="EAW42" s="139"/>
      <c r="EAX42" s="139"/>
      <c r="EAY42" s="139"/>
      <c r="EAZ42" s="139"/>
      <c r="EBA42" s="139"/>
      <c r="EBB42" s="139"/>
      <c r="EBC42" s="139"/>
      <c r="EBD42" s="139"/>
      <c r="EBE42" s="139"/>
      <c r="EBF42" s="139"/>
      <c r="EBG42" s="139"/>
      <c r="EBH42" s="139"/>
      <c r="EBI42" s="139"/>
      <c r="EBJ42" s="139"/>
      <c r="EBK42" s="139"/>
      <c r="EBL42" s="139"/>
      <c r="EBM42" s="139"/>
      <c r="EBN42" s="139"/>
      <c r="EBO42" s="139"/>
      <c r="EBP42" s="139"/>
      <c r="EBQ42" s="139"/>
      <c r="EBR42" s="139"/>
      <c r="EBS42" s="139"/>
      <c r="EBT42" s="139"/>
      <c r="EBU42" s="139"/>
      <c r="EBV42" s="139"/>
      <c r="EBW42" s="139"/>
      <c r="EBX42" s="139"/>
      <c r="EBY42" s="139"/>
      <c r="EBZ42" s="139"/>
      <c r="ECA42" s="139"/>
      <c r="ECB42" s="139"/>
      <c r="ECC42" s="139"/>
      <c r="ECD42" s="139"/>
      <c r="ECE42" s="139"/>
      <c r="ECF42" s="139"/>
      <c r="ECG42" s="139"/>
      <c r="ECH42" s="139"/>
      <c r="ECI42" s="139"/>
      <c r="ECJ42" s="139"/>
      <c r="ECK42" s="139"/>
      <c r="ECL42" s="139"/>
      <c r="ECM42" s="139"/>
      <c r="ECN42" s="139"/>
      <c r="ECO42" s="139"/>
      <c r="ECP42" s="139"/>
      <c r="ECQ42" s="139"/>
      <c r="ECR42" s="139"/>
      <c r="ECS42" s="139"/>
      <c r="ECT42" s="139"/>
      <c r="ECU42" s="139"/>
      <c r="ECV42" s="139"/>
      <c r="ECW42" s="139"/>
      <c r="ECX42" s="139"/>
      <c r="ECY42" s="139"/>
      <c r="ECZ42" s="139"/>
      <c r="EDA42" s="139"/>
      <c r="EDB42" s="139"/>
      <c r="EDC42" s="139"/>
      <c r="EDD42" s="139"/>
      <c r="EDE42" s="139"/>
      <c r="EDF42" s="139"/>
      <c r="EDG42" s="139"/>
      <c r="EDH42" s="139"/>
      <c r="EDI42" s="139"/>
      <c r="EDJ42" s="139"/>
      <c r="EDK42" s="139"/>
      <c r="EDL42" s="139"/>
      <c r="EDM42" s="139"/>
      <c r="EDN42" s="139"/>
      <c r="EDO42" s="139"/>
      <c r="EDP42" s="139"/>
      <c r="EDQ42" s="139"/>
      <c r="EDR42" s="139"/>
      <c r="EDS42" s="139"/>
      <c r="EDT42" s="139"/>
      <c r="EDU42" s="139"/>
      <c r="EDV42" s="139"/>
      <c r="EDW42" s="139"/>
      <c r="EDX42" s="139"/>
      <c r="EDY42" s="139"/>
      <c r="EDZ42" s="139"/>
      <c r="EEA42" s="139"/>
      <c r="EEB42" s="139"/>
      <c r="EEC42" s="139"/>
      <c r="EED42" s="139"/>
      <c r="EEE42" s="139"/>
      <c r="EEF42" s="139"/>
      <c r="EEG42" s="139"/>
      <c r="EEH42" s="139"/>
      <c r="EEI42" s="139"/>
      <c r="EEJ42" s="139"/>
      <c r="EEK42" s="139"/>
      <c r="EEL42" s="139"/>
      <c r="EEM42" s="139"/>
      <c r="EEN42" s="139"/>
      <c r="EEO42" s="139"/>
      <c r="EEP42" s="139"/>
      <c r="EEQ42" s="139"/>
      <c r="EER42" s="139"/>
      <c r="EES42" s="139"/>
      <c r="EET42" s="139"/>
      <c r="EEU42" s="139"/>
      <c r="EEV42" s="139"/>
      <c r="EEW42" s="139"/>
      <c r="EEX42" s="139"/>
      <c r="EEY42" s="139"/>
      <c r="EEZ42" s="139"/>
      <c r="EFA42" s="139"/>
      <c r="EFB42" s="139"/>
      <c r="EFC42" s="139"/>
      <c r="EFD42" s="139"/>
      <c r="EFE42" s="139"/>
      <c r="EFF42" s="139"/>
      <c r="EFG42" s="139"/>
      <c r="EFH42" s="139"/>
      <c r="EFI42" s="139"/>
      <c r="EFJ42" s="139"/>
      <c r="EFK42" s="139"/>
      <c r="EFL42" s="139"/>
      <c r="EFM42" s="139"/>
      <c r="EFN42" s="139"/>
      <c r="EFO42" s="139"/>
      <c r="EFP42" s="139"/>
      <c r="EFQ42" s="139"/>
      <c r="EFR42" s="139"/>
      <c r="EFS42" s="139"/>
      <c r="EFT42" s="139"/>
      <c r="EFU42" s="139"/>
      <c r="EFV42" s="139"/>
      <c r="EFW42" s="139"/>
      <c r="EFX42" s="139"/>
      <c r="EFY42" s="139"/>
      <c r="EFZ42" s="139"/>
      <c r="EGA42" s="139"/>
      <c r="EGB42" s="139"/>
      <c r="EGC42" s="139"/>
      <c r="EGD42" s="139"/>
      <c r="EGE42" s="139"/>
      <c r="EGF42" s="139"/>
      <c r="EGG42" s="139"/>
      <c r="EGH42" s="139"/>
      <c r="EGI42" s="139"/>
      <c r="EGJ42" s="139"/>
      <c r="EGK42" s="139"/>
      <c r="EGL42" s="139"/>
      <c r="EGM42" s="139"/>
      <c r="EGN42" s="139"/>
      <c r="EGO42" s="139"/>
      <c r="EGP42" s="139"/>
      <c r="EGQ42" s="139"/>
      <c r="EGR42" s="139"/>
      <c r="EGS42" s="139"/>
      <c r="EGT42" s="139"/>
      <c r="EGU42" s="139"/>
      <c r="EGV42" s="139"/>
      <c r="EGW42" s="139"/>
      <c r="EGX42" s="139"/>
      <c r="EGY42" s="139"/>
      <c r="EGZ42" s="139"/>
      <c r="EHA42" s="139"/>
      <c r="EHB42" s="139"/>
      <c r="EHC42" s="139"/>
      <c r="EHD42" s="139"/>
      <c r="EHE42" s="139"/>
      <c r="EHF42" s="139"/>
      <c r="EHG42" s="139"/>
      <c r="EHH42" s="139"/>
      <c r="EHI42" s="139"/>
      <c r="EHJ42" s="139"/>
      <c r="EHK42" s="139"/>
      <c r="EHL42" s="139"/>
      <c r="EHM42" s="139"/>
      <c r="EHN42" s="139"/>
      <c r="EHO42" s="139"/>
      <c r="EHP42" s="139"/>
      <c r="EHQ42" s="139"/>
      <c r="EHR42" s="139"/>
      <c r="EHS42" s="139"/>
      <c r="EHT42" s="139"/>
      <c r="EHU42" s="139"/>
      <c r="EHV42" s="139"/>
      <c r="EHW42" s="139"/>
      <c r="EHX42" s="139"/>
      <c r="EHY42" s="139"/>
      <c r="EHZ42" s="139"/>
      <c r="EIA42" s="139"/>
      <c r="EIB42" s="139"/>
      <c r="EIC42" s="139"/>
      <c r="EID42" s="139"/>
      <c r="EIE42" s="139"/>
      <c r="EIF42" s="139"/>
      <c r="EIG42" s="139"/>
      <c r="EIH42" s="139"/>
      <c r="EII42" s="139"/>
      <c r="EIJ42" s="139"/>
      <c r="EIK42" s="139"/>
      <c r="EIL42" s="139"/>
      <c r="EIM42" s="139"/>
      <c r="EIN42" s="139"/>
      <c r="EIO42" s="139"/>
      <c r="EIP42" s="139"/>
      <c r="EIQ42" s="139"/>
      <c r="EIR42" s="139"/>
      <c r="EIS42" s="139"/>
      <c r="EIT42" s="139"/>
      <c r="EIU42" s="139"/>
      <c r="EIV42" s="139"/>
      <c r="EIW42" s="139"/>
      <c r="EIX42" s="139"/>
      <c r="EIY42" s="139"/>
      <c r="EIZ42" s="139"/>
      <c r="EJA42" s="139"/>
      <c r="EJB42" s="139"/>
      <c r="EJC42" s="139"/>
      <c r="EJD42" s="139"/>
      <c r="EJE42" s="139"/>
      <c r="EJF42" s="139"/>
      <c r="EJG42" s="139"/>
      <c r="EJH42" s="139"/>
      <c r="EJI42" s="139"/>
      <c r="EJJ42" s="139"/>
      <c r="EJK42" s="139"/>
      <c r="EJL42" s="139"/>
      <c r="EJM42" s="139"/>
      <c r="EJN42" s="139"/>
      <c r="EJO42" s="139"/>
      <c r="EJP42" s="139"/>
      <c r="EJQ42" s="139"/>
      <c r="EJR42" s="139"/>
      <c r="EJS42" s="139"/>
      <c r="EJT42" s="139"/>
      <c r="EJU42" s="139"/>
      <c r="EJV42" s="139"/>
      <c r="EJW42" s="139"/>
      <c r="EJX42" s="139"/>
      <c r="EJY42" s="139"/>
      <c r="EJZ42" s="139"/>
      <c r="EKA42" s="139"/>
      <c r="EKB42" s="139"/>
      <c r="EKC42" s="139"/>
      <c r="EKD42" s="139"/>
      <c r="EKE42" s="139"/>
      <c r="EKF42" s="139"/>
      <c r="EKG42" s="139"/>
      <c r="EKH42" s="139"/>
      <c r="EKI42" s="139"/>
      <c r="EKJ42" s="139"/>
      <c r="EKK42" s="139"/>
      <c r="EKL42" s="139"/>
      <c r="EKM42" s="139"/>
      <c r="EKN42" s="139"/>
      <c r="EKO42" s="139"/>
      <c r="EKP42" s="139"/>
      <c r="EKQ42" s="139"/>
      <c r="EKR42" s="139"/>
      <c r="EKS42" s="139"/>
      <c r="EKT42" s="139"/>
      <c r="EKU42" s="139"/>
      <c r="EKV42" s="139"/>
      <c r="EKW42" s="139"/>
      <c r="EKX42" s="139"/>
      <c r="EKY42" s="139"/>
      <c r="EKZ42" s="139"/>
      <c r="ELA42" s="139"/>
      <c r="ELB42" s="139"/>
      <c r="ELC42" s="139"/>
      <c r="ELD42" s="139"/>
      <c r="ELE42" s="139"/>
      <c r="ELF42" s="139"/>
      <c r="ELG42" s="139"/>
      <c r="ELH42" s="139"/>
      <c r="ELI42" s="139"/>
      <c r="ELJ42" s="139"/>
      <c r="ELK42" s="139"/>
      <c r="ELL42" s="139"/>
      <c r="ELM42" s="139"/>
      <c r="ELN42" s="139"/>
      <c r="ELO42" s="139"/>
      <c r="ELP42" s="139"/>
      <c r="ELQ42" s="139"/>
      <c r="ELR42" s="139"/>
      <c r="ELS42" s="139"/>
      <c r="ELT42" s="139"/>
      <c r="ELU42" s="139"/>
      <c r="ELV42" s="139"/>
      <c r="ELW42" s="139"/>
      <c r="ELX42" s="139"/>
      <c r="ELY42" s="139"/>
      <c r="ELZ42" s="139"/>
      <c r="EMA42" s="139"/>
      <c r="EMB42" s="139"/>
      <c r="EMC42" s="139"/>
      <c r="EMD42" s="139"/>
      <c r="EME42" s="139"/>
      <c r="EMF42" s="139"/>
      <c r="EMG42" s="139"/>
      <c r="EMH42" s="139"/>
      <c r="EMI42" s="139"/>
      <c r="EMJ42" s="139"/>
      <c r="EMK42" s="139"/>
      <c r="EML42" s="139"/>
      <c r="EMM42" s="139"/>
      <c r="EMN42" s="139"/>
      <c r="EMO42" s="139"/>
      <c r="EMP42" s="139"/>
      <c r="EMQ42" s="139"/>
      <c r="EMR42" s="139"/>
      <c r="EMS42" s="139"/>
      <c r="EMT42" s="139"/>
      <c r="EMU42" s="139"/>
      <c r="EMV42" s="139"/>
      <c r="EMW42" s="139"/>
      <c r="EMX42" s="139"/>
      <c r="EMY42" s="139"/>
      <c r="EMZ42" s="139"/>
      <c r="ENA42" s="139"/>
      <c r="ENB42" s="139"/>
      <c r="ENC42" s="139"/>
      <c r="END42" s="139"/>
      <c r="ENE42" s="139"/>
      <c r="ENF42" s="139"/>
      <c r="ENG42" s="139"/>
      <c r="ENH42" s="139"/>
      <c r="ENI42" s="139"/>
      <c r="ENJ42" s="139"/>
      <c r="ENK42" s="139"/>
      <c r="ENL42" s="139"/>
      <c r="ENM42" s="139"/>
      <c r="ENN42" s="139"/>
      <c r="ENO42" s="139"/>
      <c r="ENP42" s="139"/>
      <c r="ENQ42" s="139"/>
      <c r="ENR42" s="139"/>
      <c r="ENS42" s="139"/>
      <c r="ENT42" s="139"/>
      <c r="ENU42" s="139"/>
      <c r="ENV42" s="139"/>
      <c r="ENW42" s="139"/>
      <c r="ENX42" s="139"/>
      <c r="ENY42" s="139"/>
      <c r="ENZ42" s="139"/>
      <c r="EOA42" s="139"/>
      <c r="EOB42" s="139"/>
      <c r="EOC42" s="139"/>
      <c r="EOD42" s="139"/>
      <c r="EOE42" s="139"/>
      <c r="EOF42" s="139"/>
      <c r="EOG42" s="139"/>
      <c r="EOH42" s="139"/>
      <c r="EOI42" s="139"/>
      <c r="EOJ42" s="139"/>
      <c r="EOK42" s="139"/>
      <c r="EOL42" s="139"/>
      <c r="EOM42" s="139"/>
      <c r="EON42" s="139"/>
      <c r="EOO42" s="139"/>
      <c r="EOP42" s="139"/>
      <c r="EOQ42" s="139"/>
      <c r="EOR42" s="139"/>
      <c r="EOS42" s="139"/>
      <c r="EOT42" s="139"/>
      <c r="EOU42" s="139"/>
      <c r="EOV42" s="139"/>
      <c r="EOW42" s="139"/>
      <c r="EOX42" s="139"/>
      <c r="EOY42" s="139"/>
      <c r="EOZ42" s="139"/>
      <c r="EPA42" s="139"/>
      <c r="EPB42" s="139"/>
      <c r="EPC42" s="139"/>
      <c r="EPD42" s="139"/>
      <c r="EPE42" s="139"/>
      <c r="EPF42" s="139"/>
      <c r="EPG42" s="139"/>
      <c r="EPH42" s="139"/>
      <c r="EPI42" s="139"/>
      <c r="EPJ42" s="139"/>
      <c r="EPK42" s="139"/>
      <c r="EPL42" s="139"/>
      <c r="EPM42" s="139"/>
      <c r="EPN42" s="139"/>
      <c r="EPO42" s="139"/>
      <c r="EPP42" s="139"/>
      <c r="EPQ42" s="139"/>
      <c r="EPR42" s="139"/>
      <c r="EPS42" s="139"/>
      <c r="EPT42" s="139"/>
      <c r="EPU42" s="139"/>
      <c r="EPV42" s="139"/>
      <c r="EPW42" s="139"/>
      <c r="EPX42" s="139"/>
      <c r="EPY42" s="139"/>
      <c r="EPZ42" s="139"/>
      <c r="EQA42" s="139"/>
      <c r="EQB42" s="139"/>
      <c r="EQC42" s="139"/>
      <c r="EQD42" s="139"/>
      <c r="EQE42" s="139"/>
      <c r="EQF42" s="139"/>
      <c r="EQG42" s="139"/>
      <c r="EQH42" s="139"/>
      <c r="EQI42" s="139"/>
      <c r="EQJ42" s="139"/>
      <c r="EQK42" s="139"/>
      <c r="EQL42" s="139"/>
      <c r="EQM42" s="139"/>
      <c r="EQN42" s="139"/>
      <c r="EQO42" s="139"/>
      <c r="EQP42" s="139"/>
      <c r="EQQ42" s="139"/>
      <c r="EQR42" s="139"/>
      <c r="EQS42" s="139"/>
      <c r="EQT42" s="139"/>
      <c r="EQU42" s="139"/>
      <c r="EQV42" s="139"/>
      <c r="EQW42" s="139"/>
      <c r="EQX42" s="139"/>
      <c r="EQY42" s="139"/>
      <c r="EQZ42" s="139"/>
      <c r="ERA42" s="139"/>
      <c r="ERB42" s="139"/>
      <c r="ERC42" s="139"/>
      <c r="ERD42" s="139"/>
      <c r="ERE42" s="139"/>
      <c r="ERF42" s="139"/>
      <c r="ERG42" s="139"/>
      <c r="ERH42" s="139"/>
      <c r="ERI42" s="139"/>
      <c r="ERJ42" s="139"/>
      <c r="ERK42" s="139"/>
      <c r="ERL42" s="139"/>
      <c r="ERM42" s="139"/>
      <c r="ERN42" s="139"/>
      <c r="ERO42" s="139"/>
      <c r="ERP42" s="139"/>
      <c r="ERQ42" s="139"/>
      <c r="ERR42" s="139"/>
      <c r="ERS42" s="139"/>
      <c r="ERT42" s="139"/>
      <c r="ERU42" s="139"/>
      <c r="ERV42" s="139"/>
      <c r="ERW42" s="139"/>
      <c r="ERX42" s="139"/>
      <c r="ERY42" s="139"/>
      <c r="ERZ42" s="139"/>
      <c r="ESA42" s="139"/>
      <c r="ESB42" s="139"/>
      <c r="ESC42" s="139"/>
      <c r="ESD42" s="139"/>
      <c r="ESE42" s="139"/>
      <c r="ESF42" s="139"/>
      <c r="ESG42" s="139"/>
      <c r="ESH42" s="139"/>
      <c r="ESI42" s="139"/>
      <c r="ESJ42" s="139"/>
      <c r="ESK42" s="139"/>
      <c r="ESL42" s="139"/>
      <c r="ESM42" s="139"/>
      <c r="ESN42" s="139"/>
      <c r="ESO42" s="139"/>
      <c r="ESP42" s="139"/>
      <c r="ESQ42" s="139"/>
      <c r="ESR42" s="139"/>
      <c r="ESS42" s="139"/>
      <c r="EST42" s="139"/>
      <c r="ESU42" s="139"/>
      <c r="ESV42" s="139"/>
      <c r="ESW42" s="139"/>
      <c r="ESX42" s="139"/>
      <c r="ESY42" s="139"/>
      <c r="ESZ42" s="139"/>
      <c r="ETA42" s="139"/>
      <c r="ETB42" s="139"/>
      <c r="ETC42" s="139"/>
      <c r="ETD42" s="139"/>
      <c r="ETE42" s="139"/>
      <c r="ETF42" s="139"/>
      <c r="ETG42" s="139"/>
      <c r="ETH42" s="139"/>
      <c r="ETI42" s="139"/>
      <c r="ETJ42" s="139"/>
      <c r="ETK42" s="139"/>
      <c r="ETL42" s="139"/>
      <c r="ETM42" s="139"/>
      <c r="ETN42" s="139"/>
      <c r="ETO42" s="139"/>
      <c r="ETP42" s="139"/>
      <c r="ETQ42" s="139"/>
      <c r="ETR42" s="139"/>
      <c r="ETS42" s="139"/>
      <c r="ETT42" s="139"/>
      <c r="ETU42" s="139"/>
      <c r="ETV42" s="139"/>
      <c r="ETW42" s="139"/>
      <c r="ETX42" s="139"/>
      <c r="ETY42" s="139"/>
      <c r="ETZ42" s="139"/>
      <c r="EUA42" s="139"/>
      <c r="EUB42" s="139"/>
      <c r="EUC42" s="139"/>
      <c r="EUD42" s="139"/>
      <c r="EUE42" s="139"/>
      <c r="EUF42" s="139"/>
      <c r="EUG42" s="139"/>
      <c r="EUH42" s="139"/>
      <c r="EUI42" s="139"/>
      <c r="EUJ42" s="139"/>
      <c r="EUK42" s="139"/>
      <c r="EUL42" s="139"/>
      <c r="EUM42" s="139"/>
      <c r="EUN42" s="139"/>
      <c r="EUO42" s="139"/>
      <c r="EUP42" s="139"/>
      <c r="EUQ42" s="139"/>
      <c r="EUR42" s="139"/>
      <c r="EUS42" s="139"/>
      <c r="EUT42" s="139"/>
      <c r="EUU42" s="139"/>
      <c r="EUV42" s="139"/>
      <c r="EUW42" s="139"/>
      <c r="EUX42" s="139"/>
      <c r="EUY42" s="139"/>
      <c r="EUZ42" s="139"/>
      <c r="EVA42" s="139"/>
      <c r="EVB42" s="139"/>
      <c r="EVC42" s="139"/>
      <c r="EVD42" s="139"/>
      <c r="EVE42" s="139"/>
      <c r="EVF42" s="139"/>
      <c r="EVG42" s="139"/>
      <c r="EVH42" s="139"/>
      <c r="EVI42" s="139"/>
      <c r="EVJ42" s="139"/>
      <c r="EVK42" s="139"/>
      <c r="EVL42" s="139"/>
      <c r="EVM42" s="139"/>
      <c r="EVN42" s="139"/>
      <c r="EVO42" s="139"/>
      <c r="EVP42" s="139"/>
      <c r="EVQ42" s="139"/>
      <c r="EVR42" s="139"/>
      <c r="EVS42" s="139"/>
      <c r="EVT42" s="139"/>
      <c r="EVU42" s="139"/>
      <c r="EVV42" s="139"/>
      <c r="EVW42" s="139"/>
      <c r="EVX42" s="139"/>
      <c r="EVY42" s="139"/>
      <c r="EVZ42" s="139"/>
      <c r="EWA42" s="139"/>
      <c r="EWB42" s="139"/>
      <c r="EWC42" s="139"/>
      <c r="EWD42" s="139"/>
      <c r="EWE42" s="139"/>
      <c r="EWF42" s="139"/>
      <c r="EWG42" s="139"/>
      <c r="EWH42" s="139"/>
      <c r="EWI42" s="139"/>
      <c r="EWJ42" s="139"/>
      <c r="EWK42" s="139"/>
      <c r="EWL42" s="139"/>
      <c r="EWM42" s="139"/>
      <c r="EWN42" s="139"/>
      <c r="EWO42" s="139"/>
      <c r="EWP42" s="139"/>
      <c r="EWQ42" s="139"/>
      <c r="EWR42" s="139"/>
      <c r="EWS42" s="139"/>
      <c r="EWT42" s="139"/>
      <c r="EWU42" s="139"/>
      <c r="EWV42" s="139"/>
      <c r="EWW42" s="139"/>
      <c r="EWX42" s="139"/>
      <c r="EWY42" s="139"/>
      <c r="EWZ42" s="139"/>
      <c r="EXA42" s="139"/>
      <c r="EXB42" s="139"/>
      <c r="EXC42" s="139"/>
      <c r="EXD42" s="139"/>
      <c r="EXE42" s="139"/>
      <c r="EXF42" s="139"/>
      <c r="EXG42" s="139"/>
      <c r="EXH42" s="139"/>
      <c r="EXI42" s="139"/>
      <c r="EXJ42" s="139"/>
      <c r="EXK42" s="139"/>
      <c r="EXL42" s="139"/>
      <c r="EXM42" s="139"/>
      <c r="EXN42" s="139"/>
      <c r="EXO42" s="139"/>
      <c r="EXP42" s="139"/>
      <c r="EXQ42" s="139"/>
      <c r="EXR42" s="139"/>
      <c r="EXS42" s="139"/>
      <c r="EXT42" s="139"/>
      <c r="EXU42" s="139"/>
      <c r="EXV42" s="139"/>
      <c r="EXW42" s="139"/>
      <c r="EXX42" s="139"/>
      <c r="EXY42" s="139"/>
      <c r="EXZ42" s="139"/>
      <c r="EYA42" s="139"/>
      <c r="EYB42" s="139"/>
      <c r="EYC42" s="139"/>
      <c r="EYD42" s="139"/>
      <c r="EYE42" s="139"/>
      <c r="EYF42" s="139"/>
      <c r="EYG42" s="139"/>
      <c r="EYH42" s="139"/>
      <c r="EYI42" s="139"/>
      <c r="EYJ42" s="139"/>
      <c r="EYK42" s="139"/>
      <c r="EYL42" s="139"/>
      <c r="EYM42" s="139"/>
      <c r="EYN42" s="139"/>
      <c r="EYO42" s="139"/>
      <c r="EYP42" s="139"/>
      <c r="EYQ42" s="139"/>
      <c r="EYR42" s="139"/>
      <c r="EYS42" s="139"/>
      <c r="EYT42" s="139"/>
      <c r="EYU42" s="139"/>
      <c r="EYV42" s="139"/>
      <c r="EYW42" s="139"/>
      <c r="EYX42" s="139"/>
      <c r="EYY42" s="139"/>
      <c r="EYZ42" s="139"/>
      <c r="EZA42" s="139"/>
      <c r="EZB42" s="139"/>
      <c r="EZC42" s="139"/>
      <c r="EZD42" s="139"/>
      <c r="EZE42" s="139"/>
      <c r="EZF42" s="139"/>
      <c r="EZG42" s="139"/>
      <c r="EZH42" s="139"/>
      <c r="EZI42" s="139"/>
      <c r="EZJ42" s="139"/>
      <c r="EZK42" s="139"/>
      <c r="EZL42" s="139"/>
      <c r="EZM42" s="139"/>
      <c r="EZN42" s="139"/>
      <c r="EZO42" s="139"/>
      <c r="EZP42" s="139"/>
      <c r="EZQ42" s="139"/>
      <c r="EZR42" s="139"/>
      <c r="EZS42" s="139"/>
      <c r="EZT42" s="139"/>
      <c r="EZU42" s="139"/>
      <c r="EZV42" s="139"/>
      <c r="EZW42" s="139"/>
      <c r="EZX42" s="139"/>
      <c r="EZY42" s="139"/>
      <c r="EZZ42" s="139"/>
      <c r="FAA42" s="139"/>
      <c r="FAB42" s="139"/>
      <c r="FAC42" s="139"/>
      <c r="FAD42" s="139"/>
      <c r="FAE42" s="139"/>
      <c r="FAF42" s="139"/>
      <c r="FAG42" s="139"/>
      <c r="FAH42" s="139"/>
      <c r="FAI42" s="139"/>
      <c r="FAJ42" s="139"/>
      <c r="FAK42" s="139"/>
      <c r="FAL42" s="139"/>
      <c r="FAM42" s="139"/>
      <c r="FAN42" s="139"/>
      <c r="FAO42" s="139"/>
      <c r="FAP42" s="139"/>
      <c r="FAQ42" s="139"/>
      <c r="FAR42" s="139"/>
      <c r="FAS42" s="139"/>
      <c r="FAT42" s="139"/>
      <c r="FAU42" s="139"/>
      <c r="FAV42" s="139"/>
      <c r="FAW42" s="139"/>
      <c r="FAX42" s="139"/>
      <c r="FAY42" s="139"/>
      <c r="FAZ42" s="139"/>
      <c r="FBA42" s="139"/>
      <c r="FBB42" s="139"/>
      <c r="FBC42" s="139"/>
      <c r="FBD42" s="139"/>
      <c r="FBE42" s="139"/>
      <c r="FBF42" s="139"/>
      <c r="FBG42" s="139"/>
      <c r="FBH42" s="139"/>
      <c r="FBI42" s="139"/>
      <c r="FBJ42" s="139"/>
      <c r="FBK42" s="139"/>
      <c r="FBL42" s="139"/>
      <c r="FBM42" s="139"/>
      <c r="FBN42" s="139"/>
      <c r="FBO42" s="139"/>
      <c r="FBP42" s="139"/>
      <c r="FBQ42" s="139"/>
      <c r="FBR42" s="139"/>
      <c r="FBS42" s="139"/>
      <c r="FBT42" s="139"/>
      <c r="FBU42" s="139"/>
      <c r="FBV42" s="139"/>
      <c r="FBW42" s="139"/>
      <c r="FBX42" s="139"/>
      <c r="FBY42" s="139"/>
      <c r="FBZ42" s="139"/>
      <c r="FCA42" s="139"/>
      <c r="FCB42" s="139"/>
      <c r="FCC42" s="139"/>
      <c r="FCD42" s="139"/>
      <c r="FCE42" s="139"/>
      <c r="FCF42" s="139"/>
      <c r="FCG42" s="139"/>
      <c r="FCH42" s="139"/>
      <c r="FCI42" s="139"/>
      <c r="FCJ42" s="139"/>
      <c r="FCK42" s="139"/>
      <c r="FCL42" s="139"/>
      <c r="FCM42" s="139"/>
      <c r="FCN42" s="139"/>
      <c r="FCO42" s="139"/>
      <c r="FCP42" s="139"/>
      <c r="FCQ42" s="139"/>
      <c r="FCR42" s="139"/>
      <c r="FCS42" s="139"/>
      <c r="FCT42" s="139"/>
      <c r="FCU42" s="139"/>
      <c r="FCV42" s="139"/>
      <c r="FCW42" s="139"/>
      <c r="FCX42" s="139"/>
      <c r="FCY42" s="139"/>
      <c r="FCZ42" s="139"/>
      <c r="FDA42" s="139"/>
      <c r="FDB42" s="139"/>
      <c r="FDC42" s="139"/>
      <c r="FDD42" s="139"/>
      <c r="FDE42" s="139"/>
      <c r="FDF42" s="139"/>
      <c r="FDG42" s="139"/>
      <c r="FDH42" s="139"/>
      <c r="FDI42" s="139"/>
      <c r="FDJ42" s="139"/>
      <c r="FDK42" s="139"/>
      <c r="FDL42" s="139"/>
      <c r="FDM42" s="139"/>
      <c r="FDN42" s="139"/>
      <c r="FDO42" s="139"/>
      <c r="FDP42" s="139"/>
      <c r="FDQ42" s="139"/>
      <c r="FDR42" s="139"/>
      <c r="FDS42" s="139"/>
      <c r="FDT42" s="139"/>
      <c r="FDU42" s="139"/>
      <c r="FDV42" s="139"/>
      <c r="FDW42" s="139"/>
      <c r="FDX42" s="139"/>
      <c r="FDY42" s="139"/>
      <c r="FDZ42" s="139"/>
      <c r="FEA42" s="139"/>
      <c r="FEB42" s="139"/>
      <c r="FEC42" s="139"/>
      <c r="FED42" s="139"/>
      <c r="FEE42" s="139"/>
      <c r="FEF42" s="139"/>
      <c r="FEG42" s="139"/>
      <c r="FEH42" s="139"/>
      <c r="FEI42" s="139"/>
      <c r="FEJ42" s="139"/>
      <c r="FEK42" s="139"/>
      <c r="FEL42" s="139"/>
      <c r="FEM42" s="139"/>
      <c r="FEN42" s="139"/>
      <c r="FEO42" s="139"/>
      <c r="FEP42" s="139"/>
      <c r="FEQ42" s="139"/>
      <c r="FER42" s="139"/>
      <c r="FES42" s="139"/>
      <c r="FET42" s="139"/>
      <c r="FEU42" s="139"/>
      <c r="FEV42" s="139"/>
      <c r="FEW42" s="139"/>
      <c r="FEX42" s="139"/>
      <c r="FEY42" s="139"/>
      <c r="FEZ42" s="139"/>
      <c r="FFA42" s="139"/>
      <c r="FFB42" s="139"/>
      <c r="FFC42" s="139"/>
      <c r="FFD42" s="139"/>
      <c r="FFE42" s="139"/>
      <c r="FFF42" s="139"/>
      <c r="FFG42" s="139"/>
      <c r="FFH42" s="139"/>
      <c r="FFI42" s="139"/>
      <c r="FFJ42" s="139"/>
      <c r="FFK42" s="139"/>
      <c r="FFL42" s="139"/>
      <c r="FFM42" s="139"/>
      <c r="FFN42" s="139"/>
      <c r="FFO42" s="139"/>
      <c r="FFP42" s="139"/>
      <c r="FFQ42" s="139"/>
      <c r="FFR42" s="139"/>
      <c r="FFS42" s="139"/>
      <c r="FFT42" s="139"/>
      <c r="FFU42" s="139"/>
      <c r="FFV42" s="139"/>
      <c r="FFW42" s="139"/>
      <c r="FFX42" s="139"/>
      <c r="FFY42" s="139"/>
      <c r="FFZ42" s="139"/>
      <c r="FGA42" s="139"/>
      <c r="FGB42" s="139"/>
      <c r="FGC42" s="139"/>
      <c r="FGD42" s="139"/>
      <c r="FGE42" s="139"/>
      <c r="FGF42" s="139"/>
      <c r="FGG42" s="139"/>
      <c r="FGH42" s="139"/>
      <c r="FGI42" s="139"/>
      <c r="FGJ42" s="139"/>
      <c r="FGK42" s="139"/>
      <c r="FGL42" s="139"/>
      <c r="FGM42" s="139"/>
      <c r="FGN42" s="139"/>
      <c r="FGO42" s="139"/>
      <c r="FGP42" s="139"/>
      <c r="FGQ42" s="139"/>
      <c r="FGR42" s="139"/>
      <c r="FGS42" s="139"/>
      <c r="FGT42" s="139"/>
      <c r="FGU42" s="139"/>
      <c r="FGV42" s="139"/>
      <c r="FGW42" s="139"/>
      <c r="FGX42" s="139"/>
      <c r="FGY42" s="139"/>
      <c r="FGZ42" s="139"/>
      <c r="FHA42" s="139"/>
      <c r="FHB42" s="139"/>
      <c r="FHC42" s="139"/>
      <c r="FHD42" s="139"/>
      <c r="FHE42" s="139"/>
      <c r="FHF42" s="139"/>
      <c r="FHG42" s="139"/>
      <c r="FHH42" s="139"/>
      <c r="FHI42" s="139"/>
      <c r="FHJ42" s="139"/>
      <c r="FHK42" s="139"/>
      <c r="FHL42" s="139"/>
      <c r="FHM42" s="139"/>
      <c r="FHN42" s="139"/>
      <c r="FHO42" s="139"/>
      <c r="FHP42" s="139"/>
      <c r="FHQ42" s="139"/>
      <c r="FHR42" s="139"/>
      <c r="FHS42" s="139"/>
      <c r="FHT42" s="139"/>
      <c r="FHU42" s="139"/>
      <c r="FHV42" s="139"/>
      <c r="FHW42" s="139"/>
      <c r="FHX42" s="139"/>
      <c r="FHY42" s="139"/>
      <c r="FHZ42" s="139"/>
      <c r="FIA42" s="139"/>
      <c r="FIB42" s="139"/>
      <c r="FIC42" s="139"/>
      <c r="FID42" s="139"/>
      <c r="FIE42" s="139"/>
      <c r="FIF42" s="139"/>
      <c r="FIG42" s="139"/>
      <c r="FIH42" s="139"/>
      <c r="FII42" s="139"/>
      <c r="FIJ42" s="139"/>
      <c r="FIK42" s="139"/>
      <c r="FIL42" s="139"/>
      <c r="FIM42" s="139"/>
      <c r="FIN42" s="139"/>
      <c r="FIO42" s="139"/>
      <c r="FIP42" s="139"/>
      <c r="FIQ42" s="139"/>
      <c r="FIR42" s="139"/>
      <c r="FIS42" s="139"/>
      <c r="FIT42" s="139"/>
      <c r="FIU42" s="139"/>
      <c r="FIV42" s="139"/>
      <c r="FIW42" s="139"/>
      <c r="FIX42" s="139"/>
      <c r="FIY42" s="139"/>
      <c r="FIZ42" s="139"/>
      <c r="FJA42" s="139"/>
      <c r="FJB42" s="139"/>
      <c r="FJC42" s="139"/>
      <c r="FJD42" s="139"/>
      <c r="FJE42" s="139"/>
      <c r="FJF42" s="139"/>
      <c r="FJG42" s="139"/>
      <c r="FJH42" s="139"/>
      <c r="FJI42" s="139"/>
      <c r="FJJ42" s="139"/>
      <c r="FJK42" s="139"/>
      <c r="FJL42" s="139"/>
      <c r="FJM42" s="139"/>
      <c r="FJN42" s="139"/>
      <c r="FJO42" s="139"/>
      <c r="FJP42" s="139"/>
      <c r="FJQ42" s="139"/>
      <c r="FJR42" s="139"/>
      <c r="FJS42" s="139"/>
      <c r="FJT42" s="139"/>
      <c r="FJU42" s="139"/>
      <c r="FJV42" s="139"/>
      <c r="FJW42" s="139"/>
      <c r="FJX42" s="139"/>
      <c r="FJY42" s="139"/>
      <c r="FJZ42" s="139"/>
      <c r="FKA42" s="139"/>
      <c r="FKB42" s="139"/>
      <c r="FKC42" s="139"/>
      <c r="FKD42" s="139"/>
      <c r="FKE42" s="139"/>
      <c r="FKF42" s="139"/>
      <c r="FKG42" s="139"/>
      <c r="FKH42" s="139"/>
      <c r="FKI42" s="139"/>
      <c r="FKJ42" s="139"/>
      <c r="FKK42" s="139"/>
      <c r="FKL42" s="139"/>
      <c r="FKM42" s="139"/>
      <c r="FKN42" s="139"/>
      <c r="FKO42" s="139"/>
      <c r="FKP42" s="139"/>
      <c r="FKQ42" s="139"/>
      <c r="FKR42" s="139"/>
      <c r="FKS42" s="139"/>
      <c r="FKT42" s="139"/>
      <c r="FKU42" s="139"/>
      <c r="FKV42" s="139"/>
      <c r="FKW42" s="139"/>
      <c r="FKX42" s="139"/>
      <c r="FKY42" s="139"/>
      <c r="FKZ42" s="139"/>
      <c r="FLA42" s="139"/>
      <c r="FLB42" s="139"/>
      <c r="FLC42" s="139"/>
      <c r="FLD42" s="139"/>
      <c r="FLE42" s="139"/>
      <c r="FLF42" s="139"/>
      <c r="FLG42" s="139"/>
      <c r="FLH42" s="139"/>
      <c r="FLI42" s="139"/>
      <c r="FLJ42" s="139"/>
      <c r="FLK42" s="139"/>
      <c r="FLL42" s="139"/>
      <c r="FLM42" s="139"/>
      <c r="FLN42" s="139"/>
      <c r="FLO42" s="139"/>
      <c r="FLP42" s="139"/>
      <c r="FLQ42" s="139"/>
      <c r="FLR42" s="139"/>
      <c r="FLS42" s="139"/>
      <c r="FLT42" s="139"/>
      <c r="FLU42" s="139"/>
      <c r="FLV42" s="139"/>
      <c r="FLW42" s="139"/>
      <c r="FLX42" s="139"/>
      <c r="FLY42" s="139"/>
      <c r="FLZ42" s="139"/>
      <c r="FMA42" s="139"/>
      <c r="FMB42" s="139"/>
      <c r="FMC42" s="139"/>
      <c r="FMD42" s="139"/>
      <c r="FME42" s="139"/>
      <c r="FMF42" s="139"/>
      <c r="FMG42" s="139"/>
      <c r="FMH42" s="139"/>
      <c r="FMI42" s="139"/>
      <c r="FMJ42" s="139"/>
      <c r="FMK42" s="139"/>
      <c r="FML42" s="139"/>
      <c r="FMM42" s="139"/>
      <c r="FMN42" s="139"/>
      <c r="FMO42" s="139"/>
      <c r="FMP42" s="139"/>
      <c r="FMQ42" s="139"/>
      <c r="FMR42" s="139"/>
      <c r="FMS42" s="139"/>
      <c r="FMT42" s="139"/>
      <c r="FMU42" s="139"/>
      <c r="FMV42" s="139"/>
      <c r="FMW42" s="139"/>
      <c r="FMX42" s="139"/>
      <c r="FMY42" s="139"/>
      <c r="FMZ42" s="139"/>
      <c r="FNA42" s="139"/>
      <c r="FNB42" s="139"/>
      <c r="FNC42" s="139"/>
      <c r="FND42" s="139"/>
      <c r="FNE42" s="139"/>
      <c r="FNF42" s="139"/>
      <c r="FNG42" s="139"/>
      <c r="FNH42" s="139"/>
      <c r="FNI42" s="139"/>
      <c r="FNJ42" s="139"/>
      <c r="FNK42" s="139"/>
      <c r="FNL42" s="139"/>
      <c r="FNM42" s="139"/>
      <c r="FNN42" s="139"/>
      <c r="FNO42" s="139"/>
      <c r="FNP42" s="139"/>
      <c r="FNQ42" s="139"/>
      <c r="FNR42" s="139"/>
      <c r="FNS42" s="139"/>
      <c r="FNT42" s="139"/>
      <c r="FNU42" s="139"/>
      <c r="FNV42" s="139"/>
      <c r="FNW42" s="139"/>
      <c r="FNX42" s="139"/>
      <c r="FNY42" s="139"/>
      <c r="FNZ42" s="139"/>
      <c r="FOA42" s="139"/>
      <c r="FOB42" s="139"/>
      <c r="FOC42" s="139"/>
      <c r="FOD42" s="139"/>
      <c r="FOE42" s="139"/>
      <c r="FOF42" s="139"/>
      <c r="FOG42" s="139"/>
      <c r="FOH42" s="139"/>
      <c r="FOI42" s="139"/>
      <c r="FOJ42" s="139"/>
      <c r="FOK42" s="139"/>
      <c r="FOL42" s="139"/>
      <c r="FOM42" s="139"/>
      <c r="FON42" s="139"/>
      <c r="FOO42" s="139"/>
      <c r="FOP42" s="139"/>
      <c r="FOQ42" s="139"/>
      <c r="FOR42" s="139"/>
      <c r="FOS42" s="139"/>
      <c r="FOT42" s="139"/>
      <c r="FOU42" s="139"/>
      <c r="FOV42" s="139"/>
      <c r="FOW42" s="139"/>
      <c r="FOX42" s="139"/>
      <c r="FOY42" s="139"/>
      <c r="FOZ42" s="139"/>
      <c r="FPA42" s="139"/>
      <c r="FPB42" s="139"/>
      <c r="FPC42" s="139"/>
      <c r="FPD42" s="139"/>
      <c r="FPE42" s="139"/>
      <c r="FPF42" s="139"/>
      <c r="FPG42" s="139"/>
      <c r="FPH42" s="139"/>
      <c r="FPI42" s="139"/>
      <c r="FPJ42" s="139"/>
      <c r="FPK42" s="139"/>
      <c r="FPL42" s="139"/>
      <c r="FPM42" s="139"/>
      <c r="FPN42" s="139"/>
      <c r="FPO42" s="139"/>
      <c r="FPP42" s="139"/>
      <c r="FPQ42" s="139"/>
      <c r="FPR42" s="139"/>
      <c r="FPS42" s="139"/>
      <c r="FPT42" s="139"/>
      <c r="FPU42" s="139"/>
      <c r="FPV42" s="139"/>
      <c r="FPW42" s="139"/>
      <c r="FPX42" s="139"/>
      <c r="FPY42" s="139"/>
      <c r="FPZ42" s="139"/>
      <c r="FQA42" s="139"/>
      <c r="FQB42" s="139"/>
      <c r="FQC42" s="139"/>
      <c r="FQD42" s="139"/>
      <c r="FQE42" s="139"/>
      <c r="FQF42" s="139"/>
      <c r="FQG42" s="139"/>
      <c r="FQH42" s="139"/>
      <c r="FQI42" s="139"/>
      <c r="FQJ42" s="139"/>
      <c r="FQK42" s="139"/>
      <c r="FQL42" s="139"/>
      <c r="FQM42" s="139"/>
      <c r="FQN42" s="139"/>
      <c r="FQO42" s="139"/>
      <c r="FQP42" s="139"/>
      <c r="FQQ42" s="139"/>
      <c r="FQR42" s="139"/>
      <c r="FQS42" s="139"/>
      <c r="FQT42" s="139"/>
      <c r="FQU42" s="139"/>
      <c r="FQV42" s="139"/>
      <c r="FQW42" s="139"/>
      <c r="FQX42" s="139"/>
      <c r="FQY42" s="139"/>
      <c r="FQZ42" s="139"/>
      <c r="FRA42" s="139"/>
      <c r="FRB42" s="139"/>
      <c r="FRC42" s="139"/>
      <c r="FRD42" s="139"/>
      <c r="FRE42" s="139"/>
      <c r="FRF42" s="139"/>
      <c r="FRG42" s="139"/>
      <c r="FRH42" s="139"/>
      <c r="FRI42" s="139"/>
      <c r="FRJ42" s="139"/>
      <c r="FRK42" s="139"/>
      <c r="FRL42" s="139"/>
      <c r="FRM42" s="139"/>
      <c r="FRN42" s="139"/>
      <c r="FRO42" s="139"/>
      <c r="FRP42" s="139"/>
      <c r="FRQ42" s="139"/>
      <c r="FRR42" s="139"/>
      <c r="FRS42" s="139"/>
      <c r="FRT42" s="139"/>
      <c r="FRU42" s="139"/>
      <c r="FRV42" s="139"/>
      <c r="FRW42" s="139"/>
      <c r="FRX42" s="139"/>
      <c r="FRY42" s="139"/>
      <c r="FRZ42" s="139"/>
      <c r="FSA42" s="139"/>
      <c r="FSB42" s="139"/>
      <c r="FSC42" s="139"/>
      <c r="FSD42" s="139"/>
      <c r="FSE42" s="139"/>
      <c r="FSF42" s="139"/>
      <c r="FSG42" s="139"/>
      <c r="FSH42" s="139"/>
      <c r="FSI42" s="139"/>
      <c r="FSJ42" s="139"/>
      <c r="FSK42" s="139"/>
      <c r="FSL42" s="139"/>
      <c r="FSM42" s="139"/>
      <c r="FSN42" s="139"/>
      <c r="FSO42" s="139"/>
      <c r="FSP42" s="139"/>
      <c r="FSQ42" s="139"/>
      <c r="FSR42" s="139"/>
      <c r="FSS42" s="139"/>
      <c r="FST42" s="139"/>
      <c r="FSU42" s="139"/>
      <c r="FSV42" s="139"/>
      <c r="FSW42" s="139"/>
      <c r="FSX42" s="139"/>
      <c r="FSY42" s="139"/>
      <c r="FSZ42" s="139"/>
      <c r="FTA42" s="139"/>
      <c r="FTB42" s="139"/>
      <c r="FTC42" s="139"/>
      <c r="FTD42" s="139"/>
      <c r="FTE42" s="139"/>
      <c r="FTF42" s="139"/>
      <c r="FTG42" s="139"/>
      <c r="FTH42" s="139"/>
      <c r="FTI42" s="139"/>
      <c r="FTJ42" s="139"/>
      <c r="FTK42" s="139"/>
      <c r="FTL42" s="139"/>
      <c r="FTM42" s="139"/>
      <c r="FTN42" s="139"/>
      <c r="FTO42" s="139"/>
      <c r="FTP42" s="139"/>
      <c r="FTQ42" s="139"/>
      <c r="FTR42" s="139"/>
      <c r="FTS42" s="139"/>
      <c r="FTT42" s="139"/>
      <c r="FTU42" s="139"/>
      <c r="FTV42" s="139"/>
      <c r="FTW42" s="139"/>
      <c r="FTX42" s="139"/>
      <c r="FTY42" s="139"/>
      <c r="FTZ42" s="139"/>
      <c r="FUA42" s="139"/>
      <c r="FUB42" s="139"/>
      <c r="FUC42" s="139"/>
      <c r="FUD42" s="139"/>
      <c r="FUE42" s="139"/>
      <c r="FUF42" s="139"/>
      <c r="FUG42" s="139"/>
      <c r="FUH42" s="139"/>
      <c r="FUI42" s="139"/>
      <c r="FUJ42" s="139"/>
      <c r="FUK42" s="139"/>
      <c r="FUL42" s="139"/>
      <c r="FUM42" s="139"/>
      <c r="FUN42" s="139"/>
      <c r="FUO42" s="139"/>
      <c r="FUP42" s="139"/>
      <c r="FUQ42" s="139"/>
      <c r="FUR42" s="139"/>
      <c r="FUS42" s="139"/>
      <c r="FUT42" s="139"/>
      <c r="FUU42" s="139"/>
      <c r="FUV42" s="139"/>
      <c r="FUW42" s="139"/>
      <c r="FUX42" s="139"/>
      <c r="FUY42" s="139"/>
      <c r="FUZ42" s="139"/>
      <c r="FVA42" s="139"/>
      <c r="FVB42" s="139"/>
      <c r="FVC42" s="139"/>
      <c r="FVD42" s="139"/>
      <c r="FVE42" s="139"/>
      <c r="FVF42" s="139"/>
      <c r="FVG42" s="139"/>
      <c r="FVH42" s="139"/>
      <c r="FVI42" s="139"/>
      <c r="FVJ42" s="139"/>
      <c r="FVK42" s="139"/>
      <c r="FVL42" s="139"/>
      <c r="FVM42" s="139"/>
      <c r="FVN42" s="139"/>
      <c r="FVO42" s="139"/>
      <c r="FVP42" s="139"/>
      <c r="FVQ42" s="139"/>
      <c r="FVR42" s="139"/>
      <c r="FVS42" s="139"/>
      <c r="FVT42" s="139"/>
      <c r="FVU42" s="139"/>
      <c r="FVV42" s="139"/>
      <c r="FVW42" s="139"/>
      <c r="FVX42" s="139"/>
      <c r="FVY42" s="139"/>
      <c r="FVZ42" s="139"/>
      <c r="FWA42" s="139"/>
      <c r="FWB42" s="139"/>
      <c r="FWC42" s="139"/>
      <c r="FWD42" s="139"/>
      <c r="FWE42" s="139"/>
      <c r="FWF42" s="139"/>
      <c r="FWG42" s="139"/>
      <c r="FWH42" s="139"/>
      <c r="FWI42" s="139"/>
      <c r="FWJ42" s="139"/>
      <c r="FWK42" s="139"/>
      <c r="FWL42" s="139"/>
      <c r="FWM42" s="139"/>
      <c r="FWN42" s="139"/>
      <c r="FWO42" s="139"/>
      <c r="FWP42" s="139"/>
      <c r="FWQ42" s="139"/>
      <c r="FWR42" s="139"/>
      <c r="FWS42" s="139"/>
      <c r="FWT42" s="139"/>
      <c r="FWU42" s="139"/>
      <c r="FWV42" s="139"/>
      <c r="FWW42" s="139"/>
      <c r="FWX42" s="139"/>
      <c r="FWY42" s="139"/>
      <c r="FWZ42" s="139"/>
      <c r="FXA42" s="139"/>
      <c r="FXB42" s="139"/>
      <c r="FXC42" s="139"/>
      <c r="FXD42" s="139"/>
      <c r="FXE42" s="139"/>
      <c r="FXF42" s="139"/>
      <c r="FXG42" s="139"/>
      <c r="FXH42" s="139"/>
      <c r="FXI42" s="139"/>
      <c r="FXJ42" s="139"/>
      <c r="FXK42" s="139"/>
      <c r="FXL42" s="139"/>
      <c r="FXM42" s="139"/>
      <c r="FXN42" s="139"/>
      <c r="FXO42" s="139"/>
      <c r="FXP42" s="139"/>
      <c r="FXQ42" s="139"/>
      <c r="FXR42" s="139"/>
      <c r="FXS42" s="139"/>
      <c r="FXT42" s="139"/>
      <c r="FXU42" s="139"/>
      <c r="FXV42" s="139"/>
      <c r="FXW42" s="139"/>
      <c r="FXX42" s="139"/>
      <c r="FXY42" s="139"/>
      <c r="FXZ42" s="139"/>
      <c r="FYA42" s="139"/>
      <c r="FYB42" s="139"/>
      <c r="FYC42" s="139"/>
      <c r="FYD42" s="139"/>
      <c r="FYE42" s="139"/>
      <c r="FYF42" s="139"/>
      <c r="FYG42" s="139"/>
      <c r="FYH42" s="139"/>
      <c r="FYI42" s="139"/>
      <c r="FYJ42" s="139"/>
      <c r="FYK42" s="139"/>
      <c r="FYL42" s="139"/>
      <c r="FYM42" s="139"/>
      <c r="FYN42" s="139"/>
      <c r="FYO42" s="139"/>
      <c r="FYP42" s="139"/>
      <c r="FYQ42" s="139"/>
      <c r="FYR42" s="139"/>
      <c r="FYS42" s="139"/>
      <c r="FYT42" s="139"/>
      <c r="FYU42" s="139"/>
      <c r="FYV42" s="139"/>
      <c r="FYW42" s="139"/>
      <c r="FYX42" s="139"/>
      <c r="FYY42" s="139"/>
      <c r="FYZ42" s="139"/>
      <c r="FZA42" s="139"/>
      <c r="FZB42" s="139"/>
      <c r="FZC42" s="139"/>
      <c r="FZD42" s="139"/>
      <c r="FZE42" s="139"/>
      <c r="FZF42" s="139"/>
      <c r="FZG42" s="139"/>
      <c r="FZH42" s="139"/>
      <c r="FZI42" s="139"/>
      <c r="FZJ42" s="139"/>
      <c r="FZK42" s="139"/>
      <c r="FZL42" s="139"/>
      <c r="FZM42" s="139"/>
      <c r="FZN42" s="139"/>
      <c r="FZO42" s="139"/>
      <c r="FZP42" s="139"/>
      <c r="FZQ42" s="139"/>
      <c r="FZR42" s="139"/>
      <c r="FZS42" s="139"/>
      <c r="FZT42" s="139"/>
      <c r="FZU42" s="139"/>
      <c r="FZV42" s="139"/>
      <c r="FZW42" s="139"/>
      <c r="FZX42" s="139"/>
      <c r="FZY42" s="139"/>
      <c r="FZZ42" s="139"/>
      <c r="GAA42" s="139"/>
      <c r="GAB42" s="139"/>
      <c r="GAC42" s="139"/>
      <c r="GAD42" s="139"/>
      <c r="GAE42" s="139"/>
      <c r="GAF42" s="139"/>
      <c r="GAG42" s="139"/>
      <c r="GAH42" s="139"/>
      <c r="GAI42" s="139"/>
      <c r="GAJ42" s="139"/>
      <c r="GAK42" s="139"/>
      <c r="GAL42" s="139"/>
      <c r="GAM42" s="139"/>
      <c r="GAN42" s="139"/>
      <c r="GAO42" s="139"/>
      <c r="GAP42" s="139"/>
      <c r="GAQ42" s="139"/>
      <c r="GAR42" s="139"/>
      <c r="GAS42" s="139"/>
      <c r="GAT42" s="139"/>
      <c r="GAU42" s="139"/>
      <c r="GAV42" s="139"/>
      <c r="GAW42" s="139"/>
      <c r="GAX42" s="139"/>
      <c r="GAY42" s="139"/>
      <c r="GAZ42" s="139"/>
      <c r="GBA42" s="139"/>
      <c r="GBB42" s="139"/>
      <c r="GBC42" s="139"/>
      <c r="GBD42" s="139"/>
      <c r="GBE42" s="139"/>
      <c r="GBF42" s="139"/>
      <c r="GBG42" s="139"/>
      <c r="GBH42" s="139"/>
      <c r="GBI42" s="139"/>
      <c r="GBJ42" s="139"/>
      <c r="GBK42" s="139"/>
      <c r="GBL42" s="139"/>
      <c r="GBM42" s="139"/>
      <c r="GBN42" s="139"/>
      <c r="GBO42" s="139"/>
      <c r="GBP42" s="139"/>
      <c r="GBQ42" s="139"/>
      <c r="GBR42" s="139"/>
      <c r="GBS42" s="139"/>
      <c r="GBT42" s="139"/>
      <c r="GBU42" s="139"/>
      <c r="GBV42" s="139"/>
      <c r="GBW42" s="139"/>
      <c r="GBX42" s="139"/>
      <c r="GBY42" s="139"/>
      <c r="GBZ42" s="139"/>
      <c r="GCA42" s="139"/>
      <c r="GCB42" s="139"/>
      <c r="GCC42" s="139"/>
      <c r="GCD42" s="139"/>
      <c r="GCE42" s="139"/>
      <c r="GCF42" s="139"/>
      <c r="GCG42" s="139"/>
      <c r="GCH42" s="139"/>
      <c r="GCI42" s="139"/>
      <c r="GCJ42" s="139"/>
      <c r="GCK42" s="139"/>
      <c r="GCL42" s="139"/>
      <c r="GCM42" s="139"/>
      <c r="GCN42" s="139"/>
      <c r="GCO42" s="139"/>
      <c r="GCP42" s="139"/>
      <c r="GCQ42" s="139"/>
      <c r="GCR42" s="139"/>
      <c r="GCS42" s="139"/>
      <c r="GCT42" s="139"/>
      <c r="GCU42" s="139"/>
      <c r="GCV42" s="139"/>
      <c r="GCW42" s="139"/>
      <c r="GCX42" s="139"/>
      <c r="GCY42" s="139"/>
      <c r="GCZ42" s="139"/>
      <c r="GDA42" s="139"/>
      <c r="GDB42" s="139"/>
      <c r="GDC42" s="139"/>
      <c r="GDD42" s="139"/>
      <c r="GDE42" s="139"/>
      <c r="GDF42" s="139"/>
      <c r="GDG42" s="139"/>
      <c r="GDH42" s="139"/>
      <c r="GDI42" s="139"/>
      <c r="GDJ42" s="139"/>
      <c r="GDK42" s="139"/>
      <c r="GDL42" s="139"/>
      <c r="GDM42" s="139"/>
      <c r="GDN42" s="139"/>
      <c r="GDO42" s="139"/>
      <c r="GDP42" s="139"/>
      <c r="GDQ42" s="139"/>
      <c r="GDR42" s="139"/>
      <c r="GDS42" s="139"/>
      <c r="GDT42" s="139"/>
      <c r="GDU42" s="139"/>
      <c r="GDV42" s="139"/>
      <c r="GDW42" s="139"/>
      <c r="GDX42" s="139"/>
      <c r="GDY42" s="139"/>
      <c r="GDZ42" s="139"/>
      <c r="GEA42" s="139"/>
      <c r="GEB42" s="139"/>
      <c r="GEC42" s="139"/>
      <c r="GED42" s="139"/>
      <c r="GEE42" s="139"/>
      <c r="GEF42" s="139"/>
      <c r="GEG42" s="139"/>
      <c r="GEH42" s="139"/>
      <c r="GEI42" s="139"/>
      <c r="GEJ42" s="139"/>
      <c r="GEK42" s="139"/>
      <c r="GEL42" s="139"/>
      <c r="GEM42" s="139"/>
      <c r="GEN42" s="139"/>
      <c r="GEO42" s="139"/>
      <c r="GEP42" s="139"/>
      <c r="GEQ42" s="139"/>
      <c r="GER42" s="139"/>
      <c r="GES42" s="139"/>
      <c r="GET42" s="139"/>
      <c r="GEU42" s="139"/>
      <c r="GEV42" s="139"/>
      <c r="GEW42" s="139"/>
      <c r="GEX42" s="139"/>
      <c r="GEY42" s="139"/>
      <c r="GEZ42" s="139"/>
      <c r="GFA42" s="139"/>
      <c r="GFB42" s="139"/>
      <c r="GFC42" s="139"/>
      <c r="GFD42" s="139"/>
      <c r="GFE42" s="139"/>
      <c r="GFF42" s="139"/>
      <c r="GFG42" s="139"/>
      <c r="GFH42" s="139"/>
      <c r="GFI42" s="139"/>
      <c r="GFJ42" s="139"/>
      <c r="GFK42" s="139"/>
      <c r="GFL42" s="139"/>
      <c r="GFM42" s="139"/>
      <c r="GFN42" s="139"/>
      <c r="GFO42" s="139"/>
      <c r="GFP42" s="139"/>
      <c r="GFQ42" s="139"/>
      <c r="GFR42" s="139"/>
      <c r="GFS42" s="139"/>
      <c r="GFT42" s="139"/>
      <c r="GFU42" s="139"/>
      <c r="GFV42" s="139"/>
      <c r="GFW42" s="139"/>
      <c r="GFX42" s="139"/>
      <c r="GFY42" s="139"/>
      <c r="GFZ42" s="139"/>
      <c r="GGA42" s="139"/>
      <c r="GGB42" s="139"/>
      <c r="GGC42" s="139"/>
      <c r="GGD42" s="139"/>
      <c r="GGE42" s="139"/>
      <c r="GGF42" s="139"/>
      <c r="GGG42" s="139"/>
      <c r="GGH42" s="139"/>
      <c r="GGI42" s="139"/>
      <c r="GGJ42" s="139"/>
      <c r="GGK42" s="139"/>
      <c r="GGL42" s="139"/>
      <c r="GGM42" s="139"/>
      <c r="GGN42" s="139"/>
      <c r="GGO42" s="139"/>
      <c r="GGP42" s="139"/>
      <c r="GGQ42" s="139"/>
      <c r="GGR42" s="139"/>
      <c r="GGS42" s="139"/>
      <c r="GGT42" s="139"/>
      <c r="GGU42" s="139"/>
      <c r="GGV42" s="139"/>
      <c r="GGW42" s="139"/>
      <c r="GGX42" s="139"/>
      <c r="GGY42" s="139"/>
      <c r="GGZ42" s="139"/>
      <c r="GHA42" s="139"/>
      <c r="GHB42" s="139"/>
      <c r="GHC42" s="139"/>
      <c r="GHD42" s="139"/>
      <c r="GHE42" s="139"/>
      <c r="GHF42" s="139"/>
      <c r="GHG42" s="139"/>
      <c r="GHH42" s="139"/>
      <c r="GHI42" s="139"/>
      <c r="GHJ42" s="139"/>
      <c r="GHK42" s="139"/>
      <c r="GHL42" s="139"/>
      <c r="GHM42" s="139"/>
      <c r="GHN42" s="139"/>
      <c r="GHO42" s="139"/>
      <c r="GHP42" s="139"/>
      <c r="GHQ42" s="139"/>
      <c r="GHR42" s="139"/>
      <c r="GHS42" s="139"/>
      <c r="GHT42" s="139"/>
      <c r="GHU42" s="139"/>
      <c r="GHV42" s="139"/>
      <c r="GHW42" s="139"/>
      <c r="GHX42" s="139"/>
      <c r="GHY42" s="139"/>
      <c r="GHZ42" s="139"/>
      <c r="GIA42" s="139"/>
      <c r="GIB42" s="139"/>
      <c r="GIC42" s="139"/>
      <c r="GID42" s="139"/>
      <c r="GIE42" s="139"/>
      <c r="GIF42" s="139"/>
      <c r="GIG42" s="139"/>
      <c r="GIH42" s="139"/>
      <c r="GII42" s="139"/>
      <c r="GIJ42" s="139"/>
      <c r="GIK42" s="139"/>
      <c r="GIL42" s="139"/>
      <c r="GIM42" s="139"/>
      <c r="GIN42" s="139"/>
      <c r="GIO42" s="139"/>
      <c r="GIP42" s="139"/>
      <c r="GIQ42" s="139"/>
      <c r="GIR42" s="139"/>
      <c r="GIS42" s="139"/>
      <c r="GIT42" s="139"/>
      <c r="GIU42" s="139"/>
      <c r="GIV42" s="139"/>
      <c r="GIW42" s="139"/>
      <c r="GIX42" s="139"/>
      <c r="GIY42" s="139"/>
      <c r="GIZ42" s="139"/>
      <c r="GJA42" s="139"/>
      <c r="GJB42" s="139"/>
      <c r="GJC42" s="139"/>
      <c r="GJD42" s="139"/>
      <c r="GJE42" s="139"/>
      <c r="GJF42" s="139"/>
      <c r="GJG42" s="139"/>
      <c r="GJH42" s="139"/>
      <c r="GJI42" s="139"/>
      <c r="GJJ42" s="139"/>
      <c r="GJK42" s="139"/>
      <c r="GJL42" s="139"/>
      <c r="GJM42" s="139"/>
      <c r="GJN42" s="139"/>
      <c r="GJO42" s="139"/>
      <c r="GJP42" s="139"/>
      <c r="GJQ42" s="139"/>
      <c r="GJR42" s="139"/>
      <c r="GJS42" s="139"/>
      <c r="GJT42" s="139"/>
      <c r="GJU42" s="139"/>
      <c r="GJV42" s="139"/>
      <c r="GJW42" s="139"/>
      <c r="GJX42" s="139"/>
      <c r="GJY42" s="139"/>
      <c r="GJZ42" s="139"/>
      <c r="GKA42" s="139"/>
      <c r="GKB42" s="139"/>
      <c r="GKC42" s="139"/>
      <c r="GKD42" s="139"/>
      <c r="GKE42" s="139"/>
      <c r="GKF42" s="139"/>
      <c r="GKG42" s="139"/>
      <c r="GKH42" s="139"/>
      <c r="GKI42" s="139"/>
      <c r="GKJ42" s="139"/>
      <c r="GKK42" s="139"/>
      <c r="GKL42" s="139"/>
      <c r="GKM42" s="139"/>
      <c r="GKN42" s="139"/>
      <c r="GKO42" s="139"/>
      <c r="GKP42" s="139"/>
      <c r="GKQ42" s="139"/>
      <c r="GKR42" s="139"/>
      <c r="GKS42" s="139"/>
      <c r="GKT42" s="139"/>
      <c r="GKU42" s="139"/>
      <c r="GKV42" s="139"/>
      <c r="GKW42" s="139"/>
      <c r="GKX42" s="139"/>
      <c r="GKY42" s="139"/>
      <c r="GKZ42" s="139"/>
      <c r="GLA42" s="139"/>
      <c r="GLB42" s="139"/>
      <c r="GLC42" s="139"/>
      <c r="GLD42" s="139"/>
      <c r="GLE42" s="139"/>
      <c r="GLF42" s="139"/>
      <c r="GLG42" s="139"/>
      <c r="GLH42" s="139"/>
      <c r="GLI42" s="139"/>
      <c r="GLJ42" s="139"/>
      <c r="GLK42" s="139"/>
      <c r="GLL42" s="139"/>
      <c r="GLM42" s="139"/>
      <c r="GLN42" s="139"/>
      <c r="GLO42" s="139"/>
      <c r="GLP42" s="139"/>
      <c r="GLQ42" s="139"/>
      <c r="GLR42" s="139"/>
      <c r="GLS42" s="139"/>
      <c r="GLT42" s="139"/>
      <c r="GLU42" s="139"/>
      <c r="GLV42" s="139"/>
      <c r="GLW42" s="139"/>
      <c r="GLX42" s="139"/>
      <c r="GLY42" s="139"/>
      <c r="GLZ42" s="139"/>
      <c r="GMA42" s="139"/>
      <c r="GMB42" s="139"/>
      <c r="GMC42" s="139"/>
      <c r="GMD42" s="139"/>
      <c r="GME42" s="139"/>
      <c r="GMF42" s="139"/>
      <c r="GMG42" s="139"/>
      <c r="GMH42" s="139"/>
      <c r="GMI42" s="139"/>
      <c r="GMJ42" s="139"/>
      <c r="GMK42" s="139"/>
      <c r="GML42" s="139"/>
      <c r="GMM42" s="139"/>
      <c r="GMN42" s="139"/>
      <c r="GMO42" s="139"/>
      <c r="GMP42" s="139"/>
      <c r="GMQ42" s="139"/>
      <c r="GMR42" s="139"/>
      <c r="GMS42" s="139"/>
      <c r="GMT42" s="139"/>
      <c r="GMU42" s="139"/>
      <c r="GMV42" s="139"/>
      <c r="GMW42" s="139"/>
      <c r="GMX42" s="139"/>
      <c r="GMY42" s="139"/>
      <c r="GMZ42" s="139"/>
      <c r="GNA42" s="139"/>
      <c r="GNB42" s="139"/>
      <c r="GNC42" s="139"/>
      <c r="GND42" s="139"/>
      <c r="GNE42" s="139"/>
      <c r="GNF42" s="139"/>
      <c r="GNG42" s="139"/>
      <c r="GNH42" s="139"/>
      <c r="GNI42" s="139"/>
      <c r="GNJ42" s="139"/>
      <c r="GNK42" s="139"/>
      <c r="GNL42" s="139"/>
      <c r="GNM42" s="139"/>
      <c r="GNN42" s="139"/>
      <c r="GNO42" s="139"/>
      <c r="GNP42" s="139"/>
      <c r="GNQ42" s="139"/>
      <c r="GNR42" s="139"/>
      <c r="GNS42" s="139"/>
      <c r="GNT42" s="139"/>
      <c r="GNU42" s="139"/>
      <c r="GNV42" s="139"/>
      <c r="GNW42" s="139"/>
      <c r="GNX42" s="139"/>
      <c r="GNY42" s="139"/>
      <c r="GNZ42" s="139"/>
      <c r="GOA42" s="139"/>
      <c r="GOB42" s="139"/>
      <c r="GOC42" s="139"/>
      <c r="GOD42" s="139"/>
      <c r="GOE42" s="139"/>
      <c r="GOF42" s="139"/>
      <c r="GOG42" s="139"/>
      <c r="GOH42" s="139"/>
      <c r="GOI42" s="139"/>
      <c r="GOJ42" s="139"/>
      <c r="GOK42" s="139"/>
      <c r="GOL42" s="139"/>
      <c r="GOM42" s="139"/>
      <c r="GON42" s="139"/>
      <c r="GOO42" s="139"/>
      <c r="GOP42" s="139"/>
      <c r="GOQ42" s="139"/>
      <c r="GOR42" s="139"/>
      <c r="GOS42" s="139"/>
      <c r="GOT42" s="139"/>
      <c r="GOU42" s="139"/>
      <c r="GOV42" s="139"/>
      <c r="GOW42" s="139"/>
      <c r="GOX42" s="139"/>
      <c r="GOY42" s="139"/>
      <c r="GOZ42" s="139"/>
      <c r="GPA42" s="139"/>
      <c r="GPB42" s="139"/>
      <c r="GPC42" s="139"/>
      <c r="GPD42" s="139"/>
      <c r="GPE42" s="139"/>
      <c r="GPF42" s="139"/>
      <c r="GPG42" s="139"/>
      <c r="GPH42" s="139"/>
      <c r="GPI42" s="139"/>
      <c r="GPJ42" s="139"/>
      <c r="GPK42" s="139"/>
      <c r="GPL42" s="139"/>
      <c r="GPM42" s="139"/>
      <c r="GPN42" s="139"/>
      <c r="GPO42" s="139"/>
      <c r="GPP42" s="139"/>
      <c r="GPQ42" s="139"/>
      <c r="GPR42" s="139"/>
      <c r="GPS42" s="139"/>
      <c r="GPT42" s="139"/>
      <c r="GPU42" s="139"/>
      <c r="GPV42" s="139"/>
      <c r="GPW42" s="139"/>
      <c r="GPX42" s="139"/>
      <c r="GPY42" s="139"/>
      <c r="GPZ42" s="139"/>
      <c r="GQA42" s="139"/>
      <c r="GQB42" s="139"/>
      <c r="GQC42" s="139"/>
      <c r="GQD42" s="139"/>
      <c r="GQE42" s="139"/>
      <c r="GQF42" s="139"/>
      <c r="GQG42" s="139"/>
      <c r="GQH42" s="139"/>
      <c r="GQI42" s="139"/>
      <c r="GQJ42" s="139"/>
      <c r="GQK42" s="139"/>
      <c r="GQL42" s="139"/>
      <c r="GQM42" s="139"/>
      <c r="GQN42" s="139"/>
      <c r="GQO42" s="139"/>
      <c r="GQP42" s="139"/>
      <c r="GQQ42" s="139"/>
      <c r="GQR42" s="139"/>
      <c r="GQS42" s="139"/>
      <c r="GQT42" s="139"/>
      <c r="GQU42" s="139"/>
      <c r="GQV42" s="139"/>
      <c r="GQW42" s="139"/>
      <c r="GQX42" s="139"/>
      <c r="GQY42" s="139"/>
      <c r="GQZ42" s="139"/>
      <c r="GRA42" s="139"/>
      <c r="GRB42" s="139"/>
      <c r="GRC42" s="139"/>
      <c r="GRD42" s="139"/>
      <c r="GRE42" s="139"/>
      <c r="GRF42" s="139"/>
      <c r="GRG42" s="139"/>
      <c r="GRH42" s="139"/>
      <c r="GRI42" s="139"/>
      <c r="GRJ42" s="139"/>
      <c r="GRK42" s="139"/>
      <c r="GRL42" s="139"/>
      <c r="GRM42" s="139"/>
      <c r="GRN42" s="139"/>
      <c r="GRO42" s="139"/>
      <c r="GRP42" s="139"/>
      <c r="GRQ42" s="139"/>
      <c r="GRR42" s="139"/>
      <c r="GRS42" s="139"/>
      <c r="GRT42" s="139"/>
      <c r="GRU42" s="139"/>
      <c r="GRV42" s="139"/>
      <c r="GRW42" s="139"/>
      <c r="GRX42" s="139"/>
      <c r="GRY42" s="139"/>
      <c r="GRZ42" s="139"/>
      <c r="GSA42" s="139"/>
      <c r="GSB42" s="139"/>
      <c r="GSC42" s="139"/>
      <c r="GSD42" s="139"/>
      <c r="GSE42" s="139"/>
      <c r="GSF42" s="139"/>
      <c r="GSG42" s="139"/>
      <c r="GSH42" s="139"/>
      <c r="GSI42" s="139"/>
      <c r="GSJ42" s="139"/>
      <c r="GSK42" s="139"/>
      <c r="GSL42" s="139"/>
      <c r="GSM42" s="139"/>
      <c r="GSN42" s="139"/>
      <c r="GSO42" s="139"/>
      <c r="GSP42" s="139"/>
      <c r="GSQ42" s="139"/>
      <c r="GSR42" s="139"/>
      <c r="GSS42" s="139"/>
      <c r="GST42" s="139"/>
      <c r="GSU42" s="139"/>
      <c r="GSV42" s="139"/>
      <c r="GSW42" s="139"/>
      <c r="GSX42" s="139"/>
      <c r="GSY42" s="139"/>
      <c r="GSZ42" s="139"/>
      <c r="GTA42" s="139"/>
      <c r="GTB42" s="139"/>
      <c r="GTC42" s="139"/>
      <c r="GTD42" s="139"/>
      <c r="GTE42" s="139"/>
      <c r="GTF42" s="139"/>
      <c r="GTG42" s="139"/>
      <c r="GTH42" s="139"/>
      <c r="GTI42" s="139"/>
      <c r="GTJ42" s="139"/>
      <c r="GTK42" s="139"/>
      <c r="GTL42" s="139"/>
      <c r="GTM42" s="139"/>
      <c r="GTN42" s="139"/>
      <c r="GTO42" s="139"/>
      <c r="GTP42" s="139"/>
      <c r="GTQ42" s="139"/>
      <c r="GTR42" s="139"/>
      <c r="GTS42" s="139"/>
      <c r="GTT42" s="139"/>
      <c r="GTU42" s="139"/>
      <c r="GTV42" s="139"/>
      <c r="GTW42" s="139"/>
      <c r="GTX42" s="139"/>
      <c r="GTY42" s="139"/>
      <c r="GTZ42" s="139"/>
      <c r="GUA42" s="139"/>
      <c r="GUB42" s="139"/>
      <c r="GUC42" s="139"/>
      <c r="GUD42" s="139"/>
      <c r="GUE42" s="139"/>
      <c r="GUF42" s="139"/>
      <c r="GUG42" s="139"/>
      <c r="GUH42" s="139"/>
      <c r="GUI42" s="139"/>
      <c r="GUJ42" s="139"/>
      <c r="GUK42" s="139"/>
      <c r="GUL42" s="139"/>
      <c r="GUM42" s="139"/>
      <c r="GUN42" s="139"/>
      <c r="GUO42" s="139"/>
      <c r="GUP42" s="139"/>
      <c r="GUQ42" s="139"/>
      <c r="GUR42" s="139"/>
      <c r="GUS42" s="139"/>
      <c r="GUT42" s="139"/>
      <c r="GUU42" s="139"/>
      <c r="GUV42" s="139"/>
      <c r="GUW42" s="139"/>
      <c r="GUX42" s="139"/>
      <c r="GUY42" s="139"/>
      <c r="GUZ42" s="139"/>
      <c r="GVA42" s="139"/>
      <c r="GVB42" s="139"/>
      <c r="GVC42" s="139"/>
      <c r="GVD42" s="139"/>
      <c r="GVE42" s="139"/>
      <c r="GVF42" s="139"/>
      <c r="GVG42" s="139"/>
      <c r="GVH42" s="139"/>
      <c r="GVI42" s="139"/>
      <c r="GVJ42" s="139"/>
      <c r="GVK42" s="139"/>
      <c r="GVL42" s="139"/>
      <c r="GVM42" s="139"/>
      <c r="GVN42" s="139"/>
      <c r="GVO42" s="139"/>
      <c r="GVP42" s="139"/>
      <c r="GVQ42" s="139"/>
      <c r="GVR42" s="139"/>
      <c r="GVS42" s="139"/>
      <c r="GVT42" s="139"/>
      <c r="GVU42" s="139"/>
      <c r="GVV42" s="139"/>
      <c r="GVW42" s="139"/>
      <c r="GVX42" s="139"/>
      <c r="GVY42" s="139"/>
      <c r="GVZ42" s="139"/>
      <c r="GWA42" s="139"/>
      <c r="GWB42" s="139"/>
      <c r="GWC42" s="139"/>
      <c r="GWD42" s="139"/>
      <c r="GWE42" s="139"/>
      <c r="GWF42" s="139"/>
      <c r="GWG42" s="139"/>
      <c r="GWH42" s="139"/>
      <c r="GWI42" s="139"/>
      <c r="GWJ42" s="139"/>
      <c r="GWK42" s="139"/>
      <c r="GWL42" s="139"/>
      <c r="GWM42" s="139"/>
      <c r="GWN42" s="139"/>
      <c r="GWO42" s="139"/>
      <c r="GWP42" s="139"/>
      <c r="GWQ42" s="139"/>
      <c r="GWR42" s="139"/>
      <c r="GWS42" s="139"/>
      <c r="GWT42" s="139"/>
      <c r="GWU42" s="139"/>
      <c r="GWV42" s="139"/>
      <c r="GWW42" s="139"/>
      <c r="GWX42" s="139"/>
      <c r="GWY42" s="139"/>
      <c r="GWZ42" s="139"/>
      <c r="GXA42" s="139"/>
      <c r="GXB42" s="139"/>
      <c r="GXC42" s="139"/>
      <c r="GXD42" s="139"/>
      <c r="GXE42" s="139"/>
      <c r="GXF42" s="139"/>
      <c r="GXG42" s="139"/>
      <c r="GXH42" s="139"/>
      <c r="GXI42" s="139"/>
      <c r="GXJ42" s="139"/>
      <c r="GXK42" s="139"/>
      <c r="GXL42" s="139"/>
      <c r="GXM42" s="139"/>
      <c r="GXN42" s="139"/>
      <c r="GXO42" s="139"/>
      <c r="GXP42" s="139"/>
      <c r="GXQ42" s="139"/>
      <c r="GXR42" s="139"/>
      <c r="GXS42" s="139"/>
      <c r="GXT42" s="139"/>
      <c r="GXU42" s="139"/>
      <c r="GXV42" s="139"/>
      <c r="GXW42" s="139"/>
      <c r="GXX42" s="139"/>
      <c r="GXY42" s="139"/>
      <c r="GXZ42" s="139"/>
      <c r="GYA42" s="139"/>
      <c r="GYB42" s="139"/>
      <c r="GYC42" s="139"/>
      <c r="GYD42" s="139"/>
      <c r="GYE42" s="139"/>
      <c r="GYF42" s="139"/>
      <c r="GYG42" s="139"/>
      <c r="GYH42" s="139"/>
      <c r="GYI42" s="139"/>
      <c r="GYJ42" s="139"/>
      <c r="GYK42" s="139"/>
      <c r="GYL42" s="139"/>
      <c r="GYM42" s="139"/>
      <c r="GYN42" s="139"/>
      <c r="GYO42" s="139"/>
      <c r="GYP42" s="139"/>
      <c r="GYQ42" s="139"/>
      <c r="GYR42" s="139"/>
      <c r="GYS42" s="139"/>
      <c r="GYT42" s="139"/>
      <c r="GYU42" s="139"/>
      <c r="GYV42" s="139"/>
      <c r="GYW42" s="139"/>
      <c r="GYX42" s="139"/>
      <c r="GYY42" s="139"/>
      <c r="GYZ42" s="139"/>
      <c r="GZA42" s="139"/>
      <c r="GZB42" s="139"/>
      <c r="GZC42" s="139"/>
      <c r="GZD42" s="139"/>
      <c r="GZE42" s="139"/>
      <c r="GZF42" s="139"/>
      <c r="GZG42" s="139"/>
      <c r="GZH42" s="139"/>
      <c r="GZI42" s="139"/>
      <c r="GZJ42" s="139"/>
      <c r="GZK42" s="139"/>
      <c r="GZL42" s="139"/>
      <c r="GZM42" s="139"/>
      <c r="GZN42" s="139"/>
      <c r="GZO42" s="139"/>
      <c r="GZP42" s="139"/>
      <c r="GZQ42" s="139"/>
      <c r="GZR42" s="139"/>
      <c r="GZS42" s="139"/>
      <c r="GZT42" s="139"/>
      <c r="GZU42" s="139"/>
      <c r="GZV42" s="139"/>
      <c r="GZW42" s="139"/>
      <c r="GZX42" s="139"/>
      <c r="GZY42" s="139"/>
      <c r="GZZ42" s="139"/>
      <c r="HAA42" s="139"/>
      <c r="HAB42" s="139"/>
      <c r="HAC42" s="139"/>
      <c r="HAD42" s="139"/>
      <c r="HAE42" s="139"/>
      <c r="HAF42" s="139"/>
      <c r="HAG42" s="139"/>
      <c r="HAH42" s="139"/>
      <c r="HAI42" s="139"/>
      <c r="HAJ42" s="139"/>
      <c r="HAK42" s="139"/>
      <c r="HAL42" s="139"/>
      <c r="HAM42" s="139"/>
      <c r="HAN42" s="139"/>
      <c r="HAO42" s="139"/>
      <c r="HAP42" s="139"/>
      <c r="HAQ42" s="139"/>
      <c r="HAR42" s="139"/>
      <c r="HAS42" s="139"/>
      <c r="HAT42" s="139"/>
      <c r="HAU42" s="139"/>
      <c r="HAV42" s="139"/>
      <c r="HAW42" s="139"/>
      <c r="HAX42" s="139"/>
      <c r="HAY42" s="139"/>
      <c r="HAZ42" s="139"/>
      <c r="HBA42" s="139"/>
      <c r="HBB42" s="139"/>
      <c r="HBC42" s="139"/>
      <c r="HBD42" s="139"/>
      <c r="HBE42" s="139"/>
      <c r="HBF42" s="139"/>
      <c r="HBG42" s="139"/>
      <c r="HBH42" s="139"/>
      <c r="HBI42" s="139"/>
      <c r="HBJ42" s="139"/>
      <c r="HBK42" s="139"/>
      <c r="HBL42" s="139"/>
      <c r="HBM42" s="139"/>
      <c r="HBN42" s="139"/>
      <c r="HBO42" s="139"/>
      <c r="HBP42" s="139"/>
      <c r="HBQ42" s="139"/>
      <c r="HBR42" s="139"/>
      <c r="HBS42" s="139"/>
      <c r="HBT42" s="139"/>
      <c r="HBU42" s="139"/>
      <c r="HBV42" s="139"/>
      <c r="HBW42" s="139"/>
      <c r="HBX42" s="139"/>
      <c r="HBY42" s="139"/>
      <c r="HBZ42" s="139"/>
      <c r="HCA42" s="139"/>
      <c r="HCB42" s="139"/>
      <c r="HCC42" s="139"/>
      <c r="HCD42" s="139"/>
      <c r="HCE42" s="139"/>
      <c r="HCF42" s="139"/>
      <c r="HCG42" s="139"/>
      <c r="HCH42" s="139"/>
      <c r="HCI42" s="139"/>
      <c r="HCJ42" s="139"/>
      <c r="HCK42" s="139"/>
      <c r="HCL42" s="139"/>
      <c r="HCM42" s="139"/>
      <c r="HCN42" s="139"/>
      <c r="HCO42" s="139"/>
      <c r="HCP42" s="139"/>
      <c r="HCQ42" s="139"/>
      <c r="HCR42" s="139"/>
      <c r="HCS42" s="139"/>
      <c r="HCT42" s="139"/>
      <c r="HCU42" s="139"/>
      <c r="HCV42" s="139"/>
      <c r="HCW42" s="139"/>
      <c r="HCX42" s="139"/>
      <c r="HCY42" s="139"/>
      <c r="HCZ42" s="139"/>
      <c r="HDA42" s="139"/>
      <c r="HDB42" s="139"/>
      <c r="HDC42" s="139"/>
      <c r="HDD42" s="139"/>
      <c r="HDE42" s="139"/>
      <c r="HDF42" s="139"/>
      <c r="HDG42" s="139"/>
      <c r="HDH42" s="139"/>
      <c r="HDI42" s="139"/>
      <c r="HDJ42" s="139"/>
      <c r="HDK42" s="139"/>
      <c r="HDL42" s="139"/>
      <c r="HDM42" s="139"/>
      <c r="HDN42" s="139"/>
      <c r="HDO42" s="139"/>
      <c r="HDP42" s="139"/>
      <c r="HDQ42" s="139"/>
      <c r="HDR42" s="139"/>
      <c r="HDS42" s="139"/>
      <c r="HDT42" s="139"/>
      <c r="HDU42" s="139"/>
      <c r="HDV42" s="139"/>
      <c r="HDW42" s="139"/>
      <c r="HDX42" s="139"/>
      <c r="HDY42" s="139"/>
      <c r="HDZ42" s="139"/>
      <c r="HEA42" s="139"/>
      <c r="HEB42" s="139"/>
      <c r="HEC42" s="139"/>
      <c r="HED42" s="139"/>
      <c r="HEE42" s="139"/>
      <c r="HEF42" s="139"/>
      <c r="HEG42" s="139"/>
      <c r="HEH42" s="139"/>
      <c r="HEI42" s="139"/>
      <c r="HEJ42" s="139"/>
      <c r="HEK42" s="139"/>
      <c r="HEL42" s="139"/>
      <c r="HEM42" s="139"/>
      <c r="HEN42" s="139"/>
      <c r="HEO42" s="139"/>
      <c r="HEP42" s="139"/>
      <c r="HEQ42" s="139"/>
      <c r="HER42" s="139"/>
      <c r="HES42" s="139"/>
      <c r="HET42" s="139"/>
      <c r="HEU42" s="139"/>
      <c r="HEV42" s="139"/>
      <c r="HEW42" s="139"/>
      <c r="HEX42" s="139"/>
      <c r="HEY42" s="139"/>
      <c r="HEZ42" s="139"/>
      <c r="HFA42" s="139"/>
      <c r="HFB42" s="139"/>
      <c r="HFC42" s="139"/>
      <c r="HFD42" s="139"/>
      <c r="HFE42" s="139"/>
      <c r="HFF42" s="139"/>
      <c r="HFG42" s="139"/>
      <c r="HFH42" s="139"/>
      <c r="HFI42" s="139"/>
      <c r="HFJ42" s="139"/>
      <c r="HFK42" s="139"/>
      <c r="HFL42" s="139"/>
      <c r="HFM42" s="139"/>
      <c r="HFN42" s="139"/>
      <c r="HFO42" s="139"/>
      <c r="HFP42" s="139"/>
      <c r="HFQ42" s="139"/>
      <c r="HFR42" s="139"/>
      <c r="HFS42" s="139"/>
      <c r="HFT42" s="139"/>
      <c r="HFU42" s="139"/>
      <c r="HFV42" s="139"/>
      <c r="HFW42" s="139"/>
      <c r="HFX42" s="139"/>
      <c r="HFY42" s="139"/>
      <c r="HFZ42" s="139"/>
      <c r="HGA42" s="139"/>
      <c r="HGB42" s="139"/>
      <c r="HGC42" s="139"/>
      <c r="HGD42" s="139"/>
      <c r="HGE42" s="139"/>
      <c r="HGF42" s="139"/>
      <c r="HGG42" s="139"/>
      <c r="HGH42" s="139"/>
      <c r="HGI42" s="139"/>
      <c r="HGJ42" s="139"/>
      <c r="HGK42" s="139"/>
      <c r="HGL42" s="139"/>
      <c r="HGM42" s="139"/>
      <c r="HGN42" s="139"/>
      <c r="HGO42" s="139"/>
      <c r="HGP42" s="139"/>
      <c r="HGQ42" s="139"/>
      <c r="HGR42" s="139"/>
      <c r="HGS42" s="139"/>
      <c r="HGT42" s="139"/>
      <c r="HGU42" s="139"/>
      <c r="HGV42" s="139"/>
      <c r="HGW42" s="139"/>
      <c r="HGX42" s="139"/>
      <c r="HGY42" s="139"/>
      <c r="HGZ42" s="139"/>
      <c r="HHA42" s="139"/>
      <c r="HHB42" s="139"/>
      <c r="HHC42" s="139"/>
      <c r="HHD42" s="139"/>
      <c r="HHE42" s="139"/>
      <c r="HHF42" s="139"/>
      <c r="HHG42" s="139"/>
      <c r="HHH42" s="139"/>
      <c r="HHI42" s="139"/>
      <c r="HHJ42" s="139"/>
      <c r="HHK42" s="139"/>
      <c r="HHL42" s="139"/>
      <c r="HHM42" s="139"/>
      <c r="HHN42" s="139"/>
      <c r="HHO42" s="139"/>
      <c r="HHP42" s="139"/>
      <c r="HHQ42" s="139"/>
      <c r="HHR42" s="139"/>
      <c r="HHS42" s="139"/>
      <c r="HHT42" s="139"/>
      <c r="HHU42" s="139"/>
      <c r="HHV42" s="139"/>
      <c r="HHW42" s="139"/>
      <c r="HHX42" s="139"/>
      <c r="HHY42" s="139"/>
      <c r="HHZ42" s="139"/>
      <c r="HIA42" s="139"/>
      <c r="HIB42" s="139"/>
      <c r="HIC42" s="139"/>
      <c r="HID42" s="139"/>
      <c r="HIE42" s="139"/>
      <c r="HIF42" s="139"/>
      <c r="HIG42" s="139"/>
      <c r="HIH42" s="139"/>
      <c r="HII42" s="139"/>
      <c r="HIJ42" s="139"/>
      <c r="HIK42" s="139"/>
      <c r="HIL42" s="139"/>
      <c r="HIM42" s="139"/>
      <c r="HIN42" s="139"/>
      <c r="HIO42" s="139"/>
      <c r="HIP42" s="139"/>
      <c r="HIQ42" s="139"/>
      <c r="HIR42" s="139"/>
      <c r="HIS42" s="139"/>
      <c r="HIT42" s="139"/>
      <c r="HIU42" s="139"/>
      <c r="HIV42" s="139"/>
      <c r="HIW42" s="139"/>
      <c r="HIX42" s="139"/>
      <c r="HIY42" s="139"/>
      <c r="HIZ42" s="139"/>
      <c r="HJA42" s="139"/>
      <c r="HJB42" s="139"/>
      <c r="HJC42" s="139"/>
      <c r="HJD42" s="139"/>
      <c r="HJE42" s="139"/>
      <c r="HJF42" s="139"/>
      <c r="HJG42" s="139"/>
      <c r="HJH42" s="139"/>
      <c r="HJI42" s="139"/>
      <c r="HJJ42" s="139"/>
      <c r="HJK42" s="139"/>
      <c r="HJL42" s="139"/>
      <c r="HJM42" s="139"/>
      <c r="HJN42" s="139"/>
      <c r="HJO42" s="139"/>
      <c r="HJP42" s="139"/>
      <c r="HJQ42" s="139"/>
      <c r="HJR42" s="139"/>
      <c r="HJS42" s="139"/>
      <c r="HJT42" s="139"/>
      <c r="HJU42" s="139"/>
      <c r="HJV42" s="139"/>
      <c r="HJW42" s="139"/>
      <c r="HJX42" s="139"/>
      <c r="HJY42" s="139"/>
      <c r="HJZ42" s="139"/>
      <c r="HKA42" s="139"/>
      <c r="HKB42" s="139"/>
      <c r="HKC42" s="139"/>
      <c r="HKD42" s="139"/>
      <c r="HKE42" s="139"/>
      <c r="HKF42" s="139"/>
      <c r="HKG42" s="139"/>
      <c r="HKH42" s="139"/>
      <c r="HKI42" s="139"/>
      <c r="HKJ42" s="139"/>
      <c r="HKK42" s="139"/>
      <c r="HKL42" s="139"/>
      <c r="HKM42" s="139"/>
      <c r="HKN42" s="139"/>
      <c r="HKO42" s="139"/>
      <c r="HKP42" s="139"/>
      <c r="HKQ42" s="139"/>
      <c r="HKR42" s="139"/>
      <c r="HKS42" s="139"/>
      <c r="HKT42" s="139"/>
      <c r="HKU42" s="139"/>
      <c r="HKV42" s="139"/>
      <c r="HKW42" s="139"/>
      <c r="HKX42" s="139"/>
      <c r="HKY42" s="139"/>
      <c r="HKZ42" s="139"/>
      <c r="HLA42" s="139"/>
      <c r="HLB42" s="139"/>
      <c r="HLC42" s="139"/>
      <c r="HLD42" s="139"/>
      <c r="HLE42" s="139"/>
      <c r="HLF42" s="139"/>
      <c r="HLG42" s="139"/>
      <c r="HLH42" s="139"/>
      <c r="HLI42" s="139"/>
      <c r="HLJ42" s="139"/>
      <c r="HLK42" s="139"/>
      <c r="HLL42" s="139"/>
      <c r="HLM42" s="139"/>
      <c r="HLN42" s="139"/>
      <c r="HLO42" s="139"/>
      <c r="HLP42" s="139"/>
      <c r="HLQ42" s="139"/>
      <c r="HLR42" s="139"/>
      <c r="HLS42" s="139"/>
      <c r="HLT42" s="139"/>
      <c r="HLU42" s="139"/>
      <c r="HLV42" s="139"/>
      <c r="HLW42" s="139"/>
      <c r="HLX42" s="139"/>
      <c r="HLY42" s="139"/>
      <c r="HLZ42" s="139"/>
      <c r="HMA42" s="139"/>
      <c r="HMB42" s="139"/>
      <c r="HMC42" s="139"/>
      <c r="HMD42" s="139"/>
      <c r="HME42" s="139"/>
      <c r="HMF42" s="139"/>
      <c r="HMG42" s="139"/>
      <c r="HMH42" s="139"/>
      <c r="HMI42" s="139"/>
      <c r="HMJ42" s="139"/>
      <c r="HMK42" s="139"/>
      <c r="HML42" s="139"/>
      <c r="HMM42" s="139"/>
      <c r="HMN42" s="139"/>
      <c r="HMO42" s="139"/>
      <c r="HMP42" s="139"/>
      <c r="HMQ42" s="139"/>
      <c r="HMR42" s="139"/>
      <c r="HMS42" s="139"/>
      <c r="HMT42" s="139"/>
      <c r="HMU42" s="139"/>
      <c r="HMV42" s="139"/>
      <c r="HMW42" s="139"/>
      <c r="HMX42" s="139"/>
      <c r="HMY42" s="139"/>
      <c r="HMZ42" s="139"/>
      <c r="HNA42" s="139"/>
      <c r="HNB42" s="139"/>
      <c r="HNC42" s="139"/>
      <c r="HND42" s="139"/>
      <c r="HNE42" s="139"/>
      <c r="HNF42" s="139"/>
      <c r="HNG42" s="139"/>
      <c r="HNH42" s="139"/>
      <c r="HNI42" s="139"/>
      <c r="HNJ42" s="139"/>
      <c r="HNK42" s="139"/>
      <c r="HNL42" s="139"/>
      <c r="HNM42" s="139"/>
      <c r="HNN42" s="139"/>
      <c r="HNO42" s="139"/>
      <c r="HNP42" s="139"/>
      <c r="HNQ42" s="139"/>
      <c r="HNR42" s="139"/>
      <c r="HNS42" s="139"/>
      <c r="HNT42" s="139"/>
      <c r="HNU42" s="139"/>
      <c r="HNV42" s="139"/>
      <c r="HNW42" s="139"/>
      <c r="HNX42" s="139"/>
      <c r="HNY42" s="139"/>
      <c r="HNZ42" s="139"/>
      <c r="HOA42" s="139"/>
      <c r="HOB42" s="139"/>
      <c r="HOC42" s="139"/>
      <c r="HOD42" s="139"/>
      <c r="HOE42" s="139"/>
      <c r="HOF42" s="139"/>
      <c r="HOG42" s="139"/>
      <c r="HOH42" s="139"/>
      <c r="HOI42" s="139"/>
      <c r="HOJ42" s="139"/>
      <c r="HOK42" s="139"/>
      <c r="HOL42" s="139"/>
      <c r="HOM42" s="139"/>
      <c r="HON42" s="139"/>
      <c r="HOO42" s="139"/>
      <c r="HOP42" s="139"/>
      <c r="HOQ42" s="139"/>
      <c r="HOR42" s="139"/>
      <c r="HOS42" s="139"/>
      <c r="HOT42" s="139"/>
      <c r="HOU42" s="139"/>
      <c r="HOV42" s="139"/>
      <c r="HOW42" s="139"/>
      <c r="HOX42" s="139"/>
      <c r="HOY42" s="139"/>
      <c r="HOZ42" s="139"/>
      <c r="HPA42" s="139"/>
      <c r="HPB42" s="139"/>
      <c r="HPC42" s="139"/>
      <c r="HPD42" s="139"/>
      <c r="HPE42" s="139"/>
      <c r="HPF42" s="139"/>
      <c r="HPG42" s="139"/>
      <c r="HPH42" s="139"/>
      <c r="HPI42" s="139"/>
      <c r="HPJ42" s="139"/>
      <c r="HPK42" s="139"/>
      <c r="HPL42" s="139"/>
      <c r="HPM42" s="139"/>
      <c r="HPN42" s="139"/>
      <c r="HPO42" s="139"/>
      <c r="HPP42" s="139"/>
      <c r="HPQ42" s="139"/>
      <c r="HPR42" s="139"/>
      <c r="HPS42" s="139"/>
      <c r="HPT42" s="139"/>
      <c r="HPU42" s="139"/>
      <c r="HPV42" s="139"/>
      <c r="HPW42" s="139"/>
      <c r="HPX42" s="139"/>
      <c r="HPY42" s="139"/>
      <c r="HPZ42" s="139"/>
      <c r="HQA42" s="139"/>
      <c r="HQB42" s="139"/>
      <c r="HQC42" s="139"/>
      <c r="HQD42" s="139"/>
      <c r="HQE42" s="139"/>
      <c r="HQF42" s="139"/>
      <c r="HQG42" s="139"/>
      <c r="HQH42" s="139"/>
      <c r="HQI42" s="139"/>
      <c r="HQJ42" s="139"/>
      <c r="HQK42" s="139"/>
      <c r="HQL42" s="139"/>
      <c r="HQM42" s="139"/>
      <c r="HQN42" s="139"/>
      <c r="HQO42" s="139"/>
      <c r="HQP42" s="139"/>
      <c r="HQQ42" s="139"/>
      <c r="HQR42" s="139"/>
      <c r="HQS42" s="139"/>
      <c r="HQT42" s="139"/>
      <c r="HQU42" s="139"/>
      <c r="HQV42" s="139"/>
      <c r="HQW42" s="139"/>
      <c r="HQX42" s="139"/>
      <c r="HQY42" s="139"/>
      <c r="HQZ42" s="139"/>
      <c r="HRA42" s="139"/>
      <c r="HRB42" s="139"/>
      <c r="HRC42" s="139"/>
      <c r="HRD42" s="139"/>
      <c r="HRE42" s="139"/>
      <c r="HRF42" s="139"/>
      <c r="HRG42" s="139"/>
      <c r="HRH42" s="139"/>
      <c r="HRI42" s="139"/>
      <c r="HRJ42" s="139"/>
      <c r="HRK42" s="139"/>
      <c r="HRL42" s="139"/>
      <c r="HRM42" s="139"/>
      <c r="HRN42" s="139"/>
      <c r="HRO42" s="139"/>
      <c r="HRP42" s="139"/>
      <c r="HRQ42" s="139"/>
      <c r="HRR42" s="139"/>
      <c r="HRS42" s="139"/>
      <c r="HRT42" s="139"/>
      <c r="HRU42" s="139"/>
      <c r="HRV42" s="139"/>
      <c r="HRW42" s="139"/>
      <c r="HRX42" s="139"/>
      <c r="HRY42" s="139"/>
      <c r="HRZ42" s="139"/>
      <c r="HSA42" s="139"/>
      <c r="HSB42" s="139"/>
      <c r="HSC42" s="139"/>
      <c r="HSD42" s="139"/>
      <c r="HSE42" s="139"/>
      <c r="HSF42" s="139"/>
      <c r="HSG42" s="139"/>
      <c r="HSH42" s="139"/>
      <c r="HSI42" s="139"/>
      <c r="HSJ42" s="139"/>
      <c r="HSK42" s="139"/>
      <c r="HSL42" s="139"/>
      <c r="HSM42" s="139"/>
      <c r="HSN42" s="139"/>
      <c r="HSO42" s="139"/>
      <c r="HSP42" s="139"/>
      <c r="HSQ42" s="139"/>
      <c r="HSR42" s="139"/>
      <c r="HSS42" s="139"/>
      <c r="HST42" s="139"/>
      <c r="HSU42" s="139"/>
      <c r="HSV42" s="139"/>
      <c r="HSW42" s="139"/>
      <c r="HSX42" s="139"/>
      <c r="HSY42" s="139"/>
      <c r="HSZ42" s="139"/>
      <c r="HTA42" s="139"/>
      <c r="HTB42" s="139"/>
      <c r="HTC42" s="139"/>
      <c r="HTD42" s="139"/>
      <c r="HTE42" s="139"/>
      <c r="HTF42" s="139"/>
      <c r="HTG42" s="139"/>
      <c r="HTH42" s="139"/>
      <c r="HTI42" s="139"/>
      <c r="HTJ42" s="139"/>
      <c r="HTK42" s="139"/>
      <c r="HTL42" s="139"/>
      <c r="HTM42" s="139"/>
      <c r="HTN42" s="139"/>
      <c r="HTO42" s="139"/>
      <c r="HTP42" s="139"/>
      <c r="HTQ42" s="139"/>
      <c r="HTR42" s="139"/>
      <c r="HTS42" s="139"/>
      <c r="HTT42" s="139"/>
      <c r="HTU42" s="139"/>
      <c r="HTV42" s="139"/>
      <c r="HTW42" s="139"/>
      <c r="HTX42" s="139"/>
      <c r="HTY42" s="139"/>
      <c r="HTZ42" s="139"/>
      <c r="HUA42" s="139"/>
      <c r="HUB42" s="139"/>
      <c r="HUC42" s="139"/>
      <c r="HUD42" s="139"/>
      <c r="HUE42" s="139"/>
      <c r="HUF42" s="139"/>
      <c r="HUG42" s="139"/>
      <c r="HUH42" s="139"/>
      <c r="HUI42" s="139"/>
      <c r="HUJ42" s="139"/>
      <c r="HUK42" s="139"/>
      <c r="HUL42" s="139"/>
      <c r="HUM42" s="139"/>
      <c r="HUN42" s="139"/>
      <c r="HUO42" s="139"/>
      <c r="HUP42" s="139"/>
      <c r="HUQ42" s="139"/>
      <c r="HUR42" s="139"/>
      <c r="HUS42" s="139"/>
      <c r="HUT42" s="139"/>
      <c r="HUU42" s="139"/>
      <c r="HUV42" s="139"/>
      <c r="HUW42" s="139"/>
      <c r="HUX42" s="139"/>
      <c r="HUY42" s="139"/>
      <c r="HUZ42" s="139"/>
      <c r="HVA42" s="139"/>
      <c r="HVB42" s="139"/>
      <c r="HVC42" s="139"/>
      <c r="HVD42" s="139"/>
      <c r="HVE42" s="139"/>
      <c r="HVF42" s="139"/>
      <c r="HVG42" s="139"/>
      <c r="HVH42" s="139"/>
      <c r="HVI42" s="139"/>
      <c r="HVJ42" s="139"/>
      <c r="HVK42" s="139"/>
      <c r="HVL42" s="139"/>
      <c r="HVM42" s="139"/>
      <c r="HVN42" s="139"/>
      <c r="HVO42" s="139"/>
      <c r="HVP42" s="139"/>
      <c r="HVQ42" s="139"/>
      <c r="HVR42" s="139"/>
      <c r="HVS42" s="139"/>
      <c r="HVT42" s="139"/>
      <c r="HVU42" s="139"/>
      <c r="HVV42" s="139"/>
      <c r="HVW42" s="139"/>
      <c r="HVX42" s="139"/>
      <c r="HVY42" s="139"/>
      <c r="HVZ42" s="139"/>
      <c r="HWA42" s="139"/>
      <c r="HWB42" s="139"/>
      <c r="HWC42" s="139"/>
      <c r="HWD42" s="139"/>
      <c r="HWE42" s="139"/>
      <c r="HWF42" s="139"/>
      <c r="HWG42" s="139"/>
      <c r="HWH42" s="139"/>
      <c r="HWI42" s="139"/>
      <c r="HWJ42" s="139"/>
      <c r="HWK42" s="139"/>
      <c r="HWL42" s="139"/>
      <c r="HWM42" s="139"/>
      <c r="HWN42" s="139"/>
      <c r="HWO42" s="139"/>
      <c r="HWP42" s="139"/>
      <c r="HWQ42" s="139"/>
      <c r="HWR42" s="139"/>
      <c r="HWS42" s="139"/>
      <c r="HWT42" s="139"/>
      <c r="HWU42" s="139"/>
      <c r="HWV42" s="139"/>
      <c r="HWW42" s="139"/>
      <c r="HWX42" s="139"/>
      <c r="HWY42" s="139"/>
      <c r="HWZ42" s="139"/>
      <c r="HXA42" s="139"/>
      <c r="HXB42" s="139"/>
      <c r="HXC42" s="139"/>
      <c r="HXD42" s="139"/>
      <c r="HXE42" s="139"/>
      <c r="HXF42" s="139"/>
      <c r="HXG42" s="139"/>
      <c r="HXH42" s="139"/>
      <c r="HXI42" s="139"/>
      <c r="HXJ42" s="139"/>
      <c r="HXK42" s="139"/>
      <c r="HXL42" s="139"/>
      <c r="HXM42" s="139"/>
      <c r="HXN42" s="139"/>
      <c r="HXO42" s="139"/>
      <c r="HXP42" s="139"/>
      <c r="HXQ42" s="139"/>
      <c r="HXR42" s="139"/>
      <c r="HXS42" s="139"/>
      <c r="HXT42" s="139"/>
      <c r="HXU42" s="139"/>
      <c r="HXV42" s="139"/>
      <c r="HXW42" s="139"/>
      <c r="HXX42" s="139"/>
      <c r="HXY42" s="139"/>
      <c r="HXZ42" s="139"/>
      <c r="HYA42" s="139"/>
      <c r="HYB42" s="139"/>
      <c r="HYC42" s="139"/>
      <c r="HYD42" s="139"/>
      <c r="HYE42" s="139"/>
      <c r="HYF42" s="139"/>
      <c r="HYG42" s="139"/>
      <c r="HYH42" s="139"/>
      <c r="HYI42" s="139"/>
      <c r="HYJ42" s="139"/>
      <c r="HYK42" s="139"/>
      <c r="HYL42" s="139"/>
      <c r="HYM42" s="139"/>
      <c r="HYN42" s="139"/>
      <c r="HYO42" s="139"/>
      <c r="HYP42" s="139"/>
      <c r="HYQ42" s="139"/>
      <c r="HYR42" s="139"/>
      <c r="HYS42" s="139"/>
      <c r="HYT42" s="139"/>
      <c r="HYU42" s="139"/>
      <c r="HYV42" s="139"/>
      <c r="HYW42" s="139"/>
      <c r="HYX42" s="139"/>
      <c r="HYY42" s="139"/>
      <c r="HYZ42" s="139"/>
      <c r="HZA42" s="139"/>
      <c r="HZB42" s="139"/>
      <c r="HZC42" s="139"/>
      <c r="HZD42" s="139"/>
      <c r="HZE42" s="139"/>
      <c r="HZF42" s="139"/>
      <c r="HZG42" s="139"/>
      <c r="HZH42" s="139"/>
      <c r="HZI42" s="139"/>
      <c r="HZJ42" s="139"/>
      <c r="HZK42" s="139"/>
      <c r="HZL42" s="139"/>
      <c r="HZM42" s="139"/>
      <c r="HZN42" s="139"/>
      <c r="HZO42" s="139"/>
      <c r="HZP42" s="139"/>
      <c r="HZQ42" s="139"/>
      <c r="HZR42" s="139"/>
      <c r="HZS42" s="139"/>
      <c r="HZT42" s="139"/>
      <c r="HZU42" s="139"/>
      <c r="HZV42" s="139"/>
      <c r="HZW42" s="139"/>
      <c r="HZX42" s="139"/>
      <c r="HZY42" s="139"/>
      <c r="HZZ42" s="139"/>
      <c r="IAA42" s="139"/>
      <c r="IAB42" s="139"/>
      <c r="IAC42" s="139"/>
      <c r="IAD42" s="139"/>
      <c r="IAE42" s="139"/>
      <c r="IAF42" s="139"/>
      <c r="IAG42" s="139"/>
      <c r="IAH42" s="139"/>
      <c r="IAI42" s="139"/>
      <c r="IAJ42" s="139"/>
      <c r="IAK42" s="139"/>
      <c r="IAL42" s="139"/>
      <c r="IAM42" s="139"/>
      <c r="IAN42" s="139"/>
      <c r="IAO42" s="139"/>
      <c r="IAP42" s="139"/>
      <c r="IAQ42" s="139"/>
      <c r="IAR42" s="139"/>
      <c r="IAS42" s="139"/>
      <c r="IAT42" s="139"/>
      <c r="IAU42" s="139"/>
      <c r="IAV42" s="139"/>
      <c r="IAW42" s="139"/>
      <c r="IAX42" s="139"/>
      <c r="IAY42" s="139"/>
      <c r="IAZ42" s="139"/>
      <c r="IBA42" s="139"/>
      <c r="IBB42" s="139"/>
      <c r="IBC42" s="139"/>
      <c r="IBD42" s="139"/>
      <c r="IBE42" s="139"/>
      <c r="IBF42" s="139"/>
      <c r="IBG42" s="139"/>
      <c r="IBH42" s="139"/>
      <c r="IBI42" s="139"/>
      <c r="IBJ42" s="139"/>
      <c r="IBK42" s="139"/>
      <c r="IBL42" s="139"/>
      <c r="IBM42" s="139"/>
      <c r="IBN42" s="139"/>
      <c r="IBO42" s="139"/>
      <c r="IBP42" s="139"/>
      <c r="IBQ42" s="139"/>
      <c r="IBR42" s="139"/>
      <c r="IBS42" s="139"/>
      <c r="IBT42" s="139"/>
      <c r="IBU42" s="139"/>
      <c r="IBV42" s="139"/>
      <c r="IBW42" s="139"/>
      <c r="IBX42" s="139"/>
      <c r="IBY42" s="139"/>
      <c r="IBZ42" s="139"/>
      <c r="ICA42" s="139"/>
      <c r="ICB42" s="139"/>
      <c r="ICC42" s="139"/>
      <c r="ICD42" s="139"/>
      <c r="ICE42" s="139"/>
      <c r="ICF42" s="139"/>
      <c r="ICG42" s="139"/>
      <c r="ICH42" s="139"/>
      <c r="ICI42" s="139"/>
      <c r="ICJ42" s="139"/>
      <c r="ICK42" s="139"/>
      <c r="ICL42" s="139"/>
      <c r="ICM42" s="139"/>
      <c r="ICN42" s="139"/>
      <c r="ICO42" s="139"/>
      <c r="ICP42" s="139"/>
      <c r="ICQ42" s="139"/>
      <c r="ICR42" s="139"/>
      <c r="ICS42" s="139"/>
      <c r="ICT42" s="139"/>
      <c r="ICU42" s="139"/>
      <c r="ICV42" s="139"/>
      <c r="ICW42" s="139"/>
      <c r="ICX42" s="139"/>
      <c r="ICY42" s="139"/>
      <c r="ICZ42" s="139"/>
      <c r="IDA42" s="139"/>
      <c r="IDB42" s="139"/>
      <c r="IDC42" s="139"/>
      <c r="IDD42" s="139"/>
      <c r="IDE42" s="139"/>
      <c r="IDF42" s="139"/>
      <c r="IDG42" s="139"/>
      <c r="IDH42" s="139"/>
      <c r="IDI42" s="139"/>
      <c r="IDJ42" s="139"/>
      <c r="IDK42" s="139"/>
      <c r="IDL42" s="139"/>
      <c r="IDM42" s="139"/>
      <c r="IDN42" s="139"/>
      <c r="IDO42" s="139"/>
      <c r="IDP42" s="139"/>
      <c r="IDQ42" s="139"/>
      <c r="IDR42" s="139"/>
      <c r="IDS42" s="139"/>
      <c r="IDT42" s="139"/>
      <c r="IDU42" s="139"/>
      <c r="IDV42" s="139"/>
      <c r="IDW42" s="139"/>
      <c r="IDX42" s="139"/>
      <c r="IDY42" s="139"/>
      <c r="IDZ42" s="139"/>
      <c r="IEA42" s="139"/>
      <c r="IEB42" s="139"/>
      <c r="IEC42" s="139"/>
      <c r="IED42" s="139"/>
      <c r="IEE42" s="139"/>
      <c r="IEF42" s="139"/>
      <c r="IEG42" s="139"/>
      <c r="IEH42" s="139"/>
      <c r="IEI42" s="139"/>
      <c r="IEJ42" s="139"/>
      <c r="IEK42" s="139"/>
      <c r="IEL42" s="139"/>
      <c r="IEM42" s="139"/>
      <c r="IEN42" s="139"/>
      <c r="IEO42" s="139"/>
      <c r="IEP42" s="139"/>
      <c r="IEQ42" s="139"/>
      <c r="IER42" s="139"/>
      <c r="IES42" s="139"/>
      <c r="IET42" s="139"/>
      <c r="IEU42" s="139"/>
      <c r="IEV42" s="139"/>
      <c r="IEW42" s="139"/>
      <c r="IEX42" s="139"/>
      <c r="IEY42" s="139"/>
      <c r="IEZ42" s="139"/>
      <c r="IFA42" s="139"/>
      <c r="IFB42" s="139"/>
      <c r="IFC42" s="139"/>
      <c r="IFD42" s="139"/>
      <c r="IFE42" s="139"/>
      <c r="IFF42" s="139"/>
      <c r="IFG42" s="139"/>
      <c r="IFH42" s="139"/>
      <c r="IFI42" s="139"/>
      <c r="IFJ42" s="139"/>
      <c r="IFK42" s="139"/>
      <c r="IFL42" s="139"/>
      <c r="IFM42" s="139"/>
      <c r="IFN42" s="139"/>
      <c r="IFO42" s="139"/>
      <c r="IFP42" s="139"/>
      <c r="IFQ42" s="139"/>
      <c r="IFR42" s="139"/>
      <c r="IFS42" s="139"/>
      <c r="IFT42" s="139"/>
      <c r="IFU42" s="139"/>
      <c r="IFV42" s="139"/>
      <c r="IFW42" s="139"/>
      <c r="IFX42" s="139"/>
      <c r="IFY42" s="139"/>
      <c r="IFZ42" s="139"/>
      <c r="IGA42" s="139"/>
      <c r="IGB42" s="139"/>
      <c r="IGC42" s="139"/>
      <c r="IGD42" s="139"/>
      <c r="IGE42" s="139"/>
      <c r="IGF42" s="139"/>
      <c r="IGG42" s="139"/>
      <c r="IGH42" s="139"/>
      <c r="IGI42" s="139"/>
      <c r="IGJ42" s="139"/>
      <c r="IGK42" s="139"/>
      <c r="IGL42" s="139"/>
      <c r="IGM42" s="139"/>
      <c r="IGN42" s="139"/>
      <c r="IGO42" s="139"/>
      <c r="IGP42" s="139"/>
      <c r="IGQ42" s="139"/>
      <c r="IGR42" s="139"/>
      <c r="IGS42" s="139"/>
      <c r="IGT42" s="139"/>
      <c r="IGU42" s="139"/>
      <c r="IGV42" s="139"/>
      <c r="IGW42" s="139"/>
      <c r="IGX42" s="139"/>
      <c r="IGY42" s="139"/>
      <c r="IGZ42" s="139"/>
      <c r="IHA42" s="139"/>
      <c r="IHB42" s="139"/>
      <c r="IHC42" s="139"/>
      <c r="IHD42" s="139"/>
      <c r="IHE42" s="139"/>
      <c r="IHF42" s="139"/>
      <c r="IHG42" s="139"/>
      <c r="IHH42" s="139"/>
      <c r="IHI42" s="139"/>
      <c r="IHJ42" s="139"/>
      <c r="IHK42" s="139"/>
      <c r="IHL42" s="139"/>
      <c r="IHM42" s="139"/>
      <c r="IHN42" s="139"/>
      <c r="IHO42" s="139"/>
      <c r="IHP42" s="139"/>
      <c r="IHQ42" s="139"/>
      <c r="IHR42" s="139"/>
      <c r="IHS42" s="139"/>
      <c r="IHT42" s="139"/>
      <c r="IHU42" s="139"/>
      <c r="IHV42" s="139"/>
      <c r="IHW42" s="139"/>
      <c r="IHX42" s="139"/>
      <c r="IHY42" s="139"/>
      <c r="IHZ42" s="139"/>
      <c r="IIA42" s="139"/>
      <c r="IIB42" s="139"/>
      <c r="IIC42" s="139"/>
      <c r="IID42" s="139"/>
      <c r="IIE42" s="139"/>
      <c r="IIF42" s="139"/>
      <c r="IIG42" s="139"/>
      <c r="IIH42" s="139"/>
      <c r="III42" s="139"/>
      <c r="IIJ42" s="139"/>
      <c r="IIK42" s="139"/>
      <c r="IIL42" s="139"/>
      <c r="IIM42" s="139"/>
      <c r="IIN42" s="139"/>
      <c r="IIO42" s="139"/>
      <c r="IIP42" s="139"/>
      <c r="IIQ42" s="139"/>
      <c r="IIR42" s="139"/>
      <c r="IIS42" s="139"/>
      <c r="IIT42" s="139"/>
      <c r="IIU42" s="139"/>
      <c r="IIV42" s="139"/>
      <c r="IIW42" s="139"/>
      <c r="IIX42" s="139"/>
      <c r="IIY42" s="139"/>
      <c r="IIZ42" s="139"/>
      <c r="IJA42" s="139"/>
      <c r="IJB42" s="139"/>
      <c r="IJC42" s="139"/>
      <c r="IJD42" s="139"/>
      <c r="IJE42" s="139"/>
      <c r="IJF42" s="139"/>
      <c r="IJG42" s="139"/>
      <c r="IJH42" s="139"/>
      <c r="IJI42" s="139"/>
      <c r="IJJ42" s="139"/>
      <c r="IJK42" s="139"/>
      <c r="IJL42" s="139"/>
      <c r="IJM42" s="139"/>
      <c r="IJN42" s="139"/>
      <c r="IJO42" s="139"/>
      <c r="IJP42" s="139"/>
      <c r="IJQ42" s="139"/>
      <c r="IJR42" s="139"/>
      <c r="IJS42" s="139"/>
      <c r="IJT42" s="139"/>
      <c r="IJU42" s="139"/>
      <c r="IJV42" s="139"/>
      <c r="IJW42" s="139"/>
      <c r="IJX42" s="139"/>
      <c r="IJY42" s="139"/>
      <c r="IJZ42" s="139"/>
      <c r="IKA42" s="139"/>
      <c r="IKB42" s="139"/>
      <c r="IKC42" s="139"/>
      <c r="IKD42" s="139"/>
      <c r="IKE42" s="139"/>
      <c r="IKF42" s="139"/>
      <c r="IKG42" s="139"/>
      <c r="IKH42" s="139"/>
      <c r="IKI42" s="139"/>
      <c r="IKJ42" s="139"/>
      <c r="IKK42" s="139"/>
      <c r="IKL42" s="139"/>
      <c r="IKM42" s="139"/>
      <c r="IKN42" s="139"/>
      <c r="IKO42" s="139"/>
      <c r="IKP42" s="139"/>
      <c r="IKQ42" s="139"/>
      <c r="IKR42" s="139"/>
      <c r="IKS42" s="139"/>
      <c r="IKT42" s="139"/>
      <c r="IKU42" s="139"/>
      <c r="IKV42" s="139"/>
      <c r="IKW42" s="139"/>
      <c r="IKX42" s="139"/>
      <c r="IKY42" s="139"/>
      <c r="IKZ42" s="139"/>
      <c r="ILA42" s="139"/>
      <c r="ILB42" s="139"/>
      <c r="ILC42" s="139"/>
      <c r="ILD42" s="139"/>
      <c r="ILE42" s="139"/>
      <c r="ILF42" s="139"/>
      <c r="ILG42" s="139"/>
      <c r="ILH42" s="139"/>
      <c r="ILI42" s="139"/>
      <c r="ILJ42" s="139"/>
      <c r="ILK42" s="139"/>
      <c r="ILL42" s="139"/>
      <c r="ILM42" s="139"/>
      <c r="ILN42" s="139"/>
      <c r="ILO42" s="139"/>
      <c r="ILP42" s="139"/>
      <c r="ILQ42" s="139"/>
      <c r="ILR42" s="139"/>
      <c r="ILS42" s="139"/>
      <c r="ILT42" s="139"/>
      <c r="ILU42" s="139"/>
      <c r="ILV42" s="139"/>
      <c r="ILW42" s="139"/>
      <c r="ILX42" s="139"/>
      <c r="ILY42" s="139"/>
      <c r="ILZ42" s="139"/>
      <c r="IMA42" s="139"/>
      <c r="IMB42" s="139"/>
      <c r="IMC42" s="139"/>
      <c r="IMD42" s="139"/>
      <c r="IME42" s="139"/>
      <c r="IMF42" s="139"/>
      <c r="IMG42" s="139"/>
      <c r="IMH42" s="139"/>
      <c r="IMI42" s="139"/>
      <c r="IMJ42" s="139"/>
      <c r="IMK42" s="139"/>
      <c r="IML42" s="139"/>
      <c r="IMM42" s="139"/>
      <c r="IMN42" s="139"/>
      <c r="IMO42" s="139"/>
      <c r="IMP42" s="139"/>
      <c r="IMQ42" s="139"/>
      <c r="IMR42" s="139"/>
      <c r="IMS42" s="139"/>
      <c r="IMT42" s="139"/>
      <c r="IMU42" s="139"/>
      <c r="IMV42" s="139"/>
      <c r="IMW42" s="139"/>
      <c r="IMX42" s="139"/>
      <c r="IMY42" s="139"/>
      <c r="IMZ42" s="139"/>
      <c r="INA42" s="139"/>
      <c r="INB42" s="139"/>
      <c r="INC42" s="139"/>
      <c r="IND42" s="139"/>
      <c r="INE42" s="139"/>
      <c r="INF42" s="139"/>
      <c r="ING42" s="139"/>
      <c r="INH42" s="139"/>
      <c r="INI42" s="139"/>
      <c r="INJ42" s="139"/>
      <c r="INK42" s="139"/>
      <c r="INL42" s="139"/>
      <c r="INM42" s="139"/>
      <c r="INN42" s="139"/>
      <c r="INO42" s="139"/>
      <c r="INP42" s="139"/>
      <c r="INQ42" s="139"/>
      <c r="INR42" s="139"/>
      <c r="INS42" s="139"/>
      <c r="INT42" s="139"/>
      <c r="INU42" s="139"/>
      <c r="INV42" s="139"/>
      <c r="INW42" s="139"/>
      <c r="INX42" s="139"/>
      <c r="INY42" s="139"/>
      <c r="INZ42" s="139"/>
      <c r="IOA42" s="139"/>
      <c r="IOB42" s="139"/>
      <c r="IOC42" s="139"/>
      <c r="IOD42" s="139"/>
      <c r="IOE42" s="139"/>
      <c r="IOF42" s="139"/>
      <c r="IOG42" s="139"/>
      <c r="IOH42" s="139"/>
      <c r="IOI42" s="139"/>
      <c r="IOJ42" s="139"/>
      <c r="IOK42" s="139"/>
      <c r="IOL42" s="139"/>
      <c r="IOM42" s="139"/>
      <c r="ION42" s="139"/>
      <c r="IOO42" s="139"/>
      <c r="IOP42" s="139"/>
      <c r="IOQ42" s="139"/>
      <c r="IOR42" s="139"/>
      <c r="IOS42" s="139"/>
      <c r="IOT42" s="139"/>
      <c r="IOU42" s="139"/>
      <c r="IOV42" s="139"/>
      <c r="IOW42" s="139"/>
      <c r="IOX42" s="139"/>
      <c r="IOY42" s="139"/>
      <c r="IOZ42" s="139"/>
      <c r="IPA42" s="139"/>
      <c r="IPB42" s="139"/>
      <c r="IPC42" s="139"/>
      <c r="IPD42" s="139"/>
      <c r="IPE42" s="139"/>
      <c r="IPF42" s="139"/>
      <c r="IPG42" s="139"/>
      <c r="IPH42" s="139"/>
      <c r="IPI42" s="139"/>
      <c r="IPJ42" s="139"/>
      <c r="IPK42" s="139"/>
      <c r="IPL42" s="139"/>
      <c r="IPM42" s="139"/>
      <c r="IPN42" s="139"/>
      <c r="IPO42" s="139"/>
      <c r="IPP42" s="139"/>
      <c r="IPQ42" s="139"/>
      <c r="IPR42" s="139"/>
      <c r="IPS42" s="139"/>
      <c r="IPT42" s="139"/>
      <c r="IPU42" s="139"/>
      <c r="IPV42" s="139"/>
      <c r="IPW42" s="139"/>
      <c r="IPX42" s="139"/>
      <c r="IPY42" s="139"/>
      <c r="IPZ42" s="139"/>
      <c r="IQA42" s="139"/>
      <c r="IQB42" s="139"/>
      <c r="IQC42" s="139"/>
      <c r="IQD42" s="139"/>
      <c r="IQE42" s="139"/>
      <c r="IQF42" s="139"/>
      <c r="IQG42" s="139"/>
      <c r="IQH42" s="139"/>
      <c r="IQI42" s="139"/>
      <c r="IQJ42" s="139"/>
      <c r="IQK42" s="139"/>
      <c r="IQL42" s="139"/>
      <c r="IQM42" s="139"/>
      <c r="IQN42" s="139"/>
      <c r="IQO42" s="139"/>
      <c r="IQP42" s="139"/>
      <c r="IQQ42" s="139"/>
      <c r="IQR42" s="139"/>
      <c r="IQS42" s="139"/>
      <c r="IQT42" s="139"/>
      <c r="IQU42" s="139"/>
      <c r="IQV42" s="139"/>
      <c r="IQW42" s="139"/>
      <c r="IQX42" s="139"/>
      <c r="IQY42" s="139"/>
      <c r="IQZ42" s="139"/>
      <c r="IRA42" s="139"/>
      <c r="IRB42" s="139"/>
      <c r="IRC42" s="139"/>
      <c r="IRD42" s="139"/>
      <c r="IRE42" s="139"/>
      <c r="IRF42" s="139"/>
      <c r="IRG42" s="139"/>
      <c r="IRH42" s="139"/>
      <c r="IRI42" s="139"/>
      <c r="IRJ42" s="139"/>
      <c r="IRK42" s="139"/>
      <c r="IRL42" s="139"/>
      <c r="IRM42" s="139"/>
      <c r="IRN42" s="139"/>
      <c r="IRO42" s="139"/>
      <c r="IRP42" s="139"/>
      <c r="IRQ42" s="139"/>
      <c r="IRR42" s="139"/>
      <c r="IRS42" s="139"/>
      <c r="IRT42" s="139"/>
      <c r="IRU42" s="139"/>
      <c r="IRV42" s="139"/>
      <c r="IRW42" s="139"/>
      <c r="IRX42" s="139"/>
      <c r="IRY42" s="139"/>
      <c r="IRZ42" s="139"/>
      <c r="ISA42" s="139"/>
      <c r="ISB42" s="139"/>
      <c r="ISC42" s="139"/>
      <c r="ISD42" s="139"/>
      <c r="ISE42" s="139"/>
      <c r="ISF42" s="139"/>
      <c r="ISG42" s="139"/>
      <c r="ISH42" s="139"/>
      <c r="ISI42" s="139"/>
      <c r="ISJ42" s="139"/>
      <c r="ISK42" s="139"/>
      <c r="ISL42" s="139"/>
      <c r="ISM42" s="139"/>
      <c r="ISN42" s="139"/>
      <c r="ISO42" s="139"/>
      <c r="ISP42" s="139"/>
      <c r="ISQ42" s="139"/>
      <c r="ISR42" s="139"/>
      <c r="ISS42" s="139"/>
      <c r="IST42" s="139"/>
      <c r="ISU42" s="139"/>
      <c r="ISV42" s="139"/>
      <c r="ISW42" s="139"/>
      <c r="ISX42" s="139"/>
      <c r="ISY42" s="139"/>
      <c r="ISZ42" s="139"/>
      <c r="ITA42" s="139"/>
      <c r="ITB42" s="139"/>
      <c r="ITC42" s="139"/>
      <c r="ITD42" s="139"/>
      <c r="ITE42" s="139"/>
      <c r="ITF42" s="139"/>
      <c r="ITG42" s="139"/>
      <c r="ITH42" s="139"/>
      <c r="ITI42" s="139"/>
      <c r="ITJ42" s="139"/>
      <c r="ITK42" s="139"/>
      <c r="ITL42" s="139"/>
      <c r="ITM42" s="139"/>
      <c r="ITN42" s="139"/>
      <c r="ITO42" s="139"/>
      <c r="ITP42" s="139"/>
      <c r="ITQ42" s="139"/>
      <c r="ITR42" s="139"/>
      <c r="ITS42" s="139"/>
      <c r="ITT42" s="139"/>
      <c r="ITU42" s="139"/>
      <c r="ITV42" s="139"/>
      <c r="ITW42" s="139"/>
      <c r="ITX42" s="139"/>
      <c r="ITY42" s="139"/>
      <c r="ITZ42" s="139"/>
      <c r="IUA42" s="139"/>
      <c r="IUB42" s="139"/>
      <c r="IUC42" s="139"/>
      <c r="IUD42" s="139"/>
      <c r="IUE42" s="139"/>
      <c r="IUF42" s="139"/>
      <c r="IUG42" s="139"/>
      <c r="IUH42" s="139"/>
      <c r="IUI42" s="139"/>
      <c r="IUJ42" s="139"/>
      <c r="IUK42" s="139"/>
      <c r="IUL42" s="139"/>
      <c r="IUM42" s="139"/>
      <c r="IUN42" s="139"/>
      <c r="IUO42" s="139"/>
      <c r="IUP42" s="139"/>
      <c r="IUQ42" s="139"/>
      <c r="IUR42" s="139"/>
      <c r="IUS42" s="139"/>
      <c r="IUT42" s="139"/>
      <c r="IUU42" s="139"/>
      <c r="IUV42" s="139"/>
      <c r="IUW42" s="139"/>
      <c r="IUX42" s="139"/>
      <c r="IUY42" s="139"/>
      <c r="IUZ42" s="139"/>
      <c r="IVA42" s="139"/>
      <c r="IVB42" s="139"/>
      <c r="IVC42" s="139"/>
      <c r="IVD42" s="139"/>
      <c r="IVE42" s="139"/>
      <c r="IVF42" s="139"/>
      <c r="IVG42" s="139"/>
      <c r="IVH42" s="139"/>
      <c r="IVI42" s="139"/>
      <c r="IVJ42" s="139"/>
      <c r="IVK42" s="139"/>
      <c r="IVL42" s="139"/>
      <c r="IVM42" s="139"/>
      <c r="IVN42" s="139"/>
      <c r="IVO42" s="139"/>
      <c r="IVP42" s="139"/>
      <c r="IVQ42" s="139"/>
      <c r="IVR42" s="139"/>
      <c r="IVS42" s="139"/>
      <c r="IVT42" s="139"/>
      <c r="IVU42" s="139"/>
      <c r="IVV42" s="139"/>
      <c r="IVW42" s="139"/>
      <c r="IVX42" s="139"/>
      <c r="IVY42" s="139"/>
      <c r="IVZ42" s="139"/>
      <c r="IWA42" s="139"/>
      <c r="IWB42" s="139"/>
      <c r="IWC42" s="139"/>
      <c r="IWD42" s="139"/>
      <c r="IWE42" s="139"/>
      <c r="IWF42" s="139"/>
      <c r="IWG42" s="139"/>
      <c r="IWH42" s="139"/>
      <c r="IWI42" s="139"/>
      <c r="IWJ42" s="139"/>
      <c r="IWK42" s="139"/>
      <c r="IWL42" s="139"/>
      <c r="IWM42" s="139"/>
      <c r="IWN42" s="139"/>
      <c r="IWO42" s="139"/>
      <c r="IWP42" s="139"/>
      <c r="IWQ42" s="139"/>
      <c r="IWR42" s="139"/>
      <c r="IWS42" s="139"/>
      <c r="IWT42" s="139"/>
      <c r="IWU42" s="139"/>
      <c r="IWV42" s="139"/>
      <c r="IWW42" s="139"/>
      <c r="IWX42" s="139"/>
      <c r="IWY42" s="139"/>
      <c r="IWZ42" s="139"/>
      <c r="IXA42" s="139"/>
      <c r="IXB42" s="139"/>
      <c r="IXC42" s="139"/>
      <c r="IXD42" s="139"/>
      <c r="IXE42" s="139"/>
      <c r="IXF42" s="139"/>
      <c r="IXG42" s="139"/>
      <c r="IXH42" s="139"/>
      <c r="IXI42" s="139"/>
      <c r="IXJ42" s="139"/>
      <c r="IXK42" s="139"/>
      <c r="IXL42" s="139"/>
      <c r="IXM42" s="139"/>
      <c r="IXN42" s="139"/>
      <c r="IXO42" s="139"/>
      <c r="IXP42" s="139"/>
      <c r="IXQ42" s="139"/>
      <c r="IXR42" s="139"/>
      <c r="IXS42" s="139"/>
      <c r="IXT42" s="139"/>
      <c r="IXU42" s="139"/>
      <c r="IXV42" s="139"/>
      <c r="IXW42" s="139"/>
      <c r="IXX42" s="139"/>
      <c r="IXY42" s="139"/>
      <c r="IXZ42" s="139"/>
      <c r="IYA42" s="139"/>
      <c r="IYB42" s="139"/>
      <c r="IYC42" s="139"/>
      <c r="IYD42" s="139"/>
      <c r="IYE42" s="139"/>
      <c r="IYF42" s="139"/>
      <c r="IYG42" s="139"/>
      <c r="IYH42" s="139"/>
      <c r="IYI42" s="139"/>
      <c r="IYJ42" s="139"/>
      <c r="IYK42" s="139"/>
      <c r="IYL42" s="139"/>
      <c r="IYM42" s="139"/>
      <c r="IYN42" s="139"/>
      <c r="IYO42" s="139"/>
      <c r="IYP42" s="139"/>
      <c r="IYQ42" s="139"/>
      <c r="IYR42" s="139"/>
      <c r="IYS42" s="139"/>
      <c r="IYT42" s="139"/>
      <c r="IYU42" s="139"/>
      <c r="IYV42" s="139"/>
      <c r="IYW42" s="139"/>
      <c r="IYX42" s="139"/>
      <c r="IYY42" s="139"/>
      <c r="IYZ42" s="139"/>
      <c r="IZA42" s="139"/>
      <c r="IZB42" s="139"/>
      <c r="IZC42" s="139"/>
      <c r="IZD42" s="139"/>
      <c r="IZE42" s="139"/>
      <c r="IZF42" s="139"/>
      <c r="IZG42" s="139"/>
      <c r="IZH42" s="139"/>
      <c r="IZI42" s="139"/>
      <c r="IZJ42" s="139"/>
      <c r="IZK42" s="139"/>
      <c r="IZL42" s="139"/>
      <c r="IZM42" s="139"/>
      <c r="IZN42" s="139"/>
      <c r="IZO42" s="139"/>
      <c r="IZP42" s="139"/>
      <c r="IZQ42" s="139"/>
      <c r="IZR42" s="139"/>
      <c r="IZS42" s="139"/>
      <c r="IZT42" s="139"/>
      <c r="IZU42" s="139"/>
      <c r="IZV42" s="139"/>
      <c r="IZW42" s="139"/>
      <c r="IZX42" s="139"/>
      <c r="IZY42" s="139"/>
      <c r="IZZ42" s="139"/>
      <c r="JAA42" s="139"/>
      <c r="JAB42" s="139"/>
      <c r="JAC42" s="139"/>
      <c r="JAD42" s="139"/>
      <c r="JAE42" s="139"/>
      <c r="JAF42" s="139"/>
      <c r="JAG42" s="139"/>
      <c r="JAH42" s="139"/>
      <c r="JAI42" s="139"/>
      <c r="JAJ42" s="139"/>
      <c r="JAK42" s="139"/>
      <c r="JAL42" s="139"/>
      <c r="JAM42" s="139"/>
      <c r="JAN42" s="139"/>
      <c r="JAO42" s="139"/>
      <c r="JAP42" s="139"/>
      <c r="JAQ42" s="139"/>
      <c r="JAR42" s="139"/>
      <c r="JAS42" s="139"/>
      <c r="JAT42" s="139"/>
      <c r="JAU42" s="139"/>
      <c r="JAV42" s="139"/>
      <c r="JAW42" s="139"/>
      <c r="JAX42" s="139"/>
      <c r="JAY42" s="139"/>
      <c r="JAZ42" s="139"/>
      <c r="JBA42" s="139"/>
      <c r="JBB42" s="139"/>
      <c r="JBC42" s="139"/>
      <c r="JBD42" s="139"/>
      <c r="JBE42" s="139"/>
      <c r="JBF42" s="139"/>
      <c r="JBG42" s="139"/>
      <c r="JBH42" s="139"/>
      <c r="JBI42" s="139"/>
      <c r="JBJ42" s="139"/>
      <c r="JBK42" s="139"/>
      <c r="JBL42" s="139"/>
      <c r="JBM42" s="139"/>
      <c r="JBN42" s="139"/>
      <c r="JBO42" s="139"/>
      <c r="JBP42" s="139"/>
      <c r="JBQ42" s="139"/>
      <c r="JBR42" s="139"/>
      <c r="JBS42" s="139"/>
      <c r="JBT42" s="139"/>
      <c r="JBU42" s="139"/>
      <c r="JBV42" s="139"/>
      <c r="JBW42" s="139"/>
      <c r="JBX42" s="139"/>
      <c r="JBY42" s="139"/>
      <c r="JBZ42" s="139"/>
      <c r="JCA42" s="139"/>
      <c r="JCB42" s="139"/>
      <c r="JCC42" s="139"/>
      <c r="JCD42" s="139"/>
      <c r="JCE42" s="139"/>
      <c r="JCF42" s="139"/>
      <c r="JCG42" s="139"/>
      <c r="JCH42" s="139"/>
      <c r="JCI42" s="139"/>
      <c r="JCJ42" s="139"/>
      <c r="JCK42" s="139"/>
      <c r="JCL42" s="139"/>
      <c r="JCM42" s="139"/>
      <c r="JCN42" s="139"/>
      <c r="JCO42" s="139"/>
      <c r="JCP42" s="139"/>
      <c r="JCQ42" s="139"/>
      <c r="JCR42" s="139"/>
      <c r="JCS42" s="139"/>
      <c r="JCT42" s="139"/>
      <c r="JCU42" s="139"/>
      <c r="JCV42" s="139"/>
      <c r="JCW42" s="139"/>
      <c r="JCX42" s="139"/>
      <c r="JCY42" s="139"/>
      <c r="JCZ42" s="139"/>
      <c r="JDA42" s="139"/>
      <c r="JDB42" s="139"/>
      <c r="JDC42" s="139"/>
      <c r="JDD42" s="139"/>
      <c r="JDE42" s="139"/>
      <c r="JDF42" s="139"/>
      <c r="JDG42" s="139"/>
      <c r="JDH42" s="139"/>
      <c r="JDI42" s="139"/>
      <c r="JDJ42" s="139"/>
      <c r="JDK42" s="139"/>
      <c r="JDL42" s="139"/>
      <c r="JDM42" s="139"/>
      <c r="JDN42" s="139"/>
      <c r="JDO42" s="139"/>
      <c r="JDP42" s="139"/>
      <c r="JDQ42" s="139"/>
      <c r="JDR42" s="139"/>
      <c r="JDS42" s="139"/>
      <c r="JDT42" s="139"/>
      <c r="JDU42" s="139"/>
      <c r="JDV42" s="139"/>
      <c r="JDW42" s="139"/>
      <c r="JDX42" s="139"/>
      <c r="JDY42" s="139"/>
      <c r="JDZ42" s="139"/>
      <c r="JEA42" s="139"/>
      <c r="JEB42" s="139"/>
      <c r="JEC42" s="139"/>
      <c r="JED42" s="139"/>
      <c r="JEE42" s="139"/>
      <c r="JEF42" s="139"/>
      <c r="JEG42" s="139"/>
      <c r="JEH42" s="139"/>
      <c r="JEI42" s="139"/>
      <c r="JEJ42" s="139"/>
      <c r="JEK42" s="139"/>
      <c r="JEL42" s="139"/>
      <c r="JEM42" s="139"/>
      <c r="JEN42" s="139"/>
      <c r="JEO42" s="139"/>
      <c r="JEP42" s="139"/>
      <c r="JEQ42" s="139"/>
      <c r="JER42" s="139"/>
      <c r="JES42" s="139"/>
      <c r="JET42" s="139"/>
      <c r="JEU42" s="139"/>
      <c r="JEV42" s="139"/>
      <c r="JEW42" s="139"/>
      <c r="JEX42" s="139"/>
      <c r="JEY42" s="139"/>
      <c r="JEZ42" s="139"/>
      <c r="JFA42" s="139"/>
      <c r="JFB42" s="139"/>
      <c r="JFC42" s="139"/>
      <c r="JFD42" s="139"/>
      <c r="JFE42" s="139"/>
      <c r="JFF42" s="139"/>
      <c r="JFG42" s="139"/>
      <c r="JFH42" s="139"/>
      <c r="JFI42" s="139"/>
      <c r="JFJ42" s="139"/>
      <c r="JFK42" s="139"/>
      <c r="JFL42" s="139"/>
      <c r="JFM42" s="139"/>
      <c r="JFN42" s="139"/>
      <c r="JFO42" s="139"/>
      <c r="JFP42" s="139"/>
      <c r="JFQ42" s="139"/>
      <c r="JFR42" s="139"/>
      <c r="JFS42" s="139"/>
      <c r="JFT42" s="139"/>
      <c r="JFU42" s="139"/>
      <c r="JFV42" s="139"/>
      <c r="JFW42" s="139"/>
      <c r="JFX42" s="139"/>
      <c r="JFY42" s="139"/>
      <c r="JFZ42" s="139"/>
      <c r="JGA42" s="139"/>
      <c r="JGB42" s="139"/>
      <c r="JGC42" s="139"/>
      <c r="JGD42" s="139"/>
      <c r="JGE42" s="139"/>
      <c r="JGF42" s="139"/>
      <c r="JGG42" s="139"/>
      <c r="JGH42" s="139"/>
      <c r="JGI42" s="139"/>
      <c r="JGJ42" s="139"/>
      <c r="JGK42" s="139"/>
      <c r="JGL42" s="139"/>
      <c r="JGM42" s="139"/>
      <c r="JGN42" s="139"/>
      <c r="JGO42" s="139"/>
      <c r="JGP42" s="139"/>
      <c r="JGQ42" s="139"/>
      <c r="JGR42" s="139"/>
      <c r="JGS42" s="139"/>
      <c r="JGT42" s="139"/>
      <c r="JGU42" s="139"/>
      <c r="JGV42" s="139"/>
      <c r="JGW42" s="139"/>
      <c r="JGX42" s="139"/>
      <c r="JGY42" s="139"/>
      <c r="JGZ42" s="139"/>
      <c r="JHA42" s="139"/>
      <c r="JHB42" s="139"/>
      <c r="JHC42" s="139"/>
      <c r="JHD42" s="139"/>
      <c r="JHE42" s="139"/>
      <c r="JHF42" s="139"/>
      <c r="JHG42" s="139"/>
      <c r="JHH42" s="139"/>
      <c r="JHI42" s="139"/>
      <c r="JHJ42" s="139"/>
      <c r="JHK42" s="139"/>
      <c r="JHL42" s="139"/>
      <c r="JHM42" s="139"/>
      <c r="JHN42" s="139"/>
      <c r="JHO42" s="139"/>
      <c r="JHP42" s="139"/>
      <c r="JHQ42" s="139"/>
      <c r="JHR42" s="139"/>
      <c r="JHS42" s="139"/>
      <c r="JHT42" s="139"/>
      <c r="JHU42" s="139"/>
      <c r="JHV42" s="139"/>
      <c r="JHW42" s="139"/>
      <c r="JHX42" s="139"/>
      <c r="JHY42" s="139"/>
      <c r="JHZ42" s="139"/>
      <c r="JIA42" s="139"/>
      <c r="JIB42" s="139"/>
      <c r="JIC42" s="139"/>
      <c r="JID42" s="139"/>
      <c r="JIE42" s="139"/>
      <c r="JIF42" s="139"/>
      <c r="JIG42" s="139"/>
      <c r="JIH42" s="139"/>
      <c r="JII42" s="139"/>
      <c r="JIJ42" s="139"/>
      <c r="JIK42" s="139"/>
      <c r="JIL42" s="139"/>
      <c r="JIM42" s="139"/>
      <c r="JIN42" s="139"/>
      <c r="JIO42" s="139"/>
      <c r="JIP42" s="139"/>
      <c r="JIQ42" s="139"/>
      <c r="JIR42" s="139"/>
      <c r="JIS42" s="139"/>
      <c r="JIT42" s="139"/>
      <c r="JIU42" s="139"/>
      <c r="JIV42" s="139"/>
      <c r="JIW42" s="139"/>
      <c r="JIX42" s="139"/>
      <c r="JIY42" s="139"/>
      <c r="JIZ42" s="139"/>
      <c r="JJA42" s="139"/>
      <c r="JJB42" s="139"/>
      <c r="JJC42" s="139"/>
      <c r="JJD42" s="139"/>
      <c r="JJE42" s="139"/>
      <c r="JJF42" s="139"/>
      <c r="JJG42" s="139"/>
      <c r="JJH42" s="139"/>
      <c r="JJI42" s="139"/>
      <c r="JJJ42" s="139"/>
      <c r="JJK42" s="139"/>
      <c r="JJL42" s="139"/>
      <c r="JJM42" s="139"/>
      <c r="JJN42" s="139"/>
      <c r="JJO42" s="139"/>
      <c r="JJP42" s="139"/>
      <c r="JJQ42" s="139"/>
      <c r="JJR42" s="139"/>
      <c r="JJS42" s="139"/>
      <c r="JJT42" s="139"/>
      <c r="JJU42" s="139"/>
      <c r="JJV42" s="139"/>
      <c r="JJW42" s="139"/>
      <c r="JJX42" s="139"/>
      <c r="JJY42" s="139"/>
      <c r="JJZ42" s="139"/>
      <c r="JKA42" s="139"/>
      <c r="JKB42" s="139"/>
      <c r="JKC42" s="139"/>
      <c r="JKD42" s="139"/>
      <c r="JKE42" s="139"/>
      <c r="JKF42" s="139"/>
      <c r="JKG42" s="139"/>
      <c r="JKH42" s="139"/>
      <c r="JKI42" s="139"/>
      <c r="JKJ42" s="139"/>
      <c r="JKK42" s="139"/>
      <c r="JKL42" s="139"/>
      <c r="JKM42" s="139"/>
      <c r="JKN42" s="139"/>
      <c r="JKO42" s="139"/>
      <c r="JKP42" s="139"/>
      <c r="JKQ42" s="139"/>
      <c r="JKR42" s="139"/>
      <c r="JKS42" s="139"/>
      <c r="JKT42" s="139"/>
      <c r="JKU42" s="139"/>
      <c r="JKV42" s="139"/>
      <c r="JKW42" s="139"/>
      <c r="JKX42" s="139"/>
      <c r="JKY42" s="139"/>
      <c r="JKZ42" s="139"/>
      <c r="JLA42" s="139"/>
      <c r="JLB42" s="139"/>
      <c r="JLC42" s="139"/>
      <c r="JLD42" s="139"/>
      <c r="JLE42" s="139"/>
      <c r="JLF42" s="139"/>
      <c r="JLG42" s="139"/>
      <c r="JLH42" s="139"/>
      <c r="JLI42" s="139"/>
      <c r="JLJ42" s="139"/>
      <c r="JLK42" s="139"/>
      <c r="JLL42" s="139"/>
      <c r="JLM42" s="139"/>
      <c r="JLN42" s="139"/>
      <c r="JLO42" s="139"/>
      <c r="JLP42" s="139"/>
      <c r="JLQ42" s="139"/>
      <c r="JLR42" s="139"/>
      <c r="JLS42" s="139"/>
      <c r="JLT42" s="139"/>
      <c r="JLU42" s="139"/>
      <c r="JLV42" s="139"/>
      <c r="JLW42" s="139"/>
      <c r="JLX42" s="139"/>
      <c r="JLY42" s="139"/>
      <c r="JLZ42" s="139"/>
      <c r="JMA42" s="139"/>
      <c r="JMB42" s="139"/>
      <c r="JMC42" s="139"/>
      <c r="JMD42" s="139"/>
      <c r="JME42" s="139"/>
      <c r="JMF42" s="139"/>
      <c r="JMG42" s="139"/>
      <c r="JMH42" s="139"/>
      <c r="JMI42" s="139"/>
      <c r="JMJ42" s="139"/>
      <c r="JMK42" s="139"/>
      <c r="JML42" s="139"/>
      <c r="JMM42" s="139"/>
      <c r="JMN42" s="139"/>
      <c r="JMO42" s="139"/>
      <c r="JMP42" s="139"/>
      <c r="JMQ42" s="139"/>
      <c r="JMR42" s="139"/>
      <c r="JMS42" s="139"/>
      <c r="JMT42" s="139"/>
      <c r="JMU42" s="139"/>
      <c r="JMV42" s="139"/>
      <c r="JMW42" s="139"/>
      <c r="JMX42" s="139"/>
      <c r="JMY42" s="139"/>
      <c r="JMZ42" s="139"/>
      <c r="JNA42" s="139"/>
      <c r="JNB42" s="139"/>
      <c r="JNC42" s="139"/>
      <c r="JND42" s="139"/>
      <c r="JNE42" s="139"/>
      <c r="JNF42" s="139"/>
      <c r="JNG42" s="139"/>
      <c r="JNH42" s="139"/>
      <c r="JNI42" s="139"/>
      <c r="JNJ42" s="139"/>
      <c r="JNK42" s="139"/>
      <c r="JNL42" s="139"/>
      <c r="JNM42" s="139"/>
      <c r="JNN42" s="139"/>
      <c r="JNO42" s="139"/>
      <c r="JNP42" s="139"/>
      <c r="JNQ42" s="139"/>
      <c r="JNR42" s="139"/>
      <c r="JNS42" s="139"/>
      <c r="JNT42" s="139"/>
      <c r="JNU42" s="139"/>
      <c r="JNV42" s="139"/>
      <c r="JNW42" s="139"/>
      <c r="JNX42" s="139"/>
      <c r="JNY42" s="139"/>
      <c r="JNZ42" s="139"/>
      <c r="JOA42" s="139"/>
      <c r="JOB42" s="139"/>
      <c r="JOC42" s="139"/>
      <c r="JOD42" s="139"/>
      <c r="JOE42" s="139"/>
      <c r="JOF42" s="139"/>
      <c r="JOG42" s="139"/>
      <c r="JOH42" s="139"/>
      <c r="JOI42" s="139"/>
      <c r="JOJ42" s="139"/>
      <c r="JOK42" s="139"/>
      <c r="JOL42" s="139"/>
      <c r="JOM42" s="139"/>
      <c r="JON42" s="139"/>
      <c r="JOO42" s="139"/>
      <c r="JOP42" s="139"/>
      <c r="JOQ42" s="139"/>
      <c r="JOR42" s="139"/>
      <c r="JOS42" s="139"/>
      <c r="JOT42" s="139"/>
      <c r="JOU42" s="139"/>
      <c r="JOV42" s="139"/>
      <c r="JOW42" s="139"/>
      <c r="JOX42" s="139"/>
      <c r="JOY42" s="139"/>
      <c r="JOZ42" s="139"/>
      <c r="JPA42" s="139"/>
      <c r="JPB42" s="139"/>
      <c r="JPC42" s="139"/>
      <c r="JPD42" s="139"/>
      <c r="JPE42" s="139"/>
      <c r="JPF42" s="139"/>
      <c r="JPG42" s="139"/>
      <c r="JPH42" s="139"/>
      <c r="JPI42" s="139"/>
      <c r="JPJ42" s="139"/>
      <c r="JPK42" s="139"/>
      <c r="JPL42" s="139"/>
      <c r="JPM42" s="139"/>
      <c r="JPN42" s="139"/>
      <c r="JPO42" s="139"/>
      <c r="JPP42" s="139"/>
      <c r="JPQ42" s="139"/>
      <c r="JPR42" s="139"/>
      <c r="JPS42" s="139"/>
      <c r="JPT42" s="139"/>
      <c r="JPU42" s="139"/>
      <c r="JPV42" s="139"/>
      <c r="JPW42" s="139"/>
      <c r="JPX42" s="139"/>
      <c r="JPY42" s="139"/>
      <c r="JPZ42" s="139"/>
      <c r="JQA42" s="139"/>
      <c r="JQB42" s="139"/>
      <c r="JQC42" s="139"/>
      <c r="JQD42" s="139"/>
      <c r="JQE42" s="139"/>
      <c r="JQF42" s="139"/>
      <c r="JQG42" s="139"/>
      <c r="JQH42" s="139"/>
      <c r="JQI42" s="139"/>
      <c r="JQJ42" s="139"/>
      <c r="JQK42" s="139"/>
      <c r="JQL42" s="139"/>
      <c r="JQM42" s="139"/>
      <c r="JQN42" s="139"/>
      <c r="JQO42" s="139"/>
      <c r="JQP42" s="139"/>
      <c r="JQQ42" s="139"/>
      <c r="JQR42" s="139"/>
      <c r="JQS42" s="139"/>
      <c r="JQT42" s="139"/>
      <c r="JQU42" s="139"/>
      <c r="JQV42" s="139"/>
      <c r="JQW42" s="139"/>
      <c r="JQX42" s="139"/>
      <c r="JQY42" s="139"/>
      <c r="JQZ42" s="139"/>
      <c r="JRA42" s="139"/>
      <c r="JRB42" s="139"/>
      <c r="JRC42" s="139"/>
      <c r="JRD42" s="139"/>
      <c r="JRE42" s="139"/>
      <c r="JRF42" s="139"/>
      <c r="JRG42" s="139"/>
      <c r="JRH42" s="139"/>
      <c r="JRI42" s="139"/>
      <c r="JRJ42" s="139"/>
      <c r="JRK42" s="139"/>
      <c r="JRL42" s="139"/>
      <c r="JRM42" s="139"/>
      <c r="JRN42" s="139"/>
      <c r="JRO42" s="139"/>
      <c r="JRP42" s="139"/>
      <c r="JRQ42" s="139"/>
      <c r="JRR42" s="139"/>
      <c r="JRS42" s="139"/>
      <c r="JRT42" s="139"/>
      <c r="JRU42" s="139"/>
      <c r="JRV42" s="139"/>
      <c r="JRW42" s="139"/>
      <c r="JRX42" s="139"/>
      <c r="JRY42" s="139"/>
      <c r="JRZ42" s="139"/>
      <c r="JSA42" s="139"/>
      <c r="JSB42" s="139"/>
      <c r="JSC42" s="139"/>
      <c r="JSD42" s="139"/>
      <c r="JSE42" s="139"/>
      <c r="JSF42" s="139"/>
      <c r="JSG42" s="139"/>
      <c r="JSH42" s="139"/>
      <c r="JSI42" s="139"/>
      <c r="JSJ42" s="139"/>
      <c r="JSK42" s="139"/>
      <c r="JSL42" s="139"/>
      <c r="JSM42" s="139"/>
      <c r="JSN42" s="139"/>
      <c r="JSO42" s="139"/>
      <c r="JSP42" s="139"/>
      <c r="JSQ42" s="139"/>
      <c r="JSR42" s="139"/>
      <c r="JSS42" s="139"/>
      <c r="JST42" s="139"/>
      <c r="JSU42" s="139"/>
      <c r="JSV42" s="139"/>
      <c r="JSW42" s="139"/>
      <c r="JSX42" s="139"/>
      <c r="JSY42" s="139"/>
      <c r="JSZ42" s="139"/>
      <c r="JTA42" s="139"/>
      <c r="JTB42" s="139"/>
      <c r="JTC42" s="139"/>
      <c r="JTD42" s="139"/>
      <c r="JTE42" s="139"/>
      <c r="JTF42" s="139"/>
      <c r="JTG42" s="139"/>
      <c r="JTH42" s="139"/>
      <c r="JTI42" s="139"/>
      <c r="JTJ42" s="139"/>
      <c r="JTK42" s="139"/>
      <c r="JTL42" s="139"/>
      <c r="JTM42" s="139"/>
      <c r="JTN42" s="139"/>
      <c r="JTO42" s="139"/>
      <c r="JTP42" s="139"/>
      <c r="JTQ42" s="139"/>
      <c r="JTR42" s="139"/>
      <c r="JTS42" s="139"/>
      <c r="JTT42" s="139"/>
      <c r="JTU42" s="139"/>
      <c r="JTV42" s="139"/>
      <c r="JTW42" s="139"/>
      <c r="JTX42" s="139"/>
      <c r="JTY42" s="139"/>
      <c r="JTZ42" s="139"/>
      <c r="JUA42" s="139"/>
      <c r="JUB42" s="139"/>
      <c r="JUC42" s="139"/>
      <c r="JUD42" s="139"/>
      <c r="JUE42" s="139"/>
      <c r="JUF42" s="139"/>
      <c r="JUG42" s="139"/>
      <c r="JUH42" s="139"/>
      <c r="JUI42" s="139"/>
      <c r="JUJ42" s="139"/>
      <c r="JUK42" s="139"/>
      <c r="JUL42" s="139"/>
      <c r="JUM42" s="139"/>
      <c r="JUN42" s="139"/>
      <c r="JUO42" s="139"/>
      <c r="JUP42" s="139"/>
      <c r="JUQ42" s="139"/>
      <c r="JUR42" s="139"/>
      <c r="JUS42" s="139"/>
      <c r="JUT42" s="139"/>
      <c r="JUU42" s="139"/>
      <c r="JUV42" s="139"/>
      <c r="JUW42" s="139"/>
      <c r="JUX42" s="139"/>
      <c r="JUY42" s="139"/>
      <c r="JUZ42" s="139"/>
      <c r="JVA42" s="139"/>
      <c r="JVB42" s="139"/>
      <c r="JVC42" s="139"/>
      <c r="JVD42" s="139"/>
      <c r="JVE42" s="139"/>
      <c r="JVF42" s="139"/>
      <c r="JVG42" s="139"/>
      <c r="JVH42" s="139"/>
      <c r="JVI42" s="139"/>
      <c r="JVJ42" s="139"/>
      <c r="JVK42" s="139"/>
      <c r="JVL42" s="139"/>
      <c r="JVM42" s="139"/>
      <c r="JVN42" s="139"/>
      <c r="JVO42" s="139"/>
      <c r="JVP42" s="139"/>
      <c r="JVQ42" s="139"/>
      <c r="JVR42" s="139"/>
      <c r="JVS42" s="139"/>
      <c r="JVT42" s="139"/>
      <c r="JVU42" s="139"/>
      <c r="JVV42" s="139"/>
      <c r="JVW42" s="139"/>
      <c r="JVX42" s="139"/>
      <c r="JVY42" s="139"/>
      <c r="JVZ42" s="139"/>
      <c r="JWA42" s="139"/>
      <c r="JWB42" s="139"/>
      <c r="JWC42" s="139"/>
      <c r="JWD42" s="139"/>
      <c r="JWE42" s="139"/>
      <c r="JWF42" s="139"/>
      <c r="JWG42" s="139"/>
      <c r="JWH42" s="139"/>
      <c r="JWI42" s="139"/>
      <c r="JWJ42" s="139"/>
      <c r="JWK42" s="139"/>
      <c r="JWL42" s="139"/>
      <c r="JWM42" s="139"/>
      <c r="JWN42" s="139"/>
      <c r="JWO42" s="139"/>
      <c r="JWP42" s="139"/>
      <c r="JWQ42" s="139"/>
      <c r="JWR42" s="139"/>
      <c r="JWS42" s="139"/>
      <c r="JWT42" s="139"/>
      <c r="JWU42" s="139"/>
      <c r="JWV42" s="139"/>
      <c r="JWW42" s="139"/>
      <c r="JWX42" s="139"/>
      <c r="JWY42" s="139"/>
      <c r="JWZ42" s="139"/>
      <c r="JXA42" s="139"/>
      <c r="JXB42" s="139"/>
      <c r="JXC42" s="139"/>
      <c r="JXD42" s="139"/>
      <c r="JXE42" s="139"/>
      <c r="JXF42" s="139"/>
      <c r="JXG42" s="139"/>
      <c r="JXH42" s="139"/>
      <c r="JXI42" s="139"/>
      <c r="JXJ42" s="139"/>
      <c r="JXK42" s="139"/>
      <c r="JXL42" s="139"/>
      <c r="JXM42" s="139"/>
      <c r="JXN42" s="139"/>
      <c r="JXO42" s="139"/>
      <c r="JXP42" s="139"/>
      <c r="JXQ42" s="139"/>
      <c r="JXR42" s="139"/>
      <c r="JXS42" s="139"/>
      <c r="JXT42" s="139"/>
      <c r="JXU42" s="139"/>
      <c r="JXV42" s="139"/>
      <c r="JXW42" s="139"/>
      <c r="JXX42" s="139"/>
      <c r="JXY42" s="139"/>
      <c r="JXZ42" s="139"/>
      <c r="JYA42" s="139"/>
      <c r="JYB42" s="139"/>
      <c r="JYC42" s="139"/>
      <c r="JYD42" s="139"/>
      <c r="JYE42" s="139"/>
      <c r="JYF42" s="139"/>
      <c r="JYG42" s="139"/>
      <c r="JYH42" s="139"/>
      <c r="JYI42" s="139"/>
      <c r="JYJ42" s="139"/>
      <c r="JYK42" s="139"/>
      <c r="JYL42" s="139"/>
      <c r="JYM42" s="139"/>
      <c r="JYN42" s="139"/>
      <c r="JYO42" s="139"/>
      <c r="JYP42" s="139"/>
      <c r="JYQ42" s="139"/>
      <c r="JYR42" s="139"/>
      <c r="JYS42" s="139"/>
      <c r="JYT42" s="139"/>
      <c r="JYU42" s="139"/>
      <c r="JYV42" s="139"/>
      <c r="JYW42" s="139"/>
      <c r="JYX42" s="139"/>
      <c r="JYY42" s="139"/>
      <c r="JYZ42" s="139"/>
      <c r="JZA42" s="139"/>
      <c r="JZB42" s="139"/>
      <c r="JZC42" s="139"/>
      <c r="JZD42" s="139"/>
      <c r="JZE42" s="139"/>
      <c r="JZF42" s="139"/>
      <c r="JZG42" s="139"/>
      <c r="JZH42" s="139"/>
      <c r="JZI42" s="139"/>
      <c r="JZJ42" s="139"/>
      <c r="JZK42" s="139"/>
      <c r="JZL42" s="139"/>
      <c r="JZM42" s="139"/>
      <c r="JZN42" s="139"/>
      <c r="JZO42" s="139"/>
      <c r="JZP42" s="139"/>
      <c r="JZQ42" s="139"/>
      <c r="JZR42" s="139"/>
      <c r="JZS42" s="139"/>
      <c r="JZT42" s="139"/>
      <c r="JZU42" s="139"/>
      <c r="JZV42" s="139"/>
      <c r="JZW42" s="139"/>
      <c r="JZX42" s="139"/>
      <c r="JZY42" s="139"/>
      <c r="JZZ42" s="139"/>
      <c r="KAA42" s="139"/>
      <c r="KAB42" s="139"/>
      <c r="KAC42" s="139"/>
      <c r="KAD42" s="139"/>
      <c r="KAE42" s="139"/>
      <c r="KAF42" s="139"/>
      <c r="KAG42" s="139"/>
      <c r="KAH42" s="139"/>
      <c r="KAI42" s="139"/>
      <c r="KAJ42" s="139"/>
      <c r="KAK42" s="139"/>
      <c r="KAL42" s="139"/>
      <c r="KAM42" s="139"/>
      <c r="KAN42" s="139"/>
      <c r="KAO42" s="139"/>
      <c r="KAP42" s="139"/>
      <c r="KAQ42" s="139"/>
      <c r="KAR42" s="139"/>
      <c r="KAS42" s="139"/>
      <c r="KAT42" s="139"/>
      <c r="KAU42" s="139"/>
      <c r="KAV42" s="139"/>
      <c r="KAW42" s="139"/>
      <c r="KAX42" s="139"/>
      <c r="KAY42" s="139"/>
      <c r="KAZ42" s="139"/>
      <c r="KBA42" s="139"/>
      <c r="KBB42" s="139"/>
      <c r="KBC42" s="139"/>
      <c r="KBD42" s="139"/>
      <c r="KBE42" s="139"/>
      <c r="KBF42" s="139"/>
      <c r="KBG42" s="139"/>
      <c r="KBH42" s="139"/>
      <c r="KBI42" s="139"/>
      <c r="KBJ42" s="139"/>
      <c r="KBK42" s="139"/>
      <c r="KBL42" s="139"/>
      <c r="KBM42" s="139"/>
      <c r="KBN42" s="139"/>
      <c r="KBO42" s="139"/>
      <c r="KBP42" s="139"/>
      <c r="KBQ42" s="139"/>
      <c r="KBR42" s="139"/>
      <c r="KBS42" s="139"/>
      <c r="KBT42" s="139"/>
      <c r="KBU42" s="139"/>
      <c r="KBV42" s="139"/>
      <c r="KBW42" s="139"/>
      <c r="KBX42" s="139"/>
      <c r="KBY42" s="139"/>
      <c r="KBZ42" s="139"/>
      <c r="KCA42" s="139"/>
      <c r="KCB42" s="139"/>
      <c r="KCC42" s="139"/>
      <c r="KCD42" s="139"/>
      <c r="KCE42" s="139"/>
      <c r="KCF42" s="139"/>
      <c r="KCG42" s="139"/>
      <c r="KCH42" s="139"/>
      <c r="KCI42" s="139"/>
      <c r="KCJ42" s="139"/>
      <c r="KCK42" s="139"/>
      <c r="KCL42" s="139"/>
      <c r="KCM42" s="139"/>
      <c r="KCN42" s="139"/>
      <c r="KCO42" s="139"/>
      <c r="KCP42" s="139"/>
      <c r="KCQ42" s="139"/>
      <c r="KCR42" s="139"/>
      <c r="KCS42" s="139"/>
      <c r="KCT42" s="139"/>
      <c r="KCU42" s="139"/>
      <c r="KCV42" s="139"/>
      <c r="KCW42" s="139"/>
      <c r="KCX42" s="139"/>
      <c r="KCY42" s="139"/>
      <c r="KCZ42" s="139"/>
      <c r="KDA42" s="139"/>
      <c r="KDB42" s="139"/>
      <c r="KDC42" s="139"/>
      <c r="KDD42" s="139"/>
      <c r="KDE42" s="139"/>
      <c r="KDF42" s="139"/>
      <c r="KDG42" s="139"/>
      <c r="KDH42" s="139"/>
      <c r="KDI42" s="139"/>
      <c r="KDJ42" s="139"/>
      <c r="KDK42" s="139"/>
      <c r="KDL42" s="139"/>
      <c r="KDM42" s="139"/>
      <c r="KDN42" s="139"/>
      <c r="KDO42" s="139"/>
      <c r="KDP42" s="139"/>
      <c r="KDQ42" s="139"/>
      <c r="KDR42" s="139"/>
      <c r="KDS42" s="139"/>
      <c r="KDT42" s="139"/>
      <c r="KDU42" s="139"/>
      <c r="KDV42" s="139"/>
      <c r="KDW42" s="139"/>
      <c r="KDX42" s="139"/>
      <c r="KDY42" s="139"/>
      <c r="KDZ42" s="139"/>
      <c r="KEA42" s="139"/>
      <c r="KEB42" s="139"/>
      <c r="KEC42" s="139"/>
      <c r="KED42" s="139"/>
      <c r="KEE42" s="139"/>
      <c r="KEF42" s="139"/>
      <c r="KEG42" s="139"/>
      <c r="KEH42" s="139"/>
      <c r="KEI42" s="139"/>
      <c r="KEJ42" s="139"/>
      <c r="KEK42" s="139"/>
      <c r="KEL42" s="139"/>
      <c r="KEM42" s="139"/>
      <c r="KEN42" s="139"/>
      <c r="KEO42" s="139"/>
      <c r="KEP42" s="139"/>
      <c r="KEQ42" s="139"/>
      <c r="KER42" s="139"/>
      <c r="KES42" s="139"/>
      <c r="KET42" s="139"/>
      <c r="KEU42" s="139"/>
      <c r="KEV42" s="139"/>
      <c r="KEW42" s="139"/>
      <c r="KEX42" s="139"/>
      <c r="KEY42" s="139"/>
      <c r="KEZ42" s="139"/>
      <c r="KFA42" s="139"/>
      <c r="KFB42" s="139"/>
      <c r="KFC42" s="139"/>
      <c r="KFD42" s="139"/>
      <c r="KFE42" s="139"/>
      <c r="KFF42" s="139"/>
      <c r="KFG42" s="139"/>
      <c r="KFH42" s="139"/>
      <c r="KFI42" s="139"/>
      <c r="KFJ42" s="139"/>
      <c r="KFK42" s="139"/>
      <c r="KFL42" s="139"/>
      <c r="KFM42" s="139"/>
      <c r="KFN42" s="139"/>
      <c r="KFO42" s="139"/>
      <c r="KFP42" s="139"/>
      <c r="KFQ42" s="139"/>
      <c r="KFR42" s="139"/>
      <c r="KFS42" s="139"/>
      <c r="KFT42" s="139"/>
      <c r="KFU42" s="139"/>
      <c r="KFV42" s="139"/>
      <c r="KFW42" s="139"/>
      <c r="KFX42" s="139"/>
      <c r="KFY42" s="139"/>
      <c r="KFZ42" s="139"/>
      <c r="KGA42" s="139"/>
      <c r="KGB42" s="139"/>
      <c r="KGC42" s="139"/>
      <c r="KGD42" s="139"/>
      <c r="KGE42" s="139"/>
      <c r="KGF42" s="139"/>
      <c r="KGG42" s="139"/>
      <c r="KGH42" s="139"/>
      <c r="KGI42" s="139"/>
      <c r="KGJ42" s="139"/>
      <c r="KGK42" s="139"/>
      <c r="KGL42" s="139"/>
      <c r="KGM42" s="139"/>
      <c r="KGN42" s="139"/>
      <c r="KGO42" s="139"/>
      <c r="KGP42" s="139"/>
      <c r="KGQ42" s="139"/>
      <c r="KGR42" s="139"/>
      <c r="KGS42" s="139"/>
      <c r="KGT42" s="139"/>
      <c r="KGU42" s="139"/>
      <c r="KGV42" s="139"/>
      <c r="KGW42" s="139"/>
      <c r="KGX42" s="139"/>
      <c r="KGY42" s="139"/>
      <c r="KGZ42" s="139"/>
      <c r="KHA42" s="139"/>
      <c r="KHB42" s="139"/>
      <c r="KHC42" s="139"/>
      <c r="KHD42" s="139"/>
      <c r="KHE42" s="139"/>
      <c r="KHF42" s="139"/>
      <c r="KHG42" s="139"/>
      <c r="KHH42" s="139"/>
      <c r="KHI42" s="139"/>
      <c r="KHJ42" s="139"/>
      <c r="KHK42" s="139"/>
      <c r="KHL42" s="139"/>
      <c r="KHM42" s="139"/>
      <c r="KHN42" s="139"/>
      <c r="KHO42" s="139"/>
      <c r="KHP42" s="139"/>
      <c r="KHQ42" s="139"/>
      <c r="KHR42" s="139"/>
      <c r="KHS42" s="139"/>
      <c r="KHT42" s="139"/>
      <c r="KHU42" s="139"/>
      <c r="KHV42" s="139"/>
      <c r="KHW42" s="139"/>
      <c r="KHX42" s="139"/>
      <c r="KHY42" s="139"/>
      <c r="KHZ42" s="139"/>
      <c r="KIA42" s="139"/>
      <c r="KIB42" s="139"/>
      <c r="KIC42" s="139"/>
      <c r="KID42" s="139"/>
      <c r="KIE42" s="139"/>
      <c r="KIF42" s="139"/>
      <c r="KIG42" s="139"/>
      <c r="KIH42" s="139"/>
      <c r="KII42" s="139"/>
      <c r="KIJ42" s="139"/>
      <c r="KIK42" s="139"/>
      <c r="KIL42" s="139"/>
      <c r="KIM42" s="139"/>
      <c r="KIN42" s="139"/>
      <c r="KIO42" s="139"/>
      <c r="KIP42" s="139"/>
      <c r="KIQ42" s="139"/>
      <c r="KIR42" s="139"/>
      <c r="KIS42" s="139"/>
      <c r="KIT42" s="139"/>
      <c r="KIU42" s="139"/>
      <c r="KIV42" s="139"/>
      <c r="KIW42" s="139"/>
      <c r="KIX42" s="139"/>
      <c r="KIY42" s="139"/>
      <c r="KIZ42" s="139"/>
      <c r="KJA42" s="139"/>
      <c r="KJB42" s="139"/>
      <c r="KJC42" s="139"/>
      <c r="KJD42" s="139"/>
      <c r="KJE42" s="139"/>
      <c r="KJF42" s="139"/>
      <c r="KJG42" s="139"/>
      <c r="KJH42" s="139"/>
      <c r="KJI42" s="139"/>
      <c r="KJJ42" s="139"/>
      <c r="KJK42" s="139"/>
      <c r="KJL42" s="139"/>
      <c r="KJM42" s="139"/>
      <c r="KJN42" s="139"/>
      <c r="KJO42" s="139"/>
      <c r="KJP42" s="139"/>
      <c r="KJQ42" s="139"/>
      <c r="KJR42" s="139"/>
      <c r="KJS42" s="139"/>
      <c r="KJT42" s="139"/>
      <c r="KJU42" s="139"/>
      <c r="KJV42" s="139"/>
      <c r="KJW42" s="139"/>
      <c r="KJX42" s="139"/>
      <c r="KJY42" s="139"/>
      <c r="KJZ42" s="139"/>
      <c r="KKA42" s="139"/>
      <c r="KKB42" s="139"/>
      <c r="KKC42" s="139"/>
      <c r="KKD42" s="139"/>
      <c r="KKE42" s="139"/>
      <c r="KKF42" s="139"/>
      <c r="KKG42" s="139"/>
      <c r="KKH42" s="139"/>
      <c r="KKI42" s="139"/>
      <c r="KKJ42" s="139"/>
      <c r="KKK42" s="139"/>
      <c r="KKL42" s="139"/>
      <c r="KKM42" s="139"/>
      <c r="KKN42" s="139"/>
      <c r="KKO42" s="139"/>
      <c r="KKP42" s="139"/>
      <c r="KKQ42" s="139"/>
      <c r="KKR42" s="139"/>
      <c r="KKS42" s="139"/>
      <c r="KKT42" s="139"/>
      <c r="KKU42" s="139"/>
      <c r="KKV42" s="139"/>
      <c r="KKW42" s="139"/>
      <c r="KKX42" s="139"/>
      <c r="KKY42" s="139"/>
      <c r="KKZ42" s="139"/>
      <c r="KLA42" s="139"/>
      <c r="KLB42" s="139"/>
      <c r="KLC42" s="139"/>
      <c r="KLD42" s="139"/>
      <c r="KLE42" s="139"/>
      <c r="KLF42" s="139"/>
      <c r="KLG42" s="139"/>
      <c r="KLH42" s="139"/>
      <c r="KLI42" s="139"/>
      <c r="KLJ42" s="139"/>
      <c r="KLK42" s="139"/>
      <c r="KLL42" s="139"/>
      <c r="KLM42" s="139"/>
      <c r="KLN42" s="139"/>
      <c r="KLO42" s="139"/>
      <c r="KLP42" s="139"/>
      <c r="KLQ42" s="139"/>
      <c r="KLR42" s="139"/>
      <c r="KLS42" s="139"/>
      <c r="KLT42" s="139"/>
      <c r="KLU42" s="139"/>
      <c r="KLV42" s="139"/>
      <c r="KLW42" s="139"/>
      <c r="KLX42" s="139"/>
      <c r="KLY42" s="139"/>
      <c r="KLZ42" s="139"/>
      <c r="KMA42" s="139"/>
      <c r="KMB42" s="139"/>
      <c r="KMC42" s="139"/>
      <c r="KMD42" s="139"/>
      <c r="KME42" s="139"/>
      <c r="KMF42" s="139"/>
      <c r="KMG42" s="139"/>
      <c r="KMH42" s="139"/>
      <c r="KMI42" s="139"/>
      <c r="KMJ42" s="139"/>
      <c r="KMK42" s="139"/>
      <c r="KML42" s="139"/>
      <c r="KMM42" s="139"/>
      <c r="KMN42" s="139"/>
      <c r="KMO42" s="139"/>
      <c r="KMP42" s="139"/>
      <c r="KMQ42" s="139"/>
      <c r="KMR42" s="139"/>
      <c r="KMS42" s="139"/>
      <c r="KMT42" s="139"/>
      <c r="KMU42" s="139"/>
      <c r="KMV42" s="139"/>
      <c r="KMW42" s="139"/>
      <c r="KMX42" s="139"/>
      <c r="KMY42" s="139"/>
      <c r="KMZ42" s="139"/>
      <c r="KNA42" s="139"/>
      <c r="KNB42" s="139"/>
      <c r="KNC42" s="139"/>
      <c r="KND42" s="139"/>
      <c r="KNE42" s="139"/>
      <c r="KNF42" s="139"/>
      <c r="KNG42" s="139"/>
      <c r="KNH42" s="139"/>
      <c r="KNI42" s="139"/>
      <c r="KNJ42" s="139"/>
      <c r="KNK42" s="139"/>
      <c r="KNL42" s="139"/>
      <c r="KNM42" s="139"/>
      <c r="KNN42" s="139"/>
      <c r="KNO42" s="139"/>
      <c r="KNP42" s="139"/>
      <c r="KNQ42" s="139"/>
      <c r="KNR42" s="139"/>
      <c r="KNS42" s="139"/>
      <c r="KNT42" s="139"/>
      <c r="KNU42" s="139"/>
      <c r="KNV42" s="139"/>
      <c r="KNW42" s="139"/>
      <c r="KNX42" s="139"/>
      <c r="KNY42" s="139"/>
      <c r="KNZ42" s="139"/>
      <c r="KOA42" s="139"/>
      <c r="KOB42" s="139"/>
      <c r="KOC42" s="139"/>
      <c r="KOD42" s="139"/>
      <c r="KOE42" s="139"/>
      <c r="KOF42" s="139"/>
      <c r="KOG42" s="139"/>
      <c r="KOH42" s="139"/>
      <c r="KOI42" s="139"/>
      <c r="KOJ42" s="139"/>
      <c r="KOK42" s="139"/>
      <c r="KOL42" s="139"/>
      <c r="KOM42" s="139"/>
      <c r="KON42" s="139"/>
      <c r="KOO42" s="139"/>
      <c r="KOP42" s="139"/>
      <c r="KOQ42" s="139"/>
      <c r="KOR42" s="139"/>
      <c r="KOS42" s="139"/>
      <c r="KOT42" s="139"/>
      <c r="KOU42" s="139"/>
      <c r="KOV42" s="139"/>
      <c r="KOW42" s="139"/>
      <c r="KOX42" s="139"/>
      <c r="KOY42" s="139"/>
      <c r="KOZ42" s="139"/>
      <c r="KPA42" s="139"/>
      <c r="KPB42" s="139"/>
      <c r="KPC42" s="139"/>
      <c r="KPD42" s="139"/>
      <c r="KPE42" s="139"/>
      <c r="KPF42" s="139"/>
      <c r="KPG42" s="139"/>
      <c r="KPH42" s="139"/>
      <c r="KPI42" s="139"/>
      <c r="KPJ42" s="139"/>
      <c r="KPK42" s="139"/>
      <c r="KPL42" s="139"/>
      <c r="KPM42" s="139"/>
      <c r="KPN42" s="139"/>
      <c r="KPO42" s="139"/>
      <c r="KPP42" s="139"/>
      <c r="KPQ42" s="139"/>
      <c r="KPR42" s="139"/>
      <c r="KPS42" s="139"/>
      <c r="KPT42" s="139"/>
      <c r="KPU42" s="139"/>
      <c r="KPV42" s="139"/>
      <c r="KPW42" s="139"/>
      <c r="KPX42" s="139"/>
      <c r="KPY42" s="139"/>
      <c r="KPZ42" s="139"/>
      <c r="KQA42" s="139"/>
      <c r="KQB42" s="139"/>
      <c r="KQC42" s="139"/>
      <c r="KQD42" s="139"/>
      <c r="KQE42" s="139"/>
      <c r="KQF42" s="139"/>
      <c r="KQG42" s="139"/>
      <c r="KQH42" s="139"/>
      <c r="KQI42" s="139"/>
      <c r="KQJ42" s="139"/>
      <c r="KQK42" s="139"/>
      <c r="KQL42" s="139"/>
      <c r="KQM42" s="139"/>
      <c r="KQN42" s="139"/>
      <c r="KQO42" s="139"/>
      <c r="KQP42" s="139"/>
      <c r="KQQ42" s="139"/>
      <c r="KQR42" s="139"/>
      <c r="KQS42" s="139"/>
      <c r="KQT42" s="139"/>
      <c r="KQU42" s="139"/>
      <c r="KQV42" s="139"/>
      <c r="KQW42" s="139"/>
      <c r="KQX42" s="139"/>
      <c r="KQY42" s="139"/>
      <c r="KQZ42" s="139"/>
      <c r="KRA42" s="139"/>
      <c r="KRB42" s="139"/>
      <c r="KRC42" s="139"/>
      <c r="KRD42" s="139"/>
      <c r="KRE42" s="139"/>
      <c r="KRF42" s="139"/>
      <c r="KRG42" s="139"/>
      <c r="KRH42" s="139"/>
      <c r="KRI42" s="139"/>
      <c r="KRJ42" s="139"/>
      <c r="KRK42" s="139"/>
      <c r="KRL42" s="139"/>
      <c r="KRM42" s="139"/>
      <c r="KRN42" s="139"/>
      <c r="KRO42" s="139"/>
      <c r="KRP42" s="139"/>
      <c r="KRQ42" s="139"/>
      <c r="KRR42" s="139"/>
      <c r="KRS42" s="139"/>
      <c r="KRT42" s="139"/>
      <c r="KRU42" s="139"/>
      <c r="KRV42" s="139"/>
      <c r="KRW42" s="139"/>
      <c r="KRX42" s="139"/>
      <c r="KRY42" s="139"/>
      <c r="KRZ42" s="139"/>
      <c r="KSA42" s="139"/>
      <c r="KSB42" s="139"/>
      <c r="KSC42" s="139"/>
      <c r="KSD42" s="139"/>
      <c r="KSE42" s="139"/>
      <c r="KSF42" s="139"/>
      <c r="KSG42" s="139"/>
      <c r="KSH42" s="139"/>
      <c r="KSI42" s="139"/>
      <c r="KSJ42" s="139"/>
      <c r="KSK42" s="139"/>
      <c r="KSL42" s="139"/>
      <c r="KSM42" s="139"/>
      <c r="KSN42" s="139"/>
      <c r="KSO42" s="139"/>
      <c r="KSP42" s="139"/>
      <c r="KSQ42" s="139"/>
      <c r="KSR42" s="139"/>
      <c r="KSS42" s="139"/>
      <c r="KST42" s="139"/>
      <c r="KSU42" s="139"/>
      <c r="KSV42" s="139"/>
      <c r="KSW42" s="139"/>
      <c r="KSX42" s="139"/>
      <c r="KSY42" s="139"/>
      <c r="KSZ42" s="139"/>
      <c r="KTA42" s="139"/>
      <c r="KTB42" s="139"/>
      <c r="KTC42" s="139"/>
      <c r="KTD42" s="139"/>
      <c r="KTE42" s="139"/>
      <c r="KTF42" s="139"/>
      <c r="KTG42" s="139"/>
      <c r="KTH42" s="139"/>
      <c r="KTI42" s="139"/>
      <c r="KTJ42" s="139"/>
      <c r="KTK42" s="139"/>
      <c r="KTL42" s="139"/>
      <c r="KTM42" s="139"/>
      <c r="KTN42" s="139"/>
      <c r="KTO42" s="139"/>
      <c r="KTP42" s="139"/>
      <c r="KTQ42" s="139"/>
      <c r="KTR42" s="139"/>
      <c r="KTS42" s="139"/>
      <c r="KTT42" s="139"/>
      <c r="KTU42" s="139"/>
      <c r="KTV42" s="139"/>
      <c r="KTW42" s="139"/>
      <c r="KTX42" s="139"/>
      <c r="KTY42" s="139"/>
      <c r="KTZ42" s="139"/>
      <c r="KUA42" s="139"/>
      <c r="KUB42" s="139"/>
      <c r="KUC42" s="139"/>
      <c r="KUD42" s="139"/>
      <c r="KUE42" s="139"/>
      <c r="KUF42" s="139"/>
      <c r="KUG42" s="139"/>
      <c r="KUH42" s="139"/>
      <c r="KUI42" s="139"/>
      <c r="KUJ42" s="139"/>
      <c r="KUK42" s="139"/>
      <c r="KUL42" s="139"/>
      <c r="KUM42" s="139"/>
      <c r="KUN42" s="139"/>
      <c r="KUO42" s="139"/>
      <c r="KUP42" s="139"/>
      <c r="KUQ42" s="139"/>
      <c r="KUR42" s="139"/>
      <c r="KUS42" s="139"/>
      <c r="KUT42" s="139"/>
      <c r="KUU42" s="139"/>
      <c r="KUV42" s="139"/>
      <c r="KUW42" s="139"/>
      <c r="KUX42" s="139"/>
      <c r="KUY42" s="139"/>
      <c r="KUZ42" s="139"/>
      <c r="KVA42" s="139"/>
      <c r="KVB42" s="139"/>
      <c r="KVC42" s="139"/>
      <c r="KVD42" s="139"/>
      <c r="KVE42" s="139"/>
      <c r="KVF42" s="139"/>
      <c r="KVG42" s="139"/>
      <c r="KVH42" s="139"/>
      <c r="KVI42" s="139"/>
      <c r="KVJ42" s="139"/>
      <c r="KVK42" s="139"/>
      <c r="KVL42" s="139"/>
      <c r="KVM42" s="139"/>
      <c r="KVN42" s="139"/>
      <c r="KVO42" s="139"/>
      <c r="KVP42" s="139"/>
      <c r="KVQ42" s="139"/>
      <c r="KVR42" s="139"/>
      <c r="KVS42" s="139"/>
      <c r="KVT42" s="139"/>
      <c r="KVU42" s="139"/>
      <c r="KVV42" s="139"/>
      <c r="KVW42" s="139"/>
      <c r="KVX42" s="139"/>
      <c r="KVY42" s="139"/>
      <c r="KVZ42" s="139"/>
      <c r="KWA42" s="139"/>
      <c r="KWB42" s="139"/>
      <c r="KWC42" s="139"/>
      <c r="KWD42" s="139"/>
      <c r="KWE42" s="139"/>
      <c r="KWF42" s="139"/>
      <c r="KWG42" s="139"/>
      <c r="KWH42" s="139"/>
      <c r="KWI42" s="139"/>
      <c r="KWJ42" s="139"/>
      <c r="KWK42" s="139"/>
      <c r="KWL42" s="139"/>
      <c r="KWM42" s="139"/>
      <c r="KWN42" s="139"/>
      <c r="KWO42" s="139"/>
      <c r="KWP42" s="139"/>
      <c r="KWQ42" s="139"/>
      <c r="KWR42" s="139"/>
      <c r="KWS42" s="139"/>
      <c r="KWT42" s="139"/>
      <c r="KWU42" s="139"/>
      <c r="KWV42" s="139"/>
      <c r="KWW42" s="139"/>
      <c r="KWX42" s="139"/>
      <c r="KWY42" s="139"/>
      <c r="KWZ42" s="139"/>
      <c r="KXA42" s="139"/>
      <c r="KXB42" s="139"/>
      <c r="KXC42" s="139"/>
      <c r="KXD42" s="139"/>
      <c r="KXE42" s="139"/>
      <c r="KXF42" s="139"/>
      <c r="KXG42" s="139"/>
      <c r="KXH42" s="139"/>
      <c r="KXI42" s="139"/>
      <c r="KXJ42" s="139"/>
      <c r="KXK42" s="139"/>
      <c r="KXL42" s="139"/>
      <c r="KXM42" s="139"/>
      <c r="KXN42" s="139"/>
      <c r="KXO42" s="139"/>
      <c r="KXP42" s="139"/>
      <c r="KXQ42" s="139"/>
      <c r="KXR42" s="139"/>
      <c r="KXS42" s="139"/>
      <c r="KXT42" s="139"/>
      <c r="KXU42" s="139"/>
      <c r="KXV42" s="139"/>
      <c r="KXW42" s="139"/>
      <c r="KXX42" s="139"/>
      <c r="KXY42" s="139"/>
      <c r="KXZ42" s="139"/>
      <c r="KYA42" s="139"/>
      <c r="KYB42" s="139"/>
      <c r="KYC42" s="139"/>
      <c r="KYD42" s="139"/>
      <c r="KYE42" s="139"/>
      <c r="KYF42" s="139"/>
      <c r="KYG42" s="139"/>
      <c r="KYH42" s="139"/>
      <c r="KYI42" s="139"/>
      <c r="KYJ42" s="139"/>
      <c r="KYK42" s="139"/>
      <c r="KYL42" s="139"/>
      <c r="KYM42" s="139"/>
      <c r="KYN42" s="139"/>
      <c r="KYO42" s="139"/>
      <c r="KYP42" s="139"/>
      <c r="KYQ42" s="139"/>
      <c r="KYR42" s="139"/>
      <c r="KYS42" s="139"/>
      <c r="KYT42" s="139"/>
      <c r="KYU42" s="139"/>
      <c r="KYV42" s="139"/>
      <c r="KYW42" s="139"/>
      <c r="KYX42" s="139"/>
      <c r="KYY42" s="139"/>
      <c r="KYZ42" s="139"/>
      <c r="KZA42" s="139"/>
      <c r="KZB42" s="139"/>
      <c r="KZC42" s="139"/>
      <c r="KZD42" s="139"/>
      <c r="KZE42" s="139"/>
      <c r="KZF42" s="139"/>
      <c r="KZG42" s="139"/>
      <c r="KZH42" s="139"/>
      <c r="KZI42" s="139"/>
      <c r="KZJ42" s="139"/>
      <c r="KZK42" s="139"/>
      <c r="KZL42" s="139"/>
      <c r="KZM42" s="139"/>
      <c r="KZN42" s="139"/>
      <c r="KZO42" s="139"/>
      <c r="KZP42" s="139"/>
      <c r="KZQ42" s="139"/>
      <c r="KZR42" s="139"/>
      <c r="KZS42" s="139"/>
      <c r="KZT42" s="139"/>
      <c r="KZU42" s="139"/>
      <c r="KZV42" s="139"/>
      <c r="KZW42" s="139"/>
      <c r="KZX42" s="139"/>
      <c r="KZY42" s="139"/>
      <c r="KZZ42" s="139"/>
      <c r="LAA42" s="139"/>
      <c r="LAB42" s="139"/>
      <c r="LAC42" s="139"/>
      <c r="LAD42" s="139"/>
      <c r="LAE42" s="139"/>
      <c r="LAF42" s="139"/>
      <c r="LAG42" s="139"/>
      <c r="LAH42" s="139"/>
      <c r="LAI42" s="139"/>
      <c r="LAJ42" s="139"/>
      <c r="LAK42" s="139"/>
      <c r="LAL42" s="139"/>
      <c r="LAM42" s="139"/>
      <c r="LAN42" s="139"/>
      <c r="LAO42" s="139"/>
      <c r="LAP42" s="139"/>
      <c r="LAQ42" s="139"/>
      <c r="LAR42" s="139"/>
      <c r="LAS42" s="139"/>
      <c r="LAT42" s="139"/>
      <c r="LAU42" s="139"/>
      <c r="LAV42" s="139"/>
      <c r="LAW42" s="139"/>
      <c r="LAX42" s="139"/>
      <c r="LAY42" s="139"/>
      <c r="LAZ42" s="139"/>
      <c r="LBA42" s="139"/>
      <c r="LBB42" s="139"/>
      <c r="LBC42" s="139"/>
      <c r="LBD42" s="139"/>
      <c r="LBE42" s="139"/>
      <c r="LBF42" s="139"/>
      <c r="LBG42" s="139"/>
      <c r="LBH42" s="139"/>
      <c r="LBI42" s="139"/>
      <c r="LBJ42" s="139"/>
      <c r="LBK42" s="139"/>
      <c r="LBL42" s="139"/>
      <c r="LBM42" s="139"/>
      <c r="LBN42" s="139"/>
      <c r="LBO42" s="139"/>
      <c r="LBP42" s="139"/>
      <c r="LBQ42" s="139"/>
      <c r="LBR42" s="139"/>
      <c r="LBS42" s="139"/>
      <c r="LBT42" s="139"/>
      <c r="LBU42" s="139"/>
      <c r="LBV42" s="139"/>
      <c r="LBW42" s="139"/>
      <c r="LBX42" s="139"/>
      <c r="LBY42" s="139"/>
      <c r="LBZ42" s="139"/>
      <c r="LCA42" s="139"/>
      <c r="LCB42" s="139"/>
      <c r="LCC42" s="139"/>
      <c r="LCD42" s="139"/>
      <c r="LCE42" s="139"/>
      <c r="LCF42" s="139"/>
      <c r="LCG42" s="139"/>
      <c r="LCH42" s="139"/>
      <c r="LCI42" s="139"/>
      <c r="LCJ42" s="139"/>
      <c r="LCK42" s="139"/>
      <c r="LCL42" s="139"/>
      <c r="LCM42" s="139"/>
      <c r="LCN42" s="139"/>
      <c r="LCO42" s="139"/>
      <c r="LCP42" s="139"/>
      <c r="LCQ42" s="139"/>
      <c r="LCR42" s="139"/>
      <c r="LCS42" s="139"/>
      <c r="LCT42" s="139"/>
      <c r="LCU42" s="139"/>
      <c r="LCV42" s="139"/>
      <c r="LCW42" s="139"/>
      <c r="LCX42" s="139"/>
      <c r="LCY42" s="139"/>
      <c r="LCZ42" s="139"/>
      <c r="LDA42" s="139"/>
      <c r="LDB42" s="139"/>
      <c r="LDC42" s="139"/>
      <c r="LDD42" s="139"/>
      <c r="LDE42" s="139"/>
      <c r="LDF42" s="139"/>
      <c r="LDG42" s="139"/>
      <c r="LDH42" s="139"/>
      <c r="LDI42" s="139"/>
      <c r="LDJ42" s="139"/>
      <c r="LDK42" s="139"/>
      <c r="LDL42" s="139"/>
      <c r="LDM42" s="139"/>
      <c r="LDN42" s="139"/>
      <c r="LDO42" s="139"/>
      <c r="LDP42" s="139"/>
      <c r="LDQ42" s="139"/>
      <c r="LDR42" s="139"/>
      <c r="LDS42" s="139"/>
      <c r="LDT42" s="139"/>
      <c r="LDU42" s="139"/>
      <c r="LDV42" s="139"/>
      <c r="LDW42" s="139"/>
      <c r="LDX42" s="139"/>
      <c r="LDY42" s="139"/>
      <c r="LDZ42" s="139"/>
      <c r="LEA42" s="139"/>
      <c r="LEB42" s="139"/>
      <c r="LEC42" s="139"/>
      <c r="LED42" s="139"/>
      <c r="LEE42" s="139"/>
      <c r="LEF42" s="139"/>
      <c r="LEG42" s="139"/>
      <c r="LEH42" s="139"/>
      <c r="LEI42" s="139"/>
      <c r="LEJ42" s="139"/>
      <c r="LEK42" s="139"/>
      <c r="LEL42" s="139"/>
      <c r="LEM42" s="139"/>
      <c r="LEN42" s="139"/>
      <c r="LEO42" s="139"/>
      <c r="LEP42" s="139"/>
      <c r="LEQ42" s="139"/>
      <c r="LER42" s="139"/>
      <c r="LES42" s="139"/>
      <c r="LET42" s="139"/>
      <c r="LEU42" s="139"/>
      <c r="LEV42" s="139"/>
      <c r="LEW42" s="139"/>
      <c r="LEX42" s="139"/>
      <c r="LEY42" s="139"/>
      <c r="LEZ42" s="139"/>
      <c r="LFA42" s="139"/>
      <c r="LFB42" s="139"/>
      <c r="LFC42" s="139"/>
      <c r="LFD42" s="139"/>
      <c r="LFE42" s="139"/>
      <c r="LFF42" s="139"/>
      <c r="LFG42" s="139"/>
      <c r="LFH42" s="139"/>
      <c r="LFI42" s="139"/>
      <c r="LFJ42" s="139"/>
      <c r="LFK42" s="139"/>
      <c r="LFL42" s="139"/>
      <c r="LFM42" s="139"/>
      <c r="LFN42" s="139"/>
      <c r="LFO42" s="139"/>
      <c r="LFP42" s="139"/>
      <c r="LFQ42" s="139"/>
      <c r="LFR42" s="139"/>
      <c r="LFS42" s="139"/>
      <c r="LFT42" s="139"/>
      <c r="LFU42" s="139"/>
      <c r="LFV42" s="139"/>
      <c r="LFW42" s="139"/>
      <c r="LFX42" s="139"/>
      <c r="LFY42" s="139"/>
      <c r="LFZ42" s="139"/>
      <c r="LGA42" s="139"/>
      <c r="LGB42" s="139"/>
      <c r="LGC42" s="139"/>
      <c r="LGD42" s="139"/>
      <c r="LGE42" s="139"/>
      <c r="LGF42" s="139"/>
      <c r="LGG42" s="139"/>
      <c r="LGH42" s="139"/>
      <c r="LGI42" s="139"/>
      <c r="LGJ42" s="139"/>
      <c r="LGK42" s="139"/>
      <c r="LGL42" s="139"/>
      <c r="LGM42" s="139"/>
      <c r="LGN42" s="139"/>
      <c r="LGO42" s="139"/>
      <c r="LGP42" s="139"/>
      <c r="LGQ42" s="139"/>
      <c r="LGR42" s="139"/>
      <c r="LGS42" s="139"/>
      <c r="LGT42" s="139"/>
      <c r="LGU42" s="139"/>
      <c r="LGV42" s="139"/>
      <c r="LGW42" s="139"/>
      <c r="LGX42" s="139"/>
      <c r="LGY42" s="139"/>
      <c r="LGZ42" s="139"/>
      <c r="LHA42" s="139"/>
      <c r="LHB42" s="139"/>
      <c r="LHC42" s="139"/>
      <c r="LHD42" s="139"/>
      <c r="LHE42" s="139"/>
      <c r="LHF42" s="139"/>
      <c r="LHG42" s="139"/>
      <c r="LHH42" s="139"/>
      <c r="LHI42" s="139"/>
      <c r="LHJ42" s="139"/>
      <c r="LHK42" s="139"/>
      <c r="LHL42" s="139"/>
      <c r="LHM42" s="139"/>
      <c r="LHN42" s="139"/>
      <c r="LHO42" s="139"/>
      <c r="LHP42" s="139"/>
      <c r="LHQ42" s="139"/>
      <c r="LHR42" s="139"/>
      <c r="LHS42" s="139"/>
      <c r="LHT42" s="139"/>
      <c r="LHU42" s="139"/>
      <c r="LHV42" s="139"/>
      <c r="LHW42" s="139"/>
      <c r="LHX42" s="139"/>
      <c r="LHY42" s="139"/>
      <c r="LHZ42" s="139"/>
      <c r="LIA42" s="139"/>
      <c r="LIB42" s="139"/>
      <c r="LIC42" s="139"/>
      <c r="LID42" s="139"/>
      <c r="LIE42" s="139"/>
      <c r="LIF42" s="139"/>
      <c r="LIG42" s="139"/>
      <c r="LIH42" s="139"/>
      <c r="LII42" s="139"/>
      <c r="LIJ42" s="139"/>
      <c r="LIK42" s="139"/>
      <c r="LIL42" s="139"/>
      <c r="LIM42" s="139"/>
      <c r="LIN42" s="139"/>
      <c r="LIO42" s="139"/>
      <c r="LIP42" s="139"/>
      <c r="LIQ42" s="139"/>
      <c r="LIR42" s="139"/>
      <c r="LIS42" s="139"/>
      <c r="LIT42" s="139"/>
      <c r="LIU42" s="139"/>
      <c r="LIV42" s="139"/>
      <c r="LIW42" s="139"/>
      <c r="LIX42" s="139"/>
      <c r="LIY42" s="139"/>
      <c r="LIZ42" s="139"/>
      <c r="LJA42" s="139"/>
      <c r="LJB42" s="139"/>
      <c r="LJC42" s="139"/>
      <c r="LJD42" s="139"/>
      <c r="LJE42" s="139"/>
      <c r="LJF42" s="139"/>
      <c r="LJG42" s="139"/>
      <c r="LJH42" s="139"/>
      <c r="LJI42" s="139"/>
      <c r="LJJ42" s="139"/>
      <c r="LJK42" s="139"/>
      <c r="LJL42" s="139"/>
      <c r="LJM42" s="139"/>
      <c r="LJN42" s="139"/>
      <c r="LJO42" s="139"/>
      <c r="LJP42" s="139"/>
      <c r="LJQ42" s="139"/>
      <c r="LJR42" s="139"/>
      <c r="LJS42" s="139"/>
      <c r="LJT42" s="139"/>
      <c r="LJU42" s="139"/>
      <c r="LJV42" s="139"/>
      <c r="LJW42" s="139"/>
      <c r="LJX42" s="139"/>
      <c r="LJY42" s="139"/>
      <c r="LJZ42" s="139"/>
      <c r="LKA42" s="139"/>
      <c r="LKB42" s="139"/>
      <c r="LKC42" s="139"/>
      <c r="LKD42" s="139"/>
      <c r="LKE42" s="139"/>
      <c r="LKF42" s="139"/>
      <c r="LKG42" s="139"/>
      <c r="LKH42" s="139"/>
      <c r="LKI42" s="139"/>
      <c r="LKJ42" s="139"/>
      <c r="LKK42" s="139"/>
      <c r="LKL42" s="139"/>
      <c r="LKM42" s="139"/>
      <c r="LKN42" s="139"/>
      <c r="LKO42" s="139"/>
      <c r="LKP42" s="139"/>
      <c r="LKQ42" s="139"/>
      <c r="LKR42" s="139"/>
      <c r="LKS42" s="139"/>
      <c r="LKT42" s="139"/>
      <c r="LKU42" s="139"/>
      <c r="LKV42" s="139"/>
      <c r="LKW42" s="139"/>
      <c r="LKX42" s="139"/>
      <c r="LKY42" s="139"/>
      <c r="LKZ42" s="139"/>
      <c r="LLA42" s="139"/>
      <c r="LLB42" s="139"/>
      <c r="LLC42" s="139"/>
      <c r="LLD42" s="139"/>
      <c r="LLE42" s="139"/>
      <c r="LLF42" s="139"/>
      <c r="LLG42" s="139"/>
      <c r="LLH42" s="139"/>
      <c r="LLI42" s="139"/>
      <c r="LLJ42" s="139"/>
      <c r="LLK42" s="139"/>
      <c r="LLL42" s="139"/>
      <c r="LLM42" s="139"/>
      <c r="LLN42" s="139"/>
      <c r="LLO42" s="139"/>
      <c r="LLP42" s="139"/>
      <c r="LLQ42" s="139"/>
      <c r="LLR42" s="139"/>
      <c r="LLS42" s="139"/>
      <c r="LLT42" s="139"/>
      <c r="LLU42" s="139"/>
      <c r="LLV42" s="139"/>
      <c r="LLW42" s="139"/>
      <c r="LLX42" s="139"/>
      <c r="LLY42" s="139"/>
      <c r="LLZ42" s="139"/>
      <c r="LMA42" s="139"/>
      <c r="LMB42" s="139"/>
      <c r="LMC42" s="139"/>
      <c r="LMD42" s="139"/>
      <c r="LME42" s="139"/>
      <c r="LMF42" s="139"/>
      <c r="LMG42" s="139"/>
      <c r="LMH42" s="139"/>
      <c r="LMI42" s="139"/>
      <c r="LMJ42" s="139"/>
      <c r="LMK42" s="139"/>
      <c r="LML42" s="139"/>
      <c r="LMM42" s="139"/>
      <c r="LMN42" s="139"/>
      <c r="LMO42" s="139"/>
      <c r="LMP42" s="139"/>
      <c r="LMQ42" s="139"/>
      <c r="LMR42" s="139"/>
      <c r="LMS42" s="139"/>
      <c r="LMT42" s="139"/>
      <c r="LMU42" s="139"/>
      <c r="LMV42" s="139"/>
      <c r="LMW42" s="139"/>
      <c r="LMX42" s="139"/>
      <c r="LMY42" s="139"/>
      <c r="LMZ42" s="139"/>
      <c r="LNA42" s="139"/>
      <c r="LNB42" s="139"/>
      <c r="LNC42" s="139"/>
      <c r="LND42" s="139"/>
      <c r="LNE42" s="139"/>
      <c r="LNF42" s="139"/>
      <c r="LNG42" s="139"/>
      <c r="LNH42" s="139"/>
      <c r="LNI42" s="139"/>
      <c r="LNJ42" s="139"/>
      <c r="LNK42" s="139"/>
      <c r="LNL42" s="139"/>
      <c r="LNM42" s="139"/>
      <c r="LNN42" s="139"/>
      <c r="LNO42" s="139"/>
      <c r="LNP42" s="139"/>
      <c r="LNQ42" s="139"/>
      <c r="LNR42" s="139"/>
      <c r="LNS42" s="139"/>
      <c r="LNT42" s="139"/>
      <c r="LNU42" s="139"/>
      <c r="LNV42" s="139"/>
      <c r="LNW42" s="139"/>
      <c r="LNX42" s="139"/>
      <c r="LNY42" s="139"/>
      <c r="LNZ42" s="139"/>
      <c r="LOA42" s="139"/>
      <c r="LOB42" s="139"/>
      <c r="LOC42" s="139"/>
      <c r="LOD42" s="139"/>
      <c r="LOE42" s="139"/>
      <c r="LOF42" s="139"/>
      <c r="LOG42" s="139"/>
      <c r="LOH42" s="139"/>
      <c r="LOI42" s="139"/>
      <c r="LOJ42" s="139"/>
      <c r="LOK42" s="139"/>
      <c r="LOL42" s="139"/>
      <c r="LOM42" s="139"/>
      <c r="LON42" s="139"/>
      <c r="LOO42" s="139"/>
      <c r="LOP42" s="139"/>
      <c r="LOQ42" s="139"/>
      <c r="LOR42" s="139"/>
      <c r="LOS42" s="139"/>
      <c r="LOT42" s="139"/>
      <c r="LOU42" s="139"/>
      <c r="LOV42" s="139"/>
      <c r="LOW42" s="139"/>
      <c r="LOX42" s="139"/>
      <c r="LOY42" s="139"/>
      <c r="LOZ42" s="139"/>
      <c r="LPA42" s="139"/>
      <c r="LPB42" s="139"/>
      <c r="LPC42" s="139"/>
      <c r="LPD42" s="139"/>
      <c r="LPE42" s="139"/>
      <c r="LPF42" s="139"/>
      <c r="LPG42" s="139"/>
      <c r="LPH42" s="139"/>
      <c r="LPI42" s="139"/>
      <c r="LPJ42" s="139"/>
      <c r="LPK42" s="139"/>
      <c r="LPL42" s="139"/>
      <c r="LPM42" s="139"/>
      <c r="LPN42" s="139"/>
      <c r="LPO42" s="139"/>
      <c r="LPP42" s="139"/>
      <c r="LPQ42" s="139"/>
      <c r="LPR42" s="139"/>
      <c r="LPS42" s="139"/>
      <c r="LPT42" s="139"/>
      <c r="LPU42" s="139"/>
      <c r="LPV42" s="139"/>
      <c r="LPW42" s="139"/>
      <c r="LPX42" s="139"/>
      <c r="LPY42" s="139"/>
      <c r="LPZ42" s="139"/>
      <c r="LQA42" s="139"/>
      <c r="LQB42" s="139"/>
      <c r="LQC42" s="139"/>
      <c r="LQD42" s="139"/>
      <c r="LQE42" s="139"/>
      <c r="LQF42" s="139"/>
      <c r="LQG42" s="139"/>
      <c r="LQH42" s="139"/>
      <c r="LQI42" s="139"/>
      <c r="LQJ42" s="139"/>
      <c r="LQK42" s="139"/>
      <c r="LQL42" s="139"/>
      <c r="LQM42" s="139"/>
      <c r="LQN42" s="139"/>
      <c r="LQO42" s="139"/>
      <c r="LQP42" s="139"/>
      <c r="LQQ42" s="139"/>
      <c r="LQR42" s="139"/>
      <c r="LQS42" s="139"/>
      <c r="LQT42" s="139"/>
      <c r="LQU42" s="139"/>
      <c r="LQV42" s="139"/>
      <c r="LQW42" s="139"/>
      <c r="LQX42" s="139"/>
      <c r="LQY42" s="139"/>
      <c r="LQZ42" s="139"/>
      <c r="LRA42" s="139"/>
      <c r="LRB42" s="139"/>
      <c r="LRC42" s="139"/>
      <c r="LRD42" s="139"/>
      <c r="LRE42" s="139"/>
      <c r="LRF42" s="139"/>
      <c r="LRG42" s="139"/>
      <c r="LRH42" s="139"/>
      <c r="LRI42" s="139"/>
      <c r="LRJ42" s="139"/>
      <c r="LRK42" s="139"/>
      <c r="LRL42" s="139"/>
      <c r="LRM42" s="139"/>
      <c r="LRN42" s="139"/>
      <c r="LRO42" s="139"/>
      <c r="LRP42" s="139"/>
      <c r="LRQ42" s="139"/>
      <c r="LRR42" s="139"/>
      <c r="LRS42" s="139"/>
      <c r="LRT42" s="139"/>
      <c r="LRU42" s="139"/>
      <c r="LRV42" s="139"/>
      <c r="LRW42" s="139"/>
      <c r="LRX42" s="139"/>
      <c r="LRY42" s="139"/>
      <c r="LRZ42" s="139"/>
      <c r="LSA42" s="139"/>
      <c r="LSB42" s="139"/>
      <c r="LSC42" s="139"/>
      <c r="LSD42" s="139"/>
      <c r="LSE42" s="139"/>
      <c r="LSF42" s="139"/>
      <c r="LSG42" s="139"/>
      <c r="LSH42" s="139"/>
      <c r="LSI42" s="139"/>
      <c r="LSJ42" s="139"/>
      <c r="LSK42" s="139"/>
      <c r="LSL42" s="139"/>
      <c r="LSM42" s="139"/>
      <c r="LSN42" s="139"/>
      <c r="LSO42" s="139"/>
      <c r="LSP42" s="139"/>
      <c r="LSQ42" s="139"/>
      <c r="LSR42" s="139"/>
      <c r="LSS42" s="139"/>
      <c r="LST42" s="139"/>
      <c r="LSU42" s="139"/>
      <c r="LSV42" s="139"/>
      <c r="LSW42" s="139"/>
      <c r="LSX42" s="139"/>
      <c r="LSY42" s="139"/>
      <c r="LSZ42" s="139"/>
      <c r="LTA42" s="139"/>
      <c r="LTB42" s="139"/>
      <c r="LTC42" s="139"/>
      <c r="LTD42" s="139"/>
      <c r="LTE42" s="139"/>
      <c r="LTF42" s="139"/>
      <c r="LTG42" s="139"/>
      <c r="LTH42" s="139"/>
      <c r="LTI42" s="139"/>
      <c r="LTJ42" s="139"/>
      <c r="LTK42" s="139"/>
      <c r="LTL42" s="139"/>
      <c r="LTM42" s="139"/>
      <c r="LTN42" s="139"/>
      <c r="LTO42" s="139"/>
      <c r="LTP42" s="139"/>
      <c r="LTQ42" s="139"/>
      <c r="LTR42" s="139"/>
      <c r="LTS42" s="139"/>
      <c r="LTT42" s="139"/>
      <c r="LTU42" s="139"/>
      <c r="LTV42" s="139"/>
      <c r="LTW42" s="139"/>
      <c r="LTX42" s="139"/>
      <c r="LTY42" s="139"/>
      <c r="LTZ42" s="139"/>
      <c r="LUA42" s="139"/>
      <c r="LUB42" s="139"/>
      <c r="LUC42" s="139"/>
      <c r="LUD42" s="139"/>
      <c r="LUE42" s="139"/>
      <c r="LUF42" s="139"/>
      <c r="LUG42" s="139"/>
      <c r="LUH42" s="139"/>
      <c r="LUI42" s="139"/>
      <c r="LUJ42" s="139"/>
      <c r="LUK42" s="139"/>
      <c r="LUL42" s="139"/>
      <c r="LUM42" s="139"/>
      <c r="LUN42" s="139"/>
      <c r="LUO42" s="139"/>
      <c r="LUP42" s="139"/>
      <c r="LUQ42" s="139"/>
      <c r="LUR42" s="139"/>
      <c r="LUS42" s="139"/>
      <c r="LUT42" s="139"/>
      <c r="LUU42" s="139"/>
      <c r="LUV42" s="139"/>
      <c r="LUW42" s="139"/>
      <c r="LUX42" s="139"/>
      <c r="LUY42" s="139"/>
      <c r="LUZ42" s="139"/>
      <c r="LVA42" s="139"/>
      <c r="LVB42" s="139"/>
      <c r="LVC42" s="139"/>
      <c r="LVD42" s="139"/>
      <c r="LVE42" s="139"/>
      <c r="LVF42" s="139"/>
      <c r="LVG42" s="139"/>
      <c r="LVH42" s="139"/>
      <c r="LVI42" s="139"/>
      <c r="LVJ42" s="139"/>
      <c r="LVK42" s="139"/>
      <c r="LVL42" s="139"/>
      <c r="LVM42" s="139"/>
      <c r="LVN42" s="139"/>
      <c r="LVO42" s="139"/>
      <c r="LVP42" s="139"/>
      <c r="LVQ42" s="139"/>
      <c r="LVR42" s="139"/>
      <c r="LVS42" s="139"/>
      <c r="LVT42" s="139"/>
      <c r="LVU42" s="139"/>
      <c r="LVV42" s="139"/>
      <c r="LVW42" s="139"/>
      <c r="LVX42" s="139"/>
      <c r="LVY42" s="139"/>
      <c r="LVZ42" s="139"/>
      <c r="LWA42" s="139"/>
      <c r="LWB42" s="139"/>
      <c r="LWC42" s="139"/>
      <c r="LWD42" s="139"/>
      <c r="LWE42" s="139"/>
      <c r="LWF42" s="139"/>
      <c r="LWG42" s="139"/>
      <c r="LWH42" s="139"/>
      <c r="LWI42" s="139"/>
      <c r="LWJ42" s="139"/>
      <c r="LWK42" s="139"/>
      <c r="LWL42" s="139"/>
      <c r="LWM42" s="139"/>
      <c r="LWN42" s="139"/>
      <c r="LWO42" s="139"/>
      <c r="LWP42" s="139"/>
      <c r="LWQ42" s="139"/>
      <c r="LWR42" s="139"/>
      <c r="LWS42" s="139"/>
      <c r="LWT42" s="139"/>
      <c r="LWU42" s="139"/>
      <c r="LWV42" s="139"/>
      <c r="LWW42" s="139"/>
      <c r="LWX42" s="139"/>
      <c r="LWY42" s="139"/>
      <c r="LWZ42" s="139"/>
      <c r="LXA42" s="139"/>
      <c r="LXB42" s="139"/>
      <c r="LXC42" s="139"/>
      <c r="LXD42" s="139"/>
      <c r="LXE42" s="139"/>
      <c r="LXF42" s="139"/>
      <c r="LXG42" s="139"/>
      <c r="LXH42" s="139"/>
      <c r="LXI42" s="139"/>
      <c r="LXJ42" s="139"/>
      <c r="LXK42" s="139"/>
      <c r="LXL42" s="139"/>
      <c r="LXM42" s="139"/>
      <c r="LXN42" s="139"/>
      <c r="LXO42" s="139"/>
      <c r="LXP42" s="139"/>
      <c r="LXQ42" s="139"/>
      <c r="LXR42" s="139"/>
      <c r="LXS42" s="139"/>
      <c r="LXT42" s="139"/>
      <c r="LXU42" s="139"/>
      <c r="LXV42" s="139"/>
      <c r="LXW42" s="139"/>
      <c r="LXX42" s="139"/>
      <c r="LXY42" s="139"/>
      <c r="LXZ42" s="139"/>
      <c r="LYA42" s="139"/>
      <c r="LYB42" s="139"/>
      <c r="LYC42" s="139"/>
      <c r="LYD42" s="139"/>
      <c r="LYE42" s="139"/>
      <c r="LYF42" s="139"/>
      <c r="LYG42" s="139"/>
      <c r="LYH42" s="139"/>
      <c r="LYI42" s="139"/>
      <c r="LYJ42" s="139"/>
      <c r="LYK42" s="139"/>
      <c r="LYL42" s="139"/>
      <c r="LYM42" s="139"/>
      <c r="LYN42" s="139"/>
      <c r="LYO42" s="139"/>
      <c r="LYP42" s="139"/>
      <c r="LYQ42" s="139"/>
      <c r="LYR42" s="139"/>
      <c r="LYS42" s="139"/>
      <c r="LYT42" s="139"/>
      <c r="LYU42" s="139"/>
      <c r="LYV42" s="139"/>
      <c r="LYW42" s="139"/>
      <c r="LYX42" s="139"/>
      <c r="LYY42" s="139"/>
      <c r="LYZ42" s="139"/>
      <c r="LZA42" s="139"/>
      <c r="LZB42" s="139"/>
      <c r="LZC42" s="139"/>
      <c r="LZD42" s="139"/>
      <c r="LZE42" s="139"/>
      <c r="LZF42" s="139"/>
      <c r="LZG42" s="139"/>
      <c r="LZH42" s="139"/>
      <c r="LZI42" s="139"/>
      <c r="LZJ42" s="139"/>
      <c r="LZK42" s="139"/>
      <c r="LZL42" s="139"/>
      <c r="LZM42" s="139"/>
      <c r="LZN42" s="139"/>
      <c r="LZO42" s="139"/>
      <c r="LZP42" s="139"/>
      <c r="LZQ42" s="139"/>
      <c r="LZR42" s="139"/>
      <c r="LZS42" s="139"/>
      <c r="LZT42" s="139"/>
      <c r="LZU42" s="139"/>
      <c r="LZV42" s="139"/>
      <c r="LZW42" s="139"/>
      <c r="LZX42" s="139"/>
      <c r="LZY42" s="139"/>
      <c r="LZZ42" s="139"/>
      <c r="MAA42" s="139"/>
      <c r="MAB42" s="139"/>
      <c r="MAC42" s="139"/>
      <c r="MAD42" s="139"/>
      <c r="MAE42" s="139"/>
      <c r="MAF42" s="139"/>
      <c r="MAG42" s="139"/>
      <c r="MAH42" s="139"/>
      <c r="MAI42" s="139"/>
      <c r="MAJ42" s="139"/>
      <c r="MAK42" s="139"/>
      <c r="MAL42" s="139"/>
      <c r="MAM42" s="139"/>
      <c r="MAN42" s="139"/>
      <c r="MAO42" s="139"/>
      <c r="MAP42" s="139"/>
      <c r="MAQ42" s="139"/>
      <c r="MAR42" s="139"/>
      <c r="MAS42" s="139"/>
      <c r="MAT42" s="139"/>
      <c r="MAU42" s="139"/>
      <c r="MAV42" s="139"/>
      <c r="MAW42" s="139"/>
      <c r="MAX42" s="139"/>
      <c r="MAY42" s="139"/>
      <c r="MAZ42" s="139"/>
      <c r="MBA42" s="139"/>
      <c r="MBB42" s="139"/>
      <c r="MBC42" s="139"/>
      <c r="MBD42" s="139"/>
      <c r="MBE42" s="139"/>
      <c r="MBF42" s="139"/>
      <c r="MBG42" s="139"/>
      <c r="MBH42" s="139"/>
      <c r="MBI42" s="139"/>
      <c r="MBJ42" s="139"/>
      <c r="MBK42" s="139"/>
      <c r="MBL42" s="139"/>
      <c r="MBM42" s="139"/>
      <c r="MBN42" s="139"/>
      <c r="MBO42" s="139"/>
      <c r="MBP42" s="139"/>
      <c r="MBQ42" s="139"/>
      <c r="MBR42" s="139"/>
      <c r="MBS42" s="139"/>
      <c r="MBT42" s="139"/>
      <c r="MBU42" s="139"/>
      <c r="MBV42" s="139"/>
      <c r="MBW42" s="139"/>
      <c r="MBX42" s="139"/>
      <c r="MBY42" s="139"/>
      <c r="MBZ42" s="139"/>
      <c r="MCA42" s="139"/>
      <c r="MCB42" s="139"/>
      <c r="MCC42" s="139"/>
      <c r="MCD42" s="139"/>
      <c r="MCE42" s="139"/>
      <c r="MCF42" s="139"/>
      <c r="MCG42" s="139"/>
      <c r="MCH42" s="139"/>
      <c r="MCI42" s="139"/>
      <c r="MCJ42" s="139"/>
      <c r="MCK42" s="139"/>
      <c r="MCL42" s="139"/>
      <c r="MCM42" s="139"/>
      <c r="MCN42" s="139"/>
      <c r="MCO42" s="139"/>
      <c r="MCP42" s="139"/>
      <c r="MCQ42" s="139"/>
      <c r="MCR42" s="139"/>
      <c r="MCS42" s="139"/>
      <c r="MCT42" s="139"/>
      <c r="MCU42" s="139"/>
      <c r="MCV42" s="139"/>
      <c r="MCW42" s="139"/>
      <c r="MCX42" s="139"/>
      <c r="MCY42" s="139"/>
      <c r="MCZ42" s="139"/>
      <c r="MDA42" s="139"/>
      <c r="MDB42" s="139"/>
      <c r="MDC42" s="139"/>
      <c r="MDD42" s="139"/>
      <c r="MDE42" s="139"/>
      <c r="MDF42" s="139"/>
      <c r="MDG42" s="139"/>
      <c r="MDH42" s="139"/>
      <c r="MDI42" s="139"/>
      <c r="MDJ42" s="139"/>
      <c r="MDK42" s="139"/>
      <c r="MDL42" s="139"/>
      <c r="MDM42" s="139"/>
      <c r="MDN42" s="139"/>
      <c r="MDO42" s="139"/>
      <c r="MDP42" s="139"/>
      <c r="MDQ42" s="139"/>
      <c r="MDR42" s="139"/>
      <c r="MDS42" s="139"/>
      <c r="MDT42" s="139"/>
      <c r="MDU42" s="139"/>
      <c r="MDV42" s="139"/>
      <c r="MDW42" s="139"/>
      <c r="MDX42" s="139"/>
      <c r="MDY42" s="139"/>
      <c r="MDZ42" s="139"/>
      <c r="MEA42" s="139"/>
      <c r="MEB42" s="139"/>
      <c r="MEC42" s="139"/>
      <c r="MED42" s="139"/>
      <c r="MEE42" s="139"/>
      <c r="MEF42" s="139"/>
      <c r="MEG42" s="139"/>
      <c r="MEH42" s="139"/>
      <c r="MEI42" s="139"/>
      <c r="MEJ42" s="139"/>
      <c r="MEK42" s="139"/>
      <c r="MEL42" s="139"/>
      <c r="MEM42" s="139"/>
      <c r="MEN42" s="139"/>
      <c r="MEO42" s="139"/>
      <c r="MEP42" s="139"/>
      <c r="MEQ42" s="139"/>
      <c r="MER42" s="139"/>
      <c r="MES42" s="139"/>
      <c r="MET42" s="139"/>
      <c r="MEU42" s="139"/>
      <c r="MEV42" s="139"/>
      <c r="MEW42" s="139"/>
      <c r="MEX42" s="139"/>
      <c r="MEY42" s="139"/>
      <c r="MEZ42" s="139"/>
      <c r="MFA42" s="139"/>
      <c r="MFB42" s="139"/>
      <c r="MFC42" s="139"/>
      <c r="MFD42" s="139"/>
      <c r="MFE42" s="139"/>
      <c r="MFF42" s="139"/>
      <c r="MFG42" s="139"/>
      <c r="MFH42" s="139"/>
      <c r="MFI42" s="139"/>
      <c r="MFJ42" s="139"/>
      <c r="MFK42" s="139"/>
      <c r="MFL42" s="139"/>
      <c r="MFM42" s="139"/>
      <c r="MFN42" s="139"/>
      <c r="MFO42" s="139"/>
      <c r="MFP42" s="139"/>
      <c r="MFQ42" s="139"/>
      <c r="MFR42" s="139"/>
      <c r="MFS42" s="139"/>
      <c r="MFT42" s="139"/>
      <c r="MFU42" s="139"/>
      <c r="MFV42" s="139"/>
      <c r="MFW42" s="139"/>
      <c r="MFX42" s="139"/>
      <c r="MFY42" s="139"/>
      <c r="MFZ42" s="139"/>
      <c r="MGA42" s="139"/>
      <c r="MGB42" s="139"/>
      <c r="MGC42" s="139"/>
      <c r="MGD42" s="139"/>
      <c r="MGE42" s="139"/>
      <c r="MGF42" s="139"/>
      <c r="MGG42" s="139"/>
      <c r="MGH42" s="139"/>
      <c r="MGI42" s="139"/>
      <c r="MGJ42" s="139"/>
      <c r="MGK42" s="139"/>
      <c r="MGL42" s="139"/>
      <c r="MGM42" s="139"/>
      <c r="MGN42" s="139"/>
      <c r="MGO42" s="139"/>
      <c r="MGP42" s="139"/>
      <c r="MGQ42" s="139"/>
      <c r="MGR42" s="139"/>
      <c r="MGS42" s="139"/>
      <c r="MGT42" s="139"/>
      <c r="MGU42" s="139"/>
      <c r="MGV42" s="139"/>
      <c r="MGW42" s="139"/>
      <c r="MGX42" s="139"/>
      <c r="MGY42" s="139"/>
      <c r="MGZ42" s="139"/>
      <c r="MHA42" s="139"/>
      <c r="MHB42" s="139"/>
      <c r="MHC42" s="139"/>
      <c r="MHD42" s="139"/>
      <c r="MHE42" s="139"/>
      <c r="MHF42" s="139"/>
      <c r="MHG42" s="139"/>
      <c r="MHH42" s="139"/>
      <c r="MHI42" s="139"/>
      <c r="MHJ42" s="139"/>
      <c r="MHK42" s="139"/>
      <c r="MHL42" s="139"/>
      <c r="MHM42" s="139"/>
      <c r="MHN42" s="139"/>
      <c r="MHO42" s="139"/>
      <c r="MHP42" s="139"/>
      <c r="MHQ42" s="139"/>
      <c r="MHR42" s="139"/>
      <c r="MHS42" s="139"/>
      <c r="MHT42" s="139"/>
      <c r="MHU42" s="139"/>
      <c r="MHV42" s="139"/>
      <c r="MHW42" s="139"/>
      <c r="MHX42" s="139"/>
      <c r="MHY42" s="139"/>
      <c r="MHZ42" s="139"/>
      <c r="MIA42" s="139"/>
      <c r="MIB42" s="139"/>
      <c r="MIC42" s="139"/>
      <c r="MID42" s="139"/>
      <c r="MIE42" s="139"/>
      <c r="MIF42" s="139"/>
      <c r="MIG42" s="139"/>
      <c r="MIH42" s="139"/>
      <c r="MII42" s="139"/>
      <c r="MIJ42" s="139"/>
      <c r="MIK42" s="139"/>
      <c r="MIL42" s="139"/>
      <c r="MIM42" s="139"/>
      <c r="MIN42" s="139"/>
      <c r="MIO42" s="139"/>
      <c r="MIP42" s="139"/>
      <c r="MIQ42" s="139"/>
      <c r="MIR42" s="139"/>
      <c r="MIS42" s="139"/>
      <c r="MIT42" s="139"/>
      <c r="MIU42" s="139"/>
      <c r="MIV42" s="139"/>
      <c r="MIW42" s="139"/>
      <c r="MIX42" s="139"/>
      <c r="MIY42" s="139"/>
      <c r="MIZ42" s="139"/>
      <c r="MJA42" s="139"/>
      <c r="MJB42" s="139"/>
      <c r="MJC42" s="139"/>
      <c r="MJD42" s="139"/>
      <c r="MJE42" s="139"/>
      <c r="MJF42" s="139"/>
      <c r="MJG42" s="139"/>
      <c r="MJH42" s="139"/>
      <c r="MJI42" s="139"/>
      <c r="MJJ42" s="139"/>
      <c r="MJK42" s="139"/>
      <c r="MJL42" s="139"/>
      <c r="MJM42" s="139"/>
      <c r="MJN42" s="139"/>
      <c r="MJO42" s="139"/>
      <c r="MJP42" s="139"/>
      <c r="MJQ42" s="139"/>
      <c r="MJR42" s="139"/>
      <c r="MJS42" s="139"/>
      <c r="MJT42" s="139"/>
      <c r="MJU42" s="139"/>
      <c r="MJV42" s="139"/>
      <c r="MJW42" s="139"/>
      <c r="MJX42" s="139"/>
      <c r="MJY42" s="139"/>
      <c r="MJZ42" s="139"/>
      <c r="MKA42" s="139"/>
      <c r="MKB42" s="139"/>
      <c r="MKC42" s="139"/>
      <c r="MKD42" s="139"/>
      <c r="MKE42" s="139"/>
      <c r="MKF42" s="139"/>
      <c r="MKG42" s="139"/>
      <c r="MKH42" s="139"/>
      <c r="MKI42" s="139"/>
      <c r="MKJ42" s="139"/>
      <c r="MKK42" s="139"/>
      <c r="MKL42" s="139"/>
      <c r="MKM42" s="139"/>
      <c r="MKN42" s="139"/>
      <c r="MKO42" s="139"/>
      <c r="MKP42" s="139"/>
      <c r="MKQ42" s="139"/>
      <c r="MKR42" s="139"/>
      <c r="MKS42" s="139"/>
      <c r="MKT42" s="139"/>
      <c r="MKU42" s="139"/>
      <c r="MKV42" s="139"/>
      <c r="MKW42" s="139"/>
      <c r="MKX42" s="139"/>
      <c r="MKY42" s="139"/>
      <c r="MKZ42" s="139"/>
      <c r="MLA42" s="139"/>
      <c r="MLB42" s="139"/>
      <c r="MLC42" s="139"/>
      <c r="MLD42" s="139"/>
      <c r="MLE42" s="139"/>
      <c r="MLF42" s="139"/>
      <c r="MLG42" s="139"/>
      <c r="MLH42" s="139"/>
      <c r="MLI42" s="139"/>
      <c r="MLJ42" s="139"/>
      <c r="MLK42" s="139"/>
      <c r="MLL42" s="139"/>
      <c r="MLM42" s="139"/>
      <c r="MLN42" s="139"/>
      <c r="MLO42" s="139"/>
      <c r="MLP42" s="139"/>
      <c r="MLQ42" s="139"/>
      <c r="MLR42" s="139"/>
      <c r="MLS42" s="139"/>
      <c r="MLT42" s="139"/>
      <c r="MLU42" s="139"/>
      <c r="MLV42" s="139"/>
      <c r="MLW42" s="139"/>
      <c r="MLX42" s="139"/>
      <c r="MLY42" s="139"/>
      <c r="MLZ42" s="139"/>
      <c r="MMA42" s="139"/>
      <c r="MMB42" s="139"/>
      <c r="MMC42" s="139"/>
      <c r="MMD42" s="139"/>
      <c r="MME42" s="139"/>
      <c r="MMF42" s="139"/>
      <c r="MMG42" s="139"/>
      <c r="MMH42" s="139"/>
      <c r="MMI42" s="139"/>
      <c r="MMJ42" s="139"/>
      <c r="MMK42" s="139"/>
      <c r="MML42" s="139"/>
      <c r="MMM42" s="139"/>
      <c r="MMN42" s="139"/>
      <c r="MMO42" s="139"/>
      <c r="MMP42" s="139"/>
      <c r="MMQ42" s="139"/>
      <c r="MMR42" s="139"/>
      <c r="MMS42" s="139"/>
      <c r="MMT42" s="139"/>
      <c r="MMU42" s="139"/>
      <c r="MMV42" s="139"/>
      <c r="MMW42" s="139"/>
      <c r="MMX42" s="139"/>
      <c r="MMY42" s="139"/>
      <c r="MMZ42" s="139"/>
      <c r="MNA42" s="139"/>
      <c r="MNB42" s="139"/>
      <c r="MNC42" s="139"/>
      <c r="MND42" s="139"/>
      <c r="MNE42" s="139"/>
      <c r="MNF42" s="139"/>
      <c r="MNG42" s="139"/>
      <c r="MNH42" s="139"/>
      <c r="MNI42" s="139"/>
      <c r="MNJ42" s="139"/>
      <c r="MNK42" s="139"/>
      <c r="MNL42" s="139"/>
      <c r="MNM42" s="139"/>
      <c r="MNN42" s="139"/>
      <c r="MNO42" s="139"/>
      <c r="MNP42" s="139"/>
      <c r="MNQ42" s="139"/>
      <c r="MNR42" s="139"/>
      <c r="MNS42" s="139"/>
      <c r="MNT42" s="139"/>
      <c r="MNU42" s="139"/>
      <c r="MNV42" s="139"/>
      <c r="MNW42" s="139"/>
      <c r="MNX42" s="139"/>
      <c r="MNY42" s="139"/>
      <c r="MNZ42" s="139"/>
      <c r="MOA42" s="139"/>
      <c r="MOB42" s="139"/>
      <c r="MOC42" s="139"/>
      <c r="MOD42" s="139"/>
      <c r="MOE42" s="139"/>
      <c r="MOF42" s="139"/>
      <c r="MOG42" s="139"/>
      <c r="MOH42" s="139"/>
      <c r="MOI42" s="139"/>
      <c r="MOJ42" s="139"/>
      <c r="MOK42" s="139"/>
      <c r="MOL42" s="139"/>
      <c r="MOM42" s="139"/>
      <c r="MON42" s="139"/>
      <c r="MOO42" s="139"/>
      <c r="MOP42" s="139"/>
      <c r="MOQ42" s="139"/>
      <c r="MOR42" s="139"/>
      <c r="MOS42" s="139"/>
      <c r="MOT42" s="139"/>
      <c r="MOU42" s="139"/>
      <c r="MOV42" s="139"/>
      <c r="MOW42" s="139"/>
      <c r="MOX42" s="139"/>
      <c r="MOY42" s="139"/>
      <c r="MOZ42" s="139"/>
      <c r="MPA42" s="139"/>
      <c r="MPB42" s="139"/>
      <c r="MPC42" s="139"/>
      <c r="MPD42" s="139"/>
      <c r="MPE42" s="139"/>
      <c r="MPF42" s="139"/>
      <c r="MPG42" s="139"/>
      <c r="MPH42" s="139"/>
      <c r="MPI42" s="139"/>
      <c r="MPJ42" s="139"/>
      <c r="MPK42" s="139"/>
      <c r="MPL42" s="139"/>
      <c r="MPM42" s="139"/>
      <c r="MPN42" s="139"/>
      <c r="MPO42" s="139"/>
      <c r="MPP42" s="139"/>
      <c r="MPQ42" s="139"/>
      <c r="MPR42" s="139"/>
      <c r="MPS42" s="139"/>
      <c r="MPT42" s="139"/>
      <c r="MPU42" s="139"/>
      <c r="MPV42" s="139"/>
      <c r="MPW42" s="139"/>
      <c r="MPX42" s="139"/>
      <c r="MPY42" s="139"/>
      <c r="MPZ42" s="139"/>
      <c r="MQA42" s="139"/>
      <c r="MQB42" s="139"/>
      <c r="MQC42" s="139"/>
      <c r="MQD42" s="139"/>
      <c r="MQE42" s="139"/>
      <c r="MQF42" s="139"/>
      <c r="MQG42" s="139"/>
      <c r="MQH42" s="139"/>
      <c r="MQI42" s="139"/>
      <c r="MQJ42" s="139"/>
      <c r="MQK42" s="139"/>
      <c r="MQL42" s="139"/>
      <c r="MQM42" s="139"/>
      <c r="MQN42" s="139"/>
      <c r="MQO42" s="139"/>
      <c r="MQP42" s="139"/>
      <c r="MQQ42" s="139"/>
      <c r="MQR42" s="139"/>
      <c r="MQS42" s="139"/>
      <c r="MQT42" s="139"/>
      <c r="MQU42" s="139"/>
      <c r="MQV42" s="139"/>
      <c r="MQW42" s="139"/>
      <c r="MQX42" s="139"/>
      <c r="MQY42" s="139"/>
      <c r="MQZ42" s="139"/>
      <c r="MRA42" s="139"/>
      <c r="MRB42" s="139"/>
      <c r="MRC42" s="139"/>
      <c r="MRD42" s="139"/>
      <c r="MRE42" s="139"/>
      <c r="MRF42" s="139"/>
      <c r="MRG42" s="139"/>
      <c r="MRH42" s="139"/>
      <c r="MRI42" s="139"/>
      <c r="MRJ42" s="139"/>
      <c r="MRK42" s="139"/>
      <c r="MRL42" s="139"/>
      <c r="MRM42" s="139"/>
      <c r="MRN42" s="139"/>
      <c r="MRO42" s="139"/>
      <c r="MRP42" s="139"/>
      <c r="MRQ42" s="139"/>
      <c r="MRR42" s="139"/>
      <c r="MRS42" s="139"/>
      <c r="MRT42" s="139"/>
      <c r="MRU42" s="139"/>
      <c r="MRV42" s="139"/>
      <c r="MRW42" s="139"/>
      <c r="MRX42" s="139"/>
      <c r="MRY42" s="139"/>
      <c r="MRZ42" s="139"/>
      <c r="MSA42" s="139"/>
      <c r="MSB42" s="139"/>
      <c r="MSC42" s="139"/>
      <c r="MSD42" s="139"/>
      <c r="MSE42" s="139"/>
      <c r="MSF42" s="139"/>
      <c r="MSG42" s="139"/>
      <c r="MSH42" s="139"/>
      <c r="MSI42" s="139"/>
      <c r="MSJ42" s="139"/>
      <c r="MSK42" s="139"/>
      <c r="MSL42" s="139"/>
      <c r="MSM42" s="139"/>
      <c r="MSN42" s="139"/>
      <c r="MSO42" s="139"/>
      <c r="MSP42" s="139"/>
      <c r="MSQ42" s="139"/>
      <c r="MSR42" s="139"/>
      <c r="MSS42" s="139"/>
      <c r="MST42" s="139"/>
      <c r="MSU42" s="139"/>
      <c r="MSV42" s="139"/>
      <c r="MSW42" s="139"/>
      <c r="MSX42" s="139"/>
      <c r="MSY42" s="139"/>
      <c r="MSZ42" s="139"/>
      <c r="MTA42" s="139"/>
      <c r="MTB42" s="139"/>
      <c r="MTC42" s="139"/>
      <c r="MTD42" s="139"/>
      <c r="MTE42" s="139"/>
      <c r="MTF42" s="139"/>
      <c r="MTG42" s="139"/>
      <c r="MTH42" s="139"/>
      <c r="MTI42" s="139"/>
      <c r="MTJ42" s="139"/>
      <c r="MTK42" s="139"/>
      <c r="MTL42" s="139"/>
      <c r="MTM42" s="139"/>
      <c r="MTN42" s="139"/>
      <c r="MTO42" s="139"/>
      <c r="MTP42" s="139"/>
      <c r="MTQ42" s="139"/>
      <c r="MTR42" s="139"/>
      <c r="MTS42" s="139"/>
      <c r="MTT42" s="139"/>
      <c r="MTU42" s="139"/>
      <c r="MTV42" s="139"/>
      <c r="MTW42" s="139"/>
      <c r="MTX42" s="139"/>
      <c r="MTY42" s="139"/>
      <c r="MTZ42" s="139"/>
      <c r="MUA42" s="139"/>
      <c r="MUB42" s="139"/>
      <c r="MUC42" s="139"/>
      <c r="MUD42" s="139"/>
      <c r="MUE42" s="139"/>
      <c r="MUF42" s="139"/>
      <c r="MUG42" s="139"/>
      <c r="MUH42" s="139"/>
      <c r="MUI42" s="139"/>
      <c r="MUJ42" s="139"/>
      <c r="MUK42" s="139"/>
      <c r="MUL42" s="139"/>
      <c r="MUM42" s="139"/>
      <c r="MUN42" s="139"/>
      <c r="MUO42" s="139"/>
      <c r="MUP42" s="139"/>
      <c r="MUQ42" s="139"/>
      <c r="MUR42" s="139"/>
      <c r="MUS42" s="139"/>
      <c r="MUT42" s="139"/>
      <c r="MUU42" s="139"/>
      <c r="MUV42" s="139"/>
      <c r="MUW42" s="139"/>
      <c r="MUX42" s="139"/>
      <c r="MUY42" s="139"/>
      <c r="MUZ42" s="139"/>
      <c r="MVA42" s="139"/>
      <c r="MVB42" s="139"/>
      <c r="MVC42" s="139"/>
      <c r="MVD42" s="139"/>
      <c r="MVE42" s="139"/>
      <c r="MVF42" s="139"/>
      <c r="MVG42" s="139"/>
      <c r="MVH42" s="139"/>
      <c r="MVI42" s="139"/>
      <c r="MVJ42" s="139"/>
      <c r="MVK42" s="139"/>
      <c r="MVL42" s="139"/>
      <c r="MVM42" s="139"/>
      <c r="MVN42" s="139"/>
      <c r="MVO42" s="139"/>
      <c r="MVP42" s="139"/>
      <c r="MVQ42" s="139"/>
      <c r="MVR42" s="139"/>
      <c r="MVS42" s="139"/>
      <c r="MVT42" s="139"/>
      <c r="MVU42" s="139"/>
      <c r="MVV42" s="139"/>
      <c r="MVW42" s="139"/>
      <c r="MVX42" s="139"/>
      <c r="MVY42" s="139"/>
      <c r="MVZ42" s="139"/>
      <c r="MWA42" s="139"/>
      <c r="MWB42" s="139"/>
      <c r="MWC42" s="139"/>
      <c r="MWD42" s="139"/>
      <c r="MWE42" s="139"/>
      <c r="MWF42" s="139"/>
      <c r="MWG42" s="139"/>
      <c r="MWH42" s="139"/>
      <c r="MWI42" s="139"/>
      <c r="MWJ42" s="139"/>
      <c r="MWK42" s="139"/>
      <c r="MWL42" s="139"/>
      <c r="MWM42" s="139"/>
      <c r="MWN42" s="139"/>
      <c r="MWO42" s="139"/>
      <c r="MWP42" s="139"/>
      <c r="MWQ42" s="139"/>
      <c r="MWR42" s="139"/>
      <c r="MWS42" s="139"/>
      <c r="MWT42" s="139"/>
      <c r="MWU42" s="139"/>
      <c r="MWV42" s="139"/>
      <c r="MWW42" s="139"/>
      <c r="MWX42" s="139"/>
      <c r="MWY42" s="139"/>
      <c r="MWZ42" s="139"/>
      <c r="MXA42" s="139"/>
      <c r="MXB42" s="139"/>
      <c r="MXC42" s="139"/>
      <c r="MXD42" s="139"/>
      <c r="MXE42" s="139"/>
      <c r="MXF42" s="139"/>
      <c r="MXG42" s="139"/>
      <c r="MXH42" s="139"/>
      <c r="MXI42" s="139"/>
      <c r="MXJ42" s="139"/>
      <c r="MXK42" s="139"/>
      <c r="MXL42" s="139"/>
      <c r="MXM42" s="139"/>
      <c r="MXN42" s="139"/>
      <c r="MXO42" s="139"/>
      <c r="MXP42" s="139"/>
      <c r="MXQ42" s="139"/>
      <c r="MXR42" s="139"/>
      <c r="MXS42" s="139"/>
      <c r="MXT42" s="139"/>
      <c r="MXU42" s="139"/>
      <c r="MXV42" s="139"/>
      <c r="MXW42" s="139"/>
      <c r="MXX42" s="139"/>
      <c r="MXY42" s="139"/>
      <c r="MXZ42" s="139"/>
      <c r="MYA42" s="139"/>
      <c r="MYB42" s="139"/>
      <c r="MYC42" s="139"/>
      <c r="MYD42" s="139"/>
      <c r="MYE42" s="139"/>
      <c r="MYF42" s="139"/>
      <c r="MYG42" s="139"/>
      <c r="MYH42" s="139"/>
      <c r="MYI42" s="139"/>
      <c r="MYJ42" s="139"/>
      <c r="MYK42" s="139"/>
      <c r="MYL42" s="139"/>
      <c r="MYM42" s="139"/>
      <c r="MYN42" s="139"/>
      <c r="MYO42" s="139"/>
      <c r="MYP42" s="139"/>
      <c r="MYQ42" s="139"/>
      <c r="MYR42" s="139"/>
      <c r="MYS42" s="139"/>
      <c r="MYT42" s="139"/>
      <c r="MYU42" s="139"/>
      <c r="MYV42" s="139"/>
      <c r="MYW42" s="139"/>
      <c r="MYX42" s="139"/>
      <c r="MYY42" s="139"/>
      <c r="MYZ42" s="139"/>
      <c r="MZA42" s="139"/>
      <c r="MZB42" s="139"/>
      <c r="MZC42" s="139"/>
      <c r="MZD42" s="139"/>
      <c r="MZE42" s="139"/>
      <c r="MZF42" s="139"/>
      <c r="MZG42" s="139"/>
      <c r="MZH42" s="139"/>
      <c r="MZI42" s="139"/>
      <c r="MZJ42" s="139"/>
      <c r="MZK42" s="139"/>
      <c r="MZL42" s="139"/>
      <c r="MZM42" s="139"/>
      <c r="MZN42" s="139"/>
      <c r="MZO42" s="139"/>
      <c r="MZP42" s="139"/>
      <c r="MZQ42" s="139"/>
      <c r="MZR42" s="139"/>
      <c r="MZS42" s="139"/>
      <c r="MZT42" s="139"/>
      <c r="MZU42" s="139"/>
      <c r="MZV42" s="139"/>
      <c r="MZW42" s="139"/>
      <c r="MZX42" s="139"/>
      <c r="MZY42" s="139"/>
      <c r="MZZ42" s="139"/>
      <c r="NAA42" s="139"/>
      <c r="NAB42" s="139"/>
      <c r="NAC42" s="139"/>
      <c r="NAD42" s="139"/>
      <c r="NAE42" s="139"/>
      <c r="NAF42" s="139"/>
      <c r="NAG42" s="139"/>
      <c r="NAH42" s="139"/>
      <c r="NAI42" s="139"/>
      <c r="NAJ42" s="139"/>
      <c r="NAK42" s="139"/>
      <c r="NAL42" s="139"/>
      <c r="NAM42" s="139"/>
      <c r="NAN42" s="139"/>
      <c r="NAO42" s="139"/>
      <c r="NAP42" s="139"/>
      <c r="NAQ42" s="139"/>
      <c r="NAR42" s="139"/>
      <c r="NAS42" s="139"/>
      <c r="NAT42" s="139"/>
      <c r="NAU42" s="139"/>
      <c r="NAV42" s="139"/>
      <c r="NAW42" s="139"/>
      <c r="NAX42" s="139"/>
      <c r="NAY42" s="139"/>
      <c r="NAZ42" s="139"/>
      <c r="NBA42" s="139"/>
      <c r="NBB42" s="139"/>
      <c r="NBC42" s="139"/>
      <c r="NBD42" s="139"/>
      <c r="NBE42" s="139"/>
      <c r="NBF42" s="139"/>
      <c r="NBG42" s="139"/>
      <c r="NBH42" s="139"/>
      <c r="NBI42" s="139"/>
      <c r="NBJ42" s="139"/>
      <c r="NBK42" s="139"/>
      <c r="NBL42" s="139"/>
      <c r="NBM42" s="139"/>
      <c r="NBN42" s="139"/>
      <c r="NBO42" s="139"/>
      <c r="NBP42" s="139"/>
      <c r="NBQ42" s="139"/>
      <c r="NBR42" s="139"/>
      <c r="NBS42" s="139"/>
      <c r="NBT42" s="139"/>
      <c r="NBU42" s="139"/>
      <c r="NBV42" s="139"/>
      <c r="NBW42" s="139"/>
      <c r="NBX42" s="139"/>
      <c r="NBY42" s="139"/>
      <c r="NBZ42" s="139"/>
      <c r="NCA42" s="139"/>
      <c r="NCB42" s="139"/>
      <c r="NCC42" s="139"/>
      <c r="NCD42" s="139"/>
      <c r="NCE42" s="139"/>
      <c r="NCF42" s="139"/>
      <c r="NCG42" s="139"/>
      <c r="NCH42" s="139"/>
      <c r="NCI42" s="139"/>
      <c r="NCJ42" s="139"/>
      <c r="NCK42" s="139"/>
      <c r="NCL42" s="139"/>
      <c r="NCM42" s="139"/>
      <c r="NCN42" s="139"/>
      <c r="NCO42" s="139"/>
      <c r="NCP42" s="139"/>
      <c r="NCQ42" s="139"/>
      <c r="NCR42" s="139"/>
      <c r="NCS42" s="139"/>
      <c r="NCT42" s="139"/>
      <c r="NCU42" s="139"/>
      <c r="NCV42" s="139"/>
      <c r="NCW42" s="139"/>
      <c r="NCX42" s="139"/>
      <c r="NCY42" s="139"/>
      <c r="NCZ42" s="139"/>
      <c r="NDA42" s="139"/>
      <c r="NDB42" s="139"/>
      <c r="NDC42" s="139"/>
      <c r="NDD42" s="139"/>
      <c r="NDE42" s="139"/>
      <c r="NDF42" s="139"/>
      <c r="NDG42" s="139"/>
      <c r="NDH42" s="139"/>
      <c r="NDI42" s="139"/>
      <c r="NDJ42" s="139"/>
      <c r="NDK42" s="139"/>
      <c r="NDL42" s="139"/>
      <c r="NDM42" s="139"/>
      <c r="NDN42" s="139"/>
      <c r="NDO42" s="139"/>
      <c r="NDP42" s="139"/>
      <c r="NDQ42" s="139"/>
      <c r="NDR42" s="139"/>
      <c r="NDS42" s="139"/>
      <c r="NDT42" s="139"/>
      <c r="NDU42" s="139"/>
      <c r="NDV42" s="139"/>
      <c r="NDW42" s="139"/>
      <c r="NDX42" s="139"/>
      <c r="NDY42" s="139"/>
      <c r="NDZ42" s="139"/>
      <c r="NEA42" s="139"/>
      <c r="NEB42" s="139"/>
      <c r="NEC42" s="139"/>
      <c r="NED42" s="139"/>
      <c r="NEE42" s="139"/>
      <c r="NEF42" s="139"/>
      <c r="NEG42" s="139"/>
      <c r="NEH42" s="139"/>
      <c r="NEI42" s="139"/>
      <c r="NEJ42" s="139"/>
      <c r="NEK42" s="139"/>
      <c r="NEL42" s="139"/>
      <c r="NEM42" s="139"/>
      <c r="NEN42" s="139"/>
      <c r="NEO42" s="139"/>
      <c r="NEP42" s="139"/>
      <c r="NEQ42" s="139"/>
      <c r="NER42" s="139"/>
      <c r="NES42" s="139"/>
      <c r="NET42" s="139"/>
      <c r="NEU42" s="139"/>
      <c r="NEV42" s="139"/>
      <c r="NEW42" s="139"/>
      <c r="NEX42" s="139"/>
      <c r="NEY42" s="139"/>
      <c r="NEZ42" s="139"/>
      <c r="NFA42" s="139"/>
      <c r="NFB42" s="139"/>
      <c r="NFC42" s="139"/>
      <c r="NFD42" s="139"/>
      <c r="NFE42" s="139"/>
      <c r="NFF42" s="139"/>
      <c r="NFG42" s="139"/>
      <c r="NFH42" s="139"/>
      <c r="NFI42" s="139"/>
      <c r="NFJ42" s="139"/>
      <c r="NFK42" s="139"/>
      <c r="NFL42" s="139"/>
      <c r="NFM42" s="139"/>
      <c r="NFN42" s="139"/>
      <c r="NFO42" s="139"/>
      <c r="NFP42" s="139"/>
      <c r="NFQ42" s="139"/>
      <c r="NFR42" s="139"/>
      <c r="NFS42" s="139"/>
      <c r="NFT42" s="139"/>
      <c r="NFU42" s="139"/>
      <c r="NFV42" s="139"/>
      <c r="NFW42" s="139"/>
      <c r="NFX42" s="139"/>
      <c r="NFY42" s="139"/>
      <c r="NFZ42" s="139"/>
      <c r="NGA42" s="139"/>
      <c r="NGB42" s="139"/>
      <c r="NGC42" s="139"/>
      <c r="NGD42" s="139"/>
      <c r="NGE42" s="139"/>
      <c r="NGF42" s="139"/>
      <c r="NGG42" s="139"/>
      <c r="NGH42" s="139"/>
      <c r="NGI42" s="139"/>
      <c r="NGJ42" s="139"/>
      <c r="NGK42" s="139"/>
      <c r="NGL42" s="139"/>
      <c r="NGM42" s="139"/>
      <c r="NGN42" s="139"/>
      <c r="NGO42" s="139"/>
      <c r="NGP42" s="139"/>
      <c r="NGQ42" s="139"/>
      <c r="NGR42" s="139"/>
      <c r="NGS42" s="139"/>
      <c r="NGT42" s="139"/>
      <c r="NGU42" s="139"/>
      <c r="NGV42" s="139"/>
      <c r="NGW42" s="139"/>
      <c r="NGX42" s="139"/>
      <c r="NGY42" s="139"/>
      <c r="NGZ42" s="139"/>
      <c r="NHA42" s="139"/>
      <c r="NHB42" s="139"/>
      <c r="NHC42" s="139"/>
      <c r="NHD42" s="139"/>
      <c r="NHE42" s="139"/>
      <c r="NHF42" s="139"/>
      <c r="NHG42" s="139"/>
      <c r="NHH42" s="139"/>
      <c r="NHI42" s="139"/>
      <c r="NHJ42" s="139"/>
      <c r="NHK42" s="139"/>
      <c r="NHL42" s="139"/>
      <c r="NHM42" s="139"/>
      <c r="NHN42" s="139"/>
      <c r="NHO42" s="139"/>
      <c r="NHP42" s="139"/>
      <c r="NHQ42" s="139"/>
      <c r="NHR42" s="139"/>
      <c r="NHS42" s="139"/>
      <c r="NHT42" s="139"/>
      <c r="NHU42" s="139"/>
      <c r="NHV42" s="139"/>
      <c r="NHW42" s="139"/>
      <c r="NHX42" s="139"/>
      <c r="NHY42" s="139"/>
      <c r="NHZ42" s="139"/>
      <c r="NIA42" s="139"/>
      <c r="NIB42" s="139"/>
      <c r="NIC42" s="139"/>
      <c r="NID42" s="139"/>
      <c r="NIE42" s="139"/>
      <c r="NIF42" s="139"/>
      <c r="NIG42" s="139"/>
      <c r="NIH42" s="139"/>
      <c r="NII42" s="139"/>
      <c r="NIJ42" s="139"/>
      <c r="NIK42" s="139"/>
      <c r="NIL42" s="139"/>
      <c r="NIM42" s="139"/>
      <c r="NIN42" s="139"/>
      <c r="NIO42" s="139"/>
      <c r="NIP42" s="139"/>
      <c r="NIQ42" s="139"/>
      <c r="NIR42" s="139"/>
      <c r="NIS42" s="139"/>
      <c r="NIT42" s="139"/>
      <c r="NIU42" s="139"/>
      <c r="NIV42" s="139"/>
      <c r="NIW42" s="139"/>
      <c r="NIX42" s="139"/>
      <c r="NIY42" s="139"/>
      <c r="NIZ42" s="139"/>
      <c r="NJA42" s="139"/>
      <c r="NJB42" s="139"/>
      <c r="NJC42" s="139"/>
      <c r="NJD42" s="139"/>
      <c r="NJE42" s="139"/>
      <c r="NJF42" s="139"/>
      <c r="NJG42" s="139"/>
      <c r="NJH42" s="139"/>
      <c r="NJI42" s="139"/>
      <c r="NJJ42" s="139"/>
      <c r="NJK42" s="139"/>
      <c r="NJL42" s="139"/>
      <c r="NJM42" s="139"/>
      <c r="NJN42" s="139"/>
      <c r="NJO42" s="139"/>
      <c r="NJP42" s="139"/>
      <c r="NJQ42" s="139"/>
      <c r="NJR42" s="139"/>
      <c r="NJS42" s="139"/>
      <c r="NJT42" s="139"/>
      <c r="NJU42" s="139"/>
      <c r="NJV42" s="139"/>
      <c r="NJW42" s="139"/>
      <c r="NJX42" s="139"/>
      <c r="NJY42" s="139"/>
      <c r="NJZ42" s="139"/>
      <c r="NKA42" s="139"/>
      <c r="NKB42" s="139"/>
      <c r="NKC42" s="139"/>
      <c r="NKD42" s="139"/>
      <c r="NKE42" s="139"/>
      <c r="NKF42" s="139"/>
      <c r="NKG42" s="139"/>
      <c r="NKH42" s="139"/>
      <c r="NKI42" s="139"/>
      <c r="NKJ42" s="139"/>
      <c r="NKK42" s="139"/>
      <c r="NKL42" s="139"/>
      <c r="NKM42" s="139"/>
      <c r="NKN42" s="139"/>
      <c r="NKO42" s="139"/>
      <c r="NKP42" s="139"/>
      <c r="NKQ42" s="139"/>
      <c r="NKR42" s="139"/>
      <c r="NKS42" s="139"/>
      <c r="NKT42" s="139"/>
      <c r="NKU42" s="139"/>
      <c r="NKV42" s="139"/>
      <c r="NKW42" s="139"/>
      <c r="NKX42" s="139"/>
      <c r="NKY42" s="139"/>
      <c r="NKZ42" s="139"/>
      <c r="NLA42" s="139"/>
      <c r="NLB42" s="139"/>
      <c r="NLC42" s="139"/>
      <c r="NLD42" s="139"/>
      <c r="NLE42" s="139"/>
      <c r="NLF42" s="139"/>
      <c r="NLG42" s="139"/>
      <c r="NLH42" s="139"/>
      <c r="NLI42" s="139"/>
      <c r="NLJ42" s="139"/>
      <c r="NLK42" s="139"/>
      <c r="NLL42" s="139"/>
      <c r="NLM42" s="139"/>
      <c r="NLN42" s="139"/>
      <c r="NLO42" s="139"/>
      <c r="NLP42" s="139"/>
      <c r="NLQ42" s="139"/>
      <c r="NLR42" s="139"/>
      <c r="NLS42" s="139"/>
      <c r="NLT42" s="139"/>
      <c r="NLU42" s="139"/>
      <c r="NLV42" s="139"/>
      <c r="NLW42" s="139"/>
      <c r="NLX42" s="139"/>
      <c r="NLY42" s="139"/>
      <c r="NLZ42" s="139"/>
      <c r="NMA42" s="139"/>
      <c r="NMB42" s="139"/>
      <c r="NMC42" s="139"/>
      <c r="NMD42" s="139"/>
      <c r="NME42" s="139"/>
      <c r="NMF42" s="139"/>
      <c r="NMG42" s="139"/>
      <c r="NMH42" s="139"/>
      <c r="NMI42" s="139"/>
      <c r="NMJ42" s="139"/>
      <c r="NMK42" s="139"/>
      <c r="NML42" s="139"/>
      <c r="NMM42" s="139"/>
      <c r="NMN42" s="139"/>
      <c r="NMO42" s="139"/>
      <c r="NMP42" s="139"/>
      <c r="NMQ42" s="139"/>
      <c r="NMR42" s="139"/>
      <c r="NMS42" s="139"/>
      <c r="NMT42" s="139"/>
      <c r="NMU42" s="139"/>
      <c r="NMV42" s="139"/>
      <c r="NMW42" s="139"/>
      <c r="NMX42" s="139"/>
      <c r="NMY42" s="139"/>
      <c r="NMZ42" s="139"/>
      <c r="NNA42" s="139"/>
      <c r="NNB42" s="139"/>
      <c r="NNC42" s="139"/>
      <c r="NND42" s="139"/>
      <c r="NNE42" s="139"/>
      <c r="NNF42" s="139"/>
      <c r="NNG42" s="139"/>
      <c r="NNH42" s="139"/>
      <c r="NNI42" s="139"/>
      <c r="NNJ42" s="139"/>
      <c r="NNK42" s="139"/>
      <c r="NNL42" s="139"/>
      <c r="NNM42" s="139"/>
      <c r="NNN42" s="139"/>
      <c r="NNO42" s="139"/>
      <c r="NNP42" s="139"/>
      <c r="NNQ42" s="139"/>
      <c r="NNR42" s="139"/>
      <c r="NNS42" s="139"/>
      <c r="NNT42" s="139"/>
      <c r="NNU42" s="139"/>
      <c r="NNV42" s="139"/>
      <c r="NNW42" s="139"/>
      <c r="NNX42" s="139"/>
      <c r="NNY42" s="139"/>
      <c r="NNZ42" s="139"/>
      <c r="NOA42" s="139"/>
      <c r="NOB42" s="139"/>
      <c r="NOC42" s="139"/>
      <c r="NOD42" s="139"/>
      <c r="NOE42" s="139"/>
      <c r="NOF42" s="139"/>
      <c r="NOG42" s="139"/>
      <c r="NOH42" s="139"/>
      <c r="NOI42" s="139"/>
      <c r="NOJ42" s="139"/>
      <c r="NOK42" s="139"/>
      <c r="NOL42" s="139"/>
      <c r="NOM42" s="139"/>
      <c r="NON42" s="139"/>
      <c r="NOO42" s="139"/>
      <c r="NOP42" s="139"/>
      <c r="NOQ42" s="139"/>
      <c r="NOR42" s="139"/>
      <c r="NOS42" s="139"/>
      <c r="NOT42" s="139"/>
      <c r="NOU42" s="139"/>
      <c r="NOV42" s="139"/>
      <c r="NOW42" s="139"/>
      <c r="NOX42" s="139"/>
      <c r="NOY42" s="139"/>
      <c r="NOZ42" s="139"/>
      <c r="NPA42" s="139"/>
      <c r="NPB42" s="139"/>
      <c r="NPC42" s="139"/>
      <c r="NPD42" s="139"/>
      <c r="NPE42" s="139"/>
      <c r="NPF42" s="139"/>
      <c r="NPG42" s="139"/>
      <c r="NPH42" s="139"/>
      <c r="NPI42" s="139"/>
      <c r="NPJ42" s="139"/>
      <c r="NPK42" s="139"/>
      <c r="NPL42" s="139"/>
      <c r="NPM42" s="139"/>
      <c r="NPN42" s="139"/>
      <c r="NPO42" s="139"/>
      <c r="NPP42" s="139"/>
      <c r="NPQ42" s="139"/>
      <c r="NPR42" s="139"/>
      <c r="NPS42" s="139"/>
      <c r="NPT42" s="139"/>
      <c r="NPU42" s="139"/>
      <c r="NPV42" s="139"/>
      <c r="NPW42" s="139"/>
      <c r="NPX42" s="139"/>
      <c r="NPY42" s="139"/>
      <c r="NPZ42" s="139"/>
      <c r="NQA42" s="139"/>
      <c r="NQB42" s="139"/>
      <c r="NQC42" s="139"/>
      <c r="NQD42" s="139"/>
      <c r="NQE42" s="139"/>
      <c r="NQF42" s="139"/>
      <c r="NQG42" s="139"/>
      <c r="NQH42" s="139"/>
      <c r="NQI42" s="139"/>
      <c r="NQJ42" s="139"/>
      <c r="NQK42" s="139"/>
      <c r="NQL42" s="139"/>
      <c r="NQM42" s="139"/>
      <c r="NQN42" s="139"/>
      <c r="NQO42" s="139"/>
      <c r="NQP42" s="139"/>
      <c r="NQQ42" s="139"/>
      <c r="NQR42" s="139"/>
      <c r="NQS42" s="139"/>
      <c r="NQT42" s="139"/>
      <c r="NQU42" s="139"/>
      <c r="NQV42" s="139"/>
      <c r="NQW42" s="139"/>
      <c r="NQX42" s="139"/>
      <c r="NQY42" s="139"/>
      <c r="NQZ42" s="139"/>
      <c r="NRA42" s="139"/>
      <c r="NRB42" s="139"/>
      <c r="NRC42" s="139"/>
      <c r="NRD42" s="139"/>
      <c r="NRE42" s="139"/>
      <c r="NRF42" s="139"/>
      <c r="NRG42" s="139"/>
      <c r="NRH42" s="139"/>
      <c r="NRI42" s="139"/>
      <c r="NRJ42" s="139"/>
      <c r="NRK42" s="139"/>
      <c r="NRL42" s="139"/>
      <c r="NRM42" s="139"/>
      <c r="NRN42" s="139"/>
      <c r="NRO42" s="139"/>
      <c r="NRP42" s="139"/>
      <c r="NRQ42" s="139"/>
      <c r="NRR42" s="139"/>
      <c r="NRS42" s="139"/>
      <c r="NRT42" s="139"/>
      <c r="NRU42" s="139"/>
      <c r="NRV42" s="139"/>
      <c r="NRW42" s="139"/>
      <c r="NRX42" s="139"/>
      <c r="NRY42" s="139"/>
      <c r="NRZ42" s="139"/>
      <c r="NSA42" s="139"/>
      <c r="NSB42" s="139"/>
      <c r="NSC42" s="139"/>
      <c r="NSD42" s="139"/>
      <c r="NSE42" s="139"/>
      <c r="NSF42" s="139"/>
      <c r="NSG42" s="139"/>
      <c r="NSH42" s="139"/>
      <c r="NSI42" s="139"/>
      <c r="NSJ42" s="139"/>
      <c r="NSK42" s="139"/>
      <c r="NSL42" s="139"/>
      <c r="NSM42" s="139"/>
      <c r="NSN42" s="139"/>
      <c r="NSO42" s="139"/>
      <c r="NSP42" s="139"/>
      <c r="NSQ42" s="139"/>
      <c r="NSR42" s="139"/>
      <c r="NSS42" s="139"/>
      <c r="NST42" s="139"/>
      <c r="NSU42" s="139"/>
      <c r="NSV42" s="139"/>
      <c r="NSW42" s="139"/>
      <c r="NSX42" s="139"/>
      <c r="NSY42" s="139"/>
      <c r="NSZ42" s="139"/>
      <c r="NTA42" s="139"/>
      <c r="NTB42" s="139"/>
      <c r="NTC42" s="139"/>
      <c r="NTD42" s="139"/>
      <c r="NTE42" s="139"/>
      <c r="NTF42" s="139"/>
      <c r="NTG42" s="139"/>
      <c r="NTH42" s="139"/>
      <c r="NTI42" s="139"/>
      <c r="NTJ42" s="139"/>
      <c r="NTK42" s="139"/>
      <c r="NTL42" s="139"/>
      <c r="NTM42" s="139"/>
      <c r="NTN42" s="139"/>
      <c r="NTO42" s="139"/>
      <c r="NTP42" s="139"/>
      <c r="NTQ42" s="139"/>
      <c r="NTR42" s="139"/>
      <c r="NTS42" s="139"/>
      <c r="NTT42" s="139"/>
      <c r="NTU42" s="139"/>
      <c r="NTV42" s="139"/>
      <c r="NTW42" s="139"/>
      <c r="NTX42" s="139"/>
      <c r="NTY42" s="139"/>
      <c r="NTZ42" s="139"/>
      <c r="NUA42" s="139"/>
      <c r="NUB42" s="139"/>
      <c r="NUC42" s="139"/>
      <c r="NUD42" s="139"/>
      <c r="NUE42" s="139"/>
      <c r="NUF42" s="139"/>
      <c r="NUG42" s="139"/>
      <c r="NUH42" s="139"/>
      <c r="NUI42" s="139"/>
      <c r="NUJ42" s="139"/>
      <c r="NUK42" s="139"/>
      <c r="NUL42" s="139"/>
      <c r="NUM42" s="139"/>
      <c r="NUN42" s="139"/>
      <c r="NUO42" s="139"/>
      <c r="NUP42" s="139"/>
      <c r="NUQ42" s="139"/>
      <c r="NUR42" s="139"/>
      <c r="NUS42" s="139"/>
      <c r="NUT42" s="139"/>
      <c r="NUU42" s="139"/>
      <c r="NUV42" s="139"/>
      <c r="NUW42" s="139"/>
      <c r="NUX42" s="139"/>
      <c r="NUY42" s="139"/>
      <c r="NUZ42" s="139"/>
      <c r="NVA42" s="139"/>
      <c r="NVB42" s="139"/>
      <c r="NVC42" s="139"/>
      <c r="NVD42" s="139"/>
      <c r="NVE42" s="139"/>
      <c r="NVF42" s="139"/>
      <c r="NVG42" s="139"/>
      <c r="NVH42" s="139"/>
      <c r="NVI42" s="139"/>
      <c r="NVJ42" s="139"/>
      <c r="NVK42" s="139"/>
      <c r="NVL42" s="139"/>
      <c r="NVM42" s="139"/>
      <c r="NVN42" s="139"/>
      <c r="NVO42" s="139"/>
      <c r="NVP42" s="139"/>
      <c r="NVQ42" s="139"/>
      <c r="NVR42" s="139"/>
      <c r="NVS42" s="139"/>
      <c r="NVT42" s="139"/>
      <c r="NVU42" s="139"/>
      <c r="NVV42" s="139"/>
      <c r="NVW42" s="139"/>
      <c r="NVX42" s="139"/>
      <c r="NVY42" s="139"/>
      <c r="NVZ42" s="139"/>
      <c r="NWA42" s="139"/>
      <c r="NWB42" s="139"/>
      <c r="NWC42" s="139"/>
      <c r="NWD42" s="139"/>
      <c r="NWE42" s="139"/>
      <c r="NWF42" s="139"/>
      <c r="NWG42" s="139"/>
      <c r="NWH42" s="139"/>
      <c r="NWI42" s="139"/>
      <c r="NWJ42" s="139"/>
      <c r="NWK42" s="139"/>
      <c r="NWL42" s="139"/>
      <c r="NWM42" s="139"/>
      <c r="NWN42" s="139"/>
      <c r="NWO42" s="139"/>
      <c r="NWP42" s="139"/>
      <c r="NWQ42" s="139"/>
      <c r="NWR42" s="139"/>
      <c r="NWS42" s="139"/>
      <c r="NWT42" s="139"/>
      <c r="NWU42" s="139"/>
      <c r="NWV42" s="139"/>
      <c r="NWW42" s="139"/>
      <c r="NWX42" s="139"/>
      <c r="NWY42" s="139"/>
      <c r="NWZ42" s="139"/>
      <c r="NXA42" s="139"/>
      <c r="NXB42" s="139"/>
      <c r="NXC42" s="139"/>
      <c r="NXD42" s="139"/>
      <c r="NXE42" s="139"/>
      <c r="NXF42" s="139"/>
      <c r="NXG42" s="139"/>
      <c r="NXH42" s="139"/>
      <c r="NXI42" s="139"/>
      <c r="NXJ42" s="139"/>
      <c r="NXK42" s="139"/>
      <c r="NXL42" s="139"/>
      <c r="NXM42" s="139"/>
      <c r="NXN42" s="139"/>
      <c r="NXO42" s="139"/>
      <c r="NXP42" s="139"/>
      <c r="NXQ42" s="139"/>
      <c r="NXR42" s="139"/>
      <c r="NXS42" s="139"/>
      <c r="NXT42" s="139"/>
      <c r="NXU42" s="139"/>
      <c r="NXV42" s="139"/>
      <c r="NXW42" s="139"/>
      <c r="NXX42" s="139"/>
      <c r="NXY42" s="139"/>
      <c r="NXZ42" s="139"/>
      <c r="NYA42" s="139"/>
      <c r="NYB42" s="139"/>
      <c r="NYC42" s="139"/>
      <c r="NYD42" s="139"/>
      <c r="NYE42" s="139"/>
      <c r="NYF42" s="139"/>
      <c r="NYG42" s="139"/>
      <c r="NYH42" s="139"/>
      <c r="NYI42" s="139"/>
      <c r="NYJ42" s="139"/>
      <c r="NYK42" s="139"/>
      <c r="NYL42" s="139"/>
      <c r="NYM42" s="139"/>
      <c r="NYN42" s="139"/>
      <c r="NYO42" s="139"/>
      <c r="NYP42" s="139"/>
      <c r="NYQ42" s="139"/>
      <c r="NYR42" s="139"/>
      <c r="NYS42" s="139"/>
      <c r="NYT42" s="139"/>
      <c r="NYU42" s="139"/>
      <c r="NYV42" s="139"/>
      <c r="NYW42" s="139"/>
      <c r="NYX42" s="139"/>
      <c r="NYY42" s="139"/>
      <c r="NYZ42" s="139"/>
      <c r="NZA42" s="139"/>
      <c r="NZB42" s="139"/>
      <c r="NZC42" s="139"/>
      <c r="NZD42" s="139"/>
      <c r="NZE42" s="139"/>
      <c r="NZF42" s="139"/>
      <c r="NZG42" s="139"/>
      <c r="NZH42" s="139"/>
      <c r="NZI42" s="139"/>
      <c r="NZJ42" s="139"/>
      <c r="NZK42" s="139"/>
      <c r="NZL42" s="139"/>
      <c r="NZM42" s="139"/>
      <c r="NZN42" s="139"/>
      <c r="NZO42" s="139"/>
      <c r="NZP42" s="139"/>
      <c r="NZQ42" s="139"/>
      <c r="NZR42" s="139"/>
      <c r="NZS42" s="139"/>
      <c r="NZT42" s="139"/>
      <c r="NZU42" s="139"/>
      <c r="NZV42" s="139"/>
      <c r="NZW42" s="139"/>
      <c r="NZX42" s="139"/>
      <c r="NZY42" s="139"/>
      <c r="NZZ42" s="139"/>
      <c r="OAA42" s="139"/>
      <c r="OAB42" s="139"/>
      <c r="OAC42" s="139"/>
      <c r="OAD42" s="139"/>
      <c r="OAE42" s="139"/>
      <c r="OAF42" s="139"/>
      <c r="OAG42" s="139"/>
      <c r="OAH42" s="139"/>
      <c r="OAI42" s="139"/>
      <c r="OAJ42" s="139"/>
      <c r="OAK42" s="139"/>
      <c r="OAL42" s="139"/>
      <c r="OAM42" s="139"/>
      <c r="OAN42" s="139"/>
      <c r="OAO42" s="139"/>
      <c r="OAP42" s="139"/>
      <c r="OAQ42" s="139"/>
      <c r="OAR42" s="139"/>
      <c r="OAS42" s="139"/>
      <c r="OAT42" s="139"/>
      <c r="OAU42" s="139"/>
      <c r="OAV42" s="139"/>
      <c r="OAW42" s="139"/>
      <c r="OAX42" s="139"/>
      <c r="OAY42" s="139"/>
      <c r="OAZ42" s="139"/>
      <c r="OBA42" s="139"/>
      <c r="OBB42" s="139"/>
      <c r="OBC42" s="139"/>
      <c r="OBD42" s="139"/>
      <c r="OBE42" s="139"/>
      <c r="OBF42" s="139"/>
      <c r="OBG42" s="139"/>
      <c r="OBH42" s="139"/>
      <c r="OBI42" s="139"/>
      <c r="OBJ42" s="139"/>
      <c r="OBK42" s="139"/>
      <c r="OBL42" s="139"/>
      <c r="OBM42" s="139"/>
      <c r="OBN42" s="139"/>
      <c r="OBO42" s="139"/>
      <c r="OBP42" s="139"/>
      <c r="OBQ42" s="139"/>
      <c r="OBR42" s="139"/>
      <c r="OBS42" s="139"/>
      <c r="OBT42" s="139"/>
      <c r="OBU42" s="139"/>
      <c r="OBV42" s="139"/>
      <c r="OBW42" s="139"/>
      <c r="OBX42" s="139"/>
      <c r="OBY42" s="139"/>
      <c r="OBZ42" s="139"/>
      <c r="OCA42" s="139"/>
      <c r="OCB42" s="139"/>
      <c r="OCC42" s="139"/>
      <c r="OCD42" s="139"/>
      <c r="OCE42" s="139"/>
      <c r="OCF42" s="139"/>
      <c r="OCG42" s="139"/>
      <c r="OCH42" s="139"/>
      <c r="OCI42" s="139"/>
      <c r="OCJ42" s="139"/>
      <c r="OCK42" s="139"/>
      <c r="OCL42" s="139"/>
      <c r="OCM42" s="139"/>
      <c r="OCN42" s="139"/>
      <c r="OCO42" s="139"/>
      <c r="OCP42" s="139"/>
      <c r="OCQ42" s="139"/>
      <c r="OCR42" s="139"/>
      <c r="OCS42" s="139"/>
      <c r="OCT42" s="139"/>
      <c r="OCU42" s="139"/>
      <c r="OCV42" s="139"/>
      <c r="OCW42" s="139"/>
      <c r="OCX42" s="139"/>
      <c r="OCY42" s="139"/>
      <c r="OCZ42" s="139"/>
      <c r="ODA42" s="139"/>
      <c r="ODB42" s="139"/>
      <c r="ODC42" s="139"/>
      <c r="ODD42" s="139"/>
      <c r="ODE42" s="139"/>
      <c r="ODF42" s="139"/>
      <c r="ODG42" s="139"/>
      <c r="ODH42" s="139"/>
      <c r="ODI42" s="139"/>
      <c r="ODJ42" s="139"/>
      <c r="ODK42" s="139"/>
      <c r="ODL42" s="139"/>
      <c r="ODM42" s="139"/>
      <c r="ODN42" s="139"/>
      <c r="ODO42" s="139"/>
      <c r="ODP42" s="139"/>
      <c r="ODQ42" s="139"/>
      <c r="ODR42" s="139"/>
      <c r="ODS42" s="139"/>
      <c r="ODT42" s="139"/>
      <c r="ODU42" s="139"/>
      <c r="ODV42" s="139"/>
      <c r="ODW42" s="139"/>
      <c r="ODX42" s="139"/>
      <c r="ODY42" s="139"/>
      <c r="ODZ42" s="139"/>
      <c r="OEA42" s="139"/>
      <c r="OEB42" s="139"/>
      <c r="OEC42" s="139"/>
      <c r="OED42" s="139"/>
      <c r="OEE42" s="139"/>
      <c r="OEF42" s="139"/>
      <c r="OEG42" s="139"/>
      <c r="OEH42" s="139"/>
      <c r="OEI42" s="139"/>
      <c r="OEJ42" s="139"/>
      <c r="OEK42" s="139"/>
      <c r="OEL42" s="139"/>
      <c r="OEM42" s="139"/>
      <c r="OEN42" s="139"/>
      <c r="OEO42" s="139"/>
      <c r="OEP42" s="139"/>
      <c r="OEQ42" s="139"/>
      <c r="OER42" s="139"/>
      <c r="OES42" s="139"/>
      <c r="OET42" s="139"/>
      <c r="OEU42" s="139"/>
      <c r="OEV42" s="139"/>
      <c r="OEW42" s="139"/>
      <c r="OEX42" s="139"/>
      <c r="OEY42" s="139"/>
      <c r="OEZ42" s="139"/>
      <c r="OFA42" s="139"/>
      <c r="OFB42" s="139"/>
      <c r="OFC42" s="139"/>
      <c r="OFD42" s="139"/>
      <c r="OFE42" s="139"/>
      <c r="OFF42" s="139"/>
      <c r="OFG42" s="139"/>
      <c r="OFH42" s="139"/>
      <c r="OFI42" s="139"/>
      <c r="OFJ42" s="139"/>
      <c r="OFK42" s="139"/>
      <c r="OFL42" s="139"/>
      <c r="OFM42" s="139"/>
      <c r="OFN42" s="139"/>
      <c r="OFO42" s="139"/>
      <c r="OFP42" s="139"/>
      <c r="OFQ42" s="139"/>
      <c r="OFR42" s="139"/>
      <c r="OFS42" s="139"/>
      <c r="OFT42" s="139"/>
      <c r="OFU42" s="139"/>
      <c r="OFV42" s="139"/>
      <c r="OFW42" s="139"/>
      <c r="OFX42" s="139"/>
      <c r="OFY42" s="139"/>
      <c r="OFZ42" s="139"/>
      <c r="OGA42" s="139"/>
      <c r="OGB42" s="139"/>
      <c r="OGC42" s="139"/>
      <c r="OGD42" s="139"/>
      <c r="OGE42" s="139"/>
      <c r="OGF42" s="139"/>
      <c r="OGG42" s="139"/>
      <c r="OGH42" s="139"/>
      <c r="OGI42" s="139"/>
      <c r="OGJ42" s="139"/>
      <c r="OGK42" s="139"/>
      <c r="OGL42" s="139"/>
      <c r="OGM42" s="139"/>
      <c r="OGN42" s="139"/>
      <c r="OGO42" s="139"/>
      <c r="OGP42" s="139"/>
      <c r="OGQ42" s="139"/>
      <c r="OGR42" s="139"/>
      <c r="OGS42" s="139"/>
      <c r="OGT42" s="139"/>
      <c r="OGU42" s="139"/>
      <c r="OGV42" s="139"/>
      <c r="OGW42" s="139"/>
      <c r="OGX42" s="139"/>
      <c r="OGY42" s="139"/>
      <c r="OGZ42" s="139"/>
      <c r="OHA42" s="139"/>
      <c r="OHB42" s="139"/>
      <c r="OHC42" s="139"/>
      <c r="OHD42" s="139"/>
      <c r="OHE42" s="139"/>
      <c r="OHF42" s="139"/>
      <c r="OHG42" s="139"/>
      <c r="OHH42" s="139"/>
      <c r="OHI42" s="139"/>
      <c r="OHJ42" s="139"/>
      <c r="OHK42" s="139"/>
      <c r="OHL42" s="139"/>
      <c r="OHM42" s="139"/>
      <c r="OHN42" s="139"/>
      <c r="OHO42" s="139"/>
      <c r="OHP42" s="139"/>
      <c r="OHQ42" s="139"/>
      <c r="OHR42" s="139"/>
      <c r="OHS42" s="139"/>
      <c r="OHT42" s="139"/>
      <c r="OHU42" s="139"/>
      <c r="OHV42" s="139"/>
      <c r="OHW42" s="139"/>
      <c r="OHX42" s="139"/>
      <c r="OHY42" s="139"/>
      <c r="OHZ42" s="139"/>
      <c r="OIA42" s="139"/>
      <c r="OIB42" s="139"/>
      <c r="OIC42" s="139"/>
      <c r="OID42" s="139"/>
      <c r="OIE42" s="139"/>
      <c r="OIF42" s="139"/>
      <c r="OIG42" s="139"/>
      <c r="OIH42" s="139"/>
      <c r="OII42" s="139"/>
      <c r="OIJ42" s="139"/>
      <c r="OIK42" s="139"/>
      <c r="OIL42" s="139"/>
      <c r="OIM42" s="139"/>
      <c r="OIN42" s="139"/>
      <c r="OIO42" s="139"/>
      <c r="OIP42" s="139"/>
      <c r="OIQ42" s="139"/>
      <c r="OIR42" s="139"/>
      <c r="OIS42" s="139"/>
      <c r="OIT42" s="139"/>
      <c r="OIU42" s="139"/>
      <c r="OIV42" s="139"/>
      <c r="OIW42" s="139"/>
      <c r="OIX42" s="139"/>
      <c r="OIY42" s="139"/>
      <c r="OIZ42" s="139"/>
      <c r="OJA42" s="139"/>
      <c r="OJB42" s="139"/>
      <c r="OJC42" s="139"/>
      <c r="OJD42" s="139"/>
      <c r="OJE42" s="139"/>
      <c r="OJF42" s="139"/>
      <c r="OJG42" s="139"/>
      <c r="OJH42" s="139"/>
      <c r="OJI42" s="139"/>
      <c r="OJJ42" s="139"/>
      <c r="OJK42" s="139"/>
      <c r="OJL42" s="139"/>
      <c r="OJM42" s="139"/>
      <c r="OJN42" s="139"/>
      <c r="OJO42" s="139"/>
      <c r="OJP42" s="139"/>
      <c r="OJQ42" s="139"/>
      <c r="OJR42" s="139"/>
      <c r="OJS42" s="139"/>
      <c r="OJT42" s="139"/>
      <c r="OJU42" s="139"/>
      <c r="OJV42" s="139"/>
      <c r="OJW42" s="139"/>
      <c r="OJX42" s="139"/>
      <c r="OJY42" s="139"/>
      <c r="OJZ42" s="139"/>
      <c r="OKA42" s="139"/>
      <c r="OKB42" s="139"/>
      <c r="OKC42" s="139"/>
      <c r="OKD42" s="139"/>
      <c r="OKE42" s="139"/>
      <c r="OKF42" s="139"/>
      <c r="OKG42" s="139"/>
      <c r="OKH42" s="139"/>
      <c r="OKI42" s="139"/>
      <c r="OKJ42" s="139"/>
      <c r="OKK42" s="139"/>
      <c r="OKL42" s="139"/>
      <c r="OKM42" s="139"/>
      <c r="OKN42" s="139"/>
      <c r="OKO42" s="139"/>
      <c r="OKP42" s="139"/>
      <c r="OKQ42" s="139"/>
      <c r="OKR42" s="139"/>
      <c r="OKS42" s="139"/>
      <c r="OKT42" s="139"/>
      <c r="OKU42" s="139"/>
      <c r="OKV42" s="139"/>
      <c r="OKW42" s="139"/>
      <c r="OKX42" s="139"/>
      <c r="OKY42" s="139"/>
      <c r="OKZ42" s="139"/>
      <c r="OLA42" s="139"/>
      <c r="OLB42" s="139"/>
      <c r="OLC42" s="139"/>
      <c r="OLD42" s="139"/>
      <c r="OLE42" s="139"/>
      <c r="OLF42" s="139"/>
      <c r="OLG42" s="139"/>
      <c r="OLH42" s="139"/>
      <c r="OLI42" s="139"/>
      <c r="OLJ42" s="139"/>
      <c r="OLK42" s="139"/>
      <c r="OLL42" s="139"/>
      <c r="OLM42" s="139"/>
      <c r="OLN42" s="139"/>
      <c r="OLO42" s="139"/>
      <c r="OLP42" s="139"/>
      <c r="OLQ42" s="139"/>
      <c r="OLR42" s="139"/>
      <c r="OLS42" s="139"/>
      <c r="OLT42" s="139"/>
      <c r="OLU42" s="139"/>
      <c r="OLV42" s="139"/>
      <c r="OLW42" s="139"/>
      <c r="OLX42" s="139"/>
      <c r="OLY42" s="139"/>
      <c r="OLZ42" s="139"/>
      <c r="OMA42" s="139"/>
      <c r="OMB42" s="139"/>
      <c r="OMC42" s="139"/>
      <c r="OMD42" s="139"/>
      <c r="OME42" s="139"/>
      <c r="OMF42" s="139"/>
      <c r="OMG42" s="139"/>
      <c r="OMH42" s="139"/>
      <c r="OMI42" s="139"/>
      <c r="OMJ42" s="139"/>
      <c r="OMK42" s="139"/>
      <c r="OML42" s="139"/>
      <c r="OMM42" s="139"/>
      <c r="OMN42" s="139"/>
      <c r="OMO42" s="139"/>
      <c r="OMP42" s="139"/>
      <c r="OMQ42" s="139"/>
      <c r="OMR42" s="139"/>
      <c r="OMS42" s="139"/>
      <c r="OMT42" s="139"/>
      <c r="OMU42" s="139"/>
      <c r="OMV42" s="139"/>
      <c r="OMW42" s="139"/>
      <c r="OMX42" s="139"/>
      <c r="OMY42" s="139"/>
      <c r="OMZ42" s="139"/>
      <c r="ONA42" s="139"/>
      <c r="ONB42" s="139"/>
      <c r="ONC42" s="139"/>
      <c r="OND42" s="139"/>
      <c r="ONE42" s="139"/>
      <c r="ONF42" s="139"/>
      <c r="ONG42" s="139"/>
      <c r="ONH42" s="139"/>
      <c r="ONI42" s="139"/>
      <c r="ONJ42" s="139"/>
      <c r="ONK42" s="139"/>
      <c r="ONL42" s="139"/>
      <c r="ONM42" s="139"/>
      <c r="ONN42" s="139"/>
      <c r="ONO42" s="139"/>
      <c r="ONP42" s="139"/>
      <c r="ONQ42" s="139"/>
      <c r="ONR42" s="139"/>
      <c r="ONS42" s="139"/>
      <c r="ONT42" s="139"/>
      <c r="ONU42" s="139"/>
      <c r="ONV42" s="139"/>
      <c r="ONW42" s="139"/>
      <c r="ONX42" s="139"/>
      <c r="ONY42" s="139"/>
      <c r="ONZ42" s="139"/>
      <c r="OOA42" s="139"/>
      <c r="OOB42" s="139"/>
      <c r="OOC42" s="139"/>
      <c r="OOD42" s="139"/>
      <c r="OOE42" s="139"/>
      <c r="OOF42" s="139"/>
      <c r="OOG42" s="139"/>
      <c r="OOH42" s="139"/>
      <c r="OOI42" s="139"/>
      <c r="OOJ42" s="139"/>
      <c r="OOK42" s="139"/>
      <c r="OOL42" s="139"/>
      <c r="OOM42" s="139"/>
      <c r="OON42" s="139"/>
      <c r="OOO42" s="139"/>
      <c r="OOP42" s="139"/>
      <c r="OOQ42" s="139"/>
      <c r="OOR42" s="139"/>
      <c r="OOS42" s="139"/>
      <c r="OOT42" s="139"/>
      <c r="OOU42" s="139"/>
      <c r="OOV42" s="139"/>
      <c r="OOW42" s="139"/>
      <c r="OOX42" s="139"/>
      <c r="OOY42" s="139"/>
      <c r="OOZ42" s="139"/>
      <c r="OPA42" s="139"/>
      <c r="OPB42" s="139"/>
      <c r="OPC42" s="139"/>
      <c r="OPD42" s="139"/>
      <c r="OPE42" s="139"/>
      <c r="OPF42" s="139"/>
      <c r="OPG42" s="139"/>
      <c r="OPH42" s="139"/>
      <c r="OPI42" s="139"/>
      <c r="OPJ42" s="139"/>
      <c r="OPK42" s="139"/>
      <c r="OPL42" s="139"/>
      <c r="OPM42" s="139"/>
      <c r="OPN42" s="139"/>
      <c r="OPO42" s="139"/>
      <c r="OPP42" s="139"/>
      <c r="OPQ42" s="139"/>
      <c r="OPR42" s="139"/>
      <c r="OPS42" s="139"/>
      <c r="OPT42" s="139"/>
      <c r="OPU42" s="139"/>
      <c r="OPV42" s="139"/>
      <c r="OPW42" s="139"/>
      <c r="OPX42" s="139"/>
      <c r="OPY42" s="139"/>
      <c r="OPZ42" s="139"/>
      <c r="OQA42" s="139"/>
      <c r="OQB42" s="139"/>
      <c r="OQC42" s="139"/>
      <c r="OQD42" s="139"/>
      <c r="OQE42" s="139"/>
      <c r="OQF42" s="139"/>
      <c r="OQG42" s="139"/>
      <c r="OQH42" s="139"/>
      <c r="OQI42" s="139"/>
      <c r="OQJ42" s="139"/>
      <c r="OQK42" s="139"/>
      <c r="OQL42" s="139"/>
      <c r="OQM42" s="139"/>
      <c r="OQN42" s="139"/>
      <c r="OQO42" s="139"/>
      <c r="OQP42" s="139"/>
      <c r="OQQ42" s="139"/>
      <c r="OQR42" s="139"/>
      <c r="OQS42" s="139"/>
      <c r="OQT42" s="139"/>
      <c r="OQU42" s="139"/>
      <c r="OQV42" s="139"/>
      <c r="OQW42" s="139"/>
      <c r="OQX42" s="139"/>
      <c r="OQY42" s="139"/>
      <c r="OQZ42" s="139"/>
      <c r="ORA42" s="139"/>
      <c r="ORB42" s="139"/>
      <c r="ORC42" s="139"/>
      <c r="ORD42" s="139"/>
      <c r="ORE42" s="139"/>
      <c r="ORF42" s="139"/>
      <c r="ORG42" s="139"/>
      <c r="ORH42" s="139"/>
      <c r="ORI42" s="139"/>
      <c r="ORJ42" s="139"/>
      <c r="ORK42" s="139"/>
      <c r="ORL42" s="139"/>
      <c r="ORM42" s="139"/>
      <c r="ORN42" s="139"/>
      <c r="ORO42" s="139"/>
      <c r="ORP42" s="139"/>
      <c r="ORQ42" s="139"/>
      <c r="ORR42" s="139"/>
      <c r="ORS42" s="139"/>
      <c r="ORT42" s="139"/>
      <c r="ORU42" s="139"/>
      <c r="ORV42" s="139"/>
      <c r="ORW42" s="139"/>
      <c r="ORX42" s="139"/>
      <c r="ORY42" s="139"/>
      <c r="ORZ42" s="139"/>
      <c r="OSA42" s="139"/>
      <c r="OSB42" s="139"/>
      <c r="OSC42" s="139"/>
      <c r="OSD42" s="139"/>
      <c r="OSE42" s="139"/>
      <c r="OSF42" s="139"/>
      <c r="OSG42" s="139"/>
      <c r="OSH42" s="139"/>
      <c r="OSI42" s="139"/>
      <c r="OSJ42" s="139"/>
      <c r="OSK42" s="139"/>
      <c r="OSL42" s="139"/>
      <c r="OSM42" s="139"/>
      <c r="OSN42" s="139"/>
      <c r="OSO42" s="139"/>
      <c r="OSP42" s="139"/>
      <c r="OSQ42" s="139"/>
      <c r="OSR42" s="139"/>
      <c r="OSS42" s="139"/>
      <c r="OST42" s="139"/>
      <c r="OSU42" s="139"/>
      <c r="OSV42" s="139"/>
      <c r="OSW42" s="139"/>
      <c r="OSX42" s="139"/>
      <c r="OSY42" s="139"/>
      <c r="OSZ42" s="139"/>
      <c r="OTA42" s="139"/>
      <c r="OTB42" s="139"/>
      <c r="OTC42" s="139"/>
      <c r="OTD42" s="139"/>
      <c r="OTE42" s="139"/>
      <c r="OTF42" s="139"/>
      <c r="OTG42" s="139"/>
      <c r="OTH42" s="139"/>
      <c r="OTI42" s="139"/>
      <c r="OTJ42" s="139"/>
      <c r="OTK42" s="139"/>
      <c r="OTL42" s="139"/>
      <c r="OTM42" s="139"/>
      <c r="OTN42" s="139"/>
      <c r="OTO42" s="139"/>
      <c r="OTP42" s="139"/>
      <c r="OTQ42" s="139"/>
      <c r="OTR42" s="139"/>
      <c r="OTS42" s="139"/>
      <c r="OTT42" s="139"/>
      <c r="OTU42" s="139"/>
      <c r="OTV42" s="139"/>
      <c r="OTW42" s="139"/>
      <c r="OTX42" s="139"/>
      <c r="OTY42" s="139"/>
      <c r="OTZ42" s="139"/>
      <c r="OUA42" s="139"/>
      <c r="OUB42" s="139"/>
      <c r="OUC42" s="139"/>
      <c r="OUD42" s="139"/>
      <c r="OUE42" s="139"/>
      <c r="OUF42" s="139"/>
      <c r="OUG42" s="139"/>
      <c r="OUH42" s="139"/>
      <c r="OUI42" s="139"/>
      <c r="OUJ42" s="139"/>
      <c r="OUK42" s="139"/>
      <c r="OUL42" s="139"/>
      <c r="OUM42" s="139"/>
      <c r="OUN42" s="139"/>
      <c r="OUO42" s="139"/>
      <c r="OUP42" s="139"/>
      <c r="OUQ42" s="139"/>
      <c r="OUR42" s="139"/>
      <c r="OUS42" s="139"/>
      <c r="OUT42" s="139"/>
      <c r="OUU42" s="139"/>
      <c r="OUV42" s="139"/>
      <c r="OUW42" s="139"/>
      <c r="OUX42" s="139"/>
      <c r="OUY42" s="139"/>
      <c r="OUZ42" s="139"/>
      <c r="OVA42" s="139"/>
      <c r="OVB42" s="139"/>
      <c r="OVC42" s="139"/>
      <c r="OVD42" s="139"/>
      <c r="OVE42" s="139"/>
      <c r="OVF42" s="139"/>
      <c r="OVG42" s="139"/>
      <c r="OVH42" s="139"/>
      <c r="OVI42" s="139"/>
      <c r="OVJ42" s="139"/>
      <c r="OVK42" s="139"/>
      <c r="OVL42" s="139"/>
      <c r="OVM42" s="139"/>
      <c r="OVN42" s="139"/>
      <c r="OVO42" s="139"/>
      <c r="OVP42" s="139"/>
      <c r="OVQ42" s="139"/>
      <c r="OVR42" s="139"/>
      <c r="OVS42" s="139"/>
      <c r="OVT42" s="139"/>
      <c r="OVU42" s="139"/>
      <c r="OVV42" s="139"/>
      <c r="OVW42" s="139"/>
      <c r="OVX42" s="139"/>
      <c r="OVY42" s="139"/>
      <c r="OVZ42" s="139"/>
      <c r="OWA42" s="139"/>
      <c r="OWB42" s="139"/>
      <c r="OWC42" s="139"/>
      <c r="OWD42" s="139"/>
      <c r="OWE42" s="139"/>
      <c r="OWF42" s="139"/>
      <c r="OWG42" s="139"/>
      <c r="OWH42" s="139"/>
      <c r="OWI42" s="139"/>
      <c r="OWJ42" s="139"/>
      <c r="OWK42" s="139"/>
      <c r="OWL42" s="139"/>
      <c r="OWM42" s="139"/>
      <c r="OWN42" s="139"/>
      <c r="OWO42" s="139"/>
      <c r="OWP42" s="139"/>
      <c r="OWQ42" s="139"/>
      <c r="OWR42" s="139"/>
      <c r="OWS42" s="139"/>
      <c r="OWT42" s="139"/>
      <c r="OWU42" s="139"/>
      <c r="OWV42" s="139"/>
      <c r="OWW42" s="139"/>
      <c r="OWX42" s="139"/>
      <c r="OWY42" s="139"/>
      <c r="OWZ42" s="139"/>
      <c r="OXA42" s="139"/>
      <c r="OXB42" s="139"/>
      <c r="OXC42" s="139"/>
      <c r="OXD42" s="139"/>
      <c r="OXE42" s="139"/>
      <c r="OXF42" s="139"/>
      <c r="OXG42" s="139"/>
      <c r="OXH42" s="139"/>
      <c r="OXI42" s="139"/>
      <c r="OXJ42" s="139"/>
      <c r="OXK42" s="139"/>
      <c r="OXL42" s="139"/>
      <c r="OXM42" s="139"/>
      <c r="OXN42" s="139"/>
      <c r="OXO42" s="139"/>
      <c r="OXP42" s="139"/>
      <c r="OXQ42" s="139"/>
      <c r="OXR42" s="139"/>
      <c r="OXS42" s="139"/>
      <c r="OXT42" s="139"/>
      <c r="OXU42" s="139"/>
      <c r="OXV42" s="139"/>
      <c r="OXW42" s="139"/>
      <c r="OXX42" s="139"/>
      <c r="OXY42" s="139"/>
      <c r="OXZ42" s="139"/>
      <c r="OYA42" s="139"/>
      <c r="OYB42" s="139"/>
      <c r="OYC42" s="139"/>
      <c r="OYD42" s="139"/>
      <c r="OYE42" s="139"/>
      <c r="OYF42" s="139"/>
      <c r="OYG42" s="139"/>
      <c r="OYH42" s="139"/>
      <c r="OYI42" s="139"/>
      <c r="OYJ42" s="139"/>
      <c r="OYK42" s="139"/>
      <c r="OYL42" s="139"/>
      <c r="OYM42" s="139"/>
      <c r="OYN42" s="139"/>
      <c r="OYO42" s="139"/>
      <c r="OYP42" s="139"/>
      <c r="OYQ42" s="139"/>
      <c r="OYR42" s="139"/>
      <c r="OYS42" s="139"/>
      <c r="OYT42" s="139"/>
      <c r="OYU42" s="139"/>
      <c r="OYV42" s="139"/>
      <c r="OYW42" s="139"/>
      <c r="OYX42" s="139"/>
      <c r="OYY42" s="139"/>
      <c r="OYZ42" s="139"/>
      <c r="OZA42" s="139"/>
      <c r="OZB42" s="139"/>
      <c r="OZC42" s="139"/>
      <c r="OZD42" s="139"/>
      <c r="OZE42" s="139"/>
      <c r="OZF42" s="139"/>
      <c r="OZG42" s="139"/>
      <c r="OZH42" s="139"/>
      <c r="OZI42" s="139"/>
      <c r="OZJ42" s="139"/>
      <c r="OZK42" s="139"/>
      <c r="OZL42" s="139"/>
      <c r="OZM42" s="139"/>
      <c r="OZN42" s="139"/>
      <c r="OZO42" s="139"/>
      <c r="OZP42" s="139"/>
      <c r="OZQ42" s="139"/>
      <c r="OZR42" s="139"/>
      <c r="OZS42" s="139"/>
      <c r="OZT42" s="139"/>
      <c r="OZU42" s="139"/>
      <c r="OZV42" s="139"/>
      <c r="OZW42" s="139"/>
      <c r="OZX42" s="139"/>
      <c r="OZY42" s="139"/>
      <c r="OZZ42" s="139"/>
      <c r="PAA42" s="139"/>
      <c r="PAB42" s="139"/>
      <c r="PAC42" s="139"/>
      <c r="PAD42" s="139"/>
      <c r="PAE42" s="139"/>
      <c r="PAF42" s="139"/>
      <c r="PAG42" s="139"/>
      <c r="PAH42" s="139"/>
      <c r="PAI42" s="139"/>
      <c r="PAJ42" s="139"/>
      <c r="PAK42" s="139"/>
      <c r="PAL42" s="139"/>
      <c r="PAM42" s="139"/>
      <c r="PAN42" s="139"/>
      <c r="PAO42" s="139"/>
      <c r="PAP42" s="139"/>
      <c r="PAQ42" s="139"/>
      <c r="PAR42" s="139"/>
      <c r="PAS42" s="139"/>
      <c r="PAT42" s="139"/>
      <c r="PAU42" s="139"/>
      <c r="PAV42" s="139"/>
      <c r="PAW42" s="139"/>
      <c r="PAX42" s="139"/>
      <c r="PAY42" s="139"/>
      <c r="PAZ42" s="139"/>
      <c r="PBA42" s="139"/>
      <c r="PBB42" s="139"/>
      <c r="PBC42" s="139"/>
      <c r="PBD42" s="139"/>
      <c r="PBE42" s="139"/>
      <c r="PBF42" s="139"/>
      <c r="PBG42" s="139"/>
      <c r="PBH42" s="139"/>
      <c r="PBI42" s="139"/>
      <c r="PBJ42" s="139"/>
      <c r="PBK42" s="139"/>
      <c r="PBL42" s="139"/>
      <c r="PBM42" s="139"/>
      <c r="PBN42" s="139"/>
      <c r="PBO42" s="139"/>
      <c r="PBP42" s="139"/>
      <c r="PBQ42" s="139"/>
      <c r="PBR42" s="139"/>
      <c r="PBS42" s="139"/>
      <c r="PBT42" s="139"/>
      <c r="PBU42" s="139"/>
      <c r="PBV42" s="139"/>
      <c r="PBW42" s="139"/>
      <c r="PBX42" s="139"/>
      <c r="PBY42" s="139"/>
      <c r="PBZ42" s="139"/>
      <c r="PCA42" s="139"/>
      <c r="PCB42" s="139"/>
      <c r="PCC42" s="139"/>
      <c r="PCD42" s="139"/>
      <c r="PCE42" s="139"/>
      <c r="PCF42" s="139"/>
      <c r="PCG42" s="139"/>
      <c r="PCH42" s="139"/>
      <c r="PCI42" s="139"/>
      <c r="PCJ42" s="139"/>
      <c r="PCK42" s="139"/>
      <c r="PCL42" s="139"/>
      <c r="PCM42" s="139"/>
      <c r="PCN42" s="139"/>
      <c r="PCO42" s="139"/>
      <c r="PCP42" s="139"/>
      <c r="PCQ42" s="139"/>
      <c r="PCR42" s="139"/>
      <c r="PCS42" s="139"/>
      <c r="PCT42" s="139"/>
      <c r="PCU42" s="139"/>
      <c r="PCV42" s="139"/>
      <c r="PCW42" s="139"/>
      <c r="PCX42" s="139"/>
      <c r="PCY42" s="139"/>
      <c r="PCZ42" s="139"/>
      <c r="PDA42" s="139"/>
      <c r="PDB42" s="139"/>
      <c r="PDC42" s="139"/>
      <c r="PDD42" s="139"/>
      <c r="PDE42" s="139"/>
      <c r="PDF42" s="139"/>
      <c r="PDG42" s="139"/>
      <c r="PDH42" s="139"/>
      <c r="PDI42" s="139"/>
      <c r="PDJ42" s="139"/>
      <c r="PDK42" s="139"/>
      <c r="PDL42" s="139"/>
      <c r="PDM42" s="139"/>
      <c r="PDN42" s="139"/>
      <c r="PDO42" s="139"/>
      <c r="PDP42" s="139"/>
      <c r="PDQ42" s="139"/>
      <c r="PDR42" s="139"/>
      <c r="PDS42" s="139"/>
      <c r="PDT42" s="139"/>
      <c r="PDU42" s="139"/>
      <c r="PDV42" s="139"/>
      <c r="PDW42" s="139"/>
      <c r="PDX42" s="139"/>
      <c r="PDY42" s="139"/>
      <c r="PDZ42" s="139"/>
      <c r="PEA42" s="139"/>
      <c r="PEB42" s="139"/>
      <c r="PEC42" s="139"/>
      <c r="PED42" s="139"/>
      <c r="PEE42" s="139"/>
      <c r="PEF42" s="139"/>
      <c r="PEG42" s="139"/>
      <c r="PEH42" s="139"/>
      <c r="PEI42" s="139"/>
      <c r="PEJ42" s="139"/>
      <c r="PEK42" s="139"/>
      <c r="PEL42" s="139"/>
      <c r="PEM42" s="139"/>
      <c r="PEN42" s="139"/>
      <c r="PEO42" s="139"/>
      <c r="PEP42" s="139"/>
      <c r="PEQ42" s="139"/>
      <c r="PER42" s="139"/>
      <c r="PES42" s="139"/>
      <c r="PET42" s="139"/>
      <c r="PEU42" s="139"/>
      <c r="PEV42" s="139"/>
      <c r="PEW42" s="139"/>
      <c r="PEX42" s="139"/>
      <c r="PEY42" s="139"/>
      <c r="PEZ42" s="139"/>
      <c r="PFA42" s="139"/>
      <c r="PFB42" s="139"/>
      <c r="PFC42" s="139"/>
      <c r="PFD42" s="139"/>
      <c r="PFE42" s="139"/>
      <c r="PFF42" s="139"/>
      <c r="PFG42" s="139"/>
      <c r="PFH42" s="139"/>
      <c r="PFI42" s="139"/>
      <c r="PFJ42" s="139"/>
      <c r="PFK42" s="139"/>
      <c r="PFL42" s="139"/>
      <c r="PFM42" s="139"/>
      <c r="PFN42" s="139"/>
      <c r="PFO42" s="139"/>
      <c r="PFP42" s="139"/>
      <c r="PFQ42" s="139"/>
      <c r="PFR42" s="139"/>
      <c r="PFS42" s="139"/>
      <c r="PFT42" s="139"/>
      <c r="PFU42" s="139"/>
      <c r="PFV42" s="139"/>
      <c r="PFW42" s="139"/>
      <c r="PFX42" s="139"/>
      <c r="PFY42" s="139"/>
      <c r="PFZ42" s="139"/>
      <c r="PGA42" s="139"/>
      <c r="PGB42" s="139"/>
      <c r="PGC42" s="139"/>
      <c r="PGD42" s="139"/>
      <c r="PGE42" s="139"/>
      <c r="PGF42" s="139"/>
      <c r="PGG42" s="139"/>
      <c r="PGH42" s="139"/>
      <c r="PGI42" s="139"/>
      <c r="PGJ42" s="139"/>
      <c r="PGK42" s="139"/>
      <c r="PGL42" s="139"/>
      <c r="PGM42" s="139"/>
      <c r="PGN42" s="139"/>
      <c r="PGO42" s="139"/>
      <c r="PGP42" s="139"/>
      <c r="PGQ42" s="139"/>
      <c r="PGR42" s="139"/>
      <c r="PGS42" s="139"/>
      <c r="PGT42" s="139"/>
      <c r="PGU42" s="139"/>
      <c r="PGV42" s="139"/>
      <c r="PGW42" s="139"/>
      <c r="PGX42" s="139"/>
      <c r="PGY42" s="139"/>
      <c r="PGZ42" s="139"/>
      <c r="PHA42" s="139"/>
      <c r="PHB42" s="139"/>
      <c r="PHC42" s="139"/>
      <c r="PHD42" s="139"/>
      <c r="PHE42" s="139"/>
      <c r="PHF42" s="139"/>
      <c r="PHG42" s="139"/>
      <c r="PHH42" s="139"/>
      <c r="PHI42" s="139"/>
      <c r="PHJ42" s="139"/>
      <c r="PHK42" s="139"/>
      <c r="PHL42" s="139"/>
      <c r="PHM42" s="139"/>
      <c r="PHN42" s="139"/>
      <c r="PHO42" s="139"/>
      <c r="PHP42" s="139"/>
      <c r="PHQ42" s="139"/>
      <c r="PHR42" s="139"/>
      <c r="PHS42" s="139"/>
      <c r="PHT42" s="139"/>
      <c r="PHU42" s="139"/>
      <c r="PHV42" s="139"/>
      <c r="PHW42" s="139"/>
      <c r="PHX42" s="139"/>
      <c r="PHY42" s="139"/>
      <c r="PHZ42" s="139"/>
      <c r="PIA42" s="139"/>
      <c r="PIB42" s="139"/>
      <c r="PIC42" s="139"/>
      <c r="PID42" s="139"/>
      <c r="PIE42" s="139"/>
      <c r="PIF42" s="139"/>
      <c r="PIG42" s="139"/>
      <c r="PIH42" s="139"/>
      <c r="PII42" s="139"/>
      <c r="PIJ42" s="139"/>
      <c r="PIK42" s="139"/>
      <c r="PIL42" s="139"/>
      <c r="PIM42" s="139"/>
      <c r="PIN42" s="139"/>
      <c r="PIO42" s="139"/>
      <c r="PIP42" s="139"/>
      <c r="PIQ42" s="139"/>
      <c r="PIR42" s="139"/>
      <c r="PIS42" s="139"/>
      <c r="PIT42" s="139"/>
      <c r="PIU42" s="139"/>
      <c r="PIV42" s="139"/>
      <c r="PIW42" s="139"/>
      <c r="PIX42" s="139"/>
      <c r="PIY42" s="139"/>
      <c r="PIZ42" s="139"/>
      <c r="PJA42" s="139"/>
      <c r="PJB42" s="139"/>
      <c r="PJC42" s="139"/>
      <c r="PJD42" s="139"/>
      <c r="PJE42" s="139"/>
      <c r="PJF42" s="139"/>
      <c r="PJG42" s="139"/>
      <c r="PJH42" s="139"/>
      <c r="PJI42" s="139"/>
      <c r="PJJ42" s="139"/>
      <c r="PJK42" s="139"/>
      <c r="PJL42" s="139"/>
      <c r="PJM42" s="139"/>
      <c r="PJN42" s="139"/>
      <c r="PJO42" s="139"/>
      <c r="PJP42" s="139"/>
      <c r="PJQ42" s="139"/>
      <c r="PJR42" s="139"/>
      <c r="PJS42" s="139"/>
      <c r="PJT42" s="139"/>
      <c r="PJU42" s="139"/>
      <c r="PJV42" s="139"/>
      <c r="PJW42" s="139"/>
      <c r="PJX42" s="139"/>
      <c r="PJY42" s="139"/>
      <c r="PJZ42" s="139"/>
      <c r="PKA42" s="139"/>
      <c r="PKB42" s="139"/>
      <c r="PKC42" s="139"/>
      <c r="PKD42" s="139"/>
      <c r="PKE42" s="139"/>
      <c r="PKF42" s="139"/>
      <c r="PKG42" s="139"/>
      <c r="PKH42" s="139"/>
      <c r="PKI42" s="139"/>
      <c r="PKJ42" s="139"/>
      <c r="PKK42" s="139"/>
      <c r="PKL42" s="139"/>
      <c r="PKM42" s="139"/>
      <c r="PKN42" s="139"/>
      <c r="PKO42" s="139"/>
      <c r="PKP42" s="139"/>
      <c r="PKQ42" s="139"/>
      <c r="PKR42" s="139"/>
      <c r="PKS42" s="139"/>
      <c r="PKT42" s="139"/>
      <c r="PKU42" s="139"/>
      <c r="PKV42" s="139"/>
      <c r="PKW42" s="139"/>
      <c r="PKX42" s="139"/>
      <c r="PKY42" s="139"/>
      <c r="PKZ42" s="139"/>
      <c r="PLA42" s="139"/>
      <c r="PLB42" s="139"/>
      <c r="PLC42" s="139"/>
      <c r="PLD42" s="139"/>
      <c r="PLE42" s="139"/>
      <c r="PLF42" s="139"/>
      <c r="PLG42" s="139"/>
      <c r="PLH42" s="139"/>
      <c r="PLI42" s="139"/>
      <c r="PLJ42" s="139"/>
      <c r="PLK42" s="139"/>
      <c r="PLL42" s="139"/>
      <c r="PLM42" s="139"/>
      <c r="PLN42" s="139"/>
      <c r="PLO42" s="139"/>
      <c r="PLP42" s="139"/>
      <c r="PLQ42" s="139"/>
      <c r="PLR42" s="139"/>
      <c r="PLS42" s="139"/>
      <c r="PLT42" s="139"/>
      <c r="PLU42" s="139"/>
      <c r="PLV42" s="139"/>
      <c r="PLW42" s="139"/>
      <c r="PLX42" s="139"/>
      <c r="PLY42" s="139"/>
      <c r="PLZ42" s="139"/>
      <c r="PMA42" s="139"/>
      <c r="PMB42" s="139"/>
      <c r="PMC42" s="139"/>
      <c r="PMD42" s="139"/>
      <c r="PME42" s="139"/>
      <c r="PMF42" s="139"/>
      <c r="PMG42" s="139"/>
      <c r="PMH42" s="139"/>
      <c r="PMI42" s="139"/>
      <c r="PMJ42" s="139"/>
      <c r="PMK42" s="139"/>
      <c r="PML42" s="139"/>
      <c r="PMM42" s="139"/>
      <c r="PMN42" s="139"/>
      <c r="PMO42" s="139"/>
      <c r="PMP42" s="139"/>
      <c r="PMQ42" s="139"/>
      <c r="PMR42" s="139"/>
      <c r="PMS42" s="139"/>
      <c r="PMT42" s="139"/>
      <c r="PMU42" s="139"/>
      <c r="PMV42" s="139"/>
      <c r="PMW42" s="139"/>
      <c r="PMX42" s="139"/>
      <c r="PMY42" s="139"/>
      <c r="PMZ42" s="139"/>
      <c r="PNA42" s="139"/>
      <c r="PNB42" s="139"/>
      <c r="PNC42" s="139"/>
      <c r="PND42" s="139"/>
      <c r="PNE42" s="139"/>
      <c r="PNF42" s="139"/>
      <c r="PNG42" s="139"/>
      <c r="PNH42" s="139"/>
      <c r="PNI42" s="139"/>
      <c r="PNJ42" s="139"/>
      <c r="PNK42" s="139"/>
      <c r="PNL42" s="139"/>
      <c r="PNM42" s="139"/>
      <c r="PNN42" s="139"/>
      <c r="PNO42" s="139"/>
      <c r="PNP42" s="139"/>
      <c r="PNQ42" s="139"/>
      <c r="PNR42" s="139"/>
      <c r="PNS42" s="139"/>
      <c r="PNT42" s="139"/>
      <c r="PNU42" s="139"/>
      <c r="PNV42" s="139"/>
      <c r="PNW42" s="139"/>
      <c r="PNX42" s="139"/>
      <c r="PNY42" s="139"/>
      <c r="PNZ42" s="139"/>
      <c r="POA42" s="139"/>
      <c r="POB42" s="139"/>
      <c r="POC42" s="139"/>
      <c r="POD42" s="139"/>
      <c r="POE42" s="139"/>
      <c r="POF42" s="139"/>
      <c r="POG42" s="139"/>
      <c r="POH42" s="139"/>
      <c r="POI42" s="139"/>
      <c r="POJ42" s="139"/>
      <c r="POK42" s="139"/>
      <c r="POL42" s="139"/>
      <c r="POM42" s="139"/>
      <c r="PON42" s="139"/>
      <c r="POO42" s="139"/>
      <c r="POP42" s="139"/>
      <c r="POQ42" s="139"/>
      <c r="POR42" s="139"/>
      <c r="POS42" s="139"/>
      <c r="POT42" s="139"/>
      <c r="POU42" s="139"/>
      <c r="POV42" s="139"/>
      <c r="POW42" s="139"/>
      <c r="POX42" s="139"/>
      <c r="POY42" s="139"/>
      <c r="POZ42" s="139"/>
      <c r="PPA42" s="139"/>
      <c r="PPB42" s="139"/>
      <c r="PPC42" s="139"/>
      <c r="PPD42" s="139"/>
      <c r="PPE42" s="139"/>
      <c r="PPF42" s="139"/>
      <c r="PPG42" s="139"/>
      <c r="PPH42" s="139"/>
      <c r="PPI42" s="139"/>
      <c r="PPJ42" s="139"/>
      <c r="PPK42" s="139"/>
      <c r="PPL42" s="139"/>
      <c r="PPM42" s="139"/>
      <c r="PPN42" s="139"/>
      <c r="PPO42" s="139"/>
      <c r="PPP42" s="139"/>
      <c r="PPQ42" s="139"/>
      <c r="PPR42" s="139"/>
      <c r="PPS42" s="139"/>
      <c r="PPT42" s="139"/>
      <c r="PPU42" s="139"/>
      <c r="PPV42" s="139"/>
      <c r="PPW42" s="139"/>
      <c r="PPX42" s="139"/>
      <c r="PPY42" s="139"/>
      <c r="PPZ42" s="139"/>
      <c r="PQA42" s="139"/>
      <c r="PQB42" s="139"/>
      <c r="PQC42" s="139"/>
      <c r="PQD42" s="139"/>
      <c r="PQE42" s="139"/>
      <c r="PQF42" s="139"/>
      <c r="PQG42" s="139"/>
      <c r="PQH42" s="139"/>
      <c r="PQI42" s="139"/>
      <c r="PQJ42" s="139"/>
      <c r="PQK42" s="139"/>
      <c r="PQL42" s="139"/>
      <c r="PQM42" s="139"/>
      <c r="PQN42" s="139"/>
      <c r="PQO42" s="139"/>
      <c r="PQP42" s="139"/>
      <c r="PQQ42" s="139"/>
      <c r="PQR42" s="139"/>
      <c r="PQS42" s="139"/>
      <c r="PQT42" s="139"/>
      <c r="PQU42" s="139"/>
      <c r="PQV42" s="139"/>
      <c r="PQW42" s="139"/>
      <c r="PQX42" s="139"/>
      <c r="PQY42" s="139"/>
      <c r="PQZ42" s="139"/>
      <c r="PRA42" s="139"/>
      <c r="PRB42" s="139"/>
      <c r="PRC42" s="139"/>
      <c r="PRD42" s="139"/>
      <c r="PRE42" s="139"/>
      <c r="PRF42" s="139"/>
      <c r="PRG42" s="139"/>
      <c r="PRH42" s="139"/>
      <c r="PRI42" s="139"/>
      <c r="PRJ42" s="139"/>
      <c r="PRK42" s="139"/>
      <c r="PRL42" s="139"/>
      <c r="PRM42" s="139"/>
      <c r="PRN42" s="139"/>
      <c r="PRO42" s="139"/>
      <c r="PRP42" s="139"/>
      <c r="PRQ42" s="139"/>
      <c r="PRR42" s="139"/>
      <c r="PRS42" s="139"/>
      <c r="PRT42" s="139"/>
      <c r="PRU42" s="139"/>
      <c r="PRV42" s="139"/>
      <c r="PRW42" s="139"/>
      <c r="PRX42" s="139"/>
      <c r="PRY42" s="139"/>
      <c r="PRZ42" s="139"/>
      <c r="PSA42" s="139"/>
      <c r="PSB42" s="139"/>
      <c r="PSC42" s="139"/>
      <c r="PSD42" s="139"/>
      <c r="PSE42" s="139"/>
      <c r="PSF42" s="139"/>
      <c r="PSG42" s="139"/>
      <c r="PSH42" s="139"/>
      <c r="PSI42" s="139"/>
      <c r="PSJ42" s="139"/>
      <c r="PSK42" s="139"/>
      <c r="PSL42" s="139"/>
      <c r="PSM42" s="139"/>
      <c r="PSN42" s="139"/>
      <c r="PSO42" s="139"/>
      <c r="PSP42" s="139"/>
      <c r="PSQ42" s="139"/>
      <c r="PSR42" s="139"/>
      <c r="PSS42" s="139"/>
      <c r="PST42" s="139"/>
      <c r="PSU42" s="139"/>
      <c r="PSV42" s="139"/>
      <c r="PSW42" s="139"/>
      <c r="PSX42" s="139"/>
      <c r="PSY42" s="139"/>
      <c r="PSZ42" s="139"/>
      <c r="PTA42" s="139"/>
      <c r="PTB42" s="139"/>
      <c r="PTC42" s="139"/>
      <c r="PTD42" s="139"/>
      <c r="PTE42" s="139"/>
      <c r="PTF42" s="139"/>
      <c r="PTG42" s="139"/>
      <c r="PTH42" s="139"/>
      <c r="PTI42" s="139"/>
      <c r="PTJ42" s="139"/>
      <c r="PTK42" s="139"/>
      <c r="PTL42" s="139"/>
      <c r="PTM42" s="139"/>
      <c r="PTN42" s="139"/>
      <c r="PTO42" s="139"/>
      <c r="PTP42" s="139"/>
      <c r="PTQ42" s="139"/>
      <c r="PTR42" s="139"/>
      <c r="PTS42" s="139"/>
      <c r="PTT42" s="139"/>
      <c r="PTU42" s="139"/>
      <c r="PTV42" s="139"/>
      <c r="PTW42" s="139"/>
      <c r="PTX42" s="139"/>
      <c r="PTY42" s="139"/>
      <c r="PTZ42" s="139"/>
      <c r="PUA42" s="139"/>
      <c r="PUB42" s="139"/>
      <c r="PUC42" s="139"/>
      <c r="PUD42" s="139"/>
      <c r="PUE42" s="139"/>
      <c r="PUF42" s="139"/>
      <c r="PUG42" s="139"/>
      <c r="PUH42" s="139"/>
      <c r="PUI42" s="139"/>
      <c r="PUJ42" s="139"/>
      <c r="PUK42" s="139"/>
      <c r="PUL42" s="139"/>
      <c r="PUM42" s="139"/>
      <c r="PUN42" s="139"/>
      <c r="PUO42" s="139"/>
      <c r="PUP42" s="139"/>
      <c r="PUQ42" s="139"/>
      <c r="PUR42" s="139"/>
      <c r="PUS42" s="139"/>
      <c r="PUT42" s="139"/>
      <c r="PUU42" s="139"/>
      <c r="PUV42" s="139"/>
      <c r="PUW42" s="139"/>
      <c r="PUX42" s="139"/>
      <c r="PUY42" s="139"/>
      <c r="PUZ42" s="139"/>
      <c r="PVA42" s="139"/>
      <c r="PVB42" s="139"/>
      <c r="PVC42" s="139"/>
      <c r="PVD42" s="139"/>
      <c r="PVE42" s="139"/>
      <c r="PVF42" s="139"/>
      <c r="PVG42" s="139"/>
      <c r="PVH42" s="139"/>
      <c r="PVI42" s="139"/>
      <c r="PVJ42" s="139"/>
      <c r="PVK42" s="139"/>
      <c r="PVL42" s="139"/>
      <c r="PVM42" s="139"/>
      <c r="PVN42" s="139"/>
      <c r="PVO42" s="139"/>
      <c r="PVP42" s="139"/>
      <c r="PVQ42" s="139"/>
      <c r="PVR42" s="139"/>
      <c r="PVS42" s="139"/>
      <c r="PVT42" s="139"/>
      <c r="PVU42" s="139"/>
      <c r="PVV42" s="139"/>
      <c r="PVW42" s="139"/>
      <c r="PVX42" s="139"/>
      <c r="PVY42" s="139"/>
      <c r="PVZ42" s="139"/>
      <c r="PWA42" s="139"/>
      <c r="PWB42" s="139"/>
      <c r="PWC42" s="139"/>
      <c r="PWD42" s="139"/>
      <c r="PWE42" s="139"/>
      <c r="PWF42" s="139"/>
      <c r="PWG42" s="139"/>
      <c r="PWH42" s="139"/>
      <c r="PWI42" s="139"/>
      <c r="PWJ42" s="139"/>
      <c r="PWK42" s="139"/>
      <c r="PWL42" s="139"/>
      <c r="PWM42" s="139"/>
      <c r="PWN42" s="139"/>
      <c r="PWO42" s="139"/>
      <c r="PWP42" s="139"/>
      <c r="PWQ42" s="139"/>
      <c r="PWR42" s="139"/>
      <c r="PWS42" s="139"/>
      <c r="PWT42" s="139"/>
      <c r="PWU42" s="139"/>
      <c r="PWV42" s="139"/>
      <c r="PWW42" s="139"/>
      <c r="PWX42" s="139"/>
      <c r="PWY42" s="139"/>
      <c r="PWZ42" s="139"/>
      <c r="PXA42" s="139"/>
      <c r="PXB42" s="139"/>
      <c r="PXC42" s="139"/>
      <c r="PXD42" s="139"/>
      <c r="PXE42" s="139"/>
      <c r="PXF42" s="139"/>
      <c r="PXG42" s="139"/>
      <c r="PXH42" s="139"/>
      <c r="PXI42" s="139"/>
      <c r="PXJ42" s="139"/>
      <c r="PXK42" s="139"/>
      <c r="PXL42" s="139"/>
      <c r="PXM42" s="139"/>
      <c r="PXN42" s="139"/>
      <c r="PXO42" s="139"/>
      <c r="PXP42" s="139"/>
      <c r="PXQ42" s="139"/>
      <c r="PXR42" s="139"/>
      <c r="PXS42" s="139"/>
      <c r="PXT42" s="139"/>
      <c r="PXU42" s="139"/>
      <c r="PXV42" s="139"/>
      <c r="PXW42" s="139"/>
      <c r="PXX42" s="139"/>
      <c r="PXY42" s="139"/>
      <c r="PXZ42" s="139"/>
      <c r="PYA42" s="139"/>
      <c r="PYB42" s="139"/>
      <c r="PYC42" s="139"/>
      <c r="PYD42" s="139"/>
      <c r="PYE42" s="139"/>
      <c r="PYF42" s="139"/>
      <c r="PYG42" s="139"/>
      <c r="PYH42" s="139"/>
      <c r="PYI42" s="139"/>
      <c r="PYJ42" s="139"/>
      <c r="PYK42" s="139"/>
      <c r="PYL42" s="139"/>
      <c r="PYM42" s="139"/>
      <c r="PYN42" s="139"/>
      <c r="PYO42" s="139"/>
      <c r="PYP42" s="139"/>
      <c r="PYQ42" s="139"/>
      <c r="PYR42" s="139"/>
      <c r="PYS42" s="139"/>
      <c r="PYT42" s="139"/>
      <c r="PYU42" s="139"/>
      <c r="PYV42" s="139"/>
      <c r="PYW42" s="139"/>
      <c r="PYX42" s="139"/>
      <c r="PYY42" s="139"/>
      <c r="PYZ42" s="139"/>
      <c r="PZA42" s="139"/>
      <c r="PZB42" s="139"/>
      <c r="PZC42" s="139"/>
      <c r="PZD42" s="139"/>
      <c r="PZE42" s="139"/>
      <c r="PZF42" s="139"/>
      <c r="PZG42" s="139"/>
      <c r="PZH42" s="139"/>
      <c r="PZI42" s="139"/>
      <c r="PZJ42" s="139"/>
      <c r="PZK42" s="139"/>
      <c r="PZL42" s="139"/>
      <c r="PZM42" s="139"/>
      <c r="PZN42" s="139"/>
      <c r="PZO42" s="139"/>
      <c r="PZP42" s="139"/>
      <c r="PZQ42" s="139"/>
      <c r="PZR42" s="139"/>
      <c r="PZS42" s="139"/>
      <c r="PZT42" s="139"/>
      <c r="PZU42" s="139"/>
      <c r="PZV42" s="139"/>
      <c r="PZW42" s="139"/>
      <c r="PZX42" s="139"/>
      <c r="PZY42" s="139"/>
      <c r="PZZ42" s="139"/>
      <c r="QAA42" s="139"/>
      <c r="QAB42" s="139"/>
      <c r="QAC42" s="139"/>
      <c r="QAD42" s="139"/>
      <c r="QAE42" s="139"/>
      <c r="QAF42" s="139"/>
      <c r="QAG42" s="139"/>
      <c r="QAH42" s="139"/>
      <c r="QAI42" s="139"/>
      <c r="QAJ42" s="139"/>
      <c r="QAK42" s="139"/>
      <c r="QAL42" s="139"/>
      <c r="QAM42" s="139"/>
      <c r="QAN42" s="139"/>
      <c r="QAO42" s="139"/>
      <c r="QAP42" s="139"/>
      <c r="QAQ42" s="139"/>
      <c r="QAR42" s="139"/>
      <c r="QAS42" s="139"/>
      <c r="QAT42" s="139"/>
      <c r="QAU42" s="139"/>
      <c r="QAV42" s="139"/>
      <c r="QAW42" s="139"/>
      <c r="QAX42" s="139"/>
      <c r="QAY42" s="139"/>
      <c r="QAZ42" s="139"/>
      <c r="QBA42" s="139"/>
      <c r="QBB42" s="139"/>
      <c r="QBC42" s="139"/>
      <c r="QBD42" s="139"/>
      <c r="QBE42" s="139"/>
      <c r="QBF42" s="139"/>
      <c r="QBG42" s="139"/>
      <c r="QBH42" s="139"/>
      <c r="QBI42" s="139"/>
      <c r="QBJ42" s="139"/>
      <c r="QBK42" s="139"/>
      <c r="QBL42" s="139"/>
      <c r="QBM42" s="139"/>
      <c r="QBN42" s="139"/>
      <c r="QBO42" s="139"/>
      <c r="QBP42" s="139"/>
      <c r="QBQ42" s="139"/>
      <c r="QBR42" s="139"/>
      <c r="QBS42" s="139"/>
      <c r="QBT42" s="139"/>
      <c r="QBU42" s="139"/>
      <c r="QBV42" s="139"/>
      <c r="QBW42" s="139"/>
      <c r="QBX42" s="139"/>
      <c r="QBY42" s="139"/>
      <c r="QBZ42" s="139"/>
      <c r="QCA42" s="139"/>
      <c r="QCB42" s="139"/>
      <c r="QCC42" s="139"/>
      <c r="QCD42" s="139"/>
      <c r="QCE42" s="139"/>
      <c r="QCF42" s="139"/>
      <c r="QCG42" s="139"/>
      <c r="QCH42" s="139"/>
      <c r="QCI42" s="139"/>
      <c r="QCJ42" s="139"/>
      <c r="QCK42" s="139"/>
      <c r="QCL42" s="139"/>
      <c r="QCM42" s="139"/>
      <c r="QCN42" s="139"/>
      <c r="QCO42" s="139"/>
      <c r="QCP42" s="139"/>
      <c r="QCQ42" s="139"/>
      <c r="QCR42" s="139"/>
      <c r="QCS42" s="139"/>
      <c r="QCT42" s="139"/>
      <c r="QCU42" s="139"/>
      <c r="QCV42" s="139"/>
      <c r="QCW42" s="139"/>
      <c r="QCX42" s="139"/>
      <c r="QCY42" s="139"/>
      <c r="QCZ42" s="139"/>
      <c r="QDA42" s="139"/>
      <c r="QDB42" s="139"/>
      <c r="QDC42" s="139"/>
      <c r="QDD42" s="139"/>
      <c r="QDE42" s="139"/>
      <c r="QDF42" s="139"/>
      <c r="QDG42" s="139"/>
      <c r="QDH42" s="139"/>
      <c r="QDI42" s="139"/>
      <c r="QDJ42" s="139"/>
      <c r="QDK42" s="139"/>
      <c r="QDL42" s="139"/>
      <c r="QDM42" s="139"/>
      <c r="QDN42" s="139"/>
      <c r="QDO42" s="139"/>
      <c r="QDP42" s="139"/>
      <c r="QDQ42" s="139"/>
      <c r="QDR42" s="139"/>
      <c r="QDS42" s="139"/>
      <c r="QDT42" s="139"/>
      <c r="QDU42" s="139"/>
      <c r="QDV42" s="139"/>
      <c r="QDW42" s="139"/>
      <c r="QDX42" s="139"/>
      <c r="QDY42" s="139"/>
      <c r="QDZ42" s="139"/>
      <c r="QEA42" s="139"/>
      <c r="QEB42" s="139"/>
      <c r="QEC42" s="139"/>
      <c r="QED42" s="139"/>
      <c r="QEE42" s="139"/>
      <c r="QEF42" s="139"/>
      <c r="QEG42" s="139"/>
      <c r="QEH42" s="139"/>
      <c r="QEI42" s="139"/>
      <c r="QEJ42" s="139"/>
      <c r="QEK42" s="139"/>
      <c r="QEL42" s="139"/>
      <c r="QEM42" s="139"/>
      <c r="QEN42" s="139"/>
      <c r="QEO42" s="139"/>
      <c r="QEP42" s="139"/>
      <c r="QEQ42" s="139"/>
      <c r="QER42" s="139"/>
      <c r="QES42" s="139"/>
      <c r="QET42" s="139"/>
      <c r="QEU42" s="139"/>
      <c r="QEV42" s="139"/>
      <c r="QEW42" s="139"/>
      <c r="QEX42" s="139"/>
      <c r="QEY42" s="139"/>
      <c r="QEZ42" s="139"/>
      <c r="QFA42" s="139"/>
      <c r="QFB42" s="139"/>
      <c r="QFC42" s="139"/>
      <c r="QFD42" s="139"/>
      <c r="QFE42" s="139"/>
      <c r="QFF42" s="139"/>
      <c r="QFG42" s="139"/>
      <c r="QFH42" s="139"/>
      <c r="QFI42" s="139"/>
      <c r="QFJ42" s="139"/>
      <c r="QFK42" s="139"/>
      <c r="QFL42" s="139"/>
      <c r="QFM42" s="139"/>
      <c r="QFN42" s="139"/>
      <c r="QFO42" s="139"/>
      <c r="QFP42" s="139"/>
      <c r="QFQ42" s="139"/>
      <c r="QFR42" s="139"/>
      <c r="QFS42" s="139"/>
      <c r="QFT42" s="139"/>
      <c r="QFU42" s="139"/>
      <c r="QFV42" s="139"/>
      <c r="QFW42" s="139"/>
      <c r="QFX42" s="139"/>
      <c r="QFY42" s="139"/>
      <c r="QFZ42" s="139"/>
      <c r="QGA42" s="139"/>
      <c r="QGB42" s="139"/>
      <c r="QGC42" s="139"/>
      <c r="QGD42" s="139"/>
      <c r="QGE42" s="139"/>
      <c r="QGF42" s="139"/>
      <c r="QGG42" s="139"/>
      <c r="QGH42" s="139"/>
      <c r="QGI42" s="139"/>
      <c r="QGJ42" s="139"/>
      <c r="QGK42" s="139"/>
      <c r="QGL42" s="139"/>
      <c r="QGM42" s="139"/>
      <c r="QGN42" s="139"/>
      <c r="QGO42" s="139"/>
      <c r="QGP42" s="139"/>
      <c r="QGQ42" s="139"/>
      <c r="QGR42" s="139"/>
      <c r="QGS42" s="139"/>
      <c r="QGT42" s="139"/>
      <c r="QGU42" s="139"/>
      <c r="QGV42" s="139"/>
      <c r="QGW42" s="139"/>
      <c r="QGX42" s="139"/>
      <c r="QGY42" s="139"/>
      <c r="QGZ42" s="139"/>
      <c r="QHA42" s="139"/>
      <c r="QHB42" s="139"/>
      <c r="QHC42" s="139"/>
      <c r="QHD42" s="139"/>
      <c r="QHE42" s="139"/>
      <c r="QHF42" s="139"/>
      <c r="QHG42" s="139"/>
      <c r="QHH42" s="139"/>
      <c r="QHI42" s="139"/>
      <c r="QHJ42" s="139"/>
      <c r="QHK42" s="139"/>
      <c r="QHL42" s="139"/>
      <c r="QHM42" s="139"/>
      <c r="QHN42" s="139"/>
      <c r="QHO42" s="139"/>
      <c r="QHP42" s="139"/>
      <c r="QHQ42" s="139"/>
      <c r="QHR42" s="139"/>
      <c r="QHS42" s="139"/>
      <c r="QHT42" s="139"/>
      <c r="QHU42" s="139"/>
      <c r="QHV42" s="139"/>
      <c r="QHW42" s="139"/>
      <c r="QHX42" s="139"/>
      <c r="QHY42" s="139"/>
      <c r="QHZ42" s="139"/>
      <c r="QIA42" s="139"/>
      <c r="QIB42" s="139"/>
      <c r="QIC42" s="139"/>
      <c r="QID42" s="139"/>
      <c r="QIE42" s="139"/>
      <c r="QIF42" s="139"/>
      <c r="QIG42" s="139"/>
      <c r="QIH42" s="139"/>
      <c r="QII42" s="139"/>
      <c r="QIJ42" s="139"/>
      <c r="QIK42" s="139"/>
      <c r="QIL42" s="139"/>
      <c r="QIM42" s="139"/>
      <c r="QIN42" s="139"/>
      <c r="QIO42" s="139"/>
      <c r="QIP42" s="139"/>
      <c r="QIQ42" s="139"/>
      <c r="QIR42" s="139"/>
      <c r="QIS42" s="139"/>
      <c r="QIT42" s="139"/>
      <c r="QIU42" s="139"/>
      <c r="QIV42" s="139"/>
      <c r="QIW42" s="139"/>
      <c r="QIX42" s="139"/>
      <c r="QIY42" s="139"/>
      <c r="QIZ42" s="139"/>
      <c r="QJA42" s="139"/>
      <c r="QJB42" s="139"/>
      <c r="QJC42" s="139"/>
      <c r="QJD42" s="139"/>
      <c r="QJE42" s="139"/>
      <c r="QJF42" s="139"/>
      <c r="QJG42" s="139"/>
      <c r="QJH42" s="139"/>
      <c r="QJI42" s="139"/>
      <c r="QJJ42" s="139"/>
      <c r="QJK42" s="139"/>
      <c r="QJL42" s="139"/>
      <c r="QJM42" s="139"/>
      <c r="QJN42" s="139"/>
      <c r="QJO42" s="139"/>
      <c r="QJP42" s="139"/>
      <c r="QJQ42" s="139"/>
      <c r="QJR42" s="139"/>
      <c r="QJS42" s="139"/>
      <c r="QJT42" s="139"/>
      <c r="QJU42" s="139"/>
      <c r="QJV42" s="139"/>
      <c r="QJW42" s="139"/>
      <c r="QJX42" s="139"/>
      <c r="QJY42" s="139"/>
      <c r="QJZ42" s="139"/>
      <c r="QKA42" s="139"/>
      <c r="QKB42" s="139"/>
      <c r="QKC42" s="139"/>
      <c r="QKD42" s="139"/>
      <c r="QKE42" s="139"/>
      <c r="QKF42" s="139"/>
      <c r="QKG42" s="139"/>
      <c r="QKH42" s="139"/>
      <c r="QKI42" s="139"/>
      <c r="QKJ42" s="139"/>
      <c r="QKK42" s="139"/>
      <c r="QKL42" s="139"/>
      <c r="QKM42" s="139"/>
      <c r="QKN42" s="139"/>
      <c r="QKO42" s="139"/>
      <c r="QKP42" s="139"/>
      <c r="QKQ42" s="139"/>
      <c r="QKR42" s="139"/>
      <c r="QKS42" s="139"/>
      <c r="QKT42" s="139"/>
      <c r="QKU42" s="139"/>
      <c r="QKV42" s="139"/>
      <c r="QKW42" s="139"/>
      <c r="QKX42" s="139"/>
      <c r="QKY42" s="139"/>
      <c r="QKZ42" s="139"/>
      <c r="QLA42" s="139"/>
      <c r="QLB42" s="139"/>
      <c r="QLC42" s="139"/>
      <c r="QLD42" s="139"/>
      <c r="QLE42" s="139"/>
      <c r="QLF42" s="139"/>
      <c r="QLG42" s="139"/>
      <c r="QLH42" s="139"/>
      <c r="QLI42" s="139"/>
      <c r="QLJ42" s="139"/>
      <c r="QLK42" s="139"/>
      <c r="QLL42" s="139"/>
      <c r="QLM42" s="139"/>
      <c r="QLN42" s="139"/>
      <c r="QLO42" s="139"/>
      <c r="QLP42" s="139"/>
      <c r="QLQ42" s="139"/>
      <c r="QLR42" s="139"/>
      <c r="QLS42" s="139"/>
      <c r="QLT42" s="139"/>
      <c r="QLU42" s="139"/>
      <c r="QLV42" s="139"/>
      <c r="QLW42" s="139"/>
      <c r="QLX42" s="139"/>
      <c r="QLY42" s="139"/>
      <c r="QLZ42" s="139"/>
      <c r="QMA42" s="139"/>
      <c r="QMB42" s="139"/>
      <c r="QMC42" s="139"/>
      <c r="QMD42" s="139"/>
      <c r="QME42" s="139"/>
      <c r="QMF42" s="139"/>
      <c r="QMG42" s="139"/>
      <c r="QMH42" s="139"/>
      <c r="QMI42" s="139"/>
      <c r="QMJ42" s="139"/>
      <c r="QMK42" s="139"/>
      <c r="QML42" s="139"/>
      <c r="QMM42" s="139"/>
      <c r="QMN42" s="139"/>
      <c r="QMO42" s="139"/>
      <c r="QMP42" s="139"/>
      <c r="QMQ42" s="139"/>
      <c r="QMR42" s="139"/>
      <c r="QMS42" s="139"/>
      <c r="QMT42" s="139"/>
      <c r="QMU42" s="139"/>
      <c r="QMV42" s="139"/>
      <c r="QMW42" s="139"/>
      <c r="QMX42" s="139"/>
      <c r="QMY42" s="139"/>
      <c r="QMZ42" s="139"/>
      <c r="QNA42" s="139"/>
      <c r="QNB42" s="139"/>
      <c r="QNC42" s="139"/>
      <c r="QND42" s="139"/>
      <c r="QNE42" s="139"/>
      <c r="QNF42" s="139"/>
      <c r="QNG42" s="139"/>
      <c r="QNH42" s="139"/>
      <c r="QNI42" s="139"/>
      <c r="QNJ42" s="139"/>
      <c r="QNK42" s="139"/>
      <c r="QNL42" s="139"/>
      <c r="QNM42" s="139"/>
      <c r="QNN42" s="139"/>
      <c r="QNO42" s="139"/>
      <c r="QNP42" s="139"/>
      <c r="QNQ42" s="139"/>
      <c r="QNR42" s="139"/>
      <c r="QNS42" s="139"/>
      <c r="QNT42" s="139"/>
      <c r="QNU42" s="139"/>
      <c r="QNV42" s="139"/>
      <c r="QNW42" s="139"/>
      <c r="QNX42" s="139"/>
      <c r="QNY42" s="139"/>
      <c r="QNZ42" s="139"/>
      <c r="QOA42" s="139"/>
      <c r="QOB42" s="139"/>
      <c r="QOC42" s="139"/>
      <c r="QOD42" s="139"/>
      <c r="QOE42" s="139"/>
      <c r="QOF42" s="139"/>
      <c r="QOG42" s="139"/>
      <c r="QOH42" s="139"/>
      <c r="QOI42" s="139"/>
      <c r="QOJ42" s="139"/>
      <c r="QOK42" s="139"/>
      <c r="QOL42" s="139"/>
      <c r="QOM42" s="139"/>
      <c r="QON42" s="139"/>
      <c r="QOO42" s="139"/>
      <c r="QOP42" s="139"/>
      <c r="QOQ42" s="139"/>
      <c r="QOR42" s="139"/>
      <c r="QOS42" s="139"/>
      <c r="QOT42" s="139"/>
      <c r="QOU42" s="139"/>
      <c r="QOV42" s="139"/>
      <c r="QOW42" s="139"/>
      <c r="QOX42" s="139"/>
      <c r="QOY42" s="139"/>
      <c r="QOZ42" s="139"/>
      <c r="QPA42" s="139"/>
      <c r="QPB42" s="139"/>
      <c r="QPC42" s="139"/>
      <c r="QPD42" s="139"/>
      <c r="QPE42" s="139"/>
      <c r="QPF42" s="139"/>
      <c r="QPG42" s="139"/>
      <c r="QPH42" s="139"/>
      <c r="QPI42" s="139"/>
      <c r="QPJ42" s="139"/>
      <c r="QPK42" s="139"/>
      <c r="QPL42" s="139"/>
      <c r="QPM42" s="139"/>
      <c r="QPN42" s="139"/>
      <c r="QPO42" s="139"/>
      <c r="QPP42" s="139"/>
      <c r="QPQ42" s="139"/>
      <c r="QPR42" s="139"/>
      <c r="QPS42" s="139"/>
      <c r="QPT42" s="139"/>
      <c r="QPU42" s="139"/>
      <c r="QPV42" s="139"/>
      <c r="QPW42" s="139"/>
      <c r="QPX42" s="139"/>
      <c r="QPY42" s="139"/>
      <c r="QPZ42" s="139"/>
      <c r="QQA42" s="139"/>
      <c r="QQB42" s="139"/>
      <c r="QQC42" s="139"/>
      <c r="QQD42" s="139"/>
      <c r="QQE42" s="139"/>
      <c r="QQF42" s="139"/>
      <c r="QQG42" s="139"/>
      <c r="QQH42" s="139"/>
      <c r="QQI42" s="139"/>
      <c r="QQJ42" s="139"/>
      <c r="QQK42" s="139"/>
      <c r="QQL42" s="139"/>
      <c r="QQM42" s="139"/>
      <c r="QQN42" s="139"/>
      <c r="QQO42" s="139"/>
      <c r="QQP42" s="139"/>
      <c r="QQQ42" s="139"/>
      <c r="QQR42" s="139"/>
      <c r="QQS42" s="139"/>
      <c r="QQT42" s="139"/>
      <c r="QQU42" s="139"/>
      <c r="QQV42" s="139"/>
      <c r="QQW42" s="139"/>
      <c r="QQX42" s="139"/>
      <c r="QQY42" s="139"/>
      <c r="QQZ42" s="139"/>
      <c r="QRA42" s="139"/>
      <c r="QRB42" s="139"/>
      <c r="QRC42" s="139"/>
      <c r="QRD42" s="139"/>
      <c r="QRE42" s="139"/>
      <c r="QRF42" s="139"/>
      <c r="QRG42" s="139"/>
      <c r="QRH42" s="139"/>
      <c r="QRI42" s="139"/>
      <c r="QRJ42" s="139"/>
      <c r="QRK42" s="139"/>
      <c r="QRL42" s="139"/>
      <c r="QRM42" s="139"/>
      <c r="QRN42" s="139"/>
      <c r="QRO42" s="139"/>
      <c r="QRP42" s="139"/>
      <c r="QRQ42" s="139"/>
      <c r="QRR42" s="139"/>
      <c r="QRS42" s="139"/>
      <c r="QRT42" s="139"/>
      <c r="QRU42" s="139"/>
      <c r="QRV42" s="139"/>
      <c r="QRW42" s="139"/>
      <c r="QRX42" s="139"/>
      <c r="QRY42" s="139"/>
      <c r="QRZ42" s="139"/>
      <c r="QSA42" s="139"/>
      <c r="QSB42" s="139"/>
      <c r="QSC42" s="139"/>
      <c r="QSD42" s="139"/>
      <c r="QSE42" s="139"/>
      <c r="QSF42" s="139"/>
      <c r="QSG42" s="139"/>
      <c r="QSH42" s="139"/>
      <c r="QSI42" s="139"/>
      <c r="QSJ42" s="139"/>
      <c r="QSK42" s="139"/>
      <c r="QSL42" s="139"/>
      <c r="QSM42" s="139"/>
      <c r="QSN42" s="139"/>
      <c r="QSO42" s="139"/>
      <c r="QSP42" s="139"/>
      <c r="QSQ42" s="139"/>
      <c r="QSR42" s="139"/>
      <c r="QSS42" s="139"/>
      <c r="QST42" s="139"/>
      <c r="QSU42" s="139"/>
      <c r="QSV42" s="139"/>
      <c r="QSW42" s="139"/>
      <c r="QSX42" s="139"/>
      <c r="QSY42" s="139"/>
      <c r="QSZ42" s="139"/>
      <c r="QTA42" s="139"/>
      <c r="QTB42" s="139"/>
      <c r="QTC42" s="139"/>
      <c r="QTD42" s="139"/>
      <c r="QTE42" s="139"/>
      <c r="QTF42" s="139"/>
      <c r="QTG42" s="139"/>
      <c r="QTH42" s="139"/>
      <c r="QTI42" s="139"/>
      <c r="QTJ42" s="139"/>
      <c r="QTK42" s="139"/>
      <c r="QTL42" s="139"/>
      <c r="QTM42" s="139"/>
      <c r="QTN42" s="139"/>
      <c r="QTO42" s="139"/>
      <c r="QTP42" s="139"/>
      <c r="QTQ42" s="139"/>
      <c r="QTR42" s="139"/>
      <c r="QTS42" s="139"/>
      <c r="QTT42" s="139"/>
      <c r="QTU42" s="139"/>
      <c r="QTV42" s="139"/>
      <c r="QTW42" s="139"/>
      <c r="QTX42" s="139"/>
      <c r="QTY42" s="139"/>
      <c r="QTZ42" s="139"/>
      <c r="QUA42" s="139"/>
      <c r="QUB42" s="139"/>
      <c r="QUC42" s="139"/>
      <c r="QUD42" s="139"/>
      <c r="QUE42" s="139"/>
      <c r="QUF42" s="139"/>
      <c r="QUG42" s="139"/>
      <c r="QUH42" s="139"/>
      <c r="QUI42" s="139"/>
      <c r="QUJ42" s="139"/>
      <c r="QUK42" s="139"/>
      <c r="QUL42" s="139"/>
      <c r="QUM42" s="139"/>
      <c r="QUN42" s="139"/>
      <c r="QUO42" s="139"/>
      <c r="QUP42" s="139"/>
      <c r="QUQ42" s="139"/>
      <c r="QUR42" s="139"/>
      <c r="QUS42" s="139"/>
      <c r="QUT42" s="139"/>
      <c r="QUU42" s="139"/>
      <c r="QUV42" s="139"/>
      <c r="QUW42" s="139"/>
      <c r="QUX42" s="139"/>
      <c r="QUY42" s="139"/>
      <c r="QUZ42" s="139"/>
      <c r="QVA42" s="139"/>
      <c r="QVB42" s="139"/>
      <c r="QVC42" s="139"/>
      <c r="QVD42" s="139"/>
      <c r="QVE42" s="139"/>
      <c r="QVF42" s="139"/>
      <c r="QVG42" s="139"/>
      <c r="QVH42" s="139"/>
      <c r="QVI42" s="139"/>
      <c r="QVJ42" s="139"/>
      <c r="QVK42" s="139"/>
      <c r="QVL42" s="139"/>
      <c r="QVM42" s="139"/>
      <c r="QVN42" s="139"/>
      <c r="QVO42" s="139"/>
      <c r="QVP42" s="139"/>
      <c r="QVQ42" s="139"/>
      <c r="QVR42" s="139"/>
      <c r="QVS42" s="139"/>
      <c r="QVT42" s="139"/>
      <c r="QVU42" s="139"/>
      <c r="QVV42" s="139"/>
      <c r="QVW42" s="139"/>
      <c r="QVX42" s="139"/>
      <c r="QVY42" s="139"/>
      <c r="QVZ42" s="139"/>
      <c r="QWA42" s="139"/>
      <c r="QWB42" s="139"/>
      <c r="QWC42" s="139"/>
      <c r="QWD42" s="139"/>
      <c r="QWE42" s="139"/>
      <c r="QWF42" s="139"/>
      <c r="QWG42" s="139"/>
      <c r="QWH42" s="139"/>
      <c r="QWI42" s="139"/>
      <c r="QWJ42" s="139"/>
      <c r="QWK42" s="139"/>
      <c r="QWL42" s="139"/>
      <c r="QWM42" s="139"/>
      <c r="QWN42" s="139"/>
      <c r="QWO42" s="139"/>
      <c r="QWP42" s="139"/>
      <c r="QWQ42" s="139"/>
      <c r="QWR42" s="139"/>
      <c r="QWS42" s="139"/>
      <c r="QWT42" s="139"/>
      <c r="QWU42" s="139"/>
      <c r="QWV42" s="139"/>
      <c r="QWW42" s="139"/>
      <c r="QWX42" s="139"/>
      <c r="QWY42" s="139"/>
      <c r="QWZ42" s="139"/>
      <c r="QXA42" s="139"/>
      <c r="QXB42" s="139"/>
      <c r="QXC42" s="139"/>
      <c r="QXD42" s="139"/>
      <c r="QXE42" s="139"/>
      <c r="QXF42" s="139"/>
      <c r="QXG42" s="139"/>
      <c r="QXH42" s="139"/>
      <c r="QXI42" s="139"/>
      <c r="QXJ42" s="139"/>
      <c r="QXK42" s="139"/>
      <c r="QXL42" s="139"/>
      <c r="QXM42" s="139"/>
      <c r="QXN42" s="139"/>
      <c r="QXO42" s="139"/>
      <c r="QXP42" s="139"/>
      <c r="QXQ42" s="139"/>
      <c r="QXR42" s="139"/>
      <c r="QXS42" s="139"/>
      <c r="QXT42" s="139"/>
      <c r="QXU42" s="139"/>
      <c r="QXV42" s="139"/>
      <c r="QXW42" s="139"/>
      <c r="QXX42" s="139"/>
      <c r="QXY42" s="139"/>
      <c r="QXZ42" s="139"/>
      <c r="QYA42" s="139"/>
      <c r="QYB42" s="139"/>
      <c r="QYC42" s="139"/>
      <c r="QYD42" s="139"/>
      <c r="QYE42" s="139"/>
      <c r="QYF42" s="139"/>
      <c r="QYG42" s="139"/>
      <c r="QYH42" s="139"/>
      <c r="QYI42" s="139"/>
      <c r="QYJ42" s="139"/>
      <c r="QYK42" s="139"/>
      <c r="QYL42" s="139"/>
      <c r="QYM42" s="139"/>
      <c r="QYN42" s="139"/>
      <c r="QYO42" s="139"/>
      <c r="QYP42" s="139"/>
      <c r="QYQ42" s="139"/>
      <c r="QYR42" s="139"/>
      <c r="QYS42" s="139"/>
      <c r="QYT42" s="139"/>
      <c r="QYU42" s="139"/>
      <c r="QYV42" s="139"/>
      <c r="QYW42" s="139"/>
      <c r="QYX42" s="139"/>
      <c r="QYY42" s="139"/>
      <c r="QYZ42" s="139"/>
      <c r="QZA42" s="139"/>
      <c r="QZB42" s="139"/>
      <c r="QZC42" s="139"/>
      <c r="QZD42" s="139"/>
      <c r="QZE42" s="139"/>
      <c r="QZF42" s="139"/>
      <c r="QZG42" s="139"/>
      <c r="QZH42" s="139"/>
      <c r="QZI42" s="139"/>
      <c r="QZJ42" s="139"/>
      <c r="QZK42" s="139"/>
      <c r="QZL42" s="139"/>
      <c r="QZM42" s="139"/>
      <c r="QZN42" s="139"/>
      <c r="QZO42" s="139"/>
      <c r="QZP42" s="139"/>
      <c r="QZQ42" s="139"/>
      <c r="QZR42" s="139"/>
      <c r="QZS42" s="139"/>
      <c r="QZT42" s="139"/>
      <c r="QZU42" s="139"/>
      <c r="QZV42" s="139"/>
      <c r="QZW42" s="139"/>
      <c r="QZX42" s="139"/>
      <c r="QZY42" s="139"/>
      <c r="QZZ42" s="139"/>
      <c r="RAA42" s="139"/>
      <c r="RAB42" s="139"/>
      <c r="RAC42" s="139"/>
      <c r="RAD42" s="139"/>
      <c r="RAE42" s="139"/>
      <c r="RAF42" s="139"/>
      <c r="RAG42" s="139"/>
      <c r="RAH42" s="139"/>
      <c r="RAI42" s="139"/>
      <c r="RAJ42" s="139"/>
      <c r="RAK42" s="139"/>
      <c r="RAL42" s="139"/>
      <c r="RAM42" s="139"/>
      <c r="RAN42" s="139"/>
      <c r="RAO42" s="139"/>
      <c r="RAP42" s="139"/>
      <c r="RAQ42" s="139"/>
      <c r="RAR42" s="139"/>
      <c r="RAS42" s="139"/>
      <c r="RAT42" s="139"/>
      <c r="RAU42" s="139"/>
      <c r="RAV42" s="139"/>
      <c r="RAW42" s="139"/>
      <c r="RAX42" s="139"/>
      <c r="RAY42" s="139"/>
      <c r="RAZ42" s="139"/>
      <c r="RBA42" s="139"/>
      <c r="RBB42" s="139"/>
      <c r="RBC42" s="139"/>
      <c r="RBD42" s="139"/>
      <c r="RBE42" s="139"/>
      <c r="RBF42" s="139"/>
      <c r="RBG42" s="139"/>
      <c r="RBH42" s="139"/>
      <c r="RBI42" s="139"/>
      <c r="RBJ42" s="139"/>
      <c r="RBK42" s="139"/>
      <c r="RBL42" s="139"/>
      <c r="RBM42" s="139"/>
      <c r="RBN42" s="139"/>
      <c r="RBO42" s="139"/>
      <c r="RBP42" s="139"/>
      <c r="RBQ42" s="139"/>
      <c r="RBR42" s="139"/>
      <c r="RBS42" s="139"/>
      <c r="RBT42" s="139"/>
      <c r="RBU42" s="139"/>
      <c r="RBV42" s="139"/>
      <c r="RBW42" s="139"/>
      <c r="RBX42" s="139"/>
      <c r="RBY42" s="139"/>
      <c r="RBZ42" s="139"/>
      <c r="RCA42" s="139"/>
      <c r="RCB42" s="139"/>
      <c r="RCC42" s="139"/>
      <c r="RCD42" s="139"/>
      <c r="RCE42" s="139"/>
      <c r="RCF42" s="139"/>
      <c r="RCG42" s="139"/>
      <c r="RCH42" s="139"/>
      <c r="RCI42" s="139"/>
      <c r="RCJ42" s="139"/>
      <c r="RCK42" s="139"/>
      <c r="RCL42" s="139"/>
      <c r="RCM42" s="139"/>
      <c r="RCN42" s="139"/>
      <c r="RCO42" s="139"/>
      <c r="RCP42" s="139"/>
      <c r="RCQ42" s="139"/>
      <c r="RCR42" s="139"/>
      <c r="RCS42" s="139"/>
      <c r="RCT42" s="139"/>
      <c r="RCU42" s="139"/>
      <c r="RCV42" s="139"/>
      <c r="RCW42" s="139"/>
      <c r="RCX42" s="139"/>
      <c r="RCY42" s="139"/>
      <c r="RCZ42" s="139"/>
      <c r="RDA42" s="139"/>
      <c r="RDB42" s="139"/>
      <c r="RDC42" s="139"/>
      <c r="RDD42" s="139"/>
      <c r="RDE42" s="139"/>
      <c r="RDF42" s="139"/>
      <c r="RDG42" s="139"/>
      <c r="RDH42" s="139"/>
      <c r="RDI42" s="139"/>
      <c r="RDJ42" s="139"/>
      <c r="RDK42" s="139"/>
      <c r="RDL42" s="139"/>
      <c r="RDM42" s="139"/>
      <c r="RDN42" s="139"/>
      <c r="RDO42" s="139"/>
      <c r="RDP42" s="139"/>
      <c r="RDQ42" s="139"/>
      <c r="RDR42" s="139"/>
      <c r="RDS42" s="139"/>
      <c r="RDT42" s="139"/>
      <c r="RDU42" s="139"/>
      <c r="RDV42" s="139"/>
      <c r="RDW42" s="139"/>
      <c r="RDX42" s="139"/>
      <c r="RDY42" s="139"/>
      <c r="RDZ42" s="139"/>
      <c r="REA42" s="139"/>
      <c r="REB42" s="139"/>
      <c r="REC42" s="139"/>
      <c r="RED42" s="139"/>
      <c r="REE42" s="139"/>
      <c r="REF42" s="139"/>
      <c r="REG42" s="139"/>
      <c r="REH42" s="139"/>
      <c r="REI42" s="139"/>
      <c r="REJ42" s="139"/>
      <c r="REK42" s="139"/>
      <c r="REL42" s="139"/>
      <c r="REM42" s="139"/>
      <c r="REN42" s="139"/>
      <c r="REO42" s="139"/>
      <c r="REP42" s="139"/>
      <c r="REQ42" s="139"/>
      <c r="RER42" s="139"/>
      <c r="RES42" s="139"/>
      <c r="RET42" s="139"/>
      <c r="REU42" s="139"/>
      <c r="REV42" s="139"/>
      <c r="REW42" s="139"/>
      <c r="REX42" s="139"/>
      <c r="REY42" s="139"/>
      <c r="REZ42" s="139"/>
      <c r="RFA42" s="139"/>
      <c r="RFB42" s="139"/>
      <c r="RFC42" s="139"/>
      <c r="RFD42" s="139"/>
      <c r="RFE42" s="139"/>
      <c r="RFF42" s="139"/>
      <c r="RFG42" s="139"/>
      <c r="RFH42" s="139"/>
      <c r="RFI42" s="139"/>
      <c r="RFJ42" s="139"/>
      <c r="RFK42" s="139"/>
      <c r="RFL42" s="139"/>
      <c r="RFM42" s="139"/>
      <c r="RFN42" s="139"/>
      <c r="RFO42" s="139"/>
      <c r="RFP42" s="139"/>
      <c r="RFQ42" s="139"/>
      <c r="RFR42" s="139"/>
      <c r="RFS42" s="139"/>
      <c r="RFT42" s="139"/>
      <c r="RFU42" s="139"/>
      <c r="RFV42" s="139"/>
      <c r="RFW42" s="139"/>
      <c r="RFX42" s="139"/>
      <c r="RFY42" s="139"/>
      <c r="RFZ42" s="139"/>
      <c r="RGA42" s="139"/>
      <c r="RGB42" s="139"/>
      <c r="RGC42" s="139"/>
      <c r="RGD42" s="139"/>
      <c r="RGE42" s="139"/>
      <c r="RGF42" s="139"/>
      <c r="RGG42" s="139"/>
      <c r="RGH42" s="139"/>
      <c r="RGI42" s="139"/>
      <c r="RGJ42" s="139"/>
      <c r="RGK42" s="139"/>
      <c r="RGL42" s="139"/>
      <c r="RGM42" s="139"/>
      <c r="RGN42" s="139"/>
      <c r="RGO42" s="139"/>
      <c r="RGP42" s="139"/>
      <c r="RGQ42" s="139"/>
      <c r="RGR42" s="139"/>
      <c r="RGS42" s="139"/>
      <c r="RGT42" s="139"/>
      <c r="RGU42" s="139"/>
      <c r="RGV42" s="139"/>
      <c r="RGW42" s="139"/>
      <c r="RGX42" s="139"/>
      <c r="RGY42" s="139"/>
      <c r="RGZ42" s="139"/>
      <c r="RHA42" s="139"/>
      <c r="RHB42" s="139"/>
      <c r="RHC42" s="139"/>
      <c r="RHD42" s="139"/>
      <c r="RHE42" s="139"/>
      <c r="RHF42" s="139"/>
      <c r="RHG42" s="139"/>
      <c r="RHH42" s="139"/>
      <c r="RHI42" s="139"/>
      <c r="RHJ42" s="139"/>
      <c r="RHK42" s="139"/>
      <c r="RHL42" s="139"/>
      <c r="RHM42" s="139"/>
      <c r="RHN42" s="139"/>
      <c r="RHO42" s="139"/>
      <c r="RHP42" s="139"/>
      <c r="RHQ42" s="139"/>
      <c r="RHR42" s="139"/>
      <c r="RHS42" s="139"/>
      <c r="RHT42" s="139"/>
      <c r="RHU42" s="139"/>
      <c r="RHV42" s="139"/>
      <c r="RHW42" s="139"/>
      <c r="RHX42" s="139"/>
      <c r="RHY42" s="139"/>
      <c r="RHZ42" s="139"/>
      <c r="RIA42" s="139"/>
      <c r="RIB42" s="139"/>
      <c r="RIC42" s="139"/>
      <c r="RID42" s="139"/>
      <c r="RIE42" s="139"/>
      <c r="RIF42" s="139"/>
      <c r="RIG42" s="139"/>
      <c r="RIH42" s="139"/>
      <c r="RII42" s="139"/>
      <c r="RIJ42" s="139"/>
      <c r="RIK42" s="139"/>
      <c r="RIL42" s="139"/>
      <c r="RIM42" s="139"/>
      <c r="RIN42" s="139"/>
      <c r="RIO42" s="139"/>
      <c r="RIP42" s="139"/>
      <c r="RIQ42" s="139"/>
      <c r="RIR42" s="139"/>
      <c r="RIS42" s="139"/>
      <c r="RIT42" s="139"/>
      <c r="RIU42" s="139"/>
      <c r="RIV42" s="139"/>
      <c r="RIW42" s="139"/>
      <c r="RIX42" s="139"/>
      <c r="RIY42" s="139"/>
      <c r="RIZ42" s="139"/>
      <c r="RJA42" s="139"/>
      <c r="RJB42" s="139"/>
      <c r="RJC42" s="139"/>
      <c r="RJD42" s="139"/>
      <c r="RJE42" s="139"/>
      <c r="RJF42" s="139"/>
      <c r="RJG42" s="139"/>
      <c r="RJH42" s="139"/>
      <c r="RJI42" s="139"/>
      <c r="RJJ42" s="139"/>
      <c r="RJK42" s="139"/>
      <c r="RJL42" s="139"/>
      <c r="RJM42" s="139"/>
      <c r="RJN42" s="139"/>
      <c r="RJO42" s="139"/>
      <c r="RJP42" s="139"/>
      <c r="RJQ42" s="139"/>
      <c r="RJR42" s="139"/>
      <c r="RJS42" s="139"/>
      <c r="RJT42" s="139"/>
      <c r="RJU42" s="139"/>
      <c r="RJV42" s="139"/>
      <c r="RJW42" s="139"/>
      <c r="RJX42" s="139"/>
      <c r="RJY42" s="139"/>
      <c r="RJZ42" s="139"/>
      <c r="RKA42" s="139"/>
      <c r="RKB42" s="139"/>
      <c r="RKC42" s="139"/>
      <c r="RKD42" s="139"/>
      <c r="RKE42" s="139"/>
      <c r="RKF42" s="139"/>
      <c r="RKG42" s="139"/>
      <c r="RKH42" s="139"/>
      <c r="RKI42" s="139"/>
      <c r="RKJ42" s="139"/>
      <c r="RKK42" s="139"/>
      <c r="RKL42" s="139"/>
      <c r="RKM42" s="139"/>
      <c r="RKN42" s="139"/>
      <c r="RKO42" s="139"/>
      <c r="RKP42" s="139"/>
      <c r="RKQ42" s="139"/>
      <c r="RKR42" s="139"/>
      <c r="RKS42" s="139"/>
      <c r="RKT42" s="139"/>
      <c r="RKU42" s="139"/>
      <c r="RKV42" s="139"/>
      <c r="RKW42" s="139"/>
      <c r="RKX42" s="139"/>
      <c r="RKY42" s="139"/>
      <c r="RKZ42" s="139"/>
      <c r="RLA42" s="139"/>
      <c r="RLB42" s="139"/>
      <c r="RLC42" s="139"/>
      <c r="RLD42" s="139"/>
      <c r="RLE42" s="139"/>
      <c r="RLF42" s="139"/>
      <c r="RLG42" s="139"/>
      <c r="RLH42" s="139"/>
      <c r="RLI42" s="139"/>
      <c r="RLJ42" s="139"/>
      <c r="RLK42" s="139"/>
      <c r="RLL42" s="139"/>
      <c r="RLM42" s="139"/>
      <c r="RLN42" s="139"/>
      <c r="RLO42" s="139"/>
      <c r="RLP42" s="139"/>
      <c r="RLQ42" s="139"/>
      <c r="RLR42" s="139"/>
      <c r="RLS42" s="139"/>
      <c r="RLT42" s="139"/>
      <c r="RLU42" s="139"/>
      <c r="RLV42" s="139"/>
      <c r="RLW42" s="139"/>
      <c r="RLX42" s="139"/>
      <c r="RLY42" s="139"/>
      <c r="RLZ42" s="139"/>
      <c r="RMA42" s="139"/>
      <c r="RMB42" s="139"/>
      <c r="RMC42" s="139"/>
      <c r="RMD42" s="139"/>
      <c r="RME42" s="139"/>
      <c r="RMF42" s="139"/>
      <c r="RMG42" s="139"/>
      <c r="RMH42" s="139"/>
      <c r="RMI42" s="139"/>
      <c r="RMJ42" s="139"/>
      <c r="RMK42" s="139"/>
      <c r="RML42" s="139"/>
      <c r="RMM42" s="139"/>
      <c r="RMN42" s="139"/>
      <c r="RMO42" s="139"/>
      <c r="RMP42" s="139"/>
      <c r="RMQ42" s="139"/>
      <c r="RMR42" s="139"/>
      <c r="RMS42" s="139"/>
      <c r="RMT42" s="139"/>
      <c r="RMU42" s="139"/>
      <c r="RMV42" s="139"/>
      <c r="RMW42" s="139"/>
      <c r="RMX42" s="139"/>
      <c r="RMY42" s="139"/>
      <c r="RMZ42" s="139"/>
      <c r="RNA42" s="139"/>
      <c r="RNB42" s="139"/>
      <c r="RNC42" s="139"/>
      <c r="RND42" s="139"/>
      <c r="RNE42" s="139"/>
      <c r="RNF42" s="139"/>
      <c r="RNG42" s="139"/>
      <c r="RNH42" s="139"/>
      <c r="RNI42" s="139"/>
      <c r="RNJ42" s="139"/>
      <c r="RNK42" s="139"/>
      <c r="RNL42" s="139"/>
      <c r="RNM42" s="139"/>
      <c r="RNN42" s="139"/>
      <c r="RNO42" s="139"/>
      <c r="RNP42" s="139"/>
      <c r="RNQ42" s="139"/>
      <c r="RNR42" s="139"/>
      <c r="RNS42" s="139"/>
      <c r="RNT42" s="139"/>
      <c r="RNU42" s="139"/>
      <c r="RNV42" s="139"/>
      <c r="RNW42" s="139"/>
      <c r="RNX42" s="139"/>
      <c r="RNY42" s="139"/>
      <c r="RNZ42" s="139"/>
      <c r="ROA42" s="139"/>
      <c r="ROB42" s="139"/>
      <c r="ROC42" s="139"/>
      <c r="ROD42" s="139"/>
      <c r="ROE42" s="139"/>
      <c r="ROF42" s="139"/>
      <c r="ROG42" s="139"/>
      <c r="ROH42" s="139"/>
      <c r="ROI42" s="139"/>
      <c r="ROJ42" s="139"/>
      <c r="ROK42" s="139"/>
      <c r="ROL42" s="139"/>
      <c r="ROM42" s="139"/>
      <c r="RON42" s="139"/>
      <c r="ROO42" s="139"/>
      <c r="ROP42" s="139"/>
      <c r="ROQ42" s="139"/>
      <c r="ROR42" s="139"/>
      <c r="ROS42" s="139"/>
      <c r="ROT42" s="139"/>
      <c r="ROU42" s="139"/>
      <c r="ROV42" s="139"/>
      <c r="ROW42" s="139"/>
      <c r="ROX42" s="139"/>
      <c r="ROY42" s="139"/>
      <c r="ROZ42" s="139"/>
      <c r="RPA42" s="139"/>
      <c r="RPB42" s="139"/>
      <c r="RPC42" s="139"/>
      <c r="RPD42" s="139"/>
      <c r="RPE42" s="139"/>
      <c r="RPF42" s="139"/>
      <c r="RPG42" s="139"/>
      <c r="RPH42" s="139"/>
      <c r="RPI42" s="139"/>
      <c r="RPJ42" s="139"/>
      <c r="RPK42" s="139"/>
      <c r="RPL42" s="139"/>
      <c r="RPM42" s="139"/>
      <c r="RPN42" s="139"/>
      <c r="RPO42" s="139"/>
      <c r="RPP42" s="139"/>
      <c r="RPQ42" s="139"/>
      <c r="RPR42" s="139"/>
      <c r="RPS42" s="139"/>
      <c r="RPT42" s="139"/>
      <c r="RPU42" s="139"/>
      <c r="RPV42" s="139"/>
      <c r="RPW42" s="139"/>
      <c r="RPX42" s="139"/>
      <c r="RPY42" s="139"/>
      <c r="RPZ42" s="139"/>
      <c r="RQA42" s="139"/>
      <c r="RQB42" s="139"/>
      <c r="RQC42" s="139"/>
      <c r="RQD42" s="139"/>
      <c r="RQE42" s="139"/>
      <c r="RQF42" s="139"/>
      <c r="RQG42" s="139"/>
      <c r="RQH42" s="139"/>
      <c r="RQI42" s="139"/>
      <c r="RQJ42" s="139"/>
      <c r="RQK42" s="139"/>
      <c r="RQL42" s="139"/>
      <c r="RQM42" s="139"/>
      <c r="RQN42" s="139"/>
      <c r="RQO42" s="139"/>
      <c r="RQP42" s="139"/>
      <c r="RQQ42" s="139"/>
      <c r="RQR42" s="139"/>
      <c r="RQS42" s="139"/>
      <c r="RQT42" s="139"/>
      <c r="RQU42" s="139"/>
      <c r="RQV42" s="139"/>
      <c r="RQW42" s="139"/>
      <c r="RQX42" s="139"/>
      <c r="RQY42" s="139"/>
      <c r="RQZ42" s="139"/>
      <c r="RRA42" s="139"/>
      <c r="RRB42" s="139"/>
      <c r="RRC42" s="139"/>
      <c r="RRD42" s="139"/>
      <c r="RRE42" s="139"/>
      <c r="RRF42" s="139"/>
      <c r="RRG42" s="139"/>
      <c r="RRH42" s="139"/>
      <c r="RRI42" s="139"/>
      <c r="RRJ42" s="139"/>
      <c r="RRK42" s="139"/>
      <c r="RRL42" s="139"/>
      <c r="RRM42" s="139"/>
      <c r="RRN42" s="139"/>
      <c r="RRO42" s="139"/>
      <c r="RRP42" s="139"/>
      <c r="RRQ42" s="139"/>
      <c r="RRR42" s="139"/>
      <c r="RRS42" s="139"/>
      <c r="RRT42" s="139"/>
      <c r="RRU42" s="139"/>
      <c r="RRV42" s="139"/>
      <c r="RRW42" s="139"/>
      <c r="RRX42" s="139"/>
      <c r="RRY42" s="139"/>
      <c r="RRZ42" s="139"/>
      <c r="RSA42" s="139"/>
      <c r="RSB42" s="139"/>
      <c r="RSC42" s="139"/>
      <c r="RSD42" s="139"/>
      <c r="RSE42" s="139"/>
      <c r="RSF42" s="139"/>
      <c r="RSG42" s="139"/>
      <c r="RSH42" s="139"/>
      <c r="RSI42" s="139"/>
      <c r="RSJ42" s="139"/>
      <c r="RSK42" s="139"/>
      <c r="RSL42" s="139"/>
      <c r="RSM42" s="139"/>
      <c r="RSN42" s="139"/>
      <c r="RSO42" s="139"/>
      <c r="RSP42" s="139"/>
      <c r="RSQ42" s="139"/>
      <c r="RSR42" s="139"/>
      <c r="RSS42" s="139"/>
      <c r="RST42" s="139"/>
      <c r="RSU42" s="139"/>
      <c r="RSV42" s="139"/>
      <c r="RSW42" s="139"/>
      <c r="RSX42" s="139"/>
      <c r="RSY42" s="139"/>
      <c r="RSZ42" s="139"/>
      <c r="RTA42" s="139"/>
      <c r="RTB42" s="139"/>
      <c r="RTC42" s="139"/>
      <c r="RTD42" s="139"/>
      <c r="RTE42" s="139"/>
      <c r="RTF42" s="139"/>
      <c r="RTG42" s="139"/>
      <c r="RTH42" s="139"/>
      <c r="RTI42" s="139"/>
      <c r="RTJ42" s="139"/>
      <c r="RTK42" s="139"/>
      <c r="RTL42" s="139"/>
      <c r="RTM42" s="139"/>
      <c r="RTN42" s="139"/>
      <c r="RTO42" s="139"/>
      <c r="RTP42" s="139"/>
      <c r="RTQ42" s="139"/>
      <c r="RTR42" s="139"/>
      <c r="RTS42" s="139"/>
      <c r="RTT42" s="139"/>
      <c r="RTU42" s="139"/>
      <c r="RTV42" s="139"/>
      <c r="RTW42" s="139"/>
      <c r="RTX42" s="139"/>
      <c r="RTY42" s="139"/>
      <c r="RTZ42" s="139"/>
      <c r="RUA42" s="139"/>
      <c r="RUB42" s="139"/>
      <c r="RUC42" s="139"/>
      <c r="RUD42" s="139"/>
      <c r="RUE42" s="139"/>
      <c r="RUF42" s="139"/>
      <c r="RUG42" s="139"/>
      <c r="RUH42" s="139"/>
      <c r="RUI42" s="139"/>
      <c r="RUJ42" s="139"/>
      <c r="RUK42" s="139"/>
      <c r="RUL42" s="139"/>
      <c r="RUM42" s="139"/>
      <c r="RUN42" s="139"/>
      <c r="RUO42" s="139"/>
      <c r="RUP42" s="139"/>
      <c r="RUQ42" s="139"/>
      <c r="RUR42" s="139"/>
      <c r="RUS42" s="139"/>
      <c r="RUT42" s="139"/>
      <c r="RUU42" s="139"/>
      <c r="RUV42" s="139"/>
      <c r="RUW42" s="139"/>
      <c r="RUX42" s="139"/>
      <c r="RUY42" s="139"/>
      <c r="RUZ42" s="139"/>
      <c r="RVA42" s="139"/>
      <c r="RVB42" s="139"/>
      <c r="RVC42" s="139"/>
      <c r="RVD42" s="139"/>
      <c r="RVE42" s="139"/>
      <c r="RVF42" s="139"/>
      <c r="RVG42" s="139"/>
      <c r="RVH42" s="139"/>
      <c r="RVI42" s="139"/>
      <c r="RVJ42" s="139"/>
      <c r="RVK42" s="139"/>
      <c r="RVL42" s="139"/>
      <c r="RVM42" s="139"/>
      <c r="RVN42" s="139"/>
      <c r="RVO42" s="139"/>
      <c r="RVP42" s="139"/>
      <c r="RVQ42" s="139"/>
      <c r="RVR42" s="139"/>
      <c r="RVS42" s="139"/>
      <c r="RVT42" s="139"/>
      <c r="RVU42" s="139"/>
      <c r="RVV42" s="139"/>
      <c r="RVW42" s="139"/>
      <c r="RVX42" s="139"/>
      <c r="RVY42" s="139"/>
      <c r="RVZ42" s="139"/>
      <c r="RWA42" s="139"/>
      <c r="RWB42" s="139"/>
      <c r="RWC42" s="139"/>
      <c r="RWD42" s="139"/>
      <c r="RWE42" s="139"/>
      <c r="RWF42" s="139"/>
      <c r="RWG42" s="139"/>
      <c r="RWH42" s="139"/>
      <c r="RWI42" s="139"/>
      <c r="RWJ42" s="139"/>
      <c r="RWK42" s="139"/>
      <c r="RWL42" s="139"/>
      <c r="RWM42" s="139"/>
      <c r="RWN42" s="139"/>
      <c r="RWO42" s="139"/>
      <c r="RWP42" s="139"/>
      <c r="RWQ42" s="139"/>
      <c r="RWR42" s="139"/>
      <c r="RWS42" s="139"/>
      <c r="RWT42" s="139"/>
      <c r="RWU42" s="139"/>
      <c r="RWV42" s="139"/>
      <c r="RWW42" s="139"/>
      <c r="RWX42" s="139"/>
      <c r="RWY42" s="139"/>
      <c r="RWZ42" s="139"/>
      <c r="RXA42" s="139"/>
      <c r="RXB42" s="139"/>
      <c r="RXC42" s="139"/>
      <c r="RXD42" s="139"/>
      <c r="RXE42" s="139"/>
      <c r="RXF42" s="139"/>
      <c r="RXG42" s="139"/>
      <c r="RXH42" s="139"/>
      <c r="RXI42" s="139"/>
      <c r="RXJ42" s="139"/>
      <c r="RXK42" s="139"/>
      <c r="RXL42" s="139"/>
      <c r="RXM42" s="139"/>
      <c r="RXN42" s="139"/>
      <c r="RXO42" s="139"/>
      <c r="RXP42" s="139"/>
      <c r="RXQ42" s="139"/>
      <c r="RXR42" s="139"/>
      <c r="RXS42" s="139"/>
      <c r="RXT42" s="139"/>
      <c r="RXU42" s="139"/>
      <c r="RXV42" s="139"/>
      <c r="RXW42" s="139"/>
      <c r="RXX42" s="139"/>
      <c r="RXY42" s="139"/>
      <c r="RXZ42" s="139"/>
      <c r="RYA42" s="139"/>
      <c r="RYB42" s="139"/>
      <c r="RYC42" s="139"/>
      <c r="RYD42" s="139"/>
      <c r="RYE42" s="139"/>
      <c r="RYF42" s="139"/>
      <c r="RYG42" s="139"/>
      <c r="RYH42" s="139"/>
      <c r="RYI42" s="139"/>
      <c r="RYJ42" s="139"/>
      <c r="RYK42" s="139"/>
      <c r="RYL42" s="139"/>
      <c r="RYM42" s="139"/>
      <c r="RYN42" s="139"/>
      <c r="RYO42" s="139"/>
      <c r="RYP42" s="139"/>
      <c r="RYQ42" s="139"/>
      <c r="RYR42" s="139"/>
      <c r="RYS42" s="139"/>
      <c r="RYT42" s="139"/>
      <c r="RYU42" s="139"/>
      <c r="RYV42" s="139"/>
      <c r="RYW42" s="139"/>
      <c r="RYX42" s="139"/>
      <c r="RYY42" s="139"/>
      <c r="RYZ42" s="139"/>
      <c r="RZA42" s="139"/>
      <c r="RZB42" s="139"/>
      <c r="RZC42" s="139"/>
      <c r="RZD42" s="139"/>
      <c r="RZE42" s="139"/>
      <c r="RZF42" s="139"/>
      <c r="RZG42" s="139"/>
      <c r="RZH42" s="139"/>
      <c r="RZI42" s="139"/>
      <c r="RZJ42" s="139"/>
      <c r="RZK42" s="139"/>
      <c r="RZL42" s="139"/>
      <c r="RZM42" s="139"/>
      <c r="RZN42" s="139"/>
      <c r="RZO42" s="139"/>
      <c r="RZP42" s="139"/>
      <c r="RZQ42" s="139"/>
      <c r="RZR42" s="139"/>
      <c r="RZS42" s="139"/>
      <c r="RZT42" s="139"/>
      <c r="RZU42" s="139"/>
      <c r="RZV42" s="139"/>
      <c r="RZW42" s="139"/>
      <c r="RZX42" s="139"/>
      <c r="RZY42" s="139"/>
      <c r="RZZ42" s="139"/>
      <c r="SAA42" s="139"/>
      <c r="SAB42" s="139"/>
      <c r="SAC42" s="139"/>
      <c r="SAD42" s="139"/>
      <c r="SAE42" s="139"/>
      <c r="SAF42" s="139"/>
      <c r="SAG42" s="139"/>
      <c r="SAH42" s="139"/>
      <c r="SAI42" s="139"/>
      <c r="SAJ42" s="139"/>
      <c r="SAK42" s="139"/>
      <c r="SAL42" s="139"/>
      <c r="SAM42" s="139"/>
      <c r="SAN42" s="139"/>
      <c r="SAO42" s="139"/>
      <c r="SAP42" s="139"/>
      <c r="SAQ42" s="139"/>
      <c r="SAR42" s="139"/>
      <c r="SAS42" s="139"/>
      <c r="SAT42" s="139"/>
      <c r="SAU42" s="139"/>
      <c r="SAV42" s="139"/>
      <c r="SAW42" s="139"/>
      <c r="SAX42" s="139"/>
      <c r="SAY42" s="139"/>
      <c r="SAZ42" s="139"/>
      <c r="SBA42" s="139"/>
      <c r="SBB42" s="139"/>
      <c r="SBC42" s="139"/>
      <c r="SBD42" s="139"/>
      <c r="SBE42" s="139"/>
      <c r="SBF42" s="139"/>
      <c r="SBG42" s="139"/>
      <c r="SBH42" s="139"/>
      <c r="SBI42" s="139"/>
      <c r="SBJ42" s="139"/>
      <c r="SBK42" s="139"/>
      <c r="SBL42" s="139"/>
      <c r="SBM42" s="139"/>
      <c r="SBN42" s="139"/>
      <c r="SBO42" s="139"/>
      <c r="SBP42" s="139"/>
      <c r="SBQ42" s="139"/>
      <c r="SBR42" s="139"/>
      <c r="SBS42" s="139"/>
      <c r="SBT42" s="139"/>
      <c r="SBU42" s="139"/>
      <c r="SBV42" s="139"/>
      <c r="SBW42" s="139"/>
      <c r="SBX42" s="139"/>
      <c r="SBY42" s="139"/>
      <c r="SBZ42" s="139"/>
      <c r="SCA42" s="139"/>
      <c r="SCB42" s="139"/>
      <c r="SCC42" s="139"/>
      <c r="SCD42" s="139"/>
      <c r="SCE42" s="139"/>
      <c r="SCF42" s="139"/>
      <c r="SCG42" s="139"/>
      <c r="SCH42" s="139"/>
      <c r="SCI42" s="139"/>
      <c r="SCJ42" s="139"/>
      <c r="SCK42" s="139"/>
      <c r="SCL42" s="139"/>
      <c r="SCM42" s="139"/>
      <c r="SCN42" s="139"/>
      <c r="SCO42" s="139"/>
      <c r="SCP42" s="139"/>
      <c r="SCQ42" s="139"/>
      <c r="SCR42" s="139"/>
      <c r="SCS42" s="139"/>
      <c r="SCT42" s="139"/>
      <c r="SCU42" s="139"/>
      <c r="SCV42" s="139"/>
      <c r="SCW42" s="139"/>
      <c r="SCX42" s="139"/>
      <c r="SCY42" s="139"/>
      <c r="SCZ42" s="139"/>
      <c r="SDA42" s="139"/>
      <c r="SDB42" s="139"/>
      <c r="SDC42" s="139"/>
      <c r="SDD42" s="139"/>
      <c r="SDE42" s="139"/>
      <c r="SDF42" s="139"/>
      <c r="SDG42" s="139"/>
      <c r="SDH42" s="139"/>
      <c r="SDI42" s="139"/>
      <c r="SDJ42" s="139"/>
      <c r="SDK42" s="139"/>
      <c r="SDL42" s="139"/>
      <c r="SDM42" s="139"/>
      <c r="SDN42" s="139"/>
      <c r="SDO42" s="139"/>
      <c r="SDP42" s="139"/>
      <c r="SDQ42" s="139"/>
      <c r="SDR42" s="139"/>
      <c r="SDS42" s="139"/>
      <c r="SDT42" s="139"/>
      <c r="SDU42" s="139"/>
      <c r="SDV42" s="139"/>
      <c r="SDW42" s="139"/>
      <c r="SDX42" s="139"/>
      <c r="SDY42" s="139"/>
      <c r="SDZ42" s="139"/>
      <c r="SEA42" s="139"/>
      <c r="SEB42" s="139"/>
      <c r="SEC42" s="139"/>
      <c r="SED42" s="139"/>
      <c r="SEE42" s="139"/>
      <c r="SEF42" s="139"/>
      <c r="SEG42" s="139"/>
      <c r="SEH42" s="139"/>
      <c r="SEI42" s="139"/>
      <c r="SEJ42" s="139"/>
      <c r="SEK42" s="139"/>
      <c r="SEL42" s="139"/>
      <c r="SEM42" s="139"/>
      <c r="SEN42" s="139"/>
      <c r="SEO42" s="139"/>
      <c r="SEP42" s="139"/>
      <c r="SEQ42" s="139"/>
      <c r="SER42" s="139"/>
      <c r="SES42" s="139"/>
      <c r="SET42" s="139"/>
      <c r="SEU42" s="139"/>
      <c r="SEV42" s="139"/>
      <c r="SEW42" s="139"/>
      <c r="SEX42" s="139"/>
      <c r="SEY42" s="139"/>
      <c r="SEZ42" s="139"/>
      <c r="SFA42" s="139"/>
      <c r="SFB42" s="139"/>
      <c r="SFC42" s="139"/>
      <c r="SFD42" s="139"/>
      <c r="SFE42" s="139"/>
      <c r="SFF42" s="139"/>
      <c r="SFG42" s="139"/>
      <c r="SFH42" s="139"/>
      <c r="SFI42" s="139"/>
      <c r="SFJ42" s="139"/>
      <c r="SFK42" s="139"/>
      <c r="SFL42" s="139"/>
      <c r="SFM42" s="139"/>
      <c r="SFN42" s="139"/>
      <c r="SFO42" s="139"/>
      <c r="SFP42" s="139"/>
      <c r="SFQ42" s="139"/>
      <c r="SFR42" s="139"/>
      <c r="SFS42" s="139"/>
      <c r="SFT42" s="139"/>
      <c r="SFU42" s="139"/>
      <c r="SFV42" s="139"/>
      <c r="SFW42" s="139"/>
      <c r="SFX42" s="139"/>
      <c r="SFY42" s="139"/>
      <c r="SFZ42" s="139"/>
      <c r="SGA42" s="139"/>
      <c r="SGB42" s="139"/>
      <c r="SGC42" s="139"/>
      <c r="SGD42" s="139"/>
      <c r="SGE42" s="139"/>
      <c r="SGF42" s="139"/>
      <c r="SGG42" s="139"/>
      <c r="SGH42" s="139"/>
      <c r="SGI42" s="139"/>
      <c r="SGJ42" s="139"/>
      <c r="SGK42" s="139"/>
      <c r="SGL42" s="139"/>
      <c r="SGM42" s="139"/>
      <c r="SGN42" s="139"/>
      <c r="SGO42" s="139"/>
      <c r="SGP42" s="139"/>
      <c r="SGQ42" s="139"/>
      <c r="SGR42" s="139"/>
      <c r="SGS42" s="139"/>
      <c r="SGT42" s="139"/>
      <c r="SGU42" s="139"/>
      <c r="SGV42" s="139"/>
      <c r="SGW42" s="139"/>
      <c r="SGX42" s="139"/>
      <c r="SGY42" s="139"/>
      <c r="SGZ42" s="139"/>
      <c r="SHA42" s="139"/>
      <c r="SHB42" s="139"/>
      <c r="SHC42" s="139"/>
      <c r="SHD42" s="139"/>
      <c r="SHE42" s="139"/>
      <c r="SHF42" s="139"/>
      <c r="SHG42" s="139"/>
      <c r="SHH42" s="139"/>
      <c r="SHI42" s="139"/>
      <c r="SHJ42" s="139"/>
      <c r="SHK42" s="139"/>
      <c r="SHL42" s="139"/>
      <c r="SHM42" s="139"/>
      <c r="SHN42" s="139"/>
      <c r="SHO42" s="139"/>
      <c r="SHP42" s="139"/>
      <c r="SHQ42" s="139"/>
      <c r="SHR42" s="139"/>
      <c r="SHS42" s="139"/>
      <c r="SHT42" s="139"/>
      <c r="SHU42" s="139"/>
      <c r="SHV42" s="139"/>
      <c r="SHW42" s="139"/>
      <c r="SHX42" s="139"/>
      <c r="SHY42" s="139"/>
      <c r="SHZ42" s="139"/>
      <c r="SIA42" s="139"/>
      <c r="SIB42" s="139"/>
      <c r="SIC42" s="139"/>
      <c r="SID42" s="139"/>
      <c r="SIE42" s="139"/>
      <c r="SIF42" s="139"/>
      <c r="SIG42" s="139"/>
      <c r="SIH42" s="139"/>
      <c r="SII42" s="139"/>
      <c r="SIJ42" s="139"/>
      <c r="SIK42" s="139"/>
      <c r="SIL42" s="139"/>
      <c r="SIM42" s="139"/>
      <c r="SIN42" s="139"/>
      <c r="SIO42" s="139"/>
      <c r="SIP42" s="139"/>
      <c r="SIQ42" s="139"/>
      <c r="SIR42" s="139"/>
      <c r="SIS42" s="139"/>
      <c r="SIT42" s="139"/>
      <c r="SIU42" s="139"/>
      <c r="SIV42" s="139"/>
      <c r="SIW42" s="139"/>
      <c r="SIX42" s="139"/>
      <c r="SIY42" s="139"/>
      <c r="SIZ42" s="139"/>
      <c r="SJA42" s="139"/>
      <c r="SJB42" s="139"/>
      <c r="SJC42" s="139"/>
      <c r="SJD42" s="139"/>
      <c r="SJE42" s="139"/>
      <c r="SJF42" s="139"/>
      <c r="SJG42" s="139"/>
      <c r="SJH42" s="139"/>
      <c r="SJI42" s="139"/>
      <c r="SJJ42" s="139"/>
      <c r="SJK42" s="139"/>
      <c r="SJL42" s="139"/>
      <c r="SJM42" s="139"/>
      <c r="SJN42" s="139"/>
      <c r="SJO42" s="139"/>
      <c r="SJP42" s="139"/>
      <c r="SJQ42" s="139"/>
      <c r="SJR42" s="139"/>
      <c r="SJS42" s="139"/>
      <c r="SJT42" s="139"/>
      <c r="SJU42" s="139"/>
      <c r="SJV42" s="139"/>
      <c r="SJW42" s="139"/>
      <c r="SJX42" s="139"/>
      <c r="SJY42" s="139"/>
      <c r="SJZ42" s="139"/>
      <c r="SKA42" s="139"/>
      <c r="SKB42" s="139"/>
      <c r="SKC42" s="139"/>
      <c r="SKD42" s="139"/>
      <c r="SKE42" s="139"/>
      <c r="SKF42" s="139"/>
      <c r="SKG42" s="139"/>
      <c r="SKH42" s="139"/>
      <c r="SKI42" s="139"/>
      <c r="SKJ42" s="139"/>
      <c r="SKK42" s="139"/>
      <c r="SKL42" s="139"/>
      <c r="SKM42" s="139"/>
      <c r="SKN42" s="139"/>
      <c r="SKO42" s="139"/>
      <c r="SKP42" s="139"/>
      <c r="SKQ42" s="139"/>
      <c r="SKR42" s="139"/>
      <c r="SKS42" s="139"/>
      <c r="SKT42" s="139"/>
      <c r="SKU42" s="139"/>
      <c r="SKV42" s="139"/>
      <c r="SKW42" s="139"/>
      <c r="SKX42" s="139"/>
      <c r="SKY42" s="139"/>
      <c r="SKZ42" s="139"/>
      <c r="SLA42" s="139"/>
      <c r="SLB42" s="139"/>
      <c r="SLC42" s="139"/>
      <c r="SLD42" s="139"/>
      <c r="SLE42" s="139"/>
      <c r="SLF42" s="139"/>
      <c r="SLG42" s="139"/>
      <c r="SLH42" s="139"/>
      <c r="SLI42" s="139"/>
      <c r="SLJ42" s="139"/>
      <c r="SLK42" s="139"/>
      <c r="SLL42" s="139"/>
      <c r="SLM42" s="139"/>
      <c r="SLN42" s="139"/>
      <c r="SLO42" s="139"/>
      <c r="SLP42" s="139"/>
      <c r="SLQ42" s="139"/>
      <c r="SLR42" s="139"/>
      <c r="SLS42" s="139"/>
      <c r="SLT42" s="139"/>
      <c r="SLU42" s="139"/>
      <c r="SLV42" s="139"/>
      <c r="SLW42" s="139"/>
      <c r="SLX42" s="139"/>
      <c r="SLY42" s="139"/>
      <c r="SLZ42" s="139"/>
      <c r="SMA42" s="139"/>
      <c r="SMB42" s="139"/>
      <c r="SMC42" s="139"/>
      <c r="SMD42" s="139"/>
      <c r="SME42" s="139"/>
      <c r="SMF42" s="139"/>
      <c r="SMG42" s="139"/>
      <c r="SMH42" s="139"/>
      <c r="SMI42" s="139"/>
      <c r="SMJ42" s="139"/>
      <c r="SMK42" s="139"/>
      <c r="SML42" s="139"/>
      <c r="SMM42" s="139"/>
      <c r="SMN42" s="139"/>
      <c r="SMO42" s="139"/>
      <c r="SMP42" s="139"/>
      <c r="SMQ42" s="139"/>
      <c r="SMR42" s="139"/>
      <c r="SMS42" s="139"/>
      <c r="SMT42" s="139"/>
      <c r="SMU42" s="139"/>
      <c r="SMV42" s="139"/>
      <c r="SMW42" s="139"/>
      <c r="SMX42" s="139"/>
      <c r="SMY42" s="139"/>
      <c r="SMZ42" s="139"/>
      <c r="SNA42" s="139"/>
      <c r="SNB42" s="139"/>
      <c r="SNC42" s="139"/>
      <c r="SND42" s="139"/>
      <c r="SNE42" s="139"/>
      <c r="SNF42" s="139"/>
      <c r="SNG42" s="139"/>
      <c r="SNH42" s="139"/>
      <c r="SNI42" s="139"/>
      <c r="SNJ42" s="139"/>
      <c r="SNK42" s="139"/>
      <c r="SNL42" s="139"/>
      <c r="SNM42" s="139"/>
      <c r="SNN42" s="139"/>
      <c r="SNO42" s="139"/>
      <c r="SNP42" s="139"/>
      <c r="SNQ42" s="139"/>
      <c r="SNR42" s="139"/>
      <c r="SNS42" s="139"/>
      <c r="SNT42" s="139"/>
      <c r="SNU42" s="139"/>
      <c r="SNV42" s="139"/>
      <c r="SNW42" s="139"/>
      <c r="SNX42" s="139"/>
      <c r="SNY42" s="139"/>
      <c r="SNZ42" s="139"/>
      <c r="SOA42" s="139"/>
      <c r="SOB42" s="139"/>
      <c r="SOC42" s="139"/>
      <c r="SOD42" s="139"/>
      <c r="SOE42" s="139"/>
      <c r="SOF42" s="139"/>
      <c r="SOG42" s="139"/>
      <c r="SOH42" s="139"/>
      <c r="SOI42" s="139"/>
      <c r="SOJ42" s="139"/>
      <c r="SOK42" s="139"/>
      <c r="SOL42" s="139"/>
      <c r="SOM42" s="139"/>
      <c r="SON42" s="139"/>
      <c r="SOO42" s="139"/>
      <c r="SOP42" s="139"/>
      <c r="SOQ42" s="139"/>
      <c r="SOR42" s="139"/>
      <c r="SOS42" s="139"/>
      <c r="SOT42" s="139"/>
      <c r="SOU42" s="139"/>
      <c r="SOV42" s="139"/>
      <c r="SOW42" s="139"/>
      <c r="SOX42" s="139"/>
      <c r="SOY42" s="139"/>
      <c r="SOZ42" s="139"/>
      <c r="SPA42" s="139"/>
      <c r="SPB42" s="139"/>
      <c r="SPC42" s="139"/>
      <c r="SPD42" s="139"/>
      <c r="SPE42" s="139"/>
      <c r="SPF42" s="139"/>
      <c r="SPG42" s="139"/>
      <c r="SPH42" s="139"/>
      <c r="SPI42" s="139"/>
      <c r="SPJ42" s="139"/>
      <c r="SPK42" s="139"/>
      <c r="SPL42" s="139"/>
      <c r="SPM42" s="139"/>
      <c r="SPN42" s="139"/>
      <c r="SPO42" s="139"/>
      <c r="SPP42" s="139"/>
      <c r="SPQ42" s="139"/>
      <c r="SPR42" s="139"/>
      <c r="SPS42" s="139"/>
      <c r="SPT42" s="139"/>
      <c r="SPU42" s="139"/>
      <c r="SPV42" s="139"/>
      <c r="SPW42" s="139"/>
      <c r="SPX42" s="139"/>
      <c r="SPY42" s="139"/>
      <c r="SPZ42" s="139"/>
      <c r="SQA42" s="139"/>
      <c r="SQB42" s="139"/>
      <c r="SQC42" s="139"/>
      <c r="SQD42" s="139"/>
      <c r="SQE42" s="139"/>
      <c r="SQF42" s="139"/>
      <c r="SQG42" s="139"/>
      <c r="SQH42" s="139"/>
      <c r="SQI42" s="139"/>
      <c r="SQJ42" s="139"/>
      <c r="SQK42" s="139"/>
      <c r="SQL42" s="139"/>
      <c r="SQM42" s="139"/>
      <c r="SQN42" s="139"/>
      <c r="SQO42" s="139"/>
      <c r="SQP42" s="139"/>
      <c r="SQQ42" s="139"/>
      <c r="SQR42" s="139"/>
      <c r="SQS42" s="139"/>
      <c r="SQT42" s="139"/>
      <c r="SQU42" s="139"/>
      <c r="SQV42" s="139"/>
      <c r="SQW42" s="139"/>
      <c r="SQX42" s="139"/>
      <c r="SQY42" s="139"/>
      <c r="SQZ42" s="139"/>
      <c r="SRA42" s="139"/>
      <c r="SRB42" s="139"/>
      <c r="SRC42" s="139"/>
      <c r="SRD42" s="139"/>
      <c r="SRE42" s="139"/>
      <c r="SRF42" s="139"/>
      <c r="SRG42" s="139"/>
      <c r="SRH42" s="139"/>
      <c r="SRI42" s="139"/>
      <c r="SRJ42" s="139"/>
      <c r="SRK42" s="139"/>
      <c r="SRL42" s="139"/>
      <c r="SRM42" s="139"/>
      <c r="SRN42" s="139"/>
      <c r="SRO42" s="139"/>
      <c r="SRP42" s="139"/>
      <c r="SRQ42" s="139"/>
      <c r="SRR42" s="139"/>
      <c r="SRS42" s="139"/>
      <c r="SRT42" s="139"/>
      <c r="SRU42" s="139"/>
      <c r="SRV42" s="139"/>
      <c r="SRW42" s="139"/>
      <c r="SRX42" s="139"/>
      <c r="SRY42" s="139"/>
      <c r="SRZ42" s="139"/>
      <c r="SSA42" s="139"/>
      <c r="SSB42" s="139"/>
      <c r="SSC42" s="139"/>
      <c r="SSD42" s="139"/>
      <c r="SSE42" s="139"/>
      <c r="SSF42" s="139"/>
      <c r="SSG42" s="139"/>
      <c r="SSH42" s="139"/>
      <c r="SSI42" s="139"/>
      <c r="SSJ42" s="139"/>
      <c r="SSK42" s="139"/>
      <c r="SSL42" s="139"/>
      <c r="SSM42" s="139"/>
      <c r="SSN42" s="139"/>
      <c r="SSO42" s="139"/>
      <c r="SSP42" s="139"/>
      <c r="SSQ42" s="139"/>
      <c r="SSR42" s="139"/>
      <c r="SSS42" s="139"/>
      <c r="SST42" s="139"/>
      <c r="SSU42" s="139"/>
      <c r="SSV42" s="139"/>
      <c r="SSW42" s="139"/>
      <c r="SSX42" s="139"/>
      <c r="SSY42" s="139"/>
      <c r="SSZ42" s="139"/>
      <c r="STA42" s="139"/>
      <c r="STB42" s="139"/>
      <c r="STC42" s="139"/>
      <c r="STD42" s="139"/>
      <c r="STE42" s="139"/>
      <c r="STF42" s="139"/>
      <c r="STG42" s="139"/>
      <c r="STH42" s="139"/>
      <c r="STI42" s="139"/>
      <c r="STJ42" s="139"/>
      <c r="STK42" s="139"/>
      <c r="STL42" s="139"/>
      <c r="STM42" s="139"/>
      <c r="STN42" s="139"/>
      <c r="STO42" s="139"/>
      <c r="STP42" s="139"/>
      <c r="STQ42" s="139"/>
      <c r="STR42" s="139"/>
      <c r="STS42" s="139"/>
      <c r="STT42" s="139"/>
      <c r="STU42" s="139"/>
      <c r="STV42" s="139"/>
      <c r="STW42" s="139"/>
      <c r="STX42" s="139"/>
      <c r="STY42" s="139"/>
      <c r="STZ42" s="139"/>
      <c r="SUA42" s="139"/>
      <c r="SUB42" s="139"/>
      <c r="SUC42" s="139"/>
      <c r="SUD42" s="139"/>
      <c r="SUE42" s="139"/>
      <c r="SUF42" s="139"/>
      <c r="SUG42" s="139"/>
      <c r="SUH42" s="139"/>
      <c r="SUI42" s="139"/>
      <c r="SUJ42" s="139"/>
      <c r="SUK42" s="139"/>
      <c r="SUL42" s="139"/>
      <c r="SUM42" s="139"/>
      <c r="SUN42" s="139"/>
      <c r="SUO42" s="139"/>
      <c r="SUP42" s="139"/>
      <c r="SUQ42" s="139"/>
      <c r="SUR42" s="139"/>
      <c r="SUS42" s="139"/>
      <c r="SUT42" s="139"/>
      <c r="SUU42" s="139"/>
      <c r="SUV42" s="139"/>
      <c r="SUW42" s="139"/>
      <c r="SUX42" s="139"/>
      <c r="SUY42" s="139"/>
      <c r="SUZ42" s="139"/>
      <c r="SVA42" s="139"/>
      <c r="SVB42" s="139"/>
      <c r="SVC42" s="139"/>
      <c r="SVD42" s="139"/>
      <c r="SVE42" s="139"/>
      <c r="SVF42" s="139"/>
      <c r="SVG42" s="139"/>
      <c r="SVH42" s="139"/>
      <c r="SVI42" s="139"/>
      <c r="SVJ42" s="139"/>
      <c r="SVK42" s="139"/>
      <c r="SVL42" s="139"/>
      <c r="SVM42" s="139"/>
      <c r="SVN42" s="139"/>
      <c r="SVO42" s="139"/>
      <c r="SVP42" s="139"/>
      <c r="SVQ42" s="139"/>
      <c r="SVR42" s="139"/>
      <c r="SVS42" s="139"/>
      <c r="SVT42" s="139"/>
      <c r="SVU42" s="139"/>
      <c r="SVV42" s="139"/>
      <c r="SVW42" s="139"/>
      <c r="SVX42" s="139"/>
      <c r="SVY42" s="139"/>
      <c r="SVZ42" s="139"/>
      <c r="SWA42" s="139"/>
      <c r="SWB42" s="139"/>
      <c r="SWC42" s="139"/>
      <c r="SWD42" s="139"/>
      <c r="SWE42" s="139"/>
      <c r="SWF42" s="139"/>
      <c r="SWG42" s="139"/>
      <c r="SWH42" s="139"/>
      <c r="SWI42" s="139"/>
      <c r="SWJ42" s="139"/>
      <c r="SWK42" s="139"/>
      <c r="SWL42" s="139"/>
      <c r="SWM42" s="139"/>
      <c r="SWN42" s="139"/>
      <c r="SWO42" s="139"/>
      <c r="SWP42" s="139"/>
      <c r="SWQ42" s="139"/>
      <c r="SWR42" s="139"/>
      <c r="SWS42" s="139"/>
      <c r="SWT42" s="139"/>
      <c r="SWU42" s="139"/>
      <c r="SWV42" s="139"/>
      <c r="SWW42" s="139"/>
      <c r="SWX42" s="139"/>
      <c r="SWY42" s="139"/>
      <c r="SWZ42" s="139"/>
      <c r="SXA42" s="139"/>
      <c r="SXB42" s="139"/>
      <c r="SXC42" s="139"/>
      <c r="SXD42" s="139"/>
      <c r="SXE42" s="139"/>
      <c r="SXF42" s="139"/>
      <c r="SXG42" s="139"/>
      <c r="SXH42" s="139"/>
      <c r="SXI42" s="139"/>
      <c r="SXJ42" s="139"/>
      <c r="SXK42" s="139"/>
      <c r="SXL42" s="139"/>
      <c r="SXM42" s="139"/>
      <c r="SXN42" s="139"/>
      <c r="SXO42" s="139"/>
      <c r="SXP42" s="139"/>
      <c r="SXQ42" s="139"/>
      <c r="SXR42" s="139"/>
      <c r="SXS42" s="139"/>
      <c r="SXT42" s="139"/>
      <c r="SXU42" s="139"/>
      <c r="SXV42" s="139"/>
      <c r="SXW42" s="139"/>
      <c r="SXX42" s="139"/>
      <c r="SXY42" s="139"/>
      <c r="SXZ42" s="139"/>
      <c r="SYA42" s="139"/>
      <c r="SYB42" s="139"/>
      <c r="SYC42" s="139"/>
      <c r="SYD42" s="139"/>
      <c r="SYE42" s="139"/>
      <c r="SYF42" s="139"/>
      <c r="SYG42" s="139"/>
      <c r="SYH42" s="139"/>
      <c r="SYI42" s="139"/>
      <c r="SYJ42" s="139"/>
      <c r="SYK42" s="139"/>
      <c r="SYL42" s="139"/>
      <c r="SYM42" s="139"/>
      <c r="SYN42" s="139"/>
      <c r="SYO42" s="139"/>
      <c r="SYP42" s="139"/>
      <c r="SYQ42" s="139"/>
      <c r="SYR42" s="139"/>
      <c r="SYS42" s="139"/>
      <c r="SYT42" s="139"/>
      <c r="SYU42" s="139"/>
      <c r="SYV42" s="139"/>
      <c r="SYW42" s="139"/>
      <c r="SYX42" s="139"/>
      <c r="SYY42" s="139"/>
      <c r="SYZ42" s="139"/>
      <c r="SZA42" s="139"/>
      <c r="SZB42" s="139"/>
      <c r="SZC42" s="139"/>
      <c r="SZD42" s="139"/>
      <c r="SZE42" s="139"/>
      <c r="SZF42" s="139"/>
      <c r="SZG42" s="139"/>
      <c r="SZH42" s="139"/>
      <c r="SZI42" s="139"/>
      <c r="SZJ42" s="139"/>
      <c r="SZK42" s="139"/>
      <c r="SZL42" s="139"/>
      <c r="SZM42" s="139"/>
      <c r="SZN42" s="139"/>
      <c r="SZO42" s="139"/>
      <c r="SZP42" s="139"/>
      <c r="SZQ42" s="139"/>
      <c r="SZR42" s="139"/>
      <c r="SZS42" s="139"/>
      <c r="SZT42" s="139"/>
      <c r="SZU42" s="139"/>
      <c r="SZV42" s="139"/>
      <c r="SZW42" s="139"/>
      <c r="SZX42" s="139"/>
      <c r="SZY42" s="139"/>
      <c r="SZZ42" s="139"/>
      <c r="TAA42" s="139"/>
      <c r="TAB42" s="139"/>
      <c r="TAC42" s="139"/>
      <c r="TAD42" s="139"/>
      <c r="TAE42" s="139"/>
      <c r="TAF42" s="139"/>
      <c r="TAG42" s="139"/>
      <c r="TAH42" s="139"/>
      <c r="TAI42" s="139"/>
      <c r="TAJ42" s="139"/>
      <c r="TAK42" s="139"/>
      <c r="TAL42" s="139"/>
      <c r="TAM42" s="139"/>
      <c r="TAN42" s="139"/>
      <c r="TAO42" s="139"/>
      <c r="TAP42" s="139"/>
      <c r="TAQ42" s="139"/>
      <c r="TAR42" s="139"/>
      <c r="TAS42" s="139"/>
      <c r="TAT42" s="139"/>
      <c r="TAU42" s="139"/>
      <c r="TAV42" s="139"/>
      <c r="TAW42" s="139"/>
      <c r="TAX42" s="139"/>
      <c r="TAY42" s="139"/>
      <c r="TAZ42" s="139"/>
      <c r="TBA42" s="139"/>
      <c r="TBB42" s="139"/>
      <c r="TBC42" s="139"/>
      <c r="TBD42" s="139"/>
      <c r="TBE42" s="139"/>
      <c r="TBF42" s="139"/>
      <c r="TBG42" s="139"/>
      <c r="TBH42" s="139"/>
      <c r="TBI42" s="139"/>
      <c r="TBJ42" s="139"/>
      <c r="TBK42" s="139"/>
      <c r="TBL42" s="139"/>
      <c r="TBM42" s="139"/>
      <c r="TBN42" s="139"/>
      <c r="TBO42" s="139"/>
      <c r="TBP42" s="139"/>
      <c r="TBQ42" s="139"/>
      <c r="TBR42" s="139"/>
      <c r="TBS42" s="139"/>
      <c r="TBT42" s="139"/>
      <c r="TBU42" s="139"/>
      <c r="TBV42" s="139"/>
      <c r="TBW42" s="139"/>
      <c r="TBX42" s="139"/>
      <c r="TBY42" s="139"/>
      <c r="TBZ42" s="139"/>
      <c r="TCA42" s="139"/>
      <c r="TCB42" s="139"/>
      <c r="TCC42" s="139"/>
      <c r="TCD42" s="139"/>
      <c r="TCE42" s="139"/>
      <c r="TCF42" s="139"/>
      <c r="TCG42" s="139"/>
      <c r="TCH42" s="139"/>
      <c r="TCI42" s="139"/>
      <c r="TCJ42" s="139"/>
      <c r="TCK42" s="139"/>
      <c r="TCL42" s="139"/>
      <c r="TCM42" s="139"/>
      <c r="TCN42" s="139"/>
      <c r="TCO42" s="139"/>
      <c r="TCP42" s="139"/>
      <c r="TCQ42" s="139"/>
      <c r="TCR42" s="139"/>
      <c r="TCS42" s="139"/>
      <c r="TCT42" s="139"/>
      <c r="TCU42" s="139"/>
      <c r="TCV42" s="139"/>
      <c r="TCW42" s="139"/>
      <c r="TCX42" s="139"/>
      <c r="TCY42" s="139"/>
      <c r="TCZ42" s="139"/>
      <c r="TDA42" s="139"/>
      <c r="TDB42" s="139"/>
      <c r="TDC42" s="139"/>
      <c r="TDD42" s="139"/>
      <c r="TDE42" s="139"/>
      <c r="TDF42" s="139"/>
      <c r="TDG42" s="139"/>
      <c r="TDH42" s="139"/>
      <c r="TDI42" s="139"/>
      <c r="TDJ42" s="139"/>
      <c r="TDK42" s="139"/>
      <c r="TDL42" s="139"/>
      <c r="TDM42" s="139"/>
      <c r="TDN42" s="139"/>
      <c r="TDO42" s="139"/>
      <c r="TDP42" s="139"/>
      <c r="TDQ42" s="139"/>
      <c r="TDR42" s="139"/>
      <c r="TDS42" s="139"/>
      <c r="TDT42" s="139"/>
      <c r="TDU42" s="139"/>
      <c r="TDV42" s="139"/>
      <c r="TDW42" s="139"/>
      <c r="TDX42" s="139"/>
      <c r="TDY42" s="139"/>
      <c r="TDZ42" s="139"/>
      <c r="TEA42" s="139"/>
      <c r="TEB42" s="139"/>
      <c r="TEC42" s="139"/>
      <c r="TED42" s="139"/>
      <c r="TEE42" s="139"/>
      <c r="TEF42" s="139"/>
      <c r="TEG42" s="139"/>
      <c r="TEH42" s="139"/>
      <c r="TEI42" s="139"/>
      <c r="TEJ42" s="139"/>
      <c r="TEK42" s="139"/>
      <c r="TEL42" s="139"/>
      <c r="TEM42" s="139"/>
      <c r="TEN42" s="139"/>
      <c r="TEO42" s="139"/>
      <c r="TEP42" s="139"/>
      <c r="TEQ42" s="139"/>
      <c r="TER42" s="139"/>
      <c r="TES42" s="139"/>
      <c r="TET42" s="139"/>
      <c r="TEU42" s="139"/>
      <c r="TEV42" s="139"/>
      <c r="TEW42" s="139"/>
      <c r="TEX42" s="139"/>
      <c r="TEY42" s="139"/>
      <c r="TEZ42" s="139"/>
      <c r="TFA42" s="139"/>
      <c r="TFB42" s="139"/>
      <c r="TFC42" s="139"/>
      <c r="TFD42" s="139"/>
      <c r="TFE42" s="139"/>
      <c r="TFF42" s="139"/>
      <c r="TFG42" s="139"/>
      <c r="TFH42" s="139"/>
      <c r="TFI42" s="139"/>
      <c r="TFJ42" s="139"/>
      <c r="TFK42" s="139"/>
      <c r="TFL42" s="139"/>
      <c r="TFM42" s="139"/>
      <c r="TFN42" s="139"/>
      <c r="TFO42" s="139"/>
      <c r="TFP42" s="139"/>
      <c r="TFQ42" s="139"/>
      <c r="TFR42" s="139"/>
      <c r="TFS42" s="139"/>
      <c r="TFT42" s="139"/>
      <c r="TFU42" s="139"/>
      <c r="TFV42" s="139"/>
      <c r="TFW42" s="139"/>
      <c r="TFX42" s="139"/>
      <c r="TFY42" s="139"/>
      <c r="TFZ42" s="139"/>
      <c r="TGA42" s="139"/>
      <c r="TGB42" s="139"/>
      <c r="TGC42" s="139"/>
      <c r="TGD42" s="139"/>
      <c r="TGE42" s="139"/>
      <c r="TGF42" s="139"/>
      <c r="TGG42" s="139"/>
      <c r="TGH42" s="139"/>
      <c r="TGI42" s="139"/>
      <c r="TGJ42" s="139"/>
      <c r="TGK42" s="139"/>
      <c r="TGL42" s="139"/>
      <c r="TGM42" s="139"/>
      <c r="TGN42" s="139"/>
      <c r="TGO42" s="139"/>
      <c r="TGP42" s="139"/>
      <c r="TGQ42" s="139"/>
      <c r="TGR42" s="139"/>
      <c r="TGS42" s="139"/>
      <c r="TGT42" s="139"/>
      <c r="TGU42" s="139"/>
      <c r="TGV42" s="139"/>
      <c r="TGW42" s="139"/>
      <c r="TGX42" s="139"/>
      <c r="TGY42" s="139"/>
      <c r="TGZ42" s="139"/>
      <c r="THA42" s="139"/>
      <c r="THB42" s="139"/>
      <c r="THC42" s="139"/>
      <c r="THD42" s="139"/>
      <c r="THE42" s="139"/>
      <c r="THF42" s="139"/>
      <c r="THG42" s="139"/>
      <c r="THH42" s="139"/>
      <c r="THI42" s="139"/>
      <c r="THJ42" s="139"/>
      <c r="THK42" s="139"/>
      <c r="THL42" s="139"/>
      <c r="THM42" s="139"/>
      <c r="THN42" s="139"/>
      <c r="THO42" s="139"/>
      <c r="THP42" s="139"/>
      <c r="THQ42" s="139"/>
      <c r="THR42" s="139"/>
      <c r="THS42" s="139"/>
      <c r="THT42" s="139"/>
      <c r="THU42" s="139"/>
      <c r="THV42" s="139"/>
      <c r="THW42" s="139"/>
      <c r="THX42" s="139"/>
      <c r="THY42" s="139"/>
      <c r="THZ42" s="139"/>
      <c r="TIA42" s="139"/>
      <c r="TIB42" s="139"/>
      <c r="TIC42" s="139"/>
      <c r="TID42" s="139"/>
      <c r="TIE42" s="139"/>
      <c r="TIF42" s="139"/>
      <c r="TIG42" s="139"/>
      <c r="TIH42" s="139"/>
      <c r="TII42" s="139"/>
      <c r="TIJ42" s="139"/>
      <c r="TIK42" s="139"/>
      <c r="TIL42" s="139"/>
      <c r="TIM42" s="139"/>
      <c r="TIN42" s="139"/>
      <c r="TIO42" s="139"/>
      <c r="TIP42" s="139"/>
      <c r="TIQ42" s="139"/>
      <c r="TIR42" s="139"/>
      <c r="TIS42" s="139"/>
      <c r="TIT42" s="139"/>
      <c r="TIU42" s="139"/>
      <c r="TIV42" s="139"/>
      <c r="TIW42" s="139"/>
      <c r="TIX42" s="139"/>
      <c r="TIY42" s="139"/>
      <c r="TIZ42" s="139"/>
      <c r="TJA42" s="139"/>
      <c r="TJB42" s="139"/>
      <c r="TJC42" s="139"/>
      <c r="TJD42" s="139"/>
      <c r="TJE42" s="139"/>
      <c r="TJF42" s="139"/>
      <c r="TJG42" s="139"/>
      <c r="TJH42" s="139"/>
      <c r="TJI42" s="139"/>
      <c r="TJJ42" s="139"/>
      <c r="TJK42" s="139"/>
      <c r="TJL42" s="139"/>
      <c r="TJM42" s="139"/>
      <c r="TJN42" s="139"/>
      <c r="TJO42" s="139"/>
      <c r="TJP42" s="139"/>
      <c r="TJQ42" s="139"/>
      <c r="TJR42" s="139"/>
      <c r="TJS42" s="139"/>
      <c r="TJT42" s="139"/>
      <c r="TJU42" s="139"/>
      <c r="TJV42" s="139"/>
      <c r="TJW42" s="139"/>
      <c r="TJX42" s="139"/>
      <c r="TJY42" s="139"/>
      <c r="TJZ42" s="139"/>
      <c r="TKA42" s="139"/>
      <c r="TKB42" s="139"/>
      <c r="TKC42" s="139"/>
      <c r="TKD42" s="139"/>
      <c r="TKE42" s="139"/>
      <c r="TKF42" s="139"/>
      <c r="TKG42" s="139"/>
      <c r="TKH42" s="139"/>
      <c r="TKI42" s="139"/>
      <c r="TKJ42" s="139"/>
      <c r="TKK42" s="139"/>
      <c r="TKL42" s="139"/>
      <c r="TKM42" s="139"/>
      <c r="TKN42" s="139"/>
      <c r="TKO42" s="139"/>
      <c r="TKP42" s="139"/>
      <c r="TKQ42" s="139"/>
      <c r="TKR42" s="139"/>
      <c r="TKS42" s="139"/>
      <c r="TKT42" s="139"/>
      <c r="TKU42" s="139"/>
      <c r="TKV42" s="139"/>
      <c r="TKW42" s="139"/>
      <c r="TKX42" s="139"/>
      <c r="TKY42" s="139"/>
      <c r="TKZ42" s="139"/>
      <c r="TLA42" s="139"/>
      <c r="TLB42" s="139"/>
      <c r="TLC42" s="139"/>
      <c r="TLD42" s="139"/>
      <c r="TLE42" s="139"/>
      <c r="TLF42" s="139"/>
      <c r="TLG42" s="139"/>
      <c r="TLH42" s="139"/>
      <c r="TLI42" s="139"/>
      <c r="TLJ42" s="139"/>
      <c r="TLK42" s="139"/>
      <c r="TLL42" s="139"/>
      <c r="TLM42" s="139"/>
      <c r="TLN42" s="139"/>
      <c r="TLO42" s="139"/>
      <c r="TLP42" s="139"/>
      <c r="TLQ42" s="139"/>
      <c r="TLR42" s="139"/>
      <c r="TLS42" s="139"/>
      <c r="TLT42" s="139"/>
      <c r="TLU42" s="139"/>
      <c r="TLV42" s="139"/>
      <c r="TLW42" s="139"/>
      <c r="TLX42" s="139"/>
      <c r="TLY42" s="139"/>
      <c r="TLZ42" s="139"/>
      <c r="TMA42" s="139"/>
      <c r="TMB42" s="139"/>
      <c r="TMC42" s="139"/>
      <c r="TMD42" s="139"/>
      <c r="TME42" s="139"/>
      <c r="TMF42" s="139"/>
      <c r="TMG42" s="139"/>
      <c r="TMH42" s="139"/>
      <c r="TMI42" s="139"/>
      <c r="TMJ42" s="139"/>
      <c r="TMK42" s="139"/>
      <c r="TML42" s="139"/>
      <c r="TMM42" s="139"/>
      <c r="TMN42" s="139"/>
      <c r="TMO42" s="139"/>
      <c r="TMP42" s="139"/>
      <c r="TMQ42" s="139"/>
      <c r="TMR42" s="139"/>
      <c r="TMS42" s="139"/>
      <c r="TMT42" s="139"/>
      <c r="TMU42" s="139"/>
      <c r="TMV42" s="139"/>
      <c r="TMW42" s="139"/>
      <c r="TMX42" s="139"/>
      <c r="TMY42" s="139"/>
      <c r="TMZ42" s="139"/>
      <c r="TNA42" s="139"/>
      <c r="TNB42" s="139"/>
      <c r="TNC42" s="139"/>
      <c r="TND42" s="139"/>
      <c r="TNE42" s="139"/>
      <c r="TNF42" s="139"/>
      <c r="TNG42" s="139"/>
      <c r="TNH42" s="139"/>
      <c r="TNI42" s="139"/>
      <c r="TNJ42" s="139"/>
      <c r="TNK42" s="139"/>
      <c r="TNL42" s="139"/>
      <c r="TNM42" s="139"/>
      <c r="TNN42" s="139"/>
      <c r="TNO42" s="139"/>
      <c r="TNP42" s="139"/>
      <c r="TNQ42" s="139"/>
      <c r="TNR42" s="139"/>
      <c r="TNS42" s="139"/>
      <c r="TNT42" s="139"/>
      <c r="TNU42" s="139"/>
      <c r="TNV42" s="139"/>
      <c r="TNW42" s="139"/>
      <c r="TNX42" s="139"/>
      <c r="TNY42" s="139"/>
      <c r="TNZ42" s="139"/>
      <c r="TOA42" s="139"/>
      <c r="TOB42" s="139"/>
      <c r="TOC42" s="139"/>
      <c r="TOD42" s="139"/>
      <c r="TOE42" s="139"/>
      <c r="TOF42" s="139"/>
      <c r="TOG42" s="139"/>
      <c r="TOH42" s="139"/>
      <c r="TOI42" s="139"/>
      <c r="TOJ42" s="139"/>
      <c r="TOK42" s="139"/>
      <c r="TOL42" s="139"/>
      <c r="TOM42" s="139"/>
      <c r="TON42" s="139"/>
      <c r="TOO42" s="139"/>
      <c r="TOP42" s="139"/>
      <c r="TOQ42" s="139"/>
      <c r="TOR42" s="139"/>
      <c r="TOS42" s="139"/>
      <c r="TOT42" s="139"/>
      <c r="TOU42" s="139"/>
      <c r="TOV42" s="139"/>
      <c r="TOW42" s="139"/>
      <c r="TOX42" s="139"/>
      <c r="TOY42" s="139"/>
      <c r="TOZ42" s="139"/>
      <c r="TPA42" s="139"/>
      <c r="TPB42" s="139"/>
      <c r="TPC42" s="139"/>
      <c r="TPD42" s="139"/>
      <c r="TPE42" s="139"/>
      <c r="TPF42" s="139"/>
      <c r="TPG42" s="139"/>
      <c r="TPH42" s="139"/>
      <c r="TPI42" s="139"/>
      <c r="TPJ42" s="139"/>
      <c r="TPK42" s="139"/>
      <c r="TPL42" s="139"/>
      <c r="TPM42" s="139"/>
      <c r="TPN42" s="139"/>
      <c r="TPO42" s="139"/>
      <c r="TPP42" s="139"/>
      <c r="TPQ42" s="139"/>
      <c r="TPR42" s="139"/>
      <c r="TPS42" s="139"/>
      <c r="TPT42" s="139"/>
      <c r="TPU42" s="139"/>
      <c r="TPV42" s="139"/>
      <c r="TPW42" s="139"/>
      <c r="TPX42" s="139"/>
      <c r="TPY42" s="139"/>
      <c r="TPZ42" s="139"/>
      <c r="TQA42" s="139"/>
      <c r="TQB42" s="139"/>
      <c r="TQC42" s="139"/>
      <c r="TQD42" s="139"/>
      <c r="TQE42" s="139"/>
      <c r="TQF42" s="139"/>
      <c r="TQG42" s="139"/>
      <c r="TQH42" s="139"/>
      <c r="TQI42" s="139"/>
      <c r="TQJ42" s="139"/>
      <c r="TQK42" s="139"/>
      <c r="TQL42" s="139"/>
      <c r="TQM42" s="139"/>
      <c r="TQN42" s="139"/>
      <c r="TQO42" s="139"/>
      <c r="TQP42" s="139"/>
      <c r="TQQ42" s="139"/>
      <c r="TQR42" s="139"/>
      <c r="TQS42" s="139"/>
      <c r="TQT42" s="139"/>
      <c r="TQU42" s="139"/>
      <c r="TQV42" s="139"/>
      <c r="TQW42" s="139"/>
      <c r="TQX42" s="139"/>
      <c r="TQY42" s="139"/>
      <c r="TQZ42" s="139"/>
      <c r="TRA42" s="139"/>
      <c r="TRB42" s="139"/>
      <c r="TRC42" s="139"/>
      <c r="TRD42" s="139"/>
      <c r="TRE42" s="139"/>
      <c r="TRF42" s="139"/>
      <c r="TRG42" s="139"/>
      <c r="TRH42" s="139"/>
      <c r="TRI42" s="139"/>
      <c r="TRJ42" s="139"/>
      <c r="TRK42" s="139"/>
      <c r="TRL42" s="139"/>
      <c r="TRM42" s="139"/>
      <c r="TRN42" s="139"/>
      <c r="TRO42" s="139"/>
      <c r="TRP42" s="139"/>
      <c r="TRQ42" s="139"/>
      <c r="TRR42" s="139"/>
      <c r="TRS42" s="139"/>
      <c r="TRT42" s="139"/>
      <c r="TRU42" s="139"/>
      <c r="TRV42" s="139"/>
      <c r="TRW42" s="139"/>
      <c r="TRX42" s="139"/>
      <c r="TRY42" s="139"/>
      <c r="TRZ42" s="139"/>
      <c r="TSA42" s="139"/>
      <c r="TSB42" s="139"/>
      <c r="TSC42" s="139"/>
      <c r="TSD42" s="139"/>
      <c r="TSE42" s="139"/>
      <c r="TSF42" s="139"/>
      <c r="TSG42" s="139"/>
      <c r="TSH42" s="139"/>
      <c r="TSI42" s="139"/>
      <c r="TSJ42" s="139"/>
      <c r="TSK42" s="139"/>
      <c r="TSL42" s="139"/>
      <c r="TSM42" s="139"/>
      <c r="TSN42" s="139"/>
      <c r="TSO42" s="139"/>
      <c r="TSP42" s="139"/>
      <c r="TSQ42" s="139"/>
      <c r="TSR42" s="139"/>
      <c r="TSS42" s="139"/>
      <c r="TST42" s="139"/>
      <c r="TSU42" s="139"/>
      <c r="TSV42" s="139"/>
      <c r="TSW42" s="139"/>
      <c r="TSX42" s="139"/>
      <c r="TSY42" s="139"/>
      <c r="TSZ42" s="139"/>
      <c r="TTA42" s="139"/>
      <c r="TTB42" s="139"/>
      <c r="TTC42" s="139"/>
      <c r="TTD42" s="139"/>
      <c r="TTE42" s="139"/>
      <c r="TTF42" s="139"/>
      <c r="TTG42" s="139"/>
      <c r="TTH42" s="139"/>
      <c r="TTI42" s="139"/>
      <c r="TTJ42" s="139"/>
      <c r="TTK42" s="139"/>
      <c r="TTL42" s="139"/>
      <c r="TTM42" s="139"/>
      <c r="TTN42" s="139"/>
      <c r="TTO42" s="139"/>
      <c r="TTP42" s="139"/>
      <c r="TTQ42" s="139"/>
      <c r="TTR42" s="139"/>
      <c r="TTS42" s="139"/>
      <c r="TTT42" s="139"/>
      <c r="TTU42" s="139"/>
      <c r="TTV42" s="139"/>
      <c r="TTW42" s="139"/>
      <c r="TTX42" s="139"/>
      <c r="TTY42" s="139"/>
      <c r="TTZ42" s="139"/>
      <c r="TUA42" s="139"/>
      <c r="TUB42" s="139"/>
      <c r="TUC42" s="139"/>
      <c r="TUD42" s="139"/>
      <c r="TUE42" s="139"/>
      <c r="TUF42" s="139"/>
      <c r="TUG42" s="139"/>
      <c r="TUH42" s="139"/>
      <c r="TUI42" s="139"/>
      <c r="TUJ42" s="139"/>
      <c r="TUK42" s="139"/>
      <c r="TUL42" s="139"/>
      <c r="TUM42" s="139"/>
      <c r="TUN42" s="139"/>
      <c r="TUO42" s="139"/>
      <c r="TUP42" s="139"/>
      <c r="TUQ42" s="139"/>
      <c r="TUR42" s="139"/>
      <c r="TUS42" s="139"/>
      <c r="TUT42" s="139"/>
      <c r="TUU42" s="139"/>
      <c r="TUV42" s="139"/>
      <c r="TUW42" s="139"/>
      <c r="TUX42" s="139"/>
      <c r="TUY42" s="139"/>
      <c r="TUZ42" s="139"/>
      <c r="TVA42" s="139"/>
      <c r="TVB42" s="139"/>
      <c r="TVC42" s="139"/>
      <c r="TVD42" s="139"/>
      <c r="TVE42" s="139"/>
      <c r="TVF42" s="139"/>
      <c r="TVG42" s="139"/>
      <c r="TVH42" s="139"/>
      <c r="TVI42" s="139"/>
      <c r="TVJ42" s="139"/>
      <c r="TVK42" s="139"/>
      <c r="TVL42" s="139"/>
      <c r="TVM42" s="139"/>
      <c r="TVN42" s="139"/>
      <c r="TVO42" s="139"/>
      <c r="TVP42" s="139"/>
      <c r="TVQ42" s="139"/>
      <c r="TVR42" s="139"/>
      <c r="TVS42" s="139"/>
      <c r="TVT42" s="139"/>
      <c r="TVU42" s="139"/>
      <c r="TVV42" s="139"/>
      <c r="TVW42" s="139"/>
      <c r="TVX42" s="139"/>
      <c r="TVY42" s="139"/>
      <c r="TVZ42" s="139"/>
      <c r="TWA42" s="139"/>
      <c r="TWB42" s="139"/>
      <c r="TWC42" s="139"/>
      <c r="TWD42" s="139"/>
      <c r="TWE42" s="139"/>
      <c r="TWF42" s="139"/>
      <c r="TWG42" s="139"/>
      <c r="TWH42" s="139"/>
      <c r="TWI42" s="139"/>
      <c r="TWJ42" s="139"/>
      <c r="TWK42" s="139"/>
      <c r="TWL42" s="139"/>
      <c r="TWM42" s="139"/>
      <c r="TWN42" s="139"/>
      <c r="TWO42" s="139"/>
      <c r="TWP42" s="139"/>
      <c r="TWQ42" s="139"/>
      <c r="TWR42" s="139"/>
      <c r="TWS42" s="139"/>
      <c r="TWT42" s="139"/>
      <c r="TWU42" s="139"/>
      <c r="TWV42" s="139"/>
      <c r="TWW42" s="139"/>
      <c r="TWX42" s="139"/>
      <c r="TWY42" s="139"/>
      <c r="TWZ42" s="139"/>
      <c r="TXA42" s="139"/>
      <c r="TXB42" s="139"/>
      <c r="TXC42" s="139"/>
      <c r="TXD42" s="139"/>
      <c r="TXE42" s="139"/>
      <c r="TXF42" s="139"/>
      <c r="TXG42" s="139"/>
      <c r="TXH42" s="139"/>
      <c r="TXI42" s="139"/>
      <c r="TXJ42" s="139"/>
      <c r="TXK42" s="139"/>
      <c r="TXL42" s="139"/>
      <c r="TXM42" s="139"/>
      <c r="TXN42" s="139"/>
      <c r="TXO42" s="139"/>
      <c r="TXP42" s="139"/>
      <c r="TXQ42" s="139"/>
      <c r="TXR42" s="139"/>
      <c r="TXS42" s="139"/>
      <c r="TXT42" s="139"/>
      <c r="TXU42" s="139"/>
      <c r="TXV42" s="139"/>
      <c r="TXW42" s="139"/>
      <c r="TXX42" s="139"/>
      <c r="TXY42" s="139"/>
      <c r="TXZ42" s="139"/>
      <c r="TYA42" s="139"/>
      <c r="TYB42" s="139"/>
      <c r="TYC42" s="139"/>
      <c r="TYD42" s="139"/>
      <c r="TYE42" s="139"/>
      <c r="TYF42" s="139"/>
      <c r="TYG42" s="139"/>
      <c r="TYH42" s="139"/>
      <c r="TYI42" s="139"/>
      <c r="TYJ42" s="139"/>
      <c r="TYK42" s="139"/>
      <c r="TYL42" s="139"/>
      <c r="TYM42" s="139"/>
      <c r="TYN42" s="139"/>
      <c r="TYO42" s="139"/>
      <c r="TYP42" s="139"/>
      <c r="TYQ42" s="139"/>
      <c r="TYR42" s="139"/>
      <c r="TYS42" s="139"/>
      <c r="TYT42" s="139"/>
      <c r="TYU42" s="139"/>
      <c r="TYV42" s="139"/>
      <c r="TYW42" s="139"/>
      <c r="TYX42" s="139"/>
      <c r="TYY42" s="139"/>
      <c r="TYZ42" s="139"/>
      <c r="TZA42" s="139"/>
      <c r="TZB42" s="139"/>
      <c r="TZC42" s="139"/>
      <c r="TZD42" s="139"/>
      <c r="TZE42" s="139"/>
      <c r="TZF42" s="139"/>
      <c r="TZG42" s="139"/>
      <c r="TZH42" s="139"/>
      <c r="TZI42" s="139"/>
      <c r="TZJ42" s="139"/>
      <c r="TZK42" s="139"/>
      <c r="TZL42" s="139"/>
      <c r="TZM42" s="139"/>
      <c r="TZN42" s="139"/>
      <c r="TZO42" s="139"/>
      <c r="TZP42" s="139"/>
      <c r="TZQ42" s="139"/>
      <c r="TZR42" s="139"/>
      <c r="TZS42" s="139"/>
      <c r="TZT42" s="139"/>
      <c r="TZU42" s="139"/>
      <c r="TZV42" s="139"/>
      <c r="TZW42" s="139"/>
      <c r="TZX42" s="139"/>
      <c r="TZY42" s="139"/>
      <c r="TZZ42" s="139"/>
      <c r="UAA42" s="139"/>
      <c r="UAB42" s="139"/>
      <c r="UAC42" s="139"/>
      <c r="UAD42" s="139"/>
      <c r="UAE42" s="139"/>
      <c r="UAF42" s="139"/>
      <c r="UAG42" s="139"/>
      <c r="UAH42" s="139"/>
      <c r="UAI42" s="139"/>
      <c r="UAJ42" s="139"/>
      <c r="UAK42" s="139"/>
      <c r="UAL42" s="139"/>
      <c r="UAM42" s="139"/>
      <c r="UAN42" s="139"/>
      <c r="UAO42" s="139"/>
      <c r="UAP42" s="139"/>
      <c r="UAQ42" s="139"/>
      <c r="UAR42" s="139"/>
      <c r="UAS42" s="139"/>
      <c r="UAT42" s="139"/>
      <c r="UAU42" s="139"/>
      <c r="UAV42" s="139"/>
      <c r="UAW42" s="139"/>
      <c r="UAX42" s="139"/>
      <c r="UAY42" s="139"/>
      <c r="UAZ42" s="139"/>
      <c r="UBA42" s="139"/>
      <c r="UBB42" s="139"/>
      <c r="UBC42" s="139"/>
      <c r="UBD42" s="139"/>
      <c r="UBE42" s="139"/>
      <c r="UBF42" s="139"/>
      <c r="UBG42" s="139"/>
      <c r="UBH42" s="139"/>
      <c r="UBI42" s="139"/>
      <c r="UBJ42" s="139"/>
      <c r="UBK42" s="139"/>
      <c r="UBL42" s="139"/>
      <c r="UBM42" s="139"/>
      <c r="UBN42" s="139"/>
      <c r="UBO42" s="139"/>
      <c r="UBP42" s="139"/>
      <c r="UBQ42" s="139"/>
      <c r="UBR42" s="139"/>
      <c r="UBS42" s="139"/>
      <c r="UBT42" s="139"/>
      <c r="UBU42" s="139"/>
      <c r="UBV42" s="139"/>
      <c r="UBW42" s="139"/>
      <c r="UBX42" s="139"/>
      <c r="UBY42" s="139"/>
      <c r="UBZ42" s="139"/>
      <c r="UCA42" s="139"/>
      <c r="UCB42" s="139"/>
      <c r="UCC42" s="139"/>
      <c r="UCD42" s="139"/>
      <c r="UCE42" s="139"/>
      <c r="UCF42" s="139"/>
      <c r="UCG42" s="139"/>
      <c r="UCH42" s="139"/>
      <c r="UCI42" s="139"/>
      <c r="UCJ42" s="139"/>
      <c r="UCK42" s="139"/>
      <c r="UCL42" s="139"/>
      <c r="UCM42" s="139"/>
      <c r="UCN42" s="139"/>
      <c r="UCO42" s="139"/>
      <c r="UCP42" s="139"/>
      <c r="UCQ42" s="139"/>
      <c r="UCR42" s="139"/>
      <c r="UCS42" s="139"/>
      <c r="UCT42" s="139"/>
      <c r="UCU42" s="139"/>
      <c r="UCV42" s="139"/>
      <c r="UCW42" s="139"/>
      <c r="UCX42" s="139"/>
      <c r="UCY42" s="139"/>
      <c r="UCZ42" s="139"/>
      <c r="UDA42" s="139"/>
      <c r="UDB42" s="139"/>
      <c r="UDC42" s="139"/>
      <c r="UDD42" s="139"/>
      <c r="UDE42" s="139"/>
      <c r="UDF42" s="139"/>
      <c r="UDG42" s="139"/>
      <c r="UDH42" s="139"/>
      <c r="UDI42" s="139"/>
      <c r="UDJ42" s="139"/>
      <c r="UDK42" s="139"/>
      <c r="UDL42" s="139"/>
      <c r="UDM42" s="139"/>
      <c r="UDN42" s="139"/>
      <c r="UDO42" s="139"/>
      <c r="UDP42" s="139"/>
      <c r="UDQ42" s="139"/>
      <c r="UDR42" s="139"/>
      <c r="UDS42" s="139"/>
      <c r="UDT42" s="139"/>
      <c r="UDU42" s="139"/>
      <c r="UDV42" s="139"/>
      <c r="UDW42" s="139"/>
      <c r="UDX42" s="139"/>
      <c r="UDY42" s="139"/>
      <c r="UDZ42" s="139"/>
      <c r="UEA42" s="139"/>
      <c r="UEB42" s="139"/>
      <c r="UEC42" s="139"/>
      <c r="UED42" s="139"/>
      <c r="UEE42" s="139"/>
      <c r="UEF42" s="139"/>
      <c r="UEG42" s="139"/>
      <c r="UEH42" s="139"/>
      <c r="UEI42" s="139"/>
      <c r="UEJ42" s="139"/>
      <c r="UEK42" s="139"/>
      <c r="UEL42" s="139"/>
      <c r="UEM42" s="139"/>
      <c r="UEN42" s="139"/>
      <c r="UEO42" s="139"/>
      <c r="UEP42" s="139"/>
      <c r="UEQ42" s="139"/>
      <c r="UER42" s="139"/>
      <c r="UES42" s="139"/>
      <c r="UET42" s="139"/>
      <c r="UEU42" s="139"/>
      <c r="UEV42" s="139"/>
      <c r="UEW42" s="139"/>
      <c r="UEX42" s="139"/>
      <c r="UEY42" s="139"/>
      <c r="UEZ42" s="139"/>
      <c r="UFA42" s="139"/>
      <c r="UFB42" s="139"/>
      <c r="UFC42" s="139"/>
      <c r="UFD42" s="139"/>
      <c r="UFE42" s="139"/>
      <c r="UFF42" s="139"/>
      <c r="UFG42" s="139"/>
      <c r="UFH42" s="139"/>
      <c r="UFI42" s="139"/>
      <c r="UFJ42" s="139"/>
      <c r="UFK42" s="139"/>
      <c r="UFL42" s="139"/>
      <c r="UFM42" s="139"/>
      <c r="UFN42" s="139"/>
      <c r="UFO42" s="139"/>
      <c r="UFP42" s="139"/>
      <c r="UFQ42" s="139"/>
      <c r="UFR42" s="139"/>
      <c r="UFS42" s="139"/>
      <c r="UFT42" s="139"/>
      <c r="UFU42" s="139"/>
      <c r="UFV42" s="139"/>
      <c r="UFW42" s="139"/>
      <c r="UFX42" s="139"/>
      <c r="UFY42" s="139"/>
      <c r="UFZ42" s="139"/>
      <c r="UGA42" s="139"/>
      <c r="UGB42" s="139"/>
      <c r="UGC42" s="139"/>
      <c r="UGD42" s="139"/>
      <c r="UGE42" s="139"/>
      <c r="UGF42" s="139"/>
      <c r="UGG42" s="139"/>
      <c r="UGH42" s="139"/>
      <c r="UGI42" s="139"/>
      <c r="UGJ42" s="139"/>
      <c r="UGK42" s="139"/>
      <c r="UGL42" s="139"/>
      <c r="UGM42" s="139"/>
      <c r="UGN42" s="139"/>
      <c r="UGO42" s="139"/>
      <c r="UGP42" s="139"/>
      <c r="UGQ42" s="139"/>
      <c r="UGR42" s="139"/>
      <c r="UGS42" s="139"/>
      <c r="UGT42" s="139"/>
      <c r="UGU42" s="139"/>
      <c r="UGV42" s="139"/>
      <c r="UGW42" s="139"/>
      <c r="UGX42" s="139"/>
      <c r="UGY42" s="139"/>
      <c r="UGZ42" s="139"/>
      <c r="UHA42" s="139"/>
      <c r="UHB42" s="139"/>
      <c r="UHC42" s="139"/>
      <c r="UHD42" s="139"/>
      <c r="UHE42" s="139"/>
      <c r="UHF42" s="139"/>
      <c r="UHG42" s="139"/>
      <c r="UHH42" s="139"/>
      <c r="UHI42" s="139"/>
      <c r="UHJ42" s="139"/>
      <c r="UHK42" s="139"/>
      <c r="UHL42" s="139"/>
      <c r="UHM42" s="139"/>
      <c r="UHN42" s="139"/>
      <c r="UHO42" s="139"/>
      <c r="UHP42" s="139"/>
      <c r="UHQ42" s="139"/>
      <c r="UHR42" s="139"/>
      <c r="UHS42" s="139"/>
      <c r="UHT42" s="139"/>
      <c r="UHU42" s="139"/>
      <c r="UHV42" s="139"/>
      <c r="UHW42" s="139"/>
      <c r="UHX42" s="139"/>
      <c r="UHY42" s="139"/>
      <c r="UHZ42" s="139"/>
      <c r="UIA42" s="139"/>
      <c r="UIB42" s="139"/>
      <c r="UIC42" s="139"/>
      <c r="UID42" s="139"/>
      <c r="UIE42" s="139"/>
      <c r="UIF42" s="139"/>
      <c r="UIG42" s="139"/>
      <c r="UIH42" s="139"/>
      <c r="UII42" s="139"/>
      <c r="UIJ42" s="139"/>
      <c r="UIK42" s="139"/>
      <c r="UIL42" s="139"/>
      <c r="UIM42" s="139"/>
      <c r="UIN42" s="139"/>
      <c r="UIO42" s="139"/>
      <c r="UIP42" s="139"/>
      <c r="UIQ42" s="139"/>
      <c r="UIR42" s="139"/>
      <c r="UIS42" s="139"/>
      <c r="UIT42" s="139"/>
      <c r="UIU42" s="139"/>
      <c r="UIV42" s="139"/>
      <c r="UIW42" s="139"/>
      <c r="UIX42" s="139"/>
      <c r="UIY42" s="139"/>
      <c r="UIZ42" s="139"/>
      <c r="UJA42" s="139"/>
      <c r="UJB42" s="139"/>
      <c r="UJC42" s="139"/>
      <c r="UJD42" s="139"/>
      <c r="UJE42" s="139"/>
      <c r="UJF42" s="139"/>
      <c r="UJG42" s="139"/>
      <c r="UJH42" s="139"/>
      <c r="UJI42" s="139"/>
      <c r="UJJ42" s="139"/>
      <c r="UJK42" s="139"/>
      <c r="UJL42" s="139"/>
      <c r="UJM42" s="139"/>
      <c r="UJN42" s="139"/>
      <c r="UJO42" s="139"/>
      <c r="UJP42" s="139"/>
      <c r="UJQ42" s="139"/>
      <c r="UJR42" s="139"/>
      <c r="UJS42" s="139"/>
      <c r="UJT42" s="139"/>
      <c r="UJU42" s="139"/>
      <c r="UJV42" s="139"/>
      <c r="UJW42" s="139"/>
      <c r="UJX42" s="139"/>
      <c r="UJY42" s="139"/>
      <c r="UJZ42" s="139"/>
      <c r="UKA42" s="139"/>
      <c r="UKB42" s="139"/>
      <c r="UKC42" s="139"/>
      <c r="UKD42" s="139"/>
      <c r="UKE42" s="139"/>
      <c r="UKF42" s="139"/>
      <c r="UKG42" s="139"/>
      <c r="UKH42" s="139"/>
      <c r="UKI42" s="139"/>
      <c r="UKJ42" s="139"/>
      <c r="UKK42" s="139"/>
      <c r="UKL42" s="139"/>
      <c r="UKM42" s="139"/>
      <c r="UKN42" s="139"/>
      <c r="UKO42" s="139"/>
      <c r="UKP42" s="139"/>
      <c r="UKQ42" s="139"/>
      <c r="UKR42" s="139"/>
      <c r="UKS42" s="139"/>
      <c r="UKT42" s="139"/>
      <c r="UKU42" s="139"/>
      <c r="UKV42" s="139"/>
      <c r="UKW42" s="139"/>
      <c r="UKX42" s="139"/>
      <c r="UKY42" s="139"/>
      <c r="UKZ42" s="139"/>
      <c r="ULA42" s="139"/>
      <c r="ULB42" s="139"/>
      <c r="ULC42" s="139"/>
      <c r="ULD42" s="139"/>
      <c r="ULE42" s="139"/>
      <c r="ULF42" s="139"/>
      <c r="ULG42" s="139"/>
      <c r="ULH42" s="139"/>
      <c r="ULI42" s="139"/>
      <c r="ULJ42" s="139"/>
      <c r="ULK42" s="139"/>
      <c r="ULL42" s="139"/>
      <c r="ULM42" s="139"/>
      <c r="ULN42" s="139"/>
      <c r="ULO42" s="139"/>
      <c r="ULP42" s="139"/>
      <c r="ULQ42" s="139"/>
      <c r="ULR42" s="139"/>
      <c r="ULS42" s="139"/>
      <c r="ULT42" s="139"/>
      <c r="ULU42" s="139"/>
      <c r="ULV42" s="139"/>
      <c r="ULW42" s="139"/>
      <c r="ULX42" s="139"/>
      <c r="ULY42" s="139"/>
      <c r="ULZ42" s="139"/>
      <c r="UMA42" s="139"/>
      <c r="UMB42" s="139"/>
      <c r="UMC42" s="139"/>
      <c r="UMD42" s="139"/>
      <c r="UME42" s="139"/>
      <c r="UMF42" s="139"/>
      <c r="UMG42" s="139"/>
      <c r="UMH42" s="139"/>
      <c r="UMI42" s="139"/>
      <c r="UMJ42" s="139"/>
      <c r="UMK42" s="139"/>
      <c r="UML42" s="139"/>
      <c r="UMM42" s="139"/>
      <c r="UMN42" s="139"/>
      <c r="UMO42" s="139"/>
      <c r="UMP42" s="139"/>
      <c r="UMQ42" s="139"/>
      <c r="UMR42" s="139"/>
      <c r="UMS42" s="139"/>
      <c r="UMT42" s="139"/>
      <c r="UMU42" s="139"/>
      <c r="UMV42" s="139"/>
      <c r="UMW42" s="139"/>
      <c r="UMX42" s="139"/>
      <c r="UMY42" s="139"/>
      <c r="UMZ42" s="139"/>
      <c r="UNA42" s="139"/>
      <c r="UNB42" s="139"/>
      <c r="UNC42" s="139"/>
      <c r="UND42" s="139"/>
      <c r="UNE42" s="139"/>
      <c r="UNF42" s="139"/>
      <c r="UNG42" s="139"/>
      <c r="UNH42" s="139"/>
      <c r="UNI42" s="139"/>
      <c r="UNJ42" s="139"/>
      <c r="UNK42" s="139"/>
      <c r="UNL42" s="139"/>
      <c r="UNM42" s="139"/>
      <c r="UNN42" s="139"/>
      <c r="UNO42" s="139"/>
      <c r="UNP42" s="139"/>
      <c r="UNQ42" s="139"/>
      <c r="UNR42" s="139"/>
      <c r="UNS42" s="139"/>
      <c r="UNT42" s="139"/>
      <c r="UNU42" s="139"/>
      <c r="UNV42" s="139"/>
      <c r="UNW42" s="139"/>
      <c r="UNX42" s="139"/>
      <c r="UNY42" s="139"/>
      <c r="UNZ42" s="139"/>
      <c r="UOA42" s="139"/>
      <c r="UOB42" s="139"/>
      <c r="UOC42" s="139"/>
      <c r="UOD42" s="139"/>
      <c r="UOE42" s="139"/>
      <c r="UOF42" s="139"/>
      <c r="UOG42" s="139"/>
      <c r="UOH42" s="139"/>
      <c r="UOI42" s="139"/>
      <c r="UOJ42" s="139"/>
      <c r="UOK42" s="139"/>
      <c r="UOL42" s="139"/>
      <c r="UOM42" s="139"/>
      <c r="UON42" s="139"/>
      <c r="UOO42" s="139"/>
      <c r="UOP42" s="139"/>
      <c r="UOQ42" s="139"/>
      <c r="UOR42" s="139"/>
      <c r="UOS42" s="139"/>
      <c r="UOT42" s="139"/>
      <c r="UOU42" s="139"/>
      <c r="UOV42" s="139"/>
      <c r="UOW42" s="139"/>
      <c r="UOX42" s="139"/>
      <c r="UOY42" s="139"/>
      <c r="UOZ42" s="139"/>
      <c r="UPA42" s="139"/>
      <c r="UPB42" s="139"/>
      <c r="UPC42" s="139"/>
      <c r="UPD42" s="139"/>
      <c r="UPE42" s="139"/>
      <c r="UPF42" s="139"/>
      <c r="UPG42" s="139"/>
      <c r="UPH42" s="139"/>
      <c r="UPI42" s="139"/>
      <c r="UPJ42" s="139"/>
      <c r="UPK42" s="139"/>
      <c r="UPL42" s="139"/>
      <c r="UPM42" s="139"/>
      <c r="UPN42" s="139"/>
      <c r="UPO42" s="139"/>
      <c r="UPP42" s="139"/>
      <c r="UPQ42" s="139"/>
      <c r="UPR42" s="139"/>
      <c r="UPS42" s="139"/>
      <c r="UPT42" s="139"/>
      <c r="UPU42" s="139"/>
      <c r="UPV42" s="139"/>
      <c r="UPW42" s="139"/>
      <c r="UPX42" s="139"/>
      <c r="UPY42" s="139"/>
      <c r="UPZ42" s="139"/>
      <c r="UQA42" s="139"/>
      <c r="UQB42" s="139"/>
      <c r="UQC42" s="139"/>
      <c r="UQD42" s="139"/>
      <c r="UQE42" s="139"/>
      <c r="UQF42" s="139"/>
      <c r="UQG42" s="139"/>
      <c r="UQH42" s="139"/>
      <c r="UQI42" s="139"/>
      <c r="UQJ42" s="139"/>
      <c r="UQK42" s="139"/>
      <c r="UQL42" s="139"/>
      <c r="UQM42" s="139"/>
      <c r="UQN42" s="139"/>
      <c r="UQO42" s="139"/>
      <c r="UQP42" s="139"/>
      <c r="UQQ42" s="139"/>
      <c r="UQR42" s="139"/>
      <c r="UQS42" s="139"/>
      <c r="UQT42" s="139"/>
      <c r="UQU42" s="139"/>
      <c r="UQV42" s="139"/>
      <c r="UQW42" s="139"/>
      <c r="UQX42" s="139"/>
      <c r="UQY42" s="139"/>
      <c r="UQZ42" s="139"/>
      <c r="URA42" s="139"/>
      <c r="URB42" s="139"/>
      <c r="URC42" s="139"/>
      <c r="URD42" s="139"/>
      <c r="URE42" s="139"/>
      <c r="URF42" s="139"/>
      <c r="URG42" s="139"/>
      <c r="URH42" s="139"/>
      <c r="URI42" s="139"/>
      <c r="URJ42" s="139"/>
      <c r="URK42" s="139"/>
      <c r="URL42" s="139"/>
      <c r="URM42" s="139"/>
      <c r="URN42" s="139"/>
      <c r="URO42" s="139"/>
      <c r="URP42" s="139"/>
      <c r="URQ42" s="139"/>
      <c r="URR42" s="139"/>
      <c r="URS42" s="139"/>
      <c r="URT42" s="139"/>
      <c r="URU42" s="139"/>
      <c r="URV42" s="139"/>
      <c r="URW42" s="139"/>
      <c r="URX42" s="139"/>
      <c r="URY42" s="139"/>
      <c r="URZ42" s="139"/>
      <c r="USA42" s="139"/>
      <c r="USB42" s="139"/>
      <c r="USC42" s="139"/>
      <c r="USD42" s="139"/>
      <c r="USE42" s="139"/>
      <c r="USF42" s="139"/>
      <c r="USG42" s="139"/>
      <c r="USH42" s="139"/>
      <c r="USI42" s="139"/>
      <c r="USJ42" s="139"/>
      <c r="USK42" s="139"/>
      <c r="USL42" s="139"/>
      <c r="USM42" s="139"/>
      <c r="USN42" s="139"/>
      <c r="USO42" s="139"/>
      <c r="USP42" s="139"/>
      <c r="USQ42" s="139"/>
      <c r="USR42" s="139"/>
      <c r="USS42" s="139"/>
      <c r="UST42" s="139"/>
      <c r="USU42" s="139"/>
      <c r="USV42" s="139"/>
      <c r="USW42" s="139"/>
      <c r="USX42" s="139"/>
      <c r="USY42" s="139"/>
      <c r="USZ42" s="139"/>
      <c r="UTA42" s="139"/>
      <c r="UTB42" s="139"/>
      <c r="UTC42" s="139"/>
      <c r="UTD42" s="139"/>
      <c r="UTE42" s="139"/>
      <c r="UTF42" s="139"/>
      <c r="UTG42" s="139"/>
      <c r="UTH42" s="139"/>
      <c r="UTI42" s="139"/>
      <c r="UTJ42" s="139"/>
      <c r="UTK42" s="139"/>
      <c r="UTL42" s="139"/>
      <c r="UTM42" s="139"/>
      <c r="UTN42" s="139"/>
      <c r="UTO42" s="139"/>
      <c r="UTP42" s="139"/>
      <c r="UTQ42" s="139"/>
      <c r="UTR42" s="139"/>
      <c r="UTS42" s="139"/>
      <c r="UTT42" s="139"/>
      <c r="UTU42" s="139"/>
      <c r="UTV42" s="139"/>
      <c r="UTW42" s="139"/>
      <c r="UTX42" s="139"/>
      <c r="UTY42" s="139"/>
      <c r="UTZ42" s="139"/>
      <c r="UUA42" s="139"/>
      <c r="UUB42" s="139"/>
      <c r="UUC42" s="139"/>
      <c r="UUD42" s="139"/>
      <c r="UUE42" s="139"/>
      <c r="UUF42" s="139"/>
      <c r="UUG42" s="139"/>
      <c r="UUH42" s="139"/>
      <c r="UUI42" s="139"/>
      <c r="UUJ42" s="139"/>
      <c r="UUK42" s="139"/>
      <c r="UUL42" s="139"/>
      <c r="UUM42" s="139"/>
      <c r="UUN42" s="139"/>
      <c r="UUO42" s="139"/>
      <c r="UUP42" s="139"/>
      <c r="UUQ42" s="139"/>
      <c r="UUR42" s="139"/>
      <c r="UUS42" s="139"/>
      <c r="UUT42" s="139"/>
      <c r="UUU42" s="139"/>
      <c r="UUV42" s="139"/>
      <c r="UUW42" s="139"/>
      <c r="UUX42" s="139"/>
      <c r="UUY42" s="139"/>
      <c r="UUZ42" s="139"/>
      <c r="UVA42" s="139"/>
      <c r="UVB42" s="139"/>
      <c r="UVC42" s="139"/>
      <c r="UVD42" s="139"/>
      <c r="UVE42" s="139"/>
      <c r="UVF42" s="139"/>
      <c r="UVG42" s="139"/>
      <c r="UVH42" s="139"/>
      <c r="UVI42" s="139"/>
      <c r="UVJ42" s="139"/>
      <c r="UVK42" s="139"/>
      <c r="UVL42" s="139"/>
      <c r="UVM42" s="139"/>
      <c r="UVN42" s="139"/>
      <c r="UVO42" s="139"/>
      <c r="UVP42" s="139"/>
      <c r="UVQ42" s="139"/>
      <c r="UVR42" s="139"/>
      <c r="UVS42" s="139"/>
      <c r="UVT42" s="139"/>
      <c r="UVU42" s="139"/>
      <c r="UVV42" s="139"/>
      <c r="UVW42" s="139"/>
      <c r="UVX42" s="139"/>
      <c r="UVY42" s="139"/>
      <c r="UVZ42" s="139"/>
      <c r="UWA42" s="139"/>
      <c r="UWB42" s="139"/>
      <c r="UWC42" s="139"/>
      <c r="UWD42" s="139"/>
      <c r="UWE42" s="139"/>
      <c r="UWF42" s="139"/>
      <c r="UWG42" s="139"/>
      <c r="UWH42" s="139"/>
      <c r="UWI42" s="139"/>
      <c r="UWJ42" s="139"/>
      <c r="UWK42" s="139"/>
      <c r="UWL42" s="139"/>
      <c r="UWM42" s="139"/>
      <c r="UWN42" s="139"/>
      <c r="UWO42" s="139"/>
      <c r="UWP42" s="139"/>
      <c r="UWQ42" s="139"/>
      <c r="UWR42" s="139"/>
      <c r="UWS42" s="139"/>
      <c r="UWT42" s="139"/>
      <c r="UWU42" s="139"/>
      <c r="UWV42" s="139"/>
      <c r="UWW42" s="139"/>
      <c r="UWX42" s="139"/>
      <c r="UWY42" s="139"/>
      <c r="UWZ42" s="139"/>
      <c r="UXA42" s="139"/>
      <c r="UXB42" s="139"/>
      <c r="UXC42" s="139"/>
      <c r="UXD42" s="139"/>
      <c r="UXE42" s="139"/>
      <c r="UXF42" s="139"/>
      <c r="UXG42" s="139"/>
      <c r="UXH42" s="139"/>
      <c r="UXI42" s="139"/>
      <c r="UXJ42" s="139"/>
      <c r="UXK42" s="139"/>
      <c r="UXL42" s="139"/>
      <c r="UXM42" s="139"/>
      <c r="UXN42" s="139"/>
      <c r="UXO42" s="139"/>
      <c r="UXP42" s="139"/>
      <c r="UXQ42" s="139"/>
      <c r="UXR42" s="139"/>
      <c r="UXS42" s="139"/>
      <c r="UXT42" s="139"/>
      <c r="UXU42" s="139"/>
      <c r="UXV42" s="139"/>
      <c r="UXW42" s="139"/>
      <c r="UXX42" s="139"/>
      <c r="UXY42" s="139"/>
      <c r="UXZ42" s="139"/>
      <c r="UYA42" s="139"/>
      <c r="UYB42" s="139"/>
      <c r="UYC42" s="139"/>
      <c r="UYD42" s="139"/>
      <c r="UYE42" s="139"/>
      <c r="UYF42" s="139"/>
      <c r="UYG42" s="139"/>
      <c r="UYH42" s="139"/>
      <c r="UYI42" s="139"/>
      <c r="UYJ42" s="139"/>
      <c r="UYK42" s="139"/>
      <c r="UYL42" s="139"/>
      <c r="UYM42" s="139"/>
      <c r="UYN42" s="139"/>
      <c r="UYO42" s="139"/>
      <c r="UYP42" s="139"/>
      <c r="UYQ42" s="139"/>
      <c r="UYR42" s="139"/>
      <c r="UYS42" s="139"/>
      <c r="UYT42" s="139"/>
      <c r="UYU42" s="139"/>
      <c r="UYV42" s="139"/>
      <c r="UYW42" s="139"/>
      <c r="UYX42" s="139"/>
      <c r="UYY42" s="139"/>
      <c r="UYZ42" s="139"/>
      <c r="UZA42" s="139"/>
      <c r="UZB42" s="139"/>
      <c r="UZC42" s="139"/>
      <c r="UZD42" s="139"/>
      <c r="UZE42" s="139"/>
      <c r="UZF42" s="139"/>
      <c r="UZG42" s="139"/>
      <c r="UZH42" s="139"/>
      <c r="UZI42" s="139"/>
      <c r="UZJ42" s="139"/>
      <c r="UZK42" s="139"/>
      <c r="UZL42" s="139"/>
      <c r="UZM42" s="139"/>
      <c r="UZN42" s="139"/>
      <c r="UZO42" s="139"/>
      <c r="UZP42" s="139"/>
      <c r="UZQ42" s="139"/>
      <c r="UZR42" s="139"/>
      <c r="UZS42" s="139"/>
      <c r="UZT42" s="139"/>
      <c r="UZU42" s="139"/>
      <c r="UZV42" s="139"/>
      <c r="UZW42" s="139"/>
      <c r="UZX42" s="139"/>
      <c r="UZY42" s="139"/>
      <c r="UZZ42" s="139"/>
      <c r="VAA42" s="139"/>
      <c r="VAB42" s="139"/>
      <c r="VAC42" s="139"/>
      <c r="VAD42" s="139"/>
      <c r="VAE42" s="139"/>
      <c r="VAF42" s="139"/>
      <c r="VAG42" s="139"/>
      <c r="VAH42" s="139"/>
      <c r="VAI42" s="139"/>
      <c r="VAJ42" s="139"/>
      <c r="VAK42" s="139"/>
      <c r="VAL42" s="139"/>
      <c r="VAM42" s="139"/>
      <c r="VAN42" s="139"/>
      <c r="VAO42" s="139"/>
      <c r="VAP42" s="139"/>
      <c r="VAQ42" s="139"/>
      <c r="VAR42" s="139"/>
      <c r="VAS42" s="139"/>
      <c r="VAT42" s="139"/>
      <c r="VAU42" s="139"/>
      <c r="VAV42" s="139"/>
      <c r="VAW42" s="139"/>
      <c r="VAX42" s="139"/>
      <c r="VAY42" s="139"/>
      <c r="VAZ42" s="139"/>
      <c r="VBA42" s="139"/>
      <c r="VBB42" s="139"/>
      <c r="VBC42" s="139"/>
      <c r="VBD42" s="139"/>
      <c r="VBE42" s="139"/>
      <c r="VBF42" s="139"/>
      <c r="VBG42" s="139"/>
      <c r="VBH42" s="139"/>
      <c r="VBI42" s="139"/>
      <c r="VBJ42" s="139"/>
      <c r="VBK42" s="139"/>
      <c r="VBL42" s="139"/>
      <c r="VBM42" s="139"/>
      <c r="VBN42" s="139"/>
      <c r="VBO42" s="139"/>
      <c r="VBP42" s="139"/>
      <c r="VBQ42" s="139"/>
      <c r="VBR42" s="139"/>
      <c r="VBS42" s="139"/>
      <c r="VBT42" s="139"/>
      <c r="VBU42" s="139"/>
      <c r="VBV42" s="139"/>
      <c r="VBW42" s="139"/>
      <c r="VBX42" s="139"/>
      <c r="VBY42" s="139"/>
      <c r="VBZ42" s="139"/>
      <c r="VCA42" s="139"/>
      <c r="VCB42" s="139"/>
      <c r="VCC42" s="139"/>
      <c r="VCD42" s="139"/>
      <c r="VCE42" s="139"/>
      <c r="VCF42" s="139"/>
      <c r="VCG42" s="139"/>
      <c r="VCH42" s="139"/>
      <c r="VCI42" s="139"/>
      <c r="VCJ42" s="139"/>
      <c r="VCK42" s="139"/>
      <c r="VCL42" s="139"/>
      <c r="VCM42" s="139"/>
      <c r="VCN42" s="139"/>
      <c r="VCO42" s="139"/>
      <c r="VCP42" s="139"/>
      <c r="VCQ42" s="139"/>
      <c r="VCR42" s="139"/>
      <c r="VCS42" s="139"/>
      <c r="VCT42" s="139"/>
      <c r="VCU42" s="139"/>
      <c r="VCV42" s="139"/>
      <c r="VCW42" s="139"/>
      <c r="VCX42" s="139"/>
      <c r="VCY42" s="139"/>
      <c r="VCZ42" s="139"/>
      <c r="VDA42" s="139"/>
      <c r="VDB42" s="139"/>
      <c r="VDC42" s="139"/>
      <c r="VDD42" s="139"/>
      <c r="VDE42" s="139"/>
      <c r="VDF42" s="139"/>
      <c r="VDG42" s="139"/>
      <c r="VDH42" s="139"/>
      <c r="VDI42" s="139"/>
      <c r="VDJ42" s="139"/>
      <c r="VDK42" s="139"/>
      <c r="VDL42" s="139"/>
      <c r="VDM42" s="139"/>
      <c r="VDN42" s="139"/>
      <c r="VDO42" s="139"/>
      <c r="VDP42" s="139"/>
      <c r="VDQ42" s="139"/>
      <c r="VDR42" s="139"/>
      <c r="VDS42" s="139"/>
      <c r="VDT42" s="139"/>
      <c r="VDU42" s="139"/>
      <c r="VDV42" s="139"/>
      <c r="VDW42" s="139"/>
      <c r="VDX42" s="139"/>
      <c r="VDY42" s="139"/>
      <c r="VDZ42" s="139"/>
      <c r="VEA42" s="139"/>
      <c r="VEB42" s="139"/>
      <c r="VEC42" s="139"/>
      <c r="VED42" s="139"/>
      <c r="VEE42" s="139"/>
      <c r="VEF42" s="139"/>
      <c r="VEG42" s="139"/>
      <c r="VEH42" s="139"/>
      <c r="VEI42" s="139"/>
      <c r="VEJ42" s="139"/>
      <c r="VEK42" s="139"/>
      <c r="VEL42" s="139"/>
      <c r="VEM42" s="139"/>
      <c r="VEN42" s="139"/>
      <c r="VEO42" s="139"/>
      <c r="VEP42" s="139"/>
      <c r="VEQ42" s="139"/>
      <c r="VER42" s="139"/>
      <c r="VES42" s="139"/>
      <c r="VET42" s="139"/>
      <c r="VEU42" s="139"/>
      <c r="VEV42" s="139"/>
      <c r="VEW42" s="139"/>
      <c r="VEX42" s="139"/>
      <c r="VEY42" s="139"/>
      <c r="VEZ42" s="139"/>
      <c r="VFA42" s="139"/>
      <c r="VFB42" s="139"/>
      <c r="VFC42" s="139"/>
      <c r="VFD42" s="139"/>
      <c r="VFE42" s="139"/>
      <c r="VFF42" s="139"/>
      <c r="VFG42" s="139"/>
      <c r="VFH42" s="139"/>
      <c r="VFI42" s="139"/>
      <c r="VFJ42" s="139"/>
      <c r="VFK42" s="139"/>
      <c r="VFL42" s="139"/>
      <c r="VFM42" s="139"/>
      <c r="VFN42" s="139"/>
      <c r="VFO42" s="139"/>
      <c r="VFP42" s="139"/>
      <c r="VFQ42" s="139"/>
      <c r="VFR42" s="139"/>
      <c r="VFS42" s="139"/>
      <c r="VFT42" s="139"/>
      <c r="VFU42" s="139"/>
      <c r="VFV42" s="139"/>
      <c r="VFW42" s="139"/>
      <c r="VFX42" s="139"/>
      <c r="VFY42" s="139"/>
      <c r="VFZ42" s="139"/>
      <c r="VGA42" s="139"/>
      <c r="VGB42" s="139"/>
      <c r="VGC42" s="139"/>
      <c r="VGD42" s="139"/>
      <c r="VGE42" s="139"/>
      <c r="VGF42" s="139"/>
      <c r="VGG42" s="139"/>
      <c r="VGH42" s="139"/>
      <c r="VGI42" s="139"/>
      <c r="VGJ42" s="139"/>
      <c r="VGK42" s="139"/>
      <c r="VGL42" s="139"/>
      <c r="VGM42" s="139"/>
      <c r="VGN42" s="139"/>
      <c r="VGO42" s="139"/>
      <c r="VGP42" s="139"/>
      <c r="VGQ42" s="139"/>
      <c r="VGR42" s="139"/>
      <c r="VGS42" s="139"/>
      <c r="VGT42" s="139"/>
      <c r="VGU42" s="139"/>
      <c r="VGV42" s="139"/>
      <c r="VGW42" s="139"/>
      <c r="VGX42" s="139"/>
      <c r="VGY42" s="139"/>
      <c r="VGZ42" s="139"/>
      <c r="VHA42" s="139"/>
      <c r="VHB42" s="139"/>
      <c r="VHC42" s="139"/>
      <c r="VHD42" s="139"/>
      <c r="VHE42" s="139"/>
      <c r="VHF42" s="139"/>
      <c r="VHG42" s="139"/>
      <c r="VHH42" s="139"/>
      <c r="VHI42" s="139"/>
      <c r="VHJ42" s="139"/>
      <c r="VHK42" s="139"/>
      <c r="VHL42" s="139"/>
      <c r="VHM42" s="139"/>
      <c r="VHN42" s="139"/>
      <c r="VHO42" s="139"/>
      <c r="VHP42" s="139"/>
      <c r="VHQ42" s="139"/>
      <c r="VHR42" s="139"/>
      <c r="VHS42" s="139"/>
      <c r="VHT42" s="139"/>
      <c r="VHU42" s="139"/>
      <c r="VHV42" s="139"/>
      <c r="VHW42" s="139"/>
      <c r="VHX42" s="139"/>
      <c r="VHY42" s="139"/>
      <c r="VHZ42" s="139"/>
      <c r="VIA42" s="139"/>
      <c r="VIB42" s="139"/>
      <c r="VIC42" s="139"/>
      <c r="VID42" s="139"/>
      <c r="VIE42" s="139"/>
      <c r="VIF42" s="139"/>
      <c r="VIG42" s="139"/>
      <c r="VIH42" s="139"/>
      <c r="VII42" s="139"/>
      <c r="VIJ42" s="139"/>
      <c r="VIK42" s="139"/>
      <c r="VIL42" s="139"/>
      <c r="VIM42" s="139"/>
      <c r="VIN42" s="139"/>
      <c r="VIO42" s="139"/>
      <c r="VIP42" s="139"/>
      <c r="VIQ42" s="139"/>
      <c r="VIR42" s="139"/>
      <c r="VIS42" s="139"/>
      <c r="VIT42" s="139"/>
      <c r="VIU42" s="139"/>
      <c r="VIV42" s="139"/>
      <c r="VIW42" s="139"/>
      <c r="VIX42" s="139"/>
      <c r="VIY42" s="139"/>
      <c r="VIZ42" s="139"/>
      <c r="VJA42" s="139"/>
      <c r="VJB42" s="139"/>
      <c r="VJC42" s="139"/>
      <c r="VJD42" s="139"/>
      <c r="VJE42" s="139"/>
      <c r="VJF42" s="139"/>
      <c r="VJG42" s="139"/>
      <c r="VJH42" s="139"/>
      <c r="VJI42" s="139"/>
      <c r="VJJ42" s="139"/>
      <c r="VJK42" s="139"/>
      <c r="VJL42" s="139"/>
      <c r="VJM42" s="139"/>
      <c r="VJN42" s="139"/>
      <c r="VJO42" s="139"/>
      <c r="VJP42" s="139"/>
      <c r="VJQ42" s="139"/>
      <c r="VJR42" s="139"/>
      <c r="VJS42" s="139"/>
      <c r="VJT42" s="139"/>
      <c r="VJU42" s="139"/>
      <c r="VJV42" s="139"/>
      <c r="VJW42" s="139"/>
      <c r="VJX42" s="139"/>
      <c r="VJY42" s="139"/>
      <c r="VJZ42" s="139"/>
      <c r="VKA42" s="139"/>
      <c r="VKB42" s="139"/>
      <c r="VKC42" s="139"/>
      <c r="VKD42" s="139"/>
      <c r="VKE42" s="139"/>
      <c r="VKF42" s="139"/>
      <c r="VKG42" s="139"/>
      <c r="VKH42" s="139"/>
      <c r="VKI42" s="139"/>
      <c r="VKJ42" s="139"/>
      <c r="VKK42" s="139"/>
      <c r="VKL42" s="139"/>
      <c r="VKM42" s="139"/>
      <c r="VKN42" s="139"/>
      <c r="VKO42" s="139"/>
      <c r="VKP42" s="139"/>
      <c r="VKQ42" s="139"/>
      <c r="VKR42" s="139"/>
      <c r="VKS42" s="139"/>
      <c r="VKT42" s="139"/>
      <c r="VKU42" s="139"/>
      <c r="VKV42" s="139"/>
      <c r="VKW42" s="139"/>
      <c r="VKX42" s="139"/>
      <c r="VKY42" s="139"/>
      <c r="VKZ42" s="139"/>
      <c r="VLA42" s="139"/>
      <c r="VLB42" s="139"/>
      <c r="VLC42" s="139"/>
      <c r="VLD42" s="139"/>
      <c r="VLE42" s="139"/>
      <c r="VLF42" s="139"/>
      <c r="VLG42" s="139"/>
      <c r="VLH42" s="139"/>
      <c r="VLI42" s="139"/>
      <c r="VLJ42" s="139"/>
      <c r="VLK42" s="139"/>
      <c r="VLL42" s="139"/>
      <c r="VLM42" s="139"/>
      <c r="VLN42" s="139"/>
      <c r="VLO42" s="139"/>
      <c r="VLP42" s="139"/>
      <c r="VLQ42" s="139"/>
      <c r="VLR42" s="139"/>
      <c r="VLS42" s="139"/>
      <c r="VLT42" s="139"/>
      <c r="VLU42" s="139"/>
      <c r="VLV42" s="139"/>
      <c r="VLW42" s="139"/>
      <c r="VLX42" s="139"/>
      <c r="VLY42" s="139"/>
      <c r="VLZ42" s="139"/>
      <c r="VMA42" s="139"/>
      <c r="VMB42" s="139"/>
      <c r="VMC42" s="139"/>
      <c r="VMD42" s="139"/>
      <c r="VME42" s="139"/>
      <c r="VMF42" s="139"/>
      <c r="VMG42" s="139"/>
      <c r="VMH42" s="139"/>
      <c r="VMI42" s="139"/>
      <c r="VMJ42" s="139"/>
      <c r="VMK42" s="139"/>
      <c r="VML42" s="139"/>
      <c r="VMM42" s="139"/>
      <c r="VMN42" s="139"/>
      <c r="VMO42" s="139"/>
      <c r="VMP42" s="139"/>
      <c r="VMQ42" s="139"/>
      <c r="VMR42" s="139"/>
      <c r="VMS42" s="139"/>
      <c r="VMT42" s="139"/>
      <c r="VMU42" s="139"/>
      <c r="VMV42" s="139"/>
      <c r="VMW42" s="139"/>
      <c r="VMX42" s="139"/>
      <c r="VMY42" s="139"/>
      <c r="VMZ42" s="139"/>
      <c r="VNA42" s="139"/>
      <c r="VNB42" s="139"/>
      <c r="VNC42" s="139"/>
      <c r="VND42" s="139"/>
      <c r="VNE42" s="139"/>
      <c r="VNF42" s="139"/>
      <c r="VNG42" s="139"/>
      <c r="VNH42" s="139"/>
      <c r="VNI42" s="139"/>
      <c r="VNJ42" s="139"/>
      <c r="VNK42" s="139"/>
      <c r="VNL42" s="139"/>
      <c r="VNM42" s="139"/>
      <c r="VNN42" s="139"/>
      <c r="VNO42" s="139"/>
      <c r="VNP42" s="139"/>
      <c r="VNQ42" s="139"/>
      <c r="VNR42" s="139"/>
      <c r="VNS42" s="139"/>
      <c r="VNT42" s="139"/>
      <c r="VNU42" s="139"/>
      <c r="VNV42" s="139"/>
      <c r="VNW42" s="139"/>
      <c r="VNX42" s="139"/>
      <c r="VNY42" s="139"/>
      <c r="VNZ42" s="139"/>
      <c r="VOA42" s="139"/>
      <c r="VOB42" s="139"/>
      <c r="VOC42" s="139"/>
      <c r="VOD42" s="139"/>
      <c r="VOE42" s="139"/>
      <c r="VOF42" s="139"/>
      <c r="VOG42" s="139"/>
      <c r="VOH42" s="139"/>
      <c r="VOI42" s="139"/>
      <c r="VOJ42" s="139"/>
      <c r="VOK42" s="139"/>
      <c r="VOL42" s="139"/>
      <c r="VOM42" s="139"/>
      <c r="VON42" s="139"/>
      <c r="VOO42" s="139"/>
      <c r="VOP42" s="139"/>
      <c r="VOQ42" s="139"/>
      <c r="VOR42" s="139"/>
      <c r="VOS42" s="139"/>
      <c r="VOT42" s="139"/>
      <c r="VOU42" s="139"/>
      <c r="VOV42" s="139"/>
      <c r="VOW42" s="139"/>
      <c r="VOX42" s="139"/>
      <c r="VOY42" s="139"/>
      <c r="VOZ42" s="139"/>
      <c r="VPA42" s="139"/>
      <c r="VPB42" s="139"/>
      <c r="VPC42" s="139"/>
      <c r="VPD42" s="139"/>
      <c r="VPE42" s="139"/>
      <c r="VPF42" s="139"/>
      <c r="VPG42" s="139"/>
      <c r="VPH42" s="139"/>
      <c r="VPI42" s="139"/>
      <c r="VPJ42" s="139"/>
      <c r="VPK42" s="139"/>
      <c r="VPL42" s="139"/>
      <c r="VPM42" s="139"/>
      <c r="VPN42" s="139"/>
      <c r="VPO42" s="139"/>
      <c r="VPP42" s="139"/>
      <c r="VPQ42" s="139"/>
      <c r="VPR42" s="139"/>
      <c r="VPS42" s="139"/>
      <c r="VPT42" s="139"/>
      <c r="VPU42" s="139"/>
      <c r="VPV42" s="139"/>
      <c r="VPW42" s="139"/>
      <c r="VPX42" s="139"/>
      <c r="VPY42" s="139"/>
      <c r="VPZ42" s="139"/>
      <c r="VQA42" s="139"/>
      <c r="VQB42" s="139"/>
      <c r="VQC42" s="139"/>
      <c r="VQD42" s="139"/>
      <c r="VQE42" s="139"/>
      <c r="VQF42" s="139"/>
      <c r="VQG42" s="139"/>
      <c r="VQH42" s="139"/>
      <c r="VQI42" s="139"/>
      <c r="VQJ42" s="139"/>
      <c r="VQK42" s="139"/>
      <c r="VQL42" s="139"/>
      <c r="VQM42" s="139"/>
      <c r="VQN42" s="139"/>
      <c r="VQO42" s="139"/>
      <c r="VQP42" s="139"/>
      <c r="VQQ42" s="139"/>
      <c r="VQR42" s="139"/>
      <c r="VQS42" s="139"/>
      <c r="VQT42" s="139"/>
      <c r="VQU42" s="139"/>
      <c r="VQV42" s="139"/>
      <c r="VQW42" s="139"/>
      <c r="VQX42" s="139"/>
      <c r="VQY42" s="139"/>
      <c r="VQZ42" s="139"/>
      <c r="VRA42" s="139"/>
      <c r="VRB42" s="139"/>
      <c r="VRC42" s="139"/>
      <c r="VRD42" s="139"/>
      <c r="VRE42" s="139"/>
      <c r="VRF42" s="139"/>
      <c r="VRG42" s="139"/>
      <c r="VRH42" s="139"/>
      <c r="VRI42" s="139"/>
      <c r="VRJ42" s="139"/>
      <c r="VRK42" s="139"/>
      <c r="VRL42" s="139"/>
      <c r="VRM42" s="139"/>
      <c r="VRN42" s="139"/>
      <c r="VRO42" s="139"/>
      <c r="VRP42" s="139"/>
      <c r="VRQ42" s="139"/>
      <c r="VRR42" s="139"/>
      <c r="VRS42" s="139"/>
      <c r="VRT42" s="139"/>
      <c r="VRU42" s="139"/>
      <c r="VRV42" s="139"/>
      <c r="VRW42" s="139"/>
      <c r="VRX42" s="139"/>
      <c r="VRY42" s="139"/>
      <c r="VRZ42" s="139"/>
      <c r="VSA42" s="139"/>
      <c r="VSB42" s="139"/>
      <c r="VSC42" s="139"/>
      <c r="VSD42" s="139"/>
      <c r="VSE42" s="139"/>
      <c r="VSF42" s="139"/>
      <c r="VSG42" s="139"/>
      <c r="VSH42" s="139"/>
      <c r="VSI42" s="139"/>
      <c r="VSJ42" s="139"/>
      <c r="VSK42" s="139"/>
      <c r="VSL42" s="139"/>
      <c r="VSM42" s="139"/>
      <c r="VSN42" s="139"/>
      <c r="VSO42" s="139"/>
      <c r="VSP42" s="139"/>
      <c r="VSQ42" s="139"/>
      <c r="VSR42" s="139"/>
      <c r="VSS42" s="139"/>
      <c r="VST42" s="139"/>
      <c r="VSU42" s="139"/>
      <c r="VSV42" s="139"/>
      <c r="VSW42" s="139"/>
      <c r="VSX42" s="139"/>
      <c r="VSY42" s="139"/>
      <c r="VSZ42" s="139"/>
      <c r="VTA42" s="139"/>
      <c r="VTB42" s="139"/>
      <c r="VTC42" s="139"/>
      <c r="VTD42" s="139"/>
      <c r="VTE42" s="139"/>
      <c r="VTF42" s="139"/>
      <c r="VTG42" s="139"/>
      <c r="VTH42" s="139"/>
      <c r="VTI42" s="139"/>
      <c r="VTJ42" s="139"/>
      <c r="VTK42" s="139"/>
      <c r="VTL42" s="139"/>
      <c r="VTM42" s="139"/>
      <c r="VTN42" s="139"/>
      <c r="VTO42" s="139"/>
      <c r="VTP42" s="139"/>
      <c r="VTQ42" s="139"/>
      <c r="VTR42" s="139"/>
      <c r="VTS42" s="139"/>
      <c r="VTT42" s="139"/>
      <c r="VTU42" s="139"/>
      <c r="VTV42" s="139"/>
      <c r="VTW42" s="139"/>
      <c r="VTX42" s="139"/>
      <c r="VTY42" s="139"/>
      <c r="VTZ42" s="139"/>
      <c r="VUA42" s="139"/>
      <c r="VUB42" s="139"/>
      <c r="VUC42" s="139"/>
      <c r="VUD42" s="139"/>
      <c r="VUE42" s="139"/>
      <c r="VUF42" s="139"/>
      <c r="VUG42" s="139"/>
      <c r="VUH42" s="139"/>
      <c r="VUI42" s="139"/>
      <c r="VUJ42" s="139"/>
      <c r="VUK42" s="139"/>
      <c r="VUL42" s="139"/>
      <c r="VUM42" s="139"/>
      <c r="VUN42" s="139"/>
      <c r="VUO42" s="139"/>
      <c r="VUP42" s="139"/>
      <c r="VUQ42" s="139"/>
      <c r="VUR42" s="139"/>
      <c r="VUS42" s="139"/>
      <c r="VUT42" s="139"/>
      <c r="VUU42" s="139"/>
      <c r="VUV42" s="139"/>
      <c r="VUW42" s="139"/>
      <c r="VUX42" s="139"/>
      <c r="VUY42" s="139"/>
      <c r="VUZ42" s="139"/>
      <c r="VVA42" s="139"/>
      <c r="VVB42" s="139"/>
      <c r="VVC42" s="139"/>
      <c r="VVD42" s="139"/>
      <c r="VVE42" s="139"/>
      <c r="VVF42" s="139"/>
      <c r="VVG42" s="139"/>
      <c r="VVH42" s="139"/>
      <c r="VVI42" s="139"/>
      <c r="VVJ42" s="139"/>
      <c r="VVK42" s="139"/>
      <c r="VVL42" s="139"/>
      <c r="VVM42" s="139"/>
      <c r="VVN42" s="139"/>
      <c r="VVO42" s="139"/>
      <c r="VVP42" s="139"/>
      <c r="VVQ42" s="139"/>
      <c r="VVR42" s="139"/>
      <c r="VVS42" s="139"/>
      <c r="VVT42" s="139"/>
      <c r="VVU42" s="139"/>
      <c r="VVV42" s="139"/>
      <c r="VVW42" s="139"/>
      <c r="VVX42" s="139"/>
      <c r="VVY42" s="139"/>
      <c r="VVZ42" s="139"/>
      <c r="VWA42" s="139"/>
      <c r="VWB42" s="139"/>
      <c r="VWC42" s="139"/>
      <c r="VWD42" s="139"/>
      <c r="VWE42" s="139"/>
      <c r="VWF42" s="139"/>
      <c r="VWG42" s="139"/>
      <c r="VWH42" s="139"/>
      <c r="VWI42" s="139"/>
      <c r="VWJ42" s="139"/>
      <c r="VWK42" s="139"/>
      <c r="VWL42" s="139"/>
      <c r="VWM42" s="139"/>
      <c r="VWN42" s="139"/>
      <c r="VWO42" s="139"/>
      <c r="VWP42" s="139"/>
      <c r="VWQ42" s="139"/>
      <c r="VWR42" s="139"/>
      <c r="VWS42" s="139"/>
      <c r="VWT42" s="139"/>
      <c r="VWU42" s="139"/>
      <c r="VWV42" s="139"/>
      <c r="VWW42" s="139"/>
      <c r="VWX42" s="139"/>
      <c r="VWY42" s="139"/>
      <c r="VWZ42" s="139"/>
      <c r="VXA42" s="139"/>
      <c r="VXB42" s="139"/>
      <c r="VXC42" s="139"/>
      <c r="VXD42" s="139"/>
      <c r="VXE42" s="139"/>
      <c r="VXF42" s="139"/>
      <c r="VXG42" s="139"/>
      <c r="VXH42" s="139"/>
      <c r="VXI42" s="139"/>
      <c r="VXJ42" s="139"/>
      <c r="VXK42" s="139"/>
      <c r="VXL42" s="139"/>
      <c r="VXM42" s="139"/>
      <c r="VXN42" s="139"/>
      <c r="VXO42" s="139"/>
      <c r="VXP42" s="139"/>
      <c r="VXQ42" s="139"/>
      <c r="VXR42" s="139"/>
      <c r="VXS42" s="139"/>
      <c r="VXT42" s="139"/>
      <c r="VXU42" s="139"/>
      <c r="VXV42" s="139"/>
      <c r="VXW42" s="139"/>
      <c r="VXX42" s="139"/>
      <c r="VXY42" s="139"/>
      <c r="VXZ42" s="139"/>
      <c r="VYA42" s="139"/>
      <c r="VYB42" s="139"/>
      <c r="VYC42" s="139"/>
      <c r="VYD42" s="139"/>
      <c r="VYE42" s="139"/>
      <c r="VYF42" s="139"/>
      <c r="VYG42" s="139"/>
      <c r="VYH42" s="139"/>
      <c r="VYI42" s="139"/>
      <c r="VYJ42" s="139"/>
      <c r="VYK42" s="139"/>
      <c r="VYL42" s="139"/>
      <c r="VYM42" s="139"/>
      <c r="VYN42" s="139"/>
      <c r="VYO42" s="139"/>
      <c r="VYP42" s="139"/>
      <c r="VYQ42" s="139"/>
      <c r="VYR42" s="139"/>
      <c r="VYS42" s="139"/>
      <c r="VYT42" s="139"/>
      <c r="VYU42" s="139"/>
      <c r="VYV42" s="139"/>
      <c r="VYW42" s="139"/>
      <c r="VYX42" s="139"/>
      <c r="VYY42" s="139"/>
      <c r="VYZ42" s="139"/>
      <c r="VZA42" s="139"/>
      <c r="VZB42" s="139"/>
      <c r="VZC42" s="139"/>
      <c r="VZD42" s="139"/>
      <c r="VZE42" s="139"/>
      <c r="VZF42" s="139"/>
      <c r="VZG42" s="139"/>
      <c r="VZH42" s="139"/>
      <c r="VZI42" s="139"/>
      <c r="VZJ42" s="139"/>
      <c r="VZK42" s="139"/>
      <c r="VZL42" s="139"/>
      <c r="VZM42" s="139"/>
      <c r="VZN42" s="139"/>
      <c r="VZO42" s="139"/>
      <c r="VZP42" s="139"/>
      <c r="VZQ42" s="139"/>
      <c r="VZR42" s="139"/>
      <c r="VZS42" s="139"/>
      <c r="VZT42" s="139"/>
      <c r="VZU42" s="139"/>
      <c r="VZV42" s="139"/>
      <c r="VZW42" s="139"/>
      <c r="VZX42" s="139"/>
      <c r="VZY42" s="139"/>
      <c r="VZZ42" s="139"/>
      <c r="WAA42" s="139"/>
      <c r="WAB42" s="139"/>
      <c r="WAC42" s="139"/>
      <c r="WAD42" s="139"/>
      <c r="WAE42" s="139"/>
      <c r="WAF42" s="139"/>
      <c r="WAG42" s="139"/>
      <c r="WAH42" s="139"/>
      <c r="WAI42" s="139"/>
      <c r="WAJ42" s="139"/>
      <c r="WAK42" s="139"/>
      <c r="WAL42" s="139"/>
      <c r="WAM42" s="139"/>
      <c r="WAN42" s="139"/>
      <c r="WAO42" s="139"/>
      <c r="WAP42" s="139"/>
      <c r="WAQ42" s="139"/>
      <c r="WAR42" s="139"/>
      <c r="WAS42" s="139"/>
      <c r="WAT42" s="139"/>
      <c r="WAU42" s="139"/>
      <c r="WAV42" s="139"/>
      <c r="WAW42" s="139"/>
      <c r="WAX42" s="139"/>
      <c r="WAY42" s="139"/>
      <c r="WAZ42" s="139"/>
      <c r="WBA42" s="139"/>
      <c r="WBB42" s="139"/>
      <c r="WBC42" s="139"/>
      <c r="WBD42" s="139"/>
      <c r="WBE42" s="139"/>
      <c r="WBF42" s="139"/>
      <c r="WBG42" s="139"/>
      <c r="WBH42" s="139"/>
      <c r="WBI42" s="139"/>
      <c r="WBJ42" s="139"/>
      <c r="WBK42" s="139"/>
      <c r="WBL42" s="139"/>
      <c r="WBM42" s="139"/>
      <c r="WBN42" s="139"/>
      <c r="WBO42" s="139"/>
      <c r="WBP42" s="139"/>
      <c r="WBQ42" s="139"/>
      <c r="WBR42" s="139"/>
      <c r="WBS42" s="139"/>
      <c r="WBT42" s="139"/>
      <c r="WBU42" s="139"/>
      <c r="WBV42" s="139"/>
      <c r="WBW42" s="139"/>
      <c r="WBX42" s="139"/>
      <c r="WBY42" s="139"/>
      <c r="WBZ42" s="139"/>
      <c r="WCA42" s="139"/>
      <c r="WCB42" s="139"/>
      <c r="WCC42" s="139"/>
      <c r="WCD42" s="139"/>
      <c r="WCE42" s="139"/>
      <c r="WCF42" s="139"/>
      <c r="WCG42" s="139"/>
      <c r="WCH42" s="139"/>
      <c r="WCI42" s="139"/>
      <c r="WCJ42" s="139"/>
      <c r="WCK42" s="139"/>
      <c r="WCL42" s="139"/>
      <c r="WCM42" s="139"/>
      <c r="WCN42" s="139"/>
      <c r="WCO42" s="139"/>
      <c r="WCP42" s="139"/>
      <c r="WCQ42" s="139"/>
      <c r="WCR42" s="139"/>
      <c r="WCS42" s="139"/>
      <c r="WCT42" s="139"/>
      <c r="WCU42" s="139"/>
      <c r="WCV42" s="139"/>
      <c r="WCW42" s="139"/>
      <c r="WCX42" s="139"/>
      <c r="WCY42" s="139"/>
      <c r="WCZ42" s="139"/>
      <c r="WDA42" s="139"/>
      <c r="WDB42" s="139"/>
      <c r="WDC42" s="139"/>
      <c r="WDD42" s="139"/>
      <c r="WDE42" s="139"/>
      <c r="WDF42" s="139"/>
      <c r="WDG42" s="139"/>
      <c r="WDH42" s="139"/>
      <c r="WDI42" s="139"/>
      <c r="WDJ42" s="139"/>
      <c r="WDK42" s="139"/>
      <c r="WDL42" s="139"/>
      <c r="WDM42" s="139"/>
      <c r="WDN42" s="139"/>
      <c r="WDO42" s="139"/>
      <c r="WDP42" s="139"/>
      <c r="WDQ42" s="139"/>
      <c r="WDR42" s="139"/>
      <c r="WDS42" s="139"/>
      <c r="WDT42" s="139"/>
      <c r="WDU42" s="139"/>
      <c r="WDV42" s="139"/>
      <c r="WDW42" s="139"/>
      <c r="WDX42" s="139"/>
      <c r="WDY42" s="139"/>
      <c r="WDZ42" s="139"/>
      <c r="WEA42" s="139"/>
      <c r="WEB42" s="139"/>
      <c r="WEC42" s="139"/>
      <c r="WED42" s="139"/>
      <c r="WEE42" s="139"/>
      <c r="WEF42" s="139"/>
      <c r="WEG42" s="139"/>
      <c r="WEH42" s="139"/>
      <c r="WEI42" s="139"/>
      <c r="WEJ42" s="139"/>
      <c r="WEK42" s="139"/>
      <c r="WEL42" s="139"/>
      <c r="WEM42" s="139"/>
      <c r="WEN42" s="139"/>
      <c r="WEO42" s="139"/>
      <c r="WEP42" s="139"/>
      <c r="WEQ42" s="139"/>
      <c r="WER42" s="139"/>
      <c r="WES42" s="139"/>
      <c r="WET42" s="139"/>
      <c r="WEU42" s="139"/>
      <c r="WEV42" s="139"/>
      <c r="WEW42" s="139"/>
      <c r="WEX42" s="139"/>
      <c r="WEY42" s="139"/>
      <c r="WEZ42" s="139"/>
      <c r="WFA42" s="139"/>
      <c r="WFB42" s="139"/>
      <c r="WFC42" s="139"/>
      <c r="WFD42" s="139"/>
      <c r="WFE42" s="139"/>
      <c r="WFF42" s="139"/>
      <c r="WFG42" s="139"/>
      <c r="WFH42" s="139"/>
      <c r="WFI42" s="139"/>
      <c r="WFJ42" s="139"/>
      <c r="WFK42" s="139"/>
      <c r="WFL42" s="139"/>
      <c r="WFM42" s="139"/>
      <c r="WFN42" s="139"/>
      <c r="WFO42" s="139"/>
      <c r="WFP42" s="139"/>
      <c r="WFQ42" s="139"/>
      <c r="WFR42" s="139"/>
      <c r="WFS42" s="139"/>
      <c r="WFT42" s="139"/>
      <c r="WFU42" s="139"/>
      <c r="WFV42" s="139"/>
      <c r="WFW42" s="139"/>
      <c r="WFX42" s="139"/>
      <c r="WFY42" s="139"/>
      <c r="WFZ42" s="139"/>
      <c r="WGA42" s="139"/>
      <c r="WGB42" s="139"/>
      <c r="WGC42" s="139"/>
      <c r="WGD42" s="139"/>
      <c r="WGE42" s="139"/>
      <c r="WGF42" s="139"/>
      <c r="WGG42" s="139"/>
      <c r="WGH42" s="139"/>
      <c r="WGI42" s="139"/>
      <c r="WGJ42" s="139"/>
      <c r="WGK42" s="139"/>
      <c r="WGL42" s="139"/>
      <c r="WGM42" s="139"/>
      <c r="WGN42" s="139"/>
      <c r="WGO42" s="139"/>
      <c r="WGP42" s="139"/>
      <c r="WGQ42" s="139"/>
      <c r="WGR42" s="139"/>
      <c r="WGS42" s="139"/>
      <c r="WGT42" s="139"/>
      <c r="WGU42" s="139"/>
      <c r="WGV42" s="139"/>
      <c r="WGW42" s="139"/>
      <c r="WGX42" s="139"/>
      <c r="WGY42" s="139"/>
      <c r="WGZ42" s="139"/>
      <c r="WHA42" s="139"/>
      <c r="WHB42" s="139"/>
      <c r="WHC42" s="139"/>
      <c r="WHD42" s="139"/>
      <c r="WHE42" s="139"/>
      <c r="WHF42" s="139"/>
      <c r="WHG42" s="139"/>
      <c r="WHH42" s="139"/>
      <c r="WHI42" s="139"/>
      <c r="WHJ42" s="139"/>
      <c r="WHK42" s="139"/>
      <c r="WHL42" s="139"/>
      <c r="WHM42" s="139"/>
      <c r="WHN42" s="139"/>
      <c r="WHO42" s="139"/>
      <c r="WHP42" s="139"/>
      <c r="WHQ42" s="139"/>
      <c r="WHR42" s="139"/>
      <c r="WHS42" s="139"/>
      <c r="WHT42" s="139"/>
      <c r="WHU42" s="139"/>
      <c r="WHV42" s="139"/>
      <c r="WHW42" s="139"/>
      <c r="WHX42" s="139"/>
      <c r="WHY42" s="139"/>
      <c r="WHZ42" s="139"/>
      <c r="WIA42" s="139"/>
      <c r="WIB42" s="139"/>
      <c r="WIC42" s="139"/>
      <c r="WID42" s="139"/>
      <c r="WIE42" s="139"/>
      <c r="WIF42" s="139"/>
      <c r="WIG42" s="139"/>
      <c r="WIH42" s="139"/>
      <c r="WII42" s="139"/>
      <c r="WIJ42" s="139"/>
      <c r="WIK42" s="139"/>
      <c r="WIL42" s="139"/>
      <c r="WIM42" s="139"/>
      <c r="WIN42" s="139"/>
      <c r="WIO42" s="139"/>
      <c r="WIP42" s="139"/>
      <c r="WIQ42" s="139"/>
      <c r="WIR42" s="139"/>
      <c r="WIS42" s="139"/>
      <c r="WIT42" s="139"/>
      <c r="WIU42" s="139"/>
      <c r="WIV42" s="139"/>
      <c r="WIW42" s="139"/>
      <c r="WIX42" s="139"/>
      <c r="WIY42" s="139"/>
      <c r="WIZ42" s="139"/>
      <c r="WJA42" s="139"/>
      <c r="WJB42" s="139"/>
      <c r="WJC42" s="139"/>
      <c r="WJD42" s="139"/>
      <c r="WJE42" s="139"/>
      <c r="WJF42" s="139"/>
      <c r="WJG42" s="139"/>
      <c r="WJH42" s="139"/>
      <c r="WJI42" s="139"/>
      <c r="WJJ42" s="139"/>
      <c r="WJK42" s="139"/>
      <c r="WJL42" s="139"/>
      <c r="WJM42" s="139"/>
      <c r="WJN42" s="139"/>
      <c r="WJO42" s="139"/>
      <c r="WJP42" s="139"/>
      <c r="WJQ42" s="139"/>
      <c r="WJR42" s="139"/>
      <c r="WJS42" s="139"/>
      <c r="WJT42" s="139"/>
      <c r="WJU42" s="139"/>
      <c r="WJV42" s="139"/>
      <c r="WJW42" s="139"/>
      <c r="WJX42" s="139"/>
      <c r="WJY42" s="139"/>
      <c r="WJZ42" s="139"/>
      <c r="WKA42" s="139"/>
      <c r="WKB42" s="139"/>
      <c r="WKC42" s="139"/>
      <c r="WKD42" s="139"/>
      <c r="WKE42" s="139"/>
      <c r="WKF42" s="139"/>
      <c r="WKG42" s="139"/>
      <c r="WKH42" s="139"/>
      <c r="WKI42" s="139"/>
      <c r="WKJ42" s="139"/>
      <c r="WKK42" s="139"/>
      <c r="WKL42" s="139"/>
      <c r="WKM42" s="139"/>
      <c r="WKN42" s="139"/>
      <c r="WKO42" s="139"/>
      <c r="WKP42" s="139"/>
      <c r="WKQ42" s="139"/>
      <c r="WKR42" s="139"/>
      <c r="WKS42" s="139"/>
      <c r="WKT42" s="139"/>
      <c r="WKU42" s="139"/>
      <c r="WKV42" s="139"/>
      <c r="WKW42" s="139"/>
      <c r="WKX42" s="139"/>
      <c r="WKY42" s="139"/>
      <c r="WKZ42" s="139"/>
      <c r="WLA42" s="139"/>
      <c r="WLB42" s="139"/>
      <c r="WLC42" s="139"/>
      <c r="WLD42" s="139"/>
      <c r="WLE42" s="139"/>
      <c r="WLF42" s="139"/>
      <c r="WLG42" s="139"/>
      <c r="WLH42" s="139"/>
      <c r="WLI42" s="139"/>
      <c r="WLJ42" s="139"/>
      <c r="WLK42" s="139"/>
      <c r="WLL42" s="139"/>
      <c r="WLM42" s="139"/>
      <c r="WLN42" s="139"/>
      <c r="WLO42" s="139"/>
      <c r="WLP42" s="139"/>
      <c r="WLQ42" s="139"/>
      <c r="WLR42" s="139"/>
      <c r="WLS42" s="139"/>
      <c r="WLT42" s="139"/>
      <c r="WLU42" s="139"/>
      <c r="WLV42" s="139"/>
      <c r="WLW42" s="139"/>
      <c r="WLX42" s="139"/>
      <c r="WLY42" s="139"/>
      <c r="WLZ42" s="139"/>
      <c r="WMA42" s="139"/>
      <c r="WMB42" s="139"/>
      <c r="WMC42" s="139"/>
      <c r="WMD42" s="139"/>
      <c r="WME42" s="139"/>
      <c r="WMF42" s="139"/>
      <c r="WMG42" s="139"/>
      <c r="WMH42" s="139"/>
      <c r="WMI42" s="139"/>
      <c r="WMJ42" s="139"/>
      <c r="WMK42" s="139"/>
      <c r="WML42" s="139"/>
      <c r="WMM42" s="139"/>
      <c r="WMN42" s="139"/>
      <c r="WMO42" s="139"/>
      <c r="WMP42" s="139"/>
      <c r="WMQ42" s="139"/>
      <c r="WMR42" s="139"/>
      <c r="WMS42" s="139"/>
      <c r="WMT42" s="139"/>
      <c r="WMU42" s="139"/>
      <c r="WMV42" s="139"/>
      <c r="WMW42" s="139"/>
      <c r="WMX42" s="139"/>
      <c r="WMY42" s="139"/>
      <c r="WMZ42" s="139"/>
      <c r="WNA42" s="139"/>
      <c r="WNB42" s="139"/>
      <c r="WNC42" s="139"/>
      <c r="WND42" s="139"/>
      <c r="WNE42" s="139"/>
      <c r="WNF42" s="139"/>
      <c r="WNG42" s="139"/>
      <c r="WNH42" s="139"/>
      <c r="WNI42" s="139"/>
      <c r="WNJ42" s="139"/>
      <c r="WNK42" s="139"/>
      <c r="WNL42" s="139"/>
      <c r="WNM42" s="139"/>
      <c r="WNN42" s="139"/>
      <c r="WNO42" s="139"/>
      <c r="WNP42" s="139"/>
      <c r="WNQ42" s="139"/>
      <c r="WNR42" s="139"/>
      <c r="WNS42" s="139"/>
      <c r="WNT42" s="139"/>
      <c r="WNU42" s="139"/>
      <c r="WNV42" s="139"/>
      <c r="WNW42" s="139"/>
      <c r="WNX42" s="139"/>
      <c r="WNY42" s="139"/>
      <c r="WNZ42" s="139"/>
      <c r="WOA42" s="139"/>
      <c r="WOB42" s="139"/>
      <c r="WOC42" s="139"/>
      <c r="WOD42" s="139"/>
      <c r="WOE42" s="139"/>
      <c r="WOF42" s="139"/>
      <c r="WOG42" s="139"/>
      <c r="WOH42" s="139"/>
      <c r="WOI42" s="139"/>
      <c r="WOJ42" s="139"/>
      <c r="WOK42" s="139"/>
      <c r="WOL42" s="139"/>
      <c r="WOM42" s="139"/>
      <c r="WON42" s="139"/>
      <c r="WOO42" s="139"/>
      <c r="WOP42" s="139"/>
      <c r="WOQ42" s="139"/>
      <c r="WOR42" s="139"/>
      <c r="WOS42" s="139"/>
      <c r="WOT42" s="139"/>
      <c r="WOU42" s="139"/>
      <c r="WOV42" s="139"/>
      <c r="WOW42" s="139"/>
      <c r="WOX42" s="139"/>
      <c r="WOY42" s="139"/>
      <c r="WOZ42" s="139"/>
      <c r="WPA42" s="139"/>
      <c r="WPB42" s="139"/>
      <c r="WPC42" s="139"/>
      <c r="WPD42" s="139"/>
      <c r="WPE42" s="139"/>
      <c r="WPF42" s="139"/>
      <c r="WPG42" s="139"/>
      <c r="WPH42" s="139"/>
      <c r="WPI42" s="139"/>
      <c r="WPJ42" s="139"/>
      <c r="WPK42" s="139"/>
      <c r="WPL42" s="139"/>
      <c r="WPM42" s="139"/>
      <c r="WPN42" s="139"/>
      <c r="WPO42" s="139"/>
      <c r="WPP42" s="139"/>
      <c r="WPQ42" s="139"/>
      <c r="WPR42" s="139"/>
      <c r="WPS42" s="139"/>
      <c r="WPT42" s="139"/>
      <c r="WPU42" s="139"/>
      <c r="WPV42" s="139"/>
      <c r="WPW42" s="139"/>
      <c r="WPX42" s="139"/>
      <c r="WPY42" s="139"/>
      <c r="WPZ42" s="139"/>
      <c r="WQA42" s="139"/>
      <c r="WQB42" s="139"/>
      <c r="WQC42" s="139"/>
      <c r="WQD42" s="139"/>
      <c r="WQE42" s="139"/>
      <c r="WQF42" s="139"/>
      <c r="WQG42" s="139"/>
      <c r="WQH42" s="139"/>
      <c r="WQI42" s="139"/>
      <c r="WQJ42" s="139"/>
      <c r="WQK42" s="139"/>
      <c r="WQL42" s="139"/>
      <c r="WQM42" s="139"/>
      <c r="WQN42" s="139"/>
      <c r="WQO42" s="139"/>
      <c r="WQP42" s="139"/>
      <c r="WQQ42" s="139"/>
      <c r="WQR42" s="139"/>
      <c r="WQS42" s="139"/>
      <c r="WQT42" s="139"/>
      <c r="WQU42" s="139"/>
      <c r="WQV42" s="139"/>
      <c r="WQW42" s="139"/>
      <c r="WQX42" s="139"/>
      <c r="WQY42" s="139"/>
      <c r="WQZ42" s="139"/>
      <c r="WRA42" s="139"/>
      <c r="WRB42" s="139"/>
      <c r="WRC42" s="139"/>
      <c r="WRD42" s="139"/>
      <c r="WRE42" s="139"/>
      <c r="WRF42" s="139"/>
      <c r="WRG42" s="139"/>
      <c r="WRH42" s="139"/>
      <c r="WRI42" s="139"/>
      <c r="WRJ42" s="139"/>
      <c r="WRK42" s="139"/>
      <c r="WRL42" s="139"/>
      <c r="WRM42" s="139"/>
      <c r="WRN42" s="139"/>
      <c r="WRO42" s="139"/>
      <c r="WRP42" s="139"/>
      <c r="WRQ42" s="139"/>
      <c r="WRR42" s="139"/>
      <c r="WRS42" s="139"/>
      <c r="WRT42" s="139"/>
      <c r="WRU42" s="139"/>
      <c r="WRV42" s="139"/>
      <c r="WRW42" s="139"/>
      <c r="WRX42" s="139"/>
      <c r="WRY42" s="139"/>
      <c r="WRZ42" s="139"/>
      <c r="WSA42" s="139"/>
      <c r="WSB42" s="139"/>
      <c r="WSC42" s="139"/>
      <c r="WSD42" s="139"/>
      <c r="WSE42" s="139"/>
      <c r="WSF42" s="139"/>
      <c r="WSG42" s="139"/>
      <c r="WSH42" s="139"/>
      <c r="WSI42" s="139"/>
      <c r="WSJ42" s="139"/>
      <c r="WSK42" s="139"/>
      <c r="WSL42" s="139"/>
      <c r="WSM42" s="139"/>
      <c r="WSN42" s="139"/>
      <c r="WSO42" s="139"/>
      <c r="WSP42" s="139"/>
      <c r="WSQ42" s="139"/>
      <c r="WSR42" s="139"/>
      <c r="WSS42" s="139"/>
      <c r="WST42" s="139"/>
      <c r="WSU42" s="139"/>
      <c r="WSV42" s="139"/>
      <c r="WSW42" s="139"/>
      <c r="WSX42" s="139"/>
      <c r="WSY42" s="139"/>
      <c r="WSZ42" s="139"/>
      <c r="WTA42" s="139"/>
      <c r="WTB42" s="139"/>
      <c r="WTC42" s="139"/>
      <c r="WTD42" s="139"/>
      <c r="WTE42" s="139"/>
      <c r="WTF42" s="139"/>
      <c r="WTG42" s="139"/>
      <c r="WTH42" s="139"/>
      <c r="WTI42" s="139"/>
      <c r="WTJ42" s="139"/>
      <c r="WTK42" s="139"/>
      <c r="WTL42" s="139"/>
      <c r="WTM42" s="139"/>
      <c r="WTN42" s="139"/>
      <c r="WTO42" s="139"/>
      <c r="WTP42" s="139"/>
      <c r="WTQ42" s="139"/>
      <c r="WTR42" s="139"/>
      <c r="WTS42" s="139"/>
      <c r="WTT42" s="139"/>
      <c r="WTU42" s="139"/>
      <c r="WTV42" s="139"/>
      <c r="WTW42" s="139"/>
      <c r="WTX42" s="139"/>
      <c r="WTY42" s="139"/>
      <c r="WTZ42" s="139"/>
      <c r="WUA42" s="139"/>
      <c r="WUB42" s="139"/>
      <c r="WUC42" s="139"/>
      <c r="WUD42" s="139"/>
      <c r="WUE42" s="139"/>
      <c r="WUF42" s="139"/>
      <c r="WUG42" s="139"/>
      <c r="WUH42" s="139"/>
      <c r="WUI42" s="139"/>
      <c r="WUJ42" s="139"/>
      <c r="WUK42" s="139"/>
      <c r="WUL42" s="139"/>
      <c r="WUM42" s="139"/>
      <c r="WUN42" s="139"/>
      <c r="WUO42" s="139"/>
      <c r="WUP42" s="139"/>
      <c r="WUQ42" s="139"/>
      <c r="WUR42" s="139"/>
      <c r="WUS42" s="139"/>
      <c r="WUT42" s="139"/>
      <c r="WUU42" s="139"/>
      <c r="WUV42" s="139"/>
      <c r="WUW42" s="139"/>
      <c r="WUX42" s="139"/>
      <c r="WUY42" s="139"/>
      <c r="WUZ42" s="139"/>
      <c r="WVA42" s="139"/>
      <c r="WVB42" s="139"/>
      <c r="WVC42" s="139"/>
      <c r="WVD42" s="139"/>
      <c r="WVE42" s="139"/>
      <c r="WVF42" s="139"/>
      <c r="WVG42" s="139"/>
      <c r="WVH42" s="139"/>
      <c r="WVI42" s="139"/>
      <c r="WVJ42" s="139"/>
      <c r="WVK42" s="139"/>
      <c r="WVL42" s="139"/>
      <c r="WVM42" s="139"/>
      <c r="WVN42" s="139"/>
      <c r="WVO42" s="139"/>
      <c r="WVP42" s="139"/>
      <c r="WVQ42" s="139"/>
      <c r="WVR42" s="139"/>
      <c r="WVS42" s="139"/>
      <c r="WVT42" s="139"/>
      <c r="WVU42" s="139"/>
      <c r="WVV42" s="139"/>
      <c r="WVW42" s="139"/>
      <c r="WVX42" s="139"/>
      <c r="WVY42" s="139"/>
      <c r="WVZ42" s="139"/>
      <c r="WWA42" s="139"/>
      <c r="WWB42" s="139"/>
      <c r="WWC42" s="139"/>
      <c r="WWD42" s="139"/>
      <c r="WWE42" s="139"/>
      <c r="WWF42" s="139"/>
      <c r="WWG42" s="139"/>
      <c r="WWH42" s="139"/>
      <c r="WWI42" s="139"/>
      <c r="WWJ42" s="139"/>
      <c r="WWK42" s="139"/>
      <c r="WWL42" s="139"/>
      <c r="WWM42" s="139"/>
      <c r="WWN42" s="139"/>
      <c r="WWO42" s="139"/>
      <c r="WWP42" s="139"/>
      <c r="WWQ42" s="139"/>
      <c r="WWR42" s="139"/>
      <c r="WWS42" s="139"/>
      <c r="WWT42" s="139"/>
      <c r="WWU42" s="139"/>
      <c r="WWV42" s="139"/>
      <c r="WWW42" s="139"/>
      <c r="WWX42" s="139"/>
      <c r="WWY42" s="139"/>
      <c r="WWZ42" s="139"/>
      <c r="WXA42" s="139"/>
      <c r="WXB42" s="139"/>
      <c r="WXC42" s="139"/>
      <c r="WXD42" s="139"/>
      <c r="WXE42" s="139"/>
      <c r="WXF42" s="139"/>
      <c r="WXG42" s="139"/>
      <c r="WXH42" s="139"/>
      <c r="WXI42" s="139"/>
      <c r="WXJ42" s="139"/>
      <c r="WXK42" s="139"/>
      <c r="WXL42" s="139"/>
      <c r="WXM42" s="139"/>
      <c r="WXN42" s="139"/>
      <c r="WXO42" s="139"/>
      <c r="WXP42" s="139"/>
      <c r="WXQ42" s="139"/>
      <c r="WXR42" s="139"/>
      <c r="WXS42" s="139"/>
      <c r="WXT42" s="139"/>
      <c r="WXU42" s="139"/>
      <c r="WXV42" s="139"/>
      <c r="WXW42" s="139"/>
      <c r="WXX42" s="139"/>
      <c r="WXY42" s="139"/>
      <c r="WXZ42" s="139"/>
      <c r="WYA42" s="139"/>
      <c r="WYB42" s="139"/>
      <c r="WYC42" s="139"/>
      <c r="WYD42" s="139"/>
      <c r="WYE42" s="139"/>
      <c r="WYF42" s="139"/>
      <c r="WYG42" s="139"/>
      <c r="WYH42" s="139"/>
      <c r="WYI42" s="139"/>
      <c r="WYJ42" s="139"/>
      <c r="WYK42" s="139"/>
      <c r="WYL42" s="139"/>
      <c r="WYM42" s="139"/>
      <c r="WYN42" s="139"/>
      <c r="WYO42" s="139"/>
      <c r="WYP42" s="139"/>
      <c r="WYQ42" s="139"/>
      <c r="WYR42" s="139"/>
      <c r="WYS42" s="139"/>
      <c r="WYT42" s="139"/>
      <c r="WYU42" s="139"/>
      <c r="WYV42" s="139"/>
      <c r="WYW42" s="139"/>
      <c r="WYX42" s="139"/>
      <c r="WYY42" s="139"/>
      <c r="WYZ42" s="139"/>
      <c r="WZA42" s="139"/>
      <c r="WZB42" s="139"/>
      <c r="WZC42" s="139"/>
      <c r="WZD42" s="139"/>
      <c r="WZE42" s="139"/>
      <c r="WZF42" s="139"/>
      <c r="WZG42" s="139"/>
      <c r="WZH42" s="139"/>
      <c r="WZI42" s="139"/>
      <c r="WZJ42" s="139"/>
      <c r="WZK42" s="139"/>
      <c r="WZL42" s="139"/>
      <c r="WZM42" s="139"/>
      <c r="WZN42" s="139"/>
      <c r="WZO42" s="139"/>
      <c r="WZP42" s="139"/>
      <c r="WZQ42" s="139"/>
      <c r="WZR42" s="139"/>
      <c r="WZS42" s="139"/>
      <c r="WZT42" s="139"/>
      <c r="WZU42" s="139"/>
      <c r="WZV42" s="139"/>
      <c r="WZW42" s="139"/>
      <c r="WZX42" s="139"/>
      <c r="WZY42" s="139"/>
      <c r="WZZ42" s="139"/>
      <c r="XAA42" s="139"/>
      <c r="XAB42" s="139"/>
      <c r="XAC42" s="139"/>
      <c r="XAD42" s="139"/>
      <c r="XAE42" s="139"/>
      <c r="XAF42" s="139"/>
      <c r="XAG42" s="139"/>
      <c r="XAH42" s="139"/>
      <c r="XAI42" s="139"/>
      <c r="XAJ42" s="139"/>
      <c r="XAK42" s="139"/>
      <c r="XAL42" s="139"/>
      <c r="XAM42" s="139"/>
      <c r="XAN42" s="139"/>
      <c r="XAO42" s="139"/>
      <c r="XAP42" s="139"/>
      <c r="XAQ42" s="139"/>
      <c r="XAR42" s="139"/>
      <c r="XAS42" s="139"/>
      <c r="XAT42" s="139"/>
      <c r="XAU42" s="139"/>
      <c r="XAV42" s="139"/>
      <c r="XAW42" s="139"/>
      <c r="XAX42" s="139"/>
      <c r="XAY42" s="139"/>
      <c r="XAZ42" s="139"/>
      <c r="XBA42" s="139"/>
      <c r="XBB42" s="139"/>
      <c r="XBC42" s="139"/>
      <c r="XBD42" s="139"/>
      <c r="XBE42" s="139"/>
      <c r="XBF42" s="139"/>
      <c r="XBG42" s="139"/>
      <c r="XBH42" s="139"/>
      <c r="XBI42" s="139"/>
      <c r="XBJ42" s="139"/>
      <c r="XBK42" s="139"/>
      <c r="XBL42" s="139"/>
      <c r="XBM42" s="139"/>
      <c r="XBN42" s="139"/>
      <c r="XBO42" s="139"/>
      <c r="XBP42" s="139"/>
      <c r="XBQ42" s="139"/>
      <c r="XBR42" s="139"/>
      <c r="XBS42" s="139"/>
      <c r="XBT42" s="139"/>
      <c r="XBU42" s="139"/>
      <c r="XBV42" s="139"/>
      <c r="XBW42" s="139"/>
      <c r="XBX42" s="139"/>
      <c r="XBY42" s="139"/>
      <c r="XBZ42" s="139"/>
      <c r="XCA42" s="139"/>
      <c r="XCB42" s="139"/>
      <c r="XCC42" s="139"/>
      <c r="XCD42" s="139"/>
      <c r="XCE42" s="139"/>
      <c r="XCF42" s="139"/>
      <c r="XCG42" s="139"/>
      <c r="XCH42" s="139"/>
      <c r="XCI42" s="139"/>
      <c r="XCJ42" s="139"/>
      <c r="XCK42" s="139"/>
      <c r="XCL42" s="139"/>
      <c r="XCM42" s="139"/>
      <c r="XCN42" s="139"/>
      <c r="XCO42" s="139"/>
      <c r="XCP42" s="139"/>
      <c r="XCQ42" s="139"/>
      <c r="XCR42" s="139"/>
      <c r="XCS42" s="139"/>
      <c r="XCT42" s="139"/>
      <c r="XCU42" s="139"/>
      <c r="XCV42" s="139"/>
      <c r="XCW42" s="139"/>
      <c r="XCX42" s="139"/>
      <c r="XCY42" s="139"/>
      <c r="XCZ42" s="139"/>
      <c r="XDA42" s="139"/>
      <c r="XDB42" s="139"/>
      <c r="XDC42" s="139"/>
      <c r="XDD42" s="139"/>
      <c r="XDE42" s="139"/>
      <c r="XDF42" s="139"/>
      <c r="XDG42" s="139"/>
      <c r="XDH42" s="139"/>
      <c r="XDI42" s="139"/>
      <c r="XDJ42" s="139"/>
      <c r="XDK42" s="139"/>
      <c r="XDL42" s="139"/>
      <c r="XDM42" s="139"/>
      <c r="XDN42" s="139"/>
      <c r="XDO42" s="139"/>
      <c r="XDP42" s="139"/>
      <c r="XDQ42" s="139"/>
      <c r="XDR42" s="139"/>
      <c r="XDS42" s="139"/>
      <c r="XDT42" s="139"/>
      <c r="XDU42" s="139"/>
      <c r="XDV42" s="139"/>
      <c r="XDW42" s="139"/>
      <c r="XDX42" s="139"/>
      <c r="XDY42" s="139"/>
      <c r="XDZ42" s="139"/>
      <c r="XEA42" s="139"/>
      <c r="XEB42" s="139"/>
      <c r="XEC42" s="139"/>
      <c r="XED42" s="139"/>
      <c r="XEE42" s="139"/>
      <c r="XEF42" s="139"/>
      <c r="XEG42" s="139"/>
      <c r="XEH42" s="139"/>
      <c r="XEI42" s="139"/>
      <c r="XEJ42" s="139"/>
      <c r="XEK42" s="139"/>
      <c r="XEL42" s="139"/>
      <c r="XEM42" s="139"/>
      <c r="XEN42" s="139"/>
      <c r="XEO42" s="139"/>
      <c r="XEP42" s="139"/>
    </row>
    <row r="43" spans="1:16370" s="74" customFormat="1" ht="13.25" customHeight="1" x14ac:dyDescent="0.3">
      <c r="B43" s="106" t="s">
        <v>92</v>
      </c>
      <c r="C43" s="105">
        <v>10880034946</v>
      </c>
      <c r="D43" s="105">
        <v>110001311077</v>
      </c>
      <c r="E43" s="105">
        <v>110001311077</v>
      </c>
      <c r="F43" s="106" t="s">
        <v>97</v>
      </c>
      <c r="G43" s="105">
        <v>1000</v>
      </c>
      <c r="H43" s="106">
        <v>1000</v>
      </c>
      <c r="I43" s="126" t="str">
        <f>VLOOKUP(C43,'[2]IE model  海尔产品'!$A$1:$D$65536,4,0)</f>
        <v>1*2</v>
      </c>
      <c r="J43" s="104" t="e" cm="1" vm="1">
        <f t="array" aca="1" ref="J43" ca="1">INDEX($A$2:$AF$2,MIN(IF(M43:AF43&lt;&gt;0,COLUMN(M43:AF43))))</f>
        <v>#VALUE!</v>
      </c>
      <c r="K43" s="106">
        <f>VLOOKUP(C43,'[2]IE model  海尔产品'!$A$1:$H$65536,8,0)</f>
        <v>320</v>
      </c>
      <c r="L43" s="106">
        <f>VLOOKUP(C43,'[2]IE model  海尔产品'!$A$1:$I$65536,9,0)</f>
        <v>36</v>
      </c>
      <c r="M43" s="127"/>
      <c r="N43" s="131"/>
      <c r="O43" s="127"/>
      <c r="P43" s="127"/>
      <c r="Q43" s="127"/>
      <c r="R43" s="131"/>
      <c r="S43" s="127"/>
      <c r="T43" s="131"/>
      <c r="U43" s="127"/>
      <c r="V43" s="131"/>
      <c r="W43" s="127"/>
      <c r="X43" s="131"/>
      <c r="Y43" s="127"/>
      <c r="Z43" s="131"/>
      <c r="AA43" s="127"/>
      <c r="AB43" s="131"/>
      <c r="AC43" s="127"/>
      <c r="AD43" s="131"/>
      <c r="AE43" s="127"/>
      <c r="AF43" s="127"/>
      <c r="AG43" s="127">
        <f>SUM(M43:AF43)</f>
        <v>0</v>
      </c>
      <c r="AH43" s="131">
        <f>+H43-AG43</f>
        <v>1000</v>
      </c>
      <c r="AI43" s="132">
        <v>46150</v>
      </c>
      <c r="AM43" s="72">
        <f>_xlfn.XLOOKUP(C43,'[4]4-30'!$F:$F,'[4]4-30'!$S:$S)</f>
        <v>0</v>
      </c>
    </row>
    <row r="44" spans="1:16370" s="72" customFormat="1" ht="13.25" customHeight="1" x14ac:dyDescent="0.3">
      <c r="A44" s="72" t="e">
        <f>VLOOKUP(C44,'[1]青岛4 (2)'!$C:$D,2,0)</f>
        <v>#N/A</v>
      </c>
      <c r="B44" s="100" t="s">
        <v>92</v>
      </c>
      <c r="C44" s="101">
        <v>10880036299</v>
      </c>
      <c r="D44" s="101">
        <v>110001282642</v>
      </c>
      <c r="E44" s="105">
        <v>110001282642</v>
      </c>
      <c r="F44" s="100" t="s">
        <v>99</v>
      </c>
      <c r="G44" s="101">
        <v>2600</v>
      </c>
      <c r="H44" s="106">
        <v>2600</v>
      </c>
      <c r="I44" s="104" t="str">
        <f>VLOOKUP(C44,'[2]IE model  海尔产品'!$A$1:$D$65536,4,0)</f>
        <v>1*5</v>
      </c>
      <c r="J44" s="104" t="e" cm="1" vm="1">
        <f t="array" aca="1" ref="J44" ca="1">INDEX($A$2:$AF$2,MIN(IF(M44:AF44&lt;&gt;0,COLUMN(M44:AF44))))</f>
        <v>#VALUE!</v>
      </c>
      <c r="K44" s="100">
        <f>VLOOKUP(C44,'[2]IE model  海尔产品'!$A$1:$H$65536,8,0)</f>
        <v>100</v>
      </c>
      <c r="L44" s="100">
        <f>VLOOKUP(C44,'[2]IE model  海尔产品'!$A$1:$I$65536,9,0)</f>
        <v>28</v>
      </c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>
        <f t="shared" ref="AG44" si="16">SUM(M44:AF44)</f>
        <v>0</v>
      </c>
      <c r="AH44" s="124">
        <f t="shared" ref="AH44" si="17">+H44-AG44</f>
        <v>2600</v>
      </c>
      <c r="AI44" s="125">
        <v>46149</v>
      </c>
      <c r="AJ44" s="124"/>
      <c r="AK44" s="125"/>
      <c r="AM44" s="72" t="e">
        <f>_xlfn.XLOOKUP(C44,'[4]4-30'!$F:$F,'[4]4-30'!$S:$S)</f>
        <v>#N/A</v>
      </c>
    </row>
    <row r="45" spans="1:16370" s="147" customFormat="1" ht="13.25" customHeight="1" x14ac:dyDescent="0.3">
      <c r="A45" s="72" t="e">
        <f>VLOOKUP(C45,'[1]青岛4 (2)'!$C:$D,2,0)</f>
        <v>#N/A</v>
      </c>
      <c r="B45" s="91" t="s">
        <v>101</v>
      </c>
      <c r="C45" s="91"/>
      <c r="D45" s="92"/>
      <c r="E45" s="92"/>
      <c r="F45" s="93"/>
      <c r="G45" s="91"/>
      <c r="H45" s="92"/>
      <c r="I45" s="92"/>
      <c r="J45" s="94"/>
      <c r="K45" s="92"/>
      <c r="L45" s="92"/>
      <c r="M45" s="110">
        <f>SUM(M39:M44)</f>
        <v>2216</v>
      </c>
      <c r="N45" s="110">
        <f>SUM(N39:N44)</f>
        <v>0</v>
      </c>
      <c r="O45" s="110">
        <f>SUM(O39:O44)</f>
        <v>1200</v>
      </c>
      <c r="P45" s="110">
        <f>SUM(P39:P44)</f>
        <v>0</v>
      </c>
      <c r="Q45" s="110">
        <f>SUM(Q39:Q44)</f>
        <v>400</v>
      </c>
      <c r="R45" s="110">
        <f>SUM(R39:R44)</f>
        <v>0</v>
      </c>
      <c r="S45" s="110">
        <f>SUM(S39:S44)</f>
        <v>0</v>
      </c>
      <c r="T45" s="110">
        <f>SUM(T39:T44)</f>
        <v>0</v>
      </c>
      <c r="U45" s="110">
        <f>SUM(U39:U44)</f>
        <v>0</v>
      </c>
      <c r="V45" s="110">
        <f>SUM(V39:V44)</f>
        <v>0</v>
      </c>
      <c r="W45" s="110">
        <f>SUM(W39:W44)</f>
        <v>0</v>
      </c>
      <c r="X45" s="110">
        <f>SUM(X39:X44)</f>
        <v>0</v>
      </c>
      <c r="Y45" s="110">
        <f>SUM(Y39:Y44)</f>
        <v>0</v>
      </c>
      <c r="Z45" s="110">
        <f>SUM(Z39:Z44)</f>
        <v>0</v>
      </c>
      <c r="AA45" s="110">
        <f>SUM(AA39:AA44)</f>
        <v>0</v>
      </c>
      <c r="AB45" s="110">
        <f>SUM(AB39:AB44)</f>
        <v>0</v>
      </c>
      <c r="AC45" s="110">
        <f>SUM(AC39:AC44)</f>
        <v>0</v>
      </c>
      <c r="AD45" s="110">
        <f>SUM(AD39:AD44)</f>
        <v>0</v>
      </c>
      <c r="AE45" s="110">
        <f>SUM(AE39:AE44)</f>
        <v>0</v>
      </c>
      <c r="AF45" s="110">
        <f>SUM(AF39:AF44)</f>
        <v>0</v>
      </c>
      <c r="AG45" s="110"/>
      <c r="AH45" s="110"/>
      <c r="AI45" s="121"/>
      <c r="AJ45" s="72" t="e">
        <f>VLOOKUP(E45,[5]Data!$D:$D,1,0)</f>
        <v>#N/A</v>
      </c>
      <c r="AK45" s="125" t="e">
        <f>VLOOKUP(AJ45,[5]Data!$D:$I,6,0)</f>
        <v>#N/A</v>
      </c>
      <c r="AL45" s="92"/>
      <c r="AM45" s="72" t="str">
        <f>_xlfn.XLOOKUP(C45,'[4]4-30'!$F:$F,'[4]4-30'!$S:$S)</f>
        <v>备注</v>
      </c>
    </row>
    <row r="46" spans="1:16370" s="72" customFormat="1" x14ac:dyDescent="0.3">
      <c r="A46" s="72" t="e">
        <f>VLOOKUP(C46,'[1]青岛4 (2)'!$C:$D,2,0)</f>
        <v>#N/A</v>
      </c>
      <c r="B46" s="101" t="s">
        <v>102</v>
      </c>
      <c r="C46" s="100">
        <v>10880038832</v>
      </c>
      <c r="D46" s="105">
        <v>110001311633</v>
      </c>
      <c r="E46" s="102">
        <v>110001311633</v>
      </c>
      <c r="F46" s="100" t="s">
        <v>134</v>
      </c>
      <c r="G46" s="101">
        <v>1500</v>
      </c>
      <c r="H46" s="103">
        <v>900</v>
      </c>
      <c r="I46" s="104" t="str">
        <f>VLOOKUP(C46,'[2]IE model  海尔产品'!$A$1:$D$65536,4,0)</f>
        <v>1*3</v>
      </c>
      <c r="J46" s="104" cm="1">
        <f t="array" ref="J46">INDEX($A$2:$AF$2,MIN(IF(M46:AF46&lt;&gt;0,COLUMN(M46:AF46))))</f>
        <v>46142</v>
      </c>
      <c r="K46" s="100">
        <f>VLOOKUP(C46,'[2]IE model  海尔产品'!$A$1:$H$65536,8,0)</f>
        <v>200</v>
      </c>
      <c r="L46" s="100">
        <f>VLOOKUP(C46,'[2]IE model  海尔产品'!$A$1:$I$65536,9,0)</f>
        <v>30</v>
      </c>
      <c r="M46" s="114">
        <v>900</v>
      </c>
      <c r="N46" s="114"/>
      <c r="O46" s="114"/>
      <c r="P46" s="114"/>
      <c r="Q46" s="113"/>
      <c r="R46" s="114"/>
      <c r="S46" s="113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5">
        <f t="shared" ref="AG46:AG47" si="18">SUM(M46:AF46)</f>
        <v>900</v>
      </c>
      <c r="AH46" s="124">
        <f t="shared" ref="AH46:AH47" si="19">+H46-AG46</f>
        <v>0</v>
      </c>
      <c r="AI46" s="130" t="s">
        <v>1805</v>
      </c>
      <c r="AK46" s="125"/>
      <c r="AL46" s="100"/>
      <c r="AM46" s="72" t="e">
        <f>_xlfn.XLOOKUP(C46,'[4]4-30'!$F:$F,'[4]4-30'!$S:$S)</f>
        <v>#N/A</v>
      </c>
    </row>
    <row r="47" spans="1:16370" s="72" customFormat="1" x14ac:dyDescent="0.3">
      <c r="A47" s="72" t="e">
        <f>VLOOKUP(C47,'[1]青岛4 (2)'!$C:$D,2,0)</f>
        <v>#N/A</v>
      </c>
      <c r="B47" s="101" t="s">
        <v>102</v>
      </c>
      <c r="C47" s="100">
        <v>10400034266</v>
      </c>
      <c r="D47" s="105">
        <v>110001311633</v>
      </c>
      <c r="E47" s="102">
        <v>110001311635</v>
      </c>
      <c r="F47" s="100" t="s">
        <v>135</v>
      </c>
      <c r="G47" s="101">
        <v>1500</v>
      </c>
      <c r="H47" s="103">
        <v>900</v>
      </c>
      <c r="I47" s="104" t="e">
        <f>VLOOKUP(C47,'[2]IE model  海尔产品'!$A$1:$D$65536,4,0)</f>
        <v>#N/A</v>
      </c>
      <c r="J47" s="104" cm="1">
        <f t="array" ref="J47">INDEX($A$2:$AF$2,MIN(IF(M47:AF47&lt;&gt;0,COLUMN(M47:AF47))))</f>
        <v>46142</v>
      </c>
      <c r="K47" s="100" t="e">
        <f>VLOOKUP(C47,'[2]IE model  海尔产品'!$A$1:$H$65536,8,0)</f>
        <v>#N/A</v>
      </c>
      <c r="L47" s="100" t="e">
        <f>VLOOKUP(C47,'[2]IE model  海尔产品'!$A$1:$I$65536,9,0)</f>
        <v>#N/A</v>
      </c>
      <c r="M47" s="114">
        <v>900</v>
      </c>
      <c r="N47" s="114"/>
      <c r="O47" s="114"/>
      <c r="P47" s="114"/>
      <c r="Q47" s="113"/>
      <c r="R47" s="114"/>
      <c r="S47" s="113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5">
        <f t="shared" si="18"/>
        <v>900</v>
      </c>
      <c r="AH47" s="124">
        <f t="shared" si="19"/>
        <v>0</v>
      </c>
      <c r="AI47" s="130"/>
      <c r="AK47" s="125"/>
      <c r="AL47" s="100"/>
      <c r="AM47" s="72" t="e">
        <f>_xlfn.XLOOKUP(C47,'[4]4-30'!$F:$F,'[4]4-30'!$S:$S)</f>
        <v>#N/A</v>
      </c>
    </row>
    <row r="48" spans="1:16370" s="72" customFormat="1" x14ac:dyDescent="0.3">
      <c r="A48" s="72" t="e">
        <f>VLOOKUP(C48,'[1]青岛4 (2)'!$C:$D,2,0)</f>
        <v>#N/A</v>
      </c>
      <c r="B48" s="101" t="s">
        <v>102</v>
      </c>
      <c r="C48" s="100">
        <v>10880031096</v>
      </c>
      <c r="D48" s="105">
        <v>110001310945</v>
      </c>
      <c r="E48" s="102">
        <v>110001310945</v>
      </c>
      <c r="F48" s="100" t="s">
        <v>278</v>
      </c>
      <c r="G48" s="101">
        <v>2000</v>
      </c>
      <c r="H48" s="103">
        <v>2000</v>
      </c>
      <c r="I48" s="104" t="str">
        <f>VLOOKUP(C48,'[2]IE model  海尔产品'!$A$1:$D$65536,4,0)</f>
        <v>1*10</v>
      </c>
      <c r="J48" s="104" cm="1">
        <f t="array" ref="J48">INDEX($A$2:$AF$2,MIN(IF(M48:AF48&lt;&gt;0,COLUMN(M48:AF48))))</f>
        <v>46142</v>
      </c>
      <c r="K48" s="100">
        <f>VLOOKUP(C48,'[2]IE model  海尔产品'!$A$1:$H$65536,8,0)</f>
        <v>360</v>
      </c>
      <c r="L48" s="100">
        <f>VLOOKUP(C48,'[2]IE model  海尔产品'!$A$1:$I$65536,9,0)</f>
        <v>30</v>
      </c>
      <c r="M48" s="114">
        <v>2000</v>
      </c>
      <c r="N48" s="114"/>
      <c r="O48" s="114"/>
      <c r="P48" s="114"/>
      <c r="Q48" s="113"/>
      <c r="R48" s="114"/>
      <c r="S48" s="113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5">
        <f t="shared" ref="AG48:AG52" si="20">SUM(M48:AF48)</f>
        <v>2000</v>
      </c>
      <c r="AH48" s="124">
        <f t="shared" ref="AH48:AH52" si="21">+H48-AG48</f>
        <v>0</v>
      </c>
      <c r="AI48" s="125" t="s">
        <v>1816</v>
      </c>
      <c r="AK48" s="125"/>
      <c r="AL48" s="100"/>
      <c r="AM48" s="72" t="e">
        <f>_xlfn.XLOOKUP(C48,'[4]4-30'!$F:$F,'[4]4-30'!$S:$S)</f>
        <v>#N/A</v>
      </c>
    </row>
    <row r="49" spans="1:39" s="72" customFormat="1" x14ac:dyDescent="0.3">
      <c r="B49" s="101" t="s">
        <v>123</v>
      </c>
      <c r="C49" s="100">
        <v>10400033234</v>
      </c>
      <c r="D49" s="105">
        <v>110001311629</v>
      </c>
      <c r="E49" s="102">
        <v>110001311630</v>
      </c>
      <c r="F49" s="100" t="s">
        <v>124</v>
      </c>
      <c r="G49" s="101">
        <v>1800</v>
      </c>
      <c r="H49" s="103">
        <v>1800</v>
      </c>
      <c r="I49" s="104" t="e">
        <f>VLOOKUP(C49,'[2]IE model  海尔产品'!$A$1:$D$65536,4,0)</f>
        <v>#N/A</v>
      </c>
      <c r="J49" s="104" cm="1">
        <f t="array" ref="J49">INDEX($A$2:$AF$2,MIN(IF(M49:AF49&lt;&gt;0,COLUMN(M49:AF49))))</f>
        <v>46142</v>
      </c>
      <c r="K49" s="100" t="e">
        <f>VLOOKUP(C49,'[2]IE model  海尔产品'!$A$1:$H$65536,8,0)</f>
        <v>#N/A</v>
      </c>
      <c r="L49" s="100" t="e">
        <f>VLOOKUP(C49,'[2]IE model  海尔产品'!$A$1:$I$65536,9,0)</f>
        <v>#N/A</v>
      </c>
      <c r="M49" s="114">
        <v>1800</v>
      </c>
      <c r="N49" s="114"/>
      <c r="O49" s="114"/>
      <c r="P49" s="114"/>
      <c r="Q49" s="114"/>
      <c r="R49" s="114"/>
      <c r="S49" s="113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5">
        <f t="shared" si="20"/>
        <v>1800</v>
      </c>
      <c r="AH49" s="124">
        <f t="shared" si="21"/>
        <v>0</v>
      </c>
      <c r="AI49" s="130"/>
      <c r="AK49" s="125"/>
      <c r="AL49" s="100"/>
      <c r="AM49" s="72" t="e">
        <f>_xlfn.XLOOKUP(C49,'[4]4-30'!$F:$F,'[4]4-30'!$S:$S)</f>
        <v>#N/A</v>
      </c>
    </row>
    <row r="50" spans="1:39" s="72" customFormat="1" x14ac:dyDescent="0.3">
      <c r="B50" s="101" t="s">
        <v>123</v>
      </c>
      <c r="C50" s="100">
        <v>10400033234</v>
      </c>
      <c r="D50" s="105">
        <v>110001292399</v>
      </c>
      <c r="E50" s="102">
        <v>110001292401</v>
      </c>
      <c r="F50" s="100" t="s">
        <v>124</v>
      </c>
      <c r="G50" s="101">
        <v>1600</v>
      </c>
      <c r="H50" s="103">
        <v>1600</v>
      </c>
      <c r="I50" s="104" t="e">
        <f>VLOOKUP(C50,'[2]IE model  海尔产品'!$A$1:$D$65536,4,0)</f>
        <v>#N/A</v>
      </c>
      <c r="J50" s="104" cm="1">
        <f t="array" ref="J50">INDEX($A$2:$AF$2,MIN(IF(M50:AF50&lt;&gt;0,COLUMN(M50:AF50))))</f>
        <v>46142</v>
      </c>
      <c r="K50" s="100" t="e">
        <f>VLOOKUP(C50,'[2]IE model  海尔产品'!$A$1:$H$65536,8,0)</f>
        <v>#N/A</v>
      </c>
      <c r="L50" s="100" t="e">
        <f>VLOOKUP(C50,'[2]IE model  海尔产品'!$A$1:$I$65536,9,0)</f>
        <v>#N/A</v>
      </c>
      <c r="M50" s="114">
        <v>1600</v>
      </c>
      <c r="N50" s="114"/>
      <c r="O50" s="114"/>
      <c r="P50" s="114"/>
      <c r="Q50" s="114"/>
      <c r="R50" s="114"/>
      <c r="S50" s="113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5">
        <f t="shared" si="20"/>
        <v>1600</v>
      </c>
      <c r="AH50" s="124">
        <f t="shared" si="21"/>
        <v>0</v>
      </c>
      <c r="AI50" s="130"/>
      <c r="AK50" s="125"/>
      <c r="AL50" s="100"/>
      <c r="AM50" s="72" t="e">
        <f>_xlfn.XLOOKUP(C50,'[4]4-30'!$F:$F,'[4]4-30'!$S:$S)</f>
        <v>#N/A</v>
      </c>
    </row>
    <row r="51" spans="1:39" s="72" customFormat="1" x14ac:dyDescent="0.3">
      <c r="B51" s="101" t="s">
        <v>123</v>
      </c>
      <c r="C51" s="100">
        <v>10400033234</v>
      </c>
      <c r="D51" s="105">
        <v>110001292671</v>
      </c>
      <c r="E51" s="102">
        <v>110001292672</v>
      </c>
      <c r="F51" s="100" t="s">
        <v>124</v>
      </c>
      <c r="G51" s="101">
        <v>2000</v>
      </c>
      <c r="H51" s="103">
        <v>2000</v>
      </c>
      <c r="I51" s="104" t="e">
        <f>VLOOKUP(C51,'[2]IE model  海尔产品'!$A$1:$D$65536,4,0)</f>
        <v>#N/A</v>
      </c>
      <c r="J51" s="104" cm="1">
        <f t="array" ref="J51">INDEX($A$2:$AF$2,MIN(IF(M51:AF51&lt;&gt;0,COLUMN(M51:AF51))))</f>
        <v>46146</v>
      </c>
      <c r="K51" s="100" t="e">
        <f>VLOOKUP(C51,'[2]IE model  海尔产品'!$A$1:$H$65536,8,0)</f>
        <v>#N/A</v>
      </c>
      <c r="L51" s="100" t="e">
        <f>VLOOKUP(C51,'[2]IE model  海尔产品'!$A$1:$I$65536,9,0)</f>
        <v>#N/A</v>
      </c>
      <c r="M51" s="114"/>
      <c r="N51" s="114"/>
      <c r="O51" s="114">
        <v>2000</v>
      </c>
      <c r="P51" s="114"/>
      <c r="Q51" s="114"/>
      <c r="R51" s="114"/>
      <c r="S51" s="113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5">
        <f t="shared" si="20"/>
        <v>2000</v>
      </c>
      <c r="AH51" s="124">
        <f t="shared" si="21"/>
        <v>0</v>
      </c>
      <c r="AI51" s="130"/>
      <c r="AK51" s="125"/>
      <c r="AL51" s="100"/>
      <c r="AM51" s="72" t="e">
        <f>_xlfn.XLOOKUP(C51,'[4]4-30'!$F:$F,'[4]4-30'!$S:$S)</f>
        <v>#N/A</v>
      </c>
    </row>
    <row r="52" spans="1:39" s="72" customFormat="1" x14ac:dyDescent="0.3">
      <c r="B52" s="101" t="s">
        <v>123</v>
      </c>
      <c r="C52" s="100">
        <v>10400033234</v>
      </c>
      <c r="D52" s="105">
        <v>110001299891</v>
      </c>
      <c r="E52" s="102">
        <v>110001299893</v>
      </c>
      <c r="F52" s="100" t="s">
        <v>124</v>
      </c>
      <c r="G52" s="101">
        <v>1500</v>
      </c>
      <c r="H52" s="103">
        <v>1500</v>
      </c>
      <c r="I52" s="104" t="e">
        <f>VLOOKUP(C52,'[2]IE model  海尔产品'!$A$1:$D$65536,4,0)</f>
        <v>#N/A</v>
      </c>
      <c r="J52" s="104" cm="1">
        <f t="array" ref="J52">INDEX($A$2:$AF$2,MIN(IF(M52:AF52&lt;&gt;0,COLUMN(M52:AF52))))</f>
        <v>46146</v>
      </c>
      <c r="K52" s="100" t="e">
        <f>VLOOKUP(C52,'[2]IE model  海尔产品'!$A$1:$H$65536,8,0)</f>
        <v>#N/A</v>
      </c>
      <c r="L52" s="100" t="e">
        <f>VLOOKUP(C52,'[2]IE model  海尔产品'!$A$1:$I$65536,9,0)</f>
        <v>#N/A</v>
      </c>
      <c r="M52" s="114"/>
      <c r="N52" s="114"/>
      <c r="O52" s="114">
        <v>1500</v>
      </c>
      <c r="P52" s="114"/>
      <c r="Q52" s="114"/>
      <c r="R52" s="114"/>
      <c r="S52" s="113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5">
        <f t="shared" si="20"/>
        <v>1500</v>
      </c>
      <c r="AH52" s="124">
        <f t="shared" si="21"/>
        <v>0</v>
      </c>
      <c r="AI52" s="130"/>
      <c r="AK52" s="125"/>
      <c r="AL52" s="100"/>
      <c r="AM52" s="72" t="e">
        <f>_xlfn.XLOOKUP(C52,'[4]4-30'!$F:$F,'[4]4-30'!$S:$S)</f>
        <v>#N/A</v>
      </c>
    </row>
    <row r="53" spans="1:39" s="72" customFormat="1" x14ac:dyDescent="0.3">
      <c r="B53" s="101" t="s">
        <v>102</v>
      </c>
      <c r="C53" s="100">
        <v>10880037022</v>
      </c>
      <c r="D53" s="105">
        <v>110001299891</v>
      </c>
      <c r="E53" s="102">
        <v>110001299891</v>
      </c>
      <c r="F53" s="100" t="s">
        <v>138</v>
      </c>
      <c r="G53" s="101">
        <v>1500</v>
      </c>
      <c r="H53" s="103">
        <v>1500</v>
      </c>
      <c r="I53" s="104" t="str">
        <f>VLOOKUP(C53,'[2]IE model  海尔产品'!$A$1:$D$65536,4,0)</f>
        <v>1*3</v>
      </c>
      <c r="J53" s="104" cm="1">
        <f t="array" ref="J53">INDEX($A$2:$AF$2,MIN(IF(M53:AF53&lt;&gt;0,COLUMN(M53:AF53))))</f>
        <v>46146</v>
      </c>
      <c r="K53" s="100">
        <f>VLOOKUP(C53,'[2]IE model  海尔产品'!$A$1:$H$65536,8,0)</f>
        <v>480</v>
      </c>
      <c r="L53" s="100">
        <f>VLOOKUP(C53,'[2]IE model  海尔产品'!$A$1:$I$65536,9,0)</f>
        <v>43</v>
      </c>
      <c r="M53" s="114"/>
      <c r="N53" s="114"/>
      <c r="O53" s="114"/>
      <c r="P53" s="113">
        <v>1500</v>
      </c>
      <c r="Q53" s="114"/>
      <c r="R53" s="114"/>
      <c r="S53" s="113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5">
        <f t="shared" ref="AG53:AG64" si="22">SUM(M53:AF53)</f>
        <v>1500</v>
      </c>
      <c r="AH53" s="124">
        <f t="shared" ref="AH53:AH64" si="23">+H53-AG53</f>
        <v>0</v>
      </c>
      <c r="AI53" s="130" t="s">
        <v>1814</v>
      </c>
      <c r="AK53" s="125"/>
      <c r="AL53" s="100"/>
      <c r="AM53" s="72" t="e">
        <f>_xlfn.XLOOKUP(C53,'[4]4-30'!$F:$F,'[4]4-30'!$S:$S)</f>
        <v>#N/A</v>
      </c>
    </row>
    <row r="54" spans="1:39" s="72" customFormat="1" x14ac:dyDescent="0.3">
      <c r="B54" s="101" t="s">
        <v>102</v>
      </c>
      <c r="C54" s="100">
        <v>10400031867</v>
      </c>
      <c r="D54" s="105">
        <v>110001299891</v>
      </c>
      <c r="E54" s="102">
        <v>110001299892</v>
      </c>
      <c r="F54" s="100" t="s">
        <v>139</v>
      </c>
      <c r="G54" s="101">
        <v>1500</v>
      </c>
      <c r="H54" s="103">
        <v>1500</v>
      </c>
      <c r="I54" s="104" t="e">
        <f>VLOOKUP(C54,'[2]IE model  海尔产品'!$A$1:$D$65536,4,0)</f>
        <v>#N/A</v>
      </c>
      <c r="J54" s="104" cm="1">
        <f t="array" ref="J54">INDEX($A$2:$AF$2,MIN(IF(M54:AF54&lt;&gt;0,COLUMN(M54:AF54))))</f>
        <v>46146</v>
      </c>
      <c r="K54" s="100" t="e">
        <f>VLOOKUP(C54,'[2]IE model  海尔产品'!$A$1:$H$65536,8,0)</f>
        <v>#N/A</v>
      </c>
      <c r="L54" s="100" t="e">
        <f>VLOOKUP(C54,'[2]IE model  海尔产品'!$A$1:$I$65536,9,0)</f>
        <v>#N/A</v>
      </c>
      <c r="M54" s="114"/>
      <c r="N54" s="114"/>
      <c r="O54" s="114"/>
      <c r="P54" s="113">
        <v>1500</v>
      </c>
      <c r="Q54" s="114"/>
      <c r="R54" s="114"/>
      <c r="S54" s="113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5">
        <f t="shared" si="22"/>
        <v>1500</v>
      </c>
      <c r="AH54" s="124">
        <f t="shared" si="23"/>
        <v>0</v>
      </c>
      <c r="AI54" s="130"/>
      <c r="AK54" s="125"/>
      <c r="AL54" s="100"/>
      <c r="AM54" s="72" t="e">
        <f>_xlfn.XLOOKUP(C54,'[4]4-30'!$F:$F,'[4]4-30'!$S:$S)</f>
        <v>#N/A</v>
      </c>
    </row>
    <row r="55" spans="1:39" s="72" customFormat="1" x14ac:dyDescent="0.3">
      <c r="A55" s="72" t="e">
        <f>VLOOKUP(C55,'[1]青岛4 (2)'!$C:$D,2,0)</f>
        <v>#N/A</v>
      </c>
      <c r="B55" s="101" t="s">
        <v>123</v>
      </c>
      <c r="C55" s="100">
        <v>10400033234</v>
      </c>
      <c r="D55" s="105">
        <v>110001292501</v>
      </c>
      <c r="E55" s="102">
        <v>110001292503</v>
      </c>
      <c r="F55" s="100" t="s">
        <v>124</v>
      </c>
      <c r="G55" s="101">
        <v>2001</v>
      </c>
      <c r="H55" s="103">
        <v>2001</v>
      </c>
      <c r="I55" s="104" t="e">
        <f>VLOOKUP(C55,'[2]IE model  海尔产品'!$A$1:$D$65536,4,0)</f>
        <v>#N/A</v>
      </c>
      <c r="J55" s="104" cm="1">
        <f t="array" ref="J55">INDEX($A$2:$AF$2,MIN(IF(M55:AF55&lt;&gt;0,COLUMN(M55:AF55))))</f>
        <v>46146</v>
      </c>
      <c r="K55" s="100" t="e">
        <f>VLOOKUP(C55,'[2]IE model  海尔产品'!$A$1:$H$65536,8,0)</f>
        <v>#N/A</v>
      </c>
      <c r="L55" s="100" t="e">
        <f>VLOOKUP(C55,'[2]IE model  海尔产品'!$A$1:$I$65536,9,0)</f>
        <v>#N/A</v>
      </c>
      <c r="M55" s="114"/>
      <c r="N55" s="114"/>
      <c r="O55" s="114"/>
      <c r="P55" s="113">
        <v>2001</v>
      </c>
      <c r="Q55" s="114"/>
      <c r="R55" s="114"/>
      <c r="S55" s="113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5">
        <f>SUM(M55:AF55)</f>
        <v>2001</v>
      </c>
      <c r="AH55" s="124">
        <f>+H55-AG55</f>
        <v>0</v>
      </c>
      <c r="AI55" s="130"/>
      <c r="AK55" s="125"/>
      <c r="AL55" s="100"/>
      <c r="AM55" s="72" t="e">
        <f>_xlfn.XLOOKUP(C55,'[4]4-30'!$F:$F,'[4]4-30'!$S:$S)</f>
        <v>#N/A</v>
      </c>
    </row>
    <row r="56" spans="1:39" s="72" customFormat="1" x14ac:dyDescent="0.3">
      <c r="B56" s="101" t="s">
        <v>123</v>
      </c>
      <c r="C56" s="100">
        <v>10400033234</v>
      </c>
      <c r="D56" s="105">
        <v>110001294940</v>
      </c>
      <c r="E56" s="102">
        <v>110001294962</v>
      </c>
      <c r="F56" s="100" t="s">
        <v>124</v>
      </c>
      <c r="G56" s="101">
        <v>1800</v>
      </c>
      <c r="H56" s="103">
        <v>1800</v>
      </c>
      <c r="I56" s="104" t="e">
        <f>VLOOKUP(C56,'[2]IE model  海尔产品'!$A$1:$D$65536,4,0)</f>
        <v>#N/A</v>
      </c>
      <c r="J56" s="104" cm="1">
        <f t="array" ref="J56">INDEX($A$2:$AF$2,MIN(IF(M56:AF56&lt;&gt;0,COLUMN(M56:AF56))))</f>
        <v>46147</v>
      </c>
      <c r="K56" s="100" t="e">
        <f>VLOOKUP(C56,'[2]IE model  海尔产品'!$A$1:$H$65536,8,0)</f>
        <v>#N/A</v>
      </c>
      <c r="L56" s="100" t="e">
        <f>VLOOKUP(C56,'[2]IE model  海尔产品'!$A$1:$I$65536,9,0)</f>
        <v>#N/A</v>
      </c>
      <c r="M56" s="114"/>
      <c r="N56" s="114"/>
      <c r="O56" s="114"/>
      <c r="P56" s="114"/>
      <c r="Q56" s="114">
        <v>1800</v>
      </c>
      <c r="R56" s="114"/>
      <c r="S56" s="113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5">
        <f>SUM(M56:AF56)</f>
        <v>1800</v>
      </c>
      <c r="AH56" s="124">
        <f>+H56-AG56</f>
        <v>0</v>
      </c>
      <c r="AI56" s="130"/>
      <c r="AK56" s="125"/>
      <c r="AL56" s="100"/>
      <c r="AM56" s="72" t="e">
        <f>_xlfn.XLOOKUP(C56,'[4]4-30'!$F:$F,'[4]4-30'!$S:$S)</f>
        <v>#N/A</v>
      </c>
    </row>
    <row r="57" spans="1:39" s="72" customFormat="1" x14ac:dyDescent="0.3">
      <c r="B57" s="101" t="s">
        <v>123</v>
      </c>
      <c r="C57" s="100">
        <v>10400033234</v>
      </c>
      <c r="D57" s="105">
        <v>110001315161</v>
      </c>
      <c r="E57" s="102">
        <v>110001315163</v>
      </c>
      <c r="F57" s="100" t="s">
        <v>124</v>
      </c>
      <c r="G57" s="101">
        <v>310</v>
      </c>
      <c r="H57" s="103">
        <v>310</v>
      </c>
      <c r="I57" s="104" t="e">
        <f>VLOOKUP(C57,'[2]IE model  海尔产品'!$A$1:$D$65536,4,0)</f>
        <v>#N/A</v>
      </c>
      <c r="J57" s="104" cm="1">
        <f t="array" ref="J57">INDEX($A$2:$AF$2,MIN(IF(M57:AF57&lt;&gt;0,COLUMN(M57:AF57))))</f>
        <v>46147</v>
      </c>
      <c r="K57" s="100" t="e">
        <f>VLOOKUP(C57,'[2]IE model  海尔产品'!$A$1:$H$65536,8,0)</f>
        <v>#N/A</v>
      </c>
      <c r="L57" s="100" t="e">
        <f>VLOOKUP(C57,'[2]IE model  海尔产品'!$A$1:$I$65536,9,0)</f>
        <v>#N/A</v>
      </c>
      <c r="M57" s="114"/>
      <c r="N57" s="114"/>
      <c r="O57" s="114"/>
      <c r="P57" s="113"/>
      <c r="Q57" s="114">
        <v>310</v>
      </c>
      <c r="R57" s="114"/>
      <c r="S57" s="113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5">
        <f t="shared" ref="AG57" si="24">SUM(M57:AF57)</f>
        <v>310</v>
      </c>
      <c r="AH57" s="124">
        <f t="shared" ref="AH57" si="25">+H57-AG57</f>
        <v>0</v>
      </c>
      <c r="AI57" s="130"/>
      <c r="AK57" s="125"/>
      <c r="AL57" s="100"/>
      <c r="AM57" s="72" t="e">
        <f>_xlfn.XLOOKUP(C57,'[4]4-30'!$F:$F,'[4]4-30'!$S:$S)</f>
        <v>#N/A</v>
      </c>
    </row>
    <row r="58" spans="1:39" s="72" customFormat="1" x14ac:dyDescent="0.3">
      <c r="B58" s="101" t="s">
        <v>123</v>
      </c>
      <c r="C58" s="100">
        <v>10400033234</v>
      </c>
      <c r="D58" s="105">
        <v>880000121535</v>
      </c>
      <c r="E58" s="102">
        <v>880000121536</v>
      </c>
      <c r="F58" s="100" t="s">
        <v>124</v>
      </c>
      <c r="G58" s="101">
        <v>250</v>
      </c>
      <c r="H58" s="103">
        <v>250</v>
      </c>
      <c r="I58" s="104" t="e">
        <f>VLOOKUP(C58,'[2]IE model  海尔产品'!$A$1:$D$65536,4,0)</f>
        <v>#N/A</v>
      </c>
      <c r="J58" s="104" cm="1">
        <f t="array" ref="J58">INDEX($A$2:$AF$2,MIN(IF(M58:AF58&lt;&gt;0,COLUMN(M58:AF58))))</f>
        <v>46147</v>
      </c>
      <c r="K58" s="100" t="e">
        <f>VLOOKUP(C58,'[2]IE model  海尔产品'!$A$1:$H$65536,8,0)</f>
        <v>#N/A</v>
      </c>
      <c r="L58" s="100" t="e">
        <f>VLOOKUP(C58,'[2]IE model  海尔产品'!$A$1:$I$65536,9,0)</f>
        <v>#N/A</v>
      </c>
      <c r="M58" s="114"/>
      <c r="N58" s="114"/>
      <c r="O58" s="114"/>
      <c r="P58" s="114"/>
      <c r="Q58" s="114">
        <v>250</v>
      </c>
      <c r="R58" s="113"/>
      <c r="S58" s="113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5">
        <f>SUM(M58:AF58)</f>
        <v>250</v>
      </c>
      <c r="AH58" s="124">
        <f>+H58-AG58</f>
        <v>0</v>
      </c>
      <c r="AI58" s="130"/>
      <c r="AK58" s="125"/>
      <c r="AL58" s="100"/>
      <c r="AM58" s="72" t="e">
        <f>_xlfn.XLOOKUP(C58,'[4]4-30'!$F:$F,'[4]4-30'!$S:$S)</f>
        <v>#N/A</v>
      </c>
    </row>
    <row r="59" spans="1:39" s="72" customFormat="1" x14ac:dyDescent="0.3">
      <c r="B59" s="101" t="s">
        <v>123</v>
      </c>
      <c r="C59" s="100">
        <v>10400033234</v>
      </c>
      <c r="D59" s="105">
        <v>110001290452</v>
      </c>
      <c r="E59" s="102">
        <v>110001290453</v>
      </c>
      <c r="F59" s="100" t="s">
        <v>124</v>
      </c>
      <c r="G59" s="101">
        <v>2400</v>
      </c>
      <c r="H59" s="103">
        <v>2400</v>
      </c>
      <c r="I59" s="104" t="e">
        <f>VLOOKUP(C59,'[2]IE model  海尔产品'!$A$1:$D$65536,4,0)</f>
        <v>#N/A</v>
      </c>
      <c r="J59" s="104" cm="1">
        <f t="array" ref="J59">INDEX($A$2:$AF$2,MIN(IF(M59:AF59&lt;&gt;0,COLUMN(M59:AF59))))</f>
        <v>46147</v>
      </c>
      <c r="K59" s="100" t="e">
        <f>VLOOKUP(C59,'[2]IE model  海尔产品'!$A$1:$H$65536,8,0)</f>
        <v>#N/A</v>
      </c>
      <c r="L59" s="100" t="e">
        <f>VLOOKUP(C59,'[2]IE model  海尔产品'!$A$1:$I$65536,9,0)</f>
        <v>#N/A</v>
      </c>
      <c r="M59" s="114"/>
      <c r="N59" s="114"/>
      <c r="O59" s="114"/>
      <c r="P59" s="114"/>
      <c r="Q59" s="114">
        <v>2400</v>
      </c>
      <c r="R59" s="113"/>
      <c r="S59" s="113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5">
        <f>SUM(M59:AF59)</f>
        <v>2400</v>
      </c>
      <c r="AH59" s="124">
        <f>+H59-AG59</f>
        <v>0</v>
      </c>
      <c r="AI59" s="130"/>
      <c r="AK59" s="125"/>
      <c r="AL59" s="100"/>
      <c r="AM59" s="72" t="e">
        <f>_xlfn.XLOOKUP(C59,'[4]4-30'!$F:$F,'[4]4-30'!$S:$S)</f>
        <v>#N/A</v>
      </c>
    </row>
    <row r="60" spans="1:39" s="72" customFormat="1" x14ac:dyDescent="0.3">
      <c r="B60" s="101" t="s">
        <v>123</v>
      </c>
      <c r="C60" s="100">
        <v>10400033234</v>
      </c>
      <c r="D60" s="105">
        <v>110001311533</v>
      </c>
      <c r="E60" s="102">
        <v>110001311534</v>
      </c>
      <c r="F60" s="100" t="s">
        <v>124</v>
      </c>
      <c r="G60" s="101">
        <v>250</v>
      </c>
      <c r="H60" s="103">
        <v>250</v>
      </c>
      <c r="I60" s="104" t="e">
        <f>VLOOKUP(C60,'[2]IE model  海尔产品'!$A$1:$D$65536,4,0)</f>
        <v>#N/A</v>
      </c>
      <c r="J60" s="104" cm="1">
        <f t="array" ref="J60">INDEX($A$2:$AF$2,MIN(IF(M60:AF60&lt;&gt;0,COLUMN(M60:AF60))))</f>
        <v>46147</v>
      </c>
      <c r="K60" s="100" t="e">
        <f>VLOOKUP(C60,'[2]IE model  海尔产品'!$A$1:$H$65536,8,0)</f>
        <v>#N/A</v>
      </c>
      <c r="L60" s="100" t="e">
        <f>VLOOKUP(C60,'[2]IE model  海尔产品'!$A$1:$I$65536,9,0)</f>
        <v>#N/A</v>
      </c>
      <c r="M60" s="114"/>
      <c r="N60" s="114"/>
      <c r="O60" s="114"/>
      <c r="P60" s="114"/>
      <c r="Q60" s="114">
        <v>250</v>
      </c>
      <c r="R60" s="113"/>
      <c r="S60" s="113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5">
        <f>SUM(M60:AF60)</f>
        <v>250</v>
      </c>
      <c r="AH60" s="124">
        <f>+H60-AG60</f>
        <v>0</v>
      </c>
      <c r="AI60" s="130"/>
      <c r="AK60" s="125"/>
      <c r="AL60" s="100"/>
      <c r="AM60" s="72" t="e">
        <f>_xlfn.XLOOKUP(C60,'[4]4-30'!$F:$F,'[4]4-30'!$S:$S)</f>
        <v>#N/A</v>
      </c>
    </row>
    <row r="61" spans="1:39" s="72" customFormat="1" x14ac:dyDescent="0.3">
      <c r="B61" s="101" t="s">
        <v>102</v>
      </c>
      <c r="C61" s="100">
        <v>10880038727</v>
      </c>
      <c r="D61" s="105">
        <v>880000121535</v>
      </c>
      <c r="E61" s="102">
        <v>880000121535</v>
      </c>
      <c r="F61" s="100" t="s">
        <v>1808</v>
      </c>
      <c r="G61" s="101">
        <v>250</v>
      </c>
      <c r="H61" s="103">
        <v>250</v>
      </c>
      <c r="I61" s="104" t="str">
        <f>VLOOKUP(C61,'[2]IE model  海尔产品'!$A$1:$D$65536,4,0)</f>
        <v>1*3</v>
      </c>
      <c r="J61" s="104" cm="1">
        <f t="array" ref="J61">INDEX($A$2:$AF$2,MIN(IF(M61:AF61&lt;&gt;0,COLUMN(M61:AF61))))</f>
        <v>46147</v>
      </c>
      <c r="K61" s="100">
        <f>VLOOKUP(C61,'[2]IE model  海尔产品'!$A$1:$H$65536,8,0)</f>
        <v>480</v>
      </c>
      <c r="L61" s="100">
        <f>VLOOKUP(C61,'[2]IE model  海尔产品'!$A$1:$I$65536,9,0)</f>
        <v>43</v>
      </c>
      <c r="M61" s="114"/>
      <c r="N61" s="114"/>
      <c r="O61" s="114"/>
      <c r="P61" s="113"/>
      <c r="Q61" s="114">
        <v>250</v>
      </c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5">
        <f>SUM(M61:AF61)</f>
        <v>250</v>
      </c>
      <c r="AH61" s="124">
        <f>+H61-AG61</f>
        <v>0</v>
      </c>
      <c r="AI61" s="130" t="s">
        <v>1810</v>
      </c>
      <c r="AK61" s="125"/>
      <c r="AL61" s="100"/>
      <c r="AM61" s="72" t="e">
        <f>_xlfn.XLOOKUP(C61,'[4]4-30'!$F:$F,'[4]4-30'!$S:$S)</f>
        <v>#N/A</v>
      </c>
    </row>
    <row r="62" spans="1:39" s="72" customFormat="1" x14ac:dyDescent="0.3">
      <c r="B62" s="101" t="s">
        <v>102</v>
      </c>
      <c r="C62" s="100">
        <v>10400034094</v>
      </c>
      <c r="D62" s="105">
        <v>880000121535</v>
      </c>
      <c r="E62" s="102">
        <v>880000121537</v>
      </c>
      <c r="F62" s="100" t="s">
        <v>1809</v>
      </c>
      <c r="G62" s="101">
        <v>250</v>
      </c>
      <c r="H62" s="103">
        <v>250</v>
      </c>
      <c r="I62" s="104" t="e">
        <f>VLOOKUP(C62,'[2]IE model  海尔产品'!$A$1:$D$65536,4,0)</f>
        <v>#N/A</v>
      </c>
      <c r="J62" s="104" cm="1">
        <f t="array" ref="J62">INDEX($A$2:$AF$2,MIN(IF(M62:AF62&lt;&gt;0,COLUMN(M62:AF62))))</f>
        <v>46147</v>
      </c>
      <c r="K62" s="100" t="e">
        <f>VLOOKUP(C62,'[2]IE model  海尔产品'!$A$1:$H$65536,8,0)</f>
        <v>#N/A</v>
      </c>
      <c r="L62" s="100" t="e">
        <f>VLOOKUP(C62,'[2]IE model  海尔产品'!$A$1:$I$65536,9,0)</f>
        <v>#N/A</v>
      </c>
      <c r="M62" s="114"/>
      <c r="N62" s="114"/>
      <c r="O62" s="114"/>
      <c r="P62" s="114"/>
      <c r="Q62" s="114">
        <v>250</v>
      </c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5">
        <f>SUM(M62:AF62)</f>
        <v>250</v>
      </c>
      <c r="AH62" s="124">
        <f>+H62-AG62</f>
        <v>0</v>
      </c>
      <c r="AI62" s="130"/>
      <c r="AK62" s="125"/>
      <c r="AL62" s="100"/>
      <c r="AM62" s="72" t="e">
        <f>_xlfn.XLOOKUP(C62,'[4]4-30'!$F:$F,'[4]4-30'!$S:$S)</f>
        <v>#N/A</v>
      </c>
    </row>
    <row r="63" spans="1:39" s="72" customFormat="1" x14ac:dyDescent="0.3">
      <c r="B63" s="101" t="s">
        <v>102</v>
      </c>
      <c r="C63" s="100">
        <v>10880037297</v>
      </c>
      <c r="D63" s="105">
        <v>110001296308</v>
      </c>
      <c r="E63" s="102">
        <v>110001296308</v>
      </c>
      <c r="F63" s="100" t="s">
        <v>1806</v>
      </c>
      <c r="G63" s="101">
        <v>400</v>
      </c>
      <c r="H63" s="103">
        <v>400</v>
      </c>
      <c r="I63" s="104" t="str">
        <f>VLOOKUP(C63,'[2]IE model  海尔产品'!$A$1:$D$65536,4,0)</f>
        <v>1*3</v>
      </c>
      <c r="J63" s="104" cm="1">
        <f t="array" ref="J63">INDEX($A$2:$AF$2,MIN(IF(M63:AF63&lt;&gt;0,COLUMN(M63:AF63))))</f>
        <v>46147</v>
      </c>
      <c r="K63" s="100">
        <f>VLOOKUP(C63,'[2]IE model  海尔产品'!$A$1:$H$65536,8,0)</f>
        <v>480</v>
      </c>
      <c r="L63" s="100">
        <f>VLOOKUP(C63,'[2]IE model  海尔产品'!$A$1:$I$65536,9,0)</f>
        <v>43</v>
      </c>
      <c r="M63" s="114"/>
      <c r="N63" s="114"/>
      <c r="O63" s="114"/>
      <c r="P63" s="113"/>
      <c r="Q63" s="114">
        <v>400</v>
      </c>
      <c r="R63" s="114"/>
      <c r="S63" s="113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5">
        <f t="shared" si="22"/>
        <v>400</v>
      </c>
      <c r="AH63" s="124">
        <f t="shared" si="23"/>
        <v>0</v>
      </c>
      <c r="AI63" s="130" t="s">
        <v>1814</v>
      </c>
      <c r="AK63" s="125"/>
      <c r="AL63" s="100"/>
      <c r="AM63" s="72" t="e">
        <f>_xlfn.XLOOKUP(C63,'[4]4-30'!$F:$F,'[4]4-30'!$S:$S)</f>
        <v>#N/A</v>
      </c>
    </row>
    <row r="64" spans="1:39" s="72" customFormat="1" x14ac:dyDescent="0.3">
      <c r="B64" s="101" t="s">
        <v>102</v>
      </c>
      <c r="C64" s="100">
        <v>10400032222</v>
      </c>
      <c r="D64" s="105">
        <v>110001296308</v>
      </c>
      <c r="E64" s="102">
        <v>110001296309</v>
      </c>
      <c r="F64" s="100" t="s">
        <v>1807</v>
      </c>
      <c r="G64" s="101">
        <v>400</v>
      </c>
      <c r="H64" s="103">
        <v>400</v>
      </c>
      <c r="I64" s="104" t="e">
        <f>VLOOKUP(C64,'[2]IE model  海尔产品'!$A$1:$D$65536,4,0)</f>
        <v>#N/A</v>
      </c>
      <c r="J64" s="104" cm="1">
        <f t="array" ref="J64">INDEX($A$2:$AF$2,MIN(IF(M64:AF64&lt;&gt;0,COLUMN(M64:AF64))))</f>
        <v>46147</v>
      </c>
      <c r="K64" s="100" t="e">
        <f>VLOOKUP(C64,'[2]IE model  海尔产品'!$A$1:$H$65536,8,0)</f>
        <v>#N/A</v>
      </c>
      <c r="L64" s="100" t="e">
        <f>VLOOKUP(C64,'[2]IE model  海尔产品'!$A$1:$I$65536,9,0)</f>
        <v>#N/A</v>
      </c>
      <c r="M64" s="114"/>
      <c r="N64" s="114"/>
      <c r="O64" s="114"/>
      <c r="P64" s="113"/>
      <c r="Q64" s="114">
        <v>400</v>
      </c>
      <c r="R64" s="114"/>
      <c r="S64" s="113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5">
        <f t="shared" si="22"/>
        <v>400</v>
      </c>
      <c r="AH64" s="124">
        <f t="shared" si="23"/>
        <v>0</v>
      </c>
      <c r="AI64" s="130"/>
      <c r="AK64" s="125"/>
      <c r="AL64" s="100"/>
      <c r="AM64" s="72" t="e">
        <f>_xlfn.XLOOKUP(C64,'[4]4-30'!$F:$F,'[4]4-30'!$S:$S)</f>
        <v>#N/A</v>
      </c>
    </row>
    <row r="65" spans="2:39" s="72" customFormat="1" x14ac:dyDescent="0.3">
      <c r="B65" s="101" t="s">
        <v>102</v>
      </c>
      <c r="C65" s="100">
        <v>10880036364</v>
      </c>
      <c r="D65" s="105">
        <v>110001315161</v>
      </c>
      <c r="E65" s="102">
        <v>110001315161</v>
      </c>
      <c r="F65" s="100" t="s">
        <v>1812</v>
      </c>
      <c r="G65" s="101">
        <v>310</v>
      </c>
      <c r="H65" s="103">
        <v>310</v>
      </c>
      <c r="I65" s="104" t="str">
        <f>VLOOKUP(C65,'[2]IE model  海尔产品'!$A$1:$D$65536,4,0)</f>
        <v>1*3</v>
      </c>
      <c r="J65" s="104" cm="1">
        <f t="array" ref="J65">INDEX($A$2:$AF$2,MIN(IF(M65:AF65&lt;&gt;0,COLUMN(M65:AF65))))</f>
        <v>46147</v>
      </c>
      <c r="K65" s="100">
        <f>VLOOKUP(C65,'[2]IE model  海尔产品'!$A$1:$H$65536,8,0)</f>
        <v>480</v>
      </c>
      <c r="L65" s="100">
        <f>VLOOKUP(C65,'[2]IE model  海尔产品'!$A$1:$I$65536,9,0)</f>
        <v>43</v>
      </c>
      <c r="M65" s="114"/>
      <c r="N65" s="114"/>
      <c r="O65" s="114"/>
      <c r="P65" s="113"/>
      <c r="Q65" s="114">
        <v>310</v>
      </c>
      <c r="R65" s="114"/>
      <c r="S65" s="113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5">
        <f t="shared" ref="AG65:AG66" si="26">SUM(M65:AF65)</f>
        <v>310</v>
      </c>
      <c r="AH65" s="124">
        <f t="shared" ref="AH65:AH66" si="27">+H65-AG65</f>
        <v>0</v>
      </c>
      <c r="AI65" s="130" t="s">
        <v>1814</v>
      </c>
      <c r="AK65" s="125"/>
      <c r="AL65" s="100"/>
      <c r="AM65" s="72" t="e">
        <f>_xlfn.XLOOKUP(C65,'[4]4-30'!$F:$F,'[4]4-30'!$S:$S)</f>
        <v>#N/A</v>
      </c>
    </row>
    <row r="66" spans="2:39" s="72" customFormat="1" x14ac:dyDescent="0.3">
      <c r="B66" s="101" t="s">
        <v>102</v>
      </c>
      <c r="C66" s="100">
        <v>10400030956</v>
      </c>
      <c r="D66" s="105">
        <v>110001315161</v>
      </c>
      <c r="E66" s="102">
        <v>110001315162</v>
      </c>
      <c r="F66" s="100" t="s">
        <v>1813</v>
      </c>
      <c r="G66" s="101">
        <v>310</v>
      </c>
      <c r="H66" s="103">
        <v>310</v>
      </c>
      <c r="I66" s="104" t="e">
        <f>VLOOKUP(C66,'[2]IE model  海尔产品'!$A$1:$D$65536,4,0)</f>
        <v>#N/A</v>
      </c>
      <c r="J66" s="104" cm="1">
        <f t="array" ref="J66">INDEX($A$2:$AF$2,MIN(IF(M66:AF66&lt;&gt;0,COLUMN(M66:AF66))))</f>
        <v>46147</v>
      </c>
      <c r="K66" s="100" t="e">
        <f>VLOOKUP(C66,'[2]IE model  海尔产品'!$A$1:$H$65536,8,0)</f>
        <v>#N/A</v>
      </c>
      <c r="L66" s="100" t="e">
        <f>VLOOKUP(C66,'[2]IE model  海尔产品'!$A$1:$I$65536,9,0)</f>
        <v>#N/A</v>
      </c>
      <c r="M66" s="114"/>
      <c r="N66" s="114"/>
      <c r="O66" s="114"/>
      <c r="P66" s="113"/>
      <c r="Q66" s="114">
        <v>310</v>
      </c>
      <c r="R66" s="114"/>
      <c r="S66" s="113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5">
        <f t="shared" si="26"/>
        <v>310</v>
      </c>
      <c r="AH66" s="124">
        <f t="shared" si="27"/>
        <v>0</v>
      </c>
      <c r="AI66" s="130"/>
      <c r="AK66" s="125"/>
      <c r="AL66" s="100"/>
      <c r="AM66" s="72" t="e">
        <f>_xlfn.XLOOKUP(C66,'[4]4-30'!$F:$F,'[4]4-30'!$S:$S)</f>
        <v>#N/A</v>
      </c>
    </row>
    <row r="67" spans="2:39" s="72" customFormat="1" x14ac:dyDescent="0.3">
      <c r="B67" s="101" t="s">
        <v>102</v>
      </c>
      <c r="C67" s="100">
        <v>10880038445</v>
      </c>
      <c r="D67" s="105">
        <v>110001294980</v>
      </c>
      <c r="E67" s="102">
        <v>110001294980</v>
      </c>
      <c r="F67" s="100" t="s">
        <v>149</v>
      </c>
      <c r="G67" s="101">
        <v>1000</v>
      </c>
      <c r="H67" s="103">
        <v>1000</v>
      </c>
      <c r="I67" s="104" t="str">
        <f>VLOOKUP(C67,'[2]IE model  海尔产品'!$A$1:$D$65536,4,0)</f>
        <v>1*3</v>
      </c>
      <c r="J67" s="104" cm="1">
        <f t="array" ref="J67">INDEX($A$2:$AF$2,MIN(IF(M67:AF67&lt;&gt;0,COLUMN(M67:AF67))))</f>
        <v>46147</v>
      </c>
      <c r="K67" s="100">
        <f>VLOOKUP(C67,'[2]IE model  海尔产品'!$A$1:$H$65536,8,0)</f>
        <v>480</v>
      </c>
      <c r="L67" s="100">
        <f>VLOOKUP(C67,'[2]IE model  海尔产品'!$A$1:$I$65536,9,0)</f>
        <v>43</v>
      </c>
      <c r="M67" s="114"/>
      <c r="N67" s="114"/>
      <c r="O67" s="114"/>
      <c r="P67" s="113"/>
      <c r="Q67" s="114">
        <v>1000</v>
      </c>
      <c r="R67" s="114"/>
      <c r="S67" s="113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5">
        <f t="shared" ref="AG67" si="28">SUM(M67:AF67)</f>
        <v>1000</v>
      </c>
      <c r="AH67" s="124">
        <f t="shared" ref="AH67" si="29">+H67-AG67</f>
        <v>0</v>
      </c>
      <c r="AI67" s="130" t="s">
        <v>1815</v>
      </c>
      <c r="AK67" s="125"/>
      <c r="AL67" s="100"/>
      <c r="AM67" s="72" t="e">
        <f>_xlfn.XLOOKUP(C67,'[4]4-30'!$F:$F,'[4]4-30'!$S:$S)</f>
        <v>#N/A</v>
      </c>
    </row>
    <row r="68" spans="2:39" s="72" customFormat="1" x14ac:dyDescent="0.3">
      <c r="B68" s="101" t="s">
        <v>102</v>
      </c>
      <c r="C68" s="100">
        <v>10880038833</v>
      </c>
      <c r="D68" s="105">
        <v>110001311645</v>
      </c>
      <c r="E68" s="102">
        <v>110001311645</v>
      </c>
      <c r="F68" s="100" t="s">
        <v>142</v>
      </c>
      <c r="G68" s="101">
        <v>750</v>
      </c>
      <c r="H68" s="103">
        <v>750</v>
      </c>
      <c r="I68" s="104" t="str">
        <f>VLOOKUP(C68,'[2]IE model  海尔产品'!$A$1:$D$65536,4,0)</f>
        <v>1*3</v>
      </c>
      <c r="J68" s="104" cm="1">
        <f t="array" ref="J68">INDEX($A$2:$AF$2,MIN(IF(M68:AF68&lt;&gt;0,COLUMN(M68:AF68))))</f>
        <v>46148</v>
      </c>
      <c r="K68" s="100">
        <f>VLOOKUP(C68,'[2]IE model  海尔产品'!$A$1:$H$65536,8,0)</f>
        <v>200</v>
      </c>
      <c r="L68" s="100">
        <f>VLOOKUP(C68,'[2]IE model  海尔产品'!$A$1:$I$65536,9,0)</f>
        <v>30</v>
      </c>
      <c r="M68" s="114"/>
      <c r="N68" s="114"/>
      <c r="O68" s="114"/>
      <c r="P68" s="114"/>
      <c r="Q68" s="114"/>
      <c r="R68" s="114"/>
      <c r="S68" s="114">
        <v>750</v>
      </c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5">
        <f t="shared" ref="AG68:AG74" si="30">SUM(M68:AF68)</f>
        <v>750</v>
      </c>
      <c r="AH68" s="124">
        <f t="shared" ref="AH68:AH74" si="31">+H68-AG68</f>
        <v>0</v>
      </c>
      <c r="AI68" s="130" t="s">
        <v>1818</v>
      </c>
      <c r="AK68" s="125"/>
      <c r="AL68" s="100"/>
      <c r="AM68" s="72" t="e">
        <f>_xlfn.XLOOKUP(C68,'[4]4-30'!$F:$F,'[4]4-30'!$S:$S)</f>
        <v>#N/A</v>
      </c>
    </row>
    <row r="69" spans="2:39" s="72" customFormat="1" x14ac:dyDescent="0.3">
      <c r="B69" s="101" t="s">
        <v>102</v>
      </c>
      <c r="C69" s="100">
        <v>10400034268</v>
      </c>
      <c r="D69" s="105">
        <v>110001311645</v>
      </c>
      <c r="E69" s="102">
        <v>110001311647</v>
      </c>
      <c r="F69" s="100" t="s">
        <v>143</v>
      </c>
      <c r="G69" s="101">
        <v>750</v>
      </c>
      <c r="H69" s="103">
        <v>750</v>
      </c>
      <c r="I69" s="104" t="e">
        <f>VLOOKUP(C69,'[2]IE model  海尔产品'!$A$1:$D$65536,4,0)</f>
        <v>#N/A</v>
      </c>
      <c r="J69" s="104" cm="1">
        <f t="array" ref="J69">INDEX($A$2:$AF$2,MIN(IF(M69:AF69&lt;&gt;0,COLUMN(M69:AF69))))</f>
        <v>46148</v>
      </c>
      <c r="K69" s="100" t="e">
        <f>VLOOKUP(C69,'[2]IE model  海尔产品'!$A$1:$H$65536,8,0)</f>
        <v>#N/A</v>
      </c>
      <c r="L69" s="100" t="e">
        <f>VLOOKUP(C69,'[2]IE model  海尔产品'!$A$1:$I$65536,9,0)</f>
        <v>#N/A</v>
      </c>
      <c r="M69" s="114"/>
      <c r="N69" s="114"/>
      <c r="O69" s="114"/>
      <c r="P69" s="114"/>
      <c r="Q69" s="114"/>
      <c r="R69" s="114"/>
      <c r="S69" s="114">
        <v>750</v>
      </c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5">
        <f t="shared" si="30"/>
        <v>750</v>
      </c>
      <c r="AH69" s="124">
        <f t="shared" si="31"/>
        <v>0</v>
      </c>
      <c r="AI69" s="130"/>
      <c r="AK69" s="125"/>
      <c r="AL69" s="100"/>
      <c r="AM69" s="72" t="e">
        <f>_xlfn.XLOOKUP(C69,'[4]4-30'!$F:$F,'[4]4-30'!$S:$S)</f>
        <v>#N/A</v>
      </c>
    </row>
    <row r="70" spans="2:39" s="72" customFormat="1" x14ac:dyDescent="0.3">
      <c r="B70" s="101" t="s">
        <v>123</v>
      </c>
      <c r="C70" s="100">
        <v>10400033234</v>
      </c>
      <c r="D70" s="105">
        <v>110001292573</v>
      </c>
      <c r="E70" s="102">
        <v>110001292574</v>
      </c>
      <c r="F70" s="100" t="s">
        <v>124</v>
      </c>
      <c r="G70" s="101">
        <v>800</v>
      </c>
      <c r="H70" s="103">
        <v>800</v>
      </c>
      <c r="I70" s="104" t="e">
        <f>VLOOKUP(C70,'[2]IE model  海尔产品'!$A$1:$D$65536,4,0)</f>
        <v>#N/A</v>
      </c>
      <c r="J70" s="104" cm="1">
        <f t="array" ref="J70">INDEX($A$2:$AF$2,MIN(IF(M70:AF70&lt;&gt;0,COLUMN(M70:AF70))))</f>
        <v>46148</v>
      </c>
      <c r="K70" s="100" t="e">
        <f>VLOOKUP(C70,'[2]IE model  海尔产品'!$A$1:$H$65536,8,0)</f>
        <v>#N/A</v>
      </c>
      <c r="L70" s="100" t="e">
        <f>VLOOKUP(C70,'[2]IE model  海尔产品'!$A$1:$I$65536,9,0)</f>
        <v>#N/A</v>
      </c>
      <c r="M70" s="114"/>
      <c r="N70" s="114"/>
      <c r="O70" s="114"/>
      <c r="P70" s="114"/>
      <c r="Q70" s="114"/>
      <c r="R70" s="114"/>
      <c r="S70" s="114"/>
      <c r="T70" s="113">
        <v>800</v>
      </c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5">
        <f t="shared" si="30"/>
        <v>800</v>
      </c>
      <c r="AH70" s="124">
        <f t="shared" si="31"/>
        <v>0</v>
      </c>
      <c r="AI70" s="130"/>
      <c r="AK70" s="125"/>
      <c r="AL70" s="100"/>
      <c r="AM70" s="72" t="e">
        <f>_xlfn.XLOOKUP(C70,'[4]4-30'!$F:$F,'[4]4-30'!$S:$S)</f>
        <v>#N/A</v>
      </c>
    </row>
    <row r="71" spans="2:39" s="72" customFormat="1" x14ac:dyDescent="0.3">
      <c r="B71" s="101" t="s">
        <v>123</v>
      </c>
      <c r="C71" s="100">
        <v>10400033234</v>
      </c>
      <c r="D71" s="105">
        <v>110001292589</v>
      </c>
      <c r="E71" s="102">
        <v>110001292590</v>
      </c>
      <c r="F71" s="100" t="s">
        <v>124</v>
      </c>
      <c r="G71" s="101">
        <v>500</v>
      </c>
      <c r="H71" s="103">
        <v>500</v>
      </c>
      <c r="I71" s="104" t="e">
        <f>VLOOKUP(C71,'[2]IE model  海尔产品'!$A$1:$D$65536,4,0)</f>
        <v>#N/A</v>
      </c>
      <c r="J71" s="104" cm="1">
        <f t="array" ref="J71">INDEX($A$2:$AF$2,MIN(IF(M71:AF71&lt;&gt;0,COLUMN(M71:AF71))))</f>
        <v>46148</v>
      </c>
      <c r="K71" s="100" t="e">
        <f>VLOOKUP(C71,'[2]IE model  海尔产品'!$A$1:$H$65536,8,0)</f>
        <v>#N/A</v>
      </c>
      <c r="L71" s="100" t="e">
        <f>VLOOKUP(C71,'[2]IE model  海尔产品'!$A$1:$I$65536,9,0)</f>
        <v>#N/A</v>
      </c>
      <c r="M71" s="114"/>
      <c r="N71" s="114"/>
      <c r="O71" s="114"/>
      <c r="P71" s="114"/>
      <c r="Q71" s="114"/>
      <c r="R71" s="114"/>
      <c r="S71" s="114"/>
      <c r="T71" s="113">
        <v>500</v>
      </c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5">
        <f t="shared" si="30"/>
        <v>500</v>
      </c>
      <c r="AH71" s="124">
        <f t="shared" si="31"/>
        <v>0</v>
      </c>
      <c r="AI71" s="130"/>
      <c r="AK71" s="125"/>
      <c r="AL71" s="100"/>
      <c r="AM71" s="72" t="e">
        <f>_xlfn.XLOOKUP(C71,'[4]4-30'!$F:$F,'[4]4-30'!$S:$S)</f>
        <v>#N/A</v>
      </c>
    </row>
    <row r="72" spans="2:39" s="72" customFormat="1" x14ac:dyDescent="0.3">
      <c r="B72" s="101" t="s">
        <v>123</v>
      </c>
      <c r="C72" s="100">
        <v>10400033234</v>
      </c>
      <c r="D72" s="105">
        <v>110001292473</v>
      </c>
      <c r="E72" s="102">
        <v>110001292475</v>
      </c>
      <c r="F72" s="100" t="s">
        <v>124</v>
      </c>
      <c r="G72" s="101">
        <v>1000</v>
      </c>
      <c r="H72" s="103">
        <v>1000</v>
      </c>
      <c r="I72" s="104" t="e">
        <f>VLOOKUP(C72,'[2]IE model  海尔产品'!$A$1:$D$65536,4,0)</f>
        <v>#N/A</v>
      </c>
      <c r="J72" s="104" cm="1">
        <f t="array" ref="J72">INDEX($A$2:$AF$2,MIN(IF(M72:AF72&lt;&gt;0,COLUMN(M72:AF72))))</f>
        <v>46148</v>
      </c>
      <c r="K72" s="100" t="e">
        <f>VLOOKUP(C72,'[2]IE model  海尔产品'!$A$1:$H$65536,8,0)</f>
        <v>#N/A</v>
      </c>
      <c r="L72" s="100" t="e">
        <f>VLOOKUP(C72,'[2]IE model  海尔产品'!$A$1:$I$65536,9,0)</f>
        <v>#N/A</v>
      </c>
      <c r="M72" s="114"/>
      <c r="N72" s="114"/>
      <c r="O72" s="114"/>
      <c r="P72" s="114"/>
      <c r="Q72" s="114"/>
      <c r="R72" s="114"/>
      <c r="S72" s="114"/>
      <c r="T72" s="113">
        <v>1000</v>
      </c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5">
        <f t="shared" si="30"/>
        <v>1000</v>
      </c>
      <c r="AH72" s="124">
        <f t="shared" si="31"/>
        <v>0</v>
      </c>
      <c r="AI72" s="130"/>
      <c r="AK72" s="125"/>
      <c r="AL72" s="100"/>
      <c r="AM72" s="72" t="e">
        <f>_xlfn.XLOOKUP(C72,'[4]4-30'!$F:$F,'[4]4-30'!$S:$S)</f>
        <v>#N/A</v>
      </c>
    </row>
    <row r="73" spans="2:39" s="72" customFormat="1" x14ac:dyDescent="0.3">
      <c r="B73" s="101" t="s">
        <v>123</v>
      </c>
      <c r="C73" s="100">
        <v>10400033234</v>
      </c>
      <c r="D73" s="105">
        <v>110001292553</v>
      </c>
      <c r="E73" s="102">
        <v>110001292554</v>
      </c>
      <c r="F73" s="100" t="s">
        <v>124</v>
      </c>
      <c r="G73" s="101">
        <v>700</v>
      </c>
      <c r="H73" s="103">
        <v>700</v>
      </c>
      <c r="I73" s="104" t="e">
        <f>VLOOKUP(C73,'[2]IE model  海尔产品'!$A$1:$D$65536,4,0)</f>
        <v>#N/A</v>
      </c>
      <c r="J73" s="104" cm="1">
        <f t="array" ref="J73">INDEX($A$2:$AF$2,MIN(IF(M73:AF73&lt;&gt;0,COLUMN(M73:AF73))))</f>
        <v>46148</v>
      </c>
      <c r="K73" s="100" t="e">
        <f>VLOOKUP(C73,'[2]IE model  海尔产品'!$A$1:$H$65536,8,0)</f>
        <v>#N/A</v>
      </c>
      <c r="L73" s="100" t="e">
        <f>VLOOKUP(C73,'[2]IE model  海尔产品'!$A$1:$I$65536,9,0)</f>
        <v>#N/A</v>
      </c>
      <c r="M73" s="114"/>
      <c r="N73" s="114"/>
      <c r="O73" s="114"/>
      <c r="P73" s="114"/>
      <c r="Q73" s="114"/>
      <c r="R73" s="114"/>
      <c r="S73" s="114"/>
      <c r="T73" s="113">
        <v>700</v>
      </c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5">
        <f t="shared" si="30"/>
        <v>700</v>
      </c>
      <c r="AH73" s="124">
        <f t="shared" si="31"/>
        <v>0</v>
      </c>
      <c r="AI73" s="130"/>
      <c r="AK73" s="125"/>
      <c r="AL73" s="100"/>
      <c r="AM73" s="72" t="e">
        <f>_xlfn.XLOOKUP(C73,'[4]4-30'!$F:$F,'[4]4-30'!$S:$S)</f>
        <v>#N/A</v>
      </c>
    </row>
    <row r="74" spans="2:39" s="72" customFormat="1" x14ac:dyDescent="0.3">
      <c r="B74" s="101" t="s">
        <v>123</v>
      </c>
      <c r="C74" s="100">
        <v>10400033234</v>
      </c>
      <c r="D74" s="105">
        <v>110001303185</v>
      </c>
      <c r="E74" s="102">
        <v>110001303186</v>
      </c>
      <c r="F74" s="100" t="s">
        <v>124</v>
      </c>
      <c r="G74" s="101">
        <v>300</v>
      </c>
      <c r="H74" s="103">
        <v>300</v>
      </c>
      <c r="I74" s="104" t="e">
        <f>VLOOKUP(C74,'[2]IE model  海尔产品'!$A$1:$D$65536,4,0)</f>
        <v>#N/A</v>
      </c>
      <c r="J74" s="104" cm="1">
        <f t="array" ref="J74">INDEX($A$2:$AF$2,MIN(IF(M74:AF74&lt;&gt;0,COLUMN(M74:AF74))))</f>
        <v>46148</v>
      </c>
      <c r="K74" s="100" t="e">
        <f>VLOOKUP(C74,'[2]IE model  海尔产品'!$A$1:$H$65536,8,0)</f>
        <v>#N/A</v>
      </c>
      <c r="L74" s="100" t="e">
        <f>VLOOKUP(C74,'[2]IE model  海尔产品'!$A$1:$I$65536,9,0)</f>
        <v>#N/A</v>
      </c>
      <c r="M74" s="114"/>
      <c r="N74" s="114"/>
      <c r="O74" s="114"/>
      <c r="P74" s="114"/>
      <c r="Q74" s="114"/>
      <c r="R74" s="114"/>
      <c r="S74" s="114"/>
      <c r="T74" s="113">
        <v>300</v>
      </c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5">
        <f t="shared" si="30"/>
        <v>300</v>
      </c>
      <c r="AH74" s="124">
        <f t="shared" si="31"/>
        <v>0</v>
      </c>
      <c r="AI74" s="130"/>
      <c r="AK74" s="125"/>
      <c r="AL74" s="100"/>
      <c r="AM74" s="72" t="e">
        <f>_xlfn.XLOOKUP(C74,'[4]4-30'!$F:$F,'[4]4-30'!$S:$S)</f>
        <v>#N/A</v>
      </c>
    </row>
    <row r="75" spans="2:39" s="72" customFormat="1" x14ac:dyDescent="0.3">
      <c r="B75" s="101" t="s">
        <v>123</v>
      </c>
      <c r="C75" s="100">
        <v>10400033234</v>
      </c>
      <c r="D75" s="105">
        <v>110001303065</v>
      </c>
      <c r="E75" s="102">
        <v>110001303067</v>
      </c>
      <c r="F75" s="100" t="s">
        <v>124</v>
      </c>
      <c r="G75" s="101">
        <v>2000</v>
      </c>
      <c r="H75" s="103">
        <v>2000</v>
      </c>
      <c r="I75" s="104" t="e">
        <f>VLOOKUP(C75,'[2]IE model  海尔产品'!$A$1:$D$65536,4,0)</f>
        <v>#N/A</v>
      </c>
      <c r="J75" s="104" cm="1">
        <f t="array" ref="J75">INDEX($A$2:$AF$2,MIN(IF(M75:AF75&lt;&gt;0,COLUMN(M75:AF75))))</f>
        <v>46148</v>
      </c>
      <c r="K75" s="100" t="e">
        <f>VLOOKUP(C75,'[2]IE model  海尔产品'!$A$1:$H$65536,8,0)</f>
        <v>#N/A</v>
      </c>
      <c r="L75" s="100" t="e">
        <f>VLOOKUP(C75,'[2]IE model  海尔产品'!$A$1:$I$65536,9,0)</f>
        <v>#N/A</v>
      </c>
      <c r="M75" s="114"/>
      <c r="N75" s="114"/>
      <c r="O75" s="114"/>
      <c r="P75" s="114"/>
      <c r="Q75" s="114"/>
      <c r="R75" s="114"/>
      <c r="S75" s="114"/>
      <c r="T75" s="113">
        <v>2000</v>
      </c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5">
        <f>SUM(M75:AF75)</f>
        <v>2000</v>
      </c>
      <c r="AH75" s="124">
        <f>+H75-AG75</f>
        <v>0</v>
      </c>
      <c r="AI75" s="130"/>
      <c r="AK75" s="125"/>
      <c r="AL75" s="100"/>
      <c r="AM75" s="72" t="e">
        <f>_xlfn.XLOOKUP(C75,'[4]4-30'!$F:$F,'[4]4-30'!$S:$S)</f>
        <v>#N/A</v>
      </c>
    </row>
    <row r="76" spans="2:39" s="72" customFormat="1" x14ac:dyDescent="0.3">
      <c r="B76" s="101" t="s">
        <v>102</v>
      </c>
      <c r="C76" s="100">
        <v>10880037688</v>
      </c>
      <c r="D76" s="105">
        <v>110001299933</v>
      </c>
      <c r="E76" s="102">
        <v>110001299933</v>
      </c>
      <c r="F76" s="100" t="s">
        <v>107</v>
      </c>
      <c r="G76" s="101">
        <v>2000</v>
      </c>
      <c r="H76" s="103">
        <v>2000</v>
      </c>
      <c r="I76" s="104" t="str">
        <f>VLOOKUP(C76,'[2]IE model  海尔产品'!$A$1:$D$65536,4,0)</f>
        <v>1*3</v>
      </c>
      <c r="J76" s="104" cm="1">
        <f t="array" ref="J76">INDEX($A$2:$AF$2,MIN(IF(M76:AF76&lt;&gt;0,COLUMN(M76:AF76))))</f>
        <v>46148</v>
      </c>
      <c r="K76" s="100">
        <f>VLOOKUP(C76,'[2]IE model  海尔产品'!$A$1:$H$65536,8,0)</f>
        <v>480</v>
      </c>
      <c r="L76" s="100">
        <f>VLOOKUP(C76,'[2]IE model  海尔产品'!$A$1:$I$65536,9,0)</f>
        <v>43</v>
      </c>
      <c r="M76" s="114"/>
      <c r="N76" s="114"/>
      <c r="O76" s="114"/>
      <c r="P76" s="114"/>
      <c r="Q76" s="114"/>
      <c r="R76" s="114"/>
      <c r="S76" s="114"/>
      <c r="T76" s="113">
        <v>2000</v>
      </c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5">
        <f t="shared" ref="AG76:AG77" si="32">SUM(M76:AF76)</f>
        <v>2000</v>
      </c>
      <c r="AH76" s="124">
        <f t="shared" ref="AH76:AH77" si="33">+H76-AG76</f>
        <v>0</v>
      </c>
      <c r="AI76" s="130" t="s">
        <v>1818</v>
      </c>
      <c r="AK76" s="125"/>
      <c r="AL76" s="100"/>
      <c r="AM76" s="72" t="e">
        <f>_xlfn.XLOOKUP(C76,'[4]4-30'!$F:$F,'[4]4-30'!$S:$S)</f>
        <v>#N/A</v>
      </c>
    </row>
    <row r="77" spans="2:39" s="72" customFormat="1" x14ac:dyDescent="0.3">
      <c r="B77" s="101" t="s">
        <v>102</v>
      </c>
      <c r="C77" s="100">
        <v>10400032759</v>
      </c>
      <c r="D77" s="105">
        <v>110001299933</v>
      </c>
      <c r="E77" s="102">
        <v>110001299934</v>
      </c>
      <c r="F77" s="100" t="s">
        <v>108</v>
      </c>
      <c r="G77" s="101">
        <v>2000</v>
      </c>
      <c r="H77" s="103">
        <v>2000</v>
      </c>
      <c r="I77" s="104" t="e">
        <f>VLOOKUP(C77,'[2]IE model  海尔产品'!$A$1:$D$65536,4,0)</f>
        <v>#N/A</v>
      </c>
      <c r="J77" s="104" cm="1">
        <f t="array" ref="J77">INDEX($A$2:$AF$2,MIN(IF(M77:AF77&lt;&gt;0,COLUMN(M77:AF77))))</f>
        <v>46148</v>
      </c>
      <c r="K77" s="100" t="e">
        <f>VLOOKUP(C77,'[2]IE model  海尔产品'!$A$1:$H$65536,8,0)</f>
        <v>#N/A</v>
      </c>
      <c r="L77" s="100" t="e">
        <f>VLOOKUP(C77,'[2]IE model  海尔产品'!$A$1:$I$65536,9,0)</f>
        <v>#N/A</v>
      </c>
      <c r="M77" s="114"/>
      <c r="N77" s="114"/>
      <c r="O77" s="114"/>
      <c r="P77" s="114"/>
      <c r="Q77" s="114"/>
      <c r="R77" s="114"/>
      <c r="S77" s="114"/>
      <c r="T77" s="113">
        <v>2000</v>
      </c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5">
        <f t="shared" si="32"/>
        <v>2000</v>
      </c>
      <c r="AH77" s="124">
        <f t="shared" si="33"/>
        <v>0</v>
      </c>
      <c r="AI77" s="130"/>
      <c r="AK77" s="125"/>
      <c r="AL77" s="100"/>
      <c r="AM77" s="72" t="e">
        <f>_xlfn.XLOOKUP(C77,'[4]4-30'!$F:$F,'[4]4-30'!$S:$S)</f>
        <v>#N/A</v>
      </c>
    </row>
    <row r="78" spans="2:39" s="72" customFormat="1" x14ac:dyDescent="0.3">
      <c r="B78" s="101" t="s">
        <v>102</v>
      </c>
      <c r="C78" s="100">
        <v>10880038443</v>
      </c>
      <c r="D78" s="105">
        <v>110001292553</v>
      </c>
      <c r="E78" s="102">
        <v>110001292553</v>
      </c>
      <c r="F78" s="100" t="s">
        <v>146</v>
      </c>
      <c r="G78" s="101">
        <v>700</v>
      </c>
      <c r="H78" s="103">
        <v>700</v>
      </c>
      <c r="I78" s="104" t="str">
        <f>VLOOKUP(C78,'[2]IE model  海尔产品'!$A$1:$D$65536,4,0)</f>
        <v>1*3</v>
      </c>
      <c r="J78" s="104" cm="1">
        <f t="array" ref="J78">INDEX($A$2:$AF$2,MIN(IF(M78:AF78&lt;&gt;0,COLUMN(M78:AF78))))</f>
        <v>46148</v>
      </c>
      <c r="K78" s="100">
        <f>VLOOKUP(C78,'[2]IE model  海尔产品'!$A$1:$H$65536,8,0)</f>
        <v>480</v>
      </c>
      <c r="L78" s="100">
        <f>VLOOKUP(C78,'[2]IE model  海尔产品'!$A$1:$I$65536,9,0)</f>
        <v>43</v>
      </c>
      <c r="M78" s="114"/>
      <c r="N78" s="114"/>
      <c r="O78" s="114"/>
      <c r="P78" s="114"/>
      <c r="Q78" s="114"/>
      <c r="R78" s="114"/>
      <c r="S78" s="114"/>
      <c r="T78" s="113">
        <v>700</v>
      </c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5">
        <f>SUM(M78:AF78)</f>
        <v>700</v>
      </c>
      <c r="AH78" s="124">
        <f>+H78-AG78</f>
        <v>0</v>
      </c>
      <c r="AI78" s="130" t="s">
        <v>1817</v>
      </c>
      <c r="AK78" s="125"/>
      <c r="AL78" s="100"/>
      <c r="AM78" s="72" t="e">
        <f>_xlfn.XLOOKUP(C78,'[4]4-30'!$F:$F,'[4]4-30'!$S:$S)</f>
        <v>#N/A</v>
      </c>
    </row>
    <row r="79" spans="2:39" s="72" customFormat="1" x14ac:dyDescent="0.3">
      <c r="B79" s="101" t="s">
        <v>102</v>
      </c>
      <c r="C79" s="100">
        <v>10400033745</v>
      </c>
      <c r="D79" s="105">
        <v>110001292553</v>
      </c>
      <c r="E79" s="102">
        <v>110001292555</v>
      </c>
      <c r="F79" s="100" t="s">
        <v>1821</v>
      </c>
      <c r="G79" s="101">
        <v>700</v>
      </c>
      <c r="H79" s="103">
        <v>700</v>
      </c>
      <c r="I79" s="104" t="e">
        <f>VLOOKUP(C79,'[2]IE model  海尔产品'!$A$1:$D$65536,4,0)</f>
        <v>#N/A</v>
      </c>
      <c r="J79" s="104" cm="1">
        <f t="array" ref="J79">INDEX($A$2:$AF$2,MIN(IF(M79:AF79&lt;&gt;0,COLUMN(M79:AF79))))</f>
        <v>46148</v>
      </c>
      <c r="K79" s="100" t="e">
        <f>VLOOKUP(C79,'[2]IE model  海尔产品'!$A$1:$H$65536,8,0)</f>
        <v>#N/A</v>
      </c>
      <c r="L79" s="100" t="e">
        <f>VLOOKUP(C79,'[2]IE model  海尔产品'!$A$1:$I$65536,9,0)</f>
        <v>#N/A</v>
      </c>
      <c r="M79" s="114"/>
      <c r="N79" s="114"/>
      <c r="O79" s="114"/>
      <c r="P79" s="114"/>
      <c r="Q79" s="114"/>
      <c r="R79" s="114"/>
      <c r="S79" s="114"/>
      <c r="T79" s="113">
        <v>700</v>
      </c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5">
        <f>SUM(M79:AF79)</f>
        <v>700</v>
      </c>
      <c r="AH79" s="124">
        <f>+H79-AG79</f>
        <v>0</v>
      </c>
      <c r="AI79" s="130"/>
      <c r="AK79" s="125"/>
      <c r="AL79" s="100"/>
      <c r="AM79" s="72" t="e">
        <f>_xlfn.XLOOKUP(C79,'[4]4-30'!$F:$F,'[4]4-30'!$S:$S)</f>
        <v>#N/A</v>
      </c>
    </row>
    <row r="80" spans="2:39" s="72" customFormat="1" x14ac:dyDescent="0.3">
      <c r="B80" s="101" t="s">
        <v>102</v>
      </c>
      <c r="C80" s="100">
        <v>10880038444</v>
      </c>
      <c r="D80" s="105">
        <v>110001303185</v>
      </c>
      <c r="E80" s="102">
        <v>110001303185</v>
      </c>
      <c r="F80" s="100" t="s">
        <v>1822</v>
      </c>
      <c r="G80" s="101">
        <v>300</v>
      </c>
      <c r="H80" s="103">
        <v>300</v>
      </c>
      <c r="I80" s="104" t="str">
        <f>VLOOKUP(C80,'[2]IE model  海尔产品'!$A$1:$D$65536,4,0)</f>
        <v>1*3</v>
      </c>
      <c r="J80" s="104" cm="1">
        <f t="array" ref="J80">INDEX($A$2:$AF$2,MIN(IF(M80:AF80&lt;&gt;0,COLUMN(M80:AF80))))</f>
        <v>46148</v>
      </c>
      <c r="K80" s="100">
        <f>VLOOKUP(C80,'[2]IE model  海尔产品'!$A$1:$H$65536,8,0)</f>
        <v>480</v>
      </c>
      <c r="L80" s="100">
        <f>VLOOKUP(C80,'[2]IE model  海尔产品'!$A$1:$I$65536,9,0)</f>
        <v>43</v>
      </c>
      <c r="M80" s="114"/>
      <c r="N80" s="114"/>
      <c r="O80" s="114"/>
      <c r="P80" s="114"/>
      <c r="Q80" s="114"/>
      <c r="R80" s="114"/>
      <c r="S80" s="114"/>
      <c r="T80" s="113">
        <v>300</v>
      </c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5">
        <f>SUM(M80:AF80)</f>
        <v>300</v>
      </c>
      <c r="AH80" s="124">
        <f>+H80-AG80</f>
        <v>0</v>
      </c>
      <c r="AI80" s="130" t="s">
        <v>1817</v>
      </c>
      <c r="AK80" s="125"/>
      <c r="AL80" s="100"/>
      <c r="AM80" s="72" t="e">
        <f>_xlfn.XLOOKUP(C80,'[4]4-30'!$F:$F,'[4]4-30'!$S:$S)</f>
        <v>#N/A</v>
      </c>
    </row>
    <row r="81" spans="1:39" s="72" customFormat="1" x14ac:dyDescent="0.3">
      <c r="B81" s="101" t="s">
        <v>102</v>
      </c>
      <c r="C81" s="100">
        <v>10400033747</v>
      </c>
      <c r="D81" s="105">
        <v>110001303185</v>
      </c>
      <c r="E81" s="102">
        <v>110001303187</v>
      </c>
      <c r="F81" s="100" t="s">
        <v>1823</v>
      </c>
      <c r="G81" s="101">
        <v>300</v>
      </c>
      <c r="H81" s="103">
        <v>300</v>
      </c>
      <c r="I81" s="104" t="e">
        <f>VLOOKUP(C81,'[2]IE model  海尔产品'!$A$1:$D$65536,4,0)</f>
        <v>#N/A</v>
      </c>
      <c r="J81" s="104" cm="1">
        <f t="array" ref="J81">INDEX($A$2:$AF$2,MIN(IF(M81:AF81&lt;&gt;0,COLUMN(M81:AF81))))</f>
        <v>46148</v>
      </c>
      <c r="K81" s="100" t="e">
        <f>VLOOKUP(C81,'[2]IE model  海尔产品'!$A$1:$H$65536,8,0)</f>
        <v>#N/A</v>
      </c>
      <c r="L81" s="100" t="e">
        <f>VLOOKUP(C81,'[2]IE model  海尔产品'!$A$1:$I$65536,9,0)</f>
        <v>#N/A</v>
      </c>
      <c r="M81" s="114"/>
      <c r="N81" s="114"/>
      <c r="O81" s="114"/>
      <c r="P81" s="114"/>
      <c r="Q81" s="114"/>
      <c r="R81" s="114"/>
      <c r="S81" s="114"/>
      <c r="T81" s="113">
        <v>300</v>
      </c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5">
        <f>SUM(M81:AF81)</f>
        <v>300</v>
      </c>
      <c r="AH81" s="124">
        <f>+H81-AG81</f>
        <v>0</v>
      </c>
      <c r="AI81" s="130"/>
      <c r="AK81" s="125"/>
      <c r="AL81" s="100"/>
      <c r="AM81" s="72" t="e">
        <f>_xlfn.XLOOKUP(C81,'[4]4-30'!$F:$F,'[4]4-30'!$S:$S)</f>
        <v>#N/A</v>
      </c>
    </row>
    <row r="82" spans="1:39" s="72" customFormat="1" x14ac:dyDescent="0.3">
      <c r="B82" s="101" t="s">
        <v>102</v>
      </c>
      <c r="C82" s="100">
        <v>10880038598</v>
      </c>
      <c r="D82" s="105">
        <v>110001292573</v>
      </c>
      <c r="E82" s="102">
        <v>110001292573</v>
      </c>
      <c r="F82" s="100" t="s">
        <v>1819</v>
      </c>
      <c r="G82" s="101">
        <v>800</v>
      </c>
      <c r="H82" s="103">
        <v>800</v>
      </c>
      <c r="I82" s="104" t="str">
        <f>VLOOKUP(C82,'[2]IE model  海尔产品'!$A$1:$D$65536,4,0)</f>
        <v>1*3</v>
      </c>
      <c r="J82" s="104" cm="1">
        <f t="array" ref="J82">INDEX($A$2:$AF$2,MIN(IF(M82:AF82&lt;&gt;0,COLUMN(M82:AF82))))</f>
        <v>46149</v>
      </c>
      <c r="K82" s="100">
        <f>VLOOKUP(C82,'[2]IE model  海尔产品'!$A$1:$H$65536,8,0)</f>
        <v>240</v>
      </c>
      <c r="L82" s="100">
        <f>VLOOKUP(C82,'[2]IE model  海尔产品'!$A$1:$I$65536,9,0)</f>
        <v>33</v>
      </c>
      <c r="M82" s="114"/>
      <c r="N82" s="114"/>
      <c r="O82" s="114"/>
      <c r="P82" s="114"/>
      <c r="Q82" s="114"/>
      <c r="R82" s="114"/>
      <c r="S82" s="114"/>
      <c r="T82" s="113"/>
      <c r="U82" s="114">
        <v>800</v>
      </c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5">
        <f t="shared" ref="AG82:AG87" si="34">SUM(M82:AF82)</f>
        <v>800</v>
      </c>
      <c r="AH82" s="124">
        <f t="shared" ref="AH82:AH87" si="35">+H82-AG82</f>
        <v>0</v>
      </c>
      <c r="AI82" s="130" t="s">
        <v>1817</v>
      </c>
      <c r="AK82" s="125"/>
      <c r="AL82" s="100"/>
      <c r="AM82" s="72" t="e">
        <f>_xlfn.XLOOKUP(C82,'[4]4-30'!$F:$F,'[4]4-30'!$S:$S)</f>
        <v>#N/A</v>
      </c>
    </row>
    <row r="83" spans="1:39" s="72" customFormat="1" x14ac:dyDescent="0.3">
      <c r="B83" s="101" t="s">
        <v>102</v>
      </c>
      <c r="C83" s="100">
        <v>10400033935</v>
      </c>
      <c r="D83" s="105">
        <v>110001292573</v>
      </c>
      <c r="E83" s="102">
        <v>110001292575</v>
      </c>
      <c r="F83" s="100" t="s">
        <v>1820</v>
      </c>
      <c r="G83" s="101">
        <v>800</v>
      </c>
      <c r="H83" s="103">
        <v>800</v>
      </c>
      <c r="I83" s="104" t="e">
        <f>VLOOKUP(C83,'[2]IE model  海尔产品'!$A$1:$D$65536,4,0)</f>
        <v>#N/A</v>
      </c>
      <c r="J83" s="104" cm="1">
        <f t="array" ref="J83">INDEX($A$2:$AF$2,MIN(IF(M83:AF83&lt;&gt;0,COLUMN(M83:AF83))))</f>
        <v>46149</v>
      </c>
      <c r="K83" s="100" t="e">
        <f>VLOOKUP(C83,'[2]IE model  海尔产品'!$A$1:$H$65536,8,0)</f>
        <v>#N/A</v>
      </c>
      <c r="L83" s="100" t="e">
        <f>VLOOKUP(C83,'[2]IE model  海尔产品'!$A$1:$I$65536,9,0)</f>
        <v>#N/A</v>
      </c>
      <c r="M83" s="114"/>
      <c r="N83" s="114"/>
      <c r="O83" s="114"/>
      <c r="P83" s="114"/>
      <c r="Q83" s="114"/>
      <c r="R83" s="114"/>
      <c r="S83" s="114"/>
      <c r="T83" s="113"/>
      <c r="U83" s="114">
        <v>800</v>
      </c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5">
        <f t="shared" si="34"/>
        <v>800</v>
      </c>
      <c r="AH83" s="124">
        <f t="shared" si="35"/>
        <v>0</v>
      </c>
      <c r="AI83" s="130"/>
      <c r="AK83" s="125"/>
      <c r="AL83" s="100"/>
      <c r="AM83" s="72" t="e">
        <f>_xlfn.XLOOKUP(C83,'[4]4-30'!$F:$F,'[4]4-30'!$S:$S)</f>
        <v>#N/A</v>
      </c>
    </row>
    <row r="84" spans="1:39" s="72" customFormat="1" x14ac:dyDescent="0.3">
      <c r="B84" s="101" t="s">
        <v>102</v>
      </c>
      <c r="C84" s="100">
        <v>10880038600</v>
      </c>
      <c r="D84" s="105">
        <v>110001292589</v>
      </c>
      <c r="E84" s="102">
        <v>110001292589</v>
      </c>
      <c r="F84" s="100" t="s">
        <v>136</v>
      </c>
      <c r="G84" s="101">
        <v>500</v>
      </c>
      <c r="H84" s="103">
        <v>500</v>
      </c>
      <c r="I84" s="104" t="str">
        <f>VLOOKUP(C84,'[2]IE model  海尔产品'!$A$1:$D$65536,4,0)</f>
        <v>1*3</v>
      </c>
      <c r="J84" s="104" cm="1">
        <f t="array" ref="J84">INDEX($A$2:$AF$2,MIN(IF(M84:AF84&lt;&gt;0,COLUMN(M84:AF84))))</f>
        <v>46149</v>
      </c>
      <c r="K84" s="100">
        <f>VLOOKUP(C84,'[2]IE model  海尔产品'!$A$1:$H$65536,8,0)</f>
        <v>240</v>
      </c>
      <c r="L84" s="100">
        <f>VLOOKUP(C84,'[2]IE model  海尔产品'!$A$1:$I$65536,9,0)</f>
        <v>33</v>
      </c>
      <c r="M84" s="114"/>
      <c r="N84" s="114"/>
      <c r="O84" s="114"/>
      <c r="P84" s="114"/>
      <c r="Q84" s="114"/>
      <c r="R84" s="114"/>
      <c r="S84" s="114"/>
      <c r="T84" s="113"/>
      <c r="U84" s="114">
        <v>500</v>
      </c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5">
        <f t="shared" si="34"/>
        <v>500</v>
      </c>
      <c r="AH84" s="124">
        <f t="shared" si="35"/>
        <v>0</v>
      </c>
      <c r="AI84" s="130" t="s">
        <v>1817</v>
      </c>
      <c r="AK84" s="125"/>
      <c r="AL84" s="100"/>
      <c r="AM84" s="72" t="e">
        <f>_xlfn.XLOOKUP(C84,'[4]4-30'!$F:$F,'[4]4-30'!$S:$S)</f>
        <v>#N/A</v>
      </c>
    </row>
    <row r="85" spans="1:39" s="72" customFormat="1" x14ac:dyDescent="0.3">
      <c r="B85" s="101" t="s">
        <v>102</v>
      </c>
      <c r="C85" s="100">
        <v>10400033939</v>
      </c>
      <c r="D85" s="105">
        <v>110001292589</v>
      </c>
      <c r="E85" s="102">
        <v>110001292591</v>
      </c>
      <c r="F85" s="100" t="s">
        <v>137</v>
      </c>
      <c r="G85" s="101">
        <v>500</v>
      </c>
      <c r="H85" s="103">
        <v>500</v>
      </c>
      <c r="I85" s="104" t="e">
        <f>VLOOKUP(C85,'[2]IE model  海尔产品'!$A$1:$D$65536,4,0)</f>
        <v>#N/A</v>
      </c>
      <c r="J85" s="104" cm="1">
        <f t="array" ref="J85">INDEX($A$2:$AF$2,MIN(IF(M85:AF85&lt;&gt;0,COLUMN(M85:AF85))))</f>
        <v>46149</v>
      </c>
      <c r="K85" s="100" t="e">
        <f>VLOOKUP(C85,'[2]IE model  海尔产品'!$A$1:$H$65536,8,0)</f>
        <v>#N/A</v>
      </c>
      <c r="L85" s="100" t="e">
        <f>VLOOKUP(C85,'[2]IE model  海尔产品'!$A$1:$I$65536,9,0)</f>
        <v>#N/A</v>
      </c>
      <c r="M85" s="114"/>
      <c r="N85" s="114"/>
      <c r="O85" s="114"/>
      <c r="P85" s="114"/>
      <c r="Q85" s="114"/>
      <c r="R85" s="114"/>
      <c r="S85" s="114"/>
      <c r="T85" s="113"/>
      <c r="U85" s="114">
        <v>500</v>
      </c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5">
        <f t="shared" si="34"/>
        <v>500</v>
      </c>
      <c r="AH85" s="124">
        <f t="shared" si="35"/>
        <v>0</v>
      </c>
      <c r="AI85" s="130"/>
      <c r="AK85" s="125"/>
      <c r="AL85" s="100"/>
      <c r="AM85" s="72" t="e">
        <f>_xlfn.XLOOKUP(C85,'[4]4-30'!$F:$F,'[4]4-30'!$S:$S)</f>
        <v>#N/A</v>
      </c>
    </row>
    <row r="86" spans="1:39" s="72" customFormat="1" x14ac:dyDescent="0.3">
      <c r="B86" s="101" t="s">
        <v>102</v>
      </c>
      <c r="C86" s="100">
        <v>10880037661</v>
      </c>
      <c r="D86" s="105">
        <v>110001292473</v>
      </c>
      <c r="E86" s="102">
        <v>110001292473</v>
      </c>
      <c r="F86" s="100" t="s">
        <v>105</v>
      </c>
      <c r="G86" s="101">
        <v>1000</v>
      </c>
      <c r="H86" s="103">
        <v>1000</v>
      </c>
      <c r="I86" s="104" t="str">
        <f>VLOOKUP(C86,'[2]IE model  海尔产品'!$A$1:$D$65536,4,0)</f>
        <v>1*3</v>
      </c>
      <c r="J86" s="104" cm="1">
        <f t="array" ref="J86">INDEX($A$2:$AF$2,MIN(IF(M86:AF86&lt;&gt;0,COLUMN(M86:AF86))))</f>
        <v>46149</v>
      </c>
      <c r="K86" s="100">
        <f>VLOOKUP(C86,'[2]IE model  海尔产品'!$A$1:$H$65536,8,0)</f>
        <v>480</v>
      </c>
      <c r="L86" s="100">
        <f>VLOOKUP(C86,'[2]IE model  海尔产品'!$A$1:$I$65536,9,0)</f>
        <v>43</v>
      </c>
      <c r="M86" s="114"/>
      <c r="N86" s="114"/>
      <c r="O86" s="114"/>
      <c r="P86" s="114"/>
      <c r="Q86" s="114"/>
      <c r="R86" s="114"/>
      <c r="S86" s="114"/>
      <c r="T86" s="113"/>
      <c r="U86" s="114">
        <v>1000</v>
      </c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5">
        <f t="shared" si="34"/>
        <v>1000</v>
      </c>
      <c r="AH86" s="124">
        <f t="shared" si="35"/>
        <v>0</v>
      </c>
      <c r="AI86" s="130" t="s">
        <v>1824</v>
      </c>
      <c r="AK86" s="125"/>
      <c r="AL86" s="100"/>
      <c r="AM86" s="72" t="e">
        <f>_xlfn.XLOOKUP(C86,'[4]4-30'!$F:$F,'[4]4-30'!$S:$S)</f>
        <v>#N/A</v>
      </c>
    </row>
    <row r="87" spans="1:39" s="72" customFormat="1" x14ac:dyDescent="0.3">
      <c r="B87" s="101" t="s">
        <v>102</v>
      </c>
      <c r="C87" s="100">
        <v>10400032702</v>
      </c>
      <c r="D87" s="105">
        <v>110001292473</v>
      </c>
      <c r="E87" s="102">
        <v>110001292474</v>
      </c>
      <c r="F87" s="100" t="s">
        <v>106</v>
      </c>
      <c r="G87" s="101">
        <v>1000</v>
      </c>
      <c r="H87" s="103">
        <v>1000</v>
      </c>
      <c r="I87" s="104" t="e">
        <f>VLOOKUP(C87,'[2]IE model  海尔产品'!$A$1:$D$65536,4,0)</f>
        <v>#N/A</v>
      </c>
      <c r="J87" s="104" cm="1">
        <f t="array" ref="J87">INDEX($A$2:$AF$2,MIN(IF(M87:AF87&lt;&gt;0,COLUMN(M87:AF87))))</f>
        <v>46149</v>
      </c>
      <c r="K87" s="100" t="e">
        <f>VLOOKUP(C87,'[2]IE model  海尔产品'!$A$1:$H$65536,8,0)</f>
        <v>#N/A</v>
      </c>
      <c r="L87" s="100" t="e">
        <f>VLOOKUP(C87,'[2]IE model  海尔产品'!$A$1:$I$65536,9,0)</f>
        <v>#N/A</v>
      </c>
      <c r="M87" s="114"/>
      <c r="N87" s="114"/>
      <c r="O87" s="114"/>
      <c r="P87" s="114"/>
      <c r="Q87" s="114"/>
      <c r="R87" s="114"/>
      <c r="S87" s="114"/>
      <c r="T87" s="113"/>
      <c r="U87" s="114">
        <v>1000</v>
      </c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5">
        <f t="shared" si="34"/>
        <v>1000</v>
      </c>
      <c r="AH87" s="124">
        <f t="shared" si="35"/>
        <v>0</v>
      </c>
      <c r="AI87" s="130"/>
      <c r="AK87" s="125"/>
      <c r="AL87" s="100"/>
      <c r="AM87" s="72" t="e">
        <f>_xlfn.XLOOKUP(C87,'[4]4-30'!$F:$F,'[4]4-30'!$S:$S)</f>
        <v>#N/A</v>
      </c>
    </row>
    <row r="88" spans="1:39" s="72" customFormat="1" x14ac:dyDescent="0.3">
      <c r="B88" s="101" t="s">
        <v>102</v>
      </c>
      <c r="C88" s="100">
        <v>10880037023</v>
      </c>
      <c r="D88" s="105">
        <v>110001303065</v>
      </c>
      <c r="E88" s="102">
        <v>110001303065</v>
      </c>
      <c r="F88" s="100" t="s">
        <v>117</v>
      </c>
      <c r="G88" s="101">
        <v>2000</v>
      </c>
      <c r="H88" s="103">
        <v>2000</v>
      </c>
      <c r="I88" s="104" t="str">
        <f>VLOOKUP(C88,'[2]IE model  海尔产品'!$A$1:$D$65536,4,0)</f>
        <v>1*3</v>
      </c>
      <c r="J88" s="104" cm="1">
        <f t="array" ref="J88">INDEX($A$2:$AF$2,MIN(IF(M88:AF88&lt;&gt;0,COLUMN(M88:AF88))))</f>
        <v>46149</v>
      </c>
      <c r="K88" s="100">
        <f>VLOOKUP(C88,'[2]IE model  海尔产品'!$A$1:$H$65536,8,0)</f>
        <v>480</v>
      </c>
      <c r="L88" s="100">
        <f>VLOOKUP(C88,'[2]IE model  海尔产品'!$A$1:$I$65536,9,0)</f>
        <v>43</v>
      </c>
      <c r="M88" s="114"/>
      <c r="N88" s="114"/>
      <c r="O88" s="114"/>
      <c r="P88" s="114"/>
      <c r="Q88" s="114"/>
      <c r="R88" s="114"/>
      <c r="S88" s="114"/>
      <c r="T88" s="113"/>
      <c r="U88" s="114">
        <v>1400</v>
      </c>
      <c r="V88" s="113">
        <v>600</v>
      </c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5">
        <f>SUM(M88:AF88)</f>
        <v>2000</v>
      </c>
      <c r="AH88" s="124">
        <f>+H88-AG88</f>
        <v>0</v>
      </c>
      <c r="AI88" s="130"/>
      <c r="AK88" s="125"/>
      <c r="AL88" s="100"/>
      <c r="AM88" s="72" t="e">
        <f>_xlfn.XLOOKUP(C88,'[4]4-30'!$F:$F,'[4]4-30'!$S:$S)</f>
        <v>#N/A</v>
      </c>
    </row>
    <row r="89" spans="1:39" s="72" customFormat="1" x14ac:dyDescent="0.3">
      <c r="B89" s="101" t="s">
        <v>102</v>
      </c>
      <c r="C89" s="100">
        <v>10400031868</v>
      </c>
      <c r="D89" s="105">
        <v>110001303065</v>
      </c>
      <c r="E89" s="102">
        <v>110001303066</v>
      </c>
      <c r="F89" s="100" t="s">
        <v>118</v>
      </c>
      <c r="G89" s="101">
        <v>2000</v>
      </c>
      <c r="H89" s="103">
        <v>2000</v>
      </c>
      <c r="I89" s="104" t="e">
        <f>VLOOKUP(C89,'[2]IE model  海尔产品'!$A$1:$D$65536,4,0)</f>
        <v>#N/A</v>
      </c>
      <c r="J89" s="104" cm="1">
        <f t="array" ref="J89">INDEX($A$2:$AF$2,MIN(IF(M89:AF89&lt;&gt;0,COLUMN(M89:AF89))))</f>
        <v>46149</v>
      </c>
      <c r="K89" s="100" t="e">
        <f>VLOOKUP(C89,'[2]IE model  海尔产品'!$A$1:$H$65536,8,0)</f>
        <v>#N/A</v>
      </c>
      <c r="L89" s="100" t="e">
        <f>VLOOKUP(C89,'[2]IE model  海尔产品'!$A$1:$I$65536,9,0)</f>
        <v>#N/A</v>
      </c>
      <c r="M89" s="114"/>
      <c r="N89" s="114"/>
      <c r="O89" s="114"/>
      <c r="P89" s="114"/>
      <c r="Q89" s="114"/>
      <c r="R89" s="114"/>
      <c r="S89" s="114"/>
      <c r="T89" s="113"/>
      <c r="U89" s="114"/>
      <c r="V89" s="113">
        <v>2000</v>
      </c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5">
        <f>SUM(M89:AF89)</f>
        <v>2000</v>
      </c>
      <c r="AH89" s="124">
        <f>+H89-AG89</f>
        <v>0</v>
      </c>
      <c r="AI89" s="130"/>
      <c r="AK89" s="125"/>
      <c r="AL89" s="100"/>
      <c r="AM89" s="72" t="e">
        <f>_xlfn.XLOOKUP(C89,'[4]4-30'!$F:$F,'[4]4-30'!$S:$S)</f>
        <v>#N/A</v>
      </c>
    </row>
    <row r="90" spans="1:39" s="74" customFormat="1" ht="13.25" customHeight="1" x14ac:dyDescent="0.3">
      <c r="A90" s="72" t="e">
        <f>VLOOKUP(C90,'[1]青岛4 (2)'!$C:$D,2,0)</f>
        <v>#N/A</v>
      </c>
      <c r="B90" s="106" t="s">
        <v>102</v>
      </c>
      <c r="C90" s="105">
        <v>10880038683</v>
      </c>
      <c r="D90" s="105">
        <v>110001303237</v>
      </c>
      <c r="E90" s="105">
        <v>110001303237</v>
      </c>
      <c r="F90" s="106" t="s">
        <v>147</v>
      </c>
      <c r="G90" s="105">
        <v>1010</v>
      </c>
      <c r="H90" s="106">
        <v>1010</v>
      </c>
      <c r="I90" s="104" t="str">
        <f>VLOOKUP(C90,'[2]IE model  海尔产品'!$A$1:$D$65536,4,0)</f>
        <v>1*3</v>
      </c>
      <c r="J90" s="104" cm="1">
        <f t="array" ref="J90">INDEX($A$2:$AF$2,MIN(IF(M90:AF90&lt;&gt;0,COLUMN(M90:AF90))))</f>
        <v>46150</v>
      </c>
      <c r="K90" s="100">
        <f>VLOOKUP(C90,'[2]IE model  海尔产品'!$A$1:$H$65536,8,0)</f>
        <v>200</v>
      </c>
      <c r="L90" s="100">
        <f>VLOOKUP(C90,'[2]IE model  海尔产品'!$A$1:$I$65536,9,0)</f>
        <v>30</v>
      </c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>
        <v>1010</v>
      </c>
      <c r="X90" s="127"/>
      <c r="Y90" s="127"/>
      <c r="Z90" s="127"/>
      <c r="AA90" s="127"/>
      <c r="AB90" s="127"/>
      <c r="AC90" s="127"/>
      <c r="AD90" s="127"/>
      <c r="AE90" s="127"/>
      <c r="AF90" s="127"/>
      <c r="AG90" s="115">
        <f>SUM(M90:AF90)</f>
        <v>1010</v>
      </c>
      <c r="AH90" s="133">
        <f>+H90-AG90</f>
        <v>0</v>
      </c>
      <c r="AI90" s="134">
        <f>VLOOKUP(E90,[6]Data!$D:$H,5,0)</f>
        <v>46147</v>
      </c>
      <c r="AK90" s="132"/>
      <c r="AL90" s="106"/>
      <c r="AM90" s="72" t="e">
        <f>_xlfn.XLOOKUP(C90,'[4]4-30'!$F:$F,'[4]4-30'!$S:$S)</f>
        <v>#N/A</v>
      </c>
    </row>
    <row r="91" spans="1:39" s="74" customFormat="1" ht="13.25" customHeight="1" x14ac:dyDescent="0.3">
      <c r="A91" s="72" t="e">
        <f>VLOOKUP(C91,'[1]青岛4 (2)'!$C:$D,2,0)</f>
        <v>#N/A</v>
      </c>
      <c r="B91" s="106" t="s">
        <v>102</v>
      </c>
      <c r="C91" s="105">
        <v>10880037662</v>
      </c>
      <c r="D91" s="105">
        <v>110001294968</v>
      </c>
      <c r="E91" s="105">
        <v>110001294968</v>
      </c>
      <c r="F91" s="106" t="s">
        <v>140</v>
      </c>
      <c r="G91" s="105">
        <v>2500</v>
      </c>
      <c r="H91" s="106">
        <v>2500</v>
      </c>
      <c r="I91" s="104" t="str">
        <f>VLOOKUP(C91,'[2]IE model  海尔产品'!$A$1:$D$65536,4,0)</f>
        <v>1*3</v>
      </c>
      <c r="J91" s="104" cm="1">
        <f t="array" ref="J91">INDEX($A$2:$AF$2,MIN(IF(M91:AF91&lt;&gt;0,COLUMN(M91:AF91))))</f>
        <v>46150</v>
      </c>
      <c r="K91" s="100">
        <f>VLOOKUP(C91,'[2]IE model  海尔产品'!$A$1:$H$65536,8,0)</f>
        <v>480</v>
      </c>
      <c r="L91" s="100">
        <f>VLOOKUP(C91,'[2]IE model  海尔产品'!$A$1:$I$65536,9,0)</f>
        <v>43</v>
      </c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>
        <v>2500</v>
      </c>
      <c r="X91" s="127"/>
      <c r="Y91" s="127"/>
      <c r="Z91" s="127"/>
      <c r="AA91" s="127"/>
      <c r="AB91" s="127"/>
      <c r="AC91" s="127"/>
      <c r="AD91" s="127"/>
      <c r="AE91" s="127"/>
      <c r="AF91" s="127"/>
      <c r="AG91" s="115">
        <f>SUM(M91:AF91)</f>
        <v>2500</v>
      </c>
      <c r="AH91" s="133">
        <f>+H91-AG91</f>
        <v>0</v>
      </c>
      <c r="AI91" s="134">
        <f>VLOOKUP(E91,[6]Data!$D:$H,5,0)</f>
        <v>46147</v>
      </c>
      <c r="AK91" s="132"/>
      <c r="AL91" s="106"/>
      <c r="AM91" s="72" t="e">
        <f>_xlfn.XLOOKUP(C91,'[4]4-30'!$F:$F,'[4]4-30'!$S:$S)</f>
        <v>#N/A</v>
      </c>
    </row>
    <row r="92" spans="1:39" s="147" customFormat="1" ht="13.25" customHeight="1" x14ac:dyDescent="0.3">
      <c r="A92" s="72" t="e">
        <f>VLOOKUP(C92,'[1]青岛4 (2)'!$C:$D,2,0)</f>
        <v>#N/A</v>
      </c>
      <c r="B92" s="91" t="s">
        <v>150</v>
      </c>
      <c r="C92" s="91"/>
      <c r="D92" s="92"/>
      <c r="E92" s="92"/>
      <c r="F92" s="93"/>
      <c r="G92" s="91"/>
      <c r="H92" s="92"/>
      <c r="I92" s="92"/>
      <c r="J92" s="94"/>
      <c r="K92" s="92"/>
      <c r="L92" s="92"/>
      <c r="M92" s="110">
        <f>SUM(M46:M91)</f>
        <v>7200</v>
      </c>
      <c r="N92" s="110">
        <f>SUM(N46:N91)</f>
        <v>0</v>
      </c>
      <c r="O92" s="110">
        <f>SUM(O46:O91)</f>
        <v>3500</v>
      </c>
      <c r="P92" s="110">
        <f>SUM(P46:P91)</f>
        <v>5001</v>
      </c>
      <c r="Q92" s="110">
        <f>SUM(Q46:Q91)</f>
        <v>7930</v>
      </c>
      <c r="R92" s="110">
        <f>SUM(R46:R91)</f>
        <v>0</v>
      </c>
      <c r="S92" s="110">
        <f>SUM(S46:S91)</f>
        <v>1500</v>
      </c>
      <c r="T92" s="110">
        <f>SUM(T46:T91)</f>
        <v>11300</v>
      </c>
      <c r="U92" s="110">
        <f>SUM(U46:U91)</f>
        <v>6000</v>
      </c>
      <c r="V92" s="110">
        <f>SUM(V46:V91)</f>
        <v>2600</v>
      </c>
      <c r="W92" s="110">
        <f>SUM(W46:W91)</f>
        <v>3510</v>
      </c>
      <c r="X92" s="110">
        <f>SUM(X46:X91)</f>
        <v>0</v>
      </c>
      <c r="Y92" s="110">
        <f>SUM(Y46:Y91)</f>
        <v>0</v>
      </c>
      <c r="Z92" s="110">
        <f>SUM(Z46:Z91)</f>
        <v>0</v>
      </c>
      <c r="AA92" s="110">
        <f>SUM(AA46:AA91)</f>
        <v>0</v>
      </c>
      <c r="AB92" s="110">
        <f>SUM(AB46:AB91)</f>
        <v>0</v>
      </c>
      <c r="AC92" s="110">
        <f>SUM(AC46:AC91)</f>
        <v>0</v>
      </c>
      <c r="AD92" s="110">
        <f>SUM(AD46:AD91)</f>
        <v>0</v>
      </c>
      <c r="AE92" s="110">
        <f>SUM(AE46:AE91)</f>
        <v>0</v>
      </c>
      <c r="AF92" s="110">
        <f>SUM(AF46:AF91)</f>
        <v>0</v>
      </c>
      <c r="AG92" s="110"/>
      <c r="AH92" s="110"/>
      <c r="AI92" s="121"/>
      <c r="AJ92" s="72" t="e">
        <f>VLOOKUP(E92,[5]Data!$D:$D,1,0)</f>
        <v>#N/A</v>
      </c>
      <c r="AK92" s="125" t="e">
        <f>VLOOKUP(AJ92,[5]Data!$D:$I,6,0)</f>
        <v>#N/A</v>
      </c>
      <c r="AL92" s="92"/>
      <c r="AM92" s="72" t="str">
        <f>_xlfn.XLOOKUP(C92,'[4]4-30'!$F:$F,'[4]4-30'!$S:$S)</f>
        <v>备注</v>
      </c>
    </row>
    <row r="93" spans="1:39" s="72" customFormat="1" ht="14" customHeight="1" x14ac:dyDescent="0.3">
      <c r="A93" s="72" t="e">
        <f>VLOOKUP(C93,'[1]青岛4 (2)'!$C:$D,2,0)</f>
        <v>#N/A</v>
      </c>
      <c r="B93" s="100" t="s">
        <v>151</v>
      </c>
      <c r="C93" s="101">
        <v>10880033535</v>
      </c>
      <c r="D93" s="105">
        <v>110001303001</v>
      </c>
      <c r="E93" s="102">
        <v>110001303001</v>
      </c>
      <c r="F93" s="100" t="s">
        <v>157</v>
      </c>
      <c r="G93" s="105">
        <v>2000</v>
      </c>
      <c r="H93" s="103">
        <v>2000</v>
      </c>
      <c r="I93" s="104">
        <f>VLOOKUP(C93,'[2]IE model  海尔产品'!$A$1:$D$65536,4,0)</f>
        <v>2</v>
      </c>
      <c r="J93" s="104" cm="1">
        <f t="array" ref="J93">INDEX($A$2:$AF$2,MIN(IF(M93:AF93&lt;&gt;0,COLUMN(M93:AF93))))</f>
        <v>46142</v>
      </c>
      <c r="K93" s="100">
        <f>VLOOKUP(C93,'[2]IE model  海尔产品'!$A$1:$H$65536,8,0)</f>
        <v>400</v>
      </c>
      <c r="L93" s="100">
        <f>VLOOKUP(C93,'[2]IE model  海尔产品'!$A$1:$I$65536,9,0)</f>
        <v>29</v>
      </c>
      <c r="M93" s="114">
        <v>2000</v>
      </c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5">
        <f t="shared" ref="AG93:AG101" si="36">SUM(M93:AF93)</f>
        <v>2000</v>
      </c>
      <c r="AH93" s="124">
        <f t="shared" ref="AH93:AH101" si="37">+H93-AG93</f>
        <v>0</v>
      </c>
      <c r="AI93" s="125">
        <f>VLOOKUP(E93,[6]Data!$D:$H,5,0)</f>
        <v>46139</v>
      </c>
      <c r="AK93" s="135"/>
      <c r="AL93" s="136"/>
      <c r="AM93" s="72" t="e">
        <f>_xlfn.XLOOKUP(C93,'[4]4-30'!$F:$F,'[4]4-30'!$S:$S)</f>
        <v>#N/A</v>
      </c>
    </row>
    <row r="94" spans="1:39" s="72" customFormat="1" ht="14" customHeight="1" x14ac:dyDescent="0.3">
      <c r="A94" s="72" t="e">
        <f>VLOOKUP(C94,'[1]青岛4 (2)'!$C:$D,2,0)</f>
        <v>#N/A</v>
      </c>
      <c r="B94" s="100" t="s">
        <v>151</v>
      </c>
      <c r="C94" s="101">
        <v>10880033535</v>
      </c>
      <c r="D94" s="105">
        <v>110001288361</v>
      </c>
      <c r="E94" s="102">
        <v>110001288361</v>
      </c>
      <c r="F94" s="100" t="s">
        <v>157</v>
      </c>
      <c r="G94" s="105">
        <v>1500</v>
      </c>
      <c r="H94" s="103">
        <v>1500</v>
      </c>
      <c r="I94" s="104">
        <f>VLOOKUP(C94,'[2]IE model  海尔产品'!$A$1:$D$65536,4,0)</f>
        <v>2</v>
      </c>
      <c r="J94" s="104" cm="1">
        <f t="array" ref="J94">INDEX($A$2:$AF$2,MIN(IF(M94:AF94&lt;&gt;0,COLUMN(M94:AF94))))</f>
        <v>46142</v>
      </c>
      <c r="K94" s="100">
        <f>VLOOKUP(C94,'[2]IE model  海尔产品'!$A$1:$H$65536,8,0)</f>
        <v>400</v>
      </c>
      <c r="L94" s="100">
        <f>VLOOKUP(C94,'[2]IE model  海尔产品'!$A$1:$I$65536,9,0)</f>
        <v>29</v>
      </c>
      <c r="M94" s="114">
        <v>1500</v>
      </c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5">
        <f t="shared" ref="AG94:AG100" si="38">SUM(M94:AF94)</f>
        <v>1500</v>
      </c>
      <c r="AH94" s="124">
        <f t="shared" ref="AH94:AH100" si="39">+H94-AG94</f>
        <v>0</v>
      </c>
      <c r="AI94" s="125" t="s">
        <v>130</v>
      </c>
      <c r="AK94" s="135"/>
      <c r="AL94" s="136"/>
      <c r="AM94" s="72" t="e">
        <f>_xlfn.XLOOKUP(C94,'[4]4-30'!$F:$F,'[4]4-30'!$S:$S)</f>
        <v>#N/A</v>
      </c>
    </row>
    <row r="95" spans="1:39" s="72" customFormat="1" ht="14" customHeight="1" x14ac:dyDescent="0.3">
      <c r="A95" s="72" t="e">
        <f>VLOOKUP(C95,'[1]青岛4 (2)'!$C:$D,2,0)</f>
        <v>#N/A</v>
      </c>
      <c r="B95" s="100" t="s">
        <v>151</v>
      </c>
      <c r="C95" s="101">
        <v>10880035235</v>
      </c>
      <c r="D95" s="105">
        <v>110001267297</v>
      </c>
      <c r="E95" s="102">
        <v>110001267297</v>
      </c>
      <c r="F95" s="100" t="s">
        <v>159</v>
      </c>
      <c r="G95" s="105">
        <v>784</v>
      </c>
      <c r="H95" s="103">
        <v>784</v>
      </c>
      <c r="I95" s="104" t="str">
        <f>VLOOKUP(C95,'[2]IE model  海尔产品'!$A$1:$D$65536,4,0)</f>
        <v>1*56</v>
      </c>
      <c r="J95" s="104" cm="1">
        <f t="array" ref="J95">INDEX($A$2:$AF$2,MIN(IF(M95:AF95&lt;&gt;0,COLUMN(M95:AF95))))</f>
        <v>46146</v>
      </c>
      <c r="K95" s="100">
        <f>VLOOKUP(C95,'[2]IE model  海尔产品'!$A$1:$H$65536,8,0)</f>
        <v>360</v>
      </c>
      <c r="L95" s="100">
        <f>VLOOKUP(C95,'[2]IE model  海尔产品'!$A$1:$I$65536,9,0)</f>
        <v>21</v>
      </c>
      <c r="M95" s="114"/>
      <c r="N95" s="114"/>
      <c r="O95" s="114">
        <v>784</v>
      </c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5">
        <f t="shared" si="38"/>
        <v>784</v>
      </c>
      <c r="AH95" s="124">
        <f t="shared" si="39"/>
        <v>0</v>
      </c>
      <c r="AI95" s="125">
        <f>VLOOKUP(E95,[6]Data!$D:$H,5,0)</f>
        <v>46149</v>
      </c>
      <c r="AK95" s="135"/>
      <c r="AL95" s="136"/>
      <c r="AM95" s="72" t="e">
        <f>_xlfn.XLOOKUP(C95,'[4]4-30'!$F:$F,'[4]4-30'!$S:$S)</f>
        <v>#N/A</v>
      </c>
    </row>
    <row r="96" spans="1:39" s="72" customFormat="1" ht="14" customHeight="1" x14ac:dyDescent="0.3">
      <c r="A96" s="72" t="e">
        <f>VLOOKUP(C96,'[1]青岛4 (2)'!$C:$D,2,0)</f>
        <v>#N/A</v>
      </c>
      <c r="B96" s="100" t="s">
        <v>151</v>
      </c>
      <c r="C96" s="101">
        <v>10880034669</v>
      </c>
      <c r="D96" s="105">
        <v>110001304437</v>
      </c>
      <c r="E96" s="102">
        <v>110001304437</v>
      </c>
      <c r="F96" s="100" t="s">
        <v>153</v>
      </c>
      <c r="G96" s="105">
        <v>20004</v>
      </c>
      <c r="H96" s="103">
        <v>20004</v>
      </c>
      <c r="I96" s="104" t="str">
        <f>VLOOKUP(C96,'[2]IE model  海尔产品'!$A$1:$D$65536,4,0)</f>
        <v>1*6</v>
      </c>
      <c r="J96" s="104" cm="1">
        <f t="array" ref="J96">INDEX($A$2:$AF$2,MIN(IF(M96:AF96&lt;&gt;0,COLUMN(M96:AF96))))</f>
        <v>46146</v>
      </c>
      <c r="K96" s="100">
        <f>VLOOKUP(C96,'[2]IE model  海尔产品'!$A$1:$H$65536,8,0)</f>
        <v>800</v>
      </c>
      <c r="L96" s="100">
        <f>VLOOKUP(C96,'[2]IE model  海尔产品'!$A$1:$I$65536,9,0)</f>
        <v>43</v>
      </c>
      <c r="M96" s="114"/>
      <c r="N96" s="114"/>
      <c r="O96" s="114">
        <v>7404</v>
      </c>
      <c r="P96" s="114"/>
      <c r="Q96" s="114">
        <v>9600</v>
      </c>
      <c r="R96" s="114"/>
      <c r="S96" s="114">
        <v>3000</v>
      </c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5">
        <f t="shared" si="38"/>
        <v>20004</v>
      </c>
      <c r="AH96" s="124">
        <f t="shared" si="39"/>
        <v>0</v>
      </c>
      <c r="AI96" s="125">
        <f>VLOOKUP(E96,[6]Data!$D:$H,5,0)</f>
        <v>46148</v>
      </c>
      <c r="AK96" s="135"/>
      <c r="AL96" s="136"/>
      <c r="AM96" s="72" t="e">
        <f>_xlfn.XLOOKUP(C96,'[4]4-30'!$F:$F,'[4]4-30'!$S:$S)</f>
        <v>#N/A</v>
      </c>
    </row>
    <row r="97" spans="1:16370" s="72" customFormat="1" ht="14" customHeight="1" x14ac:dyDescent="0.3">
      <c r="B97" s="100" t="s">
        <v>151</v>
      </c>
      <c r="C97" s="101">
        <v>10880014363</v>
      </c>
      <c r="D97" s="105">
        <v>110001315930</v>
      </c>
      <c r="E97" s="145">
        <v>110001315930</v>
      </c>
      <c r="F97" s="100" t="s">
        <v>713</v>
      </c>
      <c r="G97" s="105">
        <v>200</v>
      </c>
      <c r="H97" s="103">
        <v>200</v>
      </c>
      <c r="I97" s="104" t="str">
        <f>VLOOKUP(C97,'[2]IE model  海尔产品'!$A$1:$D$65536,4,0)</f>
        <v>1*5</v>
      </c>
      <c r="J97" s="104" cm="1">
        <f t="array" ref="J97">INDEX($A$2:$AF$2,MIN(IF(M97:AF97&lt;&gt;0,COLUMN(M97:AF97))))</f>
        <v>46148</v>
      </c>
      <c r="K97" s="100">
        <f>VLOOKUP(C97,'[2]IE model  海尔产品'!$A$1:$H$65536,8,0)</f>
        <v>400</v>
      </c>
      <c r="L97" s="100">
        <f>VLOOKUP(C97,'[2]IE model  海尔产品'!$A$1:$I$65536,9,0)</f>
        <v>33</v>
      </c>
      <c r="M97" s="114"/>
      <c r="N97" s="114"/>
      <c r="O97" s="114"/>
      <c r="P97" s="114"/>
      <c r="Q97" s="114"/>
      <c r="R97" s="114"/>
      <c r="S97" s="114">
        <v>200</v>
      </c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5">
        <f t="shared" ref="AG97" si="40">SUM(M97:AF97)</f>
        <v>200</v>
      </c>
      <c r="AH97" s="124">
        <f t="shared" ref="AH97" si="41">+H97-AG97</f>
        <v>0</v>
      </c>
      <c r="AI97" s="125">
        <v>46148</v>
      </c>
      <c r="AK97" s="135"/>
      <c r="AL97" s="136"/>
      <c r="AM97" s="72" t="e">
        <f>_xlfn.XLOOKUP(C97,'[4]4-30'!$F:$F,'[4]4-30'!$S:$S)</f>
        <v>#N/A</v>
      </c>
    </row>
    <row r="98" spans="1:16370" s="72" customFormat="1" ht="14" customHeight="1" x14ac:dyDescent="0.3">
      <c r="A98" s="72" t="e">
        <f>VLOOKUP(C98,'[1]青岛4 (2)'!$C:$D,2,0)</f>
        <v>#N/A</v>
      </c>
      <c r="B98" s="100" t="s">
        <v>151</v>
      </c>
      <c r="C98" s="101">
        <v>10880028834</v>
      </c>
      <c r="D98" s="105">
        <v>110001288287</v>
      </c>
      <c r="E98" s="102">
        <v>110001288287</v>
      </c>
      <c r="F98" s="100" t="s">
        <v>250</v>
      </c>
      <c r="G98" s="105">
        <v>400</v>
      </c>
      <c r="H98" s="103">
        <v>400</v>
      </c>
      <c r="I98" s="104" t="str">
        <f>VLOOKUP(C98,'[2]IE model  海尔产品'!$A$1:$D$65536,4,0)</f>
        <v>1*2</v>
      </c>
      <c r="J98" s="104" cm="1">
        <f t="array" ref="J98">INDEX($A$2:$AF$2,MIN(IF(M98:AF98&lt;&gt;0,COLUMN(M98:AF98))))</f>
        <v>46148</v>
      </c>
      <c r="K98" s="100">
        <f>VLOOKUP(C98,'[2]IE model  海尔产品'!$A$1:$H$65536,8,0)</f>
        <v>700</v>
      </c>
      <c r="L98" s="100">
        <f>VLOOKUP(C98,'[2]IE model  海尔产品'!$A$1:$I$65536,9,0)</f>
        <v>30</v>
      </c>
      <c r="M98" s="114"/>
      <c r="N98" s="114"/>
      <c r="O98" s="114"/>
      <c r="P98" s="114"/>
      <c r="Q98" s="114"/>
      <c r="R98" s="114"/>
      <c r="S98" s="114">
        <v>400</v>
      </c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5">
        <f t="shared" si="38"/>
        <v>400</v>
      </c>
      <c r="AH98" s="146">
        <f t="shared" si="39"/>
        <v>0</v>
      </c>
      <c r="AI98" s="125">
        <v>46155</v>
      </c>
      <c r="AK98" s="135"/>
      <c r="AL98" s="136"/>
      <c r="AM98" s="72" t="str">
        <f>_xlfn.XLOOKUP(C98,'[4]4-30'!$F:$F,'[4]4-30'!$S:$S)</f>
        <v>在制400--5/13入库</v>
      </c>
    </row>
    <row r="99" spans="1:16370" s="72" customFormat="1" x14ac:dyDescent="0.3">
      <c r="A99" s="72" t="e">
        <f>VLOOKUP(C99,'[1]青岛4 (2)'!$C:$D,2,0)</f>
        <v>#N/A</v>
      </c>
      <c r="B99" s="100" t="s">
        <v>151</v>
      </c>
      <c r="C99" s="100">
        <v>10880031072</v>
      </c>
      <c r="D99" s="105">
        <v>110001310943</v>
      </c>
      <c r="E99" s="102">
        <v>110001310943</v>
      </c>
      <c r="F99" s="100" t="s">
        <v>579</v>
      </c>
      <c r="G99" s="101">
        <v>3000</v>
      </c>
      <c r="H99" s="103">
        <v>3000</v>
      </c>
      <c r="I99" s="104" t="str">
        <f>VLOOKUP(C99,'[2]IE model  海尔产品'!$A$1:$D$65536,4,0)</f>
        <v>1*10</v>
      </c>
      <c r="J99" s="104" cm="1">
        <f t="array" ref="J99">INDEX($A$2:$AF$2,MIN(IF(M99:AF99&lt;&gt;0,COLUMN(M99:AF99))))</f>
        <v>46148</v>
      </c>
      <c r="K99" s="100">
        <f>VLOOKUP(C99,'[2]IE model  海尔产品'!$A$1:$H$65536,8,0)</f>
        <v>360</v>
      </c>
      <c r="L99" s="100">
        <f>VLOOKUP(C99,'[2]IE model  海尔产品'!$A$1:$I$65536,9,0)</f>
        <v>27</v>
      </c>
      <c r="M99" s="114"/>
      <c r="N99" s="114"/>
      <c r="O99" s="114"/>
      <c r="P99" s="114"/>
      <c r="Q99" s="114"/>
      <c r="R99" s="114"/>
      <c r="S99" s="114">
        <v>3000</v>
      </c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5">
        <f t="shared" si="38"/>
        <v>3000</v>
      </c>
      <c r="AH99" s="124">
        <f t="shared" si="39"/>
        <v>0</v>
      </c>
      <c r="AI99" s="130"/>
      <c r="AK99" s="125"/>
      <c r="AL99" s="100"/>
      <c r="AM99" s="72" t="e">
        <f>_xlfn.XLOOKUP(C99,'[4]4-30'!$F:$F,'[4]4-30'!$S:$S)</f>
        <v>#N/A</v>
      </c>
    </row>
    <row r="100" spans="1:16370" s="72" customFormat="1" ht="14" customHeight="1" x14ac:dyDescent="0.3">
      <c r="A100" s="72" t="e">
        <f>VLOOKUP(C100,'[1]青岛4 (2)'!$C:$D,2,0)</f>
        <v>#N/A</v>
      </c>
      <c r="B100" s="100" t="s">
        <v>151</v>
      </c>
      <c r="C100" s="101">
        <v>10880032885</v>
      </c>
      <c r="D100" s="105">
        <v>110001305153</v>
      </c>
      <c r="E100" s="102">
        <v>110001305153</v>
      </c>
      <c r="F100" s="100" t="s">
        <v>156</v>
      </c>
      <c r="G100" s="105">
        <v>2300</v>
      </c>
      <c r="H100" s="103">
        <v>2300</v>
      </c>
      <c r="I100" s="104" t="str">
        <f>VLOOKUP(C100,'[2]IE model  海尔产品'!$A$1:$D$65536,4,0)</f>
        <v>1*1</v>
      </c>
      <c r="J100" s="104" cm="1">
        <f t="array" ref="J100">INDEX($A$2:$AF$2,MIN(IF(M100:AF100&lt;&gt;0,COLUMN(M100:AF100))))</f>
        <v>46149</v>
      </c>
      <c r="K100" s="100">
        <f>VLOOKUP(C100,'[2]IE model  海尔产品'!$A$1:$H$65536,8,0)</f>
        <v>120</v>
      </c>
      <c r="L100" s="100">
        <f>VLOOKUP(C100,'[2]IE model  海尔产品'!$A$1:$I$65536,9,0)</f>
        <v>34</v>
      </c>
      <c r="M100" s="114"/>
      <c r="N100" s="114"/>
      <c r="O100" s="114"/>
      <c r="P100" s="114"/>
      <c r="Q100" s="114"/>
      <c r="R100" s="114"/>
      <c r="S100" s="114"/>
      <c r="T100" s="114"/>
      <c r="U100" s="114">
        <v>2300</v>
      </c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5">
        <f t="shared" si="38"/>
        <v>2300</v>
      </c>
      <c r="AH100" s="124">
        <f t="shared" si="39"/>
        <v>0</v>
      </c>
      <c r="AI100" s="125">
        <f>VLOOKUP(E100,[6]Data!$D:$H,5,0)</f>
        <v>46146</v>
      </c>
      <c r="AK100" s="135"/>
      <c r="AL100" s="136"/>
      <c r="AM100" s="72" t="e">
        <f>_xlfn.XLOOKUP(C100,'[4]4-30'!$F:$F,'[4]4-30'!$S:$S)</f>
        <v>#N/A</v>
      </c>
    </row>
    <row r="101" spans="1:16370" s="72" customFormat="1" ht="14" customHeight="1" x14ac:dyDescent="0.3">
      <c r="A101" s="72" t="e">
        <f>VLOOKUP(C101,'[1]青岛4 (2)'!$C:$D,2,0)</f>
        <v>#N/A</v>
      </c>
      <c r="B101" s="100" t="s">
        <v>151</v>
      </c>
      <c r="C101" s="101">
        <v>10880033535</v>
      </c>
      <c r="D101" s="105">
        <v>110001311373</v>
      </c>
      <c r="E101" s="102">
        <v>110001311373</v>
      </c>
      <c r="F101" s="100" t="s">
        <v>157</v>
      </c>
      <c r="G101" s="105">
        <v>1000</v>
      </c>
      <c r="H101" s="103">
        <v>1000</v>
      </c>
      <c r="I101" s="104">
        <f>VLOOKUP(C101,'[2]IE model  海尔产品'!$A$1:$D$65536,4,0)</f>
        <v>2</v>
      </c>
      <c r="J101" s="104" cm="1">
        <f t="array" ref="J101">INDEX($A$2:$AF$2,MIN(IF(M101:AF101&lt;&gt;0,COLUMN(M101:AF101))))</f>
        <v>46150</v>
      </c>
      <c r="K101" s="100">
        <f>VLOOKUP(C101,'[2]IE model  海尔产品'!$A$1:$H$65536,8,0)</f>
        <v>400</v>
      </c>
      <c r="L101" s="100">
        <f>VLOOKUP(C101,'[2]IE model  海尔产品'!$A$1:$I$65536,9,0)</f>
        <v>29</v>
      </c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>
        <v>1000</v>
      </c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5">
        <f t="shared" si="36"/>
        <v>1000</v>
      </c>
      <c r="AH101" s="124">
        <f t="shared" si="37"/>
        <v>0</v>
      </c>
      <c r="AI101" s="125">
        <f>VLOOKUP(E101,[6]Data!$D:$H,5,0)</f>
        <v>46148</v>
      </c>
      <c r="AK101" s="135"/>
      <c r="AL101" s="136"/>
      <c r="AM101" s="72" t="e">
        <f>_xlfn.XLOOKUP(C101,'[4]4-30'!$F:$F,'[4]4-30'!$S:$S)</f>
        <v>#N/A</v>
      </c>
    </row>
    <row r="102" spans="1:16370" s="74" customFormat="1" ht="14" customHeight="1" x14ac:dyDescent="0.3">
      <c r="B102" s="106" t="s">
        <v>151</v>
      </c>
      <c r="C102" s="105">
        <v>10880031871</v>
      </c>
      <c r="D102" s="105">
        <v>110001270366</v>
      </c>
      <c r="E102" s="105">
        <v>110001270366</v>
      </c>
      <c r="F102" s="106" t="s">
        <v>154</v>
      </c>
      <c r="G102" s="105">
        <v>1000</v>
      </c>
      <c r="H102" s="105">
        <v>1000</v>
      </c>
      <c r="I102" s="126" t="str">
        <f>VLOOKUP(C102,'[2]IE model  海尔产品'!$A$1:$D$65536,4,0)</f>
        <v>1*3</v>
      </c>
      <c r="J102" s="104" t="e" cm="1" vm="1">
        <f t="array" aca="1" ref="J102" ca="1">INDEX($A$2:$AF$2,MIN(IF(M102:AF102&lt;&gt;0,COLUMN(M102:AF102))))</f>
        <v>#VALUE!</v>
      </c>
      <c r="K102" s="106">
        <f>VLOOKUP(C102,'[2]IE model  海尔产品'!$A$1:$H$65536,8,0)</f>
        <v>200</v>
      </c>
      <c r="L102" s="106">
        <f>VLOOKUP(C102,'[2]IE model  海尔产品'!$A$1:$I$65536,9,0)</f>
        <v>31</v>
      </c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7">
        <f t="shared" ref="AG102" si="42">SUM(M102:AF102)</f>
        <v>0</v>
      </c>
      <c r="AH102" s="131">
        <f t="shared" ref="AH102" si="43">+H102-AG102</f>
        <v>1000</v>
      </c>
      <c r="AI102" s="132">
        <v>46151</v>
      </c>
      <c r="AK102" s="143"/>
      <c r="AL102" s="144"/>
      <c r="AM102" s="72" t="e">
        <f>_xlfn.XLOOKUP(C102,'[4]4-30'!$F:$F,'[4]4-30'!$S:$S)</f>
        <v>#N/A</v>
      </c>
    </row>
    <row r="103" spans="1:16370" s="74" customFormat="1" ht="13.5" customHeight="1" x14ac:dyDescent="0.3">
      <c r="A103" s="72" t="e">
        <f>VLOOKUP(C103,'[1]青岛4 (2)'!$C:$D,2,0)</f>
        <v>#N/A</v>
      </c>
      <c r="B103" s="100" t="s">
        <v>151</v>
      </c>
      <c r="C103" s="105">
        <v>10880035045</v>
      </c>
      <c r="D103" s="105">
        <v>110001311392</v>
      </c>
      <c r="E103" s="105">
        <v>110001311392</v>
      </c>
      <c r="F103" s="106" t="s">
        <v>158</v>
      </c>
      <c r="G103" s="105">
        <v>1160</v>
      </c>
      <c r="H103" s="106">
        <v>1160</v>
      </c>
      <c r="I103" s="104" t="str">
        <f>VLOOKUP(C103,'[2]IE model  海尔产品'!$A$1:$D$65536,4,0)</f>
        <v>1*4
1*2</v>
      </c>
      <c r="J103" s="104" t="e" cm="1" vm="1">
        <f t="array" aca="1" ref="J103" ca="1">INDEX($A$2:$AF$2,MIN(IF(M103:AF103&lt;&gt;0,COLUMN(M103:AF103))))</f>
        <v>#VALUE!</v>
      </c>
      <c r="K103" s="100">
        <f>VLOOKUP(C103,'[2]IE model  海尔产品'!$A$1:$H$65536,8,0)</f>
        <v>100</v>
      </c>
      <c r="L103" s="100">
        <f>VLOOKUP(C103,'[2]IE model  海尔产品'!$A$1:$I$65536,9,0)</f>
        <v>40</v>
      </c>
      <c r="M103" s="127"/>
      <c r="N103" s="127"/>
      <c r="O103" s="127"/>
      <c r="P103" s="127"/>
      <c r="Q103" s="127"/>
      <c r="R103" s="127"/>
      <c r="S103" s="127"/>
      <c r="T103" s="127"/>
      <c r="U103" s="114"/>
      <c r="V103" s="127"/>
      <c r="W103" s="114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15">
        <f>SUM(M103:AF103)</f>
        <v>0</v>
      </c>
      <c r="AH103" s="133">
        <f>+H103-AG103</f>
        <v>1160</v>
      </c>
      <c r="AI103" s="134">
        <f>VLOOKUP(E103,[6]Data!$D:$H,5,0)</f>
        <v>46140</v>
      </c>
      <c r="AK103" s="132"/>
      <c r="AL103" s="106"/>
      <c r="AM103" s="72" t="e">
        <f>_xlfn.XLOOKUP(C103,'[4]4-30'!$F:$F,'[4]4-30'!$S:$S)</f>
        <v>#N/A</v>
      </c>
    </row>
    <row r="104" spans="1:16370" s="147" customFormat="1" ht="13.25" customHeight="1" x14ac:dyDescent="0.3">
      <c r="A104" s="72" t="e">
        <f>VLOOKUP(C104,'[1]青岛4 (2)'!$C:$D,2,0)</f>
        <v>#N/A</v>
      </c>
      <c r="B104" s="91" t="s">
        <v>160</v>
      </c>
      <c r="C104" s="91"/>
      <c r="D104" s="93"/>
      <c r="E104" s="93"/>
      <c r="F104" s="93"/>
      <c r="G104" s="91"/>
      <c r="H104" s="92"/>
      <c r="I104" s="92"/>
      <c r="J104" s="94"/>
      <c r="K104" s="92"/>
      <c r="L104" s="92"/>
      <c r="M104" s="110">
        <f t="shared" ref="M104:AF104" si="44">SUM(M93:M103)</f>
        <v>3500</v>
      </c>
      <c r="N104" s="110">
        <f t="shared" si="44"/>
        <v>0</v>
      </c>
      <c r="O104" s="110">
        <f t="shared" si="44"/>
        <v>8188</v>
      </c>
      <c r="P104" s="110">
        <f t="shared" si="44"/>
        <v>0</v>
      </c>
      <c r="Q104" s="110">
        <f t="shared" si="44"/>
        <v>9600</v>
      </c>
      <c r="R104" s="110">
        <f t="shared" si="44"/>
        <v>0</v>
      </c>
      <c r="S104" s="110">
        <f t="shared" si="44"/>
        <v>6600</v>
      </c>
      <c r="T104" s="110">
        <f t="shared" si="44"/>
        <v>0</v>
      </c>
      <c r="U104" s="110">
        <f t="shared" si="44"/>
        <v>2300</v>
      </c>
      <c r="V104" s="110">
        <f t="shared" si="44"/>
        <v>0</v>
      </c>
      <c r="W104" s="110">
        <f t="shared" si="44"/>
        <v>1000</v>
      </c>
      <c r="X104" s="110">
        <f t="shared" si="44"/>
        <v>0</v>
      </c>
      <c r="Y104" s="110">
        <f t="shared" si="44"/>
        <v>0</v>
      </c>
      <c r="Z104" s="110">
        <f t="shared" si="44"/>
        <v>0</v>
      </c>
      <c r="AA104" s="110">
        <f t="shared" si="44"/>
        <v>0</v>
      </c>
      <c r="AB104" s="110">
        <f t="shared" si="44"/>
        <v>0</v>
      </c>
      <c r="AC104" s="110">
        <f t="shared" si="44"/>
        <v>0</v>
      </c>
      <c r="AD104" s="110">
        <f t="shared" si="44"/>
        <v>0</v>
      </c>
      <c r="AE104" s="110">
        <f t="shared" si="44"/>
        <v>0</v>
      </c>
      <c r="AF104" s="110">
        <f t="shared" si="44"/>
        <v>0</v>
      </c>
      <c r="AG104" s="110"/>
      <c r="AH104" s="110"/>
      <c r="AI104" s="121"/>
      <c r="AJ104" s="72" t="e">
        <f>VLOOKUP(E104,[5]Data!$D:$D,1,0)</f>
        <v>#N/A</v>
      </c>
      <c r="AK104" s="125" t="e">
        <f>VLOOKUP(AJ104,[5]Data!$D:$I,6,0)</f>
        <v>#N/A</v>
      </c>
      <c r="AL104" s="92"/>
      <c r="AM104" s="72" t="str">
        <f>_xlfn.XLOOKUP(C104,'[4]4-30'!$F:$F,'[4]4-30'!$S:$S)</f>
        <v>备注</v>
      </c>
    </row>
    <row r="105" spans="1:16370" s="72" customFormat="1" ht="14" customHeight="1" x14ac:dyDescent="0.3">
      <c r="A105" s="72" t="e">
        <f>VLOOKUP(C105,'[1]青岛4 (2)'!$C:$D,2,0)</f>
        <v>#N/A</v>
      </c>
      <c r="B105" s="100" t="s">
        <v>161</v>
      </c>
      <c r="C105" s="101">
        <v>10880017516</v>
      </c>
      <c r="D105" s="105">
        <v>110001306836</v>
      </c>
      <c r="E105" s="102">
        <v>110001306836</v>
      </c>
      <c r="F105" s="100" t="s">
        <v>164</v>
      </c>
      <c r="G105" s="101">
        <v>4000</v>
      </c>
      <c r="H105" s="103">
        <v>800</v>
      </c>
      <c r="I105" s="104" t="str">
        <f>VLOOKUP(C105,'[2]IE model  海尔产品'!$A$1:$D$65536,4,0)</f>
        <v>1*2</v>
      </c>
      <c r="J105" s="104" cm="1">
        <f t="array" ref="J105">INDEX($A$2:$AF$2,MIN(IF(M105:AF105&lt;&gt;0,COLUMN(M105:AF105))))</f>
        <v>46142</v>
      </c>
      <c r="K105" s="100">
        <f>VLOOKUP(C105,'[2]IE model  海尔产品'!$A$1:$H$65536,8,0)</f>
        <v>500</v>
      </c>
      <c r="L105" s="100">
        <f>VLOOKUP(C105,'[2]IE model  海尔产品'!$A$1:$I$65536,9,0)</f>
        <v>26</v>
      </c>
      <c r="M105" s="114">
        <v>800</v>
      </c>
      <c r="N105" s="115"/>
      <c r="O105" s="114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>
        <f t="shared" ref="AG105:AG108" si="45">SUM(M105:AF105)</f>
        <v>800</v>
      </c>
      <c r="AH105" s="124">
        <f t="shared" ref="AH105:AH108" si="46">+H105-AG105</f>
        <v>0</v>
      </c>
      <c r="AI105" s="130" t="s">
        <v>98</v>
      </c>
      <c r="AK105" s="125"/>
      <c r="AL105" s="100"/>
      <c r="AM105" s="72" t="str">
        <f>_xlfn.XLOOKUP(C105,'[4]4-30'!$F:$F,'[4]4-30'!$S:$S)</f>
        <v>在制7600--5/7入完</v>
      </c>
    </row>
    <row r="106" spans="1:16370" s="72" customFormat="1" ht="14" customHeight="1" x14ac:dyDescent="0.3">
      <c r="A106" s="72" t="e">
        <f>VLOOKUP(C106,'[1]青岛4 (2)'!$C:$D,2,0)</f>
        <v>#N/A</v>
      </c>
      <c r="B106" s="100" t="s">
        <v>161</v>
      </c>
      <c r="C106" s="101">
        <v>10880021416</v>
      </c>
      <c r="D106" s="105">
        <v>110001292182</v>
      </c>
      <c r="E106" s="102">
        <v>110001292182</v>
      </c>
      <c r="F106" s="100" t="s">
        <v>174</v>
      </c>
      <c r="G106" s="101">
        <v>400</v>
      </c>
      <c r="H106" s="103">
        <v>400</v>
      </c>
      <c r="I106" s="104" t="str">
        <f>VLOOKUP(C106,'[2]IE model  海尔产品'!$A$1:$D$65536,4,0)</f>
        <v>1*2</v>
      </c>
      <c r="J106" s="104" cm="1">
        <f t="array" ref="J106">INDEX($A$2:$AF$2,MIN(IF(M106:AF106&lt;&gt;0,COLUMN(M106:AF106))))</f>
        <v>46142</v>
      </c>
      <c r="K106" s="100">
        <f>VLOOKUP(C106,'[2]IE model  海尔产品'!$A$1:$H$65536,8,0)</f>
        <v>500</v>
      </c>
      <c r="L106" s="100">
        <f>VLOOKUP(C106,'[2]IE model  海尔产品'!$A$1:$I$65536,9,0)</f>
        <v>30</v>
      </c>
      <c r="M106" s="114">
        <v>400</v>
      </c>
      <c r="N106" s="115"/>
      <c r="O106" s="114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>
        <f t="shared" si="45"/>
        <v>400</v>
      </c>
      <c r="AH106" s="124">
        <f t="shared" si="46"/>
        <v>0</v>
      </c>
      <c r="AI106" s="130" t="s">
        <v>98</v>
      </c>
      <c r="AK106" s="125"/>
      <c r="AL106" s="100"/>
      <c r="AM106" s="72" t="e">
        <f>_xlfn.XLOOKUP(C106,'[4]4-30'!$F:$F,'[4]4-30'!$S:$S)</f>
        <v>#N/A</v>
      </c>
    </row>
    <row r="107" spans="1:16370" s="72" customFormat="1" ht="14" customHeight="1" x14ac:dyDescent="0.3">
      <c r="A107" s="72" t="e">
        <f>VLOOKUP(C107,'[1]青岛4 (2)'!$C:$D,2,0)</f>
        <v>#N/A</v>
      </c>
      <c r="B107" s="100" t="s">
        <v>161</v>
      </c>
      <c r="C107" s="101">
        <v>10880035709</v>
      </c>
      <c r="D107" s="105">
        <v>110001303019</v>
      </c>
      <c r="E107" s="102">
        <v>110001303019</v>
      </c>
      <c r="F107" s="100" t="s">
        <v>175</v>
      </c>
      <c r="G107" s="105">
        <v>1000</v>
      </c>
      <c r="H107" s="103">
        <v>1000</v>
      </c>
      <c r="I107" s="104" t="str">
        <f>VLOOKUP(C107,'[2]IE model  海尔产品'!$A$1:$D$65536,4,0)</f>
        <v>1*10</v>
      </c>
      <c r="J107" s="104" cm="1">
        <f t="array" ref="J107">INDEX($A$2:$AF$2,MIN(IF(M107:AF107&lt;&gt;0,COLUMN(M107:AF107))))</f>
        <v>46142</v>
      </c>
      <c r="K107" s="100">
        <f>VLOOKUP(C107,'[2]IE model  海尔产品'!$A$1:$H$65536,8,0)</f>
        <v>360</v>
      </c>
      <c r="L107" s="100">
        <f>VLOOKUP(C107,'[2]IE model  海尔产品'!$A$1:$I$65536,9,0)</f>
        <v>30</v>
      </c>
      <c r="M107" s="114">
        <v>1000</v>
      </c>
      <c r="N107" s="115"/>
      <c r="O107" s="114"/>
      <c r="P107" s="115"/>
      <c r="Q107" s="114"/>
      <c r="R107" s="115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5">
        <f t="shared" si="45"/>
        <v>1000</v>
      </c>
      <c r="AH107" s="124">
        <f t="shared" si="46"/>
        <v>0</v>
      </c>
      <c r="AI107" s="125">
        <f>VLOOKUP(E107,[6]Data!$D:$H,5,0)</f>
        <v>46142</v>
      </c>
      <c r="AK107" s="135"/>
      <c r="AL107" s="136"/>
      <c r="AM107" s="72" t="e">
        <f>_xlfn.XLOOKUP(C107,'[4]4-30'!$F:$F,'[4]4-30'!$S:$S)</f>
        <v>#N/A</v>
      </c>
    </row>
    <row r="108" spans="1:16370" s="72" customFormat="1" ht="13.5" customHeight="1" x14ac:dyDescent="0.3">
      <c r="A108" s="72" t="e">
        <f>VLOOKUP(C108,'[1]青岛4 (2)'!$C:$D,2,0)</f>
        <v>#N/A</v>
      </c>
      <c r="B108" s="100" t="s">
        <v>161</v>
      </c>
      <c r="C108" s="101">
        <v>10880029054</v>
      </c>
      <c r="D108" s="105">
        <v>110001292196</v>
      </c>
      <c r="E108" s="102">
        <v>110001292196</v>
      </c>
      <c r="F108" s="100" t="s">
        <v>179</v>
      </c>
      <c r="G108" s="100">
        <v>200</v>
      </c>
      <c r="H108" s="103">
        <v>200</v>
      </c>
      <c r="I108" s="104" t="str">
        <f>VLOOKUP(C108,'[2]IE model  海尔产品'!$A$1:$D$65536,4,0)</f>
        <v>1*2</v>
      </c>
      <c r="J108" s="104" cm="1">
        <f t="array" ref="J108">INDEX($A$2:$AF$2,MIN(IF(M108:AF108&lt;&gt;0,COLUMN(M108:AF108))))</f>
        <v>46142</v>
      </c>
      <c r="K108" s="100">
        <f>VLOOKUP(C108,'[2]IE model  海尔产品'!$A$1:$H$65536,8,0)</f>
        <v>350</v>
      </c>
      <c r="L108" s="100">
        <f>VLOOKUP(C108,'[2]IE model  海尔产品'!$A$1:$I$65536,9,0)</f>
        <v>30</v>
      </c>
      <c r="M108" s="115">
        <v>200</v>
      </c>
      <c r="N108" s="115"/>
      <c r="O108" s="114"/>
      <c r="P108" s="124"/>
      <c r="Q108" s="115"/>
      <c r="R108" s="124"/>
      <c r="S108" s="115"/>
      <c r="T108" s="124"/>
      <c r="U108" s="115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15">
        <f t="shared" si="45"/>
        <v>200</v>
      </c>
      <c r="AH108" s="124">
        <f t="shared" si="46"/>
        <v>0</v>
      </c>
      <c r="AI108" s="130">
        <f>VLOOKUP(E108,[6]Data!$D:$H,5,0)</f>
        <v>46138</v>
      </c>
      <c r="AJ108" s="139"/>
      <c r="AK108" s="148"/>
      <c r="AL108" s="148"/>
      <c r="AM108" s="72" t="str">
        <f>_xlfn.XLOOKUP(C108,'[4]4-30'!$F:$F,'[4]4-30'!$S:$S)</f>
        <v>在制1000--5/8入库</v>
      </c>
      <c r="AN108" s="139"/>
      <c r="AO108" s="139"/>
      <c r="AP108" s="139"/>
      <c r="AQ108" s="139"/>
      <c r="AR108" s="139"/>
      <c r="AS108" s="139"/>
      <c r="AT108" s="139"/>
      <c r="AU108" s="139"/>
      <c r="AV108" s="139"/>
      <c r="AW108" s="139"/>
      <c r="AX108" s="139"/>
      <c r="AY108" s="139"/>
      <c r="AZ108" s="139"/>
      <c r="BA108" s="139"/>
      <c r="BB108" s="139"/>
      <c r="BC108" s="139"/>
      <c r="BD108" s="139"/>
      <c r="BE108" s="139"/>
      <c r="BF108" s="139"/>
      <c r="BG108" s="139"/>
      <c r="BH108" s="139"/>
      <c r="BI108" s="139"/>
      <c r="BJ108" s="139"/>
      <c r="BK108" s="139"/>
      <c r="BL108" s="139"/>
      <c r="BM108" s="139"/>
      <c r="BN108" s="139"/>
      <c r="BO108" s="139"/>
      <c r="BP108" s="139"/>
      <c r="BQ108" s="139"/>
      <c r="BR108" s="139"/>
      <c r="BS108" s="139"/>
      <c r="BT108" s="139"/>
      <c r="BU108" s="139"/>
      <c r="BV108" s="139"/>
      <c r="BW108" s="139"/>
      <c r="BX108" s="139"/>
      <c r="BY108" s="139"/>
      <c r="BZ108" s="139"/>
      <c r="CA108" s="139"/>
      <c r="CB108" s="139"/>
      <c r="CC108" s="139"/>
      <c r="CD108" s="139"/>
      <c r="CE108" s="139"/>
      <c r="CF108" s="139"/>
      <c r="CG108" s="139"/>
      <c r="CH108" s="139"/>
      <c r="CI108" s="139"/>
      <c r="CJ108" s="139"/>
      <c r="CK108" s="139"/>
      <c r="CL108" s="139"/>
      <c r="CM108" s="139"/>
      <c r="CN108" s="139"/>
      <c r="CO108" s="139"/>
      <c r="CP108" s="139"/>
      <c r="CQ108" s="139"/>
      <c r="CR108" s="139"/>
      <c r="CS108" s="139"/>
      <c r="CT108" s="139"/>
      <c r="CU108" s="139"/>
      <c r="CV108" s="139"/>
      <c r="CW108" s="139"/>
      <c r="CX108" s="139"/>
      <c r="CY108" s="139"/>
      <c r="CZ108" s="139"/>
      <c r="DA108" s="139"/>
      <c r="DB108" s="139"/>
      <c r="DC108" s="139"/>
      <c r="DD108" s="139"/>
      <c r="DE108" s="139"/>
      <c r="DF108" s="139"/>
      <c r="DG108" s="139"/>
      <c r="DH108" s="139"/>
      <c r="DI108" s="139"/>
      <c r="DJ108" s="139"/>
      <c r="DK108" s="139"/>
      <c r="DL108" s="139"/>
      <c r="DM108" s="139"/>
      <c r="DN108" s="139"/>
      <c r="DO108" s="139"/>
      <c r="DP108" s="139"/>
      <c r="DQ108" s="139"/>
      <c r="DR108" s="139"/>
      <c r="DS108" s="139"/>
      <c r="DT108" s="139"/>
      <c r="DU108" s="139"/>
      <c r="DV108" s="139"/>
      <c r="DW108" s="139"/>
      <c r="DX108" s="139"/>
      <c r="DY108" s="139"/>
      <c r="DZ108" s="139"/>
      <c r="EA108" s="139"/>
      <c r="EB108" s="139"/>
      <c r="EC108" s="139"/>
      <c r="ED108" s="139"/>
      <c r="EE108" s="139"/>
      <c r="EF108" s="139"/>
      <c r="EG108" s="139"/>
      <c r="EH108" s="139"/>
      <c r="EI108" s="139"/>
      <c r="EJ108" s="139"/>
      <c r="EK108" s="139"/>
      <c r="EL108" s="139"/>
      <c r="EM108" s="139"/>
      <c r="EN108" s="139"/>
      <c r="EO108" s="139"/>
      <c r="EP108" s="139"/>
      <c r="EQ108" s="139"/>
      <c r="ER108" s="139"/>
      <c r="ES108" s="139"/>
      <c r="ET108" s="139"/>
      <c r="EU108" s="139"/>
      <c r="EV108" s="139"/>
      <c r="EW108" s="139"/>
      <c r="EX108" s="139"/>
      <c r="EY108" s="139"/>
      <c r="EZ108" s="139"/>
      <c r="FA108" s="139"/>
      <c r="FB108" s="139"/>
      <c r="FC108" s="139"/>
      <c r="FD108" s="139"/>
      <c r="FE108" s="139"/>
      <c r="FF108" s="139"/>
      <c r="FG108" s="139"/>
      <c r="FH108" s="139"/>
      <c r="FI108" s="139"/>
      <c r="FJ108" s="139"/>
      <c r="FK108" s="139"/>
      <c r="FL108" s="139"/>
      <c r="FM108" s="139"/>
      <c r="FN108" s="139"/>
      <c r="FO108" s="139"/>
      <c r="FP108" s="139"/>
      <c r="FQ108" s="139"/>
      <c r="FR108" s="139"/>
      <c r="FS108" s="139"/>
      <c r="FT108" s="139"/>
      <c r="FU108" s="139"/>
      <c r="FV108" s="139"/>
      <c r="FW108" s="139"/>
      <c r="FX108" s="139"/>
      <c r="FY108" s="139"/>
      <c r="FZ108" s="139"/>
      <c r="GA108" s="139"/>
      <c r="GB108" s="139"/>
      <c r="GC108" s="139"/>
      <c r="GD108" s="139"/>
      <c r="GE108" s="139"/>
      <c r="GF108" s="139"/>
      <c r="GG108" s="139"/>
      <c r="GH108" s="139"/>
      <c r="GI108" s="139"/>
      <c r="GJ108" s="139"/>
      <c r="GK108" s="139"/>
      <c r="GL108" s="139"/>
      <c r="GM108" s="139"/>
      <c r="GN108" s="139"/>
      <c r="GO108" s="139"/>
      <c r="GP108" s="139"/>
      <c r="GQ108" s="139"/>
      <c r="GR108" s="139"/>
      <c r="GS108" s="139"/>
      <c r="GT108" s="139"/>
      <c r="GU108" s="139"/>
      <c r="GV108" s="139"/>
      <c r="GW108" s="139"/>
      <c r="GX108" s="139"/>
      <c r="GY108" s="139"/>
      <c r="GZ108" s="139"/>
      <c r="HA108" s="139"/>
      <c r="HB108" s="139"/>
      <c r="HC108" s="139"/>
      <c r="HD108" s="139"/>
      <c r="HE108" s="139"/>
      <c r="HF108" s="139"/>
      <c r="HG108" s="139"/>
      <c r="HH108" s="139"/>
      <c r="HI108" s="139"/>
      <c r="HJ108" s="139"/>
      <c r="HK108" s="139"/>
      <c r="HL108" s="139"/>
      <c r="HM108" s="139"/>
      <c r="HN108" s="139"/>
      <c r="HO108" s="139"/>
      <c r="HP108" s="139"/>
      <c r="HQ108" s="139"/>
      <c r="HR108" s="139"/>
      <c r="HS108" s="139"/>
      <c r="HT108" s="139"/>
      <c r="HU108" s="139"/>
      <c r="HV108" s="139"/>
      <c r="HW108" s="139"/>
      <c r="HX108" s="139"/>
      <c r="HY108" s="139"/>
      <c r="HZ108" s="139"/>
      <c r="IA108" s="139"/>
      <c r="IB108" s="139"/>
      <c r="IC108" s="139"/>
      <c r="ID108" s="139"/>
      <c r="IE108" s="139"/>
      <c r="IF108" s="139"/>
      <c r="IG108" s="139"/>
      <c r="IH108" s="139"/>
      <c r="II108" s="139"/>
      <c r="IJ108" s="139"/>
      <c r="IK108" s="139"/>
      <c r="IL108" s="139"/>
      <c r="IM108" s="139"/>
      <c r="IN108" s="139"/>
      <c r="IO108" s="139"/>
      <c r="IP108" s="139"/>
      <c r="IQ108" s="139"/>
      <c r="IR108" s="139"/>
      <c r="IS108" s="139"/>
      <c r="IT108" s="139"/>
      <c r="IU108" s="139"/>
      <c r="IV108" s="139"/>
      <c r="IW108" s="139"/>
      <c r="IX108" s="139"/>
      <c r="IY108" s="139"/>
      <c r="IZ108" s="139"/>
      <c r="JA108" s="139"/>
      <c r="JB108" s="139"/>
      <c r="JC108" s="139"/>
      <c r="JD108" s="139"/>
      <c r="JE108" s="139"/>
      <c r="JF108" s="139"/>
      <c r="JG108" s="139"/>
      <c r="JH108" s="139"/>
      <c r="JI108" s="139"/>
      <c r="JJ108" s="139"/>
      <c r="JK108" s="139"/>
      <c r="JL108" s="139"/>
      <c r="JM108" s="139"/>
      <c r="JN108" s="139"/>
      <c r="JO108" s="139"/>
      <c r="JP108" s="139"/>
      <c r="JQ108" s="139"/>
      <c r="JR108" s="139"/>
      <c r="JS108" s="139"/>
      <c r="JT108" s="139"/>
      <c r="JU108" s="139"/>
      <c r="JV108" s="139"/>
      <c r="JW108" s="139"/>
      <c r="JX108" s="139"/>
      <c r="JY108" s="139"/>
      <c r="JZ108" s="139"/>
      <c r="KA108" s="139"/>
      <c r="KB108" s="139"/>
      <c r="KC108" s="139"/>
      <c r="KD108" s="139"/>
      <c r="KE108" s="139"/>
      <c r="KF108" s="139"/>
      <c r="KG108" s="139"/>
      <c r="KH108" s="139"/>
      <c r="KI108" s="139"/>
      <c r="KJ108" s="139"/>
      <c r="KK108" s="139"/>
      <c r="KL108" s="139"/>
      <c r="KM108" s="139"/>
      <c r="KN108" s="139"/>
      <c r="KO108" s="139"/>
      <c r="KP108" s="139"/>
      <c r="KQ108" s="139"/>
      <c r="KR108" s="139"/>
      <c r="KS108" s="139"/>
      <c r="KT108" s="139"/>
      <c r="KU108" s="139"/>
      <c r="KV108" s="139"/>
      <c r="KW108" s="139"/>
      <c r="KX108" s="139"/>
      <c r="KY108" s="139"/>
      <c r="KZ108" s="139"/>
      <c r="LA108" s="139"/>
      <c r="LB108" s="139"/>
      <c r="LC108" s="139"/>
      <c r="LD108" s="139"/>
      <c r="LE108" s="139"/>
      <c r="LF108" s="139"/>
      <c r="LG108" s="139"/>
      <c r="LH108" s="139"/>
      <c r="LI108" s="139"/>
      <c r="LJ108" s="139"/>
      <c r="LK108" s="139"/>
      <c r="LL108" s="139"/>
      <c r="LM108" s="139"/>
      <c r="LN108" s="139"/>
      <c r="LO108" s="139"/>
      <c r="LP108" s="139"/>
      <c r="LQ108" s="139"/>
      <c r="LR108" s="139"/>
      <c r="LS108" s="139"/>
      <c r="LT108" s="139"/>
      <c r="LU108" s="139"/>
      <c r="LV108" s="139"/>
      <c r="LW108" s="139"/>
      <c r="LX108" s="139"/>
      <c r="LY108" s="139"/>
      <c r="LZ108" s="139"/>
      <c r="MA108" s="139"/>
      <c r="MB108" s="139"/>
      <c r="MC108" s="139"/>
      <c r="MD108" s="139"/>
      <c r="ME108" s="139"/>
      <c r="MF108" s="139"/>
      <c r="MG108" s="139"/>
      <c r="MH108" s="139"/>
      <c r="MI108" s="139"/>
      <c r="MJ108" s="139"/>
      <c r="MK108" s="139"/>
      <c r="ML108" s="139"/>
      <c r="MM108" s="139"/>
      <c r="MN108" s="139"/>
      <c r="MO108" s="139"/>
      <c r="MP108" s="139"/>
      <c r="MQ108" s="139"/>
      <c r="MR108" s="139"/>
      <c r="MS108" s="139"/>
      <c r="MT108" s="139"/>
      <c r="MU108" s="139"/>
      <c r="MV108" s="139"/>
      <c r="MW108" s="139"/>
      <c r="MX108" s="139"/>
      <c r="MY108" s="139"/>
      <c r="MZ108" s="139"/>
      <c r="NA108" s="139"/>
      <c r="NB108" s="139"/>
      <c r="NC108" s="139"/>
      <c r="ND108" s="139"/>
      <c r="NE108" s="139"/>
      <c r="NF108" s="139"/>
      <c r="NG108" s="139"/>
      <c r="NH108" s="139"/>
      <c r="NI108" s="139"/>
      <c r="NJ108" s="139"/>
      <c r="NK108" s="139"/>
      <c r="NL108" s="139"/>
      <c r="NM108" s="139"/>
      <c r="NN108" s="139"/>
      <c r="NO108" s="139"/>
      <c r="NP108" s="139"/>
      <c r="NQ108" s="139"/>
      <c r="NR108" s="139"/>
      <c r="NS108" s="139"/>
      <c r="NT108" s="139"/>
      <c r="NU108" s="139"/>
      <c r="NV108" s="139"/>
      <c r="NW108" s="139"/>
      <c r="NX108" s="139"/>
      <c r="NY108" s="139"/>
      <c r="NZ108" s="139"/>
      <c r="OA108" s="139"/>
      <c r="OB108" s="139"/>
      <c r="OC108" s="139"/>
      <c r="OD108" s="139"/>
      <c r="OE108" s="139"/>
      <c r="OF108" s="139"/>
      <c r="OG108" s="139"/>
      <c r="OH108" s="139"/>
      <c r="OI108" s="139"/>
      <c r="OJ108" s="139"/>
      <c r="OK108" s="139"/>
      <c r="OL108" s="139"/>
      <c r="OM108" s="139"/>
      <c r="ON108" s="139"/>
      <c r="OO108" s="139"/>
      <c r="OP108" s="139"/>
      <c r="OQ108" s="139"/>
      <c r="OR108" s="139"/>
      <c r="OS108" s="139"/>
      <c r="OT108" s="139"/>
      <c r="OU108" s="139"/>
      <c r="OV108" s="139"/>
      <c r="OW108" s="139"/>
      <c r="OX108" s="139"/>
      <c r="OY108" s="139"/>
      <c r="OZ108" s="139"/>
      <c r="PA108" s="139"/>
      <c r="PB108" s="139"/>
      <c r="PC108" s="139"/>
      <c r="PD108" s="139"/>
      <c r="PE108" s="139"/>
      <c r="PF108" s="139"/>
      <c r="PG108" s="139"/>
      <c r="PH108" s="139"/>
      <c r="PI108" s="139"/>
      <c r="PJ108" s="139"/>
      <c r="PK108" s="139"/>
      <c r="PL108" s="139"/>
      <c r="PM108" s="139"/>
      <c r="PN108" s="139"/>
      <c r="PO108" s="139"/>
      <c r="PP108" s="139"/>
      <c r="PQ108" s="139"/>
      <c r="PR108" s="139"/>
      <c r="PS108" s="139"/>
      <c r="PT108" s="139"/>
      <c r="PU108" s="139"/>
      <c r="PV108" s="139"/>
      <c r="PW108" s="139"/>
      <c r="PX108" s="139"/>
      <c r="PY108" s="139"/>
      <c r="PZ108" s="139"/>
      <c r="QA108" s="139"/>
      <c r="QB108" s="139"/>
      <c r="QC108" s="139"/>
      <c r="QD108" s="139"/>
      <c r="QE108" s="139"/>
      <c r="QF108" s="139"/>
      <c r="QG108" s="139"/>
      <c r="QH108" s="139"/>
      <c r="QI108" s="139"/>
      <c r="QJ108" s="139"/>
      <c r="QK108" s="139"/>
      <c r="QL108" s="139"/>
      <c r="QM108" s="139"/>
      <c r="QN108" s="139"/>
      <c r="QO108" s="139"/>
      <c r="QP108" s="139"/>
      <c r="QQ108" s="139"/>
      <c r="QR108" s="139"/>
      <c r="QS108" s="139"/>
      <c r="QT108" s="139"/>
      <c r="QU108" s="139"/>
      <c r="QV108" s="139"/>
      <c r="QW108" s="139"/>
      <c r="QX108" s="139"/>
      <c r="QY108" s="139"/>
      <c r="QZ108" s="139"/>
      <c r="RA108" s="139"/>
      <c r="RB108" s="139"/>
      <c r="RC108" s="139"/>
      <c r="RD108" s="139"/>
      <c r="RE108" s="139"/>
      <c r="RF108" s="139"/>
      <c r="RG108" s="139"/>
      <c r="RH108" s="139"/>
      <c r="RI108" s="139"/>
      <c r="RJ108" s="139"/>
      <c r="RK108" s="139"/>
      <c r="RL108" s="139"/>
      <c r="RM108" s="139"/>
      <c r="RN108" s="139"/>
      <c r="RO108" s="139"/>
      <c r="RP108" s="139"/>
      <c r="RQ108" s="139"/>
      <c r="RR108" s="139"/>
      <c r="RS108" s="139"/>
      <c r="RT108" s="139"/>
      <c r="RU108" s="139"/>
      <c r="RV108" s="139"/>
      <c r="RW108" s="139"/>
      <c r="RX108" s="139"/>
      <c r="RY108" s="139"/>
      <c r="RZ108" s="139"/>
      <c r="SA108" s="139"/>
      <c r="SB108" s="139"/>
      <c r="SC108" s="139"/>
      <c r="SD108" s="139"/>
      <c r="SE108" s="139"/>
      <c r="SF108" s="139"/>
      <c r="SG108" s="139"/>
      <c r="SH108" s="139"/>
      <c r="SI108" s="139"/>
      <c r="SJ108" s="139"/>
      <c r="SK108" s="139"/>
      <c r="SL108" s="139"/>
      <c r="SM108" s="139"/>
      <c r="SN108" s="139"/>
      <c r="SO108" s="139"/>
      <c r="SP108" s="139"/>
      <c r="SQ108" s="139"/>
      <c r="SR108" s="139"/>
      <c r="SS108" s="139"/>
      <c r="ST108" s="139"/>
      <c r="SU108" s="139"/>
      <c r="SV108" s="139"/>
      <c r="SW108" s="139"/>
      <c r="SX108" s="139"/>
      <c r="SY108" s="139"/>
      <c r="SZ108" s="139"/>
      <c r="TA108" s="139"/>
      <c r="TB108" s="139"/>
      <c r="TC108" s="139"/>
      <c r="TD108" s="139"/>
      <c r="TE108" s="139"/>
      <c r="TF108" s="139"/>
      <c r="TG108" s="139"/>
      <c r="TH108" s="139"/>
      <c r="TI108" s="139"/>
      <c r="TJ108" s="139"/>
      <c r="TK108" s="139"/>
      <c r="TL108" s="139"/>
      <c r="TM108" s="139"/>
      <c r="TN108" s="139"/>
      <c r="TO108" s="139"/>
      <c r="TP108" s="139"/>
      <c r="TQ108" s="139"/>
      <c r="TR108" s="139"/>
      <c r="TS108" s="139"/>
      <c r="TT108" s="139"/>
      <c r="TU108" s="139"/>
      <c r="TV108" s="139"/>
      <c r="TW108" s="139"/>
      <c r="TX108" s="139"/>
      <c r="TY108" s="139"/>
      <c r="TZ108" s="139"/>
      <c r="UA108" s="139"/>
      <c r="UB108" s="139"/>
      <c r="UC108" s="139"/>
      <c r="UD108" s="139"/>
      <c r="UE108" s="139"/>
      <c r="UF108" s="139"/>
      <c r="UG108" s="139"/>
      <c r="UH108" s="139"/>
      <c r="UI108" s="139"/>
      <c r="UJ108" s="139"/>
      <c r="UK108" s="139"/>
      <c r="UL108" s="139"/>
      <c r="UM108" s="139"/>
      <c r="UN108" s="139"/>
      <c r="UO108" s="139"/>
      <c r="UP108" s="139"/>
      <c r="UQ108" s="139"/>
      <c r="UR108" s="139"/>
      <c r="US108" s="139"/>
      <c r="UT108" s="139"/>
      <c r="UU108" s="139"/>
      <c r="UV108" s="139"/>
      <c r="UW108" s="139"/>
      <c r="UX108" s="139"/>
      <c r="UY108" s="139"/>
      <c r="UZ108" s="139"/>
      <c r="VA108" s="139"/>
      <c r="VB108" s="139"/>
      <c r="VC108" s="139"/>
      <c r="VD108" s="139"/>
      <c r="VE108" s="139"/>
      <c r="VF108" s="139"/>
      <c r="VG108" s="139"/>
      <c r="VH108" s="139"/>
      <c r="VI108" s="139"/>
      <c r="VJ108" s="139"/>
      <c r="VK108" s="139"/>
      <c r="VL108" s="139"/>
      <c r="VM108" s="139"/>
      <c r="VN108" s="139"/>
      <c r="VO108" s="139"/>
      <c r="VP108" s="139"/>
      <c r="VQ108" s="139"/>
      <c r="VR108" s="139"/>
      <c r="VS108" s="139"/>
      <c r="VT108" s="139"/>
      <c r="VU108" s="139"/>
      <c r="VV108" s="139"/>
      <c r="VW108" s="139"/>
      <c r="VX108" s="139"/>
      <c r="VY108" s="139"/>
      <c r="VZ108" s="139"/>
      <c r="WA108" s="139"/>
      <c r="WB108" s="139"/>
      <c r="WC108" s="139"/>
      <c r="WD108" s="139"/>
      <c r="WE108" s="139"/>
      <c r="WF108" s="139"/>
      <c r="WG108" s="139"/>
      <c r="WH108" s="139"/>
      <c r="WI108" s="139"/>
      <c r="WJ108" s="139"/>
      <c r="WK108" s="139"/>
      <c r="WL108" s="139"/>
      <c r="WM108" s="139"/>
      <c r="WN108" s="139"/>
      <c r="WO108" s="139"/>
      <c r="WP108" s="139"/>
      <c r="WQ108" s="139"/>
      <c r="WR108" s="139"/>
      <c r="WS108" s="139"/>
      <c r="WT108" s="139"/>
      <c r="WU108" s="139"/>
      <c r="WV108" s="139"/>
      <c r="WW108" s="139"/>
      <c r="WX108" s="139"/>
      <c r="WY108" s="139"/>
      <c r="WZ108" s="139"/>
      <c r="XA108" s="139"/>
      <c r="XB108" s="139"/>
      <c r="XC108" s="139"/>
      <c r="XD108" s="139"/>
      <c r="XE108" s="139"/>
      <c r="XF108" s="139"/>
      <c r="XG108" s="139"/>
      <c r="XH108" s="139"/>
      <c r="XI108" s="139"/>
      <c r="XJ108" s="139"/>
      <c r="XK108" s="139"/>
      <c r="XL108" s="139"/>
      <c r="XM108" s="139"/>
      <c r="XN108" s="139"/>
      <c r="XO108" s="139"/>
      <c r="XP108" s="139"/>
      <c r="XQ108" s="139"/>
      <c r="XR108" s="139"/>
      <c r="XS108" s="139"/>
      <c r="XT108" s="139"/>
      <c r="XU108" s="139"/>
      <c r="XV108" s="139"/>
      <c r="XW108" s="139"/>
      <c r="XX108" s="139"/>
      <c r="XY108" s="139"/>
      <c r="XZ108" s="139"/>
      <c r="YA108" s="139"/>
      <c r="YB108" s="139"/>
      <c r="YC108" s="139"/>
      <c r="YD108" s="139"/>
      <c r="YE108" s="139"/>
      <c r="YF108" s="139"/>
      <c r="YG108" s="139"/>
      <c r="YH108" s="139"/>
      <c r="YI108" s="139"/>
      <c r="YJ108" s="139"/>
      <c r="YK108" s="139"/>
      <c r="YL108" s="139"/>
      <c r="YM108" s="139"/>
      <c r="YN108" s="139"/>
      <c r="YO108" s="139"/>
      <c r="YP108" s="139"/>
      <c r="YQ108" s="139"/>
      <c r="YR108" s="139"/>
      <c r="YS108" s="139"/>
      <c r="YT108" s="139"/>
      <c r="YU108" s="139"/>
      <c r="YV108" s="139"/>
      <c r="YW108" s="139"/>
      <c r="YX108" s="139"/>
      <c r="YY108" s="139"/>
      <c r="YZ108" s="139"/>
      <c r="ZA108" s="139"/>
      <c r="ZB108" s="139"/>
      <c r="ZC108" s="139"/>
      <c r="ZD108" s="139"/>
      <c r="ZE108" s="139"/>
      <c r="ZF108" s="139"/>
      <c r="ZG108" s="139"/>
      <c r="ZH108" s="139"/>
      <c r="ZI108" s="139"/>
      <c r="ZJ108" s="139"/>
      <c r="ZK108" s="139"/>
      <c r="ZL108" s="139"/>
      <c r="ZM108" s="139"/>
      <c r="ZN108" s="139"/>
      <c r="ZO108" s="139"/>
      <c r="ZP108" s="139"/>
      <c r="ZQ108" s="139"/>
      <c r="ZR108" s="139"/>
      <c r="ZS108" s="139"/>
      <c r="ZT108" s="139"/>
      <c r="ZU108" s="139"/>
      <c r="ZV108" s="139"/>
      <c r="ZW108" s="139"/>
      <c r="ZX108" s="139"/>
      <c r="ZY108" s="139"/>
      <c r="ZZ108" s="139"/>
      <c r="AAA108" s="139"/>
      <c r="AAB108" s="139"/>
      <c r="AAC108" s="139"/>
      <c r="AAD108" s="139"/>
      <c r="AAE108" s="139"/>
      <c r="AAF108" s="139"/>
      <c r="AAG108" s="139"/>
      <c r="AAH108" s="139"/>
      <c r="AAI108" s="139"/>
      <c r="AAJ108" s="139"/>
      <c r="AAK108" s="139"/>
      <c r="AAL108" s="139"/>
      <c r="AAM108" s="139"/>
      <c r="AAN108" s="139"/>
      <c r="AAO108" s="139"/>
      <c r="AAP108" s="139"/>
      <c r="AAQ108" s="139"/>
      <c r="AAR108" s="139"/>
      <c r="AAS108" s="139"/>
      <c r="AAT108" s="139"/>
      <c r="AAU108" s="139"/>
      <c r="AAV108" s="139"/>
      <c r="AAW108" s="139"/>
      <c r="AAX108" s="139"/>
      <c r="AAY108" s="139"/>
      <c r="AAZ108" s="139"/>
      <c r="ABA108" s="139"/>
      <c r="ABB108" s="139"/>
      <c r="ABC108" s="139"/>
      <c r="ABD108" s="139"/>
      <c r="ABE108" s="139"/>
      <c r="ABF108" s="139"/>
      <c r="ABG108" s="139"/>
      <c r="ABH108" s="139"/>
      <c r="ABI108" s="139"/>
      <c r="ABJ108" s="139"/>
      <c r="ABK108" s="139"/>
      <c r="ABL108" s="139"/>
      <c r="ABM108" s="139"/>
      <c r="ABN108" s="139"/>
      <c r="ABO108" s="139"/>
      <c r="ABP108" s="139"/>
      <c r="ABQ108" s="139"/>
      <c r="ABR108" s="139"/>
      <c r="ABS108" s="139"/>
      <c r="ABT108" s="139"/>
      <c r="ABU108" s="139"/>
      <c r="ABV108" s="139"/>
      <c r="ABW108" s="139"/>
      <c r="ABX108" s="139"/>
      <c r="ABY108" s="139"/>
      <c r="ABZ108" s="139"/>
      <c r="ACA108" s="139"/>
      <c r="ACB108" s="139"/>
      <c r="ACC108" s="139"/>
      <c r="ACD108" s="139"/>
      <c r="ACE108" s="139"/>
      <c r="ACF108" s="139"/>
      <c r="ACG108" s="139"/>
      <c r="ACH108" s="139"/>
      <c r="ACI108" s="139"/>
      <c r="ACJ108" s="139"/>
      <c r="ACK108" s="139"/>
      <c r="ACL108" s="139"/>
      <c r="ACM108" s="139"/>
      <c r="ACN108" s="139"/>
      <c r="ACO108" s="139"/>
      <c r="ACP108" s="139"/>
      <c r="ACQ108" s="139"/>
      <c r="ACR108" s="139"/>
      <c r="ACS108" s="139"/>
      <c r="ACT108" s="139"/>
      <c r="ACU108" s="139"/>
      <c r="ACV108" s="139"/>
      <c r="ACW108" s="139"/>
      <c r="ACX108" s="139"/>
      <c r="ACY108" s="139"/>
      <c r="ACZ108" s="139"/>
      <c r="ADA108" s="139"/>
      <c r="ADB108" s="139"/>
      <c r="ADC108" s="139"/>
      <c r="ADD108" s="139"/>
      <c r="ADE108" s="139"/>
      <c r="ADF108" s="139"/>
      <c r="ADG108" s="139"/>
      <c r="ADH108" s="139"/>
      <c r="ADI108" s="139"/>
      <c r="ADJ108" s="139"/>
      <c r="ADK108" s="139"/>
      <c r="ADL108" s="139"/>
      <c r="ADM108" s="139"/>
      <c r="ADN108" s="139"/>
      <c r="ADO108" s="139"/>
      <c r="ADP108" s="139"/>
      <c r="ADQ108" s="139"/>
      <c r="ADR108" s="139"/>
      <c r="ADS108" s="139"/>
      <c r="ADT108" s="139"/>
      <c r="ADU108" s="139"/>
      <c r="ADV108" s="139"/>
      <c r="ADW108" s="139"/>
      <c r="ADX108" s="139"/>
      <c r="ADY108" s="139"/>
      <c r="ADZ108" s="139"/>
      <c r="AEA108" s="139"/>
      <c r="AEB108" s="139"/>
      <c r="AEC108" s="139"/>
      <c r="AED108" s="139"/>
      <c r="AEE108" s="139"/>
      <c r="AEF108" s="139"/>
      <c r="AEG108" s="139"/>
      <c r="AEH108" s="139"/>
      <c r="AEI108" s="139"/>
      <c r="AEJ108" s="139"/>
      <c r="AEK108" s="139"/>
      <c r="AEL108" s="139"/>
      <c r="AEM108" s="139"/>
      <c r="AEN108" s="139"/>
      <c r="AEO108" s="139"/>
      <c r="AEP108" s="139"/>
      <c r="AEQ108" s="139"/>
      <c r="AER108" s="139"/>
      <c r="AES108" s="139"/>
      <c r="AET108" s="139"/>
      <c r="AEU108" s="139"/>
      <c r="AEV108" s="139"/>
      <c r="AEW108" s="139"/>
      <c r="AEX108" s="139"/>
      <c r="AEY108" s="139"/>
      <c r="AEZ108" s="139"/>
      <c r="AFA108" s="139"/>
      <c r="AFB108" s="139"/>
      <c r="AFC108" s="139"/>
      <c r="AFD108" s="139"/>
      <c r="AFE108" s="139"/>
      <c r="AFF108" s="139"/>
      <c r="AFG108" s="139"/>
      <c r="AFH108" s="139"/>
      <c r="AFI108" s="139"/>
      <c r="AFJ108" s="139"/>
      <c r="AFK108" s="139"/>
      <c r="AFL108" s="139"/>
      <c r="AFM108" s="139"/>
      <c r="AFN108" s="139"/>
      <c r="AFO108" s="139"/>
      <c r="AFP108" s="139"/>
      <c r="AFQ108" s="139"/>
      <c r="AFR108" s="139"/>
      <c r="AFS108" s="139"/>
      <c r="AFT108" s="139"/>
      <c r="AFU108" s="139"/>
      <c r="AFV108" s="139"/>
      <c r="AFW108" s="139"/>
      <c r="AFX108" s="139"/>
      <c r="AFY108" s="139"/>
      <c r="AFZ108" s="139"/>
      <c r="AGA108" s="139"/>
      <c r="AGB108" s="139"/>
      <c r="AGC108" s="139"/>
      <c r="AGD108" s="139"/>
      <c r="AGE108" s="139"/>
      <c r="AGF108" s="139"/>
      <c r="AGG108" s="139"/>
      <c r="AGH108" s="139"/>
      <c r="AGI108" s="139"/>
      <c r="AGJ108" s="139"/>
      <c r="AGK108" s="139"/>
      <c r="AGL108" s="139"/>
      <c r="AGM108" s="139"/>
      <c r="AGN108" s="139"/>
      <c r="AGO108" s="139"/>
      <c r="AGP108" s="139"/>
      <c r="AGQ108" s="139"/>
      <c r="AGR108" s="139"/>
      <c r="AGS108" s="139"/>
      <c r="AGT108" s="139"/>
      <c r="AGU108" s="139"/>
      <c r="AGV108" s="139"/>
      <c r="AGW108" s="139"/>
      <c r="AGX108" s="139"/>
      <c r="AGY108" s="139"/>
      <c r="AGZ108" s="139"/>
      <c r="AHA108" s="139"/>
      <c r="AHB108" s="139"/>
      <c r="AHC108" s="139"/>
      <c r="AHD108" s="139"/>
      <c r="AHE108" s="139"/>
      <c r="AHF108" s="139"/>
      <c r="AHG108" s="139"/>
      <c r="AHH108" s="139"/>
      <c r="AHI108" s="139"/>
      <c r="AHJ108" s="139"/>
      <c r="AHK108" s="139"/>
      <c r="AHL108" s="139"/>
      <c r="AHM108" s="139"/>
      <c r="AHN108" s="139"/>
      <c r="AHO108" s="139"/>
      <c r="AHP108" s="139"/>
      <c r="AHQ108" s="139"/>
      <c r="AHR108" s="139"/>
      <c r="AHS108" s="139"/>
      <c r="AHT108" s="139"/>
      <c r="AHU108" s="139"/>
      <c r="AHV108" s="139"/>
      <c r="AHW108" s="139"/>
      <c r="AHX108" s="139"/>
      <c r="AHY108" s="139"/>
      <c r="AHZ108" s="139"/>
      <c r="AIA108" s="139"/>
      <c r="AIB108" s="139"/>
      <c r="AIC108" s="139"/>
      <c r="AID108" s="139"/>
      <c r="AIE108" s="139"/>
      <c r="AIF108" s="139"/>
      <c r="AIG108" s="139"/>
      <c r="AIH108" s="139"/>
      <c r="AII108" s="139"/>
      <c r="AIJ108" s="139"/>
      <c r="AIK108" s="139"/>
      <c r="AIL108" s="139"/>
      <c r="AIM108" s="139"/>
      <c r="AIN108" s="139"/>
      <c r="AIO108" s="139"/>
      <c r="AIP108" s="139"/>
      <c r="AIQ108" s="139"/>
      <c r="AIR108" s="139"/>
      <c r="AIS108" s="139"/>
      <c r="AIT108" s="139"/>
      <c r="AIU108" s="139"/>
      <c r="AIV108" s="139"/>
      <c r="AIW108" s="139"/>
      <c r="AIX108" s="139"/>
      <c r="AIY108" s="139"/>
      <c r="AIZ108" s="139"/>
      <c r="AJA108" s="139"/>
      <c r="AJB108" s="139"/>
      <c r="AJC108" s="139"/>
      <c r="AJD108" s="139"/>
      <c r="AJE108" s="139"/>
      <c r="AJF108" s="139"/>
      <c r="AJG108" s="139"/>
      <c r="AJH108" s="139"/>
      <c r="AJI108" s="139"/>
      <c r="AJJ108" s="139"/>
      <c r="AJK108" s="139"/>
      <c r="AJL108" s="139"/>
      <c r="AJM108" s="139"/>
      <c r="AJN108" s="139"/>
      <c r="AJO108" s="139"/>
      <c r="AJP108" s="139"/>
      <c r="AJQ108" s="139"/>
      <c r="AJR108" s="139"/>
      <c r="AJS108" s="139"/>
      <c r="AJT108" s="139"/>
      <c r="AJU108" s="139"/>
      <c r="AJV108" s="139"/>
      <c r="AJW108" s="139"/>
      <c r="AJX108" s="139"/>
      <c r="AJY108" s="139"/>
      <c r="AJZ108" s="139"/>
      <c r="AKA108" s="139"/>
      <c r="AKB108" s="139"/>
      <c r="AKC108" s="139"/>
      <c r="AKD108" s="139"/>
      <c r="AKE108" s="139"/>
      <c r="AKF108" s="139"/>
      <c r="AKG108" s="139"/>
      <c r="AKH108" s="139"/>
      <c r="AKI108" s="139"/>
      <c r="AKJ108" s="139"/>
      <c r="AKK108" s="139"/>
      <c r="AKL108" s="139"/>
      <c r="AKM108" s="139"/>
      <c r="AKN108" s="139"/>
      <c r="AKO108" s="139"/>
      <c r="AKP108" s="139"/>
      <c r="AKQ108" s="139"/>
      <c r="AKR108" s="139"/>
      <c r="AKS108" s="139"/>
      <c r="AKT108" s="139"/>
      <c r="AKU108" s="139"/>
      <c r="AKV108" s="139"/>
      <c r="AKW108" s="139"/>
      <c r="AKX108" s="139"/>
      <c r="AKY108" s="139"/>
      <c r="AKZ108" s="139"/>
      <c r="ALA108" s="139"/>
      <c r="ALB108" s="139"/>
      <c r="ALC108" s="139"/>
      <c r="ALD108" s="139"/>
      <c r="ALE108" s="139"/>
      <c r="ALF108" s="139"/>
      <c r="ALG108" s="139"/>
      <c r="ALH108" s="139"/>
      <c r="ALI108" s="139"/>
      <c r="ALJ108" s="139"/>
      <c r="ALK108" s="139"/>
      <c r="ALL108" s="139"/>
      <c r="ALM108" s="139"/>
      <c r="ALN108" s="139"/>
      <c r="ALO108" s="139"/>
      <c r="ALP108" s="139"/>
      <c r="ALQ108" s="139"/>
      <c r="ALR108" s="139"/>
      <c r="ALS108" s="139"/>
      <c r="ALT108" s="139"/>
      <c r="ALU108" s="139"/>
      <c r="ALV108" s="139"/>
      <c r="ALW108" s="139"/>
      <c r="ALX108" s="139"/>
      <c r="ALY108" s="139"/>
      <c r="ALZ108" s="139"/>
      <c r="AMA108" s="139"/>
      <c r="AMB108" s="139"/>
      <c r="AMC108" s="139"/>
      <c r="AMD108" s="139"/>
      <c r="AME108" s="139"/>
      <c r="AMF108" s="139"/>
      <c r="AMG108" s="139"/>
      <c r="AMH108" s="139"/>
      <c r="AMI108" s="139"/>
      <c r="AMJ108" s="139"/>
      <c r="AMK108" s="139"/>
      <c r="AML108" s="139"/>
      <c r="AMM108" s="139"/>
      <c r="AMN108" s="139"/>
      <c r="AMO108" s="139"/>
      <c r="AMP108" s="139"/>
      <c r="AMQ108" s="139"/>
      <c r="AMR108" s="139"/>
      <c r="AMS108" s="139"/>
      <c r="AMT108" s="139"/>
      <c r="AMU108" s="139"/>
      <c r="AMV108" s="139"/>
      <c r="AMW108" s="139"/>
      <c r="AMX108" s="139"/>
      <c r="AMY108" s="139"/>
      <c r="AMZ108" s="139"/>
      <c r="ANA108" s="139"/>
      <c r="ANB108" s="139"/>
      <c r="ANC108" s="139"/>
      <c r="AND108" s="139"/>
      <c r="ANE108" s="139"/>
      <c r="ANF108" s="139"/>
      <c r="ANG108" s="139"/>
      <c r="ANH108" s="139"/>
      <c r="ANI108" s="139"/>
      <c r="ANJ108" s="139"/>
      <c r="ANK108" s="139"/>
      <c r="ANL108" s="139"/>
      <c r="ANM108" s="139"/>
      <c r="ANN108" s="139"/>
      <c r="ANO108" s="139"/>
      <c r="ANP108" s="139"/>
      <c r="ANQ108" s="139"/>
      <c r="ANR108" s="139"/>
      <c r="ANS108" s="139"/>
      <c r="ANT108" s="139"/>
      <c r="ANU108" s="139"/>
      <c r="ANV108" s="139"/>
      <c r="ANW108" s="139"/>
      <c r="ANX108" s="139"/>
      <c r="ANY108" s="139"/>
      <c r="ANZ108" s="139"/>
      <c r="AOA108" s="139"/>
      <c r="AOB108" s="139"/>
      <c r="AOC108" s="139"/>
      <c r="AOD108" s="139"/>
      <c r="AOE108" s="139"/>
      <c r="AOF108" s="139"/>
      <c r="AOG108" s="139"/>
      <c r="AOH108" s="139"/>
      <c r="AOI108" s="139"/>
      <c r="AOJ108" s="139"/>
      <c r="AOK108" s="139"/>
      <c r="AOL108" s="139"/>
      <c r="AOM108" s="139"/>
      <c r="AON108" s="139"/>
      <c r="AOO108" s="139"/>
      <c r="AOP108" s="139"/>
      <c r="AOQ108" s="139"/>
      <c r="AOR108" s="139"/>
      <c r="AOS108" s="139"/>
      <c r="AOT108" s="139"/>
      <c r="AOU108" s="139"/>
      <c r="AOV108" s="139"/>
      <c r="AOW108" s="139"/>
      <c r="AOX108" s="139"/>
      <c r="AOY108" s="139"/>
      <c r="AOZ108" s="139"/>
      <c r="APA108" s="139"/>
      <c r="APB108" s="139"/>
      <c r="APC108" s="139"/>
      <c r="APD108" s="139"/>
      <c r="APE108" s="139"/>
      <c r="APF108" s="139"/>
      <c r="APG108" s="139"/>
      <c r="APH108" s="139"/>
      <c r="API108" s="139"/>
      <c r="APJ108" s="139"/>
      <c r="APK108" s="139"/>
      <c r="APL108" s="139"/>
      <c r="APM108" s="139"/>
      <c r="APN108" s="139"/>
      <c r="APO108" s="139"/>
      <c r="APP108" s="139"/>
      <c r="APQ108" s="139"/>
      <c r="APR108" s="139"/>
      <c r="APS108" s="139"/>
      <c r="APT108" s="139"/>
      <c r="APU108" s="139"/>
      <c r="APV108" s="139"/>
      <c r="APW108" s="139"/>
      <c r="APX108" s="139"/>
      <c r="APY108" s="139"/>
      <c r="APZ108" s="139"/>
      <c r="AQA108" s="139"/>
      <c r="AQB108" s="139"/>
      <c r="AQC108" s="139"/>
      <c r="AQD108" s="139"/>
      <c r="AQE108" s="139"/>
      <c r="AQF108" s="139"/>
      <c r="AQG108" s="139"/>
      <c r="AQH108" s="139"/>
      <c r="AQI108" s="139"/>
      <c r="AQJ108" s="139"/>
      <c r="AQK108" s="139"/>
      <c r="AQL108" s="139"/>
      <c r="AQM108" s="139"/>
      <c r="AQN108" s="139"/>
      <c r="AQO108" s="139"/>
      <c r="AQP108" s="139"/>
      <c r="AQQ108" s="139"/>
      <c r="AQR108" s="139"/>
      <c r="AQS108" s="139"/>
      <c r="AQT108" s="139"/>
      <c r="AQU108" s="139"/>
      <c r="AQV108" s="139"/>
      <c r="AQW108" s="139"/>
      <c r="AQX108" s="139"/>
      <c r="AQY108" s="139"/>
      <c r="AQZ108" s="139"/>
      <c r="ARA108" s="139"/>
      <c r="ARB108" s="139"/>
      <c r="ARC108" s="139"/>
      <c r="ARD108" s="139"/>
      <c r="ARE108" s="139"/>
      <c r="ARF108" s="139"/>
      <c r="ARG108" s="139"/>
      <c r="ARH108" s="139"/>
      <c r="ARI108" s="139"/>
      <c r="ARJ108" s="139"/>
      <c r="ARK108" s="139"/>
      <c r="ARL108" s="139"/>
      <c r="ARM108" s="139"/>
      <c r="ARN108" s="139"/>
      <c r="ARO108" s="139"/>
      <c r="ARP108" s="139"/>
      <c r="ARQ108" s="139"/>
      <c r="ARR108" s="139"/>
      <c r="ARS108" s="139"/>
      <c r="ART108" s="139"/>
      <c r="ARU108" s="139"/>
      <c r="ARV108" s="139"/>
      <c r="ARW108" s="139"/>
      <c r="ARX108" s="139"/>
      <c r="ARY108" s="139"/>
      <c r="ARZ108" s="139"/>
      <c r="ASA108" s="139"/>
      <c r="ASB108" s="139"/>
      <c r="ASC108" s="139"/>
      <c r="ASD108" s="139"/>
      <c r="ASE108" s="139"/>
      <c r="ASF108" s="139"/>
      <c r="ASG108" s="139"/>
      <c r="ASH108" s="139"/>
      <c r="ASI108" s="139"/>
      <c r="ASJ108" s="139"/>
      <c r="ASK108" s="139"/>
      <c r="ASL108" s="139"/>
      <c r="ASM108" s="139"/>
      <c r="ASN108" s="139"/>
      <c r="ASO108" s="139"/>
      <c r="ASP108" s="139"/>
      <c r="ASQ108" s="139"/>
      <c r="ASR108" s="139"/>
      <c r="ASS108" s="139"/>
      <c r="AST108" s="139"/>
      <c r="ASU108" s="139"/>
      <c r="ASV108" s="139"/>
      <c r="ASW108" s="139"/>
      <c r="ASX108" s="139"/>
      <c r="ASY108" s="139"/>
      <c r="ASZ108" s="139"/>
      <c r="ATA108" s="139"/>
      <c r="ATB108" s="139"/>
      <c r="ATC108" s="139"/>
      <c r="ATD108" s="139"/>
      <c r="ATE108" s="139"/>
      <c r="ATF108" s="139"/>
      <c r="ATG108" s="139"/>
      <c r="ATH108" s="139"/>
      <c r="ATI108" s="139"/>
      <c r="ATJ108" s="139"/>
      <c r="ATK108" s="139"/>
      <c r="ATL108" s="139"/>
      <c r="ATM108" s="139"/>
      <c r="ATN108" s="139"/>
      <c r="ATO108" s="139"/>
      <c r="ATP108" s="139"/>
      <c r="ATQ108" s="139"/>
      <c r="ATR108" s="139"/>
      <c r="ATS108" s="139"/>
      <c r="ATT108" s="139"/>
      <c r="ATU108" s="139"/>
      <c r="ATV108" s="139"/>
      <c r="ATW108" s="139"/>
      <c r="ATX108" s="139"/>
      <c r="ATY108" s="139"/>
      <c r="ATZ108" s="139"/>
      <c r="AUA108" s="139"/>
      <c r="AUB108" s="139"/>
      <c r="AUC108" s="139"/>
      <c r="AUD108" s="139"/>
      <c r="AUE108" s="139"/>
      <c r="AUF108" s="139"/>
      <c r="AUG108" s="139"/>
      <c r="AUH108" s="139"/>
      <c r="AUI108" s="139"/>
      <c r="AUJ108" s="139"/>
      <c r="AUK108" s="139"/>
      <c r="AUL108" s="139"/>
      <c r="AUM108" s="139"/>
      <c r="AUN108" s="139"/>
      <c r="AUO108" s="139"/>
      <c r="AUP108" s="139"/>
      <c r="AUQ108" s="139"/>
      <c r="AUR108" s="139"/>
      <c r="AUS108" s="139"/>
      <c r="AUT108" s="139"/>
      <c r="AUU108" s="139"/>
      <c r="AUV108" s="139"/>
      <c r="AUW108" s="139"/>
      <c r="AUX108" s="139"/>
      <c r="AUY108" s="139"/>
      <c r="AUZ108" s="139"/>
      <c r="AVA108" s="139"/>
      <c r="AVB108" s="139"/>
      <c r="AVC108" s="139"/>
      <c r="AVD108" s="139"/>
      <c r="AVE108" s="139"/>
      <c r="AVF108" s="139"/>
      <c r="AVG108" s="139"/>
      <c r="AVH108" s="139"/>
      <c r="AVI108" s="139"/>
      <c r="AVJ108" s="139"/>
      <c r="AVK108" s="139"/>
      <c r="AVL108" s="139"/>
      <c r="AVM108" s="139"/>
      <c r="AVN108" s="139"/>
      <c r="AVO108" s="139"/>
      <c r="AVP108" s="139"/>
      <c r="AVQ108" s="139"/>
      <c r="AVR108" s="139"/>
      <c r="AVS108" s="139"/>
      <c r="AVT108" s="139"/>
      <c r="AVU108" s="139"/>
      <c r="AVV108" s="139"/>
      <c r="AVW108" s="139"/>
      <c r="AVX108" s="139"/>
      <c r="AVY108" s="139"/>
      <c r="AVZ108" s="139"/>
      <c r="AWA108" s="139"/>
      <c r="AWB108" s="139"/>
      <c r="AWC108" s="139"/>
      <c r="AWD108" s="139"/>
      <c r="AWE108" s="139"/>
      <c r="AWF108" s="139"/>
      <c r="AWG108" s="139"/>
      <c r="AWH108" s="139"/>
      <c r="AWI108" s="139"/>
      <c r="AWJ108" s="139"/>
      <c r="AWK108" s="139"/>
      <c r="AWL108" s="139"/>
      <c r="AWM108" s="139"/>
      <c r="AWN108" s="139"/>
      <c r="AWO108" s="139"/>
      <c r="AWP108" s="139"/>
      <c r="AWQ108" s="139"/>
      <c r="AWR108" s="139"/>
      <c r="AWS108" s="139"/>
      <c r="AWT108" s="139"/>
      <c r="AWU108" s="139"/>
      <c r="AWV108" s="139"/>
      <c r="AWW108" s="139"/>
      <c r="AWX108" s="139"/>
      <c r="AWY108" s="139"/>
      <c r="AWZ108" s="139"/>
      <c r="AXA108" s="139"/>
      <c r="AXB108" s="139"/>
      <c r="AXC108" s="139"/>
      <c r="AXD108" s="139"/>
      <c r="AXE108" s="139"/>
      <c r="AXF108" s="139"/>
      <c r="AXG108" s="139"/>
      <c r="AXH108" s="139"/>
      <c r="AXI108" s="139"/>
      <c r="AXJ108" s="139"/>
      <c r="AXK108" s="139"/>
      <c r="AXL108" s="139"/>
      <c r="AXM108" s="139"/>
      <c r="AXN108" s="139"/>
      <c r="AXO108" s="139"/>
      <c r="AXP108" s="139"/>
      <c r="AXQ108" s="139"/>
      <c r="AXR108" s="139"/>
      <c r="AXS108" s="139"/>
      <c r="AXT108" s="139"/>
      <c r="AXU108" s="139"/>
      <c r="AXV108" s="139"/>
      <c r="AXW108" s="139"/>
      <c r="AXX108" s="139"/>
      <c r="AXY108" s="139"/>
      <c r="AXZ108" s="139"/>
      <c r="AYA108" s="139"/>
      <c r="AYB108" s="139"/>
      <c r="AYC108" s="139"/>
      <c r="AYD108" s="139"/>
      <c r="AYE108" s="139"/>
      <c r="AYF108" s="139"/>
      <c r="AYG108" s="139"/>
      <c r="AYH108" s="139"/>
      <c r="AYI108" s="139"/>
      <c r="AYJ108" s="139"/>
      <c r="AYK108" s="139"/>
      <c r="AYL108" s="139"/>
      <c r="AYM108" s="139"/>
      <c r="AYN108" s="139"/>
      <c r="AYO108" s="139"/>
      <c r="AYP108" s="139"/>
      <c r="AYQ108" s="139"/>
      <c r="AYR108" s="139"/>
      <c r="AYS108" s="139"/>
      <c r="AYT108" s="139"/>
      <c r="AYU108" s="139"/>
      <c r="AYV108" s="139"/>
      <c r="AYW108" s="139"/>
      <c r="AYX108" s="139"/>
      <c r="AYY108" s="139"/>
      <c r="AYZ108" s="139"/>
      <c r="AZA108" s="139"/>
      <c r="AZB108" s="139"/>
      <c r="AZC108" s="139"/>
      <c r="AZD108" s="139"/>
      <c r="AZE108" s="139"/>
      <c r="AZF108" s="139"/>
      <c r="AZG108" s="139"/>
      <c r="AZH108" s="139"/>
      <c r="AZI108" s="139"/>
      <c r="AZJ108" s="139"/>
      <c r="AZK108" s="139"/>
      <c r="AZL108" s="139"/>
      <c r="AZM108" s="139"/>
      <c r="AZN108" s="139"/>
      <c r="AZO108" s="139"/>
      <c r="AZP108" s="139"/>
      <c r="AZQ108" s="139"/>
      <c r="AZR108" s="139"/>
      <c r="AZS108" s="139"/>
      <c r="AZT108" s="139"/>
      <c r="AZU108" s="139"/>
      <c r="AZV108" s="139"/>
      <c r="AZW108" s="139"/>
      <c r="AZX108" s="139"/>
      <c r="AZY108" s="139"/>
      <c r="AZZ108" s="139"/>
      <c r="BAA108" s="139"/>
      <c r="BAB108" s="139"/>
      <c r="BAC108" s="139"/>
      <c r="BAD108" s="139"/>
      <c r="BAE108" s="139"/>
      <c r="BAF108" s="139"/>
      <c r="BAG108" s="139"/>
      <c r="BAH108" s="139"/>
      <c r="BAI108" s="139"/>
      <c r="BAJ108" s="139"/>
      <c r="BAK108" s="139"/>
      <c r="BAL108" s="139"/>
      <c r="BAM108" s="139"/>
      <c r="BAN108" s="139"/>
      <c r="BAO108" s="139"/>
      <c r="BAP108" s="139"/>
      <c r="BAQ108" s="139"/>
      <c r="BAR108" s="139"/>
      <c r="BAS108" s="139"/>
      <c r="BAT108" s="139"/>
      <c r="BAU108" s="139"/>
      <c r="BAV108" s="139"/>
      <c r="BAW108" s="139"/>
      <c r="BAX108" s="139"/>
      <c r="BAY108" s="139"/>
      <c r="BAZ108" s="139"/>
      <c r="BBA108" s="139"/>
      <c r="BBB108" s="139"/>
      <c r="BBC108" s="139"/>
      <c r="BBD108" s="139"/>
      <c r="BBE108" s="139"/>
      <c r="BBF108" s="139"/>
      <c r="BBG108" s="139"/>
      <c r="BBH108" s="139"/>
      <c r="BBI108" s="139"/>
      <c r="BBJ108" s="139"/>
      <c r="BBK108" s="139"/>
      <c r="BBL108" s="139"/>
      <c r="BBM108" s="139"/>
      <c r="BBN108" s="139"/>
      <c r="BBO108" s="139"/>
      <c r="BBP108" s="139"/>
      <c r="BBQ108" s="139"/>
      <c r="BBR108" s="139"/>
      <c r="BBS108" s="139"/>
      <c r="BBT108" s="139"/>
      <c r="BBU108" s="139"/>
      <c r="BBV108" s="139"/>
      <c r="BBW108" s="139"/>
      <c r="BBX108" s="139"/>
      <c r="BBY108" s="139"/>
      <c r="BBZ108" s="139"/>
      <c r="BCA108" s="139"/>
      <c r="BCB108" s="139"/>
      <c r="BCC108" s="139"/>
      <c r="BCD108" s="139"/>
      <c r="BCE108" s="139"/>
      <c r="BCF108" s="139"/>
      <c r="BCG108" s="139"/>
      <c r="BCH108" s="139"/>
      <c r="BCI108" s="139"/>
      <c r="BCJ108" s="139"/>
      <c r="BCK108" s="139"/>
      <c r="BCL108" s="139"/>
      <c r="BCM108" s="139"/>
      <c r="BCN108" s="139"/>
      <c r="BCO108" s="139"/>
      <c r="BCP108" s="139"/>
      <c r="BCQ108" s="139"/>
      <c r="BCR108" s="139"/>
      <c r="BCS108" s="139"/>
      <c r="BCT108" s="139"/>
      <c r="BCU108" s="139"/>
      <c r="BCV108" s="139"/>
      <c r="BCW108" s="139"/>
      <c r="BCX108" s="139"/>
      <c r="BCY108" s="139"/>
      <c r="BCZ108" s="139"/>
      <c r="BDA108" s="139"/>
      <c r="BDB108" s="139"/>
      <c r="BDC108" s="139"/>
      <c r="BDD108" s="139"/>
      <c r="BDE108" s="139"/>
      <c r="BDF108" s="139"/>
      <c r="BDG108" s="139"/>
      <c r="BDH108" s="139"/>
      <c r="BDI108" s="139"/>
      <c r="BDJ108" s="139"/>
      <c r="BDK108" s="139"/>
      <c r="BDL108" s="139"/>
      <c r="BDM108" s="139"/>
      <c r="BDN108" s="139"/>
      <c r="BDO108" s="139"/>
      <c r="BDP108" s="139"/>
      <c r="BDQ108" s="139"/>
      <c r="BDR108" s="139"/>
      <c r="BDS108" s="139"/>
      <c r="BDT108" s="139"/>
      <c r="BDU108" s="139"/>
      <c r="BDV108" s="139"/>
      <c r="BDW108" s="139"/>
      <c r="BDX108" s="139"/>
      <c r="BDY108" s="139"/>
      <c r="BDZ108" s="139"/>
      <c r="BEA108" s="139"/>
      <c r="BEB108" s="139"/>
      <c r="BEC108" s="139"/>
      <c r="BED108" s="139"/>
      <c r="BEE108" s="139"/>
      <c r="BEF108" s="139"/>
      <c r="BEG108" s="139"/>
      <c r="BEH108" s="139"/>
      <c r="BEI108" s="139"/>
      <c r="BEJ108" s="139"/>
      <c r="BEK108" s="139"/>
      <c r="BEL108" s="139"/>
      <c r="BEM108" s="139"/>
      <c r="BEN108" s="139"/>
      <c r="BEO108" s="139"/>
      <c r="BEP108" s="139"/>
      <c r="BEQ108" s="139"/>
      <c r="BER108" s="139"/>
      <c r="BES108" s="139"/>
      <c r="BET108" s="139"/>
      <c r="BEU108" s="139"/>
      <c r="BEV108" s="139"/>
      <c r="BEW108" s="139"/>
      <c r="BEX108" s="139"/>
      <c r="BEY108" s="139"/>
      <c r="BEZ108" s="139"/>
      <c r="BFA108" s="139"/>
      <c r="BFB108" s="139"/>
      <c r="BFC108" s="139"/>
      <c r="BFD108" s="139"/>
      <c r="BFE108" s="139"/>
      <c r="BFF108" s="139"/>
      <c r="BFG108" s="139"/>
      <c r="BFH108" s="139"/>
      <c r="BFI108" s="139"/>
      <c r="BFJ108" s="139"/>
      <c r="BFK108" s="139"/>
      <c r="BFL108" s="139"/>
      <c r="BFM108" s="139"/>
      <c r="BFN108" s="139"/>
      <c r="BFO108" s="139"/>
      <c r="BFP108" s="139"/>
      <c r="BFQ108" s="139"/>
      <c r="BFR108" s="139"/>
      <c r="BFS108" s="139"/>
      <c r="BFT108" s="139"/>
      <c r="BFU108" s="139"/>
      <c r="BFV108" s="139"/>
      <c r="BFW108" s="139"/>
      <c r="BFX108" s="139"/>
      <c r="BFY108" s="139"/>
      <c r="BFZ108" s="139"/>
      <c r="BGA108" s="139"/>
      <c r="BGB108" s="139"/>
      <c r="BGC108" s="139"/>
      <c r="BGD108" s="139"/>
      <c r="BGE108" s="139"/>
      <c r="BGF108" s="139"/>
      <c r="BGG108" s="139"/>
      <c r="BGH108" s="139"/>
      <c r="BGI108" s="139"/>
      <c r="BGJ108" s="139"/>
      <c r="BGK108" s="139"/>
      <c r="BGL108" s="139"/>
      <c r="BGM108" s="139"/>
      <c r="BGN108" s="139"/>
      <c r="BGO108" s="139"/>
      <c r="BGP108" s="139"/>
      <c r="BGQ108" s="139"/>
      <c r="BGR108" s="139"/>
      <c r="BGS108" s="139"/>
      <c r="BGT108" s="139"/>
      <c r="BGU108" s="139"/>
      <c r="BGV108" s="139"/>
      <c r="BGW108" s="139"/>
      <c r="BGX108" s="139"/>
      <c r="BGY108" s="139"/>
      <c r="BGZ108" s="139"/>
      <c r="BHA108" s="139"/>
      <c r="BHB108" s="139"/>
      <c r="BHC108" s="139"/>
      <c r="BHD108" s="139"/>
      <c r="BHE108" s="139"/>
      <c r="BHF108" s="139"/>
      <c r="BHG108" s="139"/>
      <c r="BHH108" s="139"/>
      <c r="BHI108" s="139"/>
      <c r="BHJ108" s="139"/>
      <c r="BHK108" s="139"/>
      <c r="BHL108" s="139"/>
      <c r="BHM108" s="139"/>
      <c r="BHN108" s="139"/>
      <c r="BHO108" s="139"/>
      <c r="BHP108" s="139"/>
      <c r="BHQ108" s="139"/>
      <c r="BHR108" s="139"/>
      <c r="BHS108" s="139"/>
      <c r="BHT108" s="139"/>
      <c r="BHU108" s="139"/>
      <c r="BHV108" s="139"/>
      <c r="BHW108" s="139"/>
      <c r="BHX108" s="139"/>
      <c r="BHY108" s="139"/>
      <c r="BHZ108" s="139"/>
      <c r="BIA108" s="139"/>
      <c r="BIB108" s="139"/>
      <c r="BIC108" s="139"/>
      <c r="BID108" s="139"/>
      <c r="BIE108" s="139"/>
      <c r="BIF108" s="139"/>
      <c r="BIG108" s="139"/>
      <c r="BIH108" s="139"/>
      <c r="BII108" s="139"/>
      <c r="BIJ108" s="139"/>
      <c r="BIK108" s="139"/>
      <c r="BIL108" s="139"/>
      <c r="BIM108" s="139"/>
      <c r="BIN108" s="139"/>
      <c r="BIO108" s="139"/>
      <c r="BIP108" s="139"/>
      <c r="BIQ108" s="139"/>
      <c r="BIR108" s="139"/>
      <c r="BIS108" s="139"/>
      <c r="BIT108" s="139"/>
      <c r="BIU108" s="139"/>
      <c r="BIV108" s="139"/>
      <c r="BIW108" s="139"/>
      <c r="BIX108" s="139"/>
      <c r="BIY108" s="139"/>
      <c r="BIZ108" s="139"/>
      <c r="BJA108" s="139"/>
      <c r="BJB108" s="139"/>
      <c r="BJC108" s="139"/>
      <c r="BJD108" s="139"/>
      <c r="BJE108" s="139"/>
      <c r="BJF108" s="139"/>
      <c r="BJG108" s="139"/>
      <c r="BJH108" s="139"/>
      <c r="BJI108" s="139"/>
      <c r="BJJ108" s="139"/>
      <c r="BJK108" s="139"/>
      <c r="BJL108" s="139"/>
      <c r="BJM108" s="139"/>
      <c r="BJN108" s="139"/>
      <c r="BJO108" s="139"/>
      <c r="BJP108" s="139"/>
      <c r="BJQ108" s="139"/>
      <c r="BJR108" s="139"/>
      <c r="BJS108" s="139"/>
      <c r="BJT108" s="139"/>
      <c r="BJU108" s="139"/>
      <c r="BJV108" s="139"/>
      <c r="BJW108" s="139"/>
      <c r="BJX108" s="139"/>
      <c r="BJY108" s="139"/>
      <c r="BJZ108" s="139"/>
      <c r="BKA108" s="139"/>
      <c r="BKB108" s="139"/>
      <c r="BKC108" s="139"/>
      <c r="BKD108" s="139"/>
      <c r="BKE108" s="139"/>
      <c r="BKF108" s="139"/>
      <c r="BKG108" s="139"/>
      <c r="BKH108" s="139"/>
      <c r="BKI108" s="139"/>
      <c r="BKJ108" s="139"/>
      <c r="BKK108" s="139"/>
      <c r="BKL108" s="139"/>
      <c r="BKM108" s="139"/>
      <c r="BKN108" s="139"/>
      <c r="BKO108" s="139"/>
      <c r="BKP108" s="139"/>
      <c r="BKQ108" s="139"/>
      <c r="BKR108" s="139"/>
      <c r="BKS108" s="139"/>
      <c r="BKT108" s="139"/>
      <c r="BKU108" s="139"/>
      <c r="BKV108" s="139"/>
      <c r="BKW108" s="139"/>
      <c r="BKX108" s="139"/>
      <c r="BKY108" s="139"/>
      <c r="BKZ108" s="139"/>
      <c r="BLA108" s="139"/>
      <c r="BLB108" s="139"/>
      <c r="BLC108" s="139"/>
      <c r="BLD108" s="139"/>
      <c r="BLE108" s="139"/>
      <c r="BLF108" s="139"/>
      <c r="BLG108" s="139"/>
      <c r="BLH108" s="139"/>
      <c r="BLI108" s="139"/>
      <c r="BLJ108" s="139"/>
      <c r="BLK108" s="139"/>
      <c r="BLL108" s="139"/>
      <c r="BLM108" s="139"/>
      <c r="BLN108" s="139"/>
      <c r="BLO108" s="139"/>
      <c r="BLP108" s="139"/>
      <c r="BLQ108" s="139"/>
      <c r="BLR108" s="139"/>
      <c r="BLS108" s="139"/>
      <c r="BLT108" s="139"/>
      <c r="BLU108" s="139"/>
      <c r="BLV108" s="139"/>
      <c r="BLW108" s="139"/>
      <c r="BLX108" s="139"/>
      <c r="BLY108" s="139"/>
      <c r="BLZ108" s="139"/>
      <c r="BMA108" s="139"/>
      <c r="BMB108" s="139"/>
      <c r="BMC108" s="139"/>
      <c r="BMD108" s="139"/>
      <c r="BME108" s="139"/>
      <c r="BMF108" s="139"/>
      <c r="BMG108" s="139"/>
      <c r="BMH108" s="139"/>
      <c r="BMI108" s="139"/>
      <c r="BMJ108" s="139"/>
      <c r="BMK108" s="139"/>
      <c r="BML108" s="139"/>
      <c r="BMM108" s="139"/>
      <c r="BMN108" s="139"/>
      <c r="BMO108" s="139"/>
      <c r="BMP108" s="139"/>
      <c r="BMQ108" s="139"/>
      <c r="BMR108" s="139"/>
      <c r="BMS108" s="139"/>
      <c r="BMT108" s="139"/>
      <c r="BMU108" s="139"/>
      <c r="BMV108" s="139"/>
      <c r="BMW108" s="139"/>
      <c r="BMX108" s="139"/>
      <c r="BMY108" s="139"/>
      <c r="BMZ108" s="139"/>
      <c r="BNA108" s="139"/>
      <c r="BNB108" s="139"/>
      <c r="BNC108" s="139"/>
      <c r="BND108" s="139"/>
      <c r="BNE108" s="139"/>
      <c r="BNF108" s="139"/>
      <c r="BNG108" s="139"/>
      <c r="BNH108" s="139"/>
      <c r="BNI108" s="139"/>
      <c r="BNJ108" s="139"/>
      <c r="BNK108" s="139"/>
      <c r="BNL108" s="139"/>
      <c r="BNM108" s="139"/>
      <c r="BNN108" s="139"/>
      <c r="BNO108" s="139"/>
      <c r="BNP108" s="139"/>
      <c r="BNQ108" s="139"/>
      <c r="BNR108" s="139"/>
      <c r="BNS108" s="139"/>
      <c r="BNT108" s="139"/>
      <c r="BNU108" s="139"/>
      <c r="BNV108" s="139"/>
      <c r="BNW108" s="139"/>
      <c r="BNX108" s="139"/>
      <c r="BNY108" s="139"/>
      <c r="BNZ108" s="139"/>
      <c r="BOA108" s="139"/>
      <c r="BOB108" s="139"/>
      <c r="BOC108" s="139"/>
      <c r="BOD108" s="139"/>
      <c r="BOE108" s="139"/>
      <c r="BOF108" s="139"/>
      <c r="BOG108" s="139"/>
      <c r="BOH108" s="139"/>
      <c r="BOI108" s="139"/>
      <c r="BOJ108" s="139"/>
      <c r="BOK108" s="139"/>
      <c r="BOL108" s="139"/>
      <c r="BOM108" s="139"/>
      <c r="BON108" s="139"/>
      <c r="BOO108" s="139"/>
      <c r="BOP108" s="139"/>
      <c r="BOQ108" s="139"/>
      <c r="BOR108" s="139"/>
      <c r="BOS108" s="139"/>
      <c r="BOT108" s="139"/>
      <c r="BOU108" s="139"/>
      <c r="BOV108" s="139"/>
      <c r="BOW108" s="139"/>
      <c r="BOX108" s="139"/>
      <c r="BOY108" s="139"/>
      <c r="BOZ108" s="139"/>
      <c r="BPA108" s="139"/>
      <c r="BPB108" s="139"/>
      <c r="BPC108" s="139"/>
      <c r="BPD108" s="139"/>
      <c r="BPE108" s="139"/>
      <c r="BPF108" s="139"/>
      <c r="BPG108" s="139"/>
      <c r="BPH108" s="139"/>
      <c r="BPI108" s="139"/>
      <c r="BPJ108" s="139"/>
      <c r="BPK108" s="139"/>
      <c r="BPL108" s="139"/>
      <c r="BPM108" s="139"/>
      <c r="BPN108" s="139"/>
      <c r="BPO108" s="139"/>
      <c r="BPP108" s="139"/>
      <c r="BPQ108" s="139"/>
      <c r="BPR108" s="139"/>
      <c r="BPS108" s="139"/>
      <c r="BPT108" s="139"/>
      <c r="BPU108" s="139"/>
      <c r="BPV108" s="139"/>
      <c r="BPW108" s="139"/>
      <c r="BPX108" s="139"/>
      <c r="BPY108" s="139"/>
      <c r="BPZ108" s="139"/>
      <c r="BQA108" s="139"/>
      <c r="BQB108" s="139"/>
      <c r="BQC108" s="139"/>
      <c r="BQD108" s="139"/>
      <c r="BQE108" s="139"/>
      <c r="BQF108" s="139"/>
      <c r="BQG108" s="139"/>
      <c r="BQH108" s="139"/>
      <c r="BQI108" s="139"/>
      <c r="BQJ108" s="139"/>
      <c r="BQK108" s="139"/>
      <c r="BQL108" s="139"/>
      <c r="BQM108" s="139"/>
      <c r="BQN108" s="139"/>
      <c r="BQO108" s="139"/>
      <c r="BQP108" s="139"/>
      <c r="BQQ108" s="139"/>
      <c r="BQR108" s="139"/>
      <c r="BQS108" s="139"/>
      <c r="BQT108" s="139"/>
      <c r="BQU108" s="139"/>
      <c r="BQV108" s="139"/>
      <c r="BQW108" s="139"/>
      <c r="BQX108" s="139"/>
      <c r="BQY108" s="139"/>
      <c r="BQZ108" s="139"/>
      <c r="BRA108" s="139"/>
      <c r="BRB108" s="139"/>
      <c r="BRC108" s="139"/>
      <c r="BRD108" s="139"/>
      <c r="BRE108" s="139"/>
      <c r="BRF108" s="139"/>
      <c r="BRG108" s="139"/>
      <c r="BRH108" s="139"/>
      <c r="BRI108" s="139"/>
      <c r="BRJ108" s="139"/>
      <c r="BRK108" s="139"/>
      <c r="BRL108" s="139"/>
      <c r="BRM108" s="139"/>
      <c r="BRN108" s="139"/>
      <c r="BRO108" s="139"/>
      <c r="BRP108" s="139"/>
      <c r="BRQ108" s="139"/>
      <c r="BRR108" s="139"/>
      <c r="BRS108" s="139"/>
      <c r="BRT108" s="139"/>
      <c r="BRU108" s="139"/>
      <c r="BRV108" s="139"/>
      <c r="BRW108" s="139"/>
      <c r="BRX108" s="139"/>
      <c r="BRY108" s="139"/>
      <c r="BRZ108" s="139"/>
      <c r="BSA108" s="139"/>
      <c r="BSB108" s="139"/>
      <c r="BSC108" s="139"/>
      <c r="BSD108" s="139"/>
      <c r="BSE108" s="139"/>
      <c r="BSF108" s="139"/>
      <c r="BSG108" s="139"/>
      <c r="BSH108" s="139"/>
      <c r="BSI108" s="139"/>
      <c r="BSJ108" s="139"/>
      <c r="BSK108" s="139"/>
      <c r="BSL108" s="139"/>
      <c r="BSM108" s="139"/>
      <c r="BSN108" s="139"/>
      <c r="BSO108" s="139"/>
      <c r="BSP108" s="139"/>
      <c r="BSQ108" s="139"/>
      <c r="BSR108" s="139"/>
      <c r="BSS108" s="139"/>
      <c r="BST108" s="139"/>
      <c r="BSU108" s="139"/>
      <c r="BSV108" s="139"/>
      <c r="BSW108" s="139"/>
      <c r="BSX108" s="139"/>
      <c r="BSY108" s="139"/>
      <c r="BSZ108" s="139"/>
      <c r="BTA108" s="139"/>
      <c r="BTB108" s="139"/>
      <c r="BTC108" s="139"/>
      <c r="BTD108" s="139"/>
      <c r="BTE108" s="139"/>
      <c r="BTF108" s="139"/>
      <c r="BTG108" s="139"/>
      <c r="BTH108" s="139"/>
      <c r="BTI108" s="139"/>
      <c r="BTJ108" s="139"/>
      <c r="BTK108" s="139"/>
      <c r="BTL108" s="139"/>
      <c r="BTM108" s="139"/>
      <c r="BTN108" s="139"/>
      <c r="BTO108" s="139"/>
      <c r="BTP108" s="139"/>
      <c r="BTQ108" s="139"/>
      <c r="BTR108" s="139"/>
      <c r="BTS108" s="139"/>
      <c r="BTT108" s="139"/>
      <c r="BTU108" s="139"/>
      <c r="BTV108" s="139"/>
      <c r="BTW108" s="139"/>
      <c r="BTX108" s="139"/>
      <c r="BTY108" s="139"/>
      <c r="BTZ108" s="139"/>
      <c r="BUA108" s="139"/>
      <c r="BUB108" s="139"/>
      <c r="BUC108" s="139"/>
      <c r="BUD108" s="139"/>
      <c r="BUE108" s="139"/>
      <c r="BUF108" s="139"/>
      <c r="BUG108" s="139"/>
      <c r="BUH108" s="139"/>
      <c r="BUI108" s="139"/>
      <c r="BUJ108" s="139"/>
      <c r="BUK108" s="139"/>
      <c r="BUL108" s="139"/>
      <c r="BUM108" s="139"/>
      <c r="BUN108" s="139"/>
      <c r="BUO108" s="139"/>
      <c r="BUP108" s="139"/>
      <c r="BUQ108" s="139"/>
      <c r="BUR108" s="139"/>
      <c r="BUS108" s="139"/>
      <c r="BUT108" s="139"/>
      <c r="BUU108" s="139"/>
      <c r="BUV108" s="139"/>
      <c r="BUW108" s="139"/>
      <c r="BUX108" s="139"/>
      <c r="BUY108" s="139"/>
      <c r="BUZ108" s="139"/>
      <c r="BVA108" s="139"/>
      <c r="BVB108" s="139"/>
      <c r="BVC108" s="139"/>
      <c r="BVD108" s="139"/>
      <c r="BVE108" s="139"/>
      <c r="BVF108" s="139"/>
      <c r="BVG108" s="139"/>
      <c r="BVH108" s="139"/>
      <c r="BVI108" s="139"/>
      <c r="BVJ108" s="139"/>
      <c r="BVK108" s="139"/>
      <c r="BVL108" s="139"/>
      <c r="BVM108" s="139"/>
      <c r="BVN108" s="139"/>
      <c r="BVO108" s="139"/>
      <c r="BVP108" s="139"/>
      <c r="BVQ108" s="139"/>
      <c r="BVR108" s="139"/>
      <c r="BVS108" s="139"/>
      <c r="BVT108" s="139"/>
      <c r="BVU108" s="139"/>
      <c r="BVV108" s="139"/>
      <c r="BVW108" s="139"/>
      <c r="BVX108" s="139"/>
      <c r="BVY108" s="139"/>
      <c r="BVZ108" s="139"/>
      <c r="BWA108" s="139"/>
      <c r="BWB108" s="139"/>
      <c r="BWC108" s="139"/>
      <c r="BWD108" s="139"/>
      <c r="BWE108" s="139"/>
      <c r="BWF108" s="139"/>
      <c r="BWG108" s="139"/>
      <c r="BWH108" s="139"/>
      <c r="BWI108" s="139"/>
      <c r="BWJ108" s="139"/>
      <c r="BWK108" s="139"/>
      <c r="BWL108" s="139"/>
      <c r="BWM108" s="139"/>
      <c r="BWN108" s="139"/>
      <c r="BWO108" s="139"/>
      <c r="BWP108" s="139"/>
      <c r="BWQ108" s="139"/>
      <c r="BWR108" s="139"/>
      <c r="BWS108" s="139"/>
      <c r="BWT108" s="139"/>
      <c r="BWU108" s="139"/>
      <c r="BWV108" s="139"/>
      <c r="BWW108" s="139"/>
      <c r="BWX108" s="139"/>
      <c r="BWY108" s="139"/>
      <c r="BWZ108" s="139"/>
      <c r="BXA108" s="139"/>
      <c r="BXB108" s="139"/>
      <c r="BXC108" s="139"/>
      <c r="BXD108" s="139"/>
      <c r="BXE108" s="139"/>
      <c r="BXF108" s="139"/>
      <c r="BXG108" s="139"/>
      <c r="BXH108" s="139"/>
      <c r="BXI108" s="139"/>
      <c r="BXJ108" s="139"/>
      <c r="BXK108" s="139"/>
      <c r="BXL108" s="139"/>
      <c r="BXM108" s="139"/>
      <c r="BXN108" s="139"/>
      <c r="BXO108" s="139"/>
      <c r="BXP108" s="139"/>
      <c r="BXQ108" s="139"/>
      <c r="BXR108" s="139"/>
      <c r="BXS108" s="139"/>
      <c r="BXT108" s="139"/>
      <c r="BXU108" s="139"/>
      <c r="BXV108" s="139"/>
      <c r="BXW108" s="139"/>
      <c r="BXX108" s="139"/>
      <c r="BXY108" s="139"/>
      <c r="BXZ108" s="139"/>
      <c r="BYA108" s="139"/>
      <c r="BYB108" s="139"/>
      <c r="BYC108" s="139"/>
      <c r="BYD108" s="139"/>
      <c r="BYE108" s="139"/>
      <c r="BYF108" s="139"/>
      <c r="BYG108" s="139"/>
      <c r="BYH108" s="139"/>
      <c r="BYI108" s="139"/>
      <c r="BYJ108" s="139"/>
      <c r="BYK108" s="139"/>
      <c r="BYL108" s="139"/>
      <c r="BYM108" s="139"/>
      <c r="BYN108" s="139"/>
      <c r="BYO108" s="139"/>
      <c r="BYP108" s="139"/>
      <c r="BYQ108" s="139"/>
      <c r="BYR108" s="139"/>
      <c r="BYS108" s="139"/>
      <c r="BYT108" s="139"/>
      <c r="BYU108" s="139"/>
      <c r="BYV108" s="139"/>
      <c r="BYW108" s="139"/>
      <c r="BYX108" s="139"/>
      <c r="BYY108" s="139"/>
      <c r="BYZ108" s="139"/>
      <c r="BZA108" s="139"/>
      <c r="BZB108" s="139"/>
      <c r="BZC108" s="139"/>
      <c r="BZD108" s="139"/>
      <c r="BZE108" s="139"/>
      <c r="BZF108" s="139"/>
      <c r="BZG108" s="139"/>
      <c r="BZH108" s="139"/>
      <c r="BZI108" s="139"/>
      <c r="BZJ108" s="139"/>
      <c r="BZK108" s="139"/>
      <c r="BZL108" s="139"/>
      <c r="BZM108" s="139"/>
      <c r="BZN108" s="139"/>
      <c r="BZO108" s="139"/>
      <c r="BZP108" s="139"/>
      <c r="BZQ108" s="139"/>
      <c r="BZR108" s="139"/>
      <c r="BZS108" s="139"/>
      <c r="BZT108" s="139"/>
      <c r="BZU108" s="139"/>
      <c r="BZV108" s="139"/>
      <c r="BZW108" s="139"/>
      <c r="BZX108" s="139"/>
      <c r="BZY108" s="139"/>
      <c r="BZZ108" s="139"/>
      <c r="CAA108" s="139"/>
      <c r="CAB108" s="139"/>
      <c r="CAC108" s="139"/>
      <c r="CAD108" s="139"/>
      <c r="CAE108" s="139"/>
      <c r="CAF108" s="139"/>
      <c r="CAG108" s="139"/>
      <c r="CAH108" s="139"/>
      <c r="CAI108" s="139"/>
      <c r="CAJ108" s="139"/>
      <c r="CAK108" s="139"/>
      <c r="CAL108" s="139"/>
      <c r="CAM108" s="139"/>
      <c r="CAN108" s="139"/>
      <c r="CAO108" s="139"/>
      <c r="CAP108" s="139"/>
      <c r="CAQ108" s="139"/>
      <c r="CAR108" s="139"/>
      <c r="CAS108" s="139"/>
      <c r="CAT108" s="139"/>
      <c r="CAU108" s="139"/>
      <c r="CAV108" s="139"/>
      <c r="CAW108" s="139"/>
      <c r="CAX108" s="139"/>
      <c r="CAY108" s="139"/>
      <c r="CAZ108" s="139"/>
      <c r="CBA108" s="139"/>
      <c r="CBB108" s="139"/>
      <c r="CBC108" s="139"/>
      <c r="CBD108" s="139"/>
      <c r="CBE108" s="139"/>
      <c r="CBF108" s="139"/>
      <c r="CBG108" s="139"/>
      <c r="CBH108" s="139"/>
      <c r="CBI108" s="139"/>
      <c r="CBJ108" s="139"/>
      <c r="CBK108" s="139"/>
      <c r="CBL108" s="139"/>
      <c r="CBM108" s="139"/>
      <c r="CBN108" s="139"/>
      <c r="CBO108" s="139"/>
      <c r="CBP108" s="139"/>
      <c r="CBQ108" s="139"/>
      <c r="CBR108" s="139"/>
      <c r="CBS108" s="139"/>
      <c r="CBT108" s="139"/>
      <c r="CBU108" s="139"/>
      <c r="CBV108" s="139"/>
      <c r="CBW108" s="139"/>
      <c r="CBX108" s="139"/>
      <c r="CBY108" s="139"/>
      <c r="CBZ108" s="139"/>
      <c r="CCA108" s="139"/>
      <c r="CCB108" s="139"/>
      <c r="CCC108" s="139"/>
      <c r="CCD108" s="139"/>
      <c r="CCE108" s="139"/>
      <c r="CCF108" s="139"/>
      <c r="CCG108" s="139"/>
      <c r="CCH108" s="139"/>
      <c r="CCI108" s="139"/>
      <c r="CCJ108" s="139"/>
      <c r="CCK108" s="139"/>
      <c r="CCL108" s="139"/>
      <c r="CCM108" s="139"/>
      <c r="CCN108" s="139"/>
      <c r="CCO108" s="139"/>
      <c r="CCP108" s="139"/>
      <c r="CCQ108" s="139"/>
      <c r="CCR108" s="139"/>
      <c r="CCS108" s="139"/>
      <c r="CCT108" s="139"/>
      <c r="CCU108" s="139"/>
      <c r="CCV108" s="139"/>
      <c r="CCW108" s="139"/>
      <c r="CCX108" s="139"/>
      <c r="CCY108" s="139"/>
      <c r="CCZ108" s="139"/>
      <c r="CDA108" s="139"/>
      <c r="CDB108" s="139"/>
      <c r="CDC108" s="139"/>
      <c r="CDD108" s="139"/>
      <c r="CDE108" s="139"/>
      <c r="CDF108" s="139"/>
      <c r="CDG108" s="139"/>
      <c r="CDH108" s="139"/>
      <c r="CDI108" s="139"/>
      <c r="CDJ108" s="139"/>
      <c r="CDK108" s="139"/>
      <c r="CDL108" s="139"/>
      <c r="CDM108" s="139"/>
      <c r="CDN108" s="139"/>
      <c r="CDO108" s="139"/>
      <c r="CDP108" s="139"/>
      <c r="CDQ108" s="139"/>
      <c r="CDR108" s="139"/>
      <c r="CDS108" s="139"/>
      <c r="CDT108" s="139"/>
      <c r="CDU108" s="139"/>
      <c r="CDV108" s="139"/>
      <c r="CDW108" s="139"/>
      <c r="CDX108" s="139"/>
      <c r="CDY108" s="139"/>
      <c r="CDZ108" s="139"/>
      <c r="CEA108" s="139"/>
      <c r="CEB108" s="139"/>
      <c r="CEC108" s="139"/>
      <c r="CED108" s="139"/>
      <c r="CEE108" s="139"/>
      <c r="CEF108" s="139"/>
      <c r="CEG108" s="139"/>
      <c r="CEH108" s="139"/>
      <c r="CEI108" s="139"/>
      <c r="CEJ108" s="139"/>
      <c r="CEK108" s="139"/>
      <c r="CEL108" s="139"/>
      <c r="CEM108" s="139"/>
      <c r="CEN108" s="139"/>
      <c r="CEO108" s="139"/>
      <c r="CEP108" s="139"/>
      <c r="CEQ108" s="139"/>
      <c r="CER108" s="139"/>
      <c r="CES108" s="139"/>
      <c r="CET108" s="139"/>
      <c r="CEU108" s="139"/>
      <c r="CEV108" s="139"/>
      <c r="CEW108" s="139"/>
      <c r="CEX108" s="139"/>
      <c r="CEY108" s="139"/>
      <c r="CEZ108" s="139"/>
      <c r="CFA108" s="139"/>
      <c r="CFB108" s="139"/>
      <c r="CFC108" s="139"/>
      <c r="CFD108" s="139"/>
      <c r="CFE108" s="139"/>
      <c r="CFF108" s="139"/>
      <c r="CFG108" s="139"/>
      <c r="CFH108" s="139"/>
      <c r="CFI108" s="139"/>
      <c r="CFJ108" s="139"/>
      <c r="CFK108" s="139"/>
      <c r="CFL108" s="139"/>
      <c r="CFM108" s="139"/>
      <c r="CFN108" s="139"/>
      <c r="CFO108" s="139"/>
      <c r="CFP108" s="139"/>
      <c r="CFQ108" s="139"/>
      <c r="CFR108" s="139"/>
      <c r="CFS108" s="139"/>
      <c r="CFT108" s="139"/>
      <c r="CFU108" s="139"/>
      <c r="CFV108" s="139"/>
      <c r="CFW108" s="139"/>
      <c r="CFX108" s="139"/>
      <c r="CFY108" s="139"/>
      <c r="CFZ108" s="139"/>
      <c r="CGA108" s="139"/>
      <c r="CGB108" s="139"/>
      <c r="CGC108" s="139"/>
      <c r="CGD108" s="139"/>
      <c r="CGE108" s="139"/>
      <c r="CGF108" s="139"/>
      <c r="CGG108" s="139"/>
      <c r="CGH108" s="139"/>
      <c r="CGI108" s="139"/>
      <c r="CGJ108" s="139"/>
      <c r="CGK108" s="139"/>
      <c r="CGL108" s="139"/>
      <c r="CGM108" s="139"/>
      <c r="CGN108" s="139"/>
      <c r="CGO108" s="139"/>
      <c r="CGP108" s="139"/>
      <c r="CGQ108" s="139"/>
      <c r="CGR108" s="139"/>
      <c r="CGS108" s="139"/>
      <c r="CGT108" s="139"/>
      <c r="CGU108" s="139"/>
      <c r="CGV108" s="139"/>
      <c r="CGW108" s="139"/>
      <c r="CGX108" s="139"/>
      <c r="CGY108" s="139"/>
      <c r="CGZ108" s="139"/>
      <c r="CHA108" s="139"/>
      <c r="CHB108" s="139"/>
      <c r="CHC108" s="139"/>
      <c r="CHD108" s="139"/>
      <c r="CHE108" s="139"/>
      <c r="CHF108" s="139"/>
      <c r="CHG108" s="139"/>
      <c r="CHH108" s="139"/>
      <c r="CHI108" s="139"/>
      <c r="CHJ108" s="139"/>
      <c r="CHK108" s="139"/>
      <c r="CHL108" s="139"/>
      <c r="CHM108" s="139"/>
      <c r="CHN108" s="139"/>
      <c r="CHO108" s="139"/>
      <c r="CHP108" s="139"/>
      <c r="CHQ108" s="139"/>
      <c r="CHR108" s="139"/>
      <c r="CHS108" s="139"/>
      <c r="CHT108" s="139"/>
      <c r="CHU108" s="139"/>
      <c r="CHV108" s="139"/>
      <c r="CHW108" s="139"/>
      <c r="CHX108" s="139"/>
      <c r="CHY108" s="139"/>
      <c r="CHZ108" s="139"/>
      <c r="CIA108" s="139"/>
      <c r="CIB108" s="139"/>
      <c r="CIC108" s="139"/>
      <c r="CID108" s="139"/>
      <c r="CIE108" s="139"/>
      <c r="CIF108" s="139"/>
      <c r="CIG108" s="139"/>
      <c r="CIH108" s="139"/>
      <c r="CII108" s="139"/>
      <c r="CIJ108" s="139"/>
      <c r="CIK108" s="139"/>
      <c r="CIL108" s="139"/>
      <c r="CIM108" s="139"/>
      <c r="CIN108" s="139"/>
      <c r="CIO108" s="139"/>
      <c r="CIP108" s="139"/>
      <c r="CIQ108" s="139"/>
      <c r="CIR108" s="139"/>
      <c r="CIS108" s="139"/>
      <c r="CIT108" s="139"/>
      <c r="CIU108" s="139"/>
      <c r="CIV108" s="139"/>
      <c r="CIW108" s="139"/>
      <c r="CIX108" s="139"/>
      <c r="CIY108" s="139"/>
      <c r="CIZ108" s="139"/>
      <c r="CJA108" s="139"/>
      <c r="CJB108" s="139"/>
      <c r="CJC108" s="139"/>
      <c r="CJD108" s="139"/>
      <c r="CJE108" s="139"/>
      <c r="CJF108" s="139"/>
      <c r="CJG108" s="139"/>
      <c r="CJH108" s="139"/>
      <c r="CJI108" s="139"/>
      <c r="CJJ108" s="139"/>
      <c r="CJK108" s="139"/>
      <c r="CJL108" s="139"/>
      <c r="CJM108" s="139"/>
      <c r="CJN108" s="139"/>
      <c r="CJO108" s="139"/>
      <c r="CJP108" s="139"/>
      <c r="CJQ108" s="139"/>
      <c r="CJR108" s="139"/>
      <c r="CJS108" s="139"/>
      <c r="CJT108" s="139"/>
      <c r="CJU108" s="139"/>
      <c r="CJV108" s="139"/>
      <c r="CJW108" s="139"/>
      <c r="CJX108" s="139"/>
      <c r="CJY108" s="139"/>
      <c r="CJZ108" s="139"/>
      <c r="CKA108" s="139"/>
      <c r="CKB108" s="139"/>
      <c r="CKC108" s="139"/>
      <c r="CKD108" s="139"/>
      <c r="CKE108" s="139"/>
      <c r="CKF108" s="139"/>
      <c r="CKG108" s="139"/>
      <c r="CKH108" s="139"/>
      <c r="CKI108" s="139"/>
      <c r="CKJ108" s="139"/>
      <c r="CKK108" s="139"/>
      <c r="CKL108" s="139"/>
      <c r="CKM108" s="139"/>
      <c r="CKN108" s="139"/>
      <c r="CKO108" s="139"/>
      <c r="CKP108" s="139"/>
      <c r="CKQ108" s="139"/>
      <c r="CKR108" s="139"/>
      <c r="CKS108" s="139"/>
      <c r="CKT108" s="139"/>
      <c r="CKU108" s="139"/>
      <c r="CKV108" s="139"/>
      <c r="CKW108" s="139"/>
      <c r="CKX108" s="139"/>
      <c r="CKY108" s="139"/>
      <c r="CKZ108" s="139"/>
      <c r="CLA108" s="139"/>
      <c r="CLB108" s="139"/>
      <c r="CLC108" s="139"/>
      <c r="CLD108" s="139"/>
      <c r="CLE108" s="139"/>
      <c r="CLF108" s="139"/>
      <c r="CLG108" s="139"/>
      <c r="CLH108" s="139"/>
      <c r="CLI108" s="139"/>
      <c r="CLJ108" s="139"/>
      <c r="CLK108" s="139"/>
      <c r="CLL108" s="139"/>
      <c r="CLM108" s="139"/>
      <c r="CLN108" s="139"/>
      <c r="CLO108" s="139"/>
      <c r="CLP108" s="139"/>
      <c r="CLQ108" s="139"/>
      <c r="CLR108" s="139"/>
      <c r="CLS108" s="139"/>
      <c r="CLT108" s="139"/>
      <c r="CLU108" s="139"/>
      <c r="CLV108" s="139"/>
      <c r="CLW108" s="139"/>
      <c r="CLX108" s="139"/>
      <c r="CLY108" s="139"/>
      <c r="CLZ108" s="139"/>
      <c r="CMA108" s="139"/>
      <c r="CMB108" s="139"/>
      <c r="CMC108" s="139"/>
      <c r="CMD108" s="139"/>
      <c r="CME108" s="139"/>
      <c r="CMF108" s="139"/>
      <c r="CMG108" s="139"/>
      <c r="CMH108" s="139"/>
      <c r="CMI108" s="139"/>
      <c r="CMJ108" s="139"/>
      <c r="CMK108" s="139"/>
      <c r="CML108" s="139"/>
      <c r="CMM108" s="139"/>
      <c r="CMN108" s="139"/>
      <c r="CMO108" s="139"/>
      <c r="CMP108" s="139"/>
      <c r="CMQ108" s="139"/>
      <c r="CMR108" s="139"/>
      <c r="CMS108" s="139"/>
      <c r="CMT108" s="139"/>
      <c r="CMU108" s="139"/>
      <c r="CMV108" s="139"/>
      <c r="CMW108" s="139"/>
      <c r="CMX108" s="139"/>
      <c r="CMY108" s="139"/>
      <c r="CMZ108" s="139"/>
      <c r="CNA108" s="139"/>
      <c r="CNB108" s="139"/>
      <c r="CNC108" s="139"/>
      <c r="CND108" s="139"/>
      <c r="CNE108" s="139"/>
      <c r="CNF108" s="139"/>
      <c r="CNG108" s="139"/>
      <c r="CNH108" s="139"/>
      <c r="CNI108" s="139"/>
      <c r="CNJ108" s="139"/>
      <c r="CNK108" s="139"/>
      <c r="CNL108" s="139"/>
      <c r="CNM108" s="139"/>
      <c r="CNN108" s="139"/>
      <c r="CNO108" s="139"/>
      <c r="CNP108" s="139"/>
      <c r="CNQ108" s="139"/>
      <c r="CNR108" s="139"/>
      <c r="CNS108" s="139"/>
      <c r="CNT108" s="139"/>
      <c r="CNU108" s="139"/>
      <c r="CNV108" s="139"/>
      <c r="CNW108" s="139"/>
      <c r="CNX108" s="139"/>
      <c r="CNY108" s="139"/>
      <c r="CNZ108" s="139"/>
      <c r="COA108" s="139"/>
      <c r="COB108" s="139"/>
      <c r="COC108" s="139"/>
      <c r="COD108" s="139"/>
      <c r="COE108" s="139"/>
      <c r="COF108" s="139"/>
      <c r="COG108" s="139"/>
      <c r="COH108" s="139"/>
      <c r="COI108" s="139"/>
      <c r="COJ108" s="139"/>
      <c r="COK108" s="139"/>
      <c r="COL108" s="139"/>
      <c r="COM108" s="139"/>
      <c r="CON108" s="139"/>
      <c r="COO108" s="139"/>
      <c r="COP108" s="139"/>
      <c r="COQ108" s="139"/>
      <c r="COR108" s="139"/>
      <c r="COS108" s="139"/>
      <c r="COT108" s="139"/>
      <c r="COU108" s="139"/>
      <c r="COV108" s="139"/>
      <c r="COW108" s="139"/>
      <c r="COX108" s="139"/>
      <c r="COY108" s="139"/>
      <c r="COZ108" s="139"/>
      <c r="CPA108" s="139"/>
      <c r="CPB108" s="139"/>
      <c r="CPC108" s="139"/>
      <c r="CPD108" s="139"/>
      <c r="CPE108" s="139"/>
      <c r="CPF108" s="139"/>
      <c r="CPG108" s="139"/>
      <c r="CPH108" s="139"/>
      <c r="CPI108" s="139"/>
      <c r="CPJ108" s="139"/>
      <c r="CPK108" s="139"/>
      <c r="CPL108" s="139"/>
      <c r="CPM108" s="139"/>
      <c r="CPN108" s="139"/>
      <c r="CPO108" s="139"/>
      <c r="CPP108" s="139"/>
      <c r="CPQ108" s="139"/>
      <c r="CPR108" s="139"/>
      <c r="CPS108" s="139"/>
      <c r="CPT108" s="139"/>
      <c r="CPU108" s="139"/>
      <c r="CPV108" s="139"/>
      <c r="CPW108" s="139"/>
      <c r="CPX108" s="139"/>
      <c r="CPY108" s="139"/>
      <c r="CPZ108" s="139"/>
      <c r="CQA108" s="139"/>
      <c r="CQB108" s="139"/>
      <c r="CQC108" s="139"/>
      <c r="CQD108" s="139"/>
      <c r="CQE108" s="139"/>
      <c r="CQF108" s="139"/>
      <c r="CQG108" s="139"/>
      <c r="CQH108" s="139"/>
      <c r="CQI108" s="139"/>
      <c r="CQJ108" s="139"/>
      <c r="CQK108" s="139"/>
      <c r="CQL108" s="139"/>
      <c r="CQM108" s="139"/>
      <c r="CQN108" s="139"/>
      <c r="CQO108" s="139"/>
      <c r="CQP108" s="139"/>
      <c r="CQQ108" s="139"/>
      <c r="CQR108" s="139"/>
      <c r="CQS108" s="139"/>
      <c r="CQT108" s="139"/>
      <c r="CQU108" s="139"/>
      <c r="CQV108" s="139"/>
      <c r="CQW108" s="139"/>
      <c r="CQX108" s="139"/>
      <c r="CQY108" s="139"/>
      <c r="CQZ108" s="139"/>
      <c r="CRA108" s="139"/>
      <c r="CRB108" s="139"/>
      <c r="CRC108" s="139"/>
      <c r="CRD108" s="139"/>
      <c r="CRE108" s="139"/>
      <c r="CRF108" s="139"/>
      <c r="CRG108" s="139"/>
      <c r="CRH108" s="139"/>
      <c r="CRI108" s="139"/>
      <c r="CRJ108" s="139"/>
      <c r="CRK108" s="139"/>
      <c r="CRL108" s="139"/>
      <c r="CRM108" s="139"/>
      <c r="CRN108" s="139"/>
      <c r="CRO108" s="139"/>
      <c r="CRP108" s="139"/>
      <c r="CRQ108" s="139"/>
      <c r="CRR108" s="139"/>
      <c r="CRS108" s="139"/>
      <c r="CRT108" s="139"/>
      <c r="CRU108" s="139"/>
      <c r="CRV108" s="139"/>
      <c r="CRW108" s="139"/>
      <c r="CRX108" s="139"/>
      <c r="CRY108" s="139"/>
      <c r="CRZ108" s="139"/>
      <c r="CSA108" s="139"/>
      <c r="CSB108" s="139"/>
      <c r="CSC108" s="139"/>
      <c r="CSD108" s="139"/>
      <c r="CSE108" s="139"/>
      <c r="CSF108" s="139"/>
      <c r="CSG108" s="139"/>
      <c r="CSH108" s="139"/>
      <c r="CSI108" s="139"/>
      <c r="CSJ108" s="139"/>
      <c r="CSK108" s="139"/>
      <c r="CSL108" s="139"/>
      <c r="CSM108" s="139"/>
      <c r="CSN108" s="139"/>
      <c r="CSO108" s="139"/>
      <c r="CSP108" s="139"/>
      <c r="CSQ108" s="139"/>
      <c r="CSR108" s="139"/>
      <c r="CSS108" s="139"/>
      <c r="CST108" s="139"/>
      <c r="CSU108" s="139"/>
      <c r="CSV108" s="139"/>
      <c r="CSW108" s="139"/>
      <c r="CSX108" s="139"/>
      <c r="CSY108" s="139"/>
      <c r="CSZ108" s="139"/>
      <c r="CTA108" s="139"/>
      <c r="CTB108" s="139"/>
      <c r="CTC108" s="139"/>
      <c r="CTD108" s="139"/>
      <c r="CTE108" s="139"/>
      <c r="CTF108" s="139"/>
      <c r="CTG108" s="139"/>
      <c r="CTH108" s="139"/>
      <c r="CTI108" s="139"/>
      <c r="CTJ108" s="139"/>
      <c r="CTK108" s="139"/>
      <c r="CTL108" s="139"/>
      <c r="CTM108" s="139"/>
      <c r="CTN108" s="139"/>
      <c r="CTO108" s="139"/>
      <c r="CTP108" s="139"/>
      <c r="CTQ108" s="139"/>
      <c r="CTR108" s="139"/>
      <c r="CTS108" s="139"/>
      <c r="CTT108" s="139"/>
      <c r="CTU108" s="139"/>
      <c r="CTV108" s="139"/>
      <c r="CTW108" s="139"/>
      <c r="CTX108" s="139"/>
      <c r="CTY108" s="139"/>
      <c r="CTZ108" s="139"/>
      <c r="CUA108" s="139"/>
      <c r="CUB108" s="139"/>
      <c r="CUC108" s="139"/>
      <c r="CUD108" s="139"/>
      <c r="CUE108" s="139"/>
      <c r="CUF108" s="139"/>
      <c r="CUG108" s="139"/>
      <c r="CUH108" s="139"/>
      <c r="CUI108" s="139"/>
      <c r="CUJ108" s="139"/>
      <c r="CUK108" s="139"/>
      <c r="CUL108" s="139"/>
      <c r="CUM108" s="139"/>
      <c r="CUN108" s="139"/>
      <c r="CUO108" s="139"/>
      <c r="CUP108" s="139"/>
      <c r="CUQ108" s="139"/>
      <c r="CUR108" s="139"/>
      <c r="CUS108" s="139"/>
      <c r="CUT108" s="139"/>
      <c r="CUU108" s="139"/>
      <c r="CUV108" s="139"/>
      <c r="CUW108" s="139"/>
      <c r="CUX108" s="139"/>
      <c r="CUY108" s="139"/>
      <c r="CUZ108" s="139"/>
      <c r="CVA108" s="139"/>
      <c r="CVB108" s="139"/>
      <c r="CVC108" s="139"/>
      <c r="CVD108" s="139"/>
      <c r="CVE108" s="139"/>
      <c r="CVF108" s="139"/>
      <c r="CVG108" s="139"/>
      <c r="CVH108" s="139"/>
      <c r="CVI108" s="139"/>
      <c r="CVJ108" s="139"/>
      <c r="CVK108" s="139"/>
      <c r="CVL108" s="139"/>
      <c r="CVM108" s="139"/>
      <c r="CVN108" s="139"/>
      <c r="CVO108" s="139"/>
      <c r="CVP108" s="139"/>
      <c r="CVQ108" s="139"/>
      <c r="CVR108" s="139"/>
      <c r="CVS108" s="139"/>
      <c r="CVT108" s="139"/>
      <c r="CVU108" s="139"/>
      <c r="CVV108" s="139"/>
      <c r="CVW108" s="139"/>
      <c r="CVX108" s="139"/>
      <c r="CVY108" s="139"/>
      <c r="CVZ108" s="139"/>
      <c r="CWA108" s="139"/>
      <c r="CWB108" s="139"/>
      <c r="CWC108" s="139"/>
      <c r="CWD108" s="139"/>
      <c r="CWE108" s="139"/>
      <c r="CWF108" s="139"/>
      <c r="CWG108" s="139"/>
      <c r="CWH108" s="139"/>
      <c r="CWI108" s="139"/>
      <c r="CWJ108" s="139"/>
      <c r="CWK108" s="139"/>
      <c r="CWL108" s="139"/>
      <c r="CWM108" s="139"/>
      <c r="CWN108" s="139"/>
      <c r="CWO108" s="139"/>
      <c r="CWP108" s="139"/>
      <c r="CWQ108" s="139"/>
      <c r="CWR108" s="139"/>
      <c r="CWS108" s="139"/>
      <c r="CWT108" s="139"/>
      <c r="CWU108" s="139"/>
      <c r="CWV108" s="139"/>
      <c r="CWW108" s="139"/>
      <c r="CWX108" s="139"/>
      <c r="CWY108" s="139"/>
      <c r="CWZ108" s="139"/>
      <c r="CXA108" s="139"/>
      <c r="CXB108" s="139"/>
      <c r="CXC108" s="139"/>
      <c r="CXD108" s="139"/>
      <c r="CXE108" s="139"/>
      <c r="CXF108" s="139"/>
      <c r="CXG108" s="139"/>
      <c r="CXH108" s="139"/>
      <c r="CXI108" s="139"/>
      <c r="CXJ108" s="139"/>
      <c r="CXK108" s="139"/>
      <c r="CXL108" s="139"/>
      <c r="CXM108" s="139"/>
      <c r="CXN108" s="139"/>
      <c r="CXO108" s="139"/>
      <c r="CXP108" s="139"/>
      <c r="CXQ108" s="139"/>
      <c r="CXR108" s="139"/>
      <c r="CXS108" s="139"/>
      <c r="CXT108" s="139"/>
      <c r="CXU108" s="139"/>
      <c r="CXV108" s="139"/>
      <c r="CXW108" s="139"/>
      <c r="CXX108" s="139"/>
      <c r="CXY108" s="139"/>
      <c r="CXZ108" s="139"/>
      <c r="CYA108" s="139"/>
      <c r="CYB108" s="139"/>
      <c r="CYC108" s="139"/>
      <c r="CYD108" s="139"/>
      <c r="CYE108" s="139"/>
      <c r="CYF108" s="139"/>
      <c r="CYG108" s="139"/>
      <c r="CYH108" s="139"/>
      <c r="CYI108" s="139"/>
      <c r="CYJ108" s="139"/>
      <c r="CYK108" s="139"/>
      <c r="CYL108" s="139"/>
      <c r="CYM108" s="139"/>
      <c r="CYN108" s="139"/>
      <c r="CYO108" s="139"/>
      <c r="CYP108" s="139"/>
      <c r="CYQ108" s="139"/>
      <c r="CYR108" s="139"/>
      <c r="CYS108" s="139"/>
      <c r="CYT108" s="139"/>
      <c r="CYU108" s="139"/>
      <c r="CYV108" s="139"/>
      <c r="CYW108" s="139"/>
      <c r="CYX108" s="139"/>
      <c r="CYY108" s="139"/>
      <c r="CYZ108" s="139"/>
      <c r="CZA108" s="139"/>
      <c r="CZB108" s="139"/>
      <c r="CZC108" s="139"/>
      <c r="CZD108" s="139"/>
      <c r="CZE108" s="139"/>
      <c r="CZF108" s="139"/>
      <c r="CZG108" s="139"/>
      <c r="CZH108" s="139"/>
      <c r="CZI108" s="139"/>
      <c r="CZJ108" s="139"/>
      <c r="CZK108" s="139"/>
      <c r="CZL108" s="139"/>
      <c r="CZM108" s="139"/>
      <c r="CZN108" s="139"/>
      <c r="CZO108" s="139"/>
      <c r="CZP108" s="139"/>
      <c r="CZQ108" s="139"/>
      <c r="CZR108" s="139"/>
      <c r="CZS108" s="139"/>
      <c r="CZT108" s="139"/>
      <c r="CZU108" s="139"/>
      <c r="CZV108" s="139"/>
      <c r="CZW108" s="139"/>
      <c r="CZX108" s="139"/>
      <c r="CZY108" s="139"/>
      <c r="CZZ108" s="139"/>
      <c r="DAA108" s="139"/>
      <c r="DAB108" s="139"/>
      <c r="DAC108" s="139"/>
      <c r="DAD108" s="139"/>
      <c r="DAE108" s="139"/>
      <c r="DAF108" s="139"/>
      <c r="DAG108" s="139"/>
      <c r="DAH108" s="139"/>
      <c r="DAI108" s="139"/>
      <c r="DAJ108" s="139"/>
      <c r="DAK108" s="139"/>
      <c r="DAL108" s="139"/>
      <c r="DAM108" s="139"/>
      <c r="DAN108" s="139"/>
      <c r="DAO108" s="139"/>
      <c r="DAP108" s="139"/>
      <c r="DAQ108" s="139"/>
      <c r="DAR108" s="139"/>
      <c r="DAS108" s="139"/>
      <c r="DAT108" s="139"/>
      <c r="DAU108" s="139"/>
      <c r="DAV108" s="139"/>
      <c r="DAW108" s="139"/>
      <c r="DAX108" s="139"/>
      <c r="DAY108" s="139"/>
      <c r="DAZ108" s="139"/>
      <c r="DBA108" s="139"/>
      <c r="DBB108" s="139"/>
      <c r="DBC108" s="139"/>
      <c r="DBD108" s="139"/>
      <c r="DBE108" s="139"/>
      <c r="DBF108" s="139"/>
      <c r="DBG108" s="139"/>
      <c r="DBH108" s="139"/>
      <c r="DBI108" s="139"/>
      <c r="DBJ108" s="139"/>
      <c r="DBK108" s="139"/>
      <c r="DBL108" s="139"/>
      <c r="DBM108" s="139"/>
      <c r="DBN108" s="139"/>
      <c r="DBO108" s="139"/>
      <c r="DBP108" s="139"/>
      <c r="DBQ108" s="139"/>
      <c r="DBR108" s="139"/>
      <c r="DBS108" s="139"/>
      <c r="DBT108" s="139"/>
      <c r="DBU108" s="139"/>
      <c r="DBV108" s="139"/>
      <c r="DBW108" s="139"/>
      <c r="DBX108" s="139"/>
      <c r="DBY108" s="139"/>
      <c r="DBZ108" s="139"/>
      <c r="DCA108" s="139"/>
      <c r="DCB108" s="139"/>
      <c r="DCC108" s="139"/>
      <c r="DCD108" s="139"/>
      <c r="DCE108" s="139"/>
      <c r="DCF108" s="139"/>
      <c r="DCG108" s="139"/>
      <c r="DCH108" s="139"/>
      <c r="DCI108" s="139"/>
      <c r="DCJ108" s="139"/>
      <c r="DCK108" s="139"/>
      <c r="DCL108" s="139"/>
      <c r="DCM108" s="139"/>
      <c r="DCN108" s="139"/>
      <c r="DCO108" s="139"/>
      <c r="DCP108" s="139"/>
      <c r="DCQ108" s="139"/>
      <c r="DCR108" s="139"/>
      <c r="DCS108" s="139"/>
      <c r="DCT108" s="139"/>
      <c r="DCU108" s="139"/>
      <c r="DCV108" s="139"/>
      <c r="DCW108" s="139"/>
      <c r="DCX108" s="139"/>
      <c r="DCY108" s="139"/>
      <c r="DCZ108" s="139"/>
      <c r="DDA108" s="139"/>
      <c r="DDB108" s="139"/>
      <c r="DDC108" s="139"/>
      <c r="DDD108" s="139"/>
      <c r="DDE108" s="139"/>
      <c r="DDF108" s="139"/>
      <c r="DDG108" s="139"/>
      <c r="DDH108" s="139"/>
      <c r="DDI108" s="139"/>
      <c r="DDJ108" s="139"/>
      <c r="DDK108" s="139"/>
      <c r="DDL108" s="139"/>
      <c r="DDM108" s="139"/>
      <c r="DDN108" s="139"/>
      <c r="DDO108" s="139"/>
      <c r="DDP108" s="139"/>
      <c r="DDQ108" s="139"/>
      <c r="DDR108" s="139"/>
      <c r="DDS108" s="139"/>
      <c r="DDT108" s="139"/>
      <c r="DDU108" s="139"/>
      <c r="DDV108" s="139"/>
      <c r="DDW108" s="139"/>
      <c r="DDX108" s="139"/>
      <c r="DDY108" s="139"/>
      <c r="DDZ108" s="139"/>
      <c r="DEA108" s="139"/>
      <c r="DEB108" s="139"/>
      <c r="DEC108" s="139"/>
      <c r="DED108" s="139"/>
      <c r="DEE108" s="139"/>
      <c r="DEF108" s="139"/>
      <c r="DEG108" s="139"/>
      <c r="DEH108" s="139"/>
      <c r="DEI108" s="139"/>
      <c r="DEJ108" s="139"/>
      <c r="DEK108" s="139"/>
      <c r="DEL108" s="139"/>
      <c r="DEM108" s="139"/>
      <c r="DEN108" s="139"/>
      <c r="DEO108" s="139"/>
      <c r="DEP108" s="139"/>
      <c r="DEQ108" s="139"/>
      <c r="DER108" s="139"/>
      <c r="DES108" s="139"/>
      <c r="DET108" s="139"/>
      <c r="DEU108" s="139"/>
      <c r="DEV108" s="139"/>
      <c r="DEW108" s="139"/>
      <c r="DEX108" s="139"/>
      <c r="DEY108" s="139"/>
      <c r="DEZ108" s="139"/>
      <c r="DFA108" s="139"/>
      <c r="DFB108" s="139"/>
      <c r="DFC108" s="139"/>
      <c r="DFD108" s="139"/>
      <c r="DFE108" s="139"/>
      <c r="DFF108" s="139"/>
      <c r="DFG108" s="139"/>
      <c r="DFH108" s="139"/>
      <c r="DFI108" s="139"/>
      <c r="DFJ108" s="139"/>
      <c r="DFK108" s="139"/>
      <c r="DFL108" s="139"/>
      <c r="DFM108" s="139"/>
      <c r="DFN108" s="139"/>
      <c r="DFO108" s="139"/>
      <c r="DFP108" s="139"/>
      <c r="DFQ108" s="139"/>
      <c r="DFR108" s="139"/>
      <c r="DFS108" s="139"/>
      <c r="DFT108" s="139"/>
      <c r="DFU108" s="139"/>
      <c r="DFV108" s="139"/>
      <c r="DFW108" s="139"/>
      <c r="DFX108" s="139"/>
      <c r="DFY108" s="139"/>
      <c r="DFZ108" s="139"/>
      <c r="DGA108" s="139"/>
      <c r="DGB108" s="139"/>
      <c r="DGC108" s="139"/>
      <c r="DGD108" s="139"/>
      <c r="DGE108" s="139"/>
      <c r="DGF108" s="139"/>
      <c r="DGG108" s="139"/>
      <c r="DGH108" s="139"/>
      <c r="DGI108" s="139"/>
      <c r="DGJ108" s="139"/>
      <c r="DGK108" s="139"/>
      <c r="DGL108" s="139"/>
      <c r="DGM108" s="139"/>
      <c r="DGN108" s="139"/>
      <c r="DGO108" s="139"/>
      <c r="DGP108" s="139"/>
      <c r="DGQ108" s="139"/>
      <c r="DGR108" s="139"/>
      <c r="DGS108" s="139"/>
      <c r="DGT108" s="139"/>
      <c r="DGU108" s="139"/>
      <c r="DGV108" s="139"/>
      <c r="DGW108" s="139"/>
      <c r="DGX108" s="139"/>
      <c r="DGY108" s="139"/>
      <c r="DGZ108" s="139"/>
      <c r="DHA108" s="139"/>
      <c r="DHB108" s="139"/>
      <c r="DHC108" s="139"/>
      <c r="DHD108" s="139"/>
      <c r="DHE108" s="139"/>
      <c r="DHF108" s="139"/>
      <c r="DHG108" s="139"/>
      <c r="DHH108" s="139"/>
      <c r="DHI108" s="139"/>
      <c r="DHJ108" s="139"/>
      <c r="DHK108" s="139"/>
      <c r="DHL108" s="139"/>
      <c r="DHM108" s="139"/>
      <c r="DHN108" s="139"/>
      <c r="DHO108" s="139"/>
      <c r="DHP108" s="139"/>
      <c r="DHQ108" s="139"/>
      <c r="DHR108" s="139"/>
      <c r="DHS108" s="139"/>
      <c r="DHT108" s="139"/>
      <c r="DHU108" s="139"/>
      <c r="DHV108" s="139"/>
      <c r="DHW108" s="139"/>
      <c r="DHX108" s="139"/>
      <c r="DHY108" s="139"/>
      <c r="DHZ108" s="139"/>
      <c r="DIA108" s="139"/>
      <c r="DIB108" s="139"/>
      <c r="DIC108" s="139"/>
      <c r="DID108" s="139"/>
      <c r="DIE108" s="139"/>
      <c r="DIF108" s="139"/>
      <c r="DIG108" s="139"/>
      <c r="DIH108" s="139"/>
      <c r="DII108" s="139"/>
      <c r="DIJ108" s="139"/>
      <c r="DIK108" s="139"/>
      <c r="DIL108" s="139"/>
      <c r="DIM108" s="139"/>
      <c r="DIN108" s="139"/>
      <c r="DIO108" s="139"/>
      <c r="DIP108" s="139"/>
      <c r="DIQ108" s="139"/>
      <c r="DIR108" s="139"/>
      <c r="DIS108" s="139"/>
      <c r="DIT108" s="139"/>
      <c r="DIU108" s="139"/>
      <c r="DIV108" s="139"/>
      <c r="DIW108" s="139"/>
      <c r="DIX108" s="139"/>
      <c r="DIY108" s="139"/>
      <c r="DIZ108" s="139"/>
      <c r="DJA108" s="139"/>
      <c r="DJB108" s="139"/>
      <c r="DJC108" s="139"/>
      <c r="DJD108" s="139"/>
      <c r="DJE108" s="139"/>
      <c r="DJF108" s="139"/>
      <c r="DJG108" s="139"/>
      <c r="DJH108" s="139"/>
      <c r="DJI108" s="139"/>
      <c r="DJJ108" s="139"/>
      <c r="DJK108" s="139"/>
      <c r="DJL108" s="139"/>
      <c r="DJM108" s="139"/>
      <c r="DJN108" s="139"/>
      <c r="DJO108" s="139"/>
      <c r="DJP108" s="139"/>
      <c r="DJQ108" s="139"/>
      <c r="DJR108" s="139"/>
      <c r="DJS108" s="139"/>
      <c r="DJT108" s="139"/>
      <c r="DJU108" s="139"/>
      <c r="DJV108" s="139"/>
      <c r="DJW108" s="139"/>
      <c r="DJX108" s="139"/>
      <c r="DJY108" s="139"/>
      <c r="DJZ108" s="139"/>
      <c r="DKA108" s="139"/>
      <c r="DKB108" s="139"/>
      <c r="DKC108" s="139"/>
      <c r="DKD108" s="139"/>
      <c r="DKE108" s="139"/>
      <c r="DKF108" s="139"/>
      <c r="DKG108" s="139"/>
      <c r="DKH108" s="139"/>
      <c r="DKI108" s="139"/>
      <c r="DKJ108" s="139"/>
      <c r="DKK108" s="139"/>
      <c r="DKL108" s="139"/>
      <c r="DKM108" s="139"/>
      <c r="DKN108" s="139"/>
      <c r="DKO108" s="139"/>
      <c r="DKP108" s="139"/>
      <c r="DKQ108" s="139"/>
      <c r="DKR108" s="139"/>
      <c r="DKS108" s="139"/>
      <c r="DKT108" s="139"/>
      <c r="DKU108" s="139"/>
      <c r="DKV108" s="139"/>
      <c r="DKW108" s="139"/>
      <c r="DKX108" s="139"/>
      <c r="DKY108" s="139"/>
      <c r="DKZ108" s="139"/>
      <c r="DLA108" s="139"/>
      <c r="DLB108" s="139"/>
      <c r="DLC108" s="139"/>
      <c r="DLD108" s="139"/>
      <c r="DLE108" s="139"/>
      <c r="DLF108" s="139"/>
      <c r="DLG108" s="139"/>
      <c r="DLH108" s="139"/>
      <c r="DLI108" s="139"/>
      <c r="DLJ108" s="139"/>
      <c r="DLK108" s="139"/>
      <c r="DLL108" s="139"/>
      <c r="DLM108" s="139"/>
      <c r="DLN108" s="139"/>
      <c r="DLO108" s="139"/>
      <c r="DLP108" s="139"/>
      <c r="DLQ108" s="139"/>
      <c r="DLR108" s="139"/>
      <c r="DLS108" s="139"/>
      <c r="DLT108" s="139"/>
      <c r="DLU108" s="139"/>
      <c r="DLV108" s="139"/>
      <c r="DLW108" s="139"/>
      <c r="DLX108" s="139"/>
      <c r="DLY108" s="139"/>
      <c r="DLZ108" s="139"/>
      <c r="DMA108" s="139"/>
      <c r="DMB108" s="139"/>
      <c r="DMC108" s="139"/>
      <c r="DMD108" s="139"/>
      <c r="DME108" s="139"/>
      <c r="DMF108" s="139"/>
      <c r="DMG108" s="139"/>
      <c r="DMH108" s="139"/>
      <c r="DMI108" s="139"/>
      <c r="DMJ108" s="139"/>
      <c r="DMK108" s="139"/>
      <c r="DML108" s="139"/>
      <c r="DMM108" s="139"/>
      <c r="DMN108" s="139"/>
      <c r="DMO108" s="139"/>
      <c r="DMP108" s="139"/>
      <c r="DMQ108" s="139"/>
      <c r="DMR108" s="139"/>
      <c r="DMS108" s="139"/>
      <c r="DMT108" s="139"/>
      <c r="DMU108" s="139"/>
      <c r="DMV108" s="139"/>
      <c r="DMW108" s="139"/>
      <c r="DMX108" s="139"/>
      <c r="DMY108" s="139"/>
      <c r="DMZ108" s="139"/>
      <c r="DNA108" s="139"/>
      <c r="DNB108" s="139"/>
      <c r="DNC108" s="139"/>
      <c r="DND108" s="139"/>
      <c r="DNE108" s="139"/>
      <c r="DNF108" s="139"/>
      <c r="DNG108" s="139"/>
      <c r="DNH108" s="139"/>
      <c r="DNI108" s="139"/>
      <c r="DNJ108" s="139"/>
      <c r="DNK108" s="139"/>
      <c r="DNL108" s="139"/>
      <c r="DNM108" s="139"/>
      <c r="DNN108" s="139"/>
      <c r="DNO108" s="139"/>
      <c r="DNP108" s="139"/>
      <c r="DNQ108" s="139"/>
      <c r="DNR108" s="139"/>
      <c r="DNS108" s="139"/>
      <c r="DNT108" s="139"/>
      <c r="DNU108" s="139"/>
      <c r="DNV108" s="139"/>
      <c r="DNW108" s="139"/>
      <c r="DNX108" s="139"/>
      <c r="DNY108" s="139"/>
      <c r="DNZ108" s="139"/>
      <c r="DOA108" s="139"/>
      <c r="DOB108" s="139"/>
      <c r="DOC108" s="139"/>
      <c r="DOD108" s="139"/>
      <c r="DOE108" s="139"/>
      <c r="DOF108" s="139"/>
      <c r="DOG108" s="139"/>
      <c r="DOH108" s="139"/>
      <c r="DOI108" s="139"/>
      <c r="DOJ108" s="139"/>
      <c r="DOK108" s="139"/>
      <c r="DOL108" s="139"/>
      <c r="DOM108" s="139"/>
      <c r="DON108" s="139"/>
      <c r="DOO108" s="139"/>
      <c r="DOP108" s="139"/>
      <c r="DOQ108" s="139"/>
      <c r="DOR108" s="139"/>
      <c r="DOS108" s="139"/>
      <c r="DOT108" s="139"/>
      <c r="DOU108" s="139"/>
      <c r="DOV108" s="139"/>
      <c r="DOW108" s="139"/>
      <c r="DOX108" s="139"/>
      <c r="DOY108" s="139"/>
      <c r="DOZ108" s="139"/>
      <c r="DPA108" s="139"/>
      <c r="DPB108" s="139"/>
      <c r="DPC108" s="139"/>
      <c r="DPD108" s="139"/>
      <c r="DPE108" s="139"/>
      <c r="DPF108" s="139"/>
      <c r="DPG108" s="139"/>
      <c r="DPH108" s="139"/>
      <c r="DPI108" s="139"/>
      <c r="DPJ108" s="139"/>
      <c r="DPK108" s="139"/>
      <c r="DPL108" s="139"/>
      <c r="DPM108" s="139"/>
      <c r="DPN108" s="139"/>
      <c r="DPO108" s="139"/>
      <c r="DPP108" s="139"/>
      <c r="DPQ108" s="139"/>
      <c r="DPR108" s="139"/>
      <c r="DPS108" s="139"/>
      <c r="DPT108" s="139"/>
      <c r="DPU108" s="139"/>
      <c r="DPV108" s="139"/>
      <c r="DPW108" s="139"/>
      <c r="DPX108" s="139"/>
      <c r="DPY108" s="139"/>
      <c r="DPZ108" s="139"/>
      <c r="DQA108" s="139"/>
      <c r="DQB108" s="139"/>
      <c r="DQC108" s="139"/>
      <c r="DQD108" s="139"/>
      <c r="DQE108" s="139"/>
      <c r="DQF108" s="139"/>
      <c r="DQG108" s="139"/>
      <c r="DQH108" s="139"/>
      <c r="DQI108" s="139"/>
      <c r="DQJ108" s="139"/>
      <c r="DQK108" s="139"/>
      <c r="DQL108" s="139"/>
      <c r="DQM108" s="139"/>
      <c r="DQN108" s="139"/>
      <c r="DQO108" s="139"/>
      <c r="DQP108" s="139"/>
      <c r="DQQ108" s="139"/>
      <c r="DQR108" s="139"/>
      <c r="DQS108" s="139"/>
      <c r="DQT108" s="139"/>
      <c r="DQU108" s="139"/>
      <c r="DQV108" s="139"/>
      <c r="DQW108" s="139"/>
      <c r="DQX108" s="139"/>
      <c r="DQY108" s="139"/>
      <c r="DQZ108" s="139"/>
      <c r="DRA108" s="139"/>
      <c r="DRB108" s="139"/>
      <c r="DRC108" s="139"/>
      <c r="DRD108" s="139"/>
      <c r="DRE108" s="139"/>
      <c r="DRF108" s="139"/>
      <c r="DRG108" s="139"/>
      <c r="DRH108" s="139"/>
      <c r="DRI108" s="139"/>
      <c r="DRJ108" s="139"/>
      <c r="DRK108" s="139"/>
      <c r="DRL108" s="139"/>
      <c r="DRM108" s="139"/>
      <c r="DRN108" s="139"/>
      <c r="DRO108" s="139"/>
      <c r="DRP108" s="139"/>
      <c r="DRQ108" s="139"/>
      <c r="DRR108" s="139"/>
      <c r="DRS108" s="139"/>
      <c r="DRT108" s="139"/>
      <c r="DRU108" s="139"/>
      <c r="DRV108" s="139"/>
      <c r="DRW108" s="139"/>
      <c r="DRX108" s="139"/>
      <c r="DRY108" s="139"/>
      <c r="DRZ108" s="139"/>
      <c r="DSA108" s="139"/>
      <c r="DSB108" s="139"/>
      <c r="DSC108" s="139"/>
      <c r="DSD108" s="139"/>
      <c r="DSE108" s="139"/>
      <c r="DSF108" s="139"/>
      <c r="DSG108" s="139"/>
      <c r="DSH108" s="139"/>
      <c r="DSI108" s="139"/>
      <c r="DSJ108" s="139"/>
      <c r="DSK108" s="139"/>
      <c r="DSL108" s="139"/>
      <c r="DSM108" s="139"/>
      <c r="DSN108" s="139"/>
      <c r="DSO108" s="139"/>
      <c r="DSP108" s="139"/>
      <c r="DSQ108" s="139"/>
      <c r="DSR108" s="139"/>
      <c r="DSS108" s="139"/>
      <c r="DST108" s="139"/>
      <c r="DSU108" s="139"/>
      <c r="DSV108" s="139"/>
      <c r="DSW108" s="139"/>
      <c r="DSX108" s="139"/>
      <c r="DSY108" s="139"/>
      <c r="DSZ108" s="139"/>
      <c r="DTA108" s="139"/>
      <c r="DTB108" s="139"/>
      <c r="DTC108" s="139"/>
      <c r="DTD108" s="139"/>
      <c r="DTE108" s="139"/>
      <c r="DTF108" s="139"/>
      <c r="DTG108" s="139"/>
      <c r="DTH108" s="139"/>
      <c r="DTI108" s="139"/>
      <c r="DTJ108" s="139"/>
      <c r="DTK108" s="139"/>
      <c r="DTL108" s="139"/>
      <c r="DTM108" s="139"/>
      <c r="DTN108" s="139"/>
      <c r="DTO108" s="139"/>
      <c r="DTP108" s="139"/>
      <c r="DTQ108" s="139"/>
      <c r="DTR108" s="139"/>
      <c r="DTS108" s="139"/>
      <c r="DTT108" s="139"/>
      <c r="DTU108" s="139"/>
      <c r="DTV108" s="139"/>
      <c r="DTW108" s="139"/>
      <c r="DTX108" s="139"/>
      <c r="DTY108" s="139"/>
      <c r="DTZ108" s="139"/>
      <c r="DUA108" s="139"/>
      <c r="DUB108" s="139"/>
      <c r="DUC108" s="139"/>
      <c r="DUD108" s="139"/>
      <c r="DUE108" s="139"/>
      <c r="DUF108" s="139"/>
      <c r="DUG108" s="139"/>
      <c r="DUH108" s="139"/>
      <c r="DUI108" s="139"/>
      <c r="DUJ108" s="139"/>
      <c r="DUK108" s="139"/>
      <c r="DUL108" s="139"/>
      <c r="DUM108" s="139"/>
      <c r="DUN108" s="139"/>
      <c r="DUO108" s="139"/>
      <c r="DUP108" s="139"/>
      <c r="DUQ108" s="139"/>
      <c r="DUR108" s="139"/>
      <c r="DUS108" s="139"/>
      <c r="DUT108" s="139"/>
      <c r="DUU108" s="139"/>
      <c r="DUV108" s="139"/>
      <c r="DUW108" s="139"/>
      <c r="DUX108" s="139"/>
      <c r="DUY108" s="139"/>
      <c r="DUZ108" s="139"/>
      <c r="DVA108" s="139"/>
      <c r="DVB108" s="139"/>
      <c r="DVC108" s="139"/>
      <c r="DVD108" s="139"/>
      <c r="DVE108" s="139"/>
      <c r="DVF108" s="139"/>
      <c r="DVG108" s="139"/>
      <c r="DVH108" s="139"/>
      <c r="DVI108" s="139"/>
      <c r="DVJ108" s="139"/>
      <c r="DVK108" s="139"/>
      <c r="DVL108" s="139"/>
      <c r="DVM108" s="139"/>
      <c r="DVN108" s="139"/>
      <c r="DVO108" s="139"/>
      <c r="DVP108" s="139"/>
      <c r="DVQ108" s="139"/>
      <c r="DVR108" s="139"/>
      <c r="DVS108" s="139"/>
      <c r="DVT108" s="139"/>
      <c r="DVU108" s="139"/>
      <c r="DVV108" s="139"/>
      <c r="DVW108" s="139"/>
      <c r="DVX108" s="139"/>
      <c r="DVY108" s="139"/>
      <c r="DVZ108" s="139"/>
      <c r="DWA108" s="139"/>
      <c r="DWB108" s="139"/>
      <c r="DWC108" s="139"/>
      <c r="DWD108" s="139"/>
      <c r="DWE108" s="139"/>
      <c r="DWF108" s="139"/>
      <c r="DWG108" s="139"/>
      <c r="DWH108" s="139"/>
      <c r="DWI108" s="139"/>
      <c r="DWJ108" s="139"/>
      <c r="DWK108" s="139"/>
      <c r="DWL108" s="139"/>
      <c r="DWM108" s="139"/>
      <c r="DWN108" s="139"/>
      <c r="DWO108" s="139"/>
      <c r="DWP108" s="139"/>
      <c r="DWQ108" s="139"/>
      <c r="DWR108" s="139"/>
      <c r="DWS108" s="139"/>
      <c r="DWT108" s="139"/>
      <c r="DWU108" s="139"/>
      <c r="DWV108" s="139"/>
      <c r="DWW108" s="139"/>
      <c r="DWX108" s="139"/>
      <c r="DWY108" s="139"/>
      <c r="DWZ108" s="139"/>
      <c r="DXA108" s="139"/>
      <c r="DXB108" s="139"/>
      <c r="DXC108" s="139"/>
      <c r="DXD108" s="139"/>
      <c r="DXE108" s="139"/>
      <c r="DXF108" s="139"/>
      <c r="DXG108" s="139"/>
      <c r="DXH108" s="139"/>
      <c r="DXI108" s="139"/>
      <c r="DXJ108" s="139"/>
      <c r="DXK108" s="139"/>
      <c r="DXL108" s="139"/>
      <c r="DXM108" s="139"/>
      <c r="DXN108" s="139"/>
      <c r="DXO108" s="139"/>
      <c r="DXP108" s="139"/>
      <c r="DXQ108" s="139"/>
      <c r="DXR108" s="139"/>
      <c r="DXS108" s="139"/>
      <c r="DXT108" s="139"/>
      <c r="DXU108" s="139"/>
      <c r="DXV108" s="139"/>
      <c r="DXW108" s="139"/>
      <c r="DXX108" s="139"/>
      <c r="DXY108" s="139"/>
      <c r="DXZ108" s="139"/>
      <c r="DYA108" s="139"/>
      <c r="DYB108" s="139"/>
      <c r="DYC108" s="139"/>
      <c r="DYD108" s="139"/>
      <c r="DYE108" s="139"/>
      <c r="DYF108" s="139"/>
      <c r="DYG108" s="139"/>
      <c r="DYH108" s="139"/>
      <c r="DYI108" s="139"/>
      <c r="DYJ108" s="139"/>
      <c r="DYK108" s="139"/>
      <c r="DYL108" s="139"/>
      <c r="DYM108" s="139"/>
      <c r="DYN108" s="139"/>
      <c r="DYO108" s="139"/>
      <c r="DYP108" s="139"/>
      <c r="DYQ108" s="139"/>
      <c r="DYR108" s="139"/>
      <c r="DYS108" s="139"/>
      <c r="DYT108" s="139"/>
      <c r="DYU108" s="139"/>
      <c r="DYV108" s="139"/>
      <c r="DYW108" s="139"/>
      <c r="DYX108" s="139"/>
      <c r="DYY108" s="139"/>
      <c r="DYZ108" s="139"/>
      <c r="DZA108" s="139"/>
      <c r="DZB108" s="139"/>
      <c r="DZC108" s="139"/>
      <c r="DZD108" s="139"/>
      <c r="DZE108" s="139"/>
      <c r="DZF108" s="139"/>
      <c r="DZG108" s="139"/>
      <c r="DZH108" s="139"/>
      <c r="DZI108" s="139"/>
      <c r="DZJ108" s="139"/>
      <c r="DZK108" s="139"/>
      <c r="DZL108" s="139"/>
      <c r="DZM108" s="139"/>
      <c r="DZN108" s="139"/>
      <c r="DZO108" s="139"/>
      <c r="DZP108" s="139"/>
      <c r="DZQ108" s="139"/>
      <c r="DZR108" s="139"/>
      <c r="DZS108" s="139"/>
      <c r="DZT108" s="139"/>
      <c r="DZU108" s="139"/>
      <c r="DZV108" s="139"/>
      <c r="DZW108" s="139"/>
      <c r="DZX108" s="139"/>
      <c r="DZY108" s="139"/>
      <c r="DZZ108" s="139"/>
      <c r="EAA108" s="139"/>
      <c r="EAB108" s="139"/>
      <c r="EAC108" s="139"/>
      <c r="EAD108" s="139"/>
      <c r="EAE108" s="139"/>
      <c r="EAF108" s="139"/>
      <c r="EAG108" s="139"/>
      <c r="EAH108" s="139"/>
      <c r="EAI108" s="139"/>
      <c r="EAJ108" s="139"/>
      <c r="EAK108" s="139"/>
      <c r="EAL108" s="139"/>
      <c r="EAM108" s="139"/>
      <c r="EAN108" s="139"/>
      <c r="EAO108" s="139"/>
      <c r="EAP108" s="139"/>
      <c r="EAQ108" s="139"/>
      <c r="EAR108" s="139"/>
      <c r="EAS108" s="139"/>
      <c r="EAT108" s="139"/>
      <c r="EAU108" s="139"/>
      <c r="EAV108" s="139"/>
      <c r="EAW108" s="139"/>
      <c r="EAX108" s="139"/>
      <c r="EAY108" s="139"/>
      <c r="EAZ108" s="139"/>
      <c r="EBA108" s="139"/>
      <c r="EBB108" s="139"/>
      <c r="EBC108" s="139"/>
      <c r="EBD108" s="139"/>
      <c r="EBE108" s="139"/>
      <c r="EBF108" s="139"/>
      <c r="EBG108" s="139"/>
      <c r="EBH108" s="139"/>
      <c r="EBI108" s="139"/>
      <c r="EBJ108" s="139"/>
      <c r="EBK108" s="139"/>
      <c r="EBL108" s="139"/>
      <c r="EBM108" s="139"/>
      <c r="EBN108" s="139"/>
      <c r="EBO108" s="139"/>
      <c r="EBP108" s="139"/>
      <c r="EBQ108" s="139"/>
      <c r="EBR108" s="139"/>
      <c r="EBS108" s="139"/>
      <c r="EBT108" s="139"/>
      <c r="EBU108" s="139"/>
      <c r="EBV108" s="139"/>
      <c r="EBW108" s="139"/>
      <c r="EBX108" s="139"/>
      <c r="EBY108" s="139"/>
      <c r="EBZ108" s="139"/>
      <c r="ECA108" s="139"/>
      <c r="ECB108" s="139"/>
      <c r="ECC108" s="139"/>
      <c r="ECD108" s="139"/>
      <c r="ECE108" s="139"/>
      <c r="ECF108" s="139"/>
      <c r="ECG108" s="139"/>
      <c r="ECH108" s="139"/>
      <c r="ECI108" s="139"/>
      <c r="ECJ108" s="139"/>
      <c r="ECK108" s="139"/>
      <c r="ECL108" s="139"/>
      <c r="ECM108" s="139"/>
      <c r="ECN108" s="139"/>
      <c r="ECO108" s="139"/>
      <c r="ECP108" s="139"/>
      <c r="ECQ108" s="139"/>
      <c r="ECR108" s="139"/>
      <c r="ECS108" s="139"/>
      <c r="ECT108" s="139"/>
      <c r="ECU108" s="139"/>
      <c r="ECV108" s="139"/>
      <c r="ECW108" s="139"/>
      <c r="ECX108" s="139"/>
      <c r="ECY108" s="139"/>
      <c r="ECZ108" s="139"/>
      <c r="EDA108" s="139"/>
      <c r="EDB108" s="139"/>
      <c r="EDC108" s="139"/>
      <c r="EDD108" s="139"/>
      <c r="EDE108" s="139"/>
      <c r="EDF108" s="139"/>
      <c r="EDG108" s="139"/>
      <c r="EDH108" s="139"/>
      <c r="EDI108" s="139"/>
      <c r="EDJ108" s="139"/>
      <c r="EDK108" s="139"/>
      <c r="EDL108" s="139"/>
      <c r="EDM108" s="139"/>
      <c r="EDN108" s="139"/>
      <c r="EDO108" s="139"/>
      <c r="EDP108" s="139"/>
      <c r="EDQ108" s="139"/>
      <c r="EDR108" s="139"/>
      <c r="EDS108" s="139"/>
      <c r="EDT108" s="139"/>
      <c r="EDU108" s="139"/>
      <c r="EDV108" s="139"/>
      <c r="EDW108" s="139"/>
      <c r="EDX108" s="139"/>
      <c r="EDY108" s="139"/>
      <c r="EDZ108" s="139"/>
      <c r="EEA108" s="139"/>
      <c r="EEB108" s="139"/>
      <c r="EEC108" s="139"/>
      <c r="EED108" s="139"/>
      <c r="EEE108" s="139"/>
      <c r="EEF108" s="139"/>
      <c r="EEG108" s="139"/>
      <c r="EEH108" s="139"/>
      <c r="EEI108" s="139"/>
      <c r="EEJ108" s="139"/>
      <c r="EEK108" s="139"/>
      <c r="EEL108" s="139"/>
      <c r="EEM108" s="139"/>
      <c r="EEN108" s="139"/>
      <c r="EEO108" s="139"/>
      <c r="EEP108" s="139"/>
      <c r="EEQ108" s="139"/>
      <c r="EER108" s="139"/>
      <c r="EES108" s="139"/>
      <c r="EET108" s="139"/>
      <c r="EEU108" s="139"/>
      <c r="EEV108" s="139"/>
      <c r="EEW108" s="139"/>
      <c r="EEX108" s="139"/>
      <c r="EEY108" s="139"/>
      <c r="EEZ108" s="139"/>
      <c r="EFA108" s="139"/>
      <c r="EFB108" s="139"/>
      <c r="EFC108" s="139"/>
      <c r="EFD108" s="139"/>
      <c r="EFE108" s="139"/>
      <c r="EFF108" s="139"/>
      <c r="EFG108" s="139"/>
      <c r="EFH108" s="139"/>
      <c r="EFI108" s="139"/>
      <c r="EFJ108" s="139"/>
      <c r="EFK108" s="139"/>
      <c r="EFL108" s="139"/>
      <c r="EFM108" s="139"/>
      <c r="EFN108" s="139"/>
      <c r="EFO108" s="139"/>
      <c r="EFP108" s="139"/>
      <c r="EFQ108" s="139"/>
      <c r="EFR108" s="139"/>
      <c r="EFS108" s="139"/>
      <c r="EFT108" s="139"/>
      <c r="EFU108" s="139"/>
      <c r="EFV108" s="139"/>
      <c r="EFW108" s="139"/>
      <c r="EFX108" s="139"/>
      <c r="EFY108" s="139"/>
      <c r="EFZ108" s="139"/>
      <c r="EGA108" s="139"/>
      <c r="EGB108" s="139"/>
      <c r="EGC108" s="139"/>
      <c r="EGD108" s="139"/>
      <c r="EGE108" s="139"/>
      <c r="EGF108" s="139"/>
      <c r="EGG108" s="139"/>
      <c r="EGH108" s="139"/>
      <c r="EGI108" s="139"/>
      <c r="EGJ108" s="139"/>
      <c r="EGK108" s="139"/>
      <c r="EGL108" s="139"/>
      <c r="EGM108" s="139"/>
      <c r="EGN108" s="139"/>
      <c r="EGO108" s="139"/>
      <c r="EGP108" s="139"/>
      <c r="EGQ108" s="139"/>
      <c r="EGR108" s="139"/>
      <c r="EGS108" s="139"/>
      <c r="EGT108" s="139"/>
      <c r="EGU108" s="139"/>
      <c r="EGV108" s="139"/>
      <c r="EGW108" s="139"/>
      <c r="EGX108" s="139"/>
      <c r="EGY108" s="139"/>
      <c r="EGZ108" s="139"/>
      <c r="EHA108" s="139"/>
      <c r="EHB108" s="139"/>
      <c r="EHC108" s="139"/>
      <c r="EHD108" s="139"/>
      <c r="EHE108" s="139"/>
      <c r="EHF108" s="139"/>
      <c r="EHG108" s="139"/>
      <c r="EHH108" s="139"/>
      <c r="EHI108" s="139"/>
      <c r="EHJ108" s="139"/>
      <c r="EHK108" s="139"/>
      <c r="EHL108" s="139"/>
      <c r="EHM108" s="139"/>
      <c r="EHN108" s="139"/>
      <c r="EHO108" s="139"/>
      <c r="EHP108" s="139"/>
      <c r="EHQ108" s="139"/>
      <c r="EHR108" s="139"/>
      <c r="EHS108" s="139"/>
      <c r="EHT108" s="139"/>
      <c r="EHU108" s="139"/>
      <c r="EHV108" s="139"/>
      <c r="EHW108" s="139"/>
      <c r="EHX108" s="139"/>
      <c r="EHY108" s="139"/>
      <c r="EHZ108" s="139"/>
      <c r="EIA108" s="139"/>
      <c r="EIB108" s="139"/>
      <c r="EIC108" s="139"/>
      <c r="EID108" s="139"/>
      <c r="EIE108" s="139"/>
      <c r="EIF108" s="139"/>
      <c r="EIG108" s="139"/>
      <c r="EIH108" s="139"/>
      <c r="EII108" s="139"/>
      <c r="EIJ108" s="139"/>
      <c r="EIK108" s="139"/>
      <c r="EIL108" s="139"/>
      <c r="EIM108" s="139"/>
      <c r="EIN108" s="139"/>
      <c r="EIO108" s="139"/>
      <c r="EIP108" s="139"/>
      <c r="EIQ108" s="139"/>
      <c r="EIR108" s="139"/>
      <c r="EIS108" s="139"/>
      <c r="EIT108" s="139"/>
      <c r="EIU108" s="139"/>
      <c r="EIV108" s="139"/>
      <c r="EIW108" s="139"/>
      <c r="EIX108" s="139"/>
      <c r="EIY108" s="139"/>
      <c r="EIZ108" s="139"/>
      <c r="EJA108" s="139"/>
      <c r="EJB108" s="139"/>
      <c r="EJC108" s="139"/>
      <c r="EJD108" s="139"/>
      <c r="EJE108" s="139"/>
      <c r="EJF108" s="139"/>
      <c r="EJG108" s="139"/>
      <c r="EJH108" s="139"/>
      <c r="EJI108" s="139"/>
      <c r="EJJ108" s="139"/>
      <c r="EJK108" s="139"/>
      <c r="EJL108" s="139"/>
      <c r="EJM108" s="139"/>
      <c r="EJN108" s="139"/>
      <c r="EJO108" s="139"/>
      <c r="EJP108" s="139"/>
      <c r="EJQ108" s="139"/>
      <c r="EJR108" s="139"/>
      <c r="EJS108" s="139"/>
      <c r="EJT108" s="139"/>
      <c r="EJU108" s="139"/>
      <c r="EJV108" s="139"/>
      <c r="EJW108" s="139"/>
      <c r="EJX108" s="139"/>
      <c r="EJY108" s="139"/>
      <c r="EJZ108" s="139"/>
      <c r="EKA108" s="139"/>
      <c r="EKB108" s="139"/>
      <c r="EKC108" s="139"/>
      <c r="EKD108" s="139"/>
      <c r="EKE108" s="139"/>
      <c r="EKF108" s="139"/>
      <c r="EKG108" s="139"/>
      <c r="EKH108" s="139"/>
      <c r="EKI108" s="139"/>
      <c r="EKJ108" s="139"/>
      <c r="EKK108" s="139"/>
      <c r="EKL108" s="139"/>
      <c r="EKM108" s="139"/>
      <c r="EKN108" s="139"/>
      <c r="EKO108" s="139"/>
      <c r="EKP108" s="139"/>
      <c r="EKQ108" s="139"/>
      <c r="EKR108" s="139"/>
      <c r="EKS108" s="139"/>
      <c r="EKT108" s="139"/>
      <c r="EKU108" s="139"/>
      <c r="EKV108" s="139"/>
      <c r="EKW108" s="139"/>
      <c r="EKX108" s="139"/>
      <c r="EKY108" s="139"/>
      <c r="EKZ108" s="139"/>
      <c r="ELA108" s="139"/>
      <c r="ELB108" s="139"/>
      <c r="ELC108" s="139"/>
      <c r="ELD108" s="139"/>
      <c r="ELE108" s="139"/>
      <c r="ELF108" s="139"/>
      <c r="ELG108" s="139"/>
      <c r="ELH108" s="139"/>
      <c r="ELI108" s="139"/>
      <c r="ELJ108" s="139"/>
      <c r="ELK108" s="139"/>
      <c r="ELL108" s="139"/>
      <c r="ELM108" s="139"/>
      <c r="ELN108" s="139"/>
      <c r="ELO108" s="139"/>
      <c r="ELP108" s="139"/>
      <c r="ELQ108" s="139"/>
      <c r="ELR108" s="139"/>
      <c r="ELS108" s="139"/>
      <c r="ELT108" s="139"/>
      <c r="ELU108" s="139"/>
      <c r="ELV108" s="139"/>
      <c r="ELW108" s="139"/>
      <c r="ELX108" s="139"/>
      <c r="ELY108" s="139"/>
      <c r="ELZ108" s="139"/>
      <c r="EMA108" s="139"/>
      <c r="EMB108" s="139"/>
      <c r="EMC108" s="139"/>
      <c r="EMD108" s="139"/>
      <c r="EME108" s="139"/>
      <c r="EMF108" s="139"/>
      <c r="EMG108" s="139"/>
      <c r="EMH108" s="139"/>
      <c r="EMI108" s="139"/>
      <c r="EMJ108" s="139"/>
      <c r="EMK108" s="139"/>
      <c r="EML108" s="139"/>
      <c r="EMM108" s="139"/>
      <c r="EMN108" s="139"/>
      <c r="EMO108" s="139"/>
      <c r="EMP108" s="139"/>
      <c r="EMQ108" s="139"/>
      <c r="EMR108" s="139"/>
      <c r="EMS108" s="139"/>
      <c r="EMT108" s="139"/>
      <c r="EMU108" s="139"/>
      <c r="EMV108" s="139"/>
      <c r="EMW108" s="139"/>
      <c r="EMX108" s="139"/>
      <c r="EMY108" s="139"/>
      <c r="EMZ108" s="139"/>
      <c r="ENA108" s="139"/>
      <c r="ENB108" s="139"/>
      <c r="ENC108" s="139"/>
      <c r="END108" s="139"/>
      <c r="ENE108" s="139"/>
      <c r="ENF108" s="139"/>
      <c r="ENG108" s="139"/>
      <c r="ENH108" s="139"/>
      <c r="ENI108" s="139"/>
      <c r="ENJ108" s="139"/>
      <c r="ENK108" s="139"/>
      <c r="ENL108" s="139"/>
      <c r="ENM108" s="139"/>
      <c r="ENN108" s="139"/>
      <c r="ENO108" s="139"/>
      <c r="ENP108" s="139"/>
      <c r="ENQ108" s="139"/>
      <c r="ENR108" s="139"/>
      <c r="ENS108" s="139"/>
      <c r="ENT108" s="139"/>
      <c r="ENU108" s="139"/>
      <c r="ENV108" s="139"/>
      <c r="ENW108" s="139"/>
      <c r="ENX108" s="139"/>
      <c r="ENY108" s="139"/>
      <c r="ENZ108" s="139"/>
      <c r="EOA108" s="139"/>
      <c r="EOB108" s="139"/>
      <c r="EOC108" s="139"/>
      <c r="EOD108" s="139"/>
      <c r="EOE108" s="139"/>
      <c r="EOF108" s="139"/>
      <c r="EOG108" s="139"/>
      <c r="EOH108" s="139"/>
      <c r="EOI108" s="139"/>
      <c r="EOJ108" s="139"/>
      <c r="EOK108" s="139"/>
      <c r="EOL108" s="139"/>
      <c r="EOM108" s="139"/>
      <c r="EON108" s="139"/>
      <c r="EOO108" s="139"/>
      <c r="EOP108" s="139"/>
      <c r="EOQ108" s="139"/>
      <c r="EOR108" s="139"/>
      <c r="EOS108" s="139"/>
      <c r="EOT108" s="139"/>
      <c r="EOU108" s="139"/>
      <c r="EOV108" s="139"/>
      <c r="EOW108" s="139"/>
      <c r="EOX108" s="139"/>
      <c r="EOY108" s="139"/>
      <c r="EOZ108" s="139"/>
      <c r="EPA108" s="139"/>
      <c r="EPB108" s="139"/>
      <c r="EPC108" s="139"/>
      <c r="EPD108" s="139"/>
      <c r="EPE108" s="139"/>
      <c r="EPF108" s="139"/>
      <c r="EPG108" s="139"/>
      <c r="EPH108" s="139"/>
      <c r="EPI108" s="139"/>
      <c r="EPJ108" s="139"/>
      <c r="EPK108" s="139"/>
      <c r="EPL108" s="139"/>
      <c r="EPM108" s="139"/>
      <c r="EPN108" s="139"/>
      <c r="EPO108" s="139"/>
      <c r="EPP108" s="139"/>
      <c r="EPQ108" s="139"/>
      <c r="EPR108" s="139"/>
      <c r="EPS108" s="139"/>
      <c r="EPT108" s="139"/>
      <c r="EPU108" s="139"/>
      <c r="EPV108" s="139"/>
      <c r="EPW108" s="139"/>
      <c r="EPX108" s="139"/>
      <c r="EPY108" s="139"/>
      <c r="EPZ108" s="139"/>
      <c r="EQA108" s="139"/>
      <c r="EQB108" s="139"/>
      <c r="EQC108" s="139"/>
      <c r="EQD108" s="139"/>
      <c r="EQE108" s="139"/>
      <c r="EQF108" s="139"/>
      <c r="EQG108" s="139"/>
      <c r="EQH108" s="139"/>
      <c r="EQI108" s="139"/>
      <c r="EQJ108" s="139"/>
      <c r="EQK108" s="139"/>
      <c r="EQL108" s="139"/>
      <c r="EQM108" s="139"/>
      <c r="EQN108" s="139"/>
      <c r="EQO108" s="139"/>
      <c r="EQP108" s="139"/>
      <c r="EQQ108" s="139"/>
      <c r="EQR108" s="139"/>
      <c r="EQS108" s="139"/>
      <c r="EQT108" s="139"/>
      <c r="EQU108" s="139"/>
      <c r="EQV108" s="139"/>
      <c r="EQW108" s="139"/>
      <c r="EQX108" s="139"/>
      <c r="EQY108" s="139"/>
      <c r="EQZ108" s="139"/>
      <c r="ERA108" s="139"/>
      <c r="ERB108" s="139"/>
      <c r="ERC108" s="139"/>
      <c r="ERD108" s="139"/>
      <c r="ERE108" s="139"/>
      <c r="ERF108" s="139"/>
      <c r="ERG108" s="139"/>
      <c r="ERH108" s="139"/>
      <c r="ERI108" s="139"/>
      <c r="ERJ108" s="139"/>
      <c r="ERK108" s="139"/>
      <c r="ERL108" s="139"/>
      <c r="ERM108" s="139"/>
      <c r="ERN108" s="139"/>
      <c r="ERO108" s="139"/>
      <c r="ERP108" s="139"/>
      <c r="ERQ108" s="139"/>
      <c r="ERR108" s="139"/>
      <c r="ERS108" s="139"/>
      <c r="ERT108" s="139"/>
      <c r="ERU108" s="139"/>
      <c r="ERV108" s="139"/>
      <c r="ERW108" s="139"/>
      <c r="ERX108" s="139"/>
      <c r="ERY108" s="139"/>
      <c r="ERZ108" s="139"/>
      <c r="ESA108" s="139"/>
      <c r="ESB108" s="139"/>
      <c r="ESC108" s="139"/>
      <c r="ESD108" s="139"/>
      <c r="ESE108" s="139"/>
      <c r="ESF108" s="139"/>
      <c r="ESG108" s="139"/>
      <c r="ESH108" s="139"/>
      <c r="ESI108" s="139"/>
      <c r="ESJ108" s="139"/>
      <c r="ESK108" s="139"/>
      <c r="ESL108" s="139"/>
      <c r="ESM108" s="139"/>
      <c r="ESN108" s="139"/>
      <c r="ESO108" s="139"/>
      <c r="ESP108" s="139"/>
      <c r="ESQ108" s="139"/>
      <c r="ESR108" s="139"/>
      <c r="ESS108" s="139"/>
      <c r="EST108" s="139"/>
      <c r="ESU108" s="139"/>
      <c r="ESV108" s="139"/>
      <c r="ESW108" s="139"/>
      <c r="ESX108" s="139"/>
      <c r="ESY108" s="139"/>
      <c r="ESZ108" s="139"/>
      <c r="ETA108" s="139"/>
      <c r="ETB108" s="139"/>
      <c r="ETC108" s="139"/>
      <c r="ETD108" s="139"/>
      <c r="ETE108" s="139"/>
      <c r="ETF108" s="139"/>
      <c r="ETG108" s="139"/>
      <c r="ETH108" s="139"/>
      <c r="ETI108" s="139"/>
      <c r="ETJ108" s="139"/>
      <c r="ETK108" s="139"/>
      <c r="ETL108" s="139"/>
      <c r="ETM108" s="139"/>
      <c r="ETN108" s="139"/>
      <c r="ETO108" s="139"/>
      <c r="ETP108" s="139"/>
      <c r="ETQ108" s="139"/>
      <c r="ETR108" s="139"/>
      <c r="ETS108" s="139"/>
      <c r="ETT108" s="139"/>
      <c r="ETU108" s="139"/>
      <c r="ETV108" s="139"/>
      <c r="ETW108" s="139"/>
      <c r="ETX108" s="139"/>
      <c r="ETY108" s="139"/>
      <c r="ETZ108" s="139"/>
      <c r="EUA108" s="139"/>
      <c r="EUB108" s="139"/>
      <c r="EUC108" s="139"/>
      <c r="EUD108" s="139"/>
      <c r="EUE108" s="139"/>
      <c r="EUF108" s="139"/>
      <c r="EUG108" s="139"/>
      <c r="EUH108" s="139"/>
      <c r="EUI108" s="139"/>
      <c r="EUJ108" s="139"/>
      <c r="EUK108" s="139"/>
      <c r="EUL108" s="139"/>
      <c r="EUM108" s="139"/>
      <c r="EUN108" s="139"/>
      <c r="EUO108" s="139"/>
      <c r="EUP108" s="139"/>
      <c r="EUQ108" s="139"/>
      <c r="EUR108" s="139"/>
      <c r="EUS108" s="139"/>
      <c r="EUT108" s="139"/>
      <c r="EUU108" s="139"/>
      <c r="EUV108" s="139"/>
      <c r="EUW108" s="139"/>
      <c r="EUX108" s="139"/>
      <c r="EUY108" s="139"/>
      <c r="EUZ108" s="139"/>
      <c r="EVA108" s="139"/>
      <c r="EVB108" s="139"/>
      <c r="EVC108" s="139"/>
      <c r="EVD108" s="139"/>
      <c r="EVE108" s="139"/>
      <c r="EVF108" s="139"/>
      <c r="EVG108" s="139"/>
      <c r="EVH108" s="139"/>
      <c r="EVI108" s="139"/>
      <c r="EVJ108" s="139"/>
      <c r="EVK108" s="139"/>
      <c r="EVL108" s="139"/>
      <c r="EVM108" s="139"/>
      <c r="EVN108" s="139"/>
      <c r="EVO108" s="139"/>
      <c r="EVP108" s="139"/>
      <c r="EVQ108" s="139"/>
      <c r="EVR108" s="139"/>
      <c r="EVS108" s="139"/>
      <c r="EVT108" s="139"/>
      <c r="EVU108" s="139"/>
      <c r="EVV108" s="139"/>
      <c r="EVW108" s="139"/>
      <c r="EVX108" s="139"/>
      <c r="EVY108" s="139"/>
      <c r="EVZ108" s="139"/>
      <c r="EWA108" s="139"/>
      <c r="EWB108" s="139"/>
      <c r="EWC108" s="139"/>
      <c r="EWD108" s="139"/>
      <c r="EWE108" s="139"/>
      <c r="EWF108" s="139"/>
      <c r="EWG108" s="139"/>
      <c r="EWH108" s="139"/>
      <c r="EWI108" s="139"/>
      <c r="EWJ108" s="139"/>
      <c r="EWK108" s="139"/>
      <c r="EWL108" s="139"/>
      <c r="EWM108" s="139"/>
      <c r="EWN108" s="139"/>
      <c r="EWO108" s="139"/>
      <c r="EWP108" s="139"/>
      <c r="EWQ108" s="139"/>
      <c r="EWR108" s="139"/>
      <c r="EWS108" s="139"/>
      <c r="EWT108" s="139"/>
      <c r="EWU108" s="139"/>
      <c r="EWV108" s="139"/>
      <c r="EWW108" s="139"/>
      <c r="EWX108" s="139"/>
      <c r="EWY108" s="139"/>
      <c r="EWZ108" s="139"/>
      <c r="EXA108" s="139"/>
      <c r="EXB108" s="139"/>
      <c r="EXC108" s="139"/>
      <c r="EXD108" s="139"/>
      <c r="EXE108" s="139"/>
      <c r="EXF108" s="139"/>
      <c r="EXG108" s="139"/>
      <c r="EXH108" s="139"/>
      <c r="EXI108" s="139"/>
      <c r="EXJ108" s="139"/>
      <c r="EXK108" s="139"/>
      <c r="EXL108" s="139"/>
      <c r="EXM108" s="139"/>
      <c r="EXN108" s="139"/>
      <c r="EXO108" s="139"/>
      <c r="EXP108" s="139"/>
      <c r="EXQ108" s="139"/>
      <c r="EXR108" s="139"/>
      <c r="EXS108" s="139"/>
      <c r="EXT108" s="139"/>
      <c r="EXU108" s="139"/>
      <c r="EXV108" s="139"/>
      <c r="EXW108" s="139"/>
      <c r="EXX108" s="139"/>
      <c r="EXY108" s="139"/>
      <c r="EXZ108" s="139"/>
      <c r="EYA108" s="139"/>
      <c r="EYB108" s="139"/>
      <c r="EYC108" s="139"/>
      <c r="EYD108" s="139"/>
      <c r="EYE108" s="139"/>
      <c r="EYF108" s="139"/>
      <c r="EYG108" s="139"/>
      <c r="EYH108" s="139"/>
      <c r="EYI108" s="139"/>
      <c r="EYJ108" s="139"/>
      <c r="EYK108" s="139"/>
      <c r="EYL108" s="139"/>
      <c r="EYM108" s="139"/>
      <c r="EYN108" s="139"/>
      <c r="EYO108" s="139"/>
      <c r="EYP108" s="139"/>
      <c r="EYQ108" s="139"/>
      <c r="EYR108" s="139"/>
      <c r="EYS108" s="139"/>
      <c r="EYT108" s="139"/>
      <c r="EYU108" s="139"/>
      <c r="EYV108" s="139"/>
      <c r="EYW108" s="139"/>
      <c r="EYX108" s="139"/>
      <c r="EYY108" s="139"/>
      <c r="EYZ108" s="139"/>
      <c r="EZA108" s="139"/>
      <c r="EZB108" s="139"/>
      <c r="EZC108" s="139"/>
      <c r="EZD108" s="139"/>
      <c r="EZE108" s="139"/>
      <c r="EZF108" s="139"/>
      <c r="EZG108" s="139"/>
      <c r="EZH108" s="139"/>
      <c r="EZI108" s="139"/>
      <c r="EZJ108" s="139"/>
      <c r="EZK108" s="139"/>
      <c r="EZL108" s="139"/>
      <c r="EZM108" s="139"/>
      <c r="EZN108" s="139"/>
      <c r="EZO108" s="139"/>
      <c r="EZP108" s="139"/>
      <c r="EZQ108" s="139"/>
      <c r="EZR108" s="139"/>
      <c r="EZS108" s="139"/>
      <c r="EZT108" s="139"/>
      <c r="EZU108" s="139"/>
      <c r="EZV108" s="139"/>
      <c r="EZW108" s="139"/>
      <c r="EZX108" s="139"/>
      <c r="EZY108" s="139"/>
      <c r="EZZ108" s="139"/>
      <c r="FAA108" s="139"/>
      <c r="FAB108" s="139"/>
      <c r="FAC108" s="139"/>
      <c r="FAD108" s="139"/>
      <c r="FAE108" s="139"/>
      <c r="FAF108" s="139"/>
      <c r="FAG108" s="139"/>
      <c r="FAH108" s="139"/>
      <c r="FAI108" s="139"/>
      <c r="FAJ108" s="139"/>
      <c r="FAK108" s="139"/>
      <c r="FAL108" s="139"/>
      <c r="FAM108" s="139"/>
      <c r="FAN108" s="139"/>
      <c r="FAO108" s="139"/>
      <c r="FAP108" s="139"/>
      <c r="FAQ108" s="139"/>
      <c r="FAR108" s="139"/>
      <c r="FAS108" s="139"/>
      <c r="FAT108" s="139"/>
      <c r="FAU108" s="139"/>
      <c r="FAV108" s="139"/>
      <c r="FAW108" s="139"/>
      <c r="FAX108" s="139"/>
      <c r="FAY108" s="139"/>
      <c r="FAZ108" s="139"/>
      <c r="FBA108" s="139"/>
      <c r="FBB108" s="139"/>
      <c r="FBC108" s="139"/>
      <c r="FBD108" s="139"/>
      <c r="FBE108" s="139"/>
      <c r="FBF108" s="139"/>
      <c r="FBG108" s="139"/>
      <c r="FBH108" s="139"/>
      <c r="FBI108" s="139"/>
      <c r="FBJ108" s="139"/>
      <c r="FBK108" s="139"/>
      <c r="FBL108" s="139"/>
      <c r="FBM108" s="139"/>
      <c r="FBN108" s="139"/>
      <c r="FBO108" s="139"/>
      <c r="FBP108" s="139"/>
      <c r="FBQ108" s="139"/>
      <c r="FBR108" s="139"/>
      <c r="FBS108" s="139"/>
      <c r="FBT108" s="139"/>
      <c r="FBU108" s="139"/>
      <c r="FBV108" s="139"/>
      <c r="FBW108" s="139"/>
      <c r="FBX108" s="139"/>
      <c r="FBY108" s="139"/>
      <c r="FBZ108" s="139"/>
      <c r="FCA108" s="139"/>
      <c r="FCB108" s="139"/>
      <c r="FCC108" s="139"/>
      <c r="FCD108" s="139"/>
      <c r="FCE108" s="139"/>
      <c r="FCF108" s="139"/>
      <c r="FCG108" s="139"/>
      <c r="FCH108" s="139"/>
      <c r="FCI108" s="139"/>
      <c r="FCJ108" s="139"/>
      <c r="FCK108" s="139"/>
      <c r="FCL108" s="139"/>
      <c r="FCM108" s="139"/>
      <c r="FCN108" s="139"/>
      <c r="FCO108" s="139"/>
      <c r="FCP108" s="139"/>
      <c r="FCQ108" s="139"/>
      <c r="FCR108" s="139"/>
      <c r="FCS108" s="139"/>
      <c r="FCT108" s="139"/>
      <c r="FCU108" s="139"/>
      <c r="FCV108" s="139"/>
      <c r="FCW108" s="139"/>
      <c r="FCX108" s="139"/>
      <c r="FCY108" s="139"/>
      <c r="FCZ108" s="139"/>
      <c r="FDA108" s="139"/>
      <c r="FDB108" s="139"/>
      <c r="FDC108" s="139"/>
      <c r="FDD108" s="139"/>
      <c r="FDE108" s="139"/>
      <c r="FDF108" s="139"/>
      <c r="FDG108" s="139"/>
      <c r="FDH108" s="139"/>
      <c r="FDI108" s="139"/>
      <c r="FDJ108" s="139"/>
      <c r="FDK108" s="139"/>
      <c r="FDL108" s="139"/>
      <c r="FDM108" s="139"/>
      <c r="FDN108" s="139"/>
      <c r="FDO108" s="139"/>
      <c r="FDP108" s="139"/>
      <c r="FDQ108" s="139"/>
      <c r="FDR108" s="139"/>
      <c r="FDS108" s="139"/>
      <c r="FDT108" s="139"/>
      <c r="FDU108" s="139"/>
      <c r="FDV108" s="139"/>
      <c r="FDW108" s="139"/>
      <c r="FDX108" s="139"/>
      <c r="FDY108" s="139"/>
      <c r="FDZ108" s="139"/>
      <c r="FEA108" s="139"/>
      <c r="FEB108" s="139"/>
      <c r="FEC108" s="139"/>
      <c r="FED108" s="139"/>
      <c r="FEE108" s="139"/>
      <c r="FEF108" s="139"/>
      <c r="FEG108" s="139"/>
      <c r="FEH108" s="139"/>
      <c r="FEI108" s="139"/>
      <c r="FEJ108" s="139"/>
      <c r="FEK108" s="139"/>
      <c r="FEL108" s="139"/>
      <c r="FEM108" s="139"/>
      <c r="FEN108" s="139"/>
      <c r="FEO108" s="139"/>
      <c r="FEP108" s="139"/>
      <c r="FEQ108" s="139"/>
      <c r="FER108" s="139"/>
      <c r="FES108" s="139"/>
      <c r="FET108" s="139"/>
      <c r="FEU108" s="139"/>
      <c r="FEV108" s="139"/>
      <c r="FEW108" s="139"/>
      <c r="FEX108" s="139"/>
      <c r="FEY108" s="139"/>
      <c r="FEZ108" s="139"/>
      <c r="FFA108" s="139"/>
      <c r="FFB108" s="139"/>
      <c r="FFC108" s="139"/>
      <c r="FFD108" s="139"/>
      <c r="FFE108" s="139"/>
      <c r="FFF108" s="139"/>
      <c r="FFG108" s="139"/>
      <c r="FFH108" s="139"/>
      <c r="FFI108" s="139"/>
      <c r="FFJ108" s="139"/>
      <c r="FFK108" s="139"/>
      <c r="FFL108" s="139"/>
      <c r="FFM108" s="139"/>
      <c r="FFN108" s="139"/>
      <c r="FFO108" s="139"/>
      <c r="FFP108" s="139"/>
      <c r="FFQ108" s="139"/>
      <c r="FFR108" s="139"/>
      <c r="FFS108" s="139"/>
      <c r="FFT108" s="139"/>
      <c r="FFU108" s="139"/>
      <c r="FFV108" s="139"/>
      <c r="FFW108" s="139"/>
      <c r="FFX108" s="139"/>
      <c r="FFY108" s="139"/>
      <c r="FFZ108" s="139"/>
      <c r="FGA108" s="139"/>
      <c r="FGB108" s="139"/>
      <c r="FGC108" s="139"/>
      <c r="FGD108" s="139"/>
      <c r="FGE108" s="139"/>
      <c r="FGF108" s="139"/>
      <c r="FGG108" s="139"/>
      <c r="FGH108" s="139"/>
      <c r="FGI108" s="139"/>
      <c r="FGJ108" s="139"/>
      <c r="FGK108" s="139"/>
      <c r="FGL108" s="139"/>
      <c r="FGM108" s="139"/>
      <c r="FGN108" s="139"/>
      <c r="FGO108" s="139"/>
      <c r="FGP108" s="139"/>
      <c r="FGQ108" s="139"/>
      <c r="FGR108" s="139"/>
      <c r="FGS108" s="139"/>
      <c r="FGT108" s="139"/>
      <c r="FGU108" s="139"/>
      <c r="FGV108" s="139"/>
      <c r="FGW108" s="139"/>
      <c r="FGX108" s="139"/>
      <c r="FGY108" s="139"/>
      <c r="FGZ108" s="139"/>
      <c r="FHA108" s="139"/>
      <c r="FHB108" s="139"/>
      <c r="FHC108" s="139"/>
      <c r="FHD108" s="139"/>
      <c r="FHE108" s="139"/>
      <c r="FHF108" s="139"/>
      <c r="FHG108" s="139"/>
      <c r="FHH108" s="139"/>
      <c r="FHI108" s="139"/>
      <c r="FHJ108" s="139"/>
      <c r="FHK108" s="139"/>
      <c r="FHL108" s="139"/>
      <c r="FHM108" s="139"/>
      <c r="FHN108" s="139"/>
      <c r="FHO108" s="139"/>
      <c r="FHP108" s="139"/>
      <c r="FHQ108" s="139"/>
      <c r="FHR108" s="139"/>
      <c r="FHS108" s="139"/>
      <c r="FHT108" s="139"/>
      <c r="FHU108" s="139"/>
      <c r="FHV108" s="139"/>
      <c r="FHW108" s="139"/>
      <c r="FHX108" s="139"/>
      <c r="FHY108" s="139"/>
      <c r="FHZ108" s="139"/>
      <c r="FIA108" s="139"/>
      <c r="FIB108" s="139"/>
      <c r="FIC108" s="139"/>
      <c r="FID108" s="139"/>
      <c r="FIE108" s="139"/>
      <c r="FIF108" s="139"/>
      <c r="FIG108" s="139"/>
      <c r="FIH108" s="139"/>
      <c r="FII108" s="139"/>
      <c r="FIJ108" s="139"/>
      <c r="FIK108" s="139"/>
      <c r="FIL108" s="139"/>
      <c r="FIM108" s="139"/>
      <c r="FIN108" s="139"/>
      <c r="FIO108" s="139"/>
      <c r="FIP108" s="139"/>
      <c r="FIQ108" s="139"/>
      <c r="FIR108" s="139"/>
      <c r="FIS108" s="139"/>
      <c r="FIT108" s="139"/>
      <c r="FIU108" s="139"/>
      <c r="FIV108" s="139"/>
      <c r="FIW108" s="139"/>
      <c r="FIX108" s="139"/>
      <c r="FIY108" s="139"/>
      <c r="FIZ108" s="139"/>
      <c r="FJA108" s="139"/>
      <c r="FJB108" s="139"/>
      <c r="FJC108" s="139"/>
      <c r="FJD108" s="139"/>
      <c r="FJE108" s="139"/>
      <c r="FJF108" s="139"/>
      <c r="FJG108" s="139"/>
      <c r="FJH108" s="139"/>
      <c r="FJI108" s="139"/>
      <c r="FJJ108" s="139"/>
      <c r="FJK108" s="139"/>
      <c r="FJL108" s="139"/>
      <c r="FJM108" s="139"/>
      <c r="FJN108" s="139"/>
      <c r="FJO108" s="139"/>
      <c r="FJP108" s="139"/>
      <c r="FJQ108" s="139"/>
      <c r="FJR108" s="139"/>
      <c r="FJS108" s="139"/>
      <c r="FJT108" s="139"/>
      <c r="FJU108" s="139"/>
      <c r="FJV108" s="139"/>
      <c r="FJW108" s="139"/>
      <c r="FJX108" s="139"/>
      <c r="FJY108" s="139"/>
      <c r="FJZ108" s="139"/>
      <c r="FKA108" s="139"/>
      <c r="FKB108" s="139"/>
      <c r="FKC108" s="139"/>
      <c r="FKD108" s="139"/>
      <c r="FKE108" s="139"/>
      <c r="FKF108" s="139"/>
      <c r="FKG108" s="139"/>
      <c r="FKH108" s="139"/>
      <c r="FKI108" s="139"/>
      <c r="FKJ108" s="139"/>
      <c r="FKK108" s="139"/>
      <c r="FKL108" s="139"/>
      <c r="FKM108" s="139"/>
      <c r="FKN108" s="139"/>
      <c r="FKO108" s="139"/>
      <c r="FKP108" s="139"/>
      <c r="FKQ108" s="139"/>
      <c r="FKR108" s="139"/>
      <c r="FKS108" s="139"/>
      <c r="FKT108" s="139"/>
      <c r="FKU108" s="139"/>
      <c r="FKV108" s="139"/>
      <c r="FKW108" s="139"/>
      <c r="FKX108" s="139"/>
      <c r="FKY108" s="139"/>
      <c r="FKZ108" s="139"/>
      <c r="FLA108" s="139"/>
      <c r="FLB108" s="139"/>
      <c r="FLC108" s="139"/>
      <c r="FLD108" s="139"/>
      <c r="FLE108" s="139"/>
      <c r="FLF108" s="139"/>
      <c r="FLG108" s="139"/>
      <c r="FLH108" s="139"/>
      <c r="FLI108" s="139"/>
      <c r="FLJ108" s="139"/>
      <c r="FLK108" s="139"/>
      <c r="FLL108" s="139"/>
      <c r="FLM108" s="139"/>
      <c r="FLN108" s="139"/>
      <c r="FLO108" s="139"/>
      <c r="FLP108" s="139"/>
      <c r="FLQ108" s="139"/>
      <c r="FLR108" s="139"/>
      <c r="FLS108" s="139"/>
      <c r="FLT108" s="139"/>
      <c r="FLU108" s="139"/>
      <c r="FLV108" s="139"/>
      <c r="FLW108" s="139"/>
      <c r="FLX108" s="139"/>
      <c r="FLY108" s="139"/>
      <c r="FLZ108" s="139"/>
      <c r="FMA108" s="139"/>
      <c r="FMB108" s="139"/>
      <c r="FMC108" s="139"/>
      <c r="FMD108" s="139"/>
      <c r="FME108" s="139"/>
      <c r="FMF108" s="139"/>
      <c r="FMG108" s="139"/>
      <c r="FMH108" s="139"/>
      <c r="FMI108" s="139"/>
      <c r="FMJ108" s="139"/>
      <c r="FMK108" s="139"/>
      <c r="FML108" s="139"/>
      <c r="FMM108" s="139"/>
      <c r="FMN108" s="139"/>
      <c r="FMO108" s="139"/>
      <c r="FMP108" s="139"/>
      <c r="FMQ108" s="139"/>
      <c r="FMR108" s="139"/>
      <c r="FMS108" s="139"/>
      <c r="FMT108" s="139"/>
      <c r="FMU108" s="139"/>
      <c r="FMV108" s="139"/>
      <c r="FMW108" s="139"/>
      <c r="FMX108" s="139"/>
      <c r="FMY108" s="139"/>
      <c r="FMZ108" s="139"/>
      <c r="FNA108" s="139"/>
      <c r="FNB108" s="139"/>
      <c r="FNC108" s="139"/>
      <c r="FND108" s="139"/>
      <c r="FNE108" s="139"/>
      <c r="FNF108" s="139"/>
      <c r="FNG108" s="139"/>
      <c r="FNH108" s="139"/>
      <c r="FNI108" s="139"/>
      <c r="FNJ108" s="139"/>
      <c r="FNK108" s="139"/>
      <c r="FNL108" s="139"/>
      <c r="FNM108" s="139"/>
      <c r="FNN108" s="139"/>
      <c r="FNO108" s="139"/>
      <c r="FNP108" s="139"/>
      <c r="FNQ108" s="139"/>
      <c r="FNR108" s="139"/>
      <c r="FNS108" s="139"/>
      <c r="FNT108" s="139"/>
      <c r="FNU108" s="139"/>
      <c r="FNV108" s="139"/>
      <c r="FNW108" s="139"/>
      <c r="FNX108" s="139"/>
      <c r="FNY108" s="139"/>
      <c r="FNZ108" s="139"/>
      <c r="FOA108" s="139"/>
      <c r="FOB108" s="139"/>
      <c r="FOC108" s="139"/>
      <c r="FOD108" s="139"/>
      <c r="FOE108" s="139"/>
      <c r="FOF108" s="139"/>
      <c r="FOG108" s="139"/>
      <c r="FOH108" s="139"/>
      <c r="FOI108" s="139"/>
      <c r="FOJ108" s="139"/>
      <c r="FOK108" s="139"/>
      <c r="FOL108" s="139"/>
      <c r="FOM108" s="139"/>
      <c r="FON108" s="139"/>
      <c r="FOO108" s="139"/>
      <c r="FOP108" s="139"/>
      <c r="FOQ108" s="139"/>
      <c r="FOR108" s="139"/>
      <c r="FOS108" s="139"/>
      <c r="FOT108" s="139"/>
      <c r="FOU108" s="139"/>
      <c r="FOV108" s="139"/>
      <c r="FOW108" s="139"/>
      <c r="FOX108" s="139"/>
      <c r="FOY108" s="139"/>
      <c r="FOZ108" s="139"/>
      <c r="FPA108" s="139"/>
      <c r="FPB108" s="139"/>
      <c r="FPC108" s="139"/>
      <c r="FPD108" s="139"/>
      <c r="FPE108" s="139"/>
      <c r="FPF108" s="139"/>
      <c r="FPG108" s="139"/>
      <c r="FPH108" s="139"/>
      <c r="FPI108" s="139"/>
      <c r="FPJ108" s="139"/>
      <c r="FPK108" s="139"/>
      <c r="FPL108" s="139"/>
      <c r="FPM108" s="139"/>
      <c r="FPN108" s="139"/>
      <c r="FPO108" s="139"/>
      <c r="FPP108" s="139"/>
      <c r="FPQ108" s="139"/>
      <c r="FPR108" s="139"/>
      <c r="FPS108" s="139"/>
      <c r="FPT108" s="139"/>
      <c r="FPU108" s="139"/>
      <c r="FPV108" s="139"/>
      <c r="FPW108" s="139"/>
      <c r="FPX108" s="139"/>
      <c r="FPY108" s="139"/>
      <c r="FPZ108" s="139"/>
      <c r="FQA108" s="139"/>
      <c r="FQB108" s="139"/>
      <c r="FQC108" s="139"/>
      <c r="FQD108" s="139"/>
      <c r="FQE108" s="139"/>
      <c r="FQF108" s="139"/>
      <c r="FQG108" s="139"/>
      <c r="FQH108" s="139"/>
      <c r="FQI108" s="139"/>
      <c r="FQJ108" s="139"/>
      <c r="FQK108" s="139"/>
      <c r="FQL108" s="139"/>
      <c r="FQM108" s="139"/>
      <c r="FQN108" s="139"/>
      <c r="FQO108" s="139"/>
      <c r="FQP108" s="139"/>
      <c r="FQQ108" s="139"/>
      <c r="FQR108" s="139"/>
      <c r="FQS108" s="139"/>
      <c r="FQT108" s="139"/>
      <c r="FQU108" s="139"/>
      <c r="FQV108" s="139"/>
      <c r="FQW108" s="139"/>
      <c r="FQX108" s="139"/>
      <c r="FQY108" s="139"/>
      <c r="FQZ108" s="139"/>
      <c r="FRA108" s="139"/>
      <c r="FRB108" s="139"/>
      <c r="FRC108" s="139"/>
      <c r="FRD108" s="139"/>
      <c r="FRE108" s="139"/>
      <c r="FRF108" s="139"/>
      <c r="FRG108" s="139"/>
      <c r="FRH108" s="139"/>
      <c r="FRI108" s="139"/>
      <c r="FRJ108" s="139"/>
      <c r="FRK108" s="139"/>
      <c r="FRL108" s="139"/>
      <c r="FRM108" s="139"/>
      <c r="FRN108" s="139"/>
      <c r="FRO108" s="139"/>
      <c r="FRP108" s="139"/>
      <c r="FRQ108" s="139"/>
      <c r="FRR108" s="139"/>
      <c r="FRS108" s="139"/>
      <c r="FRT108" s="139"/>
      <c r="FRU108" s="139"/>
      <c r="FRV108" s="139"/>
      <c r="FRW108" s="139"/>
      <c r="FRX108" s="139"/>
      <c r="FRY108" s="139"/>
      <c r="FRZ108" s="139"/>
      <c r="FSA108" s="139"/>
      <c r="FSB108" s="139"/>
      <c r="FSC108" s="139"/>
      <c r="FSD108" s="139"/>
      <c r="FSE108" s="139"/>
      <c r="FSF108" s="139"/>
      <c r="FSG108" s="139"/>
      <c r="FSH108" s="139"/>
      <c r="FSI108" s="139"/>
      <c r="FSJ108" s="139"/>
      <c r="FSK108" s="139"/>
      <c r="FSL108" s="139"/>
      <c r="FSM108" s="139"/>
      <c r="FSN108" s="139"/>
      <c r="FSO108" s="139"/>
      <c r="FSP108" s="139"/>
      <c r="FSQ108" s="139"/>
      <c r="FSR108" s="139"/>
      <c r="FSS108" s="139"/>
      <c r="FST108" s="139"/>
      <c r="FSU108" s="139"/>
      <c r="FSV108" s="139"/>
      <c r="FSW108" s="139"/>
      <c r="FSX108" s="139"/>
      <c r="FSY108" s="139"/>
      <c r="FSZ108" s="139"/>
      <c r="FTA108" s="139"/>
      <c r="FTB108" s="139"/>
      <c r="FTC108" s="139"/>
      <c r="FTD108" s="139"/>
      <c r="FTE108" s="139"/>
      <c r="FTF108" s="139"/>
      <c r="FTG108" s="139"/>
      <c r="FTH108" s="139"/>
      <c r="FTI108" s="139"/>
      <c r="FTJ108" s="139"/>
      <c r="FTK108" s="139"/>
      <c r="FTL108" s="139"/>
      <c r="FTM108" s="139"/>
      <c r="FTN108" s="139"/>
      <c r="FTO108" s="139"/>
      <c r="FTP108" s="139"/>
      <c r="FTQ108" s="139"/>
      <c r="FTR108" s="139"/>
      <c r="FTS108" s="139"/>
      <c r="FTT108" s="139"/>
      <c r="FTU108" s="139"/>
      <c r="FTV108" s="139"/>
      <c r="FTW108" s="139"/>
      <c r="FTX108" s="139"/>
      <c r="FTY108" s="139"/>
      <c r="FTZ108" s="139"/>
      <c r="FUA108" s="139"/>
      <c r="FUB108" s="139"/>
      <c r="FUC108" s="139"/>
      <c r="FUD108" s="139"/>
      <c r="FUE108" s="139"/>
      <c r="FUF108" s="139"/>
      <c r="FUG108" s="139"/>
      <c r="FUH108" s="139"/>
      <c r="FUI108" s="139"/>
      <c r="FUJ108" s="139"/>
      <c r="FUK108" s="139"/>
      <c r="FUL108" s="139"/>
      <c r="FUM108" s="139"/>
      <c r="FUN108" s="139"/>
      <c r="FUO108" s="139"/>
      <c r="FUP108" s="139"/>
      <c r="FUQ108" s="139"/>
      <c r="FUR108" s="139"/>
      <c r="FUS108" s="139"/>
      <c r="FUT108" s="139"/>
      <c r="FUU108" s="139"/>
      <c r="FUV108" s="139"/>
      <c r="FUW108" s="139"/>
      <c r="FUX108" s="139"/>
      <c r="FUY108" s="139"/>
      <c r="FUZ108" s="139"/>
      <c r="FVA108" s="139"/>
      <c r="FVB108" s="139"/>
      <c r="FVC108" s="139"/>
      <c r="FVD108" s="139"/>
      <c r="FVE108" s="139"/>
      <c r="FVF108" s="139"/>
      <c r="FVG108" s="139"/>
      <c r="FVH108" s="139"/>
      <c r="FVI108" s="139"/>
      <c r="FVJ108" s="139"/>
      <c r="FVK108" s="139"/>
      <c r="FVL108" s="139"/>
      <c r="FVM108" s="139"/>
      <c r="FVN108" s="139"/>
      <c r="FVO108" s="139"/>
      <c r="FVP108" s="139"/>
      <c r="FVQ108" s="139"/>
      <c r="FVR108" s="139"/>
      <c r="FVS108" s="139"/>
      <c r="FVT108" s="139"/>
      <c r="FVU108" s="139"/>
      <c r="FVV108" s="139"/>
      <c r="FVW108" s="139"/>
      <c r="FVX108" s="139"/>
      <c r="FVY108" s="139"/>
      <c r="FVZ108" s="139"/>
      <c r="FWA108" s="139"/>
      <c r="FWB108" s="139"/>
      <c r="FWC108" s="139"/>
      <c r="FWD108" s="139"/>
      <c r="FWE108" s="139"/>
      <c r="FWF108" s="139"/>
      <c r="FWG108" s="139"/>
      <c r="FWH108" s="139"/>
      <c r="FWI108" s="139"/>
      <c r="FWJ108" s="139"/>
      <c r="FWK108" s="139"/>
      <c r="FWL108" s="139"/>
      <c r="FWM108" s="139"/>
      <c r="FWN108" s="139"/>
      <c r="FWO108" s="139"/>
      <c r="FWP108" s="139"/>
      <c r="FWQ108" s="139"/>
      <c r="FWR108" s="139"/>
      <c r="FWS108" s="139"/>
      <c r="FWT108" s="139"/>
      <c r="FWU108" s="139"/>
      <c r="FWV108" s="139"/>
      <c r="FWW108" s="139"/>
      <c r="FWX108" s="139"/>
      <c r="FWY108" s="139"/>
      <c r="FWZ108" s="139"/>
      <c r="FXA108" s="139"/>
      <c r="FXB108" s="139"/>
      <c r="FXC108" s="139"/>
      <c r="FXD108" s="139"/>
      <c r="FXE108" s="139"/>
      <c r="FXF108" s="139"/>
      <c r="FXG108" s="139"/>
      <c r="FXH108" s="139"/>
      <c r="FXI108" s="139"/>
      <c r="FXJ108" s="139"/>
      <c r="FXK108" s="139"/>
      <c r="FXL108" s="139"/>
      <c r="FXM108" s="139"/>
      <c r="FXN108" s="139"/>
      <c r="FXO108" s="139"/>
      <c r="FXP108" s="139"/>
      <c r="FXQ108" s="139"/>
      <c r="FXR108" s="139"/>
      <c r="FXS108" s="139"/>
      <c r="FXT108" s="139"/>
      <c r="FXU108" s="139"/>
      <c r="FXV108" s="139"/>
      <c r="FXW108" s="139"/>
      <c r="FXX108" s="139"/>
      <c r="FXY108" s="139"/>
      <c r="FXZ108" s="139"/>
      <c r="FYA108" s="139"/>
      <c r="FYB108" s="139"/>
      <c r="FYC108" s="139"/>
      <c r="FYD108" s="139"/>
      <c r="FYE108" s="139"/>
      <c r="FYF108" s="139"/>
      <c r="FYG108" s="139"/>
      <c r="FYH108" s="139"/>
      <c r="FYI108" s="139"/>
      <c r="FYJ108" s="139"/>
      <c r="FYK108" s="139"/>
      <c r="FYL108" s="139"/>
      <c r="FYM108" s="139"/>
      <c r="FYN108" s="139"/>
      <c r="FYO108" s="139"/>
      <c r="FYP108" s="139"/>
      <c r="FYQ108" s="139"/>
      <c r="FYR108" s="139"/>
      <c r="FYS108" s="139"/>
      <c r="FYT108" s="139"/>
      <c r="FYU108" s="139"/>
      <c r="FYV108" s="139"/>
      <c r="FYW108" s="139"/>
      <c r="FYX108" s="139"/>
      <c r="FYY108" s="139"/>
      <c r="FYZ108" s="139"/>
      <c r="FZA108" s="139"/>
      <c r="FZB108" s="139"/>
      <c r="FZC108" s="139"/>
      <c r="FZD108" s="139"/>
      <c r="FZE108" s="139"/>
      <c r="FZF108" s="139"/>
      <c r="FZG108" s="139"/>
      <c r="FZH108" s="139"/>
      <c r="FZI108" s="139"/>
      <c r="FZJ108" s="139"/>
      <c r="FZK108" s="139"/>
      <c r="FZL108" s="139"/>
      <c r="FZM108" s="139"/>
      <c r="FZN108" s="139"/>
      <c r="FZO108" s="139"/>
      <c r="FZP108" s="139"/>
      <c r="FZQ108" s="139"/>
      <c r="FZR108" s="139"/>
      <c r="FZS108" s="139"/>
      <c r="FZT108" s="139"/>
      <c r="FZU108" s="139"/>
      <c r="FZV108" s="139"/>
      <c r="FZW108" s="139"/>
      <c r="FZX108" s="139"/>
      <c r="FZY108" s="139"/>
      <c r="FZZ108" s="139"/>
      <c r="GAA108" s="139"/>
      <c r="GAB108" s="139"/>
      <c r="GAC108" s="139"/>
      <c r="GAD108" s="139"/>
      <c r="GAE108" s="139"/>
      <c r="GAF108" s="139"/>
      <c r="GAG108" s="139"/>
      <c r="GAH108" s="139"/>
      <c r="GAI108" s="139"/>
      <c r="GAJ108" s="139"/>
      <c r="GAK108" s="139"/>
      <c r="GAL108" s="139"/>
      <c r="GAM108" s="139"/>
      <c r="GAN108" s="139"/>
      <c r="GAO108" s="139"/>
      <c r="GAP108" s="139"/>
      <c r="GAQ108" s="139"/>
      <c r="GAR108" s="139"/>
      <c r="GAS108" s="139"/>
      <c r="GAT108" s="139"/>
      <c r="GAU108" s="139"/>
      <c r="GAV108" s="139"/>
      <c r="GAW108" s="139"/>
      <c r="GAX108" s="139"/>
      <c r="GAY108" s="139"/>
      <c r="GAZ108" s="139"/>
      <c r="GBA108" s="139"/>
      <c r="GBB108" s="139"/>
      <c r="GBC108" s="139"/>
      <c r="GBD108" s="139"/>
      <c r="GBE108" s="139"/>
      <c r="GBF108" s="139"/>
      <c r="GBG108" s="139"/>
      <c r="GBH108" s="139"/>
      <c r="GBI108" s="139"/>
      <c r="GBJ108" s="139"/>
      <c r="GBK108" s="139"/>
      <c r="GBL108" s="139"/>
      <c r="GBM108" s="139"/>
      <c r="GBN108" s="139"/>
      <c r="GBO108" s="139"/>
      <c r="GBP108" s="139"/>
      <c r="GBQ108" s="139"/>
      <c r="GBR108" s="139"/>
      <c r="GBS108" s="139"/>
      <c r="GBT108" s="139"/>
      <c r="GBU108" s="139"/>
      <c r="GBV108" s="139"/>
      <c r="GBW108" s="139"/>
      <c r="GBX108" s="139"/>
      <c r="GBY108" s="139"/>
      <c r="GBZ108" s="139"/>
      <c r="GCA108" s="139"/>
      <c r="GCB108" s="139"/>
      <c r="GCC108" s="139"/>
      <c r="GCD108" s="139"/>
      <c r="GCE108" s="139"/>
      <c r="GCF108" s="139"/>
      <c r="GCG108" s="139"/>
      <c r="GCH108" s="139"/>
      <c r="GCI108" s="139"/>
      <c r="GCJ108" s="139"/>
      <c r="GCK108" s="139"/>
      <c r="GCL108" s="139"/>
      <c r="GCM108" s="139"/>
      <c r="GCN108" s="139"/>
      <c r="GCO108" s="139"/>
      <c r="GCP108" s="139"/>
      <c r="GCQ108" s="139"/>
      <c r="GCR108" s="139"/>
      <c r="GCS108" s="139"/>
      <c r="GCT108" s="139"/>
      <c r="GCU108" s="139"/>
      <c r="GCV108" s="139"/>
      <c r="GCW108" s="139"/>
      <c r="GCX108" s="139"/>
      <c r="GCY108" s="139"/>
      <c r="GCZ108" s="139"/>
      <c r="GDA108" s="139"/>
      <c r="GDB108" s="139"/>
      <c r="GDC108" s="139"/>
      <c r="GDD108" s="139"/>
      <c r="GDE108" s="139"/>
      <c r="GDF108" s="139"/>
      <c r="GDG108" s="139"/>
      <c r="GDH108" s="139"/>
      <c r="GDI108" s="139"/>
      <c r="GDJ108" s="139"/>
      <c r="GDK108" s="139"/>
      <c r="GDL108" s="139"/>
      <c r="GDM108" s="139"/>
      <c r="GDN108" s="139"/>
      <c r="GDO108" s="139"/>
      <c r="GDP108" s="139"/>
      <c r="GDQ108" s="139"/>
      <c r="GDR108" s="139"/>
      <c r="GDS108" s="139"/>
      <c r="GDT108" s="139"/>
      <c r="GDU108" s="139"/>
      <c r="GDV108" s="139"/>
      <c r="GDW108" s="139"/>
      <c r="GDX108" s="139"/>
      <c r="GDY108" s="139"/>
      <c r="GDZ108" s="139"/>
      <c r="GEA108" s="139"/>
      <c r="GEB108" s="139"/>
      <c r="GEC108" s="139"/>
      <c r="GED108" s="139"/>
      <c r="GEE108" s="139"/>
      <c r="GEF108" s="139"/>
      <c r="GEG108" s="139"/>
      <c r="GEH108" s="139"/>
      <c r="GEI108" s="139"/>
      <c r="GEJ108" s="139"/>
      <c r="GEK108" s="139"/>
      <c r="GEL108" s="139"/>
      <c r="GEM108" s="139"/>
      <c r="GEN108" s="139"/>
      <c r="GEO108" s="139"/>
      <c r="GEP108" s="139"/>
      <c r="GEQ108" s="139"/>
      <c r="GER108" s="139"/>
      <c r="GES108" s="139"/>
      <c r="GET108" s="139"/>
      <c r="GEU108" s="139"/>
      <c r="GEV108" s="139"/>
      <c r="GEW108" s="139"/>
      <c r="GEX108" s="139"/>
      <c r="GEY108" s="139"/>
      <c r="GEZ108" s="139"/>
      <c r="GFA108" s="139"/>
      <c r="GFB108" s="139"/>
      <c r="GFC108" s="139"/>
      <c r="GFD108" s="139"/>
      <c r="GFE108" s="139"/>
      <c r="GFF108" s="139"/>
      <c r="GFG108" s="139"/>
      <c r="GFH108" s="139"/>
      <c r="GFI108" s="139"/>
      <c r="GFJ108" s="139"/>
      <c r="GFK108" s="139"/>
      <c r="GFL108" s="139"/>
      <c r="GFM108" s="139"/>
      <c r="GFN108" s="139"/>
      <c r="GFO108" s="139"/>
      <c r="GFP108" s="139"/>
      <c r="GFQ108" s="139"/>
      <c r="GFR108" s="139"/>
      <c r="GFS108" s="139"/>
      <c r="GFT108" s="139"/>
      <c r="GFU108" s="139"/>
      <c r="GFV108" s="139"/>
      <c r="GFW108" s="139"/>
      <c r="GFX108" s="139"/>
      <c r="GFY108" s="139"/>
      <c r="GFZ108" s="139"/>
      <c r="GGA108" s="139"/>
      <c r="GGB108" s="139"/>
      <c r="GGC108" s="139"/>
      <c r="GGD108" s="139"/>
      <c r="GGE108" s="139"/>
      <c r="GGF108" s="139"/>
      <c r="GGG108" s="139"/>
      <c r="GGH108" s="139"/>
      <c r="GGI108" s="139"/>
      <c r="GGJ108" s="139"/>
      <c r="GGK108" s="139"/>
      <c r="GGL108" s="139"/>
      <c r="GGM108" s="139"/>
      <c r="GGN108" s="139"/>
      <c r="GGO108" s="139"/>
      <c r="GGP108" s="139"/>
      <c r="GGQ108" s="139"/>
      <c r="GGR108" s="139"/>
      <c r="GGS108" s="139"/>
      <c r="GGT108" s="139"/>
      <c r="GGU108" s="139"/>
      <c r="GGV108" s="139"/>
      <c r="GGW108" s="139"/>
      <c r="GGX108" s="139"/>
      <c r="GGY108" s="139"/>
      <c r="GGZ108" s="139"/>
      <c r="GHA108" s="139"/>
      <c r="GHB108" s="139"/>
      <c r="GHC108" s="139"/>
      <c r="GHD108" s="139"/>
      <c r="GHE108" s="139"/>
      <c r="GHF108" s="139"/>
      <c r="GHG108" s="139"/>
      <c r="GHH108" s="139"/>
      <c r="GHI108" s="139"/>
      <c r="GHJ108" s="139"/>
      <c r="GHK108" s="139"/>
      <c r="GHL108" s="139"/>
      <c r="GHM108" s="139"/>
      <c r="GHN108" s="139"/>
      <c r="GHO108" s="139"/>
      <c r="GHP108" s="139"/>
      <c r="GHQ108" s="139"/>
      <c r="GHR108" s="139"/>
      <c r="GHS108" s="139"/>
      <c r="GHT108" s="139"/>
      <c r="GHU108" s="139"/>
      <c r="GHV108" s="139"/>
      <c r="GHW108" s="139"/>
      <c r="GHX108" s="139"/>
      <c r="GHY108" s="139"/>
      <c r="GHZ108" s="139"/>
      <c r="GIA108" s="139"/>
      <c r="GIB108" s="139"/>
      <c r="GIC108" s="139"/>
      <c r="GID108" s="139"/>
      <c r="GIE108" s="139"/>
      <c r="GIF108" s="139"/>
      <c r="GIG108" s="139"/>
      <c r="GIH108" s="139"/>
      <c r="GII108" s="139"/>
      <c r="GIJ108" s="139"/>
      <c r="GIK108" s="139"/>
      <c r="GIL108" s="139"/>
      <c r="GIM108" s="139"/>
      <c r="GIN108" s="139"/>
      <c r="GIO108" s="139"/>
      <c r="GIP108" s="139"/>
      <c r="GIQ108" s="139"/>
      <c r="GIR108" s="139"/>
      <c r="GIS108" s="139"/>
      <c r="GIT108" s="139"/>
      <c r="GIU108" s="139"/>
      <c r="GIV108" s="139"/>
      <c r="GIW108" s="139"/>
      <c r="GIX108" s="139"/>
      <c r="GIY108" s="139"/>
      <c r="GIZ108" s="139"/>
      <c r="GJA108" s="139"/>
      <c r="GJB108" s="139"/>
      <c r="GJC108" s="139"/>
      <c r="GJD108" s="139"/>
      <c r="GJE108" s="139"/>
      <c r="GJF108" s="139"/>
      <c r="GJG108" s="139"/>
      <c r="GJH108" s="139"/>
      <c r="GJI108" s="139"/>
      <c r="GJJ108" s="139"/>
      <c r="GJK108" s="139"/>
      <c r="GJL108" s="139"/>
      <c r="GJM108" s="139"/>
      <c r="GJN108" s="139"/>
      <c r="GJO108" s="139"/>
      <c r="GJP108" s="139"/>
      <c r="GJQ108" s="139"/>
      <c r="GJR108" s="139"/>
      <c r="GJS108" s="139"/>
      <c r="GJT108" s="139"/>
      <c r="GJU108" s="139"/>
      <c r="GJV108" s="139"/>
      <c r="GJW108" s="139"/>
      <c r="GJX108" s="139"/>
      <c r="GJY108" s="139"/>
      <c r="GJZ108" s="139"/>
      <c r="GKA108" s="139"/>
      <c r="GKB108" s="139"/>
      <c r="GKC108" s="139"/>
      <c r="GKD108" s="139"/>
      <c r="GKE108" s="139"/>
      <c r="GKF108" s="139"/>
      <c r="GKG108" s="139"/>
      <c r="GKH108" s="139"/>
      <c r="GKI108" s="139"/>
      <c r="GKJ108" s="139"/>
      <c r="GKK108" s="139"/>
      <c r="GKL108" s="139"/>
      <c r="GKM108" s="139"/>
      <c r="GKN108" s="139"/>
      <c r="GKO108" s="139"/>
      <c r="GKP108" s="139"/>
      <c r="GKQ108" s="139"/>
      <c r="GKR108" s="139"/>
      <c r="GKS108" s="139"/>
      <c r="GKT108" s="139"/>
      <c r="GKU108" s="139"/>
      <c r="GKV108" s="139"/>
      <c r="GKW108" s="139"/>
      <c r="GKX108" s="139"/>
      <c r="GKY108" s="139"/>
      <c r="GKZ108" s="139"/>
      <c r="GLA108" s="139"/>
      <c r="GLB108" s="139"/>
      <c r="GLC108" s="139"/>
      <c r="GLD108" s="139"/>
      <c r="GLE108" s="139"/>
      <c r="GLF108" s="139"/>
      <c r="GLG108" s="139"/>
      <c r="GLH108" s="139"/>
      <c r="GLI108" s="139"/>
      <c r="GLJ108" s="139"/>
      <c r="GLK108" s="139"/>
      <c r="GLL108" s="139"/>
      <c r="GLM108" s="139"/>
      <c r="GLN108" s="139"/>
      <c r="GLO108" s="139"/>
      <c r="GLP108" s="139"/>
      <c r="GLQ108" s="139"/>
      <c r="GLR108" s="139"/>
      <c r="GLS108" s="139"/>
      <c r="GLT108" s="139"/>
      <c r="GLU108" s="139"/>
      <c r="GLV108" s="139"/>
      <c r="GLW108" s="139"/>
      <c r="GLX108" s="139"/>
      <c r="GLY108" s="139"/>
      <c r="GLZ108" s="139"/>
      <c r="GMA108" s="139"/>
      <c r="GMB108" s="139"/>
      <c r="GMC108" s="139"/>
      <c r="GMD108" s="139"/>
      <c r="GME108" s="139"/>
      <c r="GMF108" s="139"/>
      <c r="GMG108" s="139"/>
      <c r="GMH108" s="139"/>
      <c r="GMI108" s="139"/>
      <c r="GMJ108" s="139"/>
      <c r="GMK108" s="139"/>
      <c r="GML108" s="139"/>
      <c r="GMM108" s="139"/>
      <c r="GMN108" s="139"/>
      <c r="GMO108" s="139"/>
      <c r="GMP108" s="139"/>
      <c r="GMQ108" s="139"/>
      <c r="GMR108" s="139"/>
      <c r="GMS108" s="139"/>
      <c r="GMT108" s="139"/>
      <c r="GMU108" s="139"/>
      <c r="GMV108" s="139"/>
      <c r="GMW108" s="139"/>
      <c r="GMX108" s="139"/>
      <c r="GMY108" s="139"/>
      <c r="GMZ108" s="139"/>
      <c r="GNA108" s="139"/>
      <c r="GNB108" s="139"/>
      <c r="GNC108" s="139"/>
      <c r="GND108" s="139"/>
      <c r="GNE108" s="139"/>
      <c r="GNF108" s="139"/>
      <c r="GNG108" s="139"/>
      <c r="GNH108" s="139"/>
      <c r="GNI108" s="139"/>
      <c r="GNJ108" s="139"/>
      <c r="GNK108" s="139"/>
      <c r="GNL108" s="139"/>
      <c r="GNM108" s="139"/>
      <c r="GNN108" s="139"/>
      <c r="GNO108" s="139"/>
      <c r="GNP108" s="139"/>
      <c r="GNQ108" s="139"/>
      <c r="GNR108" s="139"/>
      <c r="GNS108" s="139"/>
      <c r="GNT108" s="139"/>
      <c r="GNU108" s="139"/>
      <c r="GNV108" s="139"/>
      <c r="GNW108" s="139"/>
      <c r="GNX108" s="139"/>
      <c r="GNY108" s="139"/>
      <c r="GNZ108" s="139"/>
      <c r="GOA108" s="139"/>
      <c r="GOB108" s="139"/>
      <c r="GOC108" s="139"/>
      <c r="GOD108" s="139"/>
      <c r="GOE108" s="139"/>
      <c r="GOF108" s="139"/>
      <c r="GOG108" s="139"/>
      <c r="GOH108" s="139"/>
      <c r="GOI108" s="139"/>
      <c r="GOJ108" s="139"/>
      <c r="GOK108" s="139"/>
      <c r="GOL108" s="139"/>
      <c r="GOM108" s="139"/>
      <c r="GON108" s="139"/>
      <c r="GOO108" s="139"/>
      <c r="GOP108" s="139"/>
      <c r="GOQ108" s="139"/>
      <c r="GOR108" s="139"/>
      <c r="GOS108" s="139"/>
      <c r="GOT108" s="139"/>
      <c r="GOU108" s="139"/>
      <c r="GOV108" s="139"/>
      <c r="GOW108" s="139"/>
      <c r="GOX108" s="139"/>
      <c r="GOY108" s="139"/>
      <c r="GOZ108" s="139"/>
      <c r="GPA108" s="139"/>
      <c r="GPB108" s="139"/>
      <c r="GPC108" s="139"/>
      <c r="GPD108" s="139"/>
      <c r="GPE108" s="139"/>
      <c r="GPF108" s="139"/>
      <c r="GPG108" s="139"/>
      <c r="GPH108" s="139"/>
      <c r="GPI108" s="139"/>
      <c r="GPJ108" s="139"/>
      <c r="GPK108" s="139"/>
      <c r="GPL108" s="139"/>
      <c r="GPM108" s="139"/>
      <c r="GPN108" s="139"/>
      <c r="GPO108" s="139"/>
      <c r="GPP108" s="139"/>
      <c r="GPQ108" s="139"/>
      <c r="GPR108" s="139"/>
      <c r="GPS108" s="139"/>
      <c r="GPT108" s="139"/>
      <c r="GPU108" s="139"/>
      <c r="GPV108" s="139"/>
      <c r="GPW108" s="139"/>
      <c r="GPX108" s="139"/>
      <c r="GPY108" s="139"/>
      <c r="GPZ108" s="139"/>
      <c r="GQA108" s="139"/>
      <c r="GQB108" s="139"/>
      <c r="GQC108" s="139"/>
      <c r="GQD108" s="139"/>
      <c r="GQE108" s="139"/>
      <c r="GQF108" s="139"/>
      <c r="GQG108" s="139"/>
      <c r="GQH108" s="139"/>
      <c r="GQI108" s="139"/>
      <c r="GQJ108" s="139"/>
      <c r="GQK108" s="139"/>
      <c r="GQL108" s="139"/>
      <c r="GQM108" s="139"/>
      <c r="GQN108" s="139"/>
      <c r="GQO108" s="139"/>
      <c r="GQP108" s="139"/>
      <c r="GQQ108" s="139"/>
      <c r="GQR108" s="139"/>
      <c r="GQS108" s="139"/>
      <c r="GQT108" s="139"/>
      <c r="GQU108" s="139"/>
      <c r="GQV108" s="139"/>
      <c r="GQW108" s="139"/>
      <c r="GQX108" s="139"/>
      <c r="GQY108" s="139"/>
      <c r="GQZ108" s="139"/>
      <c r="GRA108" s="139"/>
      <c r="GRB108" s="139"/>
      <c r="GRC108" s="139"/>
      <c r="GRD108" s="139"/>
      <c r="GRE108" s="139"/>
      <c r="GRF108" s="139"/>
      <c r="GRG108" s="139"/>
      <c r="GRH108" s="139"/>
      <c r="GRI108" s="139"/>
      <c r="GRJ108" s="139"/>
      <c r="GRK108" s="139"/>
      <c r="GRL108" s="139"/>
      <c r="GRM108" s="139"/>
      <c r="GRN108" s="139"/>
      <c r="GRO108" s="139"/>
      <c r="GRP108" s="139"/>
      <c r="GRQ108" s="139"/>
      <c r="GRR108" s="139"/>
      <c r="GRS108" s="139"/>
      <c r="GRT108" s="139"/>
      <c r="GRU108" s="139"/>
      <c r="GRV108" s="139"/>
      <c r="GRW108" s="139"/>
      <c r="GRX108" s="139"/>
      <c r="GRY108" s="139"/>
      <c r="GRZ108" s="139"/>
      <c r="GSA108" s="139"/>
      <c r="GSB108" s="139"/>
      <c r="GSC108" s="139"/>
      <c r="GSD108" s="139"/>
      <c r="GSE108" s="139"/>
      <c r="GSF108" s="139"/>
      <c r="GSG108" s="139"/>
      <c r="GSH108" s="139"/>
      <c r="GSI108" s="139"/>
      <c r="GSJ108" s="139"/>
      <c r="GSK108" s="139"/>
      <c r="GSL108" s="139"/>
      <c r="GSM108" s="139"/>
      <c r="GSN108" s="139"/>
      <c r="GSO108" s="139"/>
      <c r="GSP108" s="139"/>
      <c r="GSQ108" s="139"/>
      <c r="GSR108" s="139"/>
      <c r="GSS108" s="139"/>
      <c r="GST108" s="139"/>
      <c r="GSU108" s="139"/>
      <c r="GSV108" s="139"/>
      <c r="GSW108" s="139"/>
      <c r="GSX108" s="139"/>
      <c r="GSY108" s="139"/>
      <c r="GSZ108" s="139"/>
      <c r="GTA108" s="139"/>
      <c r="GTB108" s="139"/>
      <c r="GTC108" s="139"/>
      <c r="GTD108" s="139"/>
      <c r="GTE108" s="139"/>
      <c r="GTF108" s="139"/>
      <c r="GTG108" s="139"/>
      <c r="GTH108" s="139"/>
      <c r="GTI108" s="139"/>
      <c r="GTJ108" s="139"/>
      <c r="GTK108" s="139"/>
      <c r="GTL108" s="139"/>
      <c r="GTM108" s="139"/>
      <c r="GTN108" s="139"/>
      <c r="GTO108" s="139"/>
      <c r="GTP108" s="139"/>
      <c r="GTQ108" s="139"/>
      <c r="GTR108" s="139"/>
      <c r="GTS108" s="139"/>
      <c r="GTT108" s="139"/>
      <c r="GTU108" s="139"/>
      <c r="GTV108" s="139"/>
      <c r="GTW108" s="139"/>
      <c r="GTX108" s="139"/>
      <c r="GTY108" s="139"/>
      <c r="GTZ108" s="139"/>
      <c r="GUA108" s="139"/>
      <c r="GUB108" s="139"/>
      <c r="GUC108" s="139"/>
      <c r="GUD108" s="139"/>
      <c r="GUE108" s="139"/>
      <c r="GUF108" s="139"/>
      <c r="GUG108" s="139"/>
      <c r="GUH108" s="139"/>
      <c r="GUI108" s="139"/>
      <c r="GUJ108" s="139"/>
      <c r="GUK108" s="139"/>
      <c r="GUL108" s="139"/>
      <c r="GUM108" s="139"/>
      <c r="GUN108" s="139"/>
      <c r="GUO108" s="139"/>
      <c r="GUP108" s="139"/>
      <c r="GUQ108" s="139"/>
      <c r="GUR108" s="139"/>
      <c r="GUS108" s="139"/>
      <c r="GUT108" s="139"/>
      <c r="GUU108" s="139"/>
      <c r="GUV108" s="139"/>
      <c r="GUW108" s="139"/>
      <c r="GUX108" s="139"/>
      <c r="GUY108" s="139"/>
      <c r="GUZ108" s="139"/>
      <c r="GVA108" s="139"/>
      <c r="GVB108" s="139"/>
      <c r="GVC108" s="139"/>
      <c r="GVD108" s="139"/>
      <c r="GVE108" s="139"/>
      <c r="GVF108" s="139"/>
      <c r="GVG108" s="139"/>
      <c r="GVH108" s="139"/>
      <c r="GVI108" s="139"/>
      <c r="GVJ108" s="139"/>
      <c r="GVK108" s="139"/>
      <c r="GVL108" s="139"/>
      <c r="GVM108" s="139"/>
      <c r="GVN108" s="139"/>
      <c r="GVO108" s="139"/>
      <c r="GVP108" s="139"/>
      <c r="GVQ108" s="139"/>
      <c r="GVR108" s="139"/>
      <c r="GVS108" s="139"/>
      <c r="GVT108" s="139"/>
      <c r="GVU108" s="139"/>
      <c r="GVV108" s="139"/>
      <c r="GVW108" s="139"/>
      <c r="GVX108" s="139"/>
      <c r="GVY108" s="139"/>
      <c r="GVZ108" s="139"/>
      <c r="GWA108" s="139"/>
      <c r="GWB108" s="139"/>
      <c r="GWC108" s="139"/>
      <c r="GWD108" s="139"/>
      <c r="GWE108" s="139"/>
      <c r="GWF108" s="139"/>
      <c r="GWG108" s="139"/>
      <c r="GWH108" s="139"/>
      <c r="GWI108" s="139"/>
      <c r="GWJ108" s="139"/>
      <c r="GWK108" s="139"/>
      <c r="GWL108" s="139"/>
      <c r="GWM108" s="139"/>
      <c r="GWN108" s="139"/>
      <c r="GWO108" s="139"/>
      <c r="GWP108" s="139"/>
      <c r="GWQ108" s="139"/>
      <c r="GWR108" s="139"/>
      <c r="GWS108" s="139"/>
      <c r="GWT108" s="139"/>
      <c r="GWU108" s="139"/>
      <c r="GWV108" s="139"/>
      <c r="GWW108" s="139"/>
      <c r="GWX108" s="139"/>
      <c r="GWY108" s="139"/>
      <c r="GWZ108" s="139"/>
      <c r="GXA108" s="139"/>
      <c r="GXB108" s="139"/>
      <c r="GXC108" s="139"/>
      <c r="GXD108" s="139"/>
      <c r="GXE108" s="139"/>
      <c r="GXF108" s="139"/>
      <c r="GXG108" s="139"/>
      <c r="GXH108" s="139"/>
      <c r="GXI108" s="139"/>
      <c r="GXJ108" s="139"/>
      <c r="GXK108" s="139"/>
      <c r="GXL108" s="139"/>
      <c r="GXM108" s="139"/>
      <c r="GXN108" s="139"/>
      <c r="GXO108" s="139"/>
      <c r="GXP108" s="139"/>
      <c r="GXQ108" s="139"/>
      <c r="GXR108" s="139"/>
      <c r="GXS108" s="139"/>
      <c r="GXT108" s="139"/>
      <c r="GXU108" s="139"/>
      <c r="GXV108" s="139"/>
      <c r="GXW108" s="139"/>
      <c r="GXX108" s="139"/>
      <c r="GXY108" s="139"/>
      <c r="GXZ108" s="139"/>
      <c r="GYA108" s="139"/>
      <c r="GYB108" s="139"/>
      <c r="GYC108" s="139"/>
      <c r="GYD108" s="139"/>
      <c r="GYE108" s="139"/>
      <c r="GYF108" s="139"/>
      <c r="GYG108" s="139"/>
      <c r="GYH108" s="139"/>
      <c r="GYI108" s="139"/>
      <c r="GYJ108" s="139"/>
      <c r="GYK108" s="139"/>
      <c r="GYL108" s="139"/>
      <c r="GYM108" s="139"/>
      <c r="GYN108" s="139"/>
      <c r="GYO108" s="139"/>
      <c r="GYP108" s="139"/>
      <c r="GYQ108" s="139"/>
      <c r="GYR108" s="139"/>
      <c r="GYS108" s="139"/>
      <c r="GYT108" s="139"/>
      <c r="GYU108" s="139"/>
      <c r="GYV108" s="139"/>
      <c r="GYW108" s="139"/>
      <c r="GYX108" s="139"/>
      <c r="GYY108" s="139"/>
      <c r="GYZ108" s="139"/>
      <c r="GZA108" s="139"/>
      <c r="GZB108" s="139"/>
      <c r="GZC108" s="139"/>
      <c r="GZD108" s="139"/>
      <c r="GZE108" s="139"/>
      <c r="GZF108" s="139"/>
      <c r="GZG108" s="139"/>
      <c r="GZH108" s="139"/>
      <c r="GZI108" s="139"/>
      <c r="GZJ108" s="139"/>
      <c r="GZK108" s="139"/>
      <c r="GZL108" s="139"/>
      <c r="GZM108" s="139"/>
      <c r="GZN108" s="139"/>
      <c r="GZO108" s="139"/>
      <c r="GZP108" s="139"/>
      <c r="GZQ108" s="139"/>
      <c r="GZR108" s="139"/>
      <c r="GZS108" s="139"/>
      <c r="GZT108" s="139"/>
      <c r="GZU108" s="139"/>
      <c r="GZV108" s="139"/>
      <c r="GZW108" s="139"/>
      <c r="GZX108" s="139"/>
      <c r="GZY108" s="139"/>
      <c r="GZZ108" s="139"/>
      <c r="HAA108" s="139"/>
      <c r="HAB108" s="139"/>
      <c r="HAC108" s="139"/>
      <c r="HAD108" s="139"/>
      <c r="HAE108" s="139"/>
      <c r="HAF108" s="139"/>
      <c r="HAG108" s="139"/>
      <c r="HAH108" s="139"/>
      <c r="HAI108" s="139"/>
      <c r="HAJ108" s="139"/>
      <c r="HAK108" s="139"/>
      <c r="HAL108" s="139"/>
      <c r="HAM108" s="139"/>
      <c r="HAN108" s="139"/>
      <c r="HAO108" s="139"/>
      <c r="HAP108" s="139"/>
      <c r="HAQ108" s="139"/>
      <c r="HAR108" s="139"/>
      <c r="HAS108" s="139"/>
      <c r="HAT108" s="139"/>
      <c r="HAU108" s="139"/>
      <c r="HAV108" s="139"/>
      <c r="HAW108" s="139"/>
      <c r="HAX108" s="139"/>
      <c r="HAY108" s="139"/>
      <c r="HAZ108" s="139"/>
      <c r="HBA108" s="139"/>
      <c r="HBB108" s="139"/>
      <c r="HBC108" s="139"/>
      <c r="HBD108" s="139"/>
      <c r="HBE108" s="139"/>
      <c r="HBF108" s="139"/>
      <c r="HBG108" s="139"/>
      <c r="HBH108" s="139"/>
      <c r="HBI108" s="139"/>
      <c r="HBJ108" s="139"/>
      <c r="HBK108" s="139"/>
      <c r="HBL108" s="139"/>
      <c r="HBM108" s="139"/>
      <c r="HBN108" s="139"/>
      <c r="HBO108" s="139"/>
      <c r="HBP108" s="139"/>
      <c r="HBQ108" s="139"/>
      <c r="HBR108" s="139"/>
      <c r="HBS108" s="139"/>
      <c r="HBT108" s="139"/>
      <c r="HBU108" s="139"/>
      <c r="HBV108" s="139"/>
      <c r="HBW108" s="139"/>
      <c r="HBX108" s="139"/>
      <c r="HBY108" s="139"/>
      <c r="HBZ108" s="139"/>
      <c r="HCA108" s="139"/>
      <c r="HCB108" s="139"/>
      <c r="HCC108" s="139"/>
      <c r="HCD108" s="139"/>
      <c r="HCE108" s="139"/>
      <c r="HCF108" s="139"/>
      <c r="HCG108" s="139"/>
      <c r="HCH108" s="139"/>
      <c r="HCI108" s="139"/>
      <c r="HCJ108" s="139"/>
      <c r="HCK108" s="139"/>
      <c r="HCL108" s="139"/>
      <c r="HCM108" s="139"/>
      <c r="HCN108" s="139"/>
      <c r="HCO108" s="139"/>
      <c r="HCP108" s="139"/>
      <c r="HCQ108" s="139"/>
      <c r="HCR108" s="139"/>
      <c r="HCS108" s="139"/>
      <c r="HCT108" s="139"/>
      <c r="HCU108" s="139"/>
      <c r="HCV108" s="139"/>
      <c r="HCW108" s="139"/>
      <c r="HCX108" s="139"/>
      <c r="HCY108" s="139"/>
      <c r="HCZ108" s="139"/>
      <c r="HDA108" s="139"/>
      <c r="HDB108" s="139"/>
      <c r="HDC108" s="139"/>
      <c r="HDD108" s="139"/>
      <c r="HDE108" s="139"/>
      <c r="HDF108" s="139"/>
      <c r="HDG108" s="139"/>
      <c r="HDH108" s="139"/>
      <c r="HDI108" s="139"/>
      <c r="HDJ108" s="139"/>
      <c r="HDK108" s="139"/>
      <c r="HDL108" s="139"/>
      <c r="HDM108" s="139"/>
      <c r="HDN108" s="139"/>
      <c r="HDO108" s="139"/>
      <c r="HDP108" s="139"/>
      <c r="HDQ108" s="139"/>
      <c r="HDR108" s="139"/>
      <c r="HDS108" s="139"/>
      <c r="HDT108" s="139"/>
      <c r="HDU108" s="139"/>
      <c r="HDV108" s="139"/>
      <c r="HDW108" s="139"/>
      <c r="HDX108" s="139"/>
      <c r="HDY108" s="139"/>
      <c r="HDZ108" s="139"/>
      <c r="HEA108" s="139"/>
      <c r="HEB108" s="139"/>
      <c r="HEC108" s="139"/>
      <c r="HED108" s="139"/>
      <c r="HEE108" s="139"/>
      <c r="HEF108" s="139"/>
      <c r="HEG108" s="139"/>
      <c r="HEH108" s="139"/>
      <c r="HEI108" s="139"/>
      <c r="HEJ108" s="139"/>
      <c r="HEK108" s="139"/>
      <c r="HEL108" s="139"/>
      <c r="HEM108" s="139"/>
      <c r="HEN108" s="139"/>
      <c r="HEO108" s="139"/>
      <c r="HEP108" s="139"/>
      <c r="HEQ108" s="139"/>
      <c r="HER108" s="139"/>
      <c r="HES108" s="139"/>
      <c r="HET108" s="139"/>
      <c r="HEU108" s="139"/>
      <c r="HEV108" s="139"/>
      <c r="HEW108" s="139"/>
      <c r="HEX108" s="139"/>
      <c r="HEY108" s="139"/>
      <c r="HEZ108" s="139"/>
      <c r="HFA108" s="139"/>
      <c r="HFB108" s="139"/>
      <c r="HFC108" s="139"/>
      <c r="HFD108" s="139"/>
      <c r="HFE108" s="139"/>
      <c r="HFF108" s="139"/>
      <c r="HFG108" s="139"/>
      <c r="HFH108" s="139"/>
      <c r="HFI108" s="139"/>
      <c r="HFJ108" s="139"/>
      <c r="HFK108" s="139"/>
      <c r="HFL108" s="139"/>
      <c r="HFM108" s="139"/>
      <c r="HFN108" s="139"/>
      <c r="HFO108" s="139"/>
      <c r="HFP108" s="139"/>
      <c r="HFQ108" s="139"/>
      <c r="HFR108" s="139"/>
      <c r="HFS108" s="139"/>
      <c r="HFT108" s="139"/>
      <c r="HFU108" s="139"/>
      <c r="HFV108" s="139"/>
      <c r="HFW108" s="139"/>
      <c r="HFX108" s="139"/>
      <c r="HFY108" s="139"/>
      <c r="HFZ108" s="139"/>
      <c r="HGA108" s="139"/>
      <c r="HGB108" s="139"/>
      <c r="HGC108" s="139"/>
      <c r="HGD108" s="139"/>
      <c r="HGE108" s="139"/>
      <c r="HGF108" s="139"/>
      <c r="HGG108" s="139"/>
      <c r="HGH108" s="139"/>
      <c r="HGI108" s="139"/>
      <c r="HGJ108" s="139"/>
      <c r="HGK108" s="139"/>
      <c r="HGL108" s="139"/>
      <c r="HGM108" s="139"/>
      <c r="HGN108" s="139"/>
      <c r="HGO108" s="139"/>
      <c r="HGP108" s="139"/>
      <c r="HGQ108" s="139"/>
      <c r="HGR108" s="139"/>
      <c r="HGS108" s="139"/>
      <c r="HGT108" s="139"/>
      <c r="HGU108" s="139"/>
      <c r="HGV108" s="139"/>
      <c r="HGW108" s="139"/>
      <c r="HGX108" s="139"/>
      <c r="HGY108" s="139"/>
      <c r="HGZ108" s="139"/>
      <c r="HHA108" s="139"/>
      <c r="HHB108" s="139"/>
      <c r="HHC108" s="139"/>
      <c r="HHD108" s="139"/>
      <c r="HHE108" s="139"/>
      <c r="HHF108" s="139"/>
      <c r="HHG108" s="139"/>
      <c r="HHH108" s="139"/>
      <c r="HHI108" s="139"/>
      <c r="HHJ108" s="139"/>
      <c r="HHK108" s="139"/>
      <c r="HHL108" s="139"/>
      <c r="HHM108" s="139"/>
      <c r="HHN108" s="139"/>
      <c r="HHO108" s="139"/>
      <c r="HHP108" s="139"/>
      <c r="HHQ108" s="139"/>
      <c r="HHR108" s="139"/>
      <c r="HHS108" s="139"/>
      <c r="HHT108" s="139"/>
      <c r="HHU108" s="139"/>
      <c r="HHV108" s="139"/>
      <c r="HHW108" s="139"/>
      <c r="HHX108" s="139"/>
      <c r="HHY108" s="139"/>
      <c r="HHZ108" s="139"/>
      <c r="HIA108" s="139"/>
      <c r="HIB108" s="139"/>
      <c r="HIC108" s="139"/>
      <c r="HID108" s="139"/>
      <c r="HIE108" s="139"/>
      <c r="HIF108" s="139"/>
      <c r="HIG108" s="139"/>
      <c r="HIH108" s="139"/>
      <c r="HII108" s="139"/>
      <c r="HIJ108" s="139"/>
      <c r="HIK108" s="139"/>
      <c r="HIL108" s="139"/>
      <c r="HIM108" s="139"/>
      <c r="HIN108" s="139"/>
      <c r="HIO108" s="139"/>
      <c r="HIP108" s="139"/>
      <c r="HIQ108" s="139"/>
      <c r="HIR108" s="139"/>
      <c r="HIS108" s="139"/>
      <c r="HIT108" s="139"/>
      <c r="HIU108" s="139"/>
      <c r="HIV108" s="139"/>
      <c r="HIW108" s="139"/>
      <c r="HIX108" s="139"/>
      <c r="HIY108" s="139"/>
      <c r="HIZ108" s="139"/>
      <c r="HJA108" s="139"/>
      <c r="HJB108" s="139"/>
      <c r="HJC108" s="139"/>
      <c r="HJD108" s="139"/>
      <c r="HJE108" s="139"/>
      <c r="HJF108" s="139"/>
      <c r="HJG108" s="139"/>
      <c r="HJH108" s="139"/>
      <c r="HJI108" s="139"/>
      <c r="HJJ108" s="139"/>
      <c r="HJK108" s="139"/>
      <c r="HJL108" s="139"/>
      <c r="HJM108" s="139"/>
      <c r="HJN108" s="139"/>
      <c r="HJO108" s="139"/>
      <c r="HJP108" s="139"/>
      <c r="HJQ108" s="139"/>
      <c r="HJR108" s="139"/>
      <c r="HJS108" s="139"/>
      <c r="HJT108" s="139"/>
      <c r="HJU108" s="139"/>
      <c r="HJV108" s="139"/>
      <c r="HJW108" s="139"/>
      <c r="HJX108" s="139"/>
      <c r="HJY108" s="139"/>
      <c r="HJZ108" s="139"/>
      <c r="HKA108" s="139"/>
      <c r="HKB108" s="139"/>
      <c r="HKC108" s="139"/>
      <c r="HKD108" s="139"/>
      <c r="HKE108" s="139"/>
      <c r="HKF108" s="139"/>
      <c r="HKG108" s="139"/>
      <c r="HKH108" s="139"/>
      <c r="HKI108" s="139"/>
      <c r="HKJ108" s="139"/>
      <c r="HKK108" s="139"/>
      <c r="HKL108" s="139"/>
      <c r="HKM108" s="139"/>
      <c r="HKN108" s="139"/>
      <c r="HKO108" s="139"/>
      <c r="HKP108" s="139"/>
      <c r="HKQ108" s="139"/>
      <c r="HKR108" s="139"/>
      <c r="HKS108" s="139"/>
      <c r="HKT108" s="139"/>
      <c r="HKU108" s="139"/>
      <c r="HKV108" s="139"/>
      <c r="HKW108" s="139"/>
      <c r="HKX108" s="139"/>
      <c r="HKY108" s="139"/>
      <c r="HKZ108" s="139"/>
      <c r="HLA108" s="139"/>
      <c r="HLB108" s="139"/>
      <c r="HLC108" s="139"/>
      <c r="HLD108" s="139"/>
      <c r="HLE108" s="139"/>
      <c r="HLF108" s="139"/>
      <c r="HLG108" s="139"/>
      <c r="HLH108" s="139"/>
      <c r="HLI108" s="139"/>
      <c r="HLJ108" s="139"/>
      <c r="HLK108" s="139"/>
      <c r="HLL108" s="139"/>
      <c r="HLM108" s="139"/>
      <c r="HLN108" s="139"/>
      <c r="HLO108" s="139"/>
      <c r="HLP108" s="139"/>
      <c r="HLQ108" s="139"/>
      <c r="HLR108" s="139"/>
      <c r="HLS108" s="139"/>
      <c r="HLT108" s="139"/>
      <c r="HLU108" s="139"/>
      <c r="HLV108" s="139"/>
      <c r="HLW108" s="139"/>
      <c r="HLX108" s="139"/>
      <c r="HLY108" s="139"/>
      <c r="HLZ108" s="139"/>
      <c r="HMA108" s="139"/>
      <c r="HMB108" s="139"/>
      <c r="HMC108" s="139"/>
      <c r="HMD108" s="139"/>
      <c r="HME108" s="139"/>
      <c r="HMF108" s="139"/>
      <c r="HMG108" s="139"/>
      <c r="HMH108" s="139"/>
      <c r="HMI108" s="139"/>
      <c r="HMJ108" s="139"/>
      <c r="HMK108" s="139"/>
      <c r="HML108" s="139"/>
      <c r="HMM108" s="139"/>
      <c r="HMN108" s="139"/>
      <c r="HMO108" s="139"/>
      <c r="HMP108" s="139"/>
      <c r="HMQ108" s="139"/>
      <c r="HMR108" s="139"/>
      <c r="HMS108" s="139"/>
      <c r="HMT108" s="139"/>
      <c r="HMU108" s="139"/>
      <c r="HMV108" s="139"/>
      <c r="HMW108" s="139"/>
      <c r="HMX108" s="139"/>
      <c r="HMY108" s="139"/>
      <c r="HMZ108" s="139"/>
      <c r="HNA108" s="139"/>
      <c r="HNB108" s="139"/>
      <c r="HNC108" s="139"/>
      <c r="HND108" s="139"/>
      <c r="HNE108" s="139"/>
      <c r="HNF108" s="139"/>
      <c r="HNG108" s="139"/>
      <c r="HNH108" s="139"/>
      <c r="HNI108" s="139"/>
      <c r="HNJ108" s="139"/>
      <c r="HNK108" s="139"/>
      <c r="HNL108" s="139"/>
      <c r="HNM108" s="139"/>
      <c r="HNN108" s="139"/>
      <c r="HNO108" s="139"/>
      <c r="HNP108" s="139"/>
      <c r="HNQ108" s="139"/>
      <c r="HNR108" s="139"/>
      <c r="HNS108" s="139"/>
      <c r="HNT108" s="139"/>
      <c r="HNU108" s="139"/>
      <c r="HNV108" s="139"/>
      <c r="HNW108" s="139"/>
      <c r="HNX108" s="139"/>
      <c r="HNY108" s="139"/>
      <c r="HNZ108" s="139"/>
      <c r="HOA108" s="139"/>
      <c r="HOB108" s="139"/>
      <c r="HOC108" s="139"/>
      <c r="HOD108" s="139"/>
      <c r="HOE108" s="139"/>
      <c r="HOF108" s="139"/>
      <c r="HOG108" s="139"/>
      <c r="HOH108" s="139"/>
      <c r="HOI108" s="139"/>
      <c r="HOJ108" s="139"/>
      <c r="HOK108" s="139"/>
      <c r="HOL108" s="139"/>
      <c r="HOM108" s="139"/>
      <c r="HON108" s="139"/>
      <c r="HOO108" s="139"/>
      <c r="HOP108" s="139"/>
      <c r="HOQ108" s="139"/>
      <c r="HOR108" s="139"/>
      <c r="HOS108" s="139"/>
      <c r="HOT108" s="139"/>
      <c r="HOU108" s="139"/>
      <c r="HOV108" s="139"/>
      <c r="HOW108" s="139"/>
      <c r="HOX108" s="139"/>
      <c r="HOY108" s="139"/>
      <c r="HOZ108" s="139"/>
      <c r="HPA108" s="139"/>
      <c r="HPB108" s="139"/>
      <c r="HPC108" s="139"/>
      <c r="HPD108" s="139"/>
      <c r="HPE108" s="139"/>
      <c r="HPF108" s="139"/>
      <c r="HPG108" s="139"/>
      <c r="HPH108" s="139"/>
      <c r="HPI108" s="139"/>
      <c r="HPJ108" s="139"/>
      <c r="HPK108" s="139"/>
      <c r="HPL108" s="139"/>
      <c r="HPM108" s="139"/>
      <c r="HPN108" s="139"/>
      <c r="HPO108" s="139"/>
      <c r="HPP108" s="139"/>
      <c r="HPQ108" s="139"/>
      <c r="HPR108" s="139"/>
      <c r="HPS108" s="139"/>
      <c r="HPT108" s="139"/>
      <c r="HPU108" s="139"/>
      <c r="HPV108" s="139"/>
      <c r="HPW108" s="139"/>
      <c r="HPX108" s="139"/>
      <c r="HPY108" s="139"/>
      <c r="HPZ108" s="139"/>
      <c r="HQA108" s="139"/>
      <c r="HQB108" s="139"/>
      <c r="HQC108" s="139"/>
      <c r="HQD108" s="139"/>
      <c r="HQE108" s="139"/>
      <c r="HQF108" s="139"/>
      <c r="HQG108" s="139"/>
      <c r="HQH108" s="139"/>
      <c r="HQI108" s="139"/>
      <c r="HQJ108" s="139"/>
      <c r="HQK108" s="139"/>
      <c r="HQL108" s="139"/>
      <c r="HQM108" s="139"/>
      <c r="HQN108" s="139"/>
      <c r="HQO108" s="139"/>
      <c r="HQP108" s="139"/>
      <c r="HQQ108" s="139"/>
      <c r="HQR108" s="139"/>
      <c r="HQS108" s="139"/>
      <c r="HQT108" s="139"/>
      <c r="HQU108" s="139"/>
      <c r="HQV108" s="139"/>
      <c r="HQW108" s="139"/>
      <c r="HQX108" s="139"/>
      <c r="HQY108" s="139"/>
      <c r="HQZ108" s="139"/>
      <c r="HRA108" s="139"/>
      <c r="HRB108" s="139"/>
      <c r="HRC108" s="139"/>
      <c r="HRD108" s="139"/>
      <c r="HRE108" s="139"/>
      <c r="HRF108" s="139"/>
      <c r="HRG108" s="139"/>
      <c r="HRH108" s="139"/>
      <c r="HRI108" s="139"/>
      <c r="HRJ108" s="139"/>
      <c r="HRK108" s="139"/>
      <c r="HRL108" s="139"/>
      <c r="HRM108" s="139"/>
      <c r="HRN108" s="139"/>
      <c r="HRO108" s="139"/>
      <c r="HRP108" s="139"/>
      <c r="HRQ108" s="139"/>
      <c r="HRR108" s="139"/>
      <c r="HRS108" s="139"/>
      <c r="HRT108" s="139"/>
      <c r="HRU108" s="139"/>
      <c r="HRV108" s="139"/>
      <c r="HRW108" s="139"/>
      <c r="HRX108" s="139"/>
      <c r="HRY108" s="139"/>
      <c r="HRZ108" s="139"/>
      <c r="HSA108" s="139"/>
      <c r="HSB108" s="139"/>
      <c r="HSC108" s="139"/>
      <c r="HSD108" s="139"/>
      <c r="HSE108" s="139"/>
      <c r="HSF108" s="139"/>
      <c r="HSG108" s="139"/>
      <c r="HSH108" s="139"/>
      <c r="HSI108" s="139"/>
      <c r="HSJ108" s="139"/>
      <c r="HSK108" s="139"/>
      <c r="HSL108" s="139"/>
      <c r="HSM108" s="139"/>
      <c r="HSN108" s="139"/>
      <c r="HSO108" s="139"/>
      <c r="HSP108" s="139"/>
      <c r="HSQ108" s="139"/>
      <c r="HSR108" s="139"/>
      <c r="HSS108" s="139"/>
      <c r="HST108" s="139"/>
      <c r="HSU108" s="139"/>
      <c r="HSV108" s="139"/>
      <c r="HSW108" s="139"/>
      <c r="HSX108" s="139"/>
      <c r="HSY108" s="139"/>
      <c r="HSZ108" s="139"/>
      <c r="HTA108" s="139"/>
      <c r="HTB108" s="139"/>
      <c r="HTC108" s="139"/>
      <c r="HTD108" s="139"/>
      <c r="HTE108" s="139"/>
      <c r="HTF108" s="139"/>
      <c r="HTG108" s="139"/>
      <c r="HTH108" s="139"/>
      <c r="HTI108" s="139"/>
      <c r="HTJ108" s="139"/>
      <c r="HTK108" s="139"/>
      <c r="HTL108" s="139"/>
      <c r="HTM108" s="139"/>
      <c r="HTN108" s="139"/>
      <c r="HTO108" s="139"/>
      <c r="HTP108" s="139"/>
      <c r="HTQ108" s="139"/>
      <c r="HTR108" s="139"/>
      <c r="HTS108" s="139"/>
      <c r="HTT108" s="139"/>
      <c r="HTU108" s="139"/>
      <c r="HTV108" s="139"/>
      <c r="HTW108" s="139"/>
      <c r="HTX108" s="139"/>
      <c r="HTY108" s="139"/>
      <c r="HTZ108" s="139"/>
      <c r="HUA108" s="139"/>
      <c r="HUB108" s="139"/>
      <c r="HUC108" s="139"/>
      <c r="HUD108" s="139"/>
      <c r="HUE108" s="139"/>
      <c r="HUF108" s="139"/>
      <c r="HUG108" s="139"/>
      <c r="HUH108" s="139"/>
      <c r="HUI108" s="139"/>
      <c r="HUJ108" s="139"/>
      <c r="HUK108" s="139"/>
      <c r="HUL108" s="139"/>
      <c r="HUM108" s="139"/>
      <c r="HUN108" s="139"/>
      <c r="HUO108" s="139"/>
      <c r="HUP108" s="139"/>
      <c r="HUQ108" s="139"/>
      <c r="HUR108" s="139"/>
      <c r="HUS108" s="139"/>
      <c r="HUT108" s="139"/>
      <c r="HUU108" s="139"/>
      <c r="HUV108" s="139"/>
      <c r="HUW108" s="139"/>
      <c r="HUX108" s="139"/>
      <c r="HUY108" s="139"/>
      <c r="HUZ108" s="139"/>
      <c r="HVA108" s="139"/>
      <c r="HVB108" s="139"/>
      <c r="HVC108" s="139"/>
      <c r="HVD108" s="139"/>
      <c r="HVE108" s="139"/>
      <c r="HVF108" s="139"/>
      <c r="HVG108" s="139"/>
      <c r="HVH108" s="139"/>
      <c r="HVI108" s="139"/>
      <c r="HVJ108" s="139"/>
      <c r="HVK108" s="139"/>
      <c r="HVL108" s="139"/>
      <c r="HVM108" s="139"/>
      <c r="HVN108" s="139"/>
      <c r="HVO108" s="139"/>
      <c r="HVP108" s="139"/>
      <c r="HVQ108" s="139"/>
      <c r="HVR108" s="139"/>
      <c r="HVS108" s="139"/>
      <c r="HVT108" s="139"/>
      <c r="HVU108" s="139"/>
      <c r="HVV108" s="139"/>
      <c r="HVW108" s="139"/>
      <c r="HVX108" s="139"/>
      <c r="HVY108" s="139"/>
      <c r="HVZ108" s="139"/>
      <c r="HWA108" s="139"/>
      <c r="HWB108" s="139"/>
      <c r="HWC108" s="139"/>
      <c r="HWD108" s="139"/>
      <c r="HWE108" s="139"/>
      <c r="HWF108" s="139"/>
      <c r="HWG108" s="139"/>
      <c r="HWH108" s="139"/>
      <c r="HWI108" s="139"/>
      <c r="HWJ108" s="139"/>
      <c r="HWK108" s="139"/>
      <c r="HWL108" s="139"/>
      <c r="HWM108" s="139"/>
      <c r="HWN108" s="139"/>
      <c r="HWO108" s="139"/>
      <c r="HWP108" s="139"/>
      <c r="HWQ108" s="139"/>
      <c r="HWR108" s="139"/>
      <c r="HWS108" s="139"/>
      <c r="HWT108" s="139"/>
      <c r="HWU108" s="139"/>
      <c r="HWV108" s="139"/>
      <c r="HWW108" s="139"/>
      <c r="HWX108" s="139"/>
      <c r="HWY108" s="139"/>
      <c r="HWZ108" s="139"/>
      <c r="HXA108" s="139"/>
      <c r="HXB108" s="139"/>
      <c r="HXC108" s="139"/>
      <c r="HXD108" s="139"/>
      <c r="HXE108" s="139"/>
      <c r="HXF108" s="139"/>
      <c r="HXG108" s="139"/>
      <c r="HXH108" s="139"/>
      <c r="HXI108" s="139"/>
      <c r="HXJ108" s="139"/>
      <c r="HXK108" s="139"/>
      <c r="HXL108" s="139"/>
      <c r="HXM108" s="139"/>
      <c r="HXN108" s="139"/>
      <c r="HXO108" s="139"/>
      <c r="HXP108" s="139"/>
      <c r="HXQ108" s="139"/>
      <c r="HXR108" s="139"/>
      <c r="HXS108" s="139"/>
      <c r="HXT108" s="139"/>
      <c r="HXU108" s="139"/>
      <c r="HXV108" s="139"/>
      <c r="HXW108" s="139"/>
      <c r="HXX108" s="139"/>
      <c r="HXY108" s="139"/>
      <c r="HXZ108" s="139"/>
      <c r="HYA108" s="139"/>
      <c r="HYB108" s="139"/>
      <c r="HYC108" s="139"/>
      <c r="HYD108" s="139"/>
      <c r="HYE108" s="139"/>
      <c r="HYF108" s="139"/>
      <c r="HYG108" s="139"/>
      <c r="HYH108" s="139"/>
      <c r="HYI108" s="139"/>
      <c r="HYJ108" s="139"/>
      <c r="HYK108" s="139"/>
      <c r="HYL108" s="139"/>
      <c r="HYM108" s="139"/>
      <c r="HYN108" s="139"/>
      <c r="HYO108" s="139"/>
      <c r="HYP108" s="139"/>
      <c r="HYQ108" s="139"/>
      <c r="HYR108" s="139"/>
      <c r="HYS108" s="139"/>
      <c r="HYT108" s="139"/>
      <c r="HYU108" s="139"/>
      <c r="HYV108" s="139"/>
      <c r="HYW108" s="139"/>
      <c r="HYX108" s="139"/>
      <c r="HYY108" s="139"/>
      <c r="HYZ108" s="139"/>
      <c r="HZA108" s="139"/>
      <c r="HZB108" s="139"/>
      <c r="HZC108" s="139"/>
      <c r="HZD108" s="139"/>
      <c r="HZE108" s="139"/>
      <c r="HZF108" s="139"/>
      <c r="HZG108" s="139"/>
      <c r="HZH108" s="139"/>
      <c r="HZI108" s="139"/>
      <c r="HZJ108" s="139"/>
      <c r="HZK108" s="139"/>
      <c r="HZL108" s="139"/>
      <c r="HZM108" s="139"/>
      <c r="HZN108" s="139"/>
      <c r="HZO108" s="139"/>
      <c r="HZP108" s="139"/>
      <c r="HZQ108" s="139"/>
      <c r="HZR108" s="139"/>
      <c r="HZS108" s="139"/>
      <c r="HZT108" s="139"/>
      <c r="HZU108" s="139"/>
      <c r="HZV108" s="139"/>
      <c r="HZW108" s="139"/>
      <c r="HZX108" s="139"/>
      <c r="HZY108" s="139"/>
      <c r="HZZ108" s="139"/>
      <c r="IAA108" s="139"/>
      <c r="IAB108" s="139"/>
      <c r="IAC108" s="139"/>
      <c r="IAD108" s="139"/>
      <c r="IAE108" s="139"/>
      <c r="IAF108" s="139"/>
      <c r="IAG108" s="139"/>
      <c r="IAH108" s="139"/>
      <c r="IAI108" s="139"/>
      <c r="IAJ108" s="139"/>
      <c r="IAK108" s="139"/>
      <c r="IAL108" s="139"/>
      <c r="IAM108" s="139"/>
      <c r="IAN108" s="139"/>
      <c r="IAO108" s="139"/>
      <c r="IAP108" s="139"/>
      <c r="IAQ108" s="139"/>
      <c r="IAR108" s="139"/>
      <c r="IAS108" s="139"/>
      <c r="IAT108" s="139"/>
      <c r="IAU108" s="139"/>
      <c r="IAV108" s="139"/>
      <c r="IAW108" s="139"/>
      <c r="IAX108" s="139"/>
      <c r="IAY108" s="139"/>
      <c r="IAZ108" s="139"/>
      <c r="IBA108" s="139"/>
      <c r="IBB108" s="139"/>
      <c r="IBC108" s="139"/>
      <c r="IBD108" s="139"/>
      <c r="IBE108" s="139"/>
      <c r="IBF108" s="139"/>
      <c r="IBG108" s="139"/>
      <c r="IBH108" s="139"/>
      <c r="IBI108" s="139"/>
      <c r="IBJ108" s="139"/>
      <c r="IBK108" s="139"/>
      <c r="IBL108" s="139"/>
      <c r="IBM108" s="139"/>
      <c r="IBN108" s="139"/>
      <c r="IBO108" s="139"/>
      <c r="IBP108" s="139"/>
      <c r="IBQ108" s="139"/>
      <c r="IBR108" s="139"/>
      <c r="IBS108" s="139"/>
      <c r="IBT108" s="139"/>
      <c r="IBU108" s="139"/>
      <c r="IBV108" s="139"/>
      <c r="IBW108" s="139"/>
      <c r="IBX108" s="139"/>
      <c r="IBY108" s="139"/>
      <c r="IBZ108" s="139"/>
      <c r="ICA108" s="139"/>
      <c r="ICB108" s="139"/>
      <c r="ICC108" s="139"/>
      <c r="ICD108" s="139"/>
      <c r="ICE108" s="139"/>
      <c r="ICF108" s="139"/>
      <c r="ICG108" s="139"/>
      <c r="ICH108" s="139"/>
      <c r="ICI108" s="139"/>
      <c r="ICJ108" s="139"/>
      <c r="ICK108" s="139"/>
      <c r="ICL108" s="139"/>
      <c r="ICM108" s="139"/>
      <c r="ICN108" s="139"/>
      <c r="ICO108" s="139"/>
      <c r="ICP108" s="139"/>
      <c r="ICQ108" s="139"/>
      <c r="ICR108" s="139"/>
      <c r="ICS108" s="139"/>
      <c r="ICT108" s="139"/>
      <c r="ICU108" s="139"/>
      <c r="ICV108" s="139"/>
      <c r="ICW108" s="139"/>
      <c r="ICX108" s="139"/>
      <c r="ICY108" s="139"/>
      <c r="ICZ108" s="139"/>
      <c r="IDA108" s="139"/>
      <c r="IDB108" s="139"/>
      <c r="IDC108" s="139"/>
      <c r="IDD108" s="139"/>
      <c r="IDE108" s="139"/>
      <c r="IDF108" s="139"/>
      <c r="IDG108" s="139"/>
      <c r="IDH108" s="139"/>
      <c r="IDI108" s="139"/>
      <c r="IDJ108" s="139"/>
      <c r="IDK108" s="139"/>
      <c r="IDL108" s="139"/>
      <c r="IDM108" s="139"/>
      <c r="IDN108" s="139"/>
      <c r="IDO108" s="139"/>
      <c r="IDP108" s="139"/>
      <c r="IDQ108" s="139"/>
      <c r="IDR108" s="139"/>
      <c r="IDS108" s="139"/>
      <c r="IDT108" s="139"/>
      <c r="IDU108" s="139"/>
      <c r="IDV108" s="139"/>
      <c r="IDW108" s="139"/>
      <c r="IDX108" s="139"/>
      <c r="IDY108" s="139"/>
      <c r="IDZ108" s="139"/>
      <c r="IEA108" s="139"/>
      <c r="IEB108" s="139"/>
      <c r="IEC108" s="139"/>
      <c r="IED108" s="139"/>
      <c r="IEE108" s="139"/>
      <c r="IEF108" s="139"/>
      <c r="IEG108" s="139"/>
      <c r="IEH108" s="139"/>
      <c r="IEI108" s="139"/>
      <c r="IEJ108" s="139"/>
      <c r="IEK108" s="139"/>
      <c r="IEL108" s="139"/>
      <c r="IEM108" s="139"/>
      <c r="IEN108" s="139"/>
      <c r="IEO108" s="139"/>
      <c r="IEP108" s="139"/>
      <c r="IEQ108" s="139"/>
      <c r="IER108" s="139"/>
      <c r="IES108" s="139"/>
      <c r="IET108" s="139"/>
      <c r="IEU108" s="139"/>
      <c r="IEV108" s="139"/>
      <c r="IEW108" s="139"/>
      <c r="IEX108" s="139"/>
      <c r="IEY108" s="139"/>
      <c r="IEZ108" s="139"/>
      <c r="IFA108" s="139"/>
      <c r="IFB108" s="139"/>
      <c r="IFC108" s="139"/>
      <c r="IFD108" s="139"/>
      <c r="IFE108" s="139"/>
      <c r="IFF108" s="139"/>
      <c r="IFG108" s="139"/>
      <c r="IFH108" s="139"/>
      <c r="IFI108" s="139"/>
      <c r="IFJ108" s="139"/>
      <c r="IFK108" s="139"/>
      <c r="IFL108" s="139"/>
      <c r="IFM108" s="139"/>
      <c r="IFN108" s="139"/>
      <c r="IFO108" s="139"/>
      <c r="IFP108" s="139"/>
      <c r="IFQ108" s="139"/>
      <c r="IFR108" s="139"/>
      <c r="IFS108" s="139"/>
      <c r="IFT108" s="139"/>
      <c r="IFU108" s="139"/>
      <c r="IFV108" s="139"/>
      <c r="IFW108" s="139"/>
      <c r="IFX108" s="139"/>
      <c r="IFY108" s="139"/>
      <c r="IFZ108" s="139"/>
      <c r="IGA108" s="139"/>
      <c r="IGB108" s="139"/>
      <c r="IGC108" s="139"/>
      <c r="IGD108" s="139"/>
      <c r="IGE108" s="139"/>
      <c r="IGF108" s="139"/>
      <c r="IGG108" s="139"/>
      <c r="IGH108" s="139"/>
      <c r="IGI108" s="139"/>
      <c r="IGJ108" s="139"/>
      <c r="IGK108" s="139"/>
      <c r="IGL108" s="139"/>
      <c r="IGM108" s="139"/>
      <c r="IGN108" s="139"/>
      <c r="IGO108" s="139"/>
      <c r="IGP108" s="139"/>
      <c r="IGQ108" s="139"/>
      <c r="IGR108" s="139"/>
      <c r="IGS108" s="139"/>
      <c r="IGT108" s="139"/>
      <c r="IGU108" s="139"/>
      <c r="IGV108" s="139"/>
      <c r="IGW108" s="139"/>
      <c r="IGX108" s="139"/>
      <c r="IGY108" s="139"/>
      <c r="IGZ108" s="139"/>
      <c r="IHA108" s="139"/>
      <c r="IHB108" s="139"/>
      <c r="IHC108" s="139"/>
      <c r="IHD108" s="139"/>
      <c r="IHE108" s="139"/>
      <c r="IHF108" s="139"/>
      <c r="IHG108" s="139"/>
      <c r="IHH108" s="139"/>
      <c r="IHI108" s="139"/>
      <c r="IHJ108" s="139"/>
      <c r="IHK108" s="139"/>
      <c r="IHL108" s="139"/>
      <c r="IHM108" s="139"/>
      <c r="IHN108" s="139"/>
      <c r="IHO108" s="139"/>
      <c r="IHP108" s="139"/>
      <c r="IHQ108" s="139"/>
      <c r="IHR108" s="139"/>
      <c r="IHS108" s="139"/>
      <c r="IHT108" s="139"/>
      <c r="IHU108" s="139"/>
      <c r="IHV108" s="139"/>
      <c r="IHW108" s="139"/>
      <c r="IHX108" s="139"/>
      <c r="IHY108" s="139"/>
      <c r="IHZ108" s="139"/>
      <c r="IIA108" s="139"/>
      <c r="IIB108" s="139"/>
      <c r="IIC108" s="139"/>
      <c r="IID108" s="139"/>
      <c r="IIE108" s="139"/>
      <c r="IIF108" s="139"/>
      <c r="IIG108" s="139"/>
      <c r="IIH108" s="139"/>
      <c r="III108" s="139"/>
      <c r="IIJ108" s="139"/>
      <c r="IIK108" s="139"/>
      <c r="IIL108" s="139"/>
      <c r="IIM108" s="139"/>
      <c r="IIN108" s="139"/>
      <c r="IIO108" s="139"/>
      <c r="IIP108" s="139"/>
      <c r="IIQ108" s="139"/>
      <c r="IIR108" s="139"/>
      <c r="IIS108" s="139"/>
      <c r="IIT108" s="139"/>
      <c r="IIU108" s="139"/>
      <c r="IIV108" s="139"/>
      <c r="IIW108" s="139"/>
      <c r="IIX108" s="139"/>
      <c r="IIY108" s="139"/>
      <c r="IIZ108" s="139"/>
      <c r="IJA108" s="139"/>
      <c r="IJB108" s="139"/>
      <c r="IJC108" s="139"/>
      <c r="IJD108" s="139"/>
      <c r="IJE108" s="139"/>
      <c r="IJF108" s="139"/>
      <c r="IJG108" s="139"/>
      <c r="IJH108" s="139"/>
      <c r="IJI108" s="139"/>
      <c r="IJJ108" s="139"/>
      <c r="IJK108" s="139"/>
      <c r="IJL108" s="139"/>
      <c r="IJM108" s="139"/>
      <c r="IJN108" s="139"/>
      <c r="IJO108" s="139"/>
      <c r="IJP108" s="139"/>
      <c r="IJQ108" s="139"/>
      <c r="IJR108" s="139"/>
      <c r="IJS108" s="139"/>
      <c r="IJT108" s="139"/>
      <c r="IJU108" s="139"/>
      <c r="IJV108" s="139"/>
      <c r="IJW108" s="139"/>
      <c r="IJX108" s="139"/>
      <c r="IJY108" s="139"/>
      <c r="IJZ108" s="139"/>
      <c r="IKA108" s="139"/>
      <c r="IKB108" s="139"/>
      <c r="IKC108" s="139"/>
      <c r="IKD108" s="139"/>
      <c r="IKE108" s="139"/>
      <c r="IKF108" s="139"/>
      <c r="IKG108" s="139"/>
      <c r="IKH108" s="139"/>
      <c r="IKI108" s="139"/>
      <c r="IKJ108" s="139"/>
      <c r="IKK108" s="139"/>
      <c r="IKL108" s="139"/>
      <c r="IKM108" s="139"/>
      <c r="IKN108" s="139"/>
      <c r="IKO108" s="139"/>
      <c r="IKP108" s="139"/>
      <c r="IKQ108" s="139"/>
      <c r="IKR108" s="139"/>
      <c r="IKS108" s="139"/>
      <c r="IKT108" s="139"/>
      <c r="IKU108" s="139"/>
      <c r="IKV108" s="139"/>
      <c r="IKW108" s="139"/>
      <c r="IKX108" s="139"/>
      <c r="IKY108" s="139"/>
      <c r="IKZ108" s="139"/>
      <c r="ILA108" s="139"/>
      <c r="ILB108" s="139"/>
      <c r="ILC108" s="139"/>
      <c r="ILD108" s="139"/>
      <c r="ILE108" s="139"/>
      <c r="ILF108" s="139"/>
      <c r="ILG108" s="139"/>
      <c r="ILH108" s="139"/>
      <c r="ILI108" s="139"/>
      <c r="ILJ108" s="139"/>
      <c r="ILK108" s="139"/>
      <c r="ILL108" s="139"/>
      <c r="ILM108" s="139"/>
      <c r="ILN108" s="139"/>
      <c r="ILO108" s="139"/>
      <c r="ILP108" s="139"/>
      <c r="ILQ108" s="139"/>
      <c r="ILR108" s="139"/>
      <c r="ILS108" s="139"/>
      <c r="ILT108" s="139"/>
      <c r="ILU108" s="139"/>
      <c r="ILV108" s="139"/>
      <c r="ILW108" s="139"/>
      <c r="ILX108" s="139"/>
      <c r="ILY108" s="139"/>
      <c r="ILZ108" s="139"/>
      <c r="IMA108" s="139"/>
      <c r="IMB108" s="139"/>
      <c r="IMC108" s="139"/>
      <c r="IMD108" s="139"/>
      <c r="IME108" s="139"/>
      <c r="IMF108" s="139"/>
      <c r="IMG108" s="139"/>
      <c r="IMH108" s="139"/>
      <c r="IMI108" s="139"/>
      <c r="IMJ108" s="139"/>
      <c r="IMK108" s="139"/>
      <c r="IML108" s="139"/>
      <c r="IMM108" s="139"/>
      <c r="IMN108" s="139"/>
      <c r="IMO108" s="139"/>
      <c r="IMP108" s="139"/>
      <c r="IMQ108" s="139"/>
      <c r="IMR108" s="139"/>
      <c r="IMS108" s="139"/>
      <c r="IMT108" s="139"/>
      <c r="IMU108" s="139"/>
      <c r="IMV108" s="139"/>
      <c r="IMW108" s="139"/>
      <c r="IMX108" s="139"/>
      <c r="IMY108" s="139"/>
      <c r="IMZ108" s="139"/>
      <c r="INA108" s="139"/>
      <c r="INB108" s="139"/>
      <c r="INC108" s="139"/>
      <c r="IND108" s="139"/>
      <c r="INE108" s="139"/>
      <c r="INF108" s="139"/>
      <c r="ING108" s="139"/>
      <c r="INH108" s="139"/>
      <c r="INI108" s="139"/>
      <c r="INJ108" s="139"/>
      <c r="INK108" s="139"/>
      <c r="INL108" s="139"/>
      <c r="INM108" s="139"/>
      <c r="INN108" s="139"/>
      <c r="INO108" s="139"/>
      <c r="INP108" s="139"/>
      <c r="INQ108" s="139"/>
      <c r="INR108" s="139"/>
      <c r="INS108" s="139"/>
      <c r="INT108" s="139"/>
      <c r="INU108" s="139"/>
      <c r="INV108" s="139"/>
      <c r="INW108" s="139"/>
      <c r="INX108" s="139"/>
      <c r="INY108" s="139"/>
      <c r="INZ108" s="139"/>
      <c r="IOA108" s="139"/>
      <c r="IOB108" s="139"/>
      <c r="IOC108" s="139"/>
      <c r="IOD108" s="139"/>
      <c r="IOE108" s="139"/>
      <c r="IOF108" s="139"/>
      <c r="IOG108" s="139"/>
      <c r="IOH108" s="139"/>
      <c r="IOI108" s="139"/>
      <c r="IOJ108" s="139"/>
      <c r="IOK108" s="139"/>
      <c r="IOL108" s="139"/>
      <c r="IOM108" s="139"/>
      <c r="ION108" s="139"/>
      <c r="IOO108" s="139"/>
      <c r="IOP108" s="139"/>
      <c r="IOQ108" s="139"/>
      <c r="IOR108" s="139"/>
      <c r="IOS108" s="139"/>
      <c r="IOT108" s="139"/>
      <c r="IOU108" s="139"/>
      <c r="IOV108" s="139"/>
      <c r="IOW108" s="139"/>
      <c r="IOX108" s="139"/>
      <c r="IOY108" s="139"/>
      <c r="IOZ108" s="139"/>
      <c r="IPA108" s="139"/>
      <c r="IPB108" s="139"/>
      <c r="IPC108" s="139"/>
      <c r="IPD108" s="139"/>
      <c r="IPE108" s="139"/>
      <c r="IPF108" s="139"/>
      <c r="IPG108" s="139"/>
      <c r="IPH108" s="139"/>
      <c r="IPI108" s="139"/>
      <c r="IPJ108" s="139"/>
      <c r="IPK108" s="139"/>
      <c r="IPL108" s="139"/>
      <c r="IPM108" s="139"/>
      <c r="IPN108" s="139"/>
      <c r="IPO108" s="139"/>
      <c r="IPP108" s="139"/>
      <c r="IPQ108" s="139"/>
      <c r="IPR108" s="139"/>
      <c r="IPS108" s="139"/>
      <c r="IPT108" s="139"/>
      <c r="IPU108" s="139"/>
      <c r="IPV108" s="139"/>
      <c r="IPW108" s="139"/>
      <c r="IPX108" s="139"/>
      <c r="IPY108" s="139"/>
      <c r="IPZ108" s="139"/>
      <c r="IQA108" s="139"/>
      <c r="IQB108" s="139"/>
      <c r="IQC108" s="139"/>
      <c r="IQD108" s="139"/>
      <c r="IQE108" s="139"/>
      <c r="IQF108" s="139"/>
      <c r="IQG108" s="139"/>
      <c r="IQH108" s="139"/>
      <c r="IQI108" s="139"/>
      <c r="IQJ108" s="139"/>
      <c r="IQK108" s="139"/>
      <c r="IQL108" s="139"/>
      <c r="IQM108" s="139"/>
      <c r="IQN108" s="139"/>
      <c r="IQO108" s="139"/>
      <c r="IQP108" s="139"/>
      <c r="IQQ108" s="139"/>
      <c r="IQR108" s="139"/>
      <c r="IQS108" s="139"/>
      <c r="IQT108" s="139"/>
      <c r="IQU108" s="139"/>
      <c r="IQV108" s="139"/>
      <c r="IQW108" s="139"/>
      <c r="IQX108" s="139"/>
      <c r="IQY108" s="139"/>
      <c r="IQZ108" s="139"/>
      <c r="IRA108" s="139"/>
      <c r="IRB108" s="139"/>
      <c r="IRC108" s="139"/>
      <c r="IRD108" s="139"/>
      <c r="IRE108" s="139"/>
      <c r="IRF108" s="139"/>
      <c r="IRG108" s="139"/>
      <c r="IRH108" s="139"/>
      <c r="IRI108" s="139"/>
      <c r="IRJ108" s="139"/>
      <c r="IRK108" s="139"/>
      <c r="IRL108" s="139"/>
      <c r="IRM108" s="139"/>
      <c r="IRN108" s="139"/>
      <c r="IRO108" s="139"/>
      <c r="IRP108" s="139"/>
      <c r="IRQ108" s="139"/>
      <c r="IRR108" s="139"/>
      <c r="IRS108" s="139"/>
      <c r="IRT108" s="139"/>
      <c r="IRU108" s="139"/>
      <c r="IRV108" s="139"/>
      <c r="IRW108" s="139"/>
      <c r="IRX108" s="139"/>
      <c r="IRY108" s="139"/>
      <c r="IRZ108" s="139"/>
      <c r="ISA108" s="139"/>
      <c r="ISB108" s="139"/>
      <c r="ISC108" s="139"/>
      <c r="ISD108" s="139"/>
      <c r="ISE108" s="139"/>
      <c r="ISF108" s="139"/>
      <c r="ISG108" s="139"/>
      <c r="ISH108" s="139"/>
      <c r="ISI108" s="139"/>
      <c r="ISJ108" s="139"/>
      <c r="ISK108" s="139"/>
      <c r="ISL108" s="139"/>
      <c r="ISM108" s="139"/>
      <c r="ISN108" s="139"/>
      <c r="ISO108" s="139"/>
      <c r="ISP108" s="139"/>
      <c r="ISQ108" s="139"/>
      <c r="ISR108" s="139"/>
      <c r="ISS108" s="139"/>
      <c r="IST108" s="139"/>
      <c r="ISU108" s="139"/>
      <c r="ISV108" s="139"/>
      <c r="ISW108" s="139"/>
      <c r="ISX108" s="139"/>
      <c r="ISY108" s="139"/>
      <c r="ISZ108" s="139"/>
      <c r="ITA108" s="139"/>
      <c r="ITB108" s="139"/>
      <c r="ITC108" s="139"/>
      <c r="ITD108" s="139"/>
      <c r="ITE108" s="139"/>
      <c r="ITF108" s="139"/>
      <c r="ITG108" s="139"/>
      <c r="ITH108" s="139"/>
      <c r="ITI108" s="139"/>
      <c r="ITJ108" s="139"/>
      <c r="ITK108" s="139"/>
      <c r="ITL108" s="139"/>
      <c r="ITM108" s="139"/>
      <c r="ITN108" s="139"/>
      <c r="ITO108" s="139"/>
      <c r="ITP108" s="139"/>
      <c r="ITQ108" s="139"/>
      <c r="ITR108" s="139"/>
      <c r="ITS108" s="139"/>
      <c r="ITT108" s="139"/>
      <c r="ITU108" s="139"/>
      <c r="ITV108" s="139"/>
      <c r="ITW108" s="139"/>
      <c r="ITX108" s="139"/>
      <c r="ITY108" s="139"/>
      <c r="ITZ108" s="139"/>
      <c r="IUA108" s="139"/>
      <c r="IUB108" s="139"/>
      <c r="IUC108" s="139"/>
      <c r="IUD108" s="139"/>
      <c r="IUE108" s="139"/>
      <c r="IUF108" s="139"/>
      <c r="IUG108" s="139"/>
      <c r="IUH108" s="139"/>
      <c r="IUI108" s="139"/>
      <c r="IUJ108" s="139"/>
      <c r="IUK108" s="139"/>
      <c r="IUL108" s="139"/>
      <c r="IUM108" s="139"/>
      <c r="IUN108" s="139"/>
      <c r="IUO108" s="139"/>
      <c r="IUP108" s="139"/>
      <c r="IUQ108" s="139"/>
      <c r="IUR108" s="139"/>
      <c r="IUS108" s="139"/>
      <c r="IUT108" s="139"/>
      <c r="IUU108" s="139"/>
      <c r="IUV108" s="139"/>
      <c r="IUW108" s="139"/>
      <c r="IUX108" s="139"/>
      <c r="IUY108" s="139"/>
      <c r="IUZ108" s="139"/>
      <c r="IVA108" s="139"/>
      <c r="IVB108" s="139"/>
      <c r="IVC108" s="139"/>
      <c r="IVD108" s="139"/>
      <c r="IVE108" s="139"/>
      <c r="IVF108" s="139"/>
      <c r="IVG108" s="139"/>
      <c r="IVH108" s="139"/>
      <c r="IVI108" s="139"/>
      <c r="IVJ108" s="139"/>
      <c r="IVK108" s="139"/>
      <c r="IVL108" s="139"/>
      <c r="IVM108" s="139"/>
      <c r="IVN108" s="139"/>
      <c r="IVO108" s="139"/>
      <c r="IVP108" s="139"/>
      <c r="IVQ108" s="139"/>
      <c r="IVR108" s="139"/>
      <c r="IVS108" s="139"/>
      <c r="IVT108" s="139"/>
      <c r="IVU108" s="139"/>
      <c r="IVV108" s="139"/>
      <c r="IVW108" s="139"/>
      <c r="IVX108" s="139"/>
      <c r="IVY108" s="139"/>
      <c r="IVZ108" s="139"/>
      <c r="IWA108" s="139"/>
      <c r="IWB108" s="139"/>
      <c r="IWC108" s="139"/>
      <c r="IWD108" s="139"/>
      <c r="IWE108" s="139"/>
      <c r="IWF108" s="139"/>
      <c r="IWG108" s="139"/>
      <c r="IWH108" s="139"/>
      <c r="IWI108" s="139"/>
      <c r="IWJ108" s="139"/>
      <c r="IWK108" s="139"/>
      <c r="IWL108" s="139"/>
      <c r="IWM108" s="139"/>
      <c r="IWN108" s="139"/>
      <c r="IWO108" s="139"/>
      <c r="IWP108" s="139"/>
      <c r="IWQ108" s="139"/>
      <c r="IWR108" s="139"/>
      <c r="IWS108" s="139"/>
      <c r="IWT108" s="139"/>
      <c r="IWU108" s="139"/>
      <c r="IWV108" s="139"/>
      <c r="IWW108" s="139"/>
      <c r="IWX108" s="139"/>
      <c r="IWY108" s="139"/>
      <c r="IWZ108" s="139"/>
      <c r="IXA108" s="139"/>
      <c r="IXB108" s="139"/>
      <c r="IXC108" s="139"/>
      <c r="IXD108" s="139"/>
      <c r="IXE108" s="139"/>
      <c r="IXF108" s="139"/>
      <c r="IXG108" s="139"/>
      <c r="IXH108" s="139"/>
      <c r="IXI108" s="139"/>
      <c r="IXJ108" s="139"/>
      <c r="IXK108" s="139"/>
      <c r="IXL108" s="139"/>
      <c r="IXM108" s="139"/>
      <c r="IXN108" s="139"/>
      <c r="IXO108" s="139"/>
      <c r="IXP108" s="139"/>
      <c r="IXQ108" s="139"/>
      <c r="IXR108" s="139"/>
      <c r="IXS108" s="139"/>
      <c r="IXT108" s="139"/>
      <c r="IXU108" s="139"/>
      <c r="IXV108" s="139"/>
      <c r="IXW108" s="139"/>
      <c r="IXX108" s="139"/>
      <c r="IXY108" s="139"/>
      <c r="IXZ108" s="139"/>
      <c r="IYA108" s="139"/>
      <c r="IYB108" s="139"/>
      <c r="IYC108" s="139"/>
      <c r="IYD108" s="139"/>
      <c r="IYE108" s="139"/>
      <c r="IYF108" s="139"/>
      <c r="IYG108" s="139"/>
      <c r="IYH108" s="139"/>
      <c r="IYI108" s="139"/>
      <c r="IYJ108" s="139"/>
      <c r="IYK108" s="139"/>
      <c r="IYL108" s="139"/>
      <c r="IYM108" s="139"/>
      <c r="IYN108" s="139"/>
      <c r="IYO108" s="139"/>
      <c r="IYP108" s="139"/>
      <c r="IYQ108" s="139"/>
      <c r="IYR108" s="139"/>
      <c r="IYS108" s="139"/>
      <c r="IYT108" s="139"/>
      <c r="IYU108" s="139"/>
      <c r="IYV108" s="139"/>
      <c r="IYW108" s="139"/>
      <c r="IYX108" s="139"/>
      <c r="IYY108" s="139"/>
      <c r="IYZ108" s="139"/>
      <c r="IZA108" s="139"/>
      <c r="IZB108" s="139"/>
      <c r="IZC108" s="139"/>
      <c r="IZD108" s="139"/>
      <c r="IZE108" s="139"/>
      <c r="IZF108" s="139"/>
      <c r="IZG108" s="139"/>
      <c r="IZH108" s="139"/>
      <c r="IZI108" s="139"/>
      <c r="IZJ108" s="139"/>
      <c r="IZK108" s="139"/>
      <c r="IZL108" s="139"/>
      <c r="IZM108" s="139"/>
      <c r="IZN108" s="139"/>
      <c r="IZO108" s="139"/>
      <c r="IZP108" s="139"/>
      <c r="IZQ108" s="139"/>
      <c r="IZR108" s="139"/>
      <c r="IZS108" s="139"/>
      <c r="IZT108" s="139"/>
      <c r="IZU108" s="139"/>
      <c r="IZV108" s="139"/>
      <c r="IZW108" s="139"/>
      <c r="IZX108" s="139"/>
      <c r="IZY108" s="139"/>
      <c r="IZZ108" s="139"/>
      <c r="JAA108" s="139"/>
      <c r="JAB108" s="139"/>
      <c r="JAC108" s="139"/>
      <c r="JAD108" s="139"/>
      <c r="JAE108" s="139"/>
      <c r="JAF108" s="139"/>
      <c r="JAG108" s="139"/>
      <c r="JAH108" s="139"/>
      <c r="JAI108" s="139"/>
      <c r="JAJ108" s="139"/>
      <c r="JAK108" s="139"/>
      <c r="JAL108" s="139"/>
      <c r="JAM108" s="139"/>
      <c r="JAN108" s="139"/>
      <c r="JAO108" s="139"/>
      <c r="JAP108" s="139"/>
      <c r="JAQ108" s="139"/>
      <c r="JAR108" s="139"/>
      <c r="JAS108" s="139"/>
      <c r="JAT108" s="139"/>
      <c r="JAU108" s="139"/>
      <c r="JAV108" s="139"/>
      <c r="JAW108" s="139"/>
      <c r="JAX108" s="139"/>
      <c r="JAY108" s="139"/>
      <c r="JAZ108" s="139"/>
      <c r="JBA108" s="139"/>
      <c r="JBB108" s="139"/>
      <c r="JBC108" s="139"/>
      <c r="JBD108" s="139"/>
      <c r="JBE108" s="139"/>
      <c r="JBF108" s="139"/>
      <c r="JBG108" s="139"/>
      <c r="JBH108" s="139"/>
      <c r="JBI108" s="139"/>
      <c r="JBJ108" s="139"/>
      <c r="JBK108" s="139"/>
      <c r="JBL108" s="139"/>
      <c r="JBM108" s="139"/>
      <c r="JBN108" s="139"/>
      <c r="JBO108" s="139"/>
      <c r="JBP108" s="139"/>
      <c r="JBQ108" s="139"/>
      <c r="JBR108" s="139"/>
      <c r="JBS108" s="139"/>
      <c r="JBT108" s="139"/>
      <c r="JBU108" s="139"/>
      <c r="JBV108" s="139"/>
      <c r="JBW108" s="139"/>
      <c r="JBX108" s="139"/>
      <c r="JBY108" s="139"/>
      <c r="JBZ108" s="139"/>
      <c r="JCA108" s="139"/>
      <c r="JCB108" s="139"/>
      <c r="JCC108" s="139"/>
      <c r="JCD108" s="139"/>
      <c r="JCE108" s="139"/>
      <c r="JCF108" s="139"/>
      <c r="JCG108" s="139"/>
      <c r="JCH108" s="139"/>
      <c r="JCI108" s="139"/>
      <c r="JCJ108" s="139"/>
      <c r="JCK108" s="139"/>
      <c r="JCL108" s="139"/>
      <c r="JCM108" s="139"/>
      <c r="JCN108" s="139"/>
      <c r="JCO108" s="139"/>
      <c r="JCP108" s="139"/>
      <c r="JCQ108" s="139"/>
      <c r="JCR108" s="139"/>
      <c r="JCS108" s="139"/>
      <c r="JCT108" s="139"/>
      <c r="JCU108" s="139"/>
      <c r="JCV108" s="139"/>
      <c r="JCW108" s="139"/>
      <c r="JCX108" s="139"/>
      <c r="JCY108" s="139"/>
      <c r="JCZ108" s="139"/>
      <c r="JDA108" s="139"/>
      <c r="JDB108" s="139"/>
      <c r="JDC108" s="139"/>
      <c r="JDD108" s="139"/>
      <c r="JDE108" s="139"/>
      <c r="JDF108" s="139"/>
      <c r="JDG108" s="139"/>
      <c r="JDH108" s="139"/>
      <c r="JDI108" s="139"/>
      <c r="JDJ108" s="139"/>
      <c r="JDK108" s="139"/>
      <c r="JDL108" s="139"/>
      <c r="JDM108" s="139"/>
      <c r="JDN108" s="139"/>
      <c r="JDO108" s="139"/>
      <c r="JDP108" s="139"/>
      <c r="JDQ108" s="139"/>
      <c r="JDR108" s="139"/>
      <c r="JDS108" s="139"/>
      <c r="JDT108" s="139"/>
      <c r="JDU108" s="139"/>
      <c r="JDV108" s="139"/>
      <c r="JDW108" s="139"/>
      <c r="JDX108" s="139"/>
      <c r="JDY108" s="139"/>
      <c r="JDZ108" s="139"/>
      <c r="JEA108" s="139"/>
      <c r="JEB108" s="139"/>
      <c r="JEC108" s="139"/>
      <c r="JED108" s="139"/>
      <c r="JEE108" s="139"/>
      <c r="JEF108" s="139"/>
      <c r="JEG108" s="139"/>
      <c r="JEH108" s="139"/>
      <c r="JEI108" s="139"/>
      <c r="JEJ108" s="139"/>
      <c r="JEK108" s="139"/>
      <c r="JEL108" s="139"/>
      <c r="JEM108" s="139"/>
      <c r="JEN108" s="139"/>
      <c r="JEO108" s="139"/>
      <c r="JEP108" s="139"/>
      <c r="JEQ108" s="139"/>
      <c r="JER108" s="139"/>
      <c r="JES108" s="139"/>
      <c r="JET108" s="139"/>
      <c r="JEU108" s="139"/>
      <c r="JEV108" s="139"/>
      <c r="JEW108" s="139"/>
      <c r="JEX108" s="139"/>
      <c r="JEY108" s="139"/>
      <c r="JEZ108" s="139"/>
      <c r="JFA108" s="139"/>
      <c r="JFB108" s="139"/>
      <c r="JFC108" s="139"/>
      <c r="JFD108" s="139"/>
      <c r="JFE108" s="139"/>
      <c r="JFF108" s="139"/>
      <c r="JFG108" s="139"/>
      <c r="JFH108" s="139"/>
      <c r="JFI108" s="139"/>
      <c r="JFJ108" s="139"/>
      <c r="JFK108" s="139"/>
      <c r="JFL108" s="139"/>
      <c r="JFM108" s="139"/>
      <c r="JFN108" s="139"/>
      <c r="JFO108" s="139"/>
      <c r="JFP108" s="139"/>
      <c r="JFQ108" s="139"/>
      <c r="JFR108" s="139"/>
      <c r="JFS108" s="139"/>
      <c r="JFT108" s="139"/>
      <c r="JFU108" s="139"/>
      <c r="JFV108" s="139"/>
      <c r="JFW108" s="139"/>
      <c r="JFX108" s="139"/>
      <c r="JFY108" s="139"/>
      <c r="JFZ108" s="139"/>
      <c r="JGA108" s="139"/>
      <c r="JGB108" s="139"/>
      <c r="JGC108" s="139"/>
      <c r="JGD108" s="139"/>
      <c r="JGE108" s="139"/>
      <c r="JGF108" s="139"/>
      <c r="JGG108" s="139"/>
      <c r="JGH108" s="139"/>
      <c r="JGI108" s="139"/>
      <c r="JGJ108" s="139"/>
      <c r="JGK108" s="139"/>
      <c r="JGL108" s="139"/>
      <c r="JGM108" s="139"/>
      <c r="JGN108" s="139"/>
      <c r="JGO108" s="139"/>
      <c r="JGP108" s="139"/>
      <c r="JGQ108" s="139"/>
      <c r="JGR108" s="139"/>
      <c r="JGS108" s="139"/>
      <c r="JGT108" s="139"/>
      <c r="JGU108" s="139"/>
      <c r="JGV108" s="139"/>
      <c r="JGW108" s="139"/>
      <c r="JGX108" s="139"/>
      <c r="JGY108" s="139"/>
      <c r="JGZ108" s="139"/>
      <c r="JHA108" s="139"/>
      <c r="JHB108" s="139"/>
      <c r="JHC108" s="139"/>
      <c r="JHD108" s="139"/>
      <c r="JHE108" s="139"/>
      <c r="JHF108" s="139"/>
      <c r="JHG108" s="139"/>
      <c r="JHH108" s="139"/>
      <c r="JHI108" s="139"/>
      <c r="JHJ108" s="139"/>
      <c r="JHK108" s="139"/>
      <c r="JHL108" s="139"/>
      <c r="JHM108" s="139"/>
      <c r="JHN108" s="139"/>
      <c r="JHO108" s="139"/>
      <c r="JHP108" s="139"/>
      <c r="JHQ108" s="139"/>
      <c r="JHR108" s="139"/>
      <c r="JHS108" s="139"/>
      <c r="JHT108" s="139"/>
      <c r="JHU108" s="139"/>
      <c r="JHV108" s="139"/>
      <c r="JHW108" s="139"/>
      <c r="JHX108" s="139"/>
      <c r="JHY108" s="139"/>
      <c r="JHZ108" s="139"/>
      <c r="JIA108" s="139"/>
      <c r="JIB108" s="139"/>
      <c r="JIC108" s="139"/>
      <c r="JID108" s="139"/>
      <c r="JIE108" s="139"/>
      <c r="JIF108" s="139"/>
      <c r="JIG108" s="139"/>
      <c r="JIH108" s="139"/>
      <c r="JII108" s="139"/>
      <c r="JIJ108" s="139"/>
      <c r="JIK108" s="139"/>
      <c r="JIL108" s="139"/>
      <c r="JIM108" s="139"/>
      <c r="JIN108" s="139"/>
      <c r="JIO108" s="139"/>
      <c r="JIP108" s="139"/>
      <c r="JIQ108" s="139"/>
      <c r="JIR108" s="139"/>
      <c r="JIS108" s="139"/>
      <c r="JIT108" s="139"/>
      <c r="JIU108" s="139"/>
      <c r="JIV108" s="139"/>
      <c r="JIW108" s="139"/>
      <c r="JIX108" s="139"/>
      <c r="JIY108" s="139"/>
      <c r="JIZ108" s="139"/>
      <c r="JJA108" s="139"/>
      <c r="JJB108" s="139"/>
      <c r="JJC108" s="139"/>
      <c r="JJD108" s="139"/>
      <c r="JJE108" s="139"/>
      <c r="JJF108" s="139"/>
      <c r="JJG108" s="139"/>
      <c r="JJH108" s="139"/>
      <c r="JJI108" s="139"/>
      <c r="JJJ108" s="139"/>
      <c r="JJK108" s="139"/>
      <c r="JJL108" s="139"/>
      <c r="JJM108" s="139"/>
      <c r="JJN108" s="139"/>
      <c r="JJO108" s="139"/>
      <c r="JJP108" s="139"/>
      <c r="JJQ108" s="139"/>
      <c r="JJR108" s="139"/>
      <c r="JJS108" s="139"/>
      <c r="JJT108" s="139"/>
      <c r="JJU108" s="139"/>
      <c r="JJV108" s="139"/>
      <c r="JJW108" s="139"/>
      <c r="JJX108" s="139"/>
      <c r="JJY108" s="139"/>
      <c r="JJZ108" s="139"/>
      <c r="JKA108" s="139"/>
      <c r="JKB108" s="139"/>
      <c r="JKC108" s="139"/>
      <c r="JKD108" s="139"/>
      <c r="JKE108" s="139"/>
      <c r="JKF108" s="139"/>
      <c r="JKG108" s="139"/>
      <c r="JKH108" s="139"/>
      <c r="JKI108" s="139"/>
      <c r="JKJ108" s="139"/>
      <c r="JKK108" s="139"/>
      <c r="JKL108" s="139"/>
      <c r="JKM108" s="139"/>
      <c r="JKN108" s="139"/>
      <c r="JKO108" s="139"/>
      <c r="JKP108" s="139"/>
      <c r="JKQ108" s="139"/>
      <c r="JKR108" s="139"/>
      <c r="JKS108" s="139"/>
      <c r="JKT108" s="139"/>
      <c r="JKU108" s="139"/>
      <c r="JKV108" s="139"/>
      <c r="JKW108" s="139"/>
      <c r="JKX108" s="139"/>
      <c r="JKY108" s="139"/>
      <c r="JKZ108" s="139"/>
      <c r="JLA108" s="139"/>
      <c r="JLB108" s="139"/>
      <c r="JLC108" s="139"/>
      <c r="JLD108" s="139"/>
      <c r="JLE108" s="139"/>
      <c r="JLF108" s="139"/>
      <c r="JLG108" s="139"/>
      <c r="JLH108" s="139"/>
      <c r="JLI108" s="139"/>
      <c r="JLJ108" s="139"/>
      <c r="JLK108" s="139"/>
      <c r="JLL108" s="139"/>
      <c r="JLM108" s="139"/>
      <c r="JLN108" s="139"/>
      <c r="JLO108" s="139"/>
      <c r="JLP108" s="139"/>
      <c r="JLQ108" s="139"/>
      <c r="JLR108" s="139"/>
      <c r="JLS108" s="139"/>
      <c r="JLT108" s="139"/>
      <c r="JLU108" s="139"/>
      <c r="JLV108" s="139"/>
      <c r="JLW108" s="139"/>
      <c r="JLX108" s="139"/>
      <c r="JLY108" s="139"/>
      <c r="JLZ108" s="139"/>
      <c r="JMA108" s="139"/>
      <c r="JMB108" s="139"/>
      <c r="JMC108" s="139"/>
      <c r="JMD108" s="139"/>
      <c r="JME108" s="139"/>
      <c r="JMF108" s="139"/>
      <c r="JMG108" s="139"/>
      <c r="JMH108" s="139"/>
      <c r="JMI108" s="139"/>
      <c r="JMJ108" s="139"/>
      <c r="JMK108" s="139"/>
      <c r="JML108" s="139"/>
      <c r="JMM108" s="139"/>
      <c r="JMN108" s="139"/>
      <c r="JMO108" s="139"/>
      <c r="JMP108" s="139"/>
      <c r="JMQ108" s="139"/>
      <c r="JMR108" s="139"/>
      <c r="JMS108" s="139"/>
      <c r="JMT108" s="139"/>
      <c r="JMU108" s="139"/>
      <c r="JMV108" s="139"/>
      <c r="JMW108" s="139"/>
      <c r="JMX108" s="139"/>
      <c r="JMY108" s="139"/>
      <c r="JMZ108" s="139"/>
      <c r="JNA108" s="139"/>
      <c r="JNB108" s="139"/>
      <c r="JNC108" s="139"/>
      <c r="JND108" s="139"/>
      <c r="JNE108" s="139"/>
      <c r="JNF108" s="139"/>
      <c r="JNG108" s="139"/>
      <c r="JNH108" s="139"/>
      <c r="JNI108" s="139"/>
      <c r="JNJ108" s="139"/>
      <c r="JNK108" s="139"/>
      <c r="JNL108" s="139"/>
      <c r="JNM108" s="139"/>
      <c r="JNN108" s="139"/>
      <c r="JNO108" s="139"/>
      <c r="JNP108" s="139"/>
      <c r="JNQ108" s="139"/>
      <c r="JNR108" s="139"/>
      <c r="JNS108" s="139"/>
      <c r="JNT108" s="139"/>
      <c r="JNU108" s="139"/>
      <c r="JNV108" s="139"/>
      <c r="JNW108" s="139"/>
      <c r="JNX108" s="139"/>
      <c r="JNY108" s="139"/>
      <c r="JNZ108" s="139"/>
      <c r="JOA108" s="139"/>
      <c r="JOB108" s="139"/>
      <c r="JOC108" s="139"/>
      <c r="JOD108" s="139"/>
      <c r="JOE108" s="139"/>
      <c r="JOF108" s="139"/>
      <c r="JOG108" s="139"/>
      <c r="JOH108" s="139"/>
      <c r="JOI108" s="139"/>
      <c r="JOJ108" s="139"/>
      <c r="JOK108" s="139"/>
      <c r="JOL108" s="139"/>
      <c r="JOM108" s="139"/>
      <c r="JON108" s="139"/>
      <c r="JOO108" s="139"/>
      <c r="JOP108" s="139"/>
      <c r="JOQ108" s="139"/>
      <c r="JOR108" s="139"/>
      <c r="JOS108" s="139"/>
      <c r="JOT108" s="139"/>
      <c r="JOU108" s="139"/>
      <c r="JOV108" s="139"/>
      <c r="JOW108" s="139"/>
      <c r="JOX108" s="139"/>
      <c r="JOY108" s="139"/>
      <c r="JOZ108" s="139"/>
      <c r="JPA108" s="139"/>
      <c r="JPB108" s="139"/>
      <c r="JPC108" s="139"/>
      <c r="JPD108" s="139"/>
      <c r="JPE108" s="139"/>
      <c r="JPF108" s="139"/>
      <c r="JPG108" s="139"/>
      <c r="JPH108" s="139"/>
      <c r="JPI108" s="139"/>
      <c r="JPJ108" s="139"/>
      <c r="JPK108" s="139"/>
      <c r="JPL108" s="139"/>
      <c r="JPM108" s="139"/>
      <c r="JPN108" s="139"/>
      <c r="JPO108" s="139"/>
      <c r="JPP108" s="139"/>
      <c r="JPQ108" s="139"/>
      <c r="JPR108" s="139"/>
      <c r="JPS108" s="139"/>
      <c r="JPT108" s="139"/>
      <c r="JPU108" s="139"/>
      <c r="JPV108" s="139"/>
      <c r="JPW108" s="139"/>
      <c r="JPX108" s="139"/>
      <c r="JPY108" s="139"/>
      <c r="JPZ108" s="139"/>
      <c r="JQA108" s="139"/>
      <c r="JQB108" s="139"/>
      <c r="JQC108" s="139"/>
      <c r="JQD108" s="139"/>
      <c r="JQE108" s="139"/>
      <c r="JQF108" s="139"/>
      <c r="JQG108" s="139"/>
      <c r="JQH108" s="139"/>
      <c r="JQI108" s="139"/>
      <c r="JQJ108" s="139"/>
      <c r="JQK108" s="139"/>
      <c r="JQL108" s="139"/>
      <c r="JQM108" s="139"/>
      <c r="JQN108" s="139"/>
      <c r="JQO108" s="139"/>
      <c r="JQP108" s="139"/>
      <c r="JQQ108" s="139"/>
      <c r="JQR108" s="139"/>
      <c r="JQS108" s="139"/>
      <c r="JQT108" s="139"/>
      <c r="JQU108" s="139"/>
      <c r="JQV108" s="139"/>
      <c r="JQW108" s="139"/>
      <c r="JQX108" s="139"/>
      <c r="JQY108" s="139"/>
      <c r="JQZ108" s="139"/>
      <c r="JRA108" s="139"/>
      <c r="JRB108" s="139"/>
      <c r="JRC108" s="139"/>
      <c r="JRD108" s="139"/>
      <c r="JRE108" s="139"/>
      <c r="JRF108" s="139"/>
      <c r="JRG108" s="139"/>
      <c r="JRH108" s="139"/>
      <c r="JRI108" s="139"/>
      <c r="JRJ108" s="139"/>
      <c r="JRK108" s="139"/>
      <c r="JRL108" s="139"/>
      <c r="JRM108" s="139"/>
      <c r="JRN108" s="139"/>
      <c r="JRO108" s="139"/>
      <c r="JRP108" s="139"/>
      <c r="JRQ108" s="139"/>
      <c r="JRR108" s="139"/>
      <c r="JRS108" s="139"/>
      <c r="JRT108" s="139"/>
      <c r="JRU108" s="139"/>
      <c r="JRV108" s="139"/>
      <c r="JRW108" s="139"/>
      <c r="JRX108" s="139"/>
      <c r="JRY108" s="139"/>
      <c r="JRZ108" s="139"/>
      <c r="JSA108" s="139"/>
      <c r="JSB108" s="139"/>
      <c r="JSC108" s="139"/>
      <c r="JSD108" s="139"/>
      <c r="JSE108" s="139"/>
      <c r="JSF108" s="139"/>
      <c r="JSG108" s="139"/>
      <c r="JSH108" s="139"/>
      <c r="JSI108" s="139"/>
      <c r="JSJ108" s="139"/>
      <c r="JSK108" s="139"/>
      <c r="JSL108" s="139"/>
      <c r="JSM108" s="139"/>
      <c r="JSN108" s="139"/>
      <c r="JSO108" s="139"/>
      <c r="JSP108" s="139"/>
      <c r="JSQ108" s="139"/>
      <c r="JSR108" s="139"/>
      <c r="JSS108" s="139"/>
      <c r="JST108" s="139"/>
      <c r="JSU108" s="139"/>
      <c r="JSV108" s="139"/>
      <c r="JSW108" s="139"/>
      <c r="JSX108" s="139"/>
      <c r="JSY108" s="139"/>
      <c r="JSZ108" s="139"/>
      <c r="JTA108" s="139"/>
      <c r="JTB108" s="139"/>
      <c r="JTC108" s="139"/>
      <c r="JTD108" s="139"/>
      <c r="JTE108" s="139"/>
      <c r="JTF108" s="139"/>
      <c r="JTG108" s="139"/>
      <c r="JTH108" s="139"/>
      <c r="JTI108" s="139"/>
      <c r="JTJ108" s="139"/>
      <c r="JTK108" s="139"/>
      <c r="JTL108" s="139"/>
      <c r="JTM108" s="139"/>
      <c r="JTN108" s="139"/>
      <c r="JTO108" s="139"/>
      <c r="JTP108" s="139"/>
      <c r="JTQ108" s="139"/>
      <c r="JTR108" s="139"/>
      <c r="JTS108" s="139"/>
      <c r="JTT108" s="139"/>
      <c r="JTU108" s="139"/>
      <c r="JTV108" s="139"/>
      <c r="JTW108" s="139"/>
      <c r="JTX108" s="139"/>
      <c r="JTY108" s="139"/>
      <c r="JTZ108" s="139"/>
      <c r="JUA108" s="139"/>
      <c r="JUB108" s="139"/>
      <c r="JUC108" s="139"/>
      <c r="JUD108" s="139"/>
      <c r="JUE108" s="139"/>
      <c r="JUF108" s="139"/>
      <c r="JUG108" s="139"/>
      <c r="JUH108" s="139"/>
      <c r="JUI108" s="139"/>
      <c r="JUJ108" s="139"/>
      <c r="JUK108" s="139"/>
      <c r="JUL108" s="139"/>
      <c r="JUM108" s="139"/>
      <c r="JUN108" s="139"/>
      <c r="JUO108" s="139"/>
      <c r="JUP108" s="139"/>
      <c r="JUQ108" s="139"/>
      <c r="JUR108" s="139"/>
      <c r="JUS108" s="139"/>
      <c r="JUT108" s="139"/>
      <c r="JUU108" s="139"/>
      <c r="JUV108" s="139"/>
      <c r="JUW108" s="139"/>
      <c r="JUX108" s="139"/>
      <c r="JUY108" s="139"/>
      <c r="JUZ108" s="139"/>
      <c r="JVA108" s="139"/>
      <c r="JVB108" s="139"/>
      <c r="JVC108" s="139"/>
      <c r="JVD108" s="139"/>
      <c r="JVE108" s="139"/>
      <c r="JVF108" s="139"/>
      <c r="JVG108" s="139"/>
      <c r="JVH108" s="139"/>
      <c r="JVI108" s="139"/>
      <c r="JVJ108" s="139"/>
      <c r="JVK108" s="139"/>
      <c r="JVL108" s="139"/>
      <c r="JVM108" s="139"/>
      <c r="JVN108" s="139"/>
      <c r="JVO108" s="139"/>
      <c r="JVP108" s="139"/>
      <c r="JVQ108" s="139"/>
      <c r="JVR108" s="139"/>
      <c r="JVS108" s="139"/>
      <c r="JVT108" s="139"/>
      <c r="JVU108" s="139"/>
      <c r="JVV108" s="139"/>
      <c r="JVW108" s="139"/>
      <c r="JVX108" s="139"/>
      <c r="JVY108" s="139"/>
      <c r="JVZ108" s="139"/>
      <c r="JWA108" s="139"/>
      <c r="JWB108" s="139"/>
      <c r="JWC108" s="139"/>
      <c r="JWD108" s="139"/>
      <c r="JWE108" s="139"/>
      <c r="JWF108" s="139"/>
      <c r="JWG108" s="139"/>
      <c r="JWH108" s="139"/>
      <c r="JWI108" s="139"/>
      <c r="JWJ108" s="139"/>
      <c r="JWK108" s="139"/>
      <c r="JWL108" s="139"/>
      <c r="JWM108" s="139"/>
      <c r="JWN108" s="139"/>
      <c r="JWO108" s="139"/>
      <c r="JWP108" s="139"/>
      <c r="JWQ108" s="139"/>
      <c r="JWR108" s="139"/>
      <c r="JWS108" s="139"/>
      <c r="JWT108" s="139"/>
      <c r="JWU108" s="139"/>
      <c r="JWV108" s="139"/>
      <c r="JWW108" s="139"/>
      <c r="JWX108" s="139"/>
      <c r="JWY108" s="139"/>
      <c r="JWZ108" s="139"/>
      <c r="JXA108" s="139"/>
      <c r="JXB108" s="139"/>
      <c r="JXC108" s="139"/>
      <c r="JXD108" s="139"/>
      <c r="JXE108" s="139"/>
      <c r="JXF108" s="139"/>
      <c r="JXG108" s="139"/>
      <c r="JXH108" s="139"/>
      <c r="JXI108" s="139"/>
      <c r="JXJ108" s="139"/>
      <c r="JXK108" s="139"/>
      <c r="JXL108" s="139"/>
      <c r="JXM108" s="139"/>
      <c r="JXN108" s="139"/>
      <c r="JXO108" s="139"/>
      <c r="JXP108" s="139"/>
      <c r="JXQ108" s="139"/>
      <c r="JXR108" s="139"/>
      <c r="JXS108" s="139"/>
      <c r="JXT108" s="139"/>
      <c r="JXU108" s="139"/>
      <c r="JXV108" s="139"/>
      <c r="JXW108" s="139"/>
      <c r="JXX108" s="139"/>
      <c r="JXY108" s="139"/>
      <c r="JXZ108" s="139"/>
      <c r="JYA108" s="139"/>
      <c r="JYB108" s="139"/>
      <c r="JYC108" s="139"/>
      <c r="JYD108" s="139"/>
      <c r="JYE108" s="139"/>
      <c r="JYF108" s="139"/>
      <c r="JYG108" s="139"/>
      <c r="JYH108" s="139"/>
      <c r="JYI108" s="139"/>
      <c r="JYJ108" s="139"/>
      <c r="JYK108" s="139"/>
      <c r="JYL108" s="139"/>
      <c r="JYM108" s="139"/>
      <c r="JYN108" s="139"/>
      <c r="JYO108" s="139"/>
      <c r="JYP108" s="139"/>
      <c r="JYQ108" s="139"/>
      <c r="JYR108" s="139"/>
      <c r="JYS108" s="139"/>
      <c r="JYT108" s="139"/>
      <c r="JYU108" s="139"/>
      <c r="JYV108" s="139"/>
      <c r="JYW108" s="139"/>
      <c r="JYX108" s="139"/>
      <c r="JYY108" s="139"/>
      <c r="JYZ108" s="139"/>
      <c r="JZA108" s="139"/>
      <c r="JZB108" s="139"/>
      <c r="JZC108" s="139"/>
      <c r="JZD108" s="139"/>
      <c r="JZE108" s="139"/>
      <c r="JZF108" s="139"/>
      <c r="JZG108" s="139"/>
      <c r="JZH108" s="139"/>
      <c r="JZI108" s="139"/>
      <c r="JZJ108" s="139"/>
      <c r="JZK108" s="139"/>
      <c r="JZL108" s="139"/>
      <c r="JZM108" s="139"/>
      <c r="JZN108" s="139"/>
      <c r="JZO108" s="139"/>
      <c r="JZP108" s="139"/>
      <c r="JZQ108" s="139"/>
      <c r="JZR108" s="139"/>
      <c r="JZS108" s="139"/>
      <c r="JZT108" s="139"/>
      <c r="JZU108" s="139"/>
      <c r="JZV108" s="139"/>
      <c r="JZW108" s="139"/>
      <c r="JZX108" s="139"/>
      <c r="JZY108" s="139"/>
      <c r="JZZ108" s="139"/>
      <c r="KAA108" s="139"/>
      <c r="KAB108" s="139"/>
      <c r="KAC108" s="139"/>
      <c r="KAD108" s="139"/>
      <c r="KAE108" s="139"/>
      <c r="KAF108" s="139"/>
      <c r="KAG108" s="139"/>
      <c r="KAH108" s="139"/>
      <c r="KAI108" s="139"/>
      <c r="KAJ108" s="139"/>
      <c r="KAK108" s="139"/>
      <c r="KAL108" s="139"/>
      <c r="KAM108" s="139"/>
      <c r="KAN108" s="139"/>
      <c r="KAO108" s="139"/>
      <c r="KAP108" s="139"/>
      <c r="KAQ108" s="139"/>
      <c r="KAR108" s="139"/>
      <c r="KAS108" s="139"/>
      <c r="KAT108" s="139"/>
      <c r="KAU108" s="139"/>
      <c r="KAV108" s="139"/>
      <c r="KAW108" s="139"/>
      <c r="KAX108" s="139"/>
      <c r="KAY108" s="139"/>
      <c r="KAZ108" s="139"/>
      <c r="KBA108" s="139"/>
      <c r="KBB108" s="139"/>
      <c r="KBC108" s="139"/>
      <c r="KBD108" s="139"/>
      <c r="KBE108" s="139"/>
      <c r="KBF108" s="139"/>
      <c r="KBG108" s="139"/>
      <c r="KBH108" s="139"/>
      <c r="KBI108" s="139"/>
      <c r="KBJ108" s="139"/>
      <c r="KBK108" s="139"/>
      <c r="KBL108" s="139"/>
      <c r="KBM108" s="139"/>
      <c r="KBN108" s="139"/>
      <c r="KBO108" s="139"/>
      <c r="KBP108" s="139"/>
      <c r="KBQ108" s="139"/>
      <c r="KBR108" s="139"/>
      <c r="KBS108" s="139"/>
      <c r="KBT108" s="139"/>
      <c r="KBU108" s="139"/>
      <c r="KBV108" s="139"/>
      <c r="KBW108" s="139"/>
      <c r="KBX108" s="139"/>
      <c r="KBY108" s="139"/>
      <c r="KBZ108" s="139"/>
      <c r="KCA108" s="139"/>
      <c r="KCB108" s="139"/>
      <c r="KCC108" s="139"/>
      <c r="KCD108" s="139"/>
      <c r="KCE108" s="139"/>
      <c r="KCF108" s="139"/>
      <c r="KCG108" s="139"/>
      <c r="KCH108" s="139"/>
      <c r="KCI108" s="139"/>
      <c r="KCJ108" s="139"/>
      <c r="KCK108" s="139"/>
      <c r="KCL108" s="139"/>
      <c r="KCM108" s="139"/>
      <c r="KCN108" s="139"/>
      <c r="KCO108" s="139"/>
      <c r="KCP108" s="139"/>
      <c r="KCQ108" s="139"/>
      <c r="KCR108" s="139"/>
      <c r="KCS108" s="139"/>
      <c r="KCT108" s="139"/>
      <c r="KCU108" s="139"/>
      <c r="KCV108" s="139"/>
      <c r="KCW108" s="139"/>
      <c r="KCX108" s="139"/>
      <c r="KCY108" s="139"/>
      <c r="KCZ108" s="139"/>
      <c r="KDA108" s="139"/>
      <c r="KDB108" s="139"/>
      <c r="KDC108" s="139"/>
      <c r="KDD108" s="139"/>
      <c r="KDE108" s="139"/>
      <c r="KDF108" s="139"/>
      <c r="KDG108" s="139"/>
      <c r="KDH108" s="139"/>
      <c r="KDI108" s="139"/>
      <c r="KDJ108" s="139"/>
      <c r="KDK108" s="139"/>
      <c r="KDL108" s="139"/>
      <c r="KDM108" s="139"/>
      <c r="KDN108" s="139"/>
      <c r="KDO108" s="139"/>
      <c r="KDP108" s="139"/>
      <c r="KDQ108" s="139"/>
      <c r="KDR108" s="139"/>
      <c r="KDS108" s="139"/>
      <c r="KDT108" s="139"/>
      <c r="KDU108" s="139"/>
      <c r="KDV108" s="139"/>
      <c r="KDW108" s="139"/>
      <c r="KDX108" s="139"/>
      <c r="KDY108" s="139"/>
      <c r="KDZ108" s="139"/>
      <c r="KEA108" s="139"/>
      <c r="KEB108" s="139"/>
      <c r="KEC108" s="139"/>
      <c r="KED108" s="139"/>
      <c r="KEE108" s="139"/>
      <c r="KEF108" s="139"/>
      <c r="KEG108" s="139"/>
      <c r="KEH108" s="139"/>
      <c r="KEI108" s="139"/>
      <c r="KEJ108" s="139"/>
      <c r="KEK108" s="139"/>
      <c r="KEL108" s="139"/>
      <c r="KEM108" s="139"/>
      <c r="KEN108" s="139"/>
      <c r="KEO108" s="139"/>
      <c r="KEP108" s="139"/>
      <c r="KEQ108" s="139"/>
      <c r="KER108" s="139"/>
      <c r="KES108" s="139"/>
      <c r="KET108" s="139"/>
      <c r="KEU108" s="139"/>
      <c r="KEV108" s="139"/>
      <c r="KEW108" s="139"/>
      <c r="KEX108" s="139"/>
      <c r="KEY108" s="139"/>
      <c r="KEZ108" s="139"/>
      <c r="KFA108" s="139"/>
      <c r="KFB108" s="139"/>
      <c r="KFC108" s="139"/>
      <c r="KFD108" s="139"/>
      <c r="KFE108" s="139"/>
      <c r="KFF108" s="139"/>
      <c r="KFG108" s="139"/>
      <c r="KFH108" s="139"/>
      <c r="KFI108" s="139"/>
      <c r="KFJ108" s="139"/>
      <c r="KFK108" s="139"/>
      <c r="KFL108" s="139"/>
      <c r="KFM108" s="139"/>
      <c r="KFN108" s="139"/>
      <c r="KFO108" s="139"/>
      <c r="KFP108" s="139"/>
      <c r="KFQ108" s="139"/>
      <c r="KFR108" s="139"/>
      <c r="KFS108" s="139"/>
      <c r="KFT108" s="139"/>
      <c r="KFU108" s="139"/>
      <c r="KFV108" s="139"/>
      <c r="KFW108" s="139"/>
      <c r="KFX108" s="139"/>
      <c r="KFY108" s="139"/>
      <c r="KFZ108" s="139"/>
      <c r="KGA108" s="139"/>
      <c r="KGB108" s="139"/>
      <c r="KGC108" s="139"/>
      <c r="KGD108" s="139"/>
      <c r="KGE108" s="139"/>
      <c r="KGF108" s="139"/>
      <c r="KGG108" s="139"/>
      <c r="KGH108" s="139"/>
      <c r="KGI108" s="139"/>
      <c r="KGJ108" s="139"/>
      <c r="KGK108" s="139"/>
      <c r="KGL108" s="139"/>
      <c r="KGM108" s="139"/>
      <c r="KGN108" s="139"/>
      <c r="KGO108" s="139"/>
      <c r="KGP108" s="139"/>
      <c r="KGQ108" s="139"/>
      <c r="KGR108" s="139"/>
      <c r="KGS108" s="139"/>
      <c r="KGT108" s="139"/>
      <c r="KGU108" s="139"/>
      <c r="KGV108" s="139"/>
      <c r="KGW108" s="139"/>
      <c r="KGX108" s="139"/>
      <c r="KGY108" s="139"/>
      <c r="KGZ108" s="139"/>
      <c r="KHA108" s="139"/>
      <c r="KHB108" s="139"/>
      <c r="KHC108" s="139"/>
      <c r="KHD108" s="139"/>
      <c r="KHE108" s="139"/>
      <c r="KHF108" s="139"/>
      <c r="KHG108" s="139"/>
      <c r="KHH108" s="139"/>
      <c r="KHI108" s="139"/>
      <c r="KHJ108" s="139"/>
      <c r="KHK108" s="139"/>
      <c r="KHL108" s="139"/>
      <c r="KHM108" s="139"/>
      <c r="KHN108" s="139"/>
      <c r="KHO108" s="139"/>
      <c r="KHP108" s="139"/>
      <c r="KHQ108" s="139"/>
      <c r="KHR108" s="139"/>
      <c r="KHS108" s="139"/>
      <c r="KHT108" s="139"/>
      <c r="KHU108" s="139"/>
      <c r="KHV108" s="139"/>
      <c r="KHW108" s="139"/>
      <c r="KHX108" s="139"/>
      <c r="KHY108" s="139"/>
      <c r="KHZ108" s="139"/>
      <c r="KIA108" s="139"/>
      <c r="KIB108" s="139"/>
      <c r="KIC108" s="139"/>
      <c r="KID108" s="139"/>
      <c r="KIE108" s="139"/>
      <c r="KIF108" s="139"/>
      <c r="KIG108" s="139"/>
      <c r="KIH108" s="139"/>
      <c r="KII108" s="139"/>
      <c r="KIJ108" s="139"/>
      <c r="KIK108" s="139"/>
      <c r="KIL108" s="139"/>
      <c r="KIM108" s="139"/>
      <c r="KIN108" s="139"/>
      <c r="KIO108" s="139"/>
      <c r="KIP108" s="139"/>
      <c r="KIQ108" s="139"/>
      <c r="KIR108" s="139"/>
      <c r="KIS108" s="139"/>
      <c r="KIT108" s="139"/>
      <c r="KIU108" s="139"/>
      <c r="KIV108" s="139"/>
      <c r="KIW108" s="139"/>
      <c r="KIX108" s="139"/>
      <c r="KIY108" s="139"/>
      <c r="KIZ108" s="139"/>
      <c r="KJA108" s="139"/>
      <c r="KJB108" s="139"/>
      <c r="KJC108" s="139"/>
      <c r="KJD108" s="139"/>
      <c r="KJE108" s="139"/>
      <c r="KJF108" s="139"/>
      <c r="KJG108" s="139"/>
      <c r="KJH108" s="139"/>
      <c r="KJI108" s="139"/>
      <c r="KJJ108" s="139"/>
      <c r="KJK108" s="139"/>
      <c r="KJL108" s="139"/>
      <c r="KJM108" s="139"/>
      <c r="KJN108" s="139"/>
      <c r="KJO108" s="139"/>
      <c r="KJP108" s="139"/>
      <c r="KJQ108" s="139"/>
      <c r="KJR108" s="139"/>
      <c r="KJS108" s="139"/>
      <c r="KJT108" s="139"/>
      <c r="KJU108" s="139"/>
      <c r="KJV108" s="139"/>
      <c r="KJW108" s="139"/>
      <c r="KJX108" s="139"/>
      <c r="KJY108" s="139"/>
      <c r="KJZ108" s="139"/>
      <c r="KKA108" s="139"/>
      <c r="KKB108" s="139"/>
      <c r="KKC108" s="139"/>
      <c r="KKD108" s="139"/>
      <c r="KKE108" s="139"/>
      <c r="KKF108" s="139"/>
      <c r="KKG108" s="139"/>
      <c r="KKH108" s="139"/>
      <c r="KKI108" s="139"/>
      <c r="KKJ108" s="139"/>
      <c r="KKK108" s="139"/>
      <c r="KKL108" s="139"/>
      <c r="KKM108" s="139"/>
      <c r="KKN108" s="139"/>
      <c r="KKO108" s="139"/>
      <c r="KKP108" s="139"/>
      <c r="KKQ108" s="139"/>
      <c r="KKR108" s="139"/>
      <c r="KKS108" s="139"/>
      <c r="KKT108" s="139"/>
      <c r="KKU108" s="139"/>
      <c r="KKV108" s="139"/>
      <c r="KKW108" s="139"/>
      <c r="KKX108" s="139"/>
      <c r="KKY108" s="139"/>
      <c r="KKZ108" s="139"/>
      <c r="KLA108" s="139"/>
      <c r="KLB108" s="139"/>
      <c r="KLC108" s="139"/>
      <c r="KLD108" s="139"/>
      <c r="KLE108" s="139"/>
      <c r="KLF108" s="139"/>
      <c r="KLG108" s="139"/>
      <c r="KLH108" s="139"/>
      <c r="KLI108" s="139"/>
      <c r="KLJ108" s="139"/>
      <c r="KLK108" s="139"/>
      <c r="KLL108" s="139"/>
      <c r="KLM108" s="139"/>
      <c r="KLN108" s="139"/>
      <c r="KLO108" s="139"/>
      <c r="KLP108" s="139"/>
      <c r="KLQ108" s="139"/>
      <c r="KLR108" s="139"/>
      <c r="KLS108" s="139"/>
      <c r="KLT108" s="139"/>
      <c r="KLU108" s="139"/>
      <c r="KLV108" s="139"/>
      <c r="KLW108" s="139"/>
      <c r="KLX108" s="139"/>
      <c r="KLY108" s="139"/>
      <c r="KLZ108" s="139"/>
      <c r="KMA108" s="139"/>
      <c r="KMB108" s="139"/>
      <c r="KMC108" s="139"/>
      <c r="KMD108" s="139"/>
      <c r="KME108" s="139"/>
      <c r="KMF108" s="139"/>
      <c r="KMG108" s="139"/>
      <c r="KMH108" s="139"/>
      <c r="KMI108" s="139"/>
      <c r="KMJ108" s="139"/>
      <c r="KMK108" s="139"/>
      <c r="KML108" s="139"/>
      <c r="KMM108" s="139"/>
      <c r="KMN108" s="139"/>
      <c r="KMO108" s="139"/>
      <c r="KMP108" s="139"/>
      <c r="KMQ108" s="139"/>
      <c r="KMR108" s="139"/>
      <c r="KMS108" s="139"/>
      <c r="KMT108" s="139"/>
      <c r="KMU108" s="139"/>
      <c r="KMV108" s="139"/>
      <c r="KMW108" s="139"/>
      <c r="KMX108" s="139"/>
      <c r="KMY108" s="139"/>
      <c r="KMZ108" s="139"/>
      <c r="KNA108" s="139"/>
      <c r="KNB108" s="139"/>
      <c r="KNC108" s="139"/>
      <c r="KND108" s="139"/>
      <c r="KNE108" s="139"/>
      <c r="KNF108" s="139"/>
      <c r="KNG108" s="139"/>
      <c r="KNH108" s="139"/>
      <c r="KNI108" s="139"/>
      <c r="KNJ108" s="139"/>
      <c r="KNK108" s="139"/>
      <c r="KNL108" s="139"/>
      <c r="KNM108" s="139"/>
      <c r="KNN108" s="139"/>
      <c r="KNO108" s="139"/>
      <c r="KNP108" s="139"/>
      <c r="KNQ108" s="139"/>
      <c r="KNR108" s="139"/>
      <c r="KNS108" s="139"/>
      <c r="KNT108" s="139"/>
      <c r="KNU108" s="139"/>
      <c r="KNV108" s="139"/>
      <c r="KNW108" s="139"/>
      <c r="KNX108" s="139"/>
      <c r="KNY108" s="139"/>
      <c r="KNZ108" s="139"/>
      <c r="KOA108" s="139"/>
      <c r="KOB108" s="139"/>
      <c r="KOC108" s="139"/>
      <c r="KOD108" s="139"/>
      <c r="KOE108" s="139"/>
      <c r="KOF108" s="139"/>
      <c r="KOG108" s="139"/>
      <c r="KOH108" s="139"/>
      <c r="KOI108" s="139"/>
      <c r="KOJ108" s="139"/>
      <c r="KOK108" s="139"/>
      <c r="KOL108" s="139"/>
      <c r="KOM108" s="139"/>
      <c r="KON108" s="139"/>
      <c r="KOO108" s="139"/>
      <c r="KOP108" s="139"/>
      <c r="KOQ108" s="139"/>
      <c r="KOR108" s="139"/>
      <c r="KOS108" s="139"/>
      <c r="KOT108" s="139"/>
      <c r="KOU108" s="139"/>
      <c r="KOV108" s="139"/>
      <c r="KOW108" s="139"/>
      <c r="KOX108" s="139"/>
      <c r="KOY108" s="139"/>
      <c r="KOZ108" s="139"/>
      <c r="KPA108" s="139"/>
      <c r="KPB108" s="139"/>
      <c r="KPC108" s="139"/>
      <c r="KPD108" s="139"/>
      <c r="KPE108" s="139"/>
      <c r="KPF108" s="139"/>
      <c r="KPG108" s="139"/>
      <c r="KPH108" s="139"/>
      <c r="KPI108" s="139"/>
      <c r="KPJ108" s="139"/>
      <c r="KPK108" s="139"/>
      <c r="KPL108" s="139"/>
      <c r="KPM108" s="139"/>
      <c r="KPN108" s="139"/>
      <c r="KPO108" s="139"/>
      <c r="KPP108" s="139"/>
      <c r="KPQ108" s="139"/>
      <c r="KPR108" s="139"/>
      <c r="KPS108" s="139"/>
      <c r="KPT108" s="139"/>
      <c r="KPU108" s="139"/>
      <c r="KPV108" s="139"/>
      <c r="KPW108" s="139"/>
      <c r="KPX108" s="139"/>
      <c r="KPY108" s="139"/>
      <c r="KPZ108" s="139"/>
      <c r="KQA108" s="139"/>
      <c r="KQB108" s="139"/>
      <c r="KQC108" s="139"/>
      <c r="KQD108" s="139"/>
      <c r="KQE108" s="139"/>
      <c r="KQF108" s="139"/>
      <c r="KQG108" s="139"/>
      <c r="KQH108" s="139"/>
      <c r="KQI108" s="139"/>
      <c r="KQJ108" s="139"/>
      <c r="KQK108" s="139"/>
      <c r="KQL108" s="139"/>
      <c r="KQM108" s="139"/>
      <c r="KQN108" s="139"/>
      <c r="KQO108" s="139"/>
      <c r="KQP108" s="139"/>
      <c r="KQQ108" s="139"/>
      <c r="KQR108" s="139"/>
      <c r="KQS108" s="139"/>
      <c r="KQT108" s="139"/>
      <c r="KQU108" s="139"/>
      <c r="KQV108" s="139"/>
      <c r="KQW108" s="139"/>
      <c r="KQX108" s="139"/>
      <c r="KQY108" s="139"/>
      <c r="KQZ108" s="139"/>
      <c r="KRA108" s="139"/>
      <c r="KRB108" s="139"/>
      <c r="KRC108" s="139"/>
      <c r="KRD108" s="139"/>
      <c r="KRE108" s="139"/>
      <c r="KRF108" s="139"/>
      <c r="KRG108" s="139"/>
      <c r="KRH108" s="139"/>
      <c r="KRI108" s="139"/>
      <c r="KRJ108" s="139"/>
      <c r="KRK108" s="139"/>
      <c r="KRL108" s="139"/>
      <c r="KRM108" s="139"/>
      <c r="KRN108" s="139"/>
      <c r="KRO108" s="139"/>
      <c r="KRP108" s="139"/>
      <c r="KRQ108" s="139"/>
      <c r="KRR108" s="139"/>
      <c r="KRS108" s="139"/>
      <c r="KRT108" s="139"/>
      <c r="KRU108" s="139"/>
      <c r="KRV108" s="139"/>
      <c r="KRW108" s="139"/>
      <c r="KRX108" s="139"/>
      <c r="KRY108" s="139"/>
      <c r="KRZ108" s="139"/>
      <c r="KSA108" s="139"/>
      <c r="KSB108" s="139"/>
      <c r="KSC108" s="139"/>
      <c r="KSD108" s="139"/>
      <c r="KSE108" s="139"/>
      <c r="KSF108" s="139"/>
      <c r="KSG108" s="139"/>
      <c r="KSH108" s="139"/>
      <c r="KSI108" s="139"/>
      <c r="KSJ108" s="139"/>
      <c r="KSK108" s="139"/>
      <c r="KSL108" s="139"/>
      <c r="KSM108" s="139"/>
      <c r="KSN108" s="139"/>
      <c r="KSO108" s="139"/>
      <c r="KSP108" s="139"/>
      <c r="KSQ108" s="139"/>
      <c r="KSR108" s="139"/>
      <c r="KSS108" s="139"/>
      <c r="KST108" s="139"/>
      <c r="KSU108" s="139"/>
      <c r="KSV108" s="139"/>
      <c r="KSW108" s="139"/>
      <c r="KSX108" s="139"/>
      <c r="KSY108" s="139"/>
      <c r="KSZ108" s="139"/>
      <c r="KTA108" s="139"/>
      <c r="KTB108" s="139"/>
      <c r="KTC108" s="139"/>
      <c r="KTD108" s="139"/>
      <c r="KTE108" s="139"/>
      <c r="KTF108" s="139"/>
      <c r="KTG108" s="139"/>
      <c r="KTH108" s="139"/>
      <c r="KTI108" s="139"/>
      <c r="KTJ108" s="139"/>
      <c r="KTK108" s="139"/>
      <c r="KTL108" s="139"/>
      <c r="KTM108" s="139"/>
      <c r="KTN108" s="139"/>
      <c r="KTO108" s="139"/>
      <c r="KTP108" s="139"/>
      <c r="KTQ108" s="139"/>
      <c r="KTR108" s="139"/>
      <c r="KTS108" s="139"/>
      <c r="KTT108" s="139"/>
      <c r="KTU108" s="139"/>
      <c r="KTV108" s="139"/>
      <c r="KTW108" s="139"/>
      <c r="KTX108" s="139"/>
      <c r="KTY108" s="139"/>
      <c r="KTZ108" s="139"/>
      <c r="KUA108" s="139"/>
      <c r="KUB108" s="139"/>
      <c r="KUC108" s="139"/>
      <c r="KUD108" s="139"/>
      <c r="KUE108" s="139"/>
      <c r="KUF108" s="139"/>
      <c r="KUG108" s="139"/>
      <c r="KUH108" s="139"/>
      <c r="KUI108" s="139"/>
      <c r="KUJ108" s="139"/>
      <c r="KUK108" s="139"/>
      <c r="KUL108" s="139"/>
      <c r="KUM108" s="139"/>
      <c r="KUN108" s="139"/>
      <c r="KUO108" s="139"/>
      <c r="KUP108" s="139"/>
      <c r="KUQ108" s="139"/>
      <c r="KUR108" s="139"/>
      <c r="KUS108" s="139"/>
      <c r="KUT108" s="139"/>
      <c r="KUU108" s="139"/>
      <c r="KUV108" s="139"/>
      <c r="KUW108" s="139"/>
      <c r="KUX108" s="139"/>
      <c r="KUY108" s="139"/>
      <c r="KUZ108" s="139"/>
      <c r="KVA108" s="139"/>
      <c r="KVB108" s="139"/>
      <c r="KVC108" s="139"/>
      <c r="KVD108" s="139"/>
      <c r="KVE108" s="139"/>
      <c r="KVF108" s="139"/>
      <c r="KVG108" s="139"/>
      <c r="KVH108" s="139"/>
      <c r="KVI108" s="139"/>
      <c r="KVJ108" s="139"/>
      <c r="KVK108" s="139"/>
      <c r="KVL108" s="139"/>
      <c r="KVM108" s="139"/>
      <c r="KVN108" s="139"/>
      <c r="KVO108" s="139"/>
      <c r="KVP108" s="139"/>
      <c r="KVQ108" s="139"/>
      <c r="KVR108" s="139"/>
      <c r="KVS108" s="139"/>
      <c r="KVT108" s="139"/>
      <c r="KVU108" s="139"/>
      <c r="KVV108" s="139"/>
      <c r="KVW108" s="139"/>
      <c r="KVX108" s="139"/>
      <c r="KVY108" s="139"/>
      <c r="KVZ108" s="139"/>
      <c r="KWA108" s="139"/>
      <c r="KWB108" s="139"/>
      <c r="KWC108" s="139"/>
      <c r="KWD108" s="139"/>
      <c r="KWE108" s="139"/>
      <c r="KWF108" s="139"/>
      <c r="KWG108" s="139"/>
      <c r="KWH108" s="139"/>
      <c r="KWI108" s="139"/>
      <c r="KWJ108" s="139"/>
      <c r="KWK108" s="139"/>
      <c r="KWL108" s="139"/>
      <c r="KWM108" s="139"/>
      <c r="KWN108" s="139"/>
      <c r="KWO108" s="139"/>
      <c r="KWP108" s="139"/>
      <c r="KWQ108" s="139"/>
      <c r="KWR108" s="139"/>
      <c r="KWS108" s="139"/>
      <c r="KWT108" s="139"/>
      <c r="KWU108" s="139"/>
      <c r="KWV108" s="139"/>
      <c r="KWW108" s="139"/>
      <c r="KWX108" s="139"/>
      <c r="KWY108" s="139"/>
      <c r="KWZ108" s="139"/>
      <c r="KXA108" s="139"/>
      <c r="KXB108" s="139"/>
      <c r="KXC108" s="139"/>
      <c r="KXD108" s="139"/>
      <c r="KXE108" s="139"/>
      <c r="KXF108" s="139"/>
      <c r="KXG108" s="139"/>
      <c r="KXH108" s="139"/>
      <c r="KXI108" s="139"/>
      <c r="KXJ108" s="139"/>
      <c r="KXK108" s="139"/>
      <c r="KXL108" s="139"/>
      <c r="KXM108" s="139"/>
      <c r="KXN108" s="139"/>
      <c r="KXO108" s="139"/>
      <c r="KXP108" s="139"/>
      <c r="KXQ108" s="139"/>
      <c r="KXR108" s="139"/>
      <c r="KXS108" s="139"/>
      <c r="KXT108" s="139"/>
      <c r="KXU108" s="139"/>
      <c r="KXV108" s="139"/>
      <c r="KXW108" s="139"/>
      <c r="KXX108" s="139"/>
      <c r="KXY108" s="139"/>
      <c r="KXZ108" s="139"/>
      <c r="KYA108" s="139"/>
      <c r="KYB108" s="139"/>
      <c r="KYC108" s="139"/>
      <c r="KYD108" s="139"/>
      <c r="KYE108" s="139"/>
      <c r="KYF108" s="139"/>
      <c r="KYG108" s="139"/>
      <c r="KYH108" s="139"/>
      <c r="KYI108" s="139"/>
      <c r="KYJ108" s="139"/>
      <c r="KYK108" s="139"/>
      <c r="KYL108" s="139"/>
      <c r="KYM108" s="139"/>
      <c r="KYN108" s="139"/>
      <c r="KYO108" s="139"/>
      <c r="KYP108" s="139"/>
      <c r="KYQ108" s="139"/>
      <c r="KYR108" s="139"/>
      <c r="KYS108" s="139"/>
      <c r="KYT108" s="139"/>
      <c r="KYU108" s="139"/>
      <c r="KYV108" s="139"/>
      <c r="KYW108" s="139"/>
      <c r="KYX108" s="139"/>
      <c r="KYY108" s="139"/>
      <c r="KYZ108" s="139"/>
      <c r="KZA108" s="139"/>
      <c r="KZB108" s="139"/>
      <c r="KZC108" s="139"/>
      <c r="KZD108" s="139"/>
      <c r="KZE108" s="139"/>
      <c r="KZF108" s="139"/>
      <c r="KZG108" s="139"/>
      <c r="KZH108" s="139"/>
      <c r="KZI108" s="139"/>
      <c r="KZJ108" s="139"/>
      <c r="KZK108" s="139"/>
      <c r="KZL108" s="139"/>
      <c r="KZM108" s="139"/>
      <c r="KZN108" s="139"/>
      <c r="KZO108" s="139"/>
      <c r="KZP108" s="139"/>
      <c r="KZQ108" s="139"/>
      <c r="KZR108" s="139"/>
      <c r="KZS108" s="139"/>
      <c r="KZT108" s="139"/>
      <c r="KZU108" s="139"/>
      <c r="KZV108" s="139"/>
      <c r="KZW108" s="139"/>
      <c r="KZX108" s="139"/>
      <c r="KZY108" s="139"/>
      <c r="KZZ108" s="139"/>
      <c r="LAA108" s="139"/>
      <c r="LAB108" s="139"/>
      <c r="LAC108" s="139"/>
      <c r="LAD108" s="139"/>
      <c r="LAE108" s="139"/>
      <c r="LAF108" s="139"/>
      <c r="LAG108" s="139"/>
      <c r="LAH108" s="139"/>
      <c r="LAI108" s="139"/>
      <c r="LAJ108" s="139"/>
      <c r="LAK108" s="139"/>
      <c r="LAL108" s="139"/>
      <c r="LAM108" s="139"/>
      <c r="LAN108" s="139"/>
      <c r="LAO108" s="139"/>
      <c r="LAP108" s="139"/>
      <c r="LAQ108" s="139"/>
      <c r="LAR108" s="139"/>
      <c r="LAS108" s="139"/>
      <c r="LAT108" s="139"/>
      <c r="LAU108" s="139"/>
      <c r="LAV108" s="139"/>
      <c r="LAW108" s="139"/>
      <c r="LAX108" s="139"/>
      <c r="LAY108" s="139"/>
      <c r="LAZ108" s="139"/>
      <c r="LBA108" s="139"/>
      <c r="LBB108" s="139"/>
      <c r="LBC108" s="139"/>
      <c r="LBD108" s="139"/>
      <c r="LBE108" s="139"/>
      <c r="LBF108" s="139"/>
      <c r="LBG108" s="139"/>
      <c r="LBH108" s="139"/>
      <c r="LBI108" s="139"/>
      <c r="LBJ108" s="139"/>
      <c r="LBK108" s="139"/>
      <c r="LBL108" s="139"/>
      <c r="LBM108" s="139"/>
      <c r="LBN108" s="139"/>
      <c r="LBO108" s="139"/>
      <c r="LBP108" s="139"/>
      <c r="LBQ108" s="139"/>
      <c r="LBR108" s="139"/>
      <c r="LBS108" s="139"/>
      <c r="LBT108" s="139"/>
      <c r="LBU108" s="139"/>
      <c r="LBV108" s="139"/>
      <c r="LBW108" s="139"/>
      <c r="LBX108" s="139"/>
      <c r="LBY108" s="139"/>
      <c r="LBZ108" s="139"/>
      <c r="LCA108" s="139"/>
      <c r="LCB108" s="139"/>
      <c r="LCC108" s="139"/>
      <c r="LCD108" s="139"/>
      <c r="LCE108" s="139"/>
      <c r="LCF108" s="139"/>
      <c r="LCG108" s="139"/>
      <c r="LCH108" s="139"/>
      <c r="LCI108" s="139"/>
      <c r="LCJ108" s="139"/>
      <c r="LCK108" s="139"/>
      <c r="LCL108" s="139"/>
      <c r="LCM108" s="139"/>
      <c r="LCN108" s="139"/>
      <c r="LCO108" s="139"/>
      <c r="LCP108" s="139"/>
      <c r="LCQ108" s="139"/>
      <c r="LCR108" s="139"/>
      <c r="LCS108" s="139"/>
      <c r="LCT108" s="139"/>
      <c r="LCU108" s="139"/>
      <c r="LCV108" s="139"/>
      <c r="LCW108" s="139"/>
      <c r="LCX108" s="139"/>
      <c r="LCY108" s="139"/>
      <c r="LCZ108" s="139"/>
      <c r="LDA108" s="139"/>
      <c r="LDB108" s="139"/>
      <c r="LDC108" s="139"/>
      <c r="LDD108" s="139"/>
      <c r="LDE108" s="139"/>
      <c r="LDF108" s="139"/>
      <c r="LDG108" s="139"/>
      <c r="LDH108" s="139"/>
      <c r="LDI108" s="139"/>
      <c r="LDJ108" s="139"/>
      <c r="LDK108" s="139"/>
      <c r="LDL108" s="139"/>
      <c r="LDM108" s="139"/>
      <c r="LDN108" s="139"/>
      <c r="LDO108" s="139"/>
      <c r="LDP108" s="139"/>
      <c r="LDQ108" s="139"/>
      <c r="LDR108" s="139"/>
      <c r="LDS108" s="139"/>
      <c r="LDT108" s="139"/>
      <c r="LDU108" s="139"/>
      <c r="LDV108" s="139"/>
      <c r="LDW108" s="139"/>
      <c r="LDX108" s="139"/>
      <c r="LDY108" s="139"/>
      <c r="LDZ108" s="139"/>
      <c r="LEA108" s="139"/>
      <c r="LEB108" s="139"/>
      <c r="LEC108" s="139"/>
      <c r="LED108" s="139"/>
      <c r="LEE108" s="139"/>
      <c r="LEF108" s="139"/>
      <c r="LEG108" s="139"/>
      <c r="LEH108" s="139"/>
      <c r="LEI108" s="139"/>
      <c r="LEJ108" s="139"/>
      <c r="LEK108" s="139"/>
      <c r="LEL108" s="139"/>
      <c r="LEM108" s="139"/>
      <c r="LEN108" s="139"/>
      <c r="LEO108" s="139"/>
      <c r="LEP108" s="139"/>
      <c r="LEQ108" s="139"/>
      <c r="LER108" s="139"/>
      <c r="LES108" s="139"/>
      <c r="LET108" s="139"/>
      <c r="LEU108" s="139"/>
      <c r="LEV108" s="139"/>
      <c r="LEW108" s="139"/>
      <c r="LEX108" s="139"/>
      <c r="LEY108" s="139"/>
      <c r="LEZ108" s="139"/>
      <c r="LFA108" s="139"/>
      <c r="LFB108" s="139"/>
      <c r="LFC108" s="139"/>
      <c r="LFD108" s="139"/>
      <c r="LFE108" s="139"/>
      <c r="LFF108" s="139"/>
      <c r="LFG108" s="139"/>
      <c r="LFH108" s="139"/>
      <c r="LFI108" s="139"/>
      <c r="LFJ108" s="139"/>
      <c r="LFK108" s="139"/>
      <c r="LFL108" s="139"/>
      <c r="LFM108" s="139"/>
      <c r="LFN108" s="139"/>
      <c r="LFO108" s="139"/>
      <c r="LFP108" s="139"/>
      <c r="LFQ108" s="139"/>
      <c r="LFR108" s="139"/>
      <c r="LFS108" s="139"/>
      <c r="LFT108" s="139"/>
      <c r="LFU108" s="139"/>
      <c r="LFV108" s="139"/>
      <c r="LFW108" s="139"/>
      <c r="LFX108" s="139"/>
      <c r="LFY108" s="139"/>
      <c r="LFZ108" s="139"/>
      <c r="LGA108" s="139"/>
      <c r="LGB108" s="139"/>
      <c r="LGC108" s="139"/>
      <c r="LGD108" s="139"/>
      <c r="LGE108" s="139"/>
      <c r="LGF108" s="139"/>
      <c r="LGG108" s="139"/>
      <c r="LGH108" s="139"/>
      <c r="LGI108" s="139"/>
      <c r="LGJ108" s="139"/>
      <c r="LGK108" s="139"/>
      <c r="LGL108" s="139"/>
      <c r="LGM108" s="139"/>
      <c r="LGN108" s="139"/>
      <c r="LGO108" s="139"/>
      <c r="LGP108" s="139"/>
      <c r="LGQ108" s="139"/>
      <c r="LGR108" s="139"/>
      <c r="LGS108" s="139"/>
      <c r="LGT108" s="139"/>
      <c r="LGU108" s="139"/>
      <c r="LGV108" s="139"/>
      <c r="LGW108" s="139"/>
      <c r="LGX108" s="139"/>
      <c r="LGY108" s="139"/>
      <c r="LGZ108" s="139"/>
      <c r="LHA108" s="139"/>
      <c r="LHB108" s="139"/>
      <c r="LHC108" s="139"/>
      <c r="LHD108" s="139"/>
      <c r="LHE108" s="139"/>
      <c r="LHF108" s="139"/>
      <c r="LHG108" s="139"/>
      <c r="LHH108" s="139"/>
      <c r="LHI108" s="139"/>
      <c r="LHJ108" s="139"/>
      <c r="LHK108" s="139"/>
      <c r="LHL108" s="139"/>
      <c r="LHM108" s="139"/>
      <c r="LHN108" s="139"/>
      <c r="LHO108" s="139"/>
      <c r="LHP108" s="139"/>
      <c r="LHQ108" s="139"/>
      <c r="LHR108" s="139"/>
      <c r="LHS108" s="139"/>
      <c r="LHT108" s="139"/>
      <c r="LHU108" s="139"/>
      <c r="LHV108" s="139"/>
      <c r="LHW108" s="139"/>
      <c r="LHX108" s="139"/>
      <c r="LHY108" s="139"/>
      <c r="LHZ108" s="139"/>
      <c r="LIA108" s="139"/>
      <c r="LIB108" s="139"/>
      <c r="LIC108" s="139"/>
      <c r="LID108" s="139"/>
      <c r="LIE108" s="139"/>
      <c r="LIF108" s="139"/>
      <c r="LIG108" s="139"/>
      <c r="LIH108" s="139"/>
      <c r="LII108" s="139"/>
      <c r="LIJ108" s="139"/>
      <c r="LIK108" s="139"/>
      <c r="LIL108" s="139"/>
      <c r="LIM108" s="139"/>
      <c r="LIN108" s="139"/>
      <c r="LIO108" s="139"/>
      <c r="LIP108" s="139"/>
      <c r="LIQ108" s="139"/>
      <c r="LIR108" s="139"/>
      <c r="LIS108" s="139"/>
      <c r="LIT108" s="139"/>
      <c r="LIU108" s="139"/>
      <c r="LIV108" s="139"/>
      <c r="LIW108" s="139"/>
      <c r="LIX108" s="139"/>
      <c r="LIY108" s="139"/>
      <c r="LIZ108" s="139"/>
      <c r="LJA108" s="139"/>
      <c r="LJB108" s="139"/>
      <c r="LJC108" s="139"/>
      <c r="LJD108" s="139"/>
      <c r="LJE108" s="139"/>
      <c r="LJF108" s="139"/>
      <c r="LJG108" s="139"/>
      <c r="LJH108" s="139"/>
      <c r="LJI108" s="139"/>
      <c r="LJJ108" s="139"/>
      <c r="LJK108" s="139"/>
      <c r="LJL108" s="139"/>
      <c r="LJM108" s="139"/>
      <c r="LJN108" s="139"/>
      <c r="LJO108" s="139"/>
      <c r="LJP108" s="139"/>
      <c r="LJQ108" s="139"/>
      <c r="LJR108" s="139"/>
      <c r="LJS108" s="139"/>
      <c r="LJT108" s="139"/>
      <c r="LJU108" s="139"/>
      <c r="LJV108" s="139"/>
      <c r="LJW108" s="139"/>
      <c r="LJX108" s="139"/>
      <c r="LJY108" s="139"/>
      <c r="LJZ108" s="139"/>
      <c r="LKA108" s="139"/>
      <c r="LKB108" s="139"/>
      <c r="LKC108" s="139"/>
      <c r="LKD108" s="139"/>
      <c r="LKE108" s="139"/>
      <c r="LKF108" s="139"/>
      <c r="LKG108" s="139"/>
      <c r="LKH108" s="139"/>
      <c r="LKI108" s="139"/>
      <c r="LKJ108" s="139"/>
      <c r="LKK108" s="139"/>
      <c r="LKL108" s="139"/>
      <c r="LKM108" s="139"/>
      <c r="LKN108" s="139"/>
      <c r="LKO108" s="139"/>
      <c r="LKP108" s="139"/>
      <c r="LKQ108" s="139"/>
      <c r="LKR108" s="139"/>
      <c r="LKS108" s="139"/>
      <c r="LKT108" s="139"/>
      <c r="LKU108" s="139"/>
      <c r="LKV108" s="139"/>
      <c r="LKW108" s="139"/>
      <c r="LKX108" s="139"/>
      <c r="LKY108" s="139"/>
      <c r="LKZ108" s="139"/>
      <c r="LLA108" s="139"/>
      <c r="LLB108" s="139"/>
      <c r="LLC108" s="139"/>
      <c r="LLD108" s="139"/>
      <c r="LLE108" s="139"/>
      <c r="LLF108" s="139"/>
      <c r="LLG108" s="139"/>
      <c r="LLH108" s="139"/>
      <c r="LLI108" s="139"/>
      <c r="LLJ108" s="139"/>
      <c r="LLK108" s="139"/>
      <c r="LLL108" s="139"/>
      <c r="LLM108" s="139"/>
      <c r="LLN108" s="139"/>
      <c r="LLO108" s="139"/>
      <c r="LLP108" s="139"/>
      <c r="LLQ108" s="139"/>
      <c r="LLR108" s="139"/>
      <c r="LLS108" s="139"/>
      <c r="LLT108" s="139"/>
      <c r="LLU108" s="139"/>
      <c r="LLV108" s="139"/>
      <c r="LLW108" s="139"/>
      <c r="LLX108" s="139"/>
      <c r="LLY108" s="139"/>
      <c r="LLZ108" s="139"/>
      <c r="LMA108" s="139"/>
      <c r="LMB108" s="139"/>
      <c r="LMC108" s="139"/>
      <c r="LMD108" s="139"/>
      <c r="LME108" s="139"/>
      <c r="LMF108" s="139"/>
      <c r="LMG108" s="139"/>
      <c r="LMH108" s="139"/>
      <c r="LMI108" s="139"/>
      <c r="LMJ108" s="139"/>
      <c r="LMK108" s="139"/>
      <c r="LML108" s="139"/>
      <c r="LMM108" s="139"/>
      <c r="LMN108" s="139"/>
      <c r="LMO108" s="139"/>
      <c r="LMP108" s="139"/>
      <c r="LMQ108" s="139"/>
      <c r="LMR108" s="139"/>
      <c r="LMS108" s="139"/>
      <c r="LMT108" s="139"/>
      <c r="LMU108" s="139"/>
      <c r="LMV108" s="139"/>
      <c r="LMW108" s="139"/>
      <c r="LMX108" s="139"/>
      <c r="LMY108" s="139"/>
      <c r="LMZ108" s="139"/>
      <c r="LNA108" s="139"/>
      <c r="LNB108" s="139"/>
      <c r="LNC108" s="139"/>
      <c r="LND108" s="139"/>
      <c r="LNE108" s="139"/>
      <c r="LNF108" s="139"/>
      <c r="LNG108" s="139"/>
      <c r="LNH108" s="139"/>
      <c r="LNI108" s="139"/>
      <c r="LNJ108" s="139"/>
      <c r="LNK108" s="139"/>
      <c r="LNL108" s="139"/>
      <c r="LNM108" s="139"/>
      <c r="LNN108" s="139"/>
      <c r="LNO108" s="139"/>
      <c r="LNP108" s="139"/>
      <c r="LNQ108" s="139"/>
      <c r="LNR108" s="139"/>
      <c r="LNS108" s="139"/>
      <c r="LNT108" s="139"/>
      <c r="LNU108" s="139"/>
      <c r="LNV108" s="139"/>
      <c r="LNW108" s="139"/>
      <c r="LNX108" s="139"/>
      <c r="LNY108" s="139"/>
      <c r="LNZ108" s="139"/>
      <c r="LOA108" s="139"/>
      <c r="LOB108" s="139"/>
      <c r="LOC108" s="139"/>
      <c r="LOD108" s="139"/>
      <c r="LOE108" s="139"/>
      <c r="LOF108" s="139"/>
      <c r="LOG108" s="139"/>
      <c r="LOH108" s="139"/>
      <c r="LOI108" s="139"/>
      <c r="LOJ108" s="139"/>
      <c r="LOK108" s="139"/>
      <c r="LOL108" s="139"/>
      <c r="LOM108" s="139"/>
      <c r="LON108" s="139"/>
      <c r="LOO108" s="139"/>
      <c r="LOP108" s="139"/>
      <c r="LOQ108" s="139"/>
      <c r="LOR108" s="139"/>
      <c r="LOS108" s="139"/>
      <c r="LOT108" s="139"/>
      <c r="LOU108" s="139"/>
      <c r="LOV108" s="139"/>
      <c r="LOW108" s="139"/>
      <c r="LOX108" s="139"/>
      <c r="LOY108" s="139"/>
      <c r="LOZ108" s="139"/>
      <c r="LPA108" s="139"/>
      <c r="LPB108" s="139"/>
      <c r="LPC108" s="139"/>
      <c r="LPD108" s="139"/>
      <c r="LPE108" s="139"/>
      <c r="LPF108" s="139"/>
      <c r="LPG108" s="139"/>
      <c r="LPH108" s="139"/>
      <c r="LPI108" s="139"/>
      <c r="LPJ108" s="139"/>
      <c r="LPK108" s="139"/>
      <c r="LPL108" s="139"/>
      <c r="LPM108" s="139"/>
      <c r="LPN108" s="139"/>
      <c r="LPO108" s="139"/>
      <c r="LPP108" s="139"/>
      <c r="LPQ108" s="139"/>
      <c r="LPR108" s="139"/>
      <c r="LPS108" s="139"/>
      <c r="LPT108" s="139"/>
      <c r="LPU108" s="139"/>
      <c r="LPV108" s="139"/>
      <c r="LPW108" s="139"/>
      <c r="LPX108" s="139"/>
      <c r="LPY108" s="139"/>
      <c r="LPZ108" s="139"/>
      <c r="LQA108" s="139"/>
      <c r="LQB108" s="139"/>
      <c r="LQC108" s="139"/>
      <c r="LQD108" s="139"/>
      <c r="LQE108" s="139"/>
      <c r="LQF108" s="139"/>
      <c r="LQG108" s="139"/>
      <c r="LQH108" s="139"/>
      <c r="LQI108" s="139"/>
      <c r="LQJ108" s="139"/>
      <c r="LQK108" s="139"/>
      <c r="LQL108" s="139"/>
      <c r="LQM108" s="139"/>
      <c r="LQN108" s="139"/>
      <c r="LQO108" s="139"/>
      <c r="LQP108" s="139"/>
      <c r="LQQ108" s="139"/>
      <c r="LQR108" s="139"/>
      <c r="LQS108" s="139"/>
      <c r="LQT108" s="139"/>
      <c r="LQU108" s="139"/>
      <c r="LQV108" s="139"/>
      <c r="LQW108" s="139"/>
      <c r="LQX108" s="139"/>
      <c r="LQY108" s="139"/>
      <c r="LQZ108" s="139"/>
      <c r="LRA108" s="139"/>
      <c r="LRB108" s="139"/>
      <c r="LRC108" s="139"/>
      <c r="LRD108" s="139"/>
      <c r="LRE108" s="139"/>
      <c r="LRF108" s="139"/>
      <c r="LRG108" s="139"/>
      <c r="LRH108" s="139"/>
      <c r="LRI108" s="139"/>
      <c r="LRJ108" s="139"/>
      <c r="LRK108" s="139"/>
      <c r="LRL108" s="139"/>
      <c r="LRM108" s="139"/>
      <c r="LRN108" s="139"/>
      <c r="LRO108" s="139"/>
      <c r="LRP108" s="139"/>
      <c r="LRQ108" s="139"/>
      <c r="LRR108" s="139"/>
      <c r="LRS108" s="139"/>
      <c r="LRT108" s="139"/>
      <c r="LRU108" s="139"/>
      <c r="LRV108" s="139"/>
      <c r="LRW108" s="139"/>
      <c r="LRX108" s="139"/>
      <c r="LRY108" s="139"/>
      <c r="LRZ108" s="139"/>
      <c r="LSA108" s="139"/>
      <c r="LSB108" s="139"/>
      <c r="LSC108" s="139"/>
      <c r="LSD108" s="139"/>
      <c r="LSE108" s="139"/>
      <c r="LSF108" s="139"/>
      <c r="LSG108" s="139"/>
      <c r="LSH108" s="139"/>
      <c r="LSI108" s="139"/>
      <c r="LSJ108" s="139"/>
      <c r="LSK108" s="139"/>
      <c r="LSL108" s="139"/>
      <c r="LSM108" s="139"/>
      <c r="LSN108" s="139"/>
      <c r="LSO108" s="139"/>
      <c r="LSP108" s="139"/>
      <c r="LSQ108" s="139"/>
      <c r="LSR108" s="139"/>
      <c r="LSS108" s="139"/>
      <c r="LST108" s="139"/>
      <c r="LSU108" s="139"/>
      <c r="LSV108" s="139"/>
      <c r="LSW108" s="139"/>
      <c r="LSX108" s="139"/>
      <c r="LSY108" s="139"/>
      <c r="LSZ108" s="139"/>
      <c r="LTA108" s="139"/>
      <c r="LTB108" s="139"/>
      <c r="LTC108" s="139"/>
      <c r="LTD108" s="139"/>
      <c r="LTE108" s="139"/>
      <c r="LTF108" s="139"/>
      <c r="LTG108" s="139"/>
      <c r="LTH108" s="139"/>
      <c r="LTI108" s="139"/>
      <c r="LTJ108" s="139"/>
      <c r="LTK108" s="139"/>
      <c r="LTL108" s="139"/>
      <c r="LTM108" s="139"/>
      <c r="LTN108" s="139"/>
      <c r="LTO108" s="139"/>
      <c r="LTP108" s="139"/>
      <c r="LTQ108" s="139"/>
      <c r="LTR108" s="139"/>
      <c r="LTS108" s="139"/>
      <c r="LTT108" s="139"/>
      <c r="LTU108" s="139"/>
      <c r="LTV108" s="139"/>
      <c r="LTW108" s="139"/>
      <c r="LTX108" s="139"/>
      <c r="LTY108" s="139"/>
      <c r="LTZ108" s="139"/>
      <c r="LUA108" s="139"/>
      <c r="LUB108" s="139"/>
      <c r="LUC108" s="139"/>
      <c r="LUD108" s="139"/>
      <c r="LUE108" s="139"/>
      <c r="LUF108" s="139"/>
      <c r="LUG108" s="139"/>
      <c r="LUH108" s="139"/>
      <c r="LUI108" s="139"/>
      <c r="LUJ108" s="139"/>
      <c r="LUK108" s="139"/>
      <c r="LUL108" s="139"/>
      <c r="LUM108" s="139"/>
      <c r="LUN108" s="139"/>
      <c r="LUO108" s="139"/>
      <c r="LUP108" s="139"/>
      <c r="LUQ108" s="139"/>
      <c r="LUR108" s="139"/>
      <c r="LUS108" s="139"/>
      <c r="LUT108" s="139"/>
      <c r="LUU108" s="139"/>
      <c r="LUV108" s="139"/>
      <c r="LUW108" s="139"/>
      <c r="LUX108" s="139"/>
      <c r="LUY108" s="139"/>
      <c r="LUZ108" s="139"/>
      <c r="LVA108" s="139"/>
      <c r="LVB108" s="139"/>
      <c r="LVC108" s="139"/>
      <c r="LVD108" s="139"/>
      <c r="LVE108" s="139"/>
      <c r="LVF108" s="139"/>
      <c r="LVG108" s="139"/>
      <c r="LVH108" s="139"/>
      <c r="LVI108" s="139"/>
      <c r="LVJ108" s="139"/>
      <c r="LVK108" s="139"/>
      <c r="LVL108" s="139"/>
      <c r="LVM108" s="139"/>
      <c r="LVN108" s="139"/>
      <c r="LVO108" s="139"/>
      <c r="LVP108" s="139"/>
      <c r="LVQ108" s="139"/>
      <c r="LVR108" s="139"/>
      <c r="LVS108" s="139"/>
      <c r="LVT108" s="139"/>
      <c r="LVU108" s="139"/>
      <c r="LVV108" s="139"/>
      <c r="LVW108" s="139"/>
      <c r="LVX108" s="139"/>
      <c r="LVY108" s="139"/>
      <c r="LVZ108" s="139"/>
      <c r="LWA108" s="139"/>
      <c r="LWB108" s="139"/>
      <c r="LWC108" s="139"/>
      <c r="LWD108" s="139"/>
      <c r="LWE108" s="139"/>
      <c r="LWF108" s="139"/>
      <c r="LWG108" s="139"/>
      <c r="LWH108" s="139"/>
      <c r="LWI108" s="139"/>
      <c r="LWJ108" s="139"/>
      <c r="LWK108" s="139"/>
      <c r="LWL108" s="139"/>
      <c r="LWM108" s="139"/>
      <c r="LWN108" s="139"/>
      <c r="LWO108" s="139"/>
      <c r="LWP108" s="139"/>
      <c r="LWQ108" s="139"/>
      <c r="LWR108" s="139"/>
      <c r="LWS108" s="139"/>
      <c r="LWT108" s="139"/>
      <c r="LWU108" s="139"/>
      <c r="LWV108" s="139"/>
      <c r="LWW108" s="139"/>
      <c r="LWX108" s="139"/>
      <c r="LWY108" s="139"/>
      <c r="LWZ108" s="139"/>
      <c r="LXA108" s="139"/>
      <c r="LXB108" s="139"/>
      <c r="LXC108" s="139"/>
      <c r="LXD108" s="139"/>
      <c r="LXE108" s="139"/>
      <c r="LXF108" s="139"/>
      <c r="LXG108" s="139"/>
      <c r="LXH108" s="139"/>
      <c r="LXI108" s="139"/>
      <c r="LXJ108" s="139"/>
      <c r="LXK108" s="139"/>
      <c r="LXL108" s="139"/>
      <c r="LXM108" s="139"/>
      <c r="LXN108" s="139"/>
      <c r="LXO108" s="139"/>
      <c r="LXP108" s="139"/>
      <c r="LXQ108" s="139"/>
      <c r="LXR108" s="139"/>
      <c r="LXS108" s="139"/>
      <c r="LXT108" s="139"/>
      <c r="LXU108" s="139"/>
      <c r="LXV108" s="139"/>
      <c r="LXW108" s="139"/>
      <c r="LXX108" s="139"/>
      <c r="LXY108" s="139"/>
      <c r="LXZ108" s="139"/>
      <c r="LYA108" s="139"/>
      <c r="LYB108" s="139"/>
      <c r="LYC108" s="139"/>
      <c r="LYD108" s="139"/>
      <c r="LYE108" s="139"/>
      <c r="LYF108" s="139"/>
      <c r="LYG108" s="139"/>
      <c r="LYH108" s="139"/>
      <c r="LYI108" s="139"/>
      <c r="LYJ108" s="139"/>
      <c r="LYK108" s="139"/>
      <c r="LYL108" s="139"/>
      <c r="LYM108" s="139"/>
      <c r="LYN108" s="139"/>
      <c r="LYO108" s="139"/>
      <c r="LYP108" s="139"/>
      <c r="LYQ108" s="139"/>
      <c r="LYR108" s="139"/>
      <c r="LYS108" s="139"/>
      <c r="LYT108" s="139"/>
      <c r="LYU108" s="139"/>
      <c r="LYV108" s="139"/>
      <c r="LYW108" s="139"/>
      <c r="LYX108" s="139"/>
      <c r="LYY108" s="139"/>
      <c r="LYZ108" s="139"/>
      <c r="LZA108" s="139"/>
      <c r="LZB108" s="139"/>
      <c r="LZC108" s="139"/>
      <c r="LZD108" s="139"/>
      <c r="LZE108" s="139"/>
      <c r="LZF108" s="139"/>
      <c r="LZG108" s="139"/>
      <c r="LZH108" s="139"/>
      <c r="LZI108" s="139"/>
      <c r="LZJ108" s="139"/>
      <c r="LZK108" s="139"/>
      <c r="LZL108" s="139"/>
      <c r="LZM108" s="139"/>
      <c r="LZN108" s="139"/>
      <c r="LZO108" s="139"/>
      <c r="LZP108" s="139"/>
      <c r="LZQ108" s="139"/>
      <c r="LZR108" s="139"/>
      <c r="LZS108" s="139"/>
      <c r="LZT108" s="139"/>
      <c r="LZU108" s="139"/>
      <c r="LZV108" s="139"/>
      <c r="LZW108" s="139"/>
      <c r="LZX108" s="139"/>
      <c r="LZY108" s="139"/>
      <c r="LZZ108" s="139"/>
      <c r="MAA108" s="139"/>
      <c r="MAB108" s="139"/>
      <c r="MAC108" s="139"/>
      <c r="MAD108" s="139"/>
      <c r="MAE108" s="139"/>
      <c r="MAF108" s="139"/>
      <c r="MAG108" s="139"/>
      <c r="MAH108" s="139"/>
      <c r="MAI108" s="139"/>
      <c r="MAJ108" s="139"/>
      <c r="MAK108" s="139"/>
      <c r="MAL108" s="139"/>
      <c r="MAM108" s="139"/>
      <c r="MAN108" s="139"/>
      <c r="MAO108" s="139"/>
      <c r="MAP108" s="139"/>
      <c r="MAQ108" s="139"/>
      <c r="MAR108" s="139"/>
      <c r="MAS108" s="139"/>
      <c r="MAT108" s="139"/>
      <c r="MAU108" s="139"/>
      <c r="MAV108" s="139"/>
      <c r="MAW108" s="139"/>
      <c r="MAX108" s="139"/>
      <c r="MAY108" s="139"/>
      <c r="MAZ108" s="139"/>
      <c r="MBA108" s="139"/>
      <c r="MBB108" s="139"/>
      <c r="MBC108" s="139"/>
      <c r="MBD108" s="139"/>
      <c r="MBE108" s="139"/>
      <c r="MBF108" s="139"/>
      <c r="MBG108" s="139"/>
      <c r="MBH108" s="139"/>
      <c r="MBI108" s="139"/>
      <c r="MBJ108" s="139"/>
      <c r="MBK108" s="139"/>
      <c r="MBL108" s="139"/>
      <c r="MBM108" s="139"/>
      <c r="MBN108" s="139"/>
      <c r="MBO108" s="139"/>
      <c r="MBP108" s="139"/>
      <c r="MBQ108" s="139"/>
      <c r="MBR108" s="139"/>
      <c r="MBS108" s="139"/>
      <c r="MBT108" s="139"/>
      <c r="MBU108" s="139"/>
      <c r="MBV108" s="139"/>
      <c r="MBW108" s="139"/>
      <c r="MBX108" s="139"/>
      <c r="MBY108" s="139"/>
      <c r="MBZ108" s="139"/>
      <c r="MCA108" s="139"/>
      <c r="MCB108" s="139"/>
      <c r="MCC108" s="139"/>
      <c r="MCD108" s="139"/>
      <c r="MCE108" s="139"/>
      <c r="MCF108" s="139"/>
      <c r="MCG108" s="139"/>
      <c r="MCH108" s="139"/>
      <c r="MCI108" s="139"/>
      <c r="MCJ108" s="139"/>
      <c r="MCK108" s="139"/>
      <c r="MCL108" s="139"/>
      <c r="MCM108" s="139"/>
      <c r="MCN108" s="139"/>
      <c r="MCO108" s="139"/>
      <c r="MCP108" s="139"/>
      <c r="MCQ108" s="139"/>
      <c r="MCR108" s="139"/>
      <c r="MCS108" s="139"/>
      <c r="MCT108" s="139"/>
      <c r="MCU108" s="139"/>
      <c r="MCV108" s="139"/>
      <c r="MCW108" s="139"/>
      <c r="MCX108" s="139"/>
      <c r="MCY108" s="139"/>
      <c r="MCZ108" s="139"/>
      <c r="MDA108" s="139"/>
      <c r="MDB108" s="139"/>
      <c r="MDC108" s="139"/>
      <c r="MDD108" s="139"/>
      <c r="MDE108" s="139"/>
      <c r="MDF108" s="139"/>
      <c r="MDG108" s="139"/>
      <c r="MDH108" s="139"/>
      <c r="MDI108" s="139"/>
      <c r="MDJ108" s="139"/>
      <c r="MDK108" s="139"/>
      <c r="MDL108" s="139"/>
      <c r="MDM108" s="139"/>
      <c r="MDN108" s="139"/>
      <c r="MDO108" s="139"/>
      <c r="MDP108" s="139"/>
      <c r="MDQ108" s="139"/>
      <c r="MDR108" s="139"/>
      <c r="MDS108" s="139"/>
      <c r="MDT108" s="139"/>
      <c r="MDU108" s="139"/>
      <c r="MDV108" s="139"/>
      <c r="MDW108" s="139"/>
      <c r="MDX108" s="139"/>
      <c r="MDY108" s="139"/>
      <c r="MDZ108" s="139"/>
      <c r="MEA108" s="139"/>
      <c r="MEB108" s="139"/>
      <c r="MEC108" s="139"/>
      <c r="MED108" s="139"/>
      <c r="MEE108" s="139"/>
      <c r="MEF108" s="139"/>
      <c r="MEG108" s="139"/>
      <c r="MEH108" s="139"/>
      <c r="MEI108" s="139"/>
      <c r="MEJ108" s="139"/>
      <c r="MEK108" s="139"/>
      <c r="MEL108" s="139"/>
      <c r="MEM108" s="139"/>
      <c r="MEN108" s="139"/>
      <c r="MEO108" s="139"/>
      <c r="MEP108" s="139"/>
      <c r="MEQ108" s="139"/>
      <c r="MER108" s="139"/>
      <c r="MES108" s="139"/>
      <c r="MET108" s="139"/>
      <c r="MEU108" s="139"/>
      <c r="MEV108" s="139"/>
      <c r="MEW108" s="139"/>
      <c r="MEX108" s="139"/>
      <c r="MEY108" s="139"/>
      <c r="MEZ108" s="139"/>
      <c r="MFA108" s="139"/>
      <c r="MFB108" s="139"/>
      <c r="MFC108" s="139"/>
      <c r="MFD108" s="139"/>
      <c r="MFE108" s="139"/>
      <c r="MFF108" s="139"/>
      <c r="MFG108" s="139"/>
      <c r="MFH108" s="139"/>
      <c r="MFI108" s="139"/>
      <c r="MFJ108" s="139"/>
      <c r="MFK108" s="139"/>
      <c r="MFL108" s="139"/>
      <c r="MFM108" s="139"/>
      <c r="MFN108" s="139"/>
      <c r="MFO108" s="139"/>
      <c r="MFP108" s="139"/>
      <c r="MFQ108" s="139"/>
      <c r="MFR108" s="139"/>
      <c r="MFS108" s="139"/>
      <c r="MFT108" s="139"/>
      <c r="MFU108" s="139"/>
      <c r="MFV108" s="139"/>
      <c r="MFW108" s="139"/>
      <c r="MFX108" s="139"/>
      <c r="MFY108" s="139"/>
      <c r="MFZ108" s="139"/>
      <c r="MGA108" s="139"/>
      <c r="MGB108" s="139"/>
      <c r="MGC108" s="139"/>
      <c r="MGD108" s="139"/>
      <c r="MGE108" s="139"/>
      <c r="MGF108" s="139"/>
      <c r="MGG108" s="139"/>
      <c r="MGH108" s="139"/>
      <c r="MGI108" s="139"/>
      <c r="MGJ108" s="139"/>
      <c r="MGK108" s="139"/>
      <c r="MGL108" s="139"/>
      <c r="MGM108" s="139"/>
      <c r="MGN108" s="139"/>
      <c r="MGO108" s="139"/>
      <c r="MGP108" s="139"/>
      <c r="MGQ108" s="139"/>
      <c r="MGR108" s="139"/>
      <c r="MGS108" s="139"/>
      <c r="MGT108" s="139"/>
      <c r="MGU108" s="139"/>
      <c r="MGV108" s="139"/>
      <c r="MGW108" s="139"/>
      <c r="MGX108" s="139"/>
      <c r="MGY108" s="139"/>
      <c r="MGZ108" s="139"/>
      <c r="MHA108" s="139"/>
      <c r="MHB108" s="139"/>
      <c r="MHC108" s="139"/>
      <c r="MHD108" s="139"/>
      <c r="MHE108" s="139"/>
      <c r="MHF108" s="139"/>
      <c r="MHG108" s="139"/>
      <c r="MHH108" s="139"/>
      <c r="MHI108" s="139"/>
      <c r="MHJ108" s="139"/>
      <c r="MHK108" s="139"/>
      <c r="MHL108" s="139"/>
      <c r="MHM108" s="139"/>
      <c r="MHN108" s="139"/>
      <c r="MHO108" s="139"/>
      <c r="MHP108" s="139"/>
      <c r="MHQ108" s="139"/>
      <c r="MHR108" s="139"/>
      <c r="MHS108" s="139"/>
      <c r="MHT108" s="139"/>
      <c r="MHU108" s="139"/>
      <c r="MHV108" s="139"/>
      <c r="MHW108" s="139"/>
      <c r="MHX108" s="139"/>
      <c r="MHY108" s="139"/>
      <c r="MHZ108" s="139"/>
      <c r="MIA108" s="139"/>
      <c r="MIB108" s="139"/>
      <c r="MIC108" s="139"/>
      <c r="MID108" s="139"/>
      <c r="MIE108" s="139"/>
      <c r="MIF108" s="139"/>
      <c r="MIG108" s="139"/>
      <c r="MIH108" s="139"/>
      <c r="MII108" s="139"/>
      <c r="MIJ108" s="139"/>
      <c r="MIK108" s="139"/>
      <c r="MIL108" s="139"/>
      <c r="MIM108" s="139"/>
      <c r="MIN108" s="139"/>
      <c r="MIO108" s="139"/>
      <c r="MIP108" s="139"/>
      <c r="MIQ108" s="139"/>
      <c r="MIR108" s="139"/>
      <c r="MIS108" s="139"/>
      <c r="MIT108" s="139"/>
      <c r="MIU108" s="139"/>
      <c r="MIV108" s="139"/>
      <c r="MIW108" s="139"/>
      <c r="MIX108" s="139"/>
      <c r="MIY108" s="139"/>
      <c r="MIZ108" s="139"/>
      <c r="MJA108" s="139"/>
      <c r="MJB108" s="139"/>
      <c r="MJC108" s="139"/>
      <c r="MJD108" s="139"/>
      <c r="MJE108" s="139"/>
      <c r="MJF108" s="139"/>
      <c r="MJG108" s="139"/>
      <c r="MJH108" s="139"/>
      <c r="MJI108" s="139"/>
      <c r="MJJ108" s="139"/>
      <c r="MJK108" s="139"/>
      <c r="MJL108" s="139"/>
      <c r="MJM108" s="139"/>
      <c r="MJN108" s="139"/>
      <c r="MJO108" s="139"/>
      <c r="MJP108" s="139"/>
      <c r="MJQ108" s="139"/>
      <c r="MJR108" s="139"/>
      <c r="MJS108" s="139"/>
      <c r="MJT108" s="139"/>
      <c r="MJU108" s="139"/>
      <c r="MJV108" s="139"/>
      <c r="MJW108" s="139"/>
      <c r="MJX108" s="139"/>
      <c r="MJY108" s="139"/>
      <c r="MJZ108" s="139"/>
      <c r="MKA108" s="139"/>
      <c r="MKB108" s="139"/>
      <c r="MKC108" s="139"/>
      <c r="MKD108" s="139"/>
      <c r="MKE108" s="139"/>
      <c r="MKF108" s="139"/>
      <c r="MKG108" s="139"/>
      <c r="MKH108" s="139"/>
      <c r="MKI108" s="139"/>
      <c r="MKJ108" s="139"/>
      <c r="MKK108" s="139"/>
      <c r="MKL108" s="139"/>
      <c r="MKM108" s="139"/>
      <c r="MKN108" s="139"/>
      <c r="MKO108" s="139"/>
      <c r="MKP108" s="139"/>
      <c r="MKQ108" s="139"/>
      <c r="MKR108" s="139"/>
      <c r="MKS108" s="139"/>
      <c r="MKT108" s="139"/>
      <c r="MKU108" s="139"/>
      <c r="MKV108" s="139"/>
      <c r="MKW108" s="139"/>
      <c r="MKX108" s="139"/>
      <c r="MKY108" s="139"/>
      <c r="MKZ108" s="139"/>
      <c r="MLA108" s="139"/>
      <c r="MLB108" s="139"/>
      <c r="MLC108" s="139"/>
      <c r="MLD108" s="139"/>
      <c r="MLE108" s="139"/>
      <c r="MLF108" s="139"/>
      <c r="MLG108" s="139"/>
      <c r="MLH108" s="139"/>
      <c r="MLI108" s="139"/>
      <c r="MLJ108" s="139"/>
      <c r="MLK108" s="139"/>
      <c r="MLL108" s="139"/>
      <c r="MLM108" s="139"/>
      <c r="MLN108" s="139"/>
      <c r="MLO108" s="139"/>
      <c r="MLP108" s="139"/>
      <c r="MLQ108" s="139"/>
      <c r="MLR108" s="139"/>
      <c r="MLS108" s="139"/>
      <c r="MLT108" s="139"/>
      <c r="MLU108" s="139"/>
      <c r="MLV108" s="139"/>
      <c r="MLW108" s="139"/>
      <c r="MLX108" s="139"/>
      <c r="MLY108" s="139"/>
      <c r="MLZ108" s="139"/>
      <c r="MMA108" s="139"/>
      <c r="MMB108" s="139"/>
      <c r="MMC108" s="139"/>
      <c r="MMD108" s="139"/>
      <c r="MME108" s="139"/>
      <c r="MMF108" s="139"/>
      <c r="MMG108" s="139"/>
      <c r="MMH108" s="139"/>
      <c r="MMI108" s="139"/>
      <c r="MMJ108" s="139"/>
      <c r="MMK108" s="139"/>
      <c r="MML108" s="139"/>
      <c r="MMM108" s="139"/>
      <c r="MMN108" s="139"/>
      <c r="MMO108" s="139"/>
      <c r="MMP108" s="139"/>
      <c r="MMQ108" s="139"/>
      <c r="MMR108" s="139"/>
      <c r="MMS108" s="139"/>
      <c r="MMT108" s="139"/>
      <c r="MMU108" s="139"/>
      <c r="MMV108" s="139"/>
      <c r="MMW108" s="139"/>
      <c r="MMX108" s="139"/>
      <c r="MMY108" s="139"/>
      <c r="MMZ108" s="139"/>
      <c r="MNA108" s="139"/>
      <c r="MNB108" s="139"/>
      <c r="MNC108" s="139"/>
      <c r="MND108" s="139"/>
      <c r="MNE108" s="139"/>
      <c r="MNF108" s="139"/>
      <c r="MNG108" s="139"/>
      <c r="MNH108" s="139"/>
      <c r="MNI108" s="139"/>
      <c r="MNJ108" s="139"/>
      <c r="MNK108" s="139"/>
      <c r="MNL108" s="139"/>
      <c r="MNM108" s="139"/>
      <c r="MNN108" s="139"/>
      <c r="MNO108" s="139"/>
      <c r="MNP108" s="139"/>
      <c r="MNQ108" s="139"/>
      <c r="MNR108" s="139"/>
      <c r="MNS108" s="139"/>
      <c r="MNT108" s="139"/>
      <c r="MNU108" s="139"/>
      <c r="MNV108" s="139"/>
      <c r="MNW108" s="139"/>
      <c r="MNX108" s="139"/>
      <c r="MNY108" s="139"/>
      <c r="MNZ108" s="139"/>
      <c r="MOA108" s="139"/>
      <c r="MOB108" s="139"/>
      <c r="MOC108" s="139"/>
      <c r="MOD108" s="139"/>
      <c r="MOE108" s="139"/>
      <c r="MOF108" s="139"/>
      <c r="MOG108" s="139"/>
      <c r="MOH108" s="139"/>
      <c r="MOI108" s="139"/>
      <c r="MOJ108" s="139"/>
      <c r="MOK108" s="139"/>
      <c r="MOL108" s="139"/>
      <c r="MOM108" s="139"/>
      <c r="MON108" s="139"/>
      <c r="MOO108" s="139"/>
      <c r="MOP108" s="139"/>
      <c r="MOQ108" s="139"/>
      <c r="MOR108" s="139"/>
      <c r="MOS108" s="139"/>
      <c r="MOT108" s="139"/>
      <c r="MOU108" s="139"/>
      <c r="MOV108" s="139"/>
      <c r="MOW108" s="139"/>
      <c r="MOX108" s="139"/>
      <c r="MOY108" s="139"/>
      <c r="MOZ108" s="139"/>
      <c r="MPA108" s="139"/>
      <c r="MPB108" s="139"/>
      <c r="MPC108" s="139"/>
      <c r="MPD108" s="139"/>
      <c r="MPE108" s="139"/>
      <c r="MPF108" s="139"/>
      <c r="MPG108" s="139"/>
      <c r="MPH108" s="139"/>
      <c r="MPI108" s="139"/>
      <c r="MPJ108" s="139"/>
      <c r="MPK108" s="139"/>
      <c r="MPL108" s="139"/>
      <c r="MPM108" s="139"/>
      <c r="MPN108" s="139"/>
      <c r="MPO108" s="139"/>
      <c r="MPP108" s="139"/>
      <c r="MPQ108" s="139"/>
      <c r="MPR108" s="139"/>
      <c r="MPS108" s="139"/>
      <c r="MPT108" s="139"/>
      <c r="MPU108" s="139"/>
      <c r="MPV108" s="139"/>
      <c r="MPW108" s="139"/>
      <c r="MPX108" s="139"/>
      <c r="MPY108" s="139"/>
      <c r="MPZ108" s="139"/>
      <c r="MQA108" s="139"/>
      <c r="MQB108" s="139"/>
      <c r="MQC108" s="139"/>
      <c r="MQD108" s="139"/>
      <c r="MQE108" s="139"/>
      <c r="MQF108" s="139"/>
      <c r="MQG108" s="139"/>
      <c r="MQH108" s="139"/>
      <c r="MQI108" s="139"/>
      <c r="MQJ108" s="139"/>
      <c r="MQK108" s="139"/>
      <c r="MQL108" s="139"/>
      <c r="MQM108" s="139"/>
      <c r="MQN108" s="139"/>
      <c r="MQO108" s="139"/>
      <c r="MQP108" s="139"/>
      <c r="MQQ108" s="139"/>
      <c r="MQR108" s="139"/>
      <c r="MQS108" s="139"/>
      <c r="MQT108" s="139"/>
      <c r="MQU108" s="139"/>
      <c r="MQV108" s="139"/>
      <c r="MQW108" s="139"/>
      <c r="MQX108" s="139"/>
      <c r="MQY108" s="139"/>
      <c r="MQZ108" s="139"/>
      <c r="MRA108" s="139"/>
      <c r="MRB108" s="139"/>
      <c r="MRC108" s="139"/>
      <c r="MRD108" s="139"/>
      <c r="MRE108" s="139"/>
      <c r="MRF108" s="139"/>
      <c r="MRG108" s="139"/>
      <c r="MRH108" s="139"/>
      <c r="MRI108" s="139"/>
      <c r="MRJ108" s="139"/>
      <c r="MRK108" s="139"/>
      <c r="MRL108" s="139"/>
      <c r="MRM108" s="139"/>
      <c r="MRN108" s="139"/>
      <c r="MRO108" s="139"/>
      <c r="MRP108" s="139"/>
      <c r="MRQ108" s="139"/>
      <c r="MRR108" s="139"/>
      <c r="MRS108" s="139"/>
      <c r="MRT108" s="139"/>
      <c r="MRU108" s="139"/>
      <c r="MRV108" s="139"/>
      <c r="MRW108" s="139"/>
      <c r="MRX108" s="139"/>
      <c r="MRY108" s="139"/>
      <c r="MRZ108" s="139"/>
      <c r="MSA108" s="139"/>
      <c r="MSB108" s="139"/>
      <c r="MSC108" s="139"/>
      <c r="MSD108" s="139"/>
      <c r="MSE108" s="139"/>
      <c r="MSF108" s="139"/>
      <c r="MSG108" s="139"/>
      <c r="MSH108" s="139"/>
      <c r="MSI108" s="139"/>
      <c r="MSJ108" s="139"/>
      <c r="MSK108" s="139"/>
      <c r="MSL108" s="139"/>
      <c r="MSM108" s="139"/>
      <c r="MSN108" s="139"/>
      <c r="MSO108" s="139"/>
      <c r="MSP108" s="139"/>
      <c r="MSQ108" s="139"/>
      <c r="MSR108" s="139"/>
      <c r="MSS108" s="139"/>
      <c r="MST108" s="139"/>
      <c r="MSU108" s="139"/>
      <c r="MSV108" s="139"/>
      <c r="MSW108" s="139"/>
      <c r="MSX108" s="139"/>
      <c r="MSY108" s="139"/>
      <c r="MSZ108" s="139"/>
      <c r="MTA108" s="139"/>
      <c r="MTB108" s="139"/>
      <c r="MTC108" s="139"/>
      <c r="MTD108" s="139"/>
      <c r="MTE108" s="139"/>
      <c r="MTF108" s="139"/>
      <c r="MTG108" s="139"/>
      <c r="MTH108" s="139"/>
      <c r="MTI108" s="139"/>
      <c r="MTJ108" s="139"/>
      <c r="MTK108" s="139"/>
      <c r="MTL108" s="139"/>
      <c r="MTM108" s="139"/>
      <c r="MTN108" s="139"/>
      <c r="MTO108" s="139"/>
      <c r="MTP108" s="139"/>
      <c r="MTQ108" s="139"/>
      <c r="MTR108" s="139"/>
      <c r="MTS108" s="139"/>
      <c r="MTT108" s="139"/>
      <c r="MTU108" s="139"/>
      <c r="MTV108" s="139"/>
      <c r="MTW108" s="139"/>
      <c r="MTX108" s="139"/>
      <c r="MTY108" s="139"/>
      <c r="MTZ108" s="139"/>
      <c r="MUA108" s="139"/>
      <c r="MUB108" s="139"/>
      <c r="MUC108" s="139"/>
      <c r="MUD108" s="139"/>
      <c r="MUE108" s="139"/>
      <c r="MUF108" s="139"/>
      <c r="MUG108" s="139"/>
      <c r="MUH108" s="139"/>
      <c r="MUI108" s="139"/>
      <c r="MUJ108" s="139"/>
      <c r="MUK108" s="139"/>
      <c r="MUL108" s="139"/>
      <c r="MUM108" s="139"/>
      <c r="MUN108" s="139"/>
      <c r="MUO108" s="139"/>
      <c r="MUP108" s="139"/>
      <c r="MUQ108" s="139"/>
      <c r="MUR108" s="139"/>
      <c r="MUS108" s="139"/>
      <c r="MUT108" s="139"/>
      <c r="MUU108" s="139"/>
      <c r="MUV108" s="139"/>
      <c r="MUW108" s="139"/>
      <c r="MUX108" s="139"/>
      <c r="MUY108" s="139"/>
      <c r="MUZ108" s="139"/>
      <c r="MVA108" s="139"/>
      <c r="MVB108" s="139"/>
      <c r="MVC108" s="139"/>
      <c r="MVD108" s="139"/>
      <c r="MVE108" s="139"/>
      <c r="MVF108" s="139"/>
      <c r="MVG108" s="139"/>
      <c r="MVH108" s="139"/>
      <c r="MVI108" s="139"/>
      <c r="MVJ108" s="139"/>
      <c r="MVK108" s="139"/>
      <c r="MVL108" s="139"/>
      <c r="MVM108" s="139"/>
      <c r="MVN108" s="139"/>
      <c r="MVO108" s="139"/>
      <c r="MVP108" s="139"/>
      <c r="MVQ108" s="139"/>
      <c r="MVR108" s="139"/>
      <c r="MVS108" s="139"/>
      <c r="MVT108" s="139"/>
      <c r="MVU108" s="139"/>
      <c r="MVV108" s="139"/>
      <c r="MVW108" s="139"/>
      <c r="MVX108" s="139"/>
      <c r="MVY108" s="139"/>
      <c r="MVZ108" s="139"/>
      <c r="MWA108" s="139"/>
      <c r="MWB108" s="139"/>
      <c r="MWC108" s="139"/>
      <c r="MWD108" s="139"/>
      <c r="MWE108" s="139"/>
      <c r="MWF108" s="139"/>
      <c r="MWG108" s="139"/>
      <c r="MWH108" s="139"/>
      <c r="MWI108" s="139"/>
      <c r="MWJ108" s="139"/>
      <c r="MWK108" s="139"/>
      <c r="MWL108" s="139"/>
      <c r="MWM108" s="139"/>
      <c r="MWN108" s="139"/>
      <c r="MWO108" s="139"/>
      <c r="MWP108" s="139"/>
      <c r="MWQ108" s="139"/>
      <c r="MWR108" s="139"/>
      <c r="MWS108" s="139"/>
      <c r="MWT108" s="139"/>
      <c r="MWU108" s="139"/>
      <c r="MWV108" s="139"/>
      <c r="MWW108" s="139"/>
      <c r="MWX108" s="139"/>
      <c r="MWY108" s="139"/>
      <c r="MWZ108" s="139"/>
      <c r="MXA108" s="139"/>
      <c r="MXB108" s="139"/>
      <c r="MXC108" s="139"/>
      <c r="MXD108" s="139"/>
      <c r="MXE108" s="139"/>
      <c r="MXF108" s="139"/>
      <c r="MXG108" s="139"/>
      <c r="MXH108" s="139"/>
      <c r="MXI108" s="139"/>
      <c r="MXJ108" s="139"/>
      <c r="MXK108" s="139"/>
      <c r="MXL108" s="139"/>
      <c r="MXM108" s="139"/>
      <c r="MXN108" s="139"/>
      <c r="MXO108" s="139"/>
      <c r="MXP108" s="139"/>
      <c r="MXQ108" s="139"/>
      <c r="MXR108" s="139"/>
      <c r="MXS108" s="139"/>
      <c r="MXT108" s="139"/>
      <c r="MXU108" s="139"/>
      <c r="MXV108" s="139"/>
      <c r="MXW108" s="139"/>
      <c r="MXX108" s="139"/>
      <c r="MXY108" s="139"/>
      <c r="MXZ108" s="139"/>
      <c r="MYA108" s="139"/>
      <c r="MYB108" s="139"/>
      <c r="MYC108" s="139"/>
      <c r="MYD108" s="139"/>
      <c r="MYE108" s="139"/>
      <c r="MYF108" s="139"/>
      <c r="MYG108" s="139"/>
      <c r="MYH108" s="139"/>
      <c r="MYI108" s="139"/>
      <c r="MYJ108" s="139"/>
      <c r="MYK108" s="139"/>
      <c r="MYL108" s="139"/>
      <c r="MYM108" s="139"/>
      <c r="MYN108" s="139"/>
      <c r="MYO108" s="139"/>
      <c r="MYP108" s="139"/>
      <c r="MYQ108" s="139"/>
      <c r="MYR108" s="139"/>
      <c r="MYS108" s="139"/>
      <c r="MYT108" s="139"/>
      <c r="MYU108" s="139"/>
      <c r="MYV108" s="139"/>
      <c r="MYW108" s="139"/>
      <c r="MYX108" s="139"/>
      <c r="MYY108" s="139"/>
      <c r="MYZ108" s="139"/>
      <c r="MZA108" s="139"/>
      <c r="MZB108" s="139"/>
      <c r="MZC108" s="139"/>
      <c r="MZD108" s="139"/>
      <c r="MZE108" s="139"/>
      <c r="MZF108" s="139"/>
      <c r="MZG108" s="139"/>
      <c r="MZH108" s="139"/>
      <c r="MZI108" s="139"/>
      <c r="MZJ108" s="139"/>
      <c r="MZK108" s="139"/>
      <c r="MZL108" s="139"/>
      <c r="MZM108" s="139"/>
      <c r="MZN108" s="139"/>
      <c r="MZO108" s="139"/>
      <c r="MZP108" s="139"/>
      <c r="MZQ108" s="139"/>
      <c r="MZR108" s="139"/>
      <c r="MZS108" s="139"/>
      <c r="MZT108" s="139"/>
      <c r="MZU108" s="139"/>
      <c r="MZV108" s="139"/>
      <c r="MZW108" s="139"/>
      <c r="MZX108" s="139"/>
      <c r="MZY108" s="139"/>
      <c r="MZZ108" s="139"/>
      <c r="NAA108" s="139"/>
      <c r="NAB108" s="139"/>
      <c r="NAC108" s="139"/>
      <c r="NAD108" s="139"/>
      <c r="NAE108" s="139"/>
      <c r="NAF108" s="139"/>
      <c r="NAG108" s="139"/>
      <c r="NAH108" s="139"/>
      <c r="NAI108" s="139"/>
      <c r="NAJ108" s="139"/>
      <c r="NAK108" s="139"/>
      <c r="NAL108" s="139"/>
      <c r="NAM108" s="139"/>
      <c r="NAN108" s="139"/>
      <c r="NAO108" s="139"/>
      <c r="NAP108" s="139"/>
      <c r="NAQ108" s="139"/>
      <c r="NAR108" s="139"/>
      <c r="NAS108" s="139"/>
      <c r="NAT108" s="139"/>
      <c r="NAU108" s="139"/>
      <c r="NAV108" s="139"/>
      <c r="NAW108" s="139"/>
      <c r="NAX108" s="139"/>
      <c r="NAY108" s="139"/>
      <c r="NAZ108" s="139"/>
      <c r="NBA108" s="139"/>
      <c r="NBB108" s="139"/>
      <c r="NBC108" s="139"/>
      <c r="NBD108" s="139"/>
      <c r="NBE108" s="139"/>
      <c r="NBF108" s="139"/>
      <c r="NBG108" s="139"/>
      <c r="NBH108" s="139"/>
      <c r="NBI108" s="139"/>
      <c r="NBJ108" s="139"/>
      <c r="NBK108" s="139"/>
      <c r="NBL108" s="139"/>
      <c r="NBM108" s="139"/>
      <c r="NBN108" s="139"/>
      <c r="NBO108" s="139"/>
      <c r="NBP108" s="139"/>
      <c r="NBQ108" s="139"/>
      <c r="NBR108" s="139"/>
      <c r="NBS108" s="139"/>
      <c r="NBT108" s="139"/>
      <c r="NBU108" s="139"/>
      <c r="NBV108" s="139"/>
      <c r="NBW108" s="139"/>
      <c r="NBX108" s="139"/>
      <c r="NBY108" s="139"/>
      <c r="NBZ108" s="139"/>
      <c r="NCA108" s="139"/>
      <c r="NCB108" s="139"/>
      <c r="NCC108" s="139"/>
      <c r="NCD108" s="139"/>
      <c r="NCE108" s="139"/>
      <c r="NCF108" s="139"/>
      <c r="NCG108" s="139"/>
      <c r="NCH108" s="139"/>
      <c r="NCI108" s="139"/>
      <c r="NCJ108" s="139"/>
      <c r="NCK108" s="139"/>
      <c r="NCL108" s="139"/>
      <c r="NCM108" s="139"/>
      <c r="NCN108" s="139"/>
      <c r="NCO108" s="139"/>
      <c r="NCP108" s="139"/>
      <c r="NCQ108" s="139"/>
      <c r="NCR108" s="139"/>
      <c r="NCS108" s="139"/>
      <c r="NCT108" s="139"/>
      <c r="NCU108" s="139"/>
      <c r="NCV108" s="139"/>
      <c r="NCW108" s="139"/>
      <c r="NCX108" s="139"/>
      <c r="NCY108" s="139"/>
      <c r="NCZ108" s="139"/>
      <c r="NDA108" s="139"/>
      <c r="NDB108" s="139"/>
      <c r="NDC108" s="139"/>
      <c r="NDD108" s="139"/>
      <c r="NDE108" s="139"/>
      <c r="NDF108" s="139"/>
      <c r="NDG108" s="139"/>
      <c r="NDH108" s="139"/>
      <c r="NDI108" s="139"/>
      <c r="NDJ108" s="139"/>
      <c r="NDK108" s="139"/>
      <c r="NDL108" s="139"/>
      <c r="NDM108" s="139"/>
      <c r="NDN108" s="139"/>
      <c r="NDO108" s="139"/>
      <c r="NDP108" s="139"/>
      <c r="NDQ108" s="139"/>
      <c r="NDR108" s="139"/>
      <c r="NDS108" s="139"/>
      <c r="NDT108" s="139"/>
      <c r="NDU108" s="139"/>
      <c r="NDV108" s="139"/>
      <c r="NDW108" s="139"/>
      <c r="NDX108" s="139"/>
      <c r="NDY108" s="139"/>
      <c r="NDZ108" s="139"/>
      <c r="NEA108" s="139"/>
      <c r="NEB108" s="139"/>
      <c r="NEC108" s="139"/>
      <c r="NED108" s="139"/>
      <c r="NEE108" s="139"/>
      <c r="NEF108" s="139"/>
      <c r="NEG108" s="139"/>
      <c r="NEH108" s="139"/>
      <c r="NEI108" s="139"/>
      <c r="NEJ108" s="139"/>
      <c r="NEK108" s="139"/>
      <c r="NEL108" s="139"/>
      <c r="NEM108" s="139"/>
      <c r="NEN108" s="139"/>
      <c r="NEO108" s="139"/>
      <c r="NEP108" s="139"/>
      <c r="NEQ108" s="139"/>
      <c r="NER108" s="139"/>
      <c r="NES108" s="139"/>
      <c r="NET108" s="139"/>
      <c r="NEU108" s="139"/>
      <c r="NEV108" s="139"/>
      <c r="NEW108" s="139"/>
      <c r="NEX108" s="139"/>
      <c r="NEY108" s="139"/>
      <c r="NEZ108" s="139"/>
      <c r="NFA108" s="139"/>
      <c r="NFB108" s="139"/>
      <c r="NFC108" s="139"/>
      <c r="NFD108" s="139"/>
      <c r="NFE108" s="139"/>
      <c r="NFF108" s="139"/>
      <c r="NFG108" s="139"/>
      <c r="NFH108" s="139"/>
      <c r="NFI108" s="139"/>
      <c r="NFJ108" s="139"/>
      <c r="NFK108" s="139"/>
      <c r="NFL108" s="139"/>
      <c r="NFM108" s="139"/>
      <c r="NFN108" s="139"/>
      <c r="NFO108" s="139"/>
      <c r="NFP108" s="139"/>
      <c r="NFQ108" s="139"/>
      <c r="NFR108" s="139"/>
      <c r="NFS108" s="139"/>
      <c r="NFT108" s="139"/>
      <c r="NFU108" s="139"/>
      <c r="NFV108" s="139"/>
      <c r="NFW108" s="139"/>
      <c r="NFX108" s="139"/>
      <c r="NFY108" s="139"/>
      <c r="NFZ108" s="139"/>
      <c r="NGA108" s="139"/>
      <c r="NGB108" s="139"/>
      <c r="NGC108" s="139"/>
      <c r="NGD108" s="139"/>
      <c r="NGE108" s="139"/>
      <c r="NGF108" s="139"/>
      <c r="NGG108" s="139"/>
      <c r="NGH108" s="139"/>
      <c r="NGI108" s="139"/>
      <c r="NGJ108" s="139"/>
      <c r="NGK108" s="139"/>
      <c r="NGL108" s="139"/>
      <c r="NGM108" s="139"/>
      <c r="NGN108" s="139"/>
      <c r="NGO108" s="139"/>
      <c r="NGP108" s="139"/>
      <c r="NGQ108" s="139"/>
      <c r="NGR108" s="139"/>
      <c r="NGS108" s="139"/>
      <c r="NGT108" s="139"/>
      <c r="NGU108" s="139"/>
      <c r="NGV108" s="139"/>
      <c r="NGW108" s="139"/>
      <c r="NGX108" s="139"/>
      <c r="NGY108" s="139"/>
      <c r="NGZ108" s="139"/>
      <c r="NHA108" s="139"/>
      <c r="NHB108" s="139"/>
      <c r="NHC108" s="139"/>
      <c r="NHD108" s="139"/>
      <c r="NHE108" s="139"/>
      <c r="NHF108" s="139"/>
      <c r="NHG108" s="139"/>
      <c r="NHH108" s="139"/>
      <c r="NHI108" s="139"/>
      <c r="NHJ108" s="139"/>
      <c r="NHK108" s="139"/>
      <c r="NHL108" s="139"/>
      <c r="NHM108" s="139"/>
      <c r="NHN108" s="139"/>
      <c r="NHO108" s="139"/>
      <c r="NHP108" s="139"/>
      <c r="NHQ108" s="139"/>
      <c r="NHR108" s="139"/>
      <c r="NHS108" s="139"/>
      <c r="NHT108" s="139"/>
      <c r="NHU108" s="139"/>
      <c r="NHV108" s="139"/>
      <c r="NHW108" s="139"/>
      <c r="NHX108" s="139"/>
      <c r="NHY108" s="139"/>
      <c r="NHZ108" s="139"/>
      <c r="NIA108" s="139"/>
      <c r="NIB108" s="139"/>
      <c r="NIC108" s="139"/>
      <c r="NID108" s="139"/>
      <c r="NIE108" s="139"/>
      <c r="NIF108" s="139"/>
      <c r="NIG108" s="139"/>
      <c r="NIH108" s="139"/>
      <c r="NII108" s="139"/>
      <c r="NIJ108" s="139"/>
      <c r="NIK108" s="139"/>
      <c r="NIL108" s="139"/>
      <c r="NIM108" s="139"/>
      <c r="NIN108" s="139"/>
      <c r="NIO108" s="139"/>
      <c r="NIP108" s="139"/>
      <c r="NIQ108" s="139"/>
      <c r="NIR108" s="139"/>
      <c r="NIS108" s="139"/>
      <c r="NIT108" s="139"/>
      <c r="NIU108" s="139"/>
      <c r="NIV108" s="139"/>
      <c r="NIW108" s="139"/>
      <c r="NIX108" s="139"/>
      <c r="NIY108" s="139"/>
      <c r="NIZ108" s="139"/>
      <c r="NJA108" s="139"/>
      <c r="NJB108" s="139"/>
      <c r="NJC108" s="139"/>
      <c r="NJD108" s="139"/>
      <c r="NJE108" s="139"/>
      <c r="NJF108" s="139"/>
      <c r="NJG108" s="139"/>
      <c r="NJH108" s="139"/>
      <c r="NJI108" s="139"/>
      <c r="NJJ108" s="139"/>
      <c r="NJK108" s="139"/>
      <c r="NJL108" s="139"/>
      <c r="NJM108" s="139"/>
      <c r="NJN108" s="139"/>
      <c r="NJO108" s="139"/>
      <c r="NJP108" s="139"/>
      <c r="NJQ108" s="139"/>
      <c r="NJR108" s="139"/>
      <c r="NJS108" s="139"/>
      <c r="NJT108" s="139"/>
      <c r="NJU108" s="139"/>
      <c r="NJV108" s="139"/>
      <c r="NJW108" s="139"/>
      <c r="NJX108" s="139"/>
      <c r="NJY108" s="139"/>
      <c r="NJZ108" s="139"/>
      <c r="NKA108" s="139"/>
      <c r="NKB108" s="139"/>
      <c r="NKC108" s="139"/>
      <c r="NKD108" s="139"/>
      <c r="NKE108" s="139"/>
      <c r="NKF108" s="139"/>
      <c r="NKG108" s="139"/>
      <c r="NKH108" s="139"/>
      <c r="NKI108" s="139"/>
      <c r="NKJ108" s="139"/>
      <c r="NKK108" s="139"/>
      <c r="NKL108" s="139"/>
      <c r="NKM108" s="139"/>
      <c r="NKN108" s="139"/>
      <c r="NKO108" s="139"/>
      <c r="NKP108" s="139"/>
      <c r="NKQ108" s="139"/>
      <c r="NKR108" s="139"/>
      <c r="NKS108" s="139"/>
      <c r="NKT108" s="139"/>
      <c r="NKU108" s="139"/>
      <c r="NKV108" s="139"/>
      <c r="NKW108" s="139"/>
      <c r="NKX108" s="139"/>
      <c r="NKY108" s="139"/>
      <c r="NKZ108" s="139"/>
      <c r="NLA108" s="139"/>
      <c r="NLB108" s="139"/>
      <c r="NLC108" s="139"/>
      <c r="NLD108" s="139"/>
      <c r="NLE108" s="139"/>
      <c r="NLF108" s="139"/>
      <c r="NLG108" s="139"/>
      <c r="NLH108" s="139"/>
      <c r="NLI108" s="139"/>
      <c r="NLJ108" s="139"/>
      <c r="NLK108" s="139"/>
      <c r="NLL108" s="139"/>
      <c r="NLM108" s="139"/>
      <c r="NLN108" s="139"/>
      <c r="NLO108" s="139"/>
      <c r="NLP108" s="139"/>
      <c r="NLQ108" s="139"/>
      <c r="NLR108" s="139"/>
      <c r="NLS108" s="139"/>
      <c r="NLT108" s="139"/>
      <c r="NLU108" s="139"/>
      <c r="NLV108" s="139"/>
      <c r="NLW108" s="139"/>
      <c r="NLX108" s="139"/>
      <c r="NLY108" s="139"/>
      <c r="NLZ108" s="139"/>
      <c r="NMA108" s="139"/>
      <c r="NMB108" s="139"/>
      <c r="NMC108" s="139"/>
      <c r="NMD108" s="139"/>
      <c r="NME108" s="139"/>
      <c r="NMF108" s="139"/>
      <c r="NMG108" s="139"/>
      <c r="NMH108" s="139"/>
      <c r="NMI108" s="139"/>
      <c r="NMJ108" s="139"/>
      <c r="NMK108" s="139"/>
      <c r="NML108" s="139"/>
      <c r="NMM108" s="139"/>
      <c r="NMN108" s="139"/>
      <c r="NMO108" s="139"/>
      <c r="NMP108" s="139"/>
      <c r="NMQ108" s="139"/>
      <c r="NMR108" s="139"/>
      <c r="NMS108" s="139"/>
      <c r="NMT108" s="139"/>
      <c r="NMU108" s="139"/>
      <c r="NMV108" s="139"/>
      <c r="NMW108" s="139"/>
      <c r="NMX108" s="139"/>
      <c r="NMY108" s="139"/>
      <c r="NMZ108" s="139"/>
      <c r="NNA108" s="139"/>
      <c r="NNB108" s="139"/>
      <c r="NNC108" s="139"/>
      <c r="NND108" s="139"/>
      <c r="NNE108" s="139"/>
      <c r="NNF108" s="139"/>
      <c r="NNG108" s="139"/>
      <c r="NNH108" s="139"/>
      <c r="NNI108" s="139"/>
      <c r="NNJ108" s="139"/>
      <c r="NNK108" s="139"/>
      <c r="NNL108" s="139"/>
      <c r="NNM108" s="139"/>
      <c r="NNN108" s="139"/>
      <c r="NNO108" s="139"/>
      <c r="NNP108" s="139"/>
      <c r="NNQ108" s="139"/>
      <c r="NNR108" s="139"/>
      <c r="NNS108" s="139"/>
      <c r="NNT108" s="139"/>
      <c r="NNU108" s="139"/>
      <c r="NNV108" s="139"/>
      <c r="NNW108" s="139"/>
      <c r="NNX108" s="139"/>
      <c r="NNY108" s="139"/>
      <c r="NNZ108" s="139"/>
      <c r="NOA108" s="139"/>
      <c r="NOB108" s="139"/>
      <c r="NOC108" s="139"/>
      <c r="NOD108" s="139"/>
      <c r="NOE108" s="139"/>
      <c r="NOF108" s="139"/>
      <c r="NOG108" s="139"/>
      <c r="NOH108" s="139"/>
      <c r="NOI108" s="139"/>
      <c r="NOJ108" s="139"/>
      <c r="NOK108" s="139"/>
      <c r="NOL108" s="139"/>
      <c r="NOM108" s="139"/>
      <c r="NON108" s="139"/>
      <c r="NOO108" s="139"/>
      <c r="NOP108" s="139"/>
      <c r="NOQ108" s="139"/>
      <c r="NOR108" s="139"/>
      <c r="NOS108" s="139"/>
      <c r="NOT108" s="139"/>
      <c r="NOU108" s="139"/>
      <c r="NOV108" s="139"/>
      <c r="NOW108" s="139"/>
      <c r="NOX108" s="139"/>
      <c r="NOY108" s="139"/>
      <c r="NOZ108" s="139"/>
      <c r="NPA108" s="139"/>
      <c r="NPB108" s="139"/>
      <c r="NPC108" s="139"/>
      <c r="NPD108" s="139"/>
      <c r="NPE108" s="139"/>
      <c r="NPF108" s="139"/>
      <c r="NPG108" s="139"/>
      <c r="NPH108" s="139"/>
      <c r="NPI108" s="139"/>
      <c r="NPJ108" s="139"/>
      <c r="NPK108" s="139"/>
      <c r="NPL108" s="139"/>
      <c r="NPM108" s="139"/>
      <c r="NPN108" s="139"/>
      <c r="NPO108" s="139"/>
      <c r="NPP108" s="139"/>
      <c r="NPQ108" s="139"/>
      <c r="NPR108" s="139"/>
      <c r="NPS108" s="139"/>
      <c r="NPT108" s="139"/>
      <c r="NPU108" s="139"/>
      <c r="NPV108" s="139"/>
      <c r="NPW108" s="139"/>
      <c r="NPX108" s="139"/>
      <c r="NPY108" s="139"/>
      <c r="NPZ108" s="139"/>
      <c r="NQA108" s="139"/>
      <c r="NQB108" s="139"/>
      <c r="NQC108" s="139"/>
      <c r="NQD108" s="139"/>
      <c r="NQE108" s="139"/>
      <c r="NQF108" s="139"/>
      <c r="NQG108" s="139"/>
      <c r="NQH108" s="139"/>
      <c r="NQI108" s="139"/>
      <c r="NQJ108" s="139"/>
      <c r="NQK108" s="139"/>
      <c r="NQL108" s="139"/>
      <c r="NQM108" s="139"/>
      <c r="NQN108" s="139"/>
      <c r="NQO108" s="139"/>
      <c r="NQP108" s="139"/>
      <c r="NQQ108" s="139"/>
      <c r="NQR108" s="139"/>
      <c r="NQS108" s="139"/>
      <c r="NQT108" s="139"/>
      <c r="NQU108" s="139"/>
      <c r="NQV108" s="139"/>
      <c r="NQW108" s="139"/>
      <c r="NQX108" s="139"/>
      <c r="NQY108" s="139"/>
      <c r="NQZ108" s="139"/>
      <c r="NRA108" s="139"/>
      <c r="NRB108" s="139"/>
      <c r="NRC108" s="139"/>
      <c r="NRD108" s="139"/>
      <c r="NRE108" s="139"/>
      <c r="NRF108" s="139"/>
      <c r="NRG108" s="139"/>
      <c r="NRH108" s="139"/>
      <c r="NRI108" s="139"/>
      <c r="NRJ108" s="139"/>
      <c r="NRK108" s="139"/>
      <c r="NRL108" s="139"/>
      <c r="NRM108" s="139"/>
      <c r="NRN108" s="139"/>
      <c r="NRO108" s="139"/>
      <c r="NRP108" s="139"/>
      <c r="NRQ108" s="139"/>
      <c r="NRR108" s="139"/>
      <c r="NRS108" s="139"/>
      <c r="NRT108" s="139"/>
      <c r="NRU108" s="139"/>
      <c r="NRV108" s="139"/>
      <c r="NRW108" s="139"/>
      <c r="NRX108" s="139"/>
      <c r="NRY108" s="139"/>
      <c r="NRZ108" s="139"/>
      <c r="NSA108" s="139"/>
      <c r="NSB108" s="139"/>
      <c r="NSC108" s="139"/>
      <c r="NSD108" s="139"/>
      <c r="NSE108" s="139"/>
      <c r="NSF108" s="139"/>
      <c r="NSG108" s="139"/>
      <c r="NSH108" s="139"/>
      <c r="NSI108" s="139"/>
      <c r="NSJ108" s="139"/>
      <c r="NSK108" s="139"/>
      <c r="NSL108" s="139"/>
      <c r="NSM108" s="139"/>
      <c r="NSN108" s="139"/>
      <c r="NSO108" s="139"/>
      <c r="NSP108" s="139"/>
      <c r="NSQ108" s="139"/>
      <c r="NSR108" s="139"/>
      <c r="NSS108" s="139"/>
      <c r="NST108" s="139"/>
      <c r="NSU108" s="139"/>
      <c r="NSV108" s="139"/>
      <c r="NSW108" s="139"/>
      <c r="NSX108" s="139"/>
      <c r="NSY108" s="139"/>
      <c r="NSZ108" s="139"/>
      <c r="NTA108" s="139"/>
      <c r="NTB108" s="139"/>
      <c r="NTC108" s="139"/>
      <c r="NTD108" s="139"/>
      <c r="NTE108" s="139"/>
      <c r="NTF108" s="139"/>
      <c r="NTG108" s="139"/>
      <c r="NTH108" s="139"/>
      <c r="NTI108" s="139"/>
      <c r="NTJ108" s="139"/>
      <c r="NTK108" s="139"/>
      <c r="NTL108" s="139"/>
      <c r="NTM108" s="139"/>
      <c r="NTN108" s="139"/>
      <c r="NTO108" s="139"/>
      <c r="NTP108" s="139"/>
      <c r="NTQ108" s="139"/>
      <c r="NTR108" s="139"/>
      <c r="NTS108" s="139"/>
      <c r="NTT108" s="139"/>
      <c r="NTU108" s="139"/>
      <c r="NTV108" s="139"/>
      <c r="NTW108" s="139"/>
      <c r="NTX108" s="139"/>
      <c r="NTY108" s="139"/>
      <c r="NTZ108" s="139"/>
      <c r="NUA108" s="139"/>
      <c r="NUB108" s="139"/>
      <c r="NUC108" s="139"/>
      <c r="NUD108" s="139"/>
      <c r="NUE108" s="139"/>
      <c r="NUF108" s="139"/>
      <c r="NUG108" s="139"/>
      <c r="NUH108" s="139"/>
      <c r="NUI108" s="139"/>
      <c r="NUJ108" s="139"/>
      <c r="NUK108" s="139"/>
      <c r="NUL108" s="139"/>
      <c r="NUM108" s="139"/>
      <c r="NUN108" s="139"/>
      <c r="NUO108" s="139"/>
      <c r="NUP108" s="139"/>
      <c r="NUQ108" s="139"/>
      <c r="NUR108" s="139"/>
      <c r="NUS108" s="139"/>
      <c r="NUT108" s="139"/>
      <c r="NUU108" s="139"/>
      <c r="NUV108" s="139"/>
      <c r="NUW108" s="139"/>
      <c r="NUX108" s="139"/>
      <c r="NUY108" s="139"/>
      <c r="NUZ108" s="139"/>
      <c r="NVA108" s="139"/>
      <c r="NVB108" s="139"/>
      <c r="NVC108" s="139"/>
      <c r="NVD108" s="139"/>
      <c r="NVE108" s="139"/>
      <c r="NVF108" s="139"/>
      <c r="NVG108" s="139"/>
      <c r="NVH108" s="139"/>
      <c r="NVI108" s="139"/>
      <c r="NVJ108" s="139"/>
      <c r="NVK108" s="139"/>
      <c r="NVL108" s="139"/>
      <c r="NVM108" s="139"/>
      <c r="NVN108" s="139"/>
      <c r="NVO108" s="139"/>
      <c r="NVP108" s="139"/>
      <c r="NVQ108" s="139"/>
      <c r="NVR108" s="139"/>
      <c r="NVS108" s="139"/>
      <c r="NVT108" s="139"/>
      <c r="NVU108" s="139"/>
      <c r="NVV108" s="139"/>
      <c r="NVW108" s="139"/>
      <c r="NVX108" s="139"/>
      <c r="NVY108" s="139"/>
      <c r="NVZ108" s="139"/>
      <c r="NWA108" s="139"/>
      <c r="NWB108" s="139"/>
      <c r="NWC108" s="139"/>
      <c r="NWD108" s="139"/>
      <c r="NWE108" s="139"/>
      <c r="NWF108" s="139"/>
      <c r="NWG108" s="139"/>
      <c r="NWH108" s="139"/>
      <c r="NWI108" s="139"/>
      <c r="NWJ108" s="139"/>
      <c r="NWK108" s="139"/>
      <c r="NWL108" s="139"/>
      <c r="NWM108" s="139"/>
      <c r="NWN108" s="139"/>
      <c r="NWO108" s="139"/>
      <c r="NWP108" s="139"/>
      <c r="NWQ108" s="139"/>
      <c r="NWR108" s="139"/>
      <c r="NWS108" s="139"/>
      <c r="NWT108" s="139"/>
      <c r="NWU108" s="139"/>
      <c r="NWV108" s="139"/>
      <c r="NWW108" s="139"/>
      <c r="NWX108" s="139"/>
      <c r="NWY108" s="139"/>
      <c r="NWZ108" s="139"/>
      <c r="NXA108" s="139"/>
      <c r="NXB108" s="139"/>
      <c r="NXC108" s="139"/>
      <c r="NXD108" s="139"/>
      <c r="NXE108" s="139"/>
      <c r="NXF108" s="139"/>
      <c r="NXG108" s="139"/>
      <c r="NXH108" s="139"/>
      <c r="NXI108" s="139"/>
      <c r="NXJ108" s="139"/>
      <c r="NXK108" s="139"/>
      <c r="NXL108" s="139"/>
      <c r="NXM108" s="139"/>
      <c r="NXN108" s="139"/>
      <c r="NXO108" s="139"/>
      <c r="NXP108" s="139"/>
      <c r="NXQ108" s="139"/>
      <c r="NXR108" s="139"/>
      <c r="NXS108" s="139"/>
      <c r="NXT108" s="139"/>
      <c r="NXU108" s="139"/>
      <c r="NXV108" s="139"/>
      <c r="NXW108" s="139"/>
      <c r="NXX108" s="139"/>
      <c r="NXY108" s="139"/>
      <c r="NXZ108" s="139"/>
      <c r="NYA108" s="139"/>
      <c r="NYB108" s="139"/>
      <c r="NYC108" s="139"/>
      <c r="NYD108" s="139"/>
      <c r="NYE108" s="139"/>
      <c r="NYF108" s="139"/>
      <c r="NYG108" s="139"/>
      <c r="NYH108" s="139"/>
      <c r="NYI108" s="139"/>
      <c r="NYJ108" s="139"/>
      <c r="NYK108" s="139"/>
      <c r="NYL108" s="139"/>
      <c r="NYM108" s="139"/>
      <c r="NYN108" s="139"/>
      <c r="NYO108" s="139"/>
      <c r="NYP108" s="139"/>
      <c r="NYQ108" s="139"/>
      <c r="NYR108" s="139"/>
      <c r="NYS108" s="139"/>
      <c r="NYT108" s="139"/>
      <c r="NYU108" s="139"/>
      <c r="NYV108" s="139"/>
      <c r="NYW108" s="139"/>
      <c r="NYX108" s="139"/>
      <c r="NYY108" s="139"/>
      <c r="NYZ108" s="139"/>
      <c r="NZA108" s="139"/>
      <c r="NZB108" s="139"/>
      <c r="NZC108" s="139"/>
      <c r="NZD108" s="139"/>
      <c r="NZE108" s="139"/>
      <c r="NZF108" s="139"/>
      <c r="NZG108" s="139"/>
      <c r="NZH108" s="139"/>
      <c r="NZI108" s="139"/>
      <c r="NZJ108" s="139"/>
      <c r="NZK108" s="139"/>
      <c r="NZL108" s="139"/>
      <c r="NZM108" s="139"/>
      <c r="NZN108" s="139"/>
      <c r="NZO108" s="139"/>
      <c r="NZP108" s="139"/>
      <c r="NZQ108" s="139"/>
      <c r="NZR108" s="139"/>
      <c r="NZS108" s="139"/>
      <c r="NZT108" s="139"/>
      <c r="NZU108" s="139"/>
      <c r="NZV108" s="139"/>
      <c r="NZW108" s="139"/>
      <c r="NZX108" s="139"/>
      <c r="NZY108" s="139"/>
      <c r="NZZ108" s="139"/>
      <c r="OAA108" s="139"/>
      <c r="OAB108" s="139"/>
      <c r="OAC108" s="139"/>
      <c r="OAD108" s="139"/>
      <c r="OAE108" s="139"/>
      <c r="OAF108" s="139"/>
      <c r="OAG108" s="139"/>
      <c r="OAH108" s="139"/>
      <c r="OAI108" s="139"/>
      <c r="OAJ108" s="139"/>
      <c r="OAK108" s="139"/>
      <c r="OAL108" s="139"/>
      <c r="OAM108" s="139"/>
      <c r="OAN108" s="139"/>
      <c r="OAO108" s="139"/>
      <c r="OAP108" s="139"/>
      <c r="OAQ108" s="139"/>
      <c r="OAR108" s="139"/>
      <c r="OAS108" s="139"/>
      <c r="OAT108" s="139"/>
      <c r="OAU108" s="139"/>
      <c r="OAV108" s="139"/>
      <c r="OAW108" s="139"/>
      <c r="OAX108" s="139"/>
      <c r="OAY108" s="139"/>
      <c r="OAZ108" s="139"/>
      <c r="OBA108" s="139"/>
      <c r="OBB108" s="139"/>
      <c r="OBC108" s="139"/>
      <c r="OBD108" s="139"/>
      <c r="OBE108" s="139"/>
      <c r="OBF108" s="139"/>
      <c r="OBG108" s="139"/>
      <c r="OBH108" s="139"/>
      <c r="OBI108" s="139"/>
      <c r="OBJ108" s="139"/>
      <c r="OBK108" s="139"/>
      <c r="OBL108" s="139"/>
      <c r="OBM108" s="139"/>
      <c r="OBN108" s="139"/>
      <c r="OBO108" s="139"/>
      <c r="OBP108" s="139"/>
      <c r="OBQ108" s="139"/>
      <c r="OBR108" s="139"/>
      <c r="OBS108" s="139"/>
      <c r="OBT108" s="139"/>
      <c r="OBU108" s="139"/>
      <c r="OBV108" s="139"/>
      <c r="OBW108" s="139"/>
      <c r="OBX108" s="139"/>
      <c r="OBY108" s="139"/>
      <c r="OBZ108" s="139"/>
      <c r="OCA108" s="139"/>
      <c r="OCB108" s="139"/>
      <c r="OCC108" s="139"/>
      <c r="OCD108" s="139"/>
      <c r="OCE108" s="139"/>
      <c r="OCF108" s="139"/>
      <c r="OCG108" s="139"/>
      <c r="OCH108" s="139"/>
      <c r="OCI108" s="139"/>
      <c r="OCJ108" s="139"/>
      <c r="OCK108" s="139"/>
      <c r="OCL108" s="139"/>
      <c r="OCM108" s="139"/>
      <c r="OCN108" s="139"/>
      <c r="OCO108" s="139"/>
      <c r="OCP108" s="139"/>
      <c r="OCQ108" s="139"/>
      <c r="OCR108" s="139"/>
      <c r="OCS108" s="139"/>
      <c r="OCT108" s="139"/>
      <c r="OCU108" s="139"/>
      <c r="OCV108" s="139"/>
      <c r="OCW108" s="139"/>
      <c r="OCX108" s="139"/>
      <c r="OCY108" s="139"/>
      <c r="OCZ108" s="139"/>
      <c r="ODA108" s="139"/>
      <c r="ODB108" s="139"/>
      <c r="ODC108" s="139"/>
      <c r="ODD108" s="139"/>
      <c r="ODE108" s="139"/>
      <c r="ODF108" s="139"/>
      <c r="ODG108" s="139"/>
      <c r="ODH108" s="139"/>
      <c r="ODI108" s="139"/>
      <c r="ODJ108" s="139"/>
      <c r="ODK108" s="139"/>
      <c r="ODL108" s="139"/>
      <c r="ODM108" s="139"/>
      <c r="ODN108" s="139"/>
      <c r="ODO108" s="139"/>
      <c r="ODP108" s="139"/>
      <c r="ODQ108" s="139"/>
      <c r="ODR108" s="139"/>
      <c r="ODS108" s="139"/>
      <c r="ODT108" s="139"/>
      <c r="ODU108" s="139"/>
      <c r="ODV108" s="139"/>
      <c r="ODW108" s="139"/>
      <c r="ODX108" s="139"/>
      <c r="ODY108" s="139"/>
      <c r="ODZ108" s="139"/>
      <c r="OEA108" s="139"/>
      <c r="OEB108" s="139"/>
      <c r="OEC108" s="139"/>
      <c r="OED108" s="139"/>
      <c r="OEE108" s="139"/>
      <c r="OEF108" s="139"/>
      <c r="OEG108" s="139"/>
      <c r="OEH108" s="139"/>
      <c r="OEI108" s="139"/>
      <c r="OEJ108" s="139"/>
      <c r="OEK108" s="139"/>
      <c r="OEL108" s="139"/>
      <c r="OEM108" s="139"/>
      <c r="OEN108" s="139"/>
      <c r="OEO108" s="139"/>
      <c r="OEP108" s="139"/>
      <c r="OEQ108" s="139"/>
      <c r="OER108" s="139"/>
      <c r="OES108" s="139"/>
      <c r="OET108" s="139"/>
      <c r="OEU108" s="139"/>
      <c r="OEV108" s="139"/>
      <c r="OEW108" s="139"/>
      <c r="OEX108" s="139"/>
      <c r="OEY108" s="139"/>
      <c r="OEZ108" s="139"/>
      <c r="OFA108" s="139"/>
      <c r="OFB108" s="139"/>
      <c r="OFC108" s="139"/>
      <c r="OFD108" s="139"/>
      <c r="OFE108" s="139"/>
      <c r="OFF108" s="139"/>
      <c r="OFG108" s="139"/>
      <c r="OFH108" s="139"/>
      <c r="OFI108" s="139"/>
      <c r="OFJ108" s="139"/>
      <c r="OFK108" s="139"/>
      <c r="OFL108" s="139"/>
      <c r="OFM108" s="139"/>
      <c r="OFN108" s="139"/>
      <c r="OFO108" s="139"/>
      <c r="OFP108" s="139"/>
      <c r="OFQ108" s="139"/>
      <c r="OFR108" s="139"/>
      <c r="OFS108" s="139"/>
      <c r="OFT108" s="139"/>
      <c r="OFU108" s="139"/>
      <c r="OFV108" s="139"/>
      <c r="OFW108" s="139"/>
      <c r="OFX108" s="139"/>
      <c r="OFY108" s="139"/>
      <c r="OFZ108" s="139"/>
      <c r="OGA108" s="139"/>
      <c r="OGB108" s="139"/>
      <c r="OGC108" s="139"/>
      <c r="OGD108" s="139"/>
      <c r="OGE108" s="139"/>
      <c r="OGF108" s="139"/>
      <c r="OGG108" s="139"/>
      <c r="OGH108" s="139"/>
      <c r="OGI108" s="139"/>
      <c r="OGJ108" s="139"/>
      <c r="OGK108" s="139"/>
      <c r="OGL108" s="139"/>
      <c r="OGM108" s="139"/>
      <c r="OGN108" s="139"/>
      <c r="OGO108" s="139"/>
      <c r="OGP108" s="139"/>
      <c r="OGQ108" s="139"/>
      <c r="OGR108" s="139"/>
      <c r="OGS108" s="139"/>
      <c r="OGT108" s="139"/>
      <c r="OGU108" s="139"/>
      <c r="OGV108" s="139"/>
      <c r="OGW108" s="139"/>
      <c r="OGX108" s="139"/>
      <c r="OGY108" s="139"/>
      <c r="OGZ108" s="139"/>
      <c r="OHA108" s="139"/>
      <c r="OHB108" s="139"/>
      <c r="OHC108" s="139"/>
      <c r="OHD108" s="139"/>
      <c r="OHE108" s="139"/>
      <c r="OHF108" s="139"/>
      <c r="OHG108" s="139"/>
      <c r="OHH108" s="139"/>
      <c r="OHI108" s="139"/>
      <c r="OHJ108" s="139"/>
      <c r="OHK108" s="139"/>
      <c r="OHL108" s="139"/>
      <c r="OHM108" s="139"/>
      <c r="OHN108" s="139"/>
      <c r="OHO108" s="139"/>
      <c r="OHP108" s="139"/>
      <c r="OHQ108" s="139"/>
      <c r="OHR108" s="139"/>
      <c r="OHS108" s="139"/>
      <c r="OHT108" s="139"/>
      <c r="OHU108" s="139"/>
      <c r="OHV108" s="139"/>
      <c r="OHW108" s="139"/>
      <c r="OHX108" s="139"/>
      <c r="OHY108" s="139"/>
      <c r="OHZ108" s="139"/>
      <c r="OIA108" s="139"/>
      <c r="OIB108" s="139"/>
      <c r="OIC108" s="139"/>
      <c r="OID108" s="139"/>
      <c r="OIE108" s="139"/>
      <c r="OIF108" s="139"/>
      <c r="OIG108" s="139"/>
      <c r="OIH108" s="139"/>
      <c r="OII108" s="139"/>
      <c r="OIJ108" s="139"/>
      <c r="OIK108" s="139"/>
      <c r="OIL108" s="139"/>
      <c r="OIM108" s="139"/>
      <c r="OIN108" s="139"/>
      <c r="OIO108" s="139"/>
      <c r="OIP108" s="139"/>
      <c r="OIQ108" s="139"/>
      <c r="OIR108" s="139"/>
      <c r="OIS108" s="139"/>
      <c r="OIT108" s="139"/>
      <c r="OIU108" s="139"/>
      <c r="OIV108" s="139"/>
      <c r="OIW108" s="139"/>
      <c r="OIX108" s="139"/>
      <c r="OIY108" s="139"/>
      <c r="OIZ108" s="139"/>
      <c r="OJA108" s="139"/>
      <c r="OJB108" s="139"/>
      <c r="OJC108" s="139"/>
      <c r="OJD108" s="139"/>
      <c r="OJE108" s="139"/>
      <c r="OJF108" s="139"/>
      <c r="OJG108" s="139"/>
      <c r="OJH108" s="139"/>
      <c r="OJI108" s="139"/>
      <c r="OJJ108" s="139"/>
      <c r="OJK108" s="139"/>
      <c r="OJL108" s="139"/>
      <c r="OJM108" s="139"/>
      <c r="OJN108" s="139"/>
      <c r="OJO108" s="139"/>
      <c r="OJP108" s="139"/>
      <c r="OJQ108" s="139"/>
      <c r="OJR108" s="139"/>
      <c r="OJS108" s="139"/>
      <c r="OJT108" s="139"/>
      <c r="OJU108" s="139"/>
      <c r="OJV108" s="139"/>
      <c r="OJW108" s="139"/>
      <c r="OJX108" s="139"/>
      <c r="OJY108" s="139"/>
      <c r="OJZ108" s="139"/>
      <c r="OKA108" s="139"/>
      <c r="OKB108" s="139"/>
      <c r="OKC108" s="139"/>
      <c r="OKD108" s="139"/>
      <c r="OKE108" s="139"/>
      <c r="OKF108" s="139"/>
      <c r="OKG108" s="139"/>
      <c r="OKH108" s="139"/>
      <c r="OKI108" s="139"/>
      <c r="OKJ108" s="139"/>
      <c r="OKK108" s="139"/>
      <c r="OKL108" s="139"/>
      <c r="OKM108" s="139"/>
      <c r="OKN108" s="139"/>
      <c r="OKO108" s="139"/>
      <c r="OKP108" s="139"/>
      <c r="OKQ108" s="139"/>
      <c r="OKR108" s="139"/>
      <c r="OKS108" s="139"/>
      <c r="OKT108" s="139"/>
      <c r="OKU108" s="139"/>
      <c r="OKV108" s="139"/>
      <c r="OKW108" s="139"/>
      <c r="OKX108" s="139"/>
      <c r="OKY108" s="139"/>
      <c r="OKZ108" s="139"/>
      <c r="OLA108" s="139"/>
      <c r="OLB108" s="139"/>
      <c r="OLC108" s="139"/>
      <c r="OLD108" s="139"/>
      <c r="OLE108" s="139"/>
      <c r="OLF108" s="139"/>
      <c r="OLG108" s="139"/>
      <c r="OLH108" s="139"/>
      <c r="OLI108" s="139"/>
      <c r="OLJ108" s="139"/>
      <c r="OLK108" s="139"/>
      <c r="OLL108" s="139"/>
      <c r="OLM108" s="139"/>
      <c r="OLN108" s="139"/>
      <c r="OLO108" s="139"/>
      <c r="OLP108" s="139"/>
      <c r="OLQ108" s="139"/>
      <c r="OLR108" s="139"/>
      <c r="OLS108" s="139"/>
      <c r="OLT108" s="139"/>
      <c r="OLU108" s="139"/>
      <c r="OLV108" s="139"/>
      <c r="OLW108" s="139"/>
      <c r="OLX108" s="139"/>
      <c r="OLY108" s="139"/>
      <c r="OLZ108" s="139"/>
      <c r="OMA108" s="139"/>
      <c r="OMB108" s="139"/>
      <c r="OMC108" s="139"/>
      <c r="OMD108" s="139"/>
      <c r="OME108" s="139"/>
      <c r="OMF108" s="139"/>
      <c r="OMG108" s="139"/>
      <c r="OMH108" s="139"/>
      <c r="OMI108" s="139"/>
      <c r="OMJ108" s="139"/>
      <c r="OMK108" s="139"/>
      <c r="OML108" s="139"/>
      <c r="OMM108" s="139"/>
      <c r="OMN108" s="139"/>
      <c r="OMO108" s="139"/>
      <c r="OMP108" s="139"/>
      <c r="OMQ108" s="139"/>
      <c r="OMR108" s="139"/>
      <c r="OMS108" s="139"/>
      <c r="OMT108" s="139"/>
      <c r="OMU108" s="139"/>
      <c r="OMV108" s="139"/>
      <c r="OMW108" s="139"/>
      <c r="OMX108" s="139"/>
      <c r="OMY108" s="139"/>
      <c r="OMZ108" s="139"/>
      <c r="ONA108" s="139"/>
      <c r="ONB108" s="139"/>
      <c r="ONC108" s="139"/>
      <c r="OND108" s="139"/>
      <c r="ONE108" s="139"/>
      <c r="ONF108" s="139"/>
      <c r="ONG108" s="139"/>
      <c r="ONH108" s="139"/>
      <c r="ONI108" s="139"/>
      <c r="ONJ108" s="139"/>
      <c r="ONK108" s="139"/>
      <c r="ONL108" s="139"/>
      <c r="ONM108" s="139"/>
      <c r="ONN108" s="139"/>
      <c r="ONO108" s="139"/>
      <c r="ONP108" s="139"/>
      <c r="ONQ108" s="139"/>
      <c r="ONR108" s="139"/>
      <c r="ONS108" s="139"/>
      <c r="ONT108" s="139"/>
      <c r="ONU108" s="139"/>
      <c r="ONV108" s="139"/>
      <c r="ONW108" s="139"/>
      <c r="ONX108" s="139"/>
      <c r="ONY108" s="139"/>
      <c r="ONZ108" s="139"/>
      <c r="OOA108" s="139"/>
      <c r="OOB108" s="139"/>
      <c r="OOC108" s="139"/>
      <c r="OOD108" s="139"/>
      <c r="OOE108" s="139"/>
      <c r="OOF108" s="139"/>
      <c r="OOG108" s="139"/>
      <c r="OOH108" s="139"/>
      <c r="OOI108" s="139"/>
      <c r="OOJ108" s="139"/>
      <c r="OOK108" s="139"/>
      <c r="OOL108" s="139"/>
      <c r="OOM108" s="139"/>
      <c r="OON108" s="139"/>
      <c r="OOO108" s="139"/>
      <c r="OOP108" s="139"/>
      <c r="OOQ108" s="139"/>
      <c r="OOR108" s="139"/>
      <c r="OOS108" s="139"/>
      <c r="OOT108" s="139"/>
      <c r="OOU108" s="139"/>
      <c r="OOV108" s="139"/>
      <c r="OOW108" s="139"/>
      <c r="OOX108" s="139"/>
      <c r="OOY108" s="139"/>
      <c r="OOZ108" s="139"/>
      <c r="OPA108" s="139"/>
      <c r="OPB108" s="139"/>
      <c r="OPC108" s="139"/>
      <c r="OPD108" s="139"/>
      <c r="OPE108" s="139"/>
      <c r="OPF108" s="139"/>
      <c r="OPG108" s="139"/>
      <c r="OPH108" s="139"/>
      <c r="OPI108" s="139"/>
      <c r="OPJ108" s="139"/>
      <c r="OPK108" s="139"/>
      <c r="OPL108" s="139"/>
      <c r="OPM108" s="139"/>
      <c r="OPN108" s="139"/>
      <c r="OPO108" s="139"/>
      <c r="OPP108" s="139"/>
      <c r="OPQ108" s="139"/>
      <c r="OPR108" s="139"/>
      <c r="OPS108" s="139"/>
      <c r="OPT108" s="139"/>
      <c r="OPU108" s="139"/>
      <c r="OPV108" s="139"/>
      <c r="OPW108" s="139"/>
      <c r="OPX108" s="139"/>
      <c r="OPY108" s="139"/>
      <c r="OPZ108" s="139"/>
      <c r="OQA108" s="139"/>
      <c r="OQB108" s="139"/>
      <c r="OQC108" s="139"/>
      <c r="OQD108" s="139"/>
      <c r="OQE108" s="139"/>
      <c r="OQF108" s="139"/>
      <c r="OQG108" s="139"/>
      <c r="OQH108" s="139"/>
      <c r="OQI108" s="139"/>
      <c r="OQJ108" s="139"/>
      <c r="OQK108" s="139"/>
      <c r="OQL108" s="139"/>
      <c r="OQM108" s="139"/>
      <c r="OQN108" s="139"/>
      <c r="OQO108" s="139"/>
      <c r="OQP108" s="139"/>
      <c r="OQQ108" s="139"/>
      <c r="OQR108" s="139"/>
      <c r="OQS108" s="139"/>
      <c r="OQT108" s="139"/>
      <c r="OQU108" s="139"/>
      <c r="OQV108" s="139"/>
      <c r="OQW108" s="139"/>
      <c r="OQX108" s="139"/>
      <c r="OQY108" s="139"/>
      <c r="OQZ108" s="139"/>
      <c r="ORA108" s="139"/>
      <c r="ORB108" s="139"/>
      <c r="ORC108" s="139"/>
      <c r="ORD108" s="139"/>
      <c r="ORE108" s="139"/>
      <c r="ORF108" s="139"/>
      <c r="ORG108" s="139"/>
      <c r="ORH108" s="139"/>
      <c r="ORI108" s="139"/>
      <c r="ORJ108" s="139"/>
      <c r="ORK108" s="139"/>
      <c r="ORL108" s="139"/>
      <c r="ORM108" s="139"/>
      <c r="ORN108" s="139"/>
      <c r="ORO108" s="139"/>
      <c r="ORP108" s="139"/>
      <c r="ORQ108" s="139"/>
      <c r="ORR108" s="139"/>
      <c r="ORS108" s="139"/>
      <c r="ORT108" s="139"/>
      <c r="ORU108" s="139"/>
      <c r="ORV108" s="139"/>
      <c r="ORW108" s="139"/>
      <c r="ORX108" s="139"/>
      <c r="ORY108" s="139"/>
      <c r="ORZ108" s="139"/>
      <c r="OSA108" s="139"/>
      <c r="OSB108" s="139"/>
      <c r="OSC108" s="139"/>
      <c r="OSD108" s="139"/>
      <c r="OSE108" s="139"/>
      <c r="OSF108" s="139"/>
      <c r="OSG108" s="139"/>
      <c r="OSH108" s="139"/>
      <c r="OSI108" s="139"/>
      <c r="OSJ108" s="139"/>
      <c r="OSK108" s="139"/>
      <c r="OSL108" s="139"/>
      <c r="OSM108" s="139"/>
      <c r="OSN108" s="139"/>
      <c r="OSO108" s="139"/>
      <c r="OSP108" s="139"/>
      <c r="OSQ108" s="139"/>
      <c r="OSR108" s="139"/>
      <c r="OSS108" s="139"/>
      <c r="OST108" s="139"/>
      <c r="OSU108" s="139"/>
      <c r="OSV108" s="139"/>
      <c r="OSW108" s="139"/>
      <c r="OSX108" s="139"/>
      <c r="OSY108" s="139"/>
      <c r="OSZ108" s="139"/>
      <c r="OTA108" s="139"/>
      <c r="OTB108" s="139"/>
      <c r="OTC108" s="139"/>
      <c r="OTD108" s="139"/>
      <c r="OTE108" s="139"/>
      <c r="OTF108" s="139"/>
      <c r="OTG108" s="139"/>
      <c r="OTH108" s="139"/>
      <c r="OTI108" s="139"/>
      <c r="OTJ108" s="139"/>
      <c r="OTK108" s="139"/>
      <c r="OTL108" s="139"/>
      <c r="OTM108" s="139"/>
      <c r="OTN108" s="139"/>
      <c r="OTO108" s="139"/>
      <c r="OTP108" s="139"/>
      <c r="OTQ108" s="139"/>
      <c r="OTR108" s="139"/>
      <c r="OTS108" s="139"/>
      <c r="OTT108" s="139"/>
      <c r="OTU108" s="139"/>
      <c r="OTV108" s="139"/>
      <c r="OTW108" s="139"/>
      <c r="OTX108" s="139"/>
      <c r="OTY108" s="139"/>
      <c r="OTZ108" s="139"/>
      <c r="OUA108" s="139"/>
      <c r="OUB108" s="139"/>
      <c r="OUC108" s="139"/>
      <c r="OUD108" s="139"/>
      <c r="OUE108" s="139"/>
      <c r="OUF108" s="139"/>
      <c r="OUG108" s="139"/>
      <c r="OUH108" s="139"/>
      <c r="OUI108" s="139"/>
      <c r="OUJ108" s="139"/>
      <c r="OUK108" s="139"/>
      <c r="OUL108" s="139"/>
      <c r="OUM108" s="139"/>
      <c r="OUN108" s="139"/>
      <c r="OUO108" s="139"/>
      <c r="OUP108" s="139"/>
      <c r="OUQ108" s="139"/>
      <c r="OUR108" s="139"/>
      <c r="OUS108" s="139"/>
      <c r="OUT108" s="139"/>
      <c r="OUU108" s="139"/>
      <c r="OUV108" s="139"/>
      <c r="OUW108" s="139"/>
      <c r="OUX108" s="139"/>
      <c r="OUY108" s="139"/>
      <c r="OUZ108" s="139"/>
      <c r="OVA108" s="139"/>
      <c r="OVB108" s="139"/>
      <c r="OVC108" s="139"/>
      <c r="OVD108" s="139"/>
      <c r="OVE108" s="139"/>
      <c r="OVF108" s="139"/>
      <c r="OVG108" s="139"/>
      <c r="OVH108" s="139"/>
      <c r="OVI108" s="139"/>
      <c r="OVJ108" s="139"/>
      <c r="OVK108" s="139"/>
      <c r="OVL108" s="139"/>
      <c r="OVM108" s="139"/>
      <c r="OVN108" s="139"/>
      <c r="OVO108" s="139"/>
      <c r="OVP108" s="139"/>
      <c r="OVQ108" s="139"/>
      <c r="OVR108" s="139"/>
      <c r="OVS108" s="139"/>
      <c r="OVT108" s="139"/>
      <c r="OVU108" s="139"/>
      <c r="OVV108" s="139"/>
      <c r="OVW108" s="139"/>
      <c r="OVX108" s="139"/>
      <c r="OVY108" s="139"/>
      <c r="OVZ108" s="139"/>
      <c r="OWA108" s="139"/>
      <c r="OWB108" s="139"/>
      <c r="OWC108" s="139"/>
      <c r="OWD108" s="139"/>
      <c r="OWE108" s="139"/>
      <c r="OWF108" s="139"/>
      <c r="OWG108" s="139"/>
      <c r="OWH108" s="139"/>
      <c r="OWI108" s="139"/>
      <c r="OWJ108" s="139"/>
      <c r="OWK108" s="139"/>
      <c r="OWL108" s="139"/>
      <c r="OWM108" s="139"/>
      <c r="OWN108" s="139"/>
      <c r="OWO108" s="139"/>
      <c r="OWP108" s="139"/>
      <c r="OWQ108" s="139"/>
      <c r="OWR108" s="139"/>
      <c r="OWS108" s="139"/>
      <c r="OWT108" s="139"/>
      <c r="OWU108" s="139"/>
      <c r="OWV108" s="139"/>
      <c r="OWW108" s="139"/>
      <c r="OWX108" s="139"/>
      <c r="OWY108" s="139"/>
      <c r="OWZ108" s="139"/>
      <c r="OXA108" s="139"/>
      <c r="OXB108" s="139"/>
      <c r="OXC108" s="139"/>
      <c r="OXD108" s="139"/>
      <c r="OXE108" s="139"/>
      <c r="OXF108" s="139"/>
      <c r="OXG108" s="139"/>
      <c r="OXH108" s="139"/>
      <c r="OXI108" s="139"/>
      <c r="OXJ108" s="139"/>
      <c r="OXK108" s="139"/>
      <c r="OXL108" s="139"/>
      <c r="OXM108" s="139"/>
      <c r="OXN108" s="139"/>
      <c r="OXO108" s="139"/>
      <c r="OXP108" s="139"/>
      <c r="OXQ108" s="139"/>
      <c r="OXR108" s="139"/>
      <c r="OXS108" s="139"/>
      <c r="OXT108" s="139"/>
      <c r="OXU108" s="139"/>
      <c r="OXV108" s="139"/>
      <c r="OXW108" s="139"/>
      <c r="OXX108" s="139"/>
      <c r="OXY108" s="139"/>
      <c r="OXZ108" s="139"/>
      <c r="OYA108" s="139"/>
      <c r="OYB108" s="139"/>
      <c r="OYC108" s="139"/>
      <c r="OYD108" s="139"/>
      <c r="OYE108" s="139"/>
      <c r="OYF108" s="139"/>
      <c r="OYG108" s="139"/>
      <c r="OYH108" s="139"/>
      <c r="OYI108" s="139"/>
      <c r="OYJ108" s="139"/>
      <c r="OYK108" s="139"/>
      <c r="OYL108" s="139"/>
      <c r="OYM108" s="139"/>
      <c r="OYN108" s="139"/>
      <c r="OYO108" s="139"/>
      <c r="OYP108" s="139"/>
      <c r="OYQ108" s="139"/>
      <c r="OYR108" s="139"/>
      <c r="OYS108" s="139"/>
      <c r="OYT108" s="139"/>
      <c r="OYU108" s="139"/>
      <c r="OYV108" s="139"/>
      <c r="OYW108" s="139"/>
      <c r="OYX108" s="139"/>
      <c r="OYY108" s="139"/>
      <c r="OYZ108" s="139"/>
      <c r="OZA108" s="139"/>
      <c r="OZB108" s="139"/>
      <c r="OZC108" s="139"/>
      <c r="OZD108" s="139"/>
      <c r="OZE108" s="139"/>
      <c r="OZF108" s="139"/>
      <c r="OZG108" s="139"/>
      <c r="OZH108" s="139"/>
      <c r="OZI108" s="139"/>
      <c r="OZJ108" s="139"/>
      <c r="OZK108" s="139"/>
      <c r="OZL108" s="139"/>
      <c r="OZM108" s="139"/>
      <c r="OZN108" s="139"/>
      <c r="OZO108" s="139"/>
      <c r="OZP108" s="139"/>
      <c r="OZQ108" s="139"/>
      <c r="OZR108" s="139"/>
      <c r="OZS108" s="139"/>
      <c r="OZT108" s="139"/>
      <c r="OZU108" s="139"/>
      <c r="OZV108" s="139"/>
      <c r="OZW108" s="139"/>
      <c r="OZX108" s="139"/>
      <c r="OZY108" s="139"/>
      <c r="OZZ108" s="139"/>
      <c r="PAA108" s="139"/>
      <c r="PAB108" s="139"/>
      <c r="PAC108" s="139"/>
      <c r="PAD108" s="139"/>
      <c r="PAE108" s="139"/>
      <c r="PAF108" s="139"/>
      <c r="PAG108" s="139"/>
      <c r="PAH108" s="139"/>
      <c r="PAI108" s="139"/>
      <c r="PAJ108" s="139"/>
      <c r="PAK108" s="139"/>
      <c r="PAL108" s="139"/>
      <c r="PAM108" s="139"/>
      <c r="PAN108" s="139"/>
      <c r="PAO108" s="139"/>
      <c r="PAP108" s="139"/>
      <c r="PAQ108" s="139"/>
      <c r="PAR108" s="139"/>
      <c r="PAS108" s="139"/>
      <c r="PAT108" s="139"/>
      <c r="PAU108" s="139"/>
      <c r="PAV108" s="139"/>
      <c r="PAW108" s="139"/>
      <c r="PAX108" s="139"/>
      <c r="PAY108" s="139"/>
      <c r="PAZ108" s="139"/>
      <c r="PBA108" s="139"/>
      <c r="PBB108" s="139"/>
      <c r="PBC108" s="139"/>
      <c r="PBD108" s="139"/>
      <c r="PBE108" s="139"/>
      <c r="PBF108" s="139"/>
      <c r="PBG108" s="139"/>
      <c r="PBH108" s="139"/>
      <c r="PBI108" s="139"/>
      <c r="PBJ108" s="139"/>
      <c r="PBK108" s="139"/>
      <c r="PBL108" s="139"/>
      <c r="PBM108" s="139"/>
      <c r="PBN108" s="139"/>
      <c r="PBO108" s="139"/>
      <c r="PBP108" s="139"/>
      <c r="PBQ108" s="139"/>
      <c r="PBR108" s="139"/>
      <c r="PBS108" s="139"/>
      <c r="PBT108" s="139"/>
      <c r="PBU108" s="139"/>
      <c r="PBV108" s="139"/>
      <c r="PBW108" s="139"/>
      <c r="PBX108" s="139"/>
      <c r="PBY108" s="139"/>
      <c r="PBZ108" s="139"/>
      <c r="PCA108" s="139"/>
      <c r="PCB108" s="139"/>
      <c r="PCC108" s="139"/>
      <c r="PCD108" s="139"/>
      <c r="PCE108" s="139"/>
      <c r="PCF108" s="139"/>
      <c r="PCG108" s="139"/>
      <c r="PCH108" s="139"/>
      <c r="PCI108" s="139"/>
      <c r="PCJ108" s="139"/>
      <c r="PCK108" s="139"/>
      <c r="PCL108" s="139"/>
      <c r="PCM108" s="139"/>
      <c r="PCN108" s="139"/>
      <c r="PCO108" s="139"/>
      <c r="PCP108" s="139"/>
      <c r="PCQ108" s="139"/>
      <c r="PCR108" s="139"/>
      <c r="PCS108" s="139"/>
      <c r="PCT108" s="139"/>
      <c r="PCU108" s="139"/>
      <c r="PCV108" s="139"/>
      <c r="PCW108" s="139"/>
      <c r="PCX108" s="139"/>
      <c r="PCY108" s="139"/>
      <c r="PCZ108" s="139"/>
      <c r="PDA108" s="139"/>
      <c r="PDB108" s="139"/>
      <c r="PDC108" s="139"/>
      <c r="PDD108" s="139"/>
      <c r="PDE108" s="139"/>
      <c r="PDF108" s="139"/>
      <c r="PDG108" s="139"/>
      <c r="PDH108" s="139"/>
      <c r="PDI108" s="139"/>
      <c r="PDJ108" s="139"/>
      <c r="PDK108" s="139"/>
      <c r="PDL108" s="139"/>
      <c r="PDM108" s="139"/>
      <c r="PDN108" s="139"/>
      <c r="PDO108" s="139"/>
      <c r="PDP108" s="139"/>
      <c r="PDQ108" s="139"/>
      <c r="PDR108" s="139"/>
      <c r="PDS108" s="139"/>
      <c r="PDT108" s="139"/>
      <c r="PDU108" s="139"/>
      <c r="PDV108" s="139"/>
      <c r="PDW108" s="139"/>
      <c r="PDX108" s="139"/>
      <c r="PDY108" s="139"/>
      <c r="PDZ108" s="139"/>
      <c r="PEA108" s="139"/>
      <c r="PEB108" s="139"/>
      <c r="PEC108" s="139"/>
      <c r="PED108" s="139"/>
      <c r="PEE108" s="139"/>
      <c r="PEF108" s="139"/>
      <c r="PEG108" s="139"/>
      <c r="PEH108" s="139"/>
      <c r="PEI108" s="139"/>
      <c r="PEJ108" s="139"/>
      <c r="PEK108" s="139"/>
      <c r="PEL108" s="139"/>
      <c r="PEM108" s="139"/>
      <c r="PEN108" s="139"/>
      <c r="PEO108" s="139"/>
      <c r="PEP108" s="139"/>
      <c r="PEQ108" s="139"/>
      <c r="PER108" s="139"/>
      <c r="PES108" s="139"/>
      <c r="PET108" s="139"/>
      <c r="PEU108" s="139"/>
      <c r="PEV108" s="139"/>
      <c r="PEW108" s="139"/>
      <c r="PEX108" s="139"/>
      <c r="PEY108" s="139"/>
      <c r="PEZ108" s="139"/>
      <c r="PFA108" s="139"/>
      <c r="PFB108" s="139"/>
      <c r="PFC108" s="139"/>
      <c r="PFD108" s="139"/>
      <c r="PFE108" s="139"/>
      <c r="PFF108" s="139"/>
      <c r="PFG108" s="139"/>
      <c r="PFH108" s="139"/>
      <c r="PFI108" s="139"/>
      <c r="PFJ108" s="139"/>
      <c r="PFK108" s="139"/>
      <c r="PFL108" s="139"/>
      <c r="PFM108" s="139"/>
      <c r="PFN108" s="139"/>
      <c r="PFO108" s="139"/>
      <c r="PFP108" s="139"/>
      <c r="PFQ108" s="139"/>
      <c r="PFR108" s="139"/>
      <c r="PFS108" s="139"/>
      <c r="PFT108" s="139"/>
      <c r="PFU108" s="139"/>
      <c r="PFV108" s="139"/>
      <c r="PFW108" s="139"/>
      <c r="PFX108" s="139"/>
      <c r="PFY108" s="139"/>
      <c r="PFZ108" s="139"/>
      <c r="PGA108" s="139"/>
      <c r="PGB108" s="139"/>
      <c r="PGC108" s="139"/>
      <c r="PGD108" s="139"/>
      <c r="PGE108" s="139"/>
      <c r="PGF108" s="139"/>
      <c r="PGG108" s="139"/>
      <c r="PGH108" s="139"/>
      <c r="PGI108" s="139"/>
      <c r="PGJ108" s="139"/>
      <c r="PGK108" s="139"/>
      <c r="PGL108" s="139"/>
      <c r="PGM108" s="139"/>
      <c r="PGN108" s="139"/>
      <c r="PGO108" s="139"/>
      <c r="PGP108" s="139"/>
      <c r="PGQ108" s="139"/>
      <c r="PGR108" s="139"/>
      <c r="PGS108" s="139"/>
      <c r="PGT108" s="139"/>
      <c r="PGU108" s="139"/>
      <c r="PGV108" s="139"/>
      <c r="PGW108" s="139"/>
      <c r="PGX108" s="139"/>
      <c r="PGY108" s="139"/>
      <c r="PGZ108" s="139"/>
      <c r="PHA108" s="139"/>
      <c r="PHB108" s="139"/>
      <c r="PHC108" s="139"/>
      <c r="PHD108" s="139"/>
      <c r="PHE108" s="139"/>
      <c r="PHF108" s="139"/>
      <c r="PHG108" s="139"/>
      <c r="PHH108" s="139"/>
      <c r="PHI108" s="139"/>
      <c r="PHJ108" s="139"/>
      <c r="PHK108" s="139"/>
      <c r="PHL108" s="139"/>
      <c r="PHM108" s="139"/>
      <c r="PHN108" s="139"/>
      <c r="PHO108" s="139"/>
      <c r="PHP108" s="139"/>
      <c r="PHQ108" s="139"/>
      <c r="PHR108" s="139"/>
      <c r="PHS108" s="139"/>
      <c r="PHT108" s="139"/>
      <c r="PHU108" s="139"/>
      <c r="PHV108" s="139"/>
      <c r="PHW108" s="139"/>
      <c r="PHX108" s="139"/>
      <c r="PHY108" s="139"/>
      <c r="PHZ108" s="139"/>
      <c r="PIA108" s="139"/>
      <c r="PIB108" s="139"/>
      <c r="PIC108" s="139"/>
      <c r="PID108" s="139"/>
      <c r="PIE108" s="139"/>
      <c r="PIF108" s="139"/>
      <c r="PIG108" s="139"/>
      <c r="PIH108" s="139"/>
      <c r="PII108" s="139"/>
      <c r="PIJ108" s="139"/>
      <c r="PIK108" s="139"/>
      <c r="PIL108" s="139"/>
      <c r="PIM108" s="139"/>
      <c r="PIN108" s="139"/>
      <c r="PIO108" s="139"/>
      <c r="PIP108" s="139"/>
      <c r="PIQ108" s="139"/>
      <c r="PIR108" s="139"/>
      <c r="PIS108" s="139"/>
      <c r="PIT108" s="139"/>
      <c r="PIU108" s="139"/>
      <c r="PIV108" s="139"/>
      <c r="PIW108" s="139"/>
      <c r="PIX108" s="139"/>
      <c r="PIY108" s="139"/>
      <c r="PIZ108" s="139"/>
      <c r="PJA108" s="139"/>
      <c r="PJB108" s="139"/>
      <c r="PJC108" s="139"/>
      <c r="PJD108" s="139"/>
      <c r="PJE108" s="139"/>
      <c r="PJF108" s="139"/>
      <c r="PJG108" s="139"/>
      <c r="PJH108" s="139"/>
      <c r="PJI108" s="139"/>
      <c r="PJJ108" s="139"/>
      <c r="PJK108" s="139"/>
      <c r="PJL108" s="139"/>
      <c r="PJM108" s="139"/>
      <c r="PJN108" s="139"/>
      <c r="PJO108" s="139"/>
      <c r="PJP108" s="139"/>
      <c r="PJQ108" s="139"/>
      <c r="PJR108" s="139"/>
      <c r="PJS108" s="139"/>
      <c r="PJT108" s="139"/>
      <c r="PJU108" s="139"/>
      <c r="PJV108" s="139"/>
      <c r="PJW108" s="139"/>
      <c r="PJX108" s="139"/>
      <c r="PJY108" s="139"/>
      <c r="PJZ108" s="139"/>
      <c r="PKA108" s="139"/>
      <c r="PKB108" s="139"/>
      <c r="PKC108" s="139"/>
      <c r="PKD108" s="139"/>
      <c r="PKE108" s="139"/>
      <c r="PKF108" s="139"/>
      <c r="PKG108" s="139"/>
      <c r="PKH108" s="139"/>
      <c r="PKI108" s="139"/>
      <c r="PKJ108" s="139"/>
      <c r="PKK108" s="139"/>
      <c r="PKL108" s="139"/>
      <c r="PKM108" s="139"/>
      <c r="PKN108" s="139"/>
      <c r="PKO108" s="139"/>
      <c r="PKP108" s="139"/>
      <c r="PKQ108" s="139"/>
      <c r="PKR108" s="139"/>
      <c r="PKS108" s="139"/>
      <c r="PKT108" s="139"/>
      <c r="PKU108" s="139"/>
      <c r="PKV108" s="139"/>
      <c r="PKW108" s="139"/>
      <c r="PKX108" s="139"/>
      <c r="PKY108" s="139"/>
      <c r="PKZ108" s="139"/>
      <c r="PLA108" s="139"/>
      <c r="PLB108" s="139"/>
      <c r="PLC108" s="139"/>
      <c r="PLD108" s="139"/>
      <c r="PLE108" s="139"/>
      <c r="PLF108" s="139"/>
      <c r="PLG108" s="139"/>
      <c r="PLH108" s="139"/>
      <c r="PLI108" s="139"/>
      <c r="PLJ108" s="139"/>
      <c r="PLK108" s="139"/>
      <c r="PLL108" s="139"/>
      <c r="PLM108" s="139"/>
      <c r="PLN108" s="139"/>
      <c r="PLO108" s="139"/>
      <c r="PLP108" s="139"/>
      <c r="PLQ108" s="139"/>
      <c r="PLR108" s="139"/>
      <c r="PLS108" s="139"/>
      <c r="PLT108" s="139"/>
      <c r="PLU108" s="139"/>
      <c r="PLV108" s="139"/>
      <c r="PLW108" s="139"/>
      <c r="PLX108" s="139"/>
      <c r="PLY108" s="139"/>
      <c r="PLZ108" s="139"/>
      <c r="PMA108" s="139"/>
      <c r="PMB108" s="139"/>
      <c r="PMC108" s="139"/>
      <c r="PMD108" s="139"/>
      <c r="PME108" s="139"/>
      <c r="PMF108" s="139"/>
      <c r="PMG108" s="139"/>
      <c r="PMH108" s="139"/>
      <c r="PMI108" s="139"/>
      <c r="PMJ108" s="139"/>
      <c r="PMK108" s="139"/>
      <c r="PML108" s="139"/>
      <c r="PMM108" s="139"/>
      <c r="PMN108" s="139"/>
      <c r="PMO108" s="139"/>
      <c r="PMP108" s="139"/>
      <c r="PMQ108" s="139"/>
      <c r="PMR108" s="139"/>
      <c r="PMS108" s="139"/>
      <c r="PMT108" s="139"/>
      <c r="PMU108" s="139"/>
      <c r="PMV108" s="139"/>
      <c r="PMW108" s="139"/>
      <c r="PMX108" s="139"/>
      <c r="PMY108" s="139"/>
      <c r="PMZ108" s="139"/>
      <c r="PNA108" s="139"/>
      <c r="PNB108" s="139"/>
      <c r="PNC108" s="139"/>
      <c r="PND108" s="139"/>
      <c r="PNE108" s="139"/>
      <c r="PNF108" s="139"/>
      <c r="PNG108" s="139"/>
      <c r="PNH108" s="139"/>
      <c r="PNI108" s="139"/>
      <c r="PNJ108" s="139"/>
      <c r="PNK108" s="139"/>
      <c r="PNL108" s="139"/>
      <c r="PNM108" s="139"/>
      <c r="PNN108" s="139"/>
      <c r="PNO108" s="139"/>
      <c r="PNP108" s="139"/>
      <c r="PNQ108" s="139"/>
      <c r="PNR108" s="139"/>
      <c r="PNS108" s="139"/>
      <c r="PNT108" s="139"/>
      <c r="PNU108" s="139"/>
      <c r="PNV108" s="139"/>
      <c r="PNW108" s="139"/>
      <c r="PNX108" s="139"/>
      <c r="PNY108" s="139"/>
      <c r="PNZ108" s="139"/>
      <c r="POA108" s="139"/>
      <c r="POB108" s="139"/>
      <c r="POC108" s="139"/>
      <c r="POD108" s="139"/>
      <c r="POE108" s="139"/>
      <c r="POF108" s="139"/>
      <c r="POG108" s="139"/>
      <c r="POH108" s="139"/>
      <c r="POI108" s="139"/>
      <c r="POJ108" s="139"/>
      <c r="POK108" s="139"/>
      <c r="POL108" s="139"/>
      <c r="POM108" s="139"/>
      <c r="PON108" s="139"/>
      <c r="POO108" s="139"/>
      <c r="POP108" s="139"/>
      <c r="POQ108" s="139"/>
      <c r="POR108" s="139"/>
      <c r="POS108" s="139"/>
      <c r="POT108" s="139"/>
      <c r="POU108" s="139"/>
      <c r="POV108" s="139"/>
      <c r="POW108" s="139"/>
      <c r="POX108" s="139"/>
      <c r="POY108" s="139"/>
      <c r="POZ108" s="139"/>
      <c r="PPA108" s="139"/>
      <c r="PPB108" s="139"/>
      <c r="PPC108" s="139"/>
      <c r="PPD108" s="139"/>
      <c r="PPE108" s="139"/>
      <c r="PPF108" s="139"/>
      <c r="PPG108" s="139"/>
      <c r="PPH108" s="139"/>
      <c r="PPI108" s="139"/>
      <c r="PPJ108" s="139"/>
      <c r="PPK108" s="139"/>
      <c r="PPL108" s="139"/>
      <c r="PPM108" s="139"/>
      <c r="PPN108" s="139"/>
      <c r="PPO108" s="139"/>
      <c r="PPP108" s="139"/>
      <c r="PPQ108" s="139"/>
      <c r="PPR108" s="139"/>
      <c r="PPS108" s="139"/>
      <c r="PPT108" s="139"/>
      <c r="PPU108" s="139"/>
      <c r="PPV108" s="139"/>
      <c r="PPW108" s="139"/>
      <c r="PPX108" s="139"/>
      <c r="PPY108" s="139"/>
      <c r="PPZ108" s="139"/>
      <c r="PQA108" s="139"/>
      <c r="PQB108" s="139"/>
      <c r="PQC108" s="139"/>
      <c r="PQD108" s="139"/>
      <c r="PQE108" s="139"/>
      <c r="PQF108" s="139"/>
      <c r="PQG108" s="139"/>
      <c r="PQH108" s="139"/>
      <c r="PQI108" s="139"/>
      <c r="PQJ108" s="139"/>
      <c r="PQK108" s="139"/>
      <c r="PQL108" s="139"/>
      <c r="PQM108" s="139"/>
      <c r="PQN108" s="139"/>
      <c r="PQO108" s="139"/>
      <c r="PQP108" s="139"/>
      <c r="PQQ108" s="139"/>
      <c r="PQR108" s="139"/>
      <c r="PQS108" s="139"/>
      <c r="PQT108" s="139"/>
      <c r="PQU108" s="139"/>
      <c r="PQV108" s="139"/>
      <c r="PQW108" s="139"/>
      <c r="PQX108" s="139"/>
      <c r="PQY108" s="139"/>
      <c r="PQZ108" s="139"/>
      <c r="PRA108" s="139"/>
      <c r="PRB108" s="139"/>
      <c r="PRC108" s="139"/>
      <c r="PRD108" s="139"/>
      <c r="PRE108" s="139"/>
      <c r="PRF108" s="139"/>
      <c r="PRG108" s="139"/>
      <c r="PRH108" s="139"/>
      <c r="PRI108" s="139"/>
      <c r="PRJ108" s="139"/>
      <c r="PRK108" s="139"/>
      <c r="PRL108" s="139"/>
      <c r="PRM108" s="139"/>
      <c r="PRN108" s="139"/>
      <c r="PRO108" s="139"/>
      <c r="PRP108" s="139"/>
      <c r="PRQ108" s="139"/>
      <c r="PRR108" s="139"/>
      <c r="PRS108" s="139"/>
      <c r="PRT108" s="139"/>
      <c r="PRU108" s="139"/>
      <c r="PRV108" s="139"/>
      <c r="PRW108" s="139"/>
      <c r="PRX108" s="139"/>
      <c r="PRY108" s="139"/>
      <c r="PRZ108" s="139"/>
      <c r="PSA108" s="139"/>
      <c r="PSB108" s="139"/>
      <c r="PSC108" s="139"/>
      <c r="PSD108" s="139"/>
      <c r="PSE108" s="139"/>
      <c r="PSF108" s="139"/>
      <c r="PSG108" s="139"/>
      <c r="PSH108" s="139"/>
      <c r="PSI108" s="139"/>
      <c r="PSJ108" s="139"/>
      <c r="PSK108" s="139"/>
      <c r="PSL108" s="139"/>
      <c r="PSM108" s="139"/>
      <c r="PSN108" s="139"/>
      <c r="PSO108" s="139"/>
      <c r="PSP108" s="139"/>
      <c r="PSQ108" s="139"/>
      <c r="PSR108" s="139"/>
      <c r="PSS108" s="139"/>
      <c r="PST108" s="139"/>
      <c r="PSU108" s="139"/>
      <c r="PSV108" s="139"/>
      <c r="PSW108" s="139"/>
      <c r="PSX108" s="139"/>
      <c r="PSY108" s="139"/>
      <c r="PSZ108" s="139"/>
      <c r="PTA108" s="139"/>
      <c r="PTB108" s="139"/>
      <c r="PTC108" s="139"/>
      <c r="PTD108" s="139"/>
      <c r="PTE108" s="139"/>
      <c r="PTF108" s="139"/>
      <c r="PTG108" s="139"/>
      <c r="PTH108" s="139"/>
      <c r="PTI108" s="139"/>
      <c r="PTJ108" s="139"/>
      <c r="PTK108" s="139"/>
      <c r="PTL108" s="139"/>
      <c r="PTM108" s="139"/>
      <c r="PTN108" s="139"/>
      <c r="PTO108" s="139"/>
      <c r="PTP108" s="139"/>
      <c r="PTQ108" s="139"/>
      <c r="PTR108" s="139"/>
      <c r="PTS108" s="139"/>
      <c r="PTT108" s="139"/>
      <c r="PTU108" s="139"/>
      <c r="PTV108" s="139"/>
      <c r="PTW108" s="139"/>
      <c r="PTX108" s="139"/>
      <c r="PTY108" s="139"/>
      <c r="PTZ108" s="139"/>
      <c r="PUA108" s="139"/>
      <c r="PUB108" s="139"/>
      <c r="PUC108" s="139"/>
      <c r="PUD108" s="139"/>
      <c r="PUE108" s="139"/>
      <c r="PUF108" s="139"/>
      <c r="PUG108" s="139"/>
      <c r="PUH108" s="139"/>
      <c r="PUI108" s="139"/>
      <c r="PUJ108" s="139"/>
      <c r="PUK108" s="139"/>
      <c r="PUL108" s="139"/>
      <c r="PUM108" s="139"/>
      <c r="PUN108" s="139"/>
      <c r="PUO108" s="139"/>
      <c r="PUP108" s="139"/>
      <c r="PUQ108" s="139"/>
      <c r="PUR108" s="139"/>
      <c r="PUS108" s="139"/>
      <c r="PUT108" s="139"/>
      <c r="PUU108" s="139"/>
      <c r="PUV108" s="139"/>
      <c r="PUW108" s="139"/>
      <c r="PUX108" s="139"/>
      <c r="PUY108" s="139"/>
      <c r="PUZ108" s="139"/>
      <c r="PVA108" s="139"/>
      <c r="PVB108" s="139"/>
      <c r="PVC108" s="139"/>
      <c r="PVD108" s="139"/>
      <c r="PVE108" s="139"/>
      <c r="PVF108" s="139"/>
      <c r="PVG108" s="139"/>
      <c r="PVH108" s="139"/>
      <c r="PVI108" s="139"/>
      <c r="PVJ108" s="139"/>
      <c r="PVK108" s="139"/>
      <c r="PVL108" s="139"/>
      <c r="PVM108" s="139"/>
      <c r="PVN108" s="139"/>
      <c r="PVO108" s="139"/>
      <c r="PVP108" s="139"/>
      <c r="PVQ108" s="139"/>
      <c r="PVR108" s="139"/>
      <c r="PVS108" s="139"/>
      <c r="PVT108" s="139"/>
      <c r="PVU108" s="139"/>
      <c r="PVV108" s="139"/>
      <c r="PVW108" s="139"/>
      <c r="PVX108" s="139"/>
      <c r="PVY108" s="139"/>
      <c r="PVZ108" s="139"/>
      <c r="PWA108" s="139"/>
      <c r="PWB108" s="139"/>
      <c r="PWC108" s="139"/>
      <c r="PWD108" s="139"/>
      <c r="PWE108" s="139"/>
      <c r="PWF108" s="139"/>
      <c r="PWG108" s="139"/>
      <c r="PWH108" s="139"/>
      <c r="PWI108" s="139"/>
      <c r="PWJ108" s="139"/>
      <c r="PWK108" s="139"/>
      <c r="PWL108" s="139"/>
      <c r="PWM108" s="139"/>
      <c r="PWN108" s="139"/>
      <c r="PWO108" s="139"/>
      <c r="PWP108" s="139"/>
      <c r="PWQ108" s="139"/>
      <c r="PWR108" s="139"/>
      <c r="PWS108" s="139"/>
      <c r="PWT108" s="139"/>
      <c r="PWU108" s="139"/>
      <c r="PWV108" s="139"/>
      <c r="PWW108" s="139"/>
      <c r="PWX108" s="139"/>
      <c r="PWY108" s="139"/>
      <c r="PWZ108" s="139"/>
      <c r="PXA108" s="139"/>
      <c r="PXB108" s="139"/>
      <c r="PXC108" s="139"/>
      <c r="PXD108" s="139"/>
      <c r="PXE108" s="139"/>
      <c r="PXF108" s="139"/>
      <c r="PXG108" s="139"/>
      <c r="PXH108" s="139"/>
      <c r="PXI108" s="139"/>
      <c r="PXJ108" s="139"/>
      <c r="PXK108" s="139"/>
      <c r="PXL108" s="139"/>
      <c r="PXM108" s="139"/>
      <c r="PXN108" s="139"/>
      <c r="PXO108" s="139"/>
      <c r="PXP108" s="139"/>
      <c r="PXQ108" s="139"/>
      <c r="PXR108" s="139"/>
      <c r="PXS108" s="139"/>
      <c r="PXT108" s="139"/>
      <c r="PXU108" s="139"/>
      <c r="PXV108" s="139"/>
      <c r="PXW108" s="139"/>
      <c r="PXX108" s="139"/>
      <c r="PXY108" s="139"/>
      <c r="PXZ108" s="139"/>
      <c r="PYA108" s="139"/>
      <c r="PYB108" s="139"/>
      <c r="PYC108" s="139"/>
      <c r="PYD108" s="139"/>
      <c r="PYE108" s="139"/>
      <c r="PYF108" s="139"/>
      <c r="PYG108" s="139"/>
      <c r="PYH108" s="139"/>
      <c r="PYI108" s="139"/>
      <c r="PYJ108" s="139"/>
      <c r="PYK108" s="139"/>
      <c r="PYL108" s="139"/>
      <c r="PYM108" s="139"/>
      <c r="PYN108" s="139"/>
      <c r="PYO108" s="139"/>
      <c r="PYP108" s="139"/>
      <c r="PYQ108" s="139"/>
      <c r="PYR108" s="139"/>
      <c r="PYS108" s="139"/>
      <c r="PYT108" s="139"/>
      <c r="PYU108" s="139"/>
      <c r="PYV108" s="139"/>
      <c r="PYW108" s="139"/>
      <c r="PYX108" s="139"/>
      <c r="PYY108" s="139"/>
      <c r="PYZ108" s="139"/>
      <c r="PZA108" s="139"/>
      <c r="PZB108" s="139"/>
      <c r="PZC108" s="139"/>
      <c r="PZD108" s="139"/>
      <c r="PZE108" s="139"/>
      <c r="PZF108" s="139"/>
      <c r="PZG108" s="139"/>
      <c r="PZH108" s="139"/>
      <c r="PZI108" s="139"/>
      <c r="PZJ108" s="139"/>
      <c r="PZK108" s="139"/>
      <c r="PZL108" s="139"/>
      <c r="PZM108" s="139"/>
      <c r="PZN108" s="139"/>
      <c r="PZO108" s="139"/>
      <c r="PZP108" s="139"/>
      <c r="PZQ108" s="139"/>
      <c r="PZR108" s="139"/>
      <c r="PZS108" s="139"/>
      <c r="PZT108" s="139"/>
      <c r="PZU108" s="139"/>
      <c r="PZV108" s="139"/>
      <c r="PZW108" s="139"/>
      <c r="PZX108" s="139"/>
      <c r="PZY108" s="139"/>
      <c r="PZZ108" s="139"/>
      <c r="QAA108" s="139"/>
      <c r="QAB108" s="139"/>
      <c r="QAC108" s="139"/>
      <c r="QAD108" s="139"/>
      <c r="QAE108" s="139"/>
      <c r="QAF108" s="139"/>
      <c r="QAG108" s="139"/>
      <c r="QAH108" s="139"/>
      <c r="QAI108" s="139"/>
      <c r="QAJ108" s="139"/>
      <c r="QAK108" s="139"/>
      <c r="QAL108" s="139"/>
      <c r="QAM108" s="139"/>
      <c r="QAN108" s="139"/>
      <c r="QAO108" s="139"/>
      <c r="QAP108" s="139"/>
      <c r="QAQ108" s="139"/>
      <c r="QAR108" s="139"/>
      <c r="QAS108" s="139"/>
      <c r="QAT108" s="139"/>
      <c r="QAU108" s="139"/>
      <c r="QAV108" s="139"/>
      <c r="QAW108" s="139"/>
      <c r="QAX108" s="139"/>
      <c r="QAY108" s="139"/>
      <c r="QAZ108" s="139"/>
      <c r="QBA108" s="139"/>
      <c r="QBB108" s="139"/>
      <c r="QBC108" s="139"/>
      <c r="QBD108" s="139"/>
      <c r="QBE108" s="139"/>
      <c r="QBF108" s="139"/>
      <c r="QBG108" s="139"/>
      <c r="QBH108" s="139"/>
      <c r="QBI108" s="139"/>
      <c r="QBJ108" s="139"/>
      <c r="QBK108" s="139"/>
      <c r="QBL108" s="139"/>
      <c r="QBM108" s="139"/>
      <c r="QBN108" s="139"/>
      <c r="QBO108" s="139"/>
      <c r="QBP108" s="139"/>
      <c r="QBQ108" s="139"/>
      <c r="QBR108" s="139"/>
      <c r="QBS108" s="139"/>
      <c r="QBT108" s="139"/>
      <c r="QBU108" s="139"/>
      <c r="QBV108" s="139"/>
      <c r="QBW108" s="139"/>
      <c r="QBX108" s="139"/>
      <c r="QBY108" s="139"/>
      <c r="QBZ108" s="139"/>
      <c r="QCA108" s="139"/>
      <c r="QCB108" s="139"/>
      <c r="QCC108" s="139"/>
      <c r="QCD108" s="139"/>
      <c r="QCE108" s="139"/>
      <c r="QCF108" s="139"/>
      <c r="QCG108" s="139"/>
      <c r="QCH108" s="139"/>
      <c r="QCI108" s="139"/>
      <c r="QCJ108" s="139"/>
      <c r="QCK108" s="139"/>
      <c r="QCL108" s="139"/>
      <c r="QCM108" s="139"/>
      <c r="QCN108" s="139"/>
      <c r="QCO108" s="139"/>
      <c r="QCP108" s="139"/>
      <c r="QCQ108" s="139"/>
      <c r="QCR108" s="139"/>
      <c r="QCS108" s="139"/>
      <c r="QCT108" s="139"/>
      <c r="QCU108" s="139"/>
      <c r="QCV108" s="139"/>
      <c r="QCW108" s="139"/>
      <c r="QCX108" s="139"/>
      <c r="QCY108" s="139"/>
      <c r="QCZ108" s="139"/>
      <c r="QDA108" s="139"/>
      <c r="QDB108" s="139"/>
      <c r="QDC108" s="139"/>
      <c r="QDD108" s="139"/>
      <c r="QDE108" s="139"/>
      <c r="QDF108" s="139"/>
      <c r="QDG108" s="139"/>
      <c r="QDH108" s="139"/>
      <c r="QDI108" s="139"/>
      <c r="QDJ108" s="139"/>
      <c r="QDK108" s="139"/>
      <c r="QDL108" s="139"/>
      <c r="QDM108" s="139"/>
      <c r="QDN108" s="139"/>
      <c r="QDO108" s="139"/>
      <c r="QDP108" s="139"/>
      <c r="QDQ108" s="139"/>
      <c r="QDR108" s="139"/>
      <c r="QDS108" s="139"/>
      <c r="QDT108" s="139"/>
      <c r="QDU108" s="139"/>
      <c r="QDV108" s="139"/>
      <c r="QDW108" s="139"/>
      <c r="QDX108" s="139"/>
      <c r="QDY108" s="139"/>
      <c r="QDZ108" s="139"/>
      <c r="QEA108" s="139"/>
      <c r="QEB108" s="139"/>
      <c r="QEC108" s="139"/>
      <c r="QED108" s="139"/>
      <c r="QEE108" s="139"/>
      <c r="QEF108" s="139"/>
      <c r="QEG108" s="139"/>
      <c r="QEH108" s="139"/>
      <c r="QEI108" s="139"/>
      <c r="QEJ108" s="139"/>
      <c r="QEK108" s="139"/>
      <c r="QEL108" s="139"/>
      <c r="QEM108" s="139"/>
      <c r="QEN108" s="139"/>
      <c r="QEO108" s="139"/>
      <c r="QEP108" s="139"/>
      <c r="QEQ108" s="139"/>
      <c r="QER108" s="139"/>
      <c r="QES108" s="139"/>
      <c r="QET108" s="139"/>
      <c r="QEU108" s="139"/>
      <c r="QEV108" s="139"/>
      <c r="QEW108" s="139"/>
      <c r="QEX108" s="139"/>
      <c r="QEY108" s="139"/>
      <c r="QEZ108" s="139"/>
      <c r="QFA108" s="139"/>
      <c r="QFB108" s="139"/>
      <c r="QFC108" s="139"/>
      <c r="QFD108" s="139"/>
      <c r="QFE108" s="139"/>
      <c r="QFF108" s="139"/>
      <c r="QFG108" s="139"/>
      <c r="QFH108" s="139"/>
      <c r="QFI108" s="139"/>
      <c r="QFJ108" s="139"/>
      <c r="QFK108" s="139"/>
      <c r="QFL108" s="139"/>
      <c r="QFM108" s="139"/>
      <c r="QFN108" s="139"/>
      <c r="QFO108" s="139"/>
      <c r="QFP108" s="139"/>
      <c r="QFQ108" s="139"/>
      <c r="QFR108" s="139"/>
      <c r="QFS108" s="139"/>
      <c r="QFT108" s="139"/>
      <c r="QFU108" s="139"/>
      <c r="QFV108" s="139"/>
      <c r="QFW108" s="139"/>
      <c r="QFX108" s="139"/>
      <c r="QFY108" s="139"/>
      <c r="QFZ108" s="139"/>
      <c r="QGA108" s="139"/>
      <c r="QGB108" s="139"/>
      <c r="QGC108" s="139"/>
      <c r="QGD108" s="139"/>
      <c r="QGE108" s="139"/>
      <c r="QGF108" s="139"/>
      <c r="QGG108" s="139"/>
      <c r="QGH108" s="139"/>
      <c r="QGI108" s="139"/>
      <c r="QGJ108" s="139"/>
      <c r="QGK108" s="139"/>
      <c r="QGL108" s="139"/>
      <c r="QGM108" s="139"/>
      <c r="QGN108" s="139"/>
      <c r="QGO108" s="139"/>
      <c r="QGP108" s="139"/>
      <c r="QGQ108" s="139"/>
      <c r="QGR108" s="139"/>
      <c r="QGS108" s="139"/>
      <c r="QGT108" s="139"/>
      <c r="QGU108" s="139"/>
      <c r="QGV108" s="139"/>
      <c r="QGW108" s="139"/>
      <c r="QGX108" s="139"/>
      <c r="QGY108" s="139"/>
      <c r="QGZ108" s="139"/>
      <c r="QHA108" s="139"/>
      <c r="QHB108" s="139"/>
      <c r="QHC108" s="139"/>
      <c r="QHD108" s="139"/>
      <c r="QHE108" s="139"/>
      <c r="QHF108" s="139"/>
      <c r="QHG108" s="139"/>
      <c r="QHH108" s="139"/>
      <c r="QHI108" s="139"/>
      <c r="QHJ108" s="139"/>
      <c r="QHK108" s="139"/>
      <c r="QHL108" s="139"/>
      <c r="QHM108" s="139"/>
      <c r="QHN108" s="139"/>
      <c r="QHO108" s="139"/>
      <c r="QHP108" s="139"/>
      <c r="QHQ108" s="139"/>
      <c r="QHR108" s="139"/>
      <c r="QHS108" s="139"/>
      <c r="QHT108" s="139"/>
      <c r="QHU108" s="139"/>
      <c r="QHV108" s="139"/>
      <c r="QHW108" s="139"/>
      <c r="QHX108" s="139"/>
      <c r="QHY108" s="139"/>
      <c r="QHZ108" s="139"/>
      <c r="QIA108" s="139"/>
      <c r="QIB108" s="139"/>
      <c r="QIC108" s="139"/>
      <c r="QID108" s="139"/>
      <c r="QIE108" s="139"/>
      <c r="QIF108" s="139"/>
      <c r="QIG108" s="139"/>
      <c r="QIH108" s="139"/>
      <c r="QII108" s="139"/>
      <c r="QIJ108" s="139"/>
      <c r="QIK108" s="139"/>
      <c r="QIL108" s="139"/>
      <c r="QIM108" s="139"/>
      <c r="QIN108" s="139"/>
      <c r="QIO108" s="139"/>
      <c r="QIP108" s="139"/>
      <c r="QIQ108" s="139"/>
      <c r="QIR108" s="139"/>
      <c r="QIS108" s="139"/>
      <c r="QIT108" s="139"/>
      <c r="QIU108" s="139"/>
      <c r="QIV108" s="139"/>
      <c r="QIW108" s="139"/>
      <c r="QIX108" s="139"/>
      <c r="QIY108" s="139"/>
      <c r="QIZ108" s="139"/>
      <c r="QJA108" s="139"/>
      <c r="QJB108" s="139"/>
      <c r="QJC108" s="139"/>
      <c r="QJD108" s="139"/>
      <c r="QJE108" s="139"/>
      <c r="QJF108" s="139"/>
      <c r="QJG108" s="139"/>
      <c r="QJH108" s="139"/>
      <c r="QJI108" s="139"/>
      <c r="QJJ108" s="139"/>
      <c r="QJK108" s="139"/>
      <c r="QJL108" s="139"/>
      <c r="QJM108" s="139"/>
      <c r="QJN108" s="139"/>
      <c r="QJO108" s="139"/>
      <c r="QJP108" s="139"/>
      <c r="QJQ108" s="139"/>
      <c r="QJR108" s="139"/>
      <c r="QJS108" s="139"/>
      <c r="QJT108" s="139"/>
      <c r="QJU108" s="139"/>
      <c r="QJV108" s="139"/>
      <c r="QJW108" s="139"/>
      <c r="QJX108" s="139"/>
      <c r="QJY108" s="139"/>
      <c r="QJZ108" s="139"/>
      <c r="QKA108" s="139"/>
      <c r="QKB108" s="139"/>
      <c r="QKC108" s="139"/>
      <c r="QKD108" s="139"/>
      <c r="QKE108" s="139"/>
      <c r="QKF108" s="139"/>
      <c r="QKG108" s="139"/>
      <c r="QKH108" s="139"/>
      <c r="QKI108" s="139"/>
      <c r="QKJ108" s="139"/>
      <c r="QKK108" s="139"/>
      <c r="QKL108" s="139"/>
      <c r="QKM108" s="139"/>
      <c r="QKN108" s="139"/>
      <c r="QKO108" s="139"/>
      <c r="QKP108" s="139"/>
      <c r="QKQ108" s="139"/>
      <c r="QKR108" s="139"/>
      <c r="QKS108" s="139"/>
      <c r="QKT108" s="139"/>
      <c r="QKU108" s="139"/>
      <c r="QKV108" s="139"/>
      <c r="QKW108" s="139"/>
      <c r="QKX108" s="139"/>
      <c r="QKY108" s="139"/>
      <c r="QKZ108" s="139"/>
      <c r="QLA108" s="139"/>
      <c r="QLB108" s="139"/>
      <c r="QLC108" s="139"/>
      <c r="QLD108" s="139"/>
      <c r="QLE108" s="139"/>
      <c r="QLF108" s="139"/>
      <c r="QLG108" s="139"/>
      <c r="QLH108" s="139"/>
      <c r="QLI108" s="139"/>
      <c r="QLJ108" s="139"/>
      <c r="QLK108" s="139"/>
      <c r="QLL108" s="139"/>
      <c r="QLM108" s="139"/>
      <c r="QLN108" s="139"/>
      <c r="QLO108" s="139"/>
      <c r="QLP108" s="139"/>
      <c r="QLQ108" s="139"/>
      <c r="QLR108" s="139"/>
      <c r="QLS108" s="139"/>
      <c r="QLT108" s="139"/>
      <c r="QLU108" s="139"/>
      <c r="QLV108" s="139"/>
      <c r="QLW108" s="139"/>
      <c r="QLX108" s="139"/>
      <c r="QLY108" s="139"/>
      <c r="QLZ108" s="139"/>
      <c r="QMA108" s="139"/>
      <c r="QMB108" s="139"/>
      <c r="QMC108" s="139"/>
      <c r="QMD108" s="139"/>
      <c r="QME108" s="139"/>
      <c r="QMF108" s="139"/>
      <c r="QMG108" s="139"/>
      <c r="QMH108" s="139"/>
      <c r="QMI108" s="139"/>
      <c r="QMJ108" s="139"/>
      <c r="QMK108" s="139"/>
      <c r="QML108" s="139"/>
      <c r="QMM108" s="139"/>
      <c r="QMN108" s="139"/>
      <c r="QMO108" s="139"/>
      <c r="QMP108" s="139"/>
      <c r="QMQ108" s="139"/>
      <c r="QMR108" s="139"/>
      <c r="QMS108" s="139"/>
      <c r="QMT108" s="139"/>
      <c r="QMU108" s="139"/>
      <c r="QMV108" s="139"/>
      <c r="QMW108" s="139"/>
      <c r="QMX108" s="139"/>
      <c r="QMY108" s="139"/>
      <c r="QMZ108" s="139"/>
      <c r="QNA108" s="139"/>
      <c r="QNB108" s="139"/>
      <c r="QNC108" s="139"/>
      <c r="QND108" s="139"/>
      <c r="QNE108" s="139"/>
      <c r="QNF108" s="139"/>
      <c r="QNG108" s="139"/>
      <c r="QNH108" s="139"/>
      <c r="QNI108" s="139"/>
      <c r="QNJ108" s="139"/>
      <c r="QNK108" s="139"/>
      <c r="QNL108" s="139"/>
      <c r="QNM108" s="139"/>
      <c r="QNN108" s="139"/>
      <c r="QNO108" s="139"/>
      <c r="QNP108" s="139"/>
      <c r="QNQ108" s="139"/>
      <c r="QNR108" s="139"/>
      <c r="QNS108" s="139"/>
      <c r="QNT108" s="139"/>
      <c r="QNU108" s="139"/>
      <c r="QNV108" s="139"/>
      <c r="QNW108" s="139"/>
      <c r="QNX108" s="139"/>
      <c r="QNY108" s="139"/>
      <c r="QNZ108" s="139"/>
      <c r="QOA108" s="139"/>
      <c r="QOB108" s="139"/>
      <c r="QOC108" s="139"/>
      <c r="QOD108" s="139"/>
      <c r="QOE108" s="139"/>
      <c r="QOF108" s="139"/>
      <c r="QOG108" s="139"/>
      <c r="QOH108" s="139"/>
      <c r="QOI108" s="139"/>
      <c r="QOJ108" s="139"/>
      <c r="QOK108" s="139"/>
      <c r="QOL108" s="139"/>
      <c r="QOM108" s="139"/>
      <c r="QON108" s="139"/>
      <c r="QOO108" s="139"/>
      <c r="QOP108" s="139"/>
      <c r="QOQ108" s="139"/>
      <c r="QOR108" s="139"/>
      <c r="QOS108" s="139"/>
      <c r="QOT108" s="139"/>
      <c r="QOU108" s="139"/>
      <c r="QOV108" s="139"/>
      <c r="QOW108" s="139"/>
      <c r="QOX108" s="139"/>
      <c r="QOY108" s="139"/>
      <c r="QOZ108" s="139"/>
      <c r="QPA108" s="139"/>
      <c r="QPB108" s="139"/>
      <c r="QPC108" s="139"/>
      <c r="QPD108" s="139"/>
      <c r="QPE108" s="139"/>
      <c r="QPF108" s="139"/>
      <c r="QPG108" s="139"/>
      <c r="QPH108" s="139"/>
      <c r="QPI108" s="139"/>
      <c r="QPJ108" s="139"/>
      <c r="QPK108" s="139"/>
      <c r="QPL108" s="139"/>
      <c r="QPM108" s="139"/>
      <c r="QPN108" s="139"/>
      <c r="QPO108" s="139"/>
      <c r="QPP108" s="139"/>
      <c r="QPQ108" s="139"/>
      <c r="QPR108" s="139"/>
      <c r="QPS108" s="139"/>
      <c r="QPT108" s="139"/>
      <c r="QPU108" s="139"/>
      <c r="QPV108" s="139"/>
      <c r="QPW108" s="139"/>
      <c r="QPX108" s="139"/>
      <c r="QPY108" s="139"/>
      <c r="QPZ108" s="139"/>
      <c r="QQA108" s="139"/>
      <c r="QQB108" s="139"/>
      <c r="QQC108" s="139"/>
      <c r="QQD108" s="139"/>
      <c r="QQE108" s="139"/>
      <c r="QQF108" s="139"/>
      <c r="QQG108" s="139"/>
      <c r="QQH108" s="139"/>
      <c r="QQI108" s="139"/>
      <c r="QQJ108" s="139"/>
      <c r="QQK108" s="139"/>
      <c r="QQL108" s="139"/>
      <c r="QQM108" s="139"/>
      <c r="QQN108" s="139"/>
      <c r="QQO108" s="139"/>
      <c r="QQP108" s="139"/>
      <c r="QQQ108" s="139"/>
      <c r="QQR108" s="139"/>
      <c r="QQS108" s="139"/>
      <c r="QQT108" s="139"/>
      <c r="QQU108" s="139"/>
      <c r="QQV108" s="139"/>
      <c r="QQW108" s="139"/>
      <c r="QQX108" s="139"/>
      <c r="QQY108" s="139"/>
      <c r="QQZ108" s="139"/>
      <c r="QRA108" s="139"/>
      <c r="QRB108" s="139"/>
      <c r="QRC108" s="139"/>
      <c r="QRD108" s="139"/>
      <c r="QRE108" s="139"/>
      <c r="QRF108" s="139"/>
      <c r="QRG108" s="139"/>
      <c r="QRH108" s="139"/>
      <c r="QRI108" s="139"/>
      <c r="QRJ108" s="139"/>
      <c r="QRK108" s="139"/>
      <c r="QRL108" s="139"/>
      <c r="QRM108" s="139"/>
      <c r="QRN108" s="139"/>
      <c r="QRO108" s="139"/>
      <c r="QRP108" s="139"/>
      <c r="QRQ108" s="139"/>
      <c r="QRR108" s="139"/>
      <c r="QRS108" s="139"/>
      <c r="QRT108" s="139"/>
      <c r="QRU108" s="139"/>
      <c r="QRV108" s="139"/>
      <c r="QRW108" s="139"/>
      <c r="QRX108" s="139"/>
      <c r="QRY108" s="139"/>
      <c r="QRZ108" s="139"/>
      <c r="QSA108" s="139"/>
      <c r="QSB108" s="139"/>
      <c r="QSC108" s="139"/>
      <c r="QSD108" s="139"/>
      <c r="QSE108" s="139"/>
      <c r="QSF108" s="139"/>
      <c r="QSG108" s="139"/>
      <c r="QSH108" s="139"/>
      <c r="QSI108" s="139"/>
      <c r="QSJ108" s="139"/>
      <c r="QSK108" s="139"/>
      <c r="QSL108" s="139"/>
      <c r="QSM108" s="139"/>
      <c r="QSN108" s="139"/>
      <c r="QSO108" s="139"/>
      <c r="QSP108" s="139"/>
      <c r="QSQ108" s="139"/>
      <c r="QSR108" s="139"/>
      <c r="QSS108" s="139"/>
      <c r="QST108" s="139"/>
      <c r="QSU108" s="139"/>
      <c r="QSV108" s="139"/>
      <c r="QSW108" s="139"/>
      <c r="QSX108" s="139"/>
      <c r="QSY108" s="139"/>
      <c r="QSZ108" s="139"/>
      <c r="QTA108" s="139"/>
      <c r="QTB108" s="139"/>
      <c r="QTC108" s="139"/>
      <c r="QTD108" s="139"/>
      <c r="QTE108" s="139"/>
      <c r="QTF108" s="139"/>
      <c r="QTG108" s="139"/>
      <c r="QTH108" s="139"/>
      <c r="QTI108" s="139"/>
      <c r="QTJ108" s="139"/>
      <c r="QTK108" s="139"/>
      <c r="QTL108" s="139"/>
      <c r="QTM108" s="139"/>
      <c r="QTN108" s="139"/>
      <c r="QTO108" s="139"/>
      <c r="QTP108" s="139"/>
      <c r="QTQ108" s="139"/>
      <c r="QTR108" s="139"/>
      <c r="QTS108" s="139"/>
      <c r="QTT108" s="139"/>
      <c r="QTU108" s="139"/>
      <c r="QTV108" s="139"/>
      <c r="QTW108" s="139"/>
      <c r="QTX108" s="139"/>
      <c r="QTY108" s="139"/>
      <c r="QTZ108" s="139"/>
      <c r="QUA108" s="139"/>
      <c r="QUB108" s="139"/>
      <c r="QUC108" s="139"/>
      <c r="QUD108" s="139"/>
      <c r="QUE108" s="139"/>
      <c r="QUF108" s="139"/>
      <c r="QUG108" s="139"/>
      <c r="QUH108" s="139"/>
      <c r="QUI108" s="139"/>
      <c r="QUJ108" s="139"/>
      <c r="QUK108" s="139"/>
      <c r="QUL108" s="139"/>
      <c r="QUM108" s="139"/>
      <c r="QUN108" s="139"/>
      <c r="QUO108" s="139"/>
      <c r="QUP108" s="139"/>
      <c r="QUQ108" s="139"/>
      <c r="QUR108" s="139"/>
      <c r="QUS108" s="139"/>
      <c r="QUT108" s="139"/>
      <c r="QUU108" s="139"/>
      <c r="QUV108" s="139"/>
      <c r="QUW108" s="139"/>
      <c r="QUX108" s="139"/>
      <c r="QUY108" s="139"/>
      <c r="QUZ108" s="139"/>
      <c r="QVA108" s="139"/>
      <c r="QVB108" s="139"/>
      <c r="QVC108" s="139"/>
      <c r="QVD108" s="139"/>
      <c r="QVE108" s="139"/>
      <c r="QVF108" s="139"/>
      <c r="QVG108" s="139"/>
      <c r="QVH108" s="139"/>
      <c r="QVI108" s="139"/>
      <c r="QVJ108" s="139"/>
      <c r="QVK108" s="139"/>
      <c r="QVL108" s="139"/>
      <c r="QVM108" s="139"/>
      <c r="QVN108" s="139"/>
      <c r="QVO108" s="139"/>
      <c r="QVP108" s="139"/>
      <c r="QVQ108" s="139"/>
      <c r="QVR108" s="139"/>
      <c r="QVS108" s="139"/>
      <c r="QVT108" s="139"/>
      <c r="QVU108" s="139"/>
      <c r="QVV108" s="139"/>
      <c r="QVW108" s="139"/>
      <c r="QVX108" s="139"/>
      <c r="QVY108" s="139"/>
      <c r="QVZ108" s="139"/>
      <c r="QWA108" s="139"/>
      <c r="QWB108" s="139"/>
      <c r="QWC108" s="139"/>
      <c r="QWD108" s="139"/>
      <c r="QWE108" s="139"/>
      <c r="QWF108" s="139"/>
      <c r="QWG108" s="139"/>
      <c r="QWH108" s="139"/>
      <c r="QWI108" s="139"/>
      <c r="QWJ108" s="139"/>
      <c r="QWK108" s="139"/>
      <c r="QWL108" s="139"/>
      <c r="QWM108" s="139"/>
      <c r="QWN108" s="139"/>
      <c r="QWO108" s="139"/>
      <c r="QWP108" s="139"/>
      <c r="QWQ108" s="139"/>
      <c r="QWR108" s="139"/>
      <c r="QWS108" s="139"/>
      <c r="QWT108" s="139"/>
      <c r="QWU108" s="139"/>
      <c r="QWV108" s="139"/>
      <c r="QWW108" s="139"/>
      <c r="QWX108" s="139"/>
      <c r="QWY108" s="139"/>
      <c r="QWZ108" s="139"/>
      <c r="QXA108" s="139"/>
      <c r="QXB108" s="139"/>
      <c r="QXC108" s="139"/>
      <c r="QXD108" s="139"/>
      <c r="QXE108" s="139"/>
      <c r="QXF108" s="139"/>
      <c r="QXG108" s="139"/>
      <c r="QXH108" s="139"/>
      <c r="QXI108" s="139"/>
      <c r="QXJ108" s="139"/>
      <c r="QXK108" s="139"/>
      <c r="QXL108" s="139"/>
      <c r="QXM108" s="139"/>
      <c r="QXN108" s="139"/>
      <c r="QXO108" s="139"/>
      <c r="QXP108" s="139"/>
      <c r="QXQ108" s="139"/>
      <c r="QXR108" s="139"/>
      <c r="QXS108" s="139"/>
      <c r="QXT108" s="139"/>
      <c r="QXU108" s="139"/>
      <c r="QXV108" s="139"/>
      <c r="QXW108" s="139"/>
      <c r="QXX108" s="139"/>
      <c r="QXY108" s="139"/>
      <c r="QXZ108" s="139"/>
      <c r="QYA108" s="139"/>
      <c r="QYB108" s="139"/>
      <c r="QYC108" s="139"/>
      <c r="QYD108" s="139"/>
      <c r="QYE108" s="139"/>
      <c r="QYF108" s="139"/>
      <c r="QYG108" s="139"/>
      <c r="QYH108" s="139"/>
      <c r="QYI108" s="139"/>
      <c r="QYJ108" s="139"/>
      <c r="QYK108" s="139"/>
      <c r="QYL108" s="139"/>
      <c r="QYM108" s="139"/>
      <c r="QYN108" s="139"/>
      <c r="QYO108" s="139"/>
      <c r="QYP108" s="139"/>
      <c r="QYQ108" s="139"/>
      <c r="QYR108" s="139"/>
      <c r="QYS108" s="139"/>
      <c r="QYT108" s="139"/>
      <c r="QYU108" s="139"/>
      <c r="QYV108" s="139"/>
      <c r="QYW108" s="139"/>
      <c r="QYX108" s="139"/>
      <c r="QYY108" s="139"/>
      <c r="QYZ108" s="139"/>
      <c r="QZA108" s="139"/>
      <c r="QZB108" s="139"/>
      <c r="QZC108" s="139"/>
      <c r="QZD108" s="139"/>
      <c r="QZE108" s="139"/>
      <c r="QZF108" s="139"/>
      <c r="QZG108" s="139"/>
      <c r="QZH108" s="139"/>
      <c r="QZI108" s="139"/>
      <c r="QZJ108" s="139"/>
      <c r="QZK108" s="139"/>
      <c r="QZL108" s="139"/>
      <c r="QZM108" s="139"/>
      <c r="QZN108" s="139"/>
      <c r="QZO108" s="139"/>
      <c r="QZP108" s="139"/>
      <c r="QZQ108" s="139"/>
      <c r="QZR108" s="139"/>
      <c r="QZS108" s="139"/>
      <c r="QZT108" s="139"/>
      <c r="QZU108" s="139"/>
      <c r="QZV108" s="139"/>
      <c r="QZW108" s="139"/>
      <c r="QZX108" s="139"/>
      <c r="QZY108" s="139"/>
      <c r="QZZ108" s="139"/>
      <c r="RAA108" s="139"/>
      <c r="RAB108" s="139"/>
      <c r="RAC108" s="139"/>
      <c r="RAD108" s="139"/>
      <c r="RAE108" s="139"/>
      <c r="RAF108" s="139"/>
      <c r="RAG108" s="139"/>
      <c r="RAH108" s="139"/>
      <c r="RAI108" s="139"/>
      <c r="RAJ108" s="139"/>
      <c r="RAK108" s="139"/>
      <c r="RAL108" s="139"/>
      <c r="RAM108" s="139"/>
      <c r="RAN108" s="139"/>
      <c r="RAO108" s="139"/>
      <c r="RAP108" s="139"/>
      <c r="RAQ108" s="139"/>
      <c r="RAR108" s="139"/>
      <c r="RAS108" s="139"/>
      <c r="RAT108" s="139"/>
      <c r="RAU108" s="139"/>
      <c r="RAV108" s="139"/>
      <c r="RAW108" s="139"/>
      <c r="RAX108" s="139"/>
      <c r="RAY108" s="139"/>
      <c r="RAZ108" s="139"/>
      <c r="RBA108" s="139"/>
      <c r="RBB108" s="139"/>
      <c r="RBC108" s="139"/>
      <c r="RBD108" s="139"/>
      <c r="RBE108" s="139"/>
      <c r="RBF108" s="139"/>
      <c r="RBG108" s="139"/>
      <c r="RBH108" s="139"/>
      <c r="RBI108" s="139"/>
      <c r="RBJ108" s="139"/>
      <c r="RBK108" s="139"/>
      <c r="RBL108" s="139"/>
      <c r="RBM108" s="139"/>
      <c r="RBN108" s="139"/>
      <c r="RBO108" s="139"/>
      <c r="RBP108" s="139"/>
      <c r="RBQ108" s="139"/>
      <c r="RBR108" s="139"/>
      <c r="RBS108" s="139"/>
      <c r="RBT108" s="139"/>
      <c r="RBU108" s="139"/>
      <c r="RBV108" s="139"/>
      <c r="RBW108" s="139"/>
      <c r="RBX108" s="139"/>
      <c r="RBY108" s="139"/>
      <c r="RBZ108" s="139"/>
      <c r="RCA108" s="139"/>
      <c r="RCB108" s="139"/>
      <c r="RCC108" s="139"/>
      <c r="RCD108" s="139"/>
      <c r="RCE108" s="139"/>
      <c r="RCF108" s="139"/>
      <c r="RCG108" s="139"/>
      <c r="RCH108" s="139"/>
      <c r="RCI108" s="139"/>
      <c r="RCJ108" s="139"/>
      <c r="RCK108" s="139"/>
      <c r="RCL108" s="139"/>
      <c r="RCM108" s="139"/>
      <c r="RCN108" s="139"/>
      <c r="RCO108" s="139"/>
      <c r="RCP108" s="139"/>
      <c r="RCQ108" s="139"/>
      <c r="RCR108" s="139"/>
      <c r="RCS108" s="139"/>
      <c r="RCT108" s="139"/>
      <c r="RCU108" s="139"/>
      <c r="RCV108" s="139"/>
      <c r="RCW108" s="139"/>
      <c r="RCX108" s="139"/>
      <c r="RCY108" s="139"/>
      <c r="RCZ108" s="139"/>
      <c r="RDA108" s="139"/>
      <c r="RDB108" s="139"/>
      <c r="RDC108" s="139"/>
      <c r="RDD108" s="139"/>
      <c r="RDE108" s="139"/>
      <c r="RDF108" s="139"/>
      <c r="RDG108" s="139"/>
      <c r="RDH108" s="139"/>
      <c r="RDI108" s="139"/>
      <c r="RDJ108" s="139"/>
      <c r="RDK108" s="139"/>
      <c r="RDL108" s="139"/>
      <c r="RDM108" s="139"/>
      <c r="RDN108" s="139"/>
      <c r="RDO108" s="139"/>
      <c r="RDP108" s="139"/>
      <c r="RDQ108" s="139"/>
      <c r="RDR108" s="139"/>
      <c r="RDS108" s="139"/>
      <c r="RDT108" s="139"/>
      <c r="RDU108" s="139"/>
      <c r="RDV108" s="139"/>
      <c r="RDW108" s="139"/>
      <c r="RDX108" s="139"/>
      <c r="RDY108" s="139"/>
      <c r="RDZ108" s="139"/>
      <c r="REA108" s="139"/>
      <c r="REB108" s="139"/>
      <c r="REC108" s="139"/>
      <c r="RED108" s="139"/>
      <c r="REE108" s="139"/>
      <c r="REF108" s="139"/>
      <c r="REG108" s="139"/>
      <c r="REH108" s="139"/>
      <c r="REI108" s="139"/>
      <c r="REJ108" s="139"/>
      <c r="REK108" s="139"/>
      <c r="REL108" s="139"/>
      <c r="REM108" s="139"/>
      <c r="REN108" s="139"/>
      <c r="REO108" s="139"/>
      <c r="REP108" s="139"/>
      <c r="REQ108" s="139"/>
      <c r="RER108" s="139"/>
      <c r="RES108" s="139"/>
      <c r="RET108" s="139"/>
      <c r="REU108" s="139"/>
      <c r="REV108" s="139"/>
      <c r="REW108" s="139"/>
      <c r="REX108" s="139"/>
      <c r="REY108" s="139"/>
      <c r="REZ108" s="139"/>
      <c r="RFA108" s="139"/>
      <c r="RFB108" s="139"/>
      <c r="RFC108" s="139"/>
      <c r="RFD108" s="139"/>
      <c r="RFE108" s="139"/>
      <c r="RFF108" s="139"/>
      <c r="RFG108" s="139"/>
      <c r="RFH108" s="139"/>
      <c r="RFI108" s="139"/>
      <c r="RFJ108" s="139"/>
      <c r="RFK108" s="139"/>
      <c r="RFL108" s="139"/>
      <c r="RFM108" s="139"/>
      <c r="RFN108" s="139"/>
      <c r="RFO108" s="139"/>
      <c r="RFP108" s="139"/>
      <c r="RFQ108" s="139"/>
      <c r="RFR108" s="139"/>
      <c r="RFS108" s="139"/>
      <c r="RFT108" s="139"/>
      <c r="RFU108" s="139"/>
      <c r="RFV108" s="139"/>
      <c r="RFW108" s="139"/>
      <c r="RFX108" s="139"/>
      <c r="RFY108" s="139"/>
      <c r="RFZ108" s="139"/>
      <c r="RGA108" s="139"/>
      <c r="RGB108" s="139"/>
      <c r="RGC108" s="139"/>
      <c r="RGD108" s="139"/>
      <c r="RGE108" s="139"/>
      <c r="RGF108" s="139"/>
      <c r="RGG108" s="139"/>
      <c r="RGH108" s="139"/>
      <c r="RGI108" s="139"/>
      <c r="RGJ108" s="139"/>
      <c r="RGK108" s="139"/>
      <c r="RGL108" s="139"/>
      <c r="RGM108" s="139"/>
      <c r="RGN108" s="139"/>
      <c r="RGO108" s="139"/>
      <c r="RGP108" s="139"/>
      <c r="RGQ108" s="139"/>
      <c r="RGR108" s="139"/>
      <c r="RGS108" s="139"/>
      <c r="RGT108" s="139"/>
      <c r="RGU108" s="139"/>
      <c r="RGV108" s="139"/>
      <c r="RGW108" s="139"/>
      <c r="RGX108" s="139"/>
      <c r="RGY108" s="139"/>
      <c r="RGZ108" s="139"/>
      <c r="RHA108" s="139"/>
      <c r="RHB108" s="139"/>
      <c r="RHC108" s="139"/>
      <c r="RHD108" s="139"/>
      <c r="RHE108" s="139"/>
      <c r="RHF108" s="139"/>
      <c r="RHG108" s="139"/>
      <c r="RHH108" s="139"/>
      <c r="RHI108" s="139"/>
      <c r="RHJ108" s="139"/>
      <c r="RHK108" s="139"/>
      <c r="RHL108" s="139"/>
      <c r="RHM108" s="139"/>
      <c r="RHN108" s="139"/>
      <c r="RHO108" s="139"/>
      <c r="RHP108" s="139"/>
      <c r="RHQ108" s="139"/>
      <c r="RHR108" s="139"/>
      <c r="RHS108" s="139"/>
      <c r="RHT108" s="139"/>
      <c r="RHU108" s="139"/>
      <c r="RHV108" s="139"/>
      <c r="RHW108" s="139"/>
      <c r="RHX108" s="139"/>
      <c r="RHY108" s="139"/>
      <c r="RHZ108" s="139"/>
      <c r="RIA108" s="139"/>
      <c r="RIB108" s="139"/>
      <c r="RIC108" s="139"/>
      <c r="RID108" s="139"/>
      <c r="RIE108" s="139"/>
      <c r="RIF108" s="139"/>
      <c r="RIG108" s="139"/>
      <c r="RIH108" s="139"/>
      <c r="RII108" s="139"/>
      <c r="RIJ108" s="139"/>
      <c r="RIK108" s="139"/>
      <c r="RIL108" s="139"/>
      <c r="RIM108" s="139"/>
      <c r="RIN108" s="139"/>
      <c r="RIO108" s="139"/>
      <c r="RIP108" s="139"/>
      <c r="RIQ108" s="139"/>
      <c r="RIR108" s="139"/>
      <c r="RIS108" s="139"/>
      <c r="RIT108" s="139"/>
      <c r="RIU108" s="139"/>
      <c r="RIV108" s="139"/>
      <c r="RIW108" s="139"/>
      <c r="RIX108" s="139"/>
      <c r="RIY108" s="139"/>
      <c r="RIZ108" s="139"/>
      <c r="RJA108" s="139"/>
      <c r="RJB108" s="139"/>
      <c r="RJC108" s="139"/>
      <c r="RJD108" s="139"/>
      <c r="RJE108" s="139"/>
      <c r="RJF108" s="139"/>
      <c r="RJG108" s="139"/>
      <c r="RJH108" s="139"/>
      <c r="RJI108" s="139"/>
      <c r="RJJ108" s="139"/>
      <c r="RJK108" s="139"/>
      <c r="RJL108" s="139"/>
      <c r="RJM108" s="139"/>
      <c r="RJN108" s="139"/>
      <c r="RJO108" s="139"/>
      <c r="RJP108" s="139"/>
      <c r="RJQ108" s="139"/>
      <c r="RJR108" s="139"/>
      <c r="RJS108" s="139"/>
      <c r="RJT108" s="139"/>
      <c r="RJU108" s="139"/>
      <c r="RJV108" s="139"/>
      <c r="RJW108" s="139"/>
      <c r="RJX108" s="139"/>
      <c r="RJY108" s="139"/>
      <c r="RJZ108" s="139"/>
      <c r="RKA108" s="139"/>
      <c r="RKB108" s="139"/>
      <c r="RKC108" s="139"/>
      <c r="RKD108" s="139"/>
      <c r="RKE108" s="139"/>
      <c r="RKF108" s="139"/>
      <c r="RKG108" s="139"/>
      <c r="RKH108" s="139"/>
      <c r="RKI108" s="139"/>
      <c r="RKJ108" s="139"/>
      <c r="RKK108" s="139"/>
      <c r="RKL108" s="139"/>
      <c r="RKM108" s="139"/>
      <c r="RKN108" s="139"/>
      <c r="RKO108" s="139"/>
      <c r="RKP108" s="139"/>
      <c r="RKQ108" s="139"/>
      <c r="RKR108" s="139"/>
      <c r="RKS108" s="139"/>
      <c r="RKT108" s="139"/>
      <c r="RKU108" s="139"/>
      <c r="RKV108" s="139"/>
      <c r="RKW108" s="139"/>
      <c r="RKX108" s="139"/>
      <c r="RKY108" s="139"/>
      <c r="RKZ108" s="139"/>
      <c r="RLA108" s="139"/>
      <c r="RLB108" s="139"/>
      <c r="RLC108" s="139"/>
      <c r="RLD108" s="139"/>
      <c r="RLE108" s="139"/>
      <c r="RLF108" s="139"/>
      <c r="RLG108" s="139"/>
      <c r="RLH108" s="139"/>
      <c r="RLI108" s="139"/>
      <c r="RLJ108" s="139"/>
      <c r="RLK108" s="139"/>
      <c r="RLL108" s="139"/>
      <c r="RLM108" s="139"/>
      <c r="RLN108" s="139"/>
      <c r="RLO108" s="139"/>
      <c r="RLP108" s="139"/>
      <c r="RLQ108" s="139"/>
      <c r="RLR108" s="139"/>
      <c r="RLS108" s="139"/>
      <c r="RLT108" s="139"/>
      <c r="RLU108" s="139"/>
      <c r="RLV108" s="139"/>
      <c r="RLW108" s="139"/>
      <c r="RLX108" s="139"/>
      <c r="RLY108" s="139"/>
      <c r="RLZ108" s="139"/>
      <c r="RMA108" s="139"/>
      <c r="RMB108" s="139"/>
      <c r="RMC108" s="139"/>
      <c r="RMD108" s="139"/>
      <c r="RME108" s="139"/>
      <c r="RMF108" s="139"/>
      <c r="RMG108" s="139"/>
      <c r="RMH108" s="139"/>
      <c r="RMI108" s="139"/>
      <c r="RMJ108" s="139"/>
      <c r="RMK108" s="139"/>
      <c r="RML108" s="139"/>
      <c r="RMM108" s="139"/>
      <c r="RMN108" s="139"/>
      <c r="RMO108" s="139"/>
      <c r="RMP108" s="139"/>
      <c r="RMQ108" s="139"/>
      <c r="RMR108" s="139"/>
      <c r="RMS108" s="139"/>
      <c r="RMT108" s="139"/>
      <c r="RMU108" s="139"/>
      <c r="RMV108" s="139"/>
      <c r="RMW108" s="139"/>
      <c r="RMX108" s="139"/>
      <c r="RMY108" s="139"/>
      <c r="RMZ108" s="139"/>
      <c r="RNA108" s="139"/>
      <c r="RNB108" s="139"/>
      <c r="RNC108" s="139"/>
      <c r="RND108" s="139"/>
      <c r="RNE108" s="139"/>
      <c r="RNF108" s="139"/>
      <c r="RNG108" s="139"/>
      <c r="RNH108" s="139"/>
      <c r="RNI108" s="139"/>
      <c r="RNJ108" s="139"/>
      <c r="RNK108" s="139"/>
      <c r="RNL108" s="139"/>
      <c r="RNM108" s="139"/>
      <c r="RNN108" s="139"/>
      <c r="RNO108" s="139"/>
      <c r="RNP108" s="139"/>
      <c r="RNQ108" s="139"/>
      <c r="RNR108" s="139"/>
      <c r="RNS108" s="139"/>
      <c r="RNT108" s="139"/>
      <c r="RNU108" s="139"/>
      <c r="RNV108" s="139"/>
      <c r="RNW108" s="139"/>
      <c r="RNX108" s="139"/>
      <c r="RNY108" s="139"/>
      <c r="RNZ108" s="139"/>
      <c r="ROA108" s="139"/>
      <c r="ROB108" s="139"/>
      <c r="ROC108" s="139"/>
      <c r="ROD108" s="139"/>
      <c r="ROE108" s="139"/>
      <c r="ROF108" s="139"/>
      <c r="ROG108" s="139"/>
      <c r="ROH108" s="139"/>
      <c r="ROI108" s="139"/>
      <c r="ROJ108" s="139"/>
      <c r="ROK108" s="139"/>
      <c r="ROL108" s="139"/>
      <c r="ROM108" s="139"/>
      <c r="RON108" s="139"/>
      <c r="ROO108" s="139"/>
      <c r="ROP108" s="139"/>
      <c r="ROQ108" s="139"/>
      <c r="ROR108" s="139"/>
      <c r="ROS108" s="139"/>
      <c r="ROT108" s="139"/>
      <c r="ROU108" s="139"/>
      <c r="ROV108" s="139"/>
      <c r="ROW108" s="139"/>
      <c r="ROX108" s="139"/>
      <c r="ROY108" s="139"/>
      <c r="ROZ108" s="139"/>
      <c r="RPA108" s="139"/>
      <c r="RPB108" s="139"/>
      <c r="RPC108" s="139"/>
      <c r="RPD108" s="139"/>
      <c r="RPE108" s="139"/>
      <c r="RPF108" s="139"/>
      <c r="RPG108" s="139"/>
      <c r="RPH108" s="139"/>
      <c r="RPI108" s="139"/>
      <c r="RPJ108" s="139"/>
      <c r="RPK108" s="139"/>
      <c r="RPL108" s="139"/>
      <c r="RPM108" s="139"/>
      <c r="RPN108" s="139"/>
      <c r="RPO108" s="139"/>
      <c r="RPP108" s="139"/>
      <c r="RPQ108" s="139"/>
      <c r="RPR108" s="139"/>
      <c r="RPS108" s="139"/>
      <c r="RPT108" s="139"/>
      <c r="RPU108" s="139"/>
      <c r="RPV108" s="139"/>
      <c r="RPW108" s="139"/>
      <c r="RPX108" s="139"/>
      <c r="RPY108" s="139"/>
      <c r="RPZ108" s="139"/>
      <c r="RQA108" s="139"/>
      <c r="RQB108" s="139"/>
      <c r="RQC108" s="139"/>
      <c r="RQD108" s="139"/>
      <c r="RQE108" s="139"/>
      <c r="RQF108" s="139"/>
      <c r="RQG108" s="139"/>
      <c r="RQH108" s="139"/>
      <c r="RQI108" s="139"/>
      <c r="RQJ108" s="139"/>
      <c r="RQK108" s="139"/>
      <c r="RQL108" s="139"/>
      <c r="RQM108" s="139"/>
      <c r="RQN108" s="139"/>
      <c r="RQO108" s="139"/>
      <c r="RQP108" s="139"/>
      <c r="RQQ108" s="139"/>
      <c r="RQR108" s="139"/>
      <c r="RQS108" s="139"/>
      <c r="RQT108" s="139"/>
      <c r="RQU108" s="139"/>
      <c r="RQV108" s="139"/>
      <c r="RQW108" s="139"/>
      <c r="RQX108" s="139"/>
      <c r="RQY108" s="139"/>
      <c r="RQZ108" s="139"/>
      <c r="RRA108" s="139"/>
      <c r="RRB108" s="139"/>
      <c r="RRC108" s="139"/>
      <c r="RRD108" s="139"/>
      <c r="RRE108" s="139"/>
      <c r="RRF108" s="139"/>
      <c r="RRG108" s="139"/>
      <c r="RRH108" s="139"/>
      <c r="RRI108" s="139"/>
      <c r="RRJ108" s="139"/>
      <c r="RRK108" s="139"/>
      <c r="RRL108" s="139"/>
      <c r="RRM108" s="139"/>
      <c r="RRN108" s="139"/>
      <c r="RRO108" s="139"/>
      <c r="RRP108" s="139"/>
      <c r="RRQ108" s="139"/>
      <c r="RRR108" s="139"/>
      <c r="RRS108" s="139"/>
      <c r="RRT108" s="139"/>
      <c r="RRU108" s="139"/>
      <c r="RRV108" s="139"/>
      <c r="RRW108" s="139"/>
      <c r="RRX108" s="139"/>
      <c r="RRY108" s="139"/>
      <c r="RRZ108" s="139"/>
      <c r="RSA108" s="139"/>
      <c r="RSB108" s="139"/>
      <c r="RSC108" s="139"/>
      <c r="RSD108" s="139"/>
      <c r="RSE108" s="139"/>
      <c r="RSF108" s="139"/>
      <c r="RSG108" s="139"/>
      <c r="RSH108" s="139"/>
      <c r="RSI108" s="139"/>
      <c r="RSJ108" s="139"/>
      <c r="RSK108" s="139"/>
      <c r="RSL108" s="139"/>
      <c r="RSM108" s="139"/>
      <c r="RSN108" s="139"/>
      <c r="RSO108" s="139"/>
      <c r="RSP108" s="139"/>
      <c r="RSQ108" s="139"/>
      <c r="RSR108" s="139"/>
      <c r="RSS108" s="139"/>
      <c r="RST108" s="139"/>
      <c r="RSU108" s="139"/>
      <c r="RSV108" s="139"/>
      <c r="RSW108" s="139"/>
      <c r="RSX108" s="139"/>
      <c r="RSY108" s="139"/>
      <c r="RSZ108" s="139"/>
      <c r="RTA108" s="139"/>
      <c r="RTB108" s="139"/>
      <c r="RTC108" s="139"/>
      <c r="RTD108" s="139"/>
      <c r="RTE108" s="139"/>
      <c r="RTF108" s="139"/>
      <c r="RTG108" s="139"/>
      <c r="RTH108" s="139"/>
      <c r="RTI108" s="139"/>
      <c r="RTJ108" s="139"/>
      <c r="RTK108" s="139"/>
      <c r="RTL108" s="139"/>
      <c r="RTM108" s="139"/>
      <c r="RTN108" s="139"/>
      <c r="RTO108" s="139"/>
      <c r="RTP108" s="139"/>
      <c r="RTQ108" s="139"/>
      <c r="RTR108" s="139"/>
      <c r="RTS108" s="139"/>
      <c r="RTT108" s="139"/>
      <c r="RTU108" s="139"/>
      <c r="RTV108" s="139"/>
      <c r="RTW108" s="139"/>
      <c r="RTX108" s="139"/>
      <c r="RTY108" s="139"/>
      <c r="RTZ108" s="139"/>
      <c r="RUA108" s="139"/>
      <c r="RUB108" s="139"/>
      <c r="RUC108" s="139"/>
      <c r="RUD108" s="139"/>
      <c r="RUE108" s="139"/>
      <c r="RUF108" s="139"/>
      <c r="RUG108" s="139"/>
      <c r="RUH108" s="139"/>
      <c r="RUI108" s="139"/>
      <c r="RUJ108" s="139"/>
      <c r="RUK108" s="139"/>
      <c r="RUL108" s="139"/>
      <c r="RUM108" s="139"/>
      <c r="RUN108" s="139"/>
      <c r="RUO108" s="139"/>
      <c r="RUP108" s="139"/>
      <c r="RUQ108" s="139"/>
      <c r="RUR108" s="139"/>
      <c r="RUS108" s="139"/>
      <c r="RUT108" s="139"/>
      <c r="RUU108" s="139"/>
      <c r="RUV108" s="139"/>
      <c r="RUW108" s="139"/>
      <c r="RUX108" s="139"/>
      <c r="RUY108" s="139"/>
      <c r="RUZ108" s="139"/>
      <c r="RVA108" s="139"/>
      <c r="RVB108" s="139"/>
      <c r="RVC108" s="139"/>
      <c r="RVD108" s="139"/>
      <c r="RVE108" s="139"/>
      <c r="RVF108" s="139"/>
      <c r="RVG108" s="139"/>
      <c r="RVH108" s="139"/>
      <c r="RVI108" s="139"/>
      <c r="RVJ108" s="139"/>
      <c r="RVK108" s="139"/>
      <c r="RVL108" s="139"/>
      <c r="RVM108" s="139"/>
      <c r="RVN108" s="139"/>
      <c r="RVO108" s="139"/>
      <c r="RVP108" s="139"/>
      <c r="RVQ108" s="139"/>
      <c r="RVR108" s="139"/>
      <c r="RVS108" s="139"/>
      <c r="RVT108" s="139"/>
      <c r="RVU108" s="139"/>
      <c r="RVV108" s="139"/>
      <c r="RVW108" s="139"/>
      <c r="RVX108" s="139"/>
      <c r="RVY108" s="139"/>
      <c r="RVZ108" s="139"/>
      <c r="RWA108" s="139"/>
      <c r="RWB108" s="139"/>
      <c r="RWC108" s="139"/>
      <c r="RWD108" s="139"/>
      <c r="RWE108" s="139"/>
      <c r="RWF108" s="139"/>
      <c r="RWG108" s="139"/>
      <c r="RWH108" s="139"/>
      <c r="RWI108" s="139"/>
      <c r="RWJ108" s="139"/>
      <c r="RWK108" s="139"/>
      <c r="RWL108" s="139"/>
      <c r="RWM108" s="139"/>
      <c r="RWN108" s="139"/>
      <c r="RWO108" s="139"/>
      <c r="RWP108" s="139"/>
      <c r="RWQ108" s="139"/>
      <c r="RWR108" s="139"/>
      <c r="RWS108" s="139"/>
      <c r="RWT108" s="139"/>
      <c r="RWU108" s="139"/>
      <c r="RWV108" s="139"/>
      <c r="RWW108" s="139"/>
      <c r="RWX108" s="139"/>
      <c r="RWY108" s="139"/>
      <c r="RWZ108" s="139"/>
      <c r="RXA108" s="139"/>
      <c r="RXB108" s="139"/>
      <c r="RXC108" s="139"/>
      <c r="RXD108" s="139"/>
      <c r="RXE108" s="139"/>
      <c r="RXF108" s="139"/>
      <c r="RXG108" s="139"/>
      <c r="RXH108" s="139"/>
      <c r="RXI108" s="139"/>
      <c r="RXJ108" s="139"/>
      <c r="RXK108" s="139"/>
      <c r="RXL108" s="139"/>
      <c r="RXM108" s="139"/>
      <c r="RXN108" s="139"/>
      <c r="RXO108" s="139"/>
      <c r="RXP108" s="139"/>
      <c r="RXQ108" s="139"/>
      <c r="RXR108" s="139"/>
      <c r="RXS108" s="139"/>
      <c r="RXT108" s="139"/>
      <c r="RXU108" s="139"/>
      <c r="RXV108" s="139"/>
      <c r="RXW108" s="139"/>
      <c r="RXX108" s="139"/>
      <c r="RXY108" s="139"/>
      <c r="RXZ108" s="139"/>
      <c r="RYA108" s="139"/>
      <c r="RYB108" s="139"/>
      <c r="RYC108" s="139"/>
      <c r="RYD108" s="139"/>
      <c r="RYE108" s="139"/>
      <c r="RYF108" s="139"/>
      <c r="RYG108" s="139"/>
      <c r="RYH108" s="139"/>
      <c r="RYI108" s="139"/>
      <c r="RYJ108" s="139"/>
      <c r="RYK108" s="139"/>
      <c r="RYL108" s="139"/>
      <c r="RYM108" s="139"/>
      <c r="RYN108" s="139"/>
      <c r="RYO108" s="139"/>
      <c r="RYP108" s="139"/>
      <c r="RYQ108" s="139"/>
      <c r="RYR108" s="139"/>
      <c r="RYS108" s="139"/>
      <c r="RYT108" s="139"/>
      <c r="RYU108" s="139"/>
      <c r="RYV108" s="139"/>
      <c r="RYW108" s="139"/>
      <c r="RYX108" s="139"/>
      <c r="RYY108" s="139"/>
      <c r="RYZ108" s="139"/>
      <c r="RZA108" s="139"/>
      <c r="RZB108" s="139"/>
      <c r="RZC108" s="139"/>
      <c r="RZD108" s="139"/>
      <c r="RZE108" s="139"/>
      <c r="RZF108" s="139"/>
      <c r="RZG108" s="139"/>
      <c r="RZH108" s="139"/>
      <c r="RZI108" s="139"/>
      <c r="RZJ108" s="139"/>
      <c r="RZK108" s="139"/>
      <c r="RZL108" s="139"/>
      <c r="RZM108" s="139"/>
      <c r="RZN108" s="139"/>
      <c r="RZO108" s="139"/>
      <c r="RZP108" s="139"/>
      <c r="RZQ108" s="139"/>
      <c r="RZR108" s="139"/>
      <c r="RZS108" s="139"/>
      <c r="RZT108" s="139"/>
      <c r="RZU108" s="139"/>
      <c r="RZV108" s="139"/>
      <c r="RZW108" s="139"/>
      <c r="RZX108" s="139"/>
      <c r="RZY108" s="139"/>
      <c r="RZZ108" s="139"/>
      <c r="SAA108" s="139"/>
      <c r="SAB108" s="139"/>
      <c r="SAC108" s="139"/>
      <c r="SAD108" s="139"/>
      <c r="SAE108" s="139"/>
      <c r="SAF108" s="139"/>
      <c r="SAG108" s="139"/>
      <c r="SAH108" s="139"/>
      <c r="SAI108" s="139"/>
      <c r="SAJ108" s="139"/>
      <c r="SAK108" s="139"/>
      <c r="SAL108" s="139"/>
      <c r="SAM108" s="139"/>
      <c r="SAN108" s="139"/>
      <c r="SAO108" s="139"/>
      <c r="SAP108" s="139"/>
      <c r="SAQ108" s="139"/>
      <c r="SAR108" s="139"/>
      <c r="SAS108" s="139"/>
      <c r="SAT108" s="139"/>
      <c r="SAU108" s="139"/>
      <c r="SAV108" s="139"/>
      <c r="SAW108" s="139"/>
      <c r="SAX108" s="139"/>
      <c r="SAY108" s="139"/>
      <c r="SAZ108" s="139"/>
      <c r="SBA108" s="139"/>
      <c r="SBB108" s="139"/>
      <c r="SBC108" s="139"/>
      <c r="SBD108" s="139"/>
      <c r="SBE108" s="139"/>
      <c r="SBF108" s="139"/>
      <c r="SBG108" s="139"/>
      <c r="SBH108" s="139"/>
      <c r="SBI108" s="139"/>
      <c r="SBJ108" s="139"/>
      <c r="SBK108" s="139"/>
      <c r="SBL108" s="139"/>
      <c r="SBM108" s="139"/>
      <c r="SBN108" s="139"/>
      <c r="SBO108" s="139"/>
      <c r="SBP108" s="139"/>
      <c r="SBQ108" s="139"/>
      <c r="SBR108" s="139"/>
      <c r="SBS108" s="139"/>
      <c r="SBT108" s="139"/>
      <c r="SBU108" s="139"/>
      <c r="SBV108" s="139"/>
      <c r="SBW108" s="139"/>
      <c r="SBX108" s="139"/>
      <c r="SBY108" s="139"/>
      <c r="SBZ108" s="139"/>
      <c r="SCA108" s="139"/>
      <c r="SCB108" s="139"/>
      <c r="SCC108" s="139"/>
      <c r="SCD108" s="139"/>
      <c r="SCE108" s="139"/>
      <c r="SCF108" s="139"/>
      <c r="SCG108" s="139"/>
      <c r="SCH108" s="139"/>
      <c r="SCI108" s="139"/>
      <c r="SCJ108" s="139"/>
      <c r="SCK108" s="139"/>
      <c r="SCL108" s="139"/>
      <c r="SCM108" s="139"/>
      <c r="SCN108" s="139"/>
      <c r="SCO108" s="139"/>
      <c r="SCP108" s="139"/>
      <c r="SCQ108" s="139"/>
      <c r="SCR108" s="139"/>
      <c r="SCS108" s="139"/>
      <c r="SCT108" s="139"/>
      <c r="SCU108" s="139"/>
      <c r="SCV108" s="139"/>
      <c r="SCW108" s="139"/>
      <c r="SCX108" s="139"/>
      <c r="SCY108" s="139"/>
      <c r="SCZ108" s="139"/>
      <c r="SDA108" s="139"/>
      <c r="SDB108" s="139"/>
      <c r="SDC108" s="139"/>
      <c r="SDD108" s="139"/>
      <c r="SDE108" s="139"/>
      <c r="SDF108" s="139"/>
      <c r="SDG108" s="139"/>
      <c r="SDH108" s="139"/>
      <c r="SDI108" s="139"/>
      <c r="SDJ108" s="139"/>
      <c r="SDK108" s="139"/>
      <c r="SDL108" s="139"/>
      <c r="SDM108" s="139"/>
      <c r="SDN108" s="139"/>
      <c r="SDO108" s="139"/>
      <c r="SDP108" s="139"/>
      <c r="SDQ108" s="139"/>
      <c r="SDR108" s="139"/>
      <c r="SDS108" s="139"/>
      <c r="SDT108" s="139"/>
      <c r="SDU108" s="139"/>
      <c r="SDV108" s="139"/>
      <c r="SDW108" s="139"/>
      <c r="SDX108" s="139"/>
      <c r="SDY108" s="139"/>
      <c r="SDZ108" s="139"/>
      <c r="SEA108" s="139"/>
      <c r="SEB108" s="139"/>
      <c r="SEC108" s="139"/>
      <c r="SED108" s="139"/>
      <c r="SEE108" s="139"/>
      <c r="SEF108" s="139"/>
      <c r="SEG108" s="139"/>
      <c r="SEH108" s="139"/>
      <c r="SEI108" s="139"/>
      <c r="SEJ108" s="139"/>
      <c r="SEK108" s="139"/>
      <c r="SEL108" s="139"/>
      <c r="SEM108" s="139"/>
      <c r="SEN108" s="139"/>
      <c r="SEO108" s="139"/>
      <c r="SEP108" s="139"/>
      <c r="SEQ108" s="139"/>
      <c r="SER108" s="139"/>
      <c r="SES108" s="139"/>
      <c r="SET108" s="139"/>
      <c r="SEU108" s="139"/>
      <c r="SEV108" s="139"/>
      <c r="SEW108" s="139"/>
      <c r="SEX108" s="139"/>
      <c r="SEY108" s="139"/>
      <c r="SEZ108" s="139"/>
      <c r="SFA108" s="139"/>
      <c r="SFB108" s="139"/>
      <c r="SFC108" s="139"/>
      <c r="SFD108" s="139"/>
      <c r="SFE108" s="139"/>
      <c r="SFF108" s="139"/>
      <c r="SFG108" s="139"/>
      <c r="SFH108" s="139"/>
      <c r="SFI108" s="139"/>
      <c r="SFJ108" s="139"/>
      <c r="SFK108" s="139"/>
      <c r="SFL108" s="139"/>
      <c r="SFM108" s="139"/>
      <c r="SFN108" s="139"/>
      <c r="SFO108" s="139"/>
      <c r="SFP108" s="139"/>
      <c r="SFQ108" s="139"/>
      <c r="SFR108" s="139"/>
      <c r="SFS108" s="139"/>
      <c r="SFT108" s="139"/>
      <c r="SFU108" s="139"/>
      <c r="SFV108" s="139"/>
      <c r="SFW108" s="139"/>
      <c r="SFX108" s="139"/>
      <c r="SFY108" s="139"/>
      <c r="SFZ108" s="139"/>
      <c r="SGA108" s="139"/>
      <c r="SGB108" s="139"/>
      <c r="SGC108" s="139"/>
      <c r="SGD108" s="139"/>
      <c r="SGE108" s="139"/>
      <c r="SGF108" s="139"/>
      <c r="SGG108" s="139"/>
      <c r="SGH108" s="139"/>
      <c r="SGI108" s="139"/>
      <c r="SGJ108" s="139"/>
      <c r="SGK108" s="139"/>
      <c r="SGL108" s="139"/>
      <c r="SGM108" s="139"/>
      <c r="SGN108" s="139"/>
      <c r="SGO108" s="139"/>
      <c r="SGP108" s="139"/>
      <c r="SGQ108" s="139"/>
      <c r="SGR108" s="139"/>
      <c r="SGS108" s="139"/>
      <c r="SGT108" s="139"/>
      <c r="SGU108" s="139"/>
      <c r="SGV108" s="139"/>
      <c r="SGW108" s="139"/>
      <c r="SGX108" s="139"/>
      <c r="SGY108" s="139"/>
      <c r="SGZ108" s="139"/>
      <c r="SHA108" s="139"/>
      <c r="SHB108" s="139"/>
      <c r="SHC108" s="139"/>
      <c r="SHD108" s="139"/>
      <c r="SHE108" s="139"/>
      <c r="SHF108" s="139"/>
      <c r="SHG108" s="139"/>
      <c r="SHH108" s="139"/>
      <c r="SHI108" s="139"/>
      <c r="SHJ108" s="139"/>
      <c r="SHK108" s="139"/>
      <c r="SHL108" s="139"/>
      <c r="SHM108" s="139"/>
      <c r="SHN108" s="139"/>
      <c r="SHO108" s="139"/>
      <c r="SHP108" s="139"/>
      <c r="SHQ108" s="139"/>
      <c r="SHR108" s="139"/>
      <c r="SHS108" s="139"/>
      <c r="SHT108" s="139"/>
      <c r="SHU108" s="139"/>
      <c r="SHV108" s="139"/>
      <c r="SHW108" s="139"/>
      <c r="SHX108" s="139"/>
      <c r="SHY108" s="139"/>
      <c r="SHZ108" s="139"/>
      <c r="SIA108" s="139"/>
      <c r="SIB108" s="139"/>
      <c r="SIC108" s="139"/>
      <c r="SID108" s="139"/>
      <c r="SIE108" s="139"/>
      <c r="SIF108" s="139"/>
      <c r="SIG108" s="139"/>
      <c r="SIH108" s="139"/>
      <c r="SII108" s="139"/>
      <c r="SIJ108" s="139"/>
      <c r="SIK108" s="139"/>
      <c r="SIL108" s="139"/>
      <c r="SIM108" s="139"/>
      <c r="SIN108" s="139"/>
      <c r="SIO108" s="139"/>
      <c r="SIP108" s="139"/>
      <c r="SIQ108" s="139"/>
      <c r="SIR108" s="139"/>
      <c r="SIS108" s="139"/>
      <c r="SIT108" s="139"/>
      <c r="SIU108" s="139"/>
      <c r="SIV108" s="139"/>
      <c r="SIW108" s="139"/>
      <c r="SIX108" s="139"/>
      <c r="SIY108" s="139"/>
      <c r="SIZ108" s="139"/>
      <c r="SJA108" s="139"/>
      <c r="SJB108" s="139"/>
      <c r="SJC108" s="139"/>
      <c r="SJD108" s="139"/>
      <c r="SJE108" s="139"/>
      <c r="SJF108" s="139"/>
      <c r="SJG108" s="139"/>
      <c r="SJH108" s="139"/>
      <c r="SJI108" s="139"/>
      <c r="SJJ108" s="139"/>
      <c r="SJK108" s="139"/>
      <c r="SJL108" s="139"/>
      <c r="SJM108" s="139"/>
      <c r="SJN108" s="139"/>
      <c r="SJO108" s="139"/>
      <c r="SJP108" s="139"/>
      <c r="SJQ108" s="139"/>
      <c r="SJR108" s="139"/>
      <c r="SJS108" s="139"/>
      <c r="SJT108" s="139"/>
      <c r="SJU108" s="139"/>
      <c r="SJV108" s="139"/>
      <c r="SJW108" s="139"/>
      <c r="SJX108" s="139"/>
      <c r="SJY108" s="139"/>
      <c r="SJZ108" s="139"/>
      <c r="SKA108" s="139"/>
      <c r="SKB108" s="139"/>
      <c r="SKC108" s="139"/>
      <c r="SKD108" s="139"/>
      <c r="SKE108" s="139"/>
      <c r="SKF108" s="139"/>
      <c r="SKG108" s="139"/>
      <c r="SKH108" s="139"/>
      <c r="SKI108" s="139"/>
      <c r="SKJ108" s="139"/>
      <c r="SKK108" s="139"/>
      <c r="SKL108" s="139"/>
      <c r="SKM108" s="139"/>
      <c r="SKN108" s="139"/>
      <c r="SKO108" s="139"/>
      <c r="SKP108" s="139"/>
      <c r="SKQ108" s="139"/>
      <c r="SKR108" s="139"/>
      <c r="SKS108" s="139"/>
      <c r="SKT108" s="139"/>
      <c r="SKU108" s="139"/>
      <c r="SKV108" s="139"/>
      <c r="SKW108" s="139"/>
      <c r="SKX108" s="139"/>
      <c r="SKY108" s="139"/>
      <c r="SKZ108" s="139"/>
      <c r="SLA108" s="139"/>
      <c r="SLB108" s="139"/>
      <c r="SLC108" s="139"/>
      <c r="SLD108" s="139"/>
      <c r="SLE108" s="139"/>
      <c r="SLF108" s="139"/>
      <c r="SLG108" s="139"/>
      <c r="SLH108" s="139"/>
      <c r="SLI108" s="139"/>
      <c r="SLJ108" s="139"/>
      <c r="SLK108" s="139"/>
      <c r="SLL108" s="139"/>
      <c r="SLM108" s="139"/>
      <c r="SLN108" s="139"/>
      <c r="SLO108" s="139"/>
      <c r="SLP108" s="139"/>
      <c r="SLQ108" s="139"/>
      <c r="SLR108" s="139"/>
      <c r="SLS108" s="139"/>
      <c r="SLT108" s="139"/>
      <c r="SLU108" s="139"/>
      <c r="SLV108" s="139"/>
      <c r="SLW108" s="139"/>
      <c r="SLX108" s="139"/>
      <c r="SLY108" s="139"/>
      <c r="SLZ108" s="139"/>
      <c r="SMA108" s="139"/>
      <c r="SMB108" s="139"/>
      <c r="SMC108" s="139"/>
      <c r="SMD108" s="139"/>
      <c r="SME108" s="139"/>
      <c r="SMF108" s="139"/>
      <c r="SMG108" s="139"/>
      <c r="SMH108" s="139"/>
      <c r="SMI108" s="139"/>
      <c r="SMJ108" s="139"/>
      <c r="SMK108" s="139"/>
      <c r="SML108" s="139"/>
      <c r="SMM108" s="139"/>
      <c r="SMN108" s="139"/>
      <c r="SMO108" s="139"/>
      <c r="SMP108" s="139"/>
      <c r="SMQ108" s="139"/>
      <c r="SMR108" s="139"/>
      <c r="SMS108" s="139"/>
      <c r="SMT108" s="139"/>
      <c r="SMU108" s="139"/>
      <c r="SMV108" s="139"/>
      <c r="SMW108" s="139"/>
      <c r="SMX108" s="139"/>
      <c r="SMY108" s="139"/>
      <c r="SMZ108" s="139"/>
      <c r="SNA108" s="139"/>
      <c r="SNB108" s="139"/>
      <c r="SNC108" s="139"/>
      <c r="SND108" s="139"/>
      <c r="SNE108" s="139"/>
      <c r="SNF108" s="139"/>
      <c r="SNG108" s="139"/>
      <c r="SNH108" s="139"/>
      <c r="SNI108" s="139"/>
      <c r="SNJ108" s="139"/>
      <c r="SNK108" s="139"/>
      <c r="SNL108" s="139"/>
      <c r="SNM108" s="139"/>
      <c r="SNN108" s="139"/>
      <c r="SNO108" s="139"/>
      <c r="SNP108" s="139"/>
      <c r="SNQ108" s="139"/>
      <c r="SNR108" s="139"/>
      <c r="SNS108" s="139"/>
      <c r="SNT108" s="139"/>
      <c r="SNU108" s="139"/>
      <c r="SNV108" s="139"/>
      <c r="SNW108" s="139"/>
      <c r="SNX108" s="139"/>
      <c r="SNY108" s="139"/>
      <c r="SNZ108" s="139"/>
      <c r="SOA108" s="139"/>
      <c r="SOB108" s="139"/>
      <c r="SOC108" s="139"/>
      <c r="SOD108" s="139"/>
      <c r="SOE108" s="139"/>
      <c r="SOF108" s="139"/>
      <c r="SOG108" s="139"/>
      <c r="SOH108" s="139"/>
      <c r="SOI108" s="139"/>
      <c r="SOJ108" s="139"/>
      <c r="SOK108" s="139"/>
      <c r="SOL108" s="139"/>
      <c r="SOM108" s="139"/>
      <c r="SON108" s="139"/>
      <c r="SOO108" s="139"/>
      <c r="SOP108" s="139"/>
      <c r="SOQ108" s="139"/>
      <c r="SOR108" s="139"/>
      <c r="SOS108" s="139"/>
      <c r="SOT108" s="139"/>
      <c r="SOU108" s="139"/>
      <c r="SOV108" s="139"/>
      <c r="SOW108" s="139"/>
      <c r="SOX108" s="139"/>
      <c r="SOY108" s="139"/>
      <c r="SOZ108" s="139"/>
      <c r="SPA108" s="139"/>
      <c r="SPB108" s="139"/>
      <c r="SPC108" s="139"/>
      <c r="SPD108" s="139"/>
      <c r="SPE108" s="139"/>
      <c r="SPF108" s="139"/>
      <c r="SPG108" s="139"/>
      <c r="SPH108" s="139"/>
      <c r="SPI108" s="139"/>
      <c r="SPJ108" s="139"/>
      <c r="SPK108" s="139"/>
      <c r="SPL108" s="139"/>
      <c r="SPM108" s="139"/>
      <c r="SPN108" s="139"/>
      <c r="SPO108" s="139"/>
      <c r="SPP108" s="139"/>
      <c r="SPQ108" s="139"/>
      <c r="SPR108" s="139"/>
      <c r="SPS108" s="139"/>
      <c r="SPT108" s="139"/>
      <c r="SPU108" s="139"/>
      <c r="SPV108" s="139"/>
      <c r="SPW108" s="139"/>
      <c r="SPX108" s="139"/>
      <c r="SPY108" s="139"/>
      <c r="SPZ108" s="139"/>
      <c r="SQA108" s="139"/>
      <c r="SQB108" s="139"/>
      <c r="SQC108" s="139"/>
      <c r="SQD108" s="139"/>
      <c r="SQE108" s="139"/>
      <c r="SQF108" s="139"/>
      <c r="SQG108" s="139"/>
      <c r="SQH108" s="139"/>
      <c r="SQI108" s="139"/>
      <c r="SQJ108" s="139"/>
      <c r="SQK108" s="139"/>
      <c r="SQL108" s="139"/>
      <c r="SQM108" s="139"/>
      <c r="SQN108" s="139"/>
      <c r="SQO108" s="139"/>
      <c r="SQP108" s="139"/>
      <c r="SQQ108" s="139"/>
      <c r="SQR108" s="139"/>
      <c r="SQS108" s="139"/>
      <c r="SQT108" s="139"/>
      <c r="SQU108" s="139"/>
      <c r="SQV108" s="139"/>
      <c r="SQW108" s="139"/>
      <c r="SQX108" s="139"/>
      <c r="SQY108" s="139"/>
      <c r="SQZ108" s="139"/>
      <c r="SRA108" s="139"/>
      <c r="SRB108" s="139"/>
      <c r="SRC108" s="139"/>
      <c r="SRD108" s="139"/>
      <c r="SRE108" s="139"/>
      <c r="SRF108" s="139"/>
      <c r="SRG108" s="139"/>
      <c r="SRH108" s="139"/>
      <c r="SRI108" s="139"/>
      <c r="SRJ108" s="139"/>
      <c r="SRK108" s="139"/>
      <c r="SRL108" s="139"/>
      <c r="SRM108" s="139"/>
      <c r="SRN108" s="139"/>
      <c r="SRO108" s="139"/>
      <c r="SRP108" s="139"/>
      <c r="SRQ108" s="139"/>
      <c r="SRR108" s="139"/>
      <c r="SRS108" s="139"/>
      <c r="SRT108" s="139"/>
      <c r="SRU108" s="139"/>
      <c r="SRV108" s="139"/>
      <c r="SRW108" s="139"/>
      <c r="SRX108" s="139"/>
      <c r="SRY108" s="139"/>
      <c r="SRZ108" s="139"/>
      <c r="SSA108" s="139"/>
      <c r="SSB108" s="139"/>
      <c r="SSC108" s="139"/>
      <c r="SSD108" s="139"/>
      <c r="SSE108" s="139"/>
      <c r="SSF108" s="139"/>
      <c r="SSG108" s="139"/>
      <c r="SSH108" s="139"/>
      <c r="SSI108" s="139"/>
      <c r="SSJ108" s="139"/>
      <c r="SSK108" s="139"/>
      <c r="SSL108" s="139"/>
      <c r="SSM108" s="139"/>
      <c r="SSN108" s="139"/>
      <c r="SSO108" s="139"/>
      <c r="SSP108" s="139"/>
      <c r="SSQ108" s="139"/>
      <c r="SSR108" s="139"/>
      <c r="SSS108" s="139"/>
      <c r="SST108" s="139"/>
      <c r="SSU108" s="139"/>
      <c r="SSV108" s="139"/>
      <c r="SSW108" s="139"/>
      <c r="SSX108" s="139"/>
      <c r="SSY108" s="139"/>
      <c r="SSZ108" s="139"/>
      <c r="STA108" s="139"/>
      <c r="STB108" s="139"/>
      <c r="STC108" s="139"/>
      <c r="STD108" s="139"/>
      <c r="STE108" s="139"/>
      <c r="STF108" s="139"/>
      <c r="STG108" s="139"/>
      <c r="STH108" s="139"/>
      <c r="STI108" s="139"/>
      <c r="STJ108" s="139"/>
      <c r="STK108" s="139"/>
      <c r="STL108" s="139"/>
      <c r="STM108" s="139"/>
      <c r="STN108" s="139"/>
      <c r="STO108" s="139"/>
      <c r="STP108" s="139"/>
      <c r="STQ108" s="139"/>
      <c r="STR108" s="139"/>
      <c r="STS108" s="139"/>
      <c r="STT108" s="139"/>
      <c r="STU108" s="139"/>
      <c r="STV108" s="139"/>
      <c r="STW108" s="139"/>
      <c r="STX108" s="139"/>
      <c r="STY108" s="139"/>
      <c r="STZ108" s="139"/>
      <c r="SUA108" s="139"/>
      <c r="SUB108" s="139"/>
      <c r="SUC108" s="139"/>
      <c r="SUD108" s="139"/>
      <c r="SUE108" s="139"/>
      <c r="SUF108" s="139"/>
      <c r="SUG108" s="139"/>
      <c r="SUH108" s="139"/>
      <c r="SUI108" s="139"/>
      <c r="SUJ108" s="139"/>
      <c r="SUK108" s="139"/>
      <c r="SUL108" s="139"/>
      <c r="SUM108" s="139"/>
      <c r="SUN108" s="139"/>
      <c r="SUO108" s="139"/>
      <c r="SUP108" s="139"/>
      <c r="SUQ108" s="139"/>
      <c r="SUR108" s="139"/>
      <c r="SUS108" s="139"/>
      <c r="SUT108" s="139"/>
      <c r="SUU108" s="139"/>
      <c r="SUV108" s="139"/>
      <c r="SUW108" s="139"/>
      <c r="SUX108" s="139"/>
      <c r="SUY108" s="139"/>
      <c r="SUZ108" s="139"/>
      <c r="SVA108" s="139"/>
      <c r="SVB108" s="139"/>
      <c r="SVC108" s="139"/>
      <c r="SVD108" s="139"/>
      <c r="SVE108" s="139"/>
      <c r="SVF108" s="139"/>
      <c r="SVG108" s="139"/>
      <c r="SVH108" s="139"/>
      <c r="SVI108" s="139"/>
      <c r="SVJ108" s="139"/>
      <c r="SVK108" s="139"/>
      <c r="SVL108" s="139"/>
      <c r="SVM108" s="139"/>
      <c r="SVN108" s="139"/>
      <c r="SVO108" s="139"/>
      <c r="SVP108" s="139"/>
      <c r="SVQ108" s="139"/>
      <c r="SVR108" s="139"/>
      <c r="SVS108" s="139"/>
      <c r="SVT108" s="139"/>
      <c r="SVU108" s="139"/>
      <c r="SVV108" s="139"/>
      <c r="SVW108" s="139"/>
      <c r="SVX108" s="139"/>
      <c r="SVY108" s="139"/>
      <c r="SVZ108" s="139"/>
      <c r="SWA108" s="139"/>
      <c r="SWB108" s="139"/>
      <c r="SWC108" s="139"/>
      <c r="SWD108" s="139"/>
      <c r="SWE108" s="139"/>
      <c r="SWF108" s="139"/>
      <c r="SWG108" s="139"/>
      <c r="SWH108" s="139"/>
      <c r="SWI108" s="139"/>
      <c r="SWJ108" s="139"/>
      <c r="SWK108" s="139"/>
      <c r="SWL108" s="139"/>
      <c r="SWM108" s="139"/>
      <c r="SWN108" s="139"/>
      <c r="SWO108" s="139"/>
      <c r="SWP108" s="139"/>
      <c r="SWQ108" s="139"/>
      <c r="SWR108" s="139"/>
      <c r="SWS108" s="139"/>
      <c r="SWT108" s="139"/>
      <c r="SWU108" s="139"/>
      <c r="SWV108" s="139"/>
      <c r="SWW108" s="139"/>
      <c r="SWX108" s="139"/>
      <c r="SWY108" s="139"/>
      <c r="SWZ108" s="139"/>
      <c r="SXA108" s="139"/>
      <c r="SXB108" s="139"/>
      <c r="SXC108" s="139"/>
      <c r="SXD108" s="139"/>
      <c r="SXE108" s="139"/>
      <c r="SXF108" s="139"/>
      <c r="SXG108" s="139"/>
      <c r="SXH108" s="139"/>
      <c r="SXI108" s="139"/>
      <c r="SXJ108" s="139"/>
      <c r="SXK108" s="139"/>
      <c r="SXL108" s="139"/>
      <c r="SXM108" s="139"/>
      <c r="SXN108" s="139"/>
      <c r="SXO108" s="139"/>
      <c r="SXP108" s="139"/>
      <c r="SXQ108" s="139"/>
      <c r="SXR108" s="139"/>
      <c r="SXS108" s="139"/>
      <c r="SXT108" s="139"/>
      <c r="SXU108" s="139"/>
      <c r="SXV108" s="139"/>
      <c r="SXW108" s="139"/>
      <c r="SXX108" s="139"/>
      <c r="SXY108" s="139"/>
      <c r="SXZ108" s="139"/>
      <c r="SYA108" s="139"/>
      <c r="SYB108" s="139"/>
      <c r="SYC108" s="139"/>
      <c r="SYD108" s="139"/>
      <c r="SYE108" s="139"/>
      <c r="SYF108" s="139"/>
      <c r="SYG108" s="139"/>
      <c r="SYH108" s="139"/>
      <c r="SYI108" s="139"/>
      <c r="SYJ108" s="139"/>
      <c r="SYK108" s="139"/>
      <c r="SYL108" s="139"/>
      <c r="SYM108" s="139"/>
      <c r="SYN108" s="139"/>
      <c r="SYO108" s="139"/>
      <c r="SYP108" s="139"/>
      <c r="SYQ108" s="139"/>
      <c r="SYR108" s="139"/>
      <c r="SYS108" s="139"/>
      <c r="SYT108" s="139"/>
      <c r="SYU108" s="139"/>
      <c r="SYV108" s="139"/>
      <c r="SYW108" s="139"/>
      <c r="SYX108" s="139"/>
      <c r="SYY108" s="139"/>
      <c r="SYZ108" s="139"/>
      <c r="SZA108" s="139"/>
      <c r="SZB108" s="139"/>
      <c r="SZC108" s="139"/>
      <c r="SZD108" s="139"/>
      <c r="SZE108" s="139"/>
      <c r="SZF108" s="139"/>
      <c r="SZG108" s="139"/>
      <c r="SZH108" s="139"/>
      <c r="SZI108" s="139"/>
      <c r="SZJ108" s="139"/>
      <c r="SZK108" s="139"/>
      <c r="SZL108" s="139"/>
      <c r="SZM108" s="139"/>
      <c r="SZN108" s="139"/>
      <c r="SZO108" s="139"/>
      <c r="SZP108" s="139"/>
      <c r="SZQ108" s="139"/>
      <c r="SZR108" s="139"/>
      <c r="SZS108" s="139"/>
      <c r="SZT108" s="139"/>
      <c r="SZU108" s="139"/>
      <c r="SZV108" s="139"/>
      <c r="SZW108" s="139"/>
      <c r="SZX108" s="139"/>
      <c r="SZY108" s="139"/>
      <c r="SZZ108" s="139"/>
      <c r="TAA108" s="139"/>
      <c r="TAB108" s="139"/>
      <c r="TAC108" s="139"/>
      <c r="TAD108" s="139"/>
      <c r="TAE108" s="139"/>
      <c r="TAF108" s="139"/>
      <c r="TAG108" s="139"/>
      <c r="TAH108" s="139"/>
      <c r="TAI108" s="139"/>
      <c r="TAJ108" s="139"/>
      <c r="TAK108" s="139"/>
      <c r="TAL108" s="139"/>
      <c r="TAM108" s="139"/>
      <c r="TAN108" s="139"/>
      <c r="TAO108" s="139"/>
      <c r="TAP108" s="139"/>
      <c r="TAQ108" s="139"/>
      <c r="TAR108" s="139"/>
      <c r="TAS108" s="139"/>
      <c r="TAT108" s="139"/>
      <c r="TAU108" s="139"/>
      <c r="TAV108" s="139"/>
      <c r="TAW108" s="139"/>
      <c r="TAX108" s="139"/>
      <c r="TAY108" s="139"/>
      <c r="TAZ108" s="139"/>
      <c r="TBA108" s="139"/>
      <c r="TBB108" s="139"/>
      <c r="TBC108" s="139"/>
      <c r="TBD108" s="139"/>
      <c r="TBE108" s="139"/>
      <c r="TBF108" s="139"/>
      <c r="TBG108" s="139"/>
      <c r="TBH108" s="139"/>
      <c r="TBI108" s="139"/>
      <c r="TBJ108" s="139"/>
      <c r="TBK108" s="139"/>
      <c r="TBL108" s="139"/>
      <c r="TBM108" s="139"/>
      <c r="TBN108" s="139"/>
      <c r="TBO108" s="139"/>
      <c r="TBP108" s="139"/>
      <c r="TBQ108" s="139"/>
      <c r="TBR108" s="139"/>
      <c r="TBS108" s="139"/>
      <c r="TBT108" s="139"/>
      <c r="TBU108" s="139"/>
      <c r="TBV108" s="139"/>
      <c r="TBW108" s="139"/>
      <c r="TBX108" s="139"/>
      <c r="TBY108" s="139"/>
      <c r="TBZ108" s="139"/>
      <c r="TCA108" s="139"/>
      <c r="TCB108" s="139"/>
      <c r="TCC108" s="139"/>
      <c r="TCD108" s="139"/>
      <c r="TCE108" s="139"/>
      <c r="TCF108" s="139"/>
      <c r="TCG108" s="139"/>
      <c r="TCH108" s="139"/>
      <c r="TCI108" s="139"/>
      <c r="TCJ108" s="139"/>
      <c r="TCK108" s="139"/>
      <c r="TCL108" s="139"/>
      <c r="TCM108" s="139"/>
      <c r="TCN108" s="139"/>
      <c r="TCO108" s="139"/>
      <c r="TCP108" s="139"/>
      <c r="TCQ108" s="139"/>
      <c r="TCR108" s="139"/>
      <c r="TCS108" s="139"/>
      <c r="TCT108" s="139"/>
      <c r="TCU108" s="139"/>
      <c r="TCV108" s="139"/>
      <c r="TCW108" s="139"/>
      <c r="TCX108" s="139"/>
      <c r="TCY108" s="139"/>
      <c r="TCZ108" s="139"/>
      <c r="TDA108" s="139"/>
      <c r="TDB108" s="139"/>
      <c r="TDC108" s="139"/>
      <c r="TDD108" s="139"/>
      <c r="TDE108" s="139"/>
      <c r="TDF108" s="139"/>
      <c r="TDG108" s="139"/>
      <c r="TDH108" s="139"/>
      <c r="TDI108" s="139"/>
      <c r="TDJ108" s="139"/>
      <c r="TDK108" s="139"/>
      <c r="TDL108" s="139"/>
      <c r="TDM108" s="139"/>
      <c r="TDN108" s="139"/>
      <c r="TDO108" s="139"/>
      <c r="TDP108" s="139"/>
      <c r="TDQ108" s="139"/>
      <c r="TDR108" s="139"/>
      <c r="TDS108" s="139"/>
      <c r="TDT108" s="139"/>
      <c r="TDU108" s="139"/>
      <c r="TDV108" s="139"/>
      <c r="TDW108" s="139"/>
      <c r="TDX108" s="139"/>
      <c r="TDY108" s="139"/>
      <c r="TDZ108" s="139"/>
      <c r="TEA108" s="139"/>
      <c r="TEB108" s="139"/>
      <c r="TEC108" s="139"/>
      <c r="TED108" s="139"/>
      <c r="TEE108" s="139"/>
      <c r="TEF108" s="139"/>
      <c r="TEG108" s="139"/>
      <c r="TEH108" s="139"/>
      <c r="TEI108" s="139"/>
      <c r="TEJ108" s="139"/>
      <c r="TEK108" s="139"/>
      <c r="TEL108" s="139"/>
      <c r="TEM108" s="139"/>
      <c r="TEN108" s="139"/>
      <c r="TEO108" s="139"/>
      <c r="TEP108" s="139"/>
      <c r="TEQ108" s="139"/>
      <c r="TER108" s="139"/>
      <c r="TES108" s="139"/>
      <c r="TET108" s="139"/>
      <c r="TEU108" s="139"/>
      <c r="TEV108" s="139"/>
      <c r="TEW108" s="139"/>
      <c r="TEX108" s="139"/>
      <c r="TEY108" s="139"/>
      <c r="TEZ108" s="139"/>
      <c r="TFA108" s="139"/>
      <c r="TFB108" s="139"/>
      <c r="TFC108" s="139"/>
      <c r="TFD108" s="139"/>
      <c r="TFE108" s="139"/>
      <c r="TFF108" s="139"/>
      <c r="TFG108" s="139"/>
      <c r="TFH108" s="139"/>
      <c r="TFI108" s="139"/>
      <c r="TFJ108" s="139"/>
      <c r="TFK108" s="139"/>
      <c r="TFL108" s="139"/>
      <c r="TFM108" s="139"/>
      <c r="TFN108" s="139"/>
      <c r="TFO108" s="139"/>
      <c r="TFP108" s="139"/>
      <c r="TFQ108" s="139"/>
      <c r="TFR108" s="139"/>
      <c r="TFS108" s="139"/>
      <c r="TFT108" s="139"/>
      <c r="TFU108" s="139"/>
      <c r="TFV108" s="139"/>
      <c r="TFW108" s="139"/>
      <c r="TFX108" s="139"/>
      <c r="TFY108" s="139"/>
      <c r="TFZ108" s="139"/>
      <c r="TGA108" s="139"/>
      <c r="TGB108" s="139"/>
      <c r="TGC108" s="139"/>
      <c r="TGD108" s="139"/>
      <c r="TGE108" s="139"/>
      <c r="TGF108" s="139"/>
      <c r="TGG108" s="139"/>
      <c r="TGH108" s="139"/>
      <c r="TGI108" s="139"/>
      <c r="TGJ108" s="139"/>
      <c r="TGK108" s="139"/>
      <c r="TGL108" s="139"/>
      <c r="TGM108" s="139"/>
      <c r="TGN108" s="139"/>
      <c r="TGO108" s="139"/>
      <c r="TGP108" s="139"/>
      <c r="TGQ108" s="139"/>
      <c r="TGR108" s="139"/>
      <c r="TGS108" s="139"/>
      <c r="TGT108" s="139"/>
      <c r="TGU108" s="139"/>
      <c r="TGV108" s="139"/>
      <c r="TGW108" s="139"/>
      <c r="TGX108" s="139"/>
      <c r="TGY108" s="139"/>
      <c r="TGZ108" s="139"/>
      <c r="THA108" s="139"/>
      <c r="THB108" s="139"/>
      <c r="THC108" s="139"/>
      <c r="THD108" s="139"/>
      <c r="THE108" s="139"/>
      <c r="THF108" s="139"/>
      <c r="THG108" s="139"/>
      <c r="THH108" s="139"/>
      <c r="THI108" s="139"/>
      <c r="THJ108" s="139"/>
      <c r="THK108" s="139"/>
      <c r="THL108" s="139"/>
      <c r="THM108" s="139"/>
      <c r="THN108" s="139"/>
      <c r="THO108" s="139"/>
      <c r="THP108" s="139"/>
      <c r="THQ108" s="139"/>
      <c r="THR108" s="139"/>
      <c r="THS108" s="139"/>
      <c r="THT108" s="139"/>
      <c r="THU108" s="139"/>
      <c r="THV108" s="139"/>
      <c r="THW108" s="139"/>
      <c r="THX108" s="139"/>
      <c r="THY108" s="139"/>
      <c r="THZ108" s="139"/>
      <c r="TIA108" s="139"/>
      <c r="TIB108" s="139"/>
      <c r="TIC108" s="139"/>
      <c r="TID108" s="139"/>
      <c r="TIE108" s="139"/>
      <c r="TIF108" s="139"/>
      <c r="TIG108" s="139"/>
      <c r="TIH108" s="139"/>
      <c r="TII108" s="139"/>
      <c r="TIJ108" s="139"/>
      <c r="TIK108" s="139"/>
      <c r="TIL108" s="139"/>
      <c r="TIM108" s="139"/>
      <c r="TIN108" s="139"/>
      <c r="TIO108" s="139"/>
      <c r="TIP108" s="139"/>
      <c r="TIQ108" s="139"/>
      <c r="TIR108" s="139"/>
      <c r="TIS108" s="139"/>
      <c r="TIT108" s="139"/>
      <c r="TIU108" s="139"/>
      <c r="TIV108" s="139"/>
      <c r="TIW108" s="139"/>
      <c r="TIX108" s="139"/>
      <c r="TIY108" s="139"/>
      <c r="TIZ108" s="139"/>
      <c r="TJA108" s="139"/>
      <c r="TJB108" s="139"/>
      <c r="TJC108" s="139"/>
      <c r="TJD108" s="139"/>
      <c r="TJE108" s="139"/>
      <c r="TJF108" s="139"/>
      <c r="TJG108" s="139"/>
      <c r="TJH108" s="139"/>
      <c r="TJI108" s="139"/>
      <c r="TJJ108" s="139"/>
      <c r="TJK108" s="139"/>
      <c r="TJL108" s="139"/>
      <c r="TJM108" s="139"/>
      <c r="TJN108" s="139"/>
      <c r="TJO108" s="139"/>
      <c r="TJP108" s="139"/>
      <c r="TJQ108" s="139"/>
      <c r="TJR108" s="139"/>
      <c r="TJS108" s="139"/>
      <c r="TJT108" s="139"/>
      <c r="TJU108" s="139"/>
      <c r="TJV108" s="139"/>
      <c r="TJW108" s="139"/>
      <c r="TJX108" s="139"/>
      <c r="TJY108" s="139"/>
      <c r="TJZ108" s="139"/>
      <c r="TKA108" s="139"/>
      <c r="TKB108" s="139"/>
      <c r="TKC108" s="139"/>
      <c r="TKD108" s="139"/>
      <c r="TKE108" s="139"/>
      <c r="TKF108" s="139"/>
      <c r="TKG108" s="139"/>
      <c r="TKH108" s="139"/>
      <c r="TKI108" s="139"/>
      <c r="TKJ108" s="139"/>
      <c r="TKK108" s="139"/>
      <c r="TKL108" s="139"/>
      <c r="TKM108" s="139"/>
      <c r="TKN108" s="139"/>
      <c r="TKO108" s="139"/>
      <c r="TKP108" s="139"/>
      <c r="TKQ108" s="139"/>
      <c r="TKR108" s="139"/>
      <c r="TKS108" s="139"/>
      <c r="TKT108" s="139"/>
      <c r="TKU108" s="139"/>
      <c r="TKV108" s="139"/>
      <c r="TKW108" s="139"/>
      <c r="TKX108" s="139"/>
      <c r="TKY108" s="139"/>
      <c r="TKZ108" s="139"/>
      <c r="TLA108" s="139"/>
      <c r="TLB108" s="139"/>
      <c r="TLC108" s="139"/>
      <c r="TLD108" s="139"/>
      <c r="TLE108" s="139"/>
      <c r="TLF108" s="139"/>
      <c r="TLG108" s="139"/>
      <c r="TLH108" s="139"/>
      <c r="TLI108" s="139"/>
      <c r="TLJ108" s="139"/>
      <c r="TLK108" s="139"/>
      <c r="TLL108" s="139"/>
      <c r="TLM108" s="139"/>
      <c r="TLN108" s="139"/>
      <c r="TLO108" s="139"/>
      <c r="TLP108" s="139"/>
      <c r="TLQ108" s="139"/>
      <c r="TLR108" s="139"/>
      <c r="TLS108" s="139"/>
      <c r="TLT108" s="139"/>
      <c r="TLU108" s="139"/>
      <c r="TLV108" s="139"/>
      <c r="TLW108" s="139"/>
      <c r="TLX108" s="139"/>
      <c r="TLY108" s="139"/>
      <c r="TLZ108" s="139"/>
      <c r="TMA108" s="139"/>
      <c r="TMB108" s="139"/>
      <c r="TMC108" s="139"/>
      <c r="TMD108" s="139"/>
      <c r="TME108" s="139"/>
      <c r="TMF108" s="139"/>
      <c r="TMG108" s="139"/>
      <c r="TMH108" s="139"/>
      <c r="TMI108" s="139"/>
      <c r="TMJ108" s="139"/>
      <c r="TMK108" s="139"/>
      <c r="TML108" s="139"/>
      <c r="TMM108" s="139"/>
      <c r="TMN108" s="139"/>
      <c r="TMO108" s="139"/>
      <c r="TMP108" s="139"/>
      <c r="TMQ108" s="139"/>
      <c r="TMR108" s="139"/>
      <c r="TMS108" s="139"/>
      <c r="TMT108" s="139"/>
      <c r="TMU108" s="139"/>
      <c r="TMV108" s="139"/>
      <c r="TMW108" s="139"/>
      <c r="TMX108" s="139"/>
      <c r="TMY108" s="139"/>
      <c r="TMZ108" s="139"/>
      <c r="TNA108" s="139"/>
      <c r="TNB108" s="139"/>
      <c r="TNC108" s="139"/>
      <c r="TND108" s="139"/>
      <c r="TNE108" s="139"/>
      <c r="TNF108" s="139"/>
      <c r="TNG108" s="139"/>
      <c r="TNH108" s="139"/>
      <c r="TNI108" s="139"/>
      <c r="TNJ108" s="139"/>
      <c r="TNK108" s="139"/>
      <c r="TNL108" s="139"/>
      <c r="TNM108" s="139"/>
      <c r="TNN108" s="139"/>
      <c r="TNO108" s="139"/>
      <c r="TNP108" s="139"/>
      <c r="TNQ108" s="139"/>
      <c r="TNR108" s="139"/>
      <c r="TNS108" s="139"/>
      <c r="TNT108" s="139"/>
      <c r="TNU108" s="139"/>
      <c r="TNV108" s="139"/>
      <c r="TNW108" s="139"/>
      <c r="TNX108" s="139"/>
      <c r="TNY108" s="139"/>
      <c r="TNZ108" s="139"/>
      <c r="TOA108" s="139"/>
      <c r="TOB108" s="139"/>
      <c r="TOC108" s="139"/>
      <c r="TOD108" s="139"/>
      <c r="TOE108" s="139"/>
      <c r="TOF108" s="139"/>
      <c r="TOG108" s="139"/>
      <c r="TOH108" s="139"/>
      <c r="TOI108" s="139"/>
      <c r="TOJ108" s="139"/>
      <c r="TOK108" s="139"/>
      <c r="TOL108" s="139"/>
      <c r="TOM108" s="139"/>
      <c r="TON108" s="139"/>
      <c r="TOO108" s="139"/>
      <c r="TOP108" s="139"/>
      <c r="TOQ108" s="139"/>
      <c r="TOR108" s="139"/>
      <c r="TOS108" s="139"/>
      <c r="TOT108" s="139"/>
      <c r="TOU108" s="139"/>
      <c r="TOV108" s="139"/>
      <c r="TOW108" s="139"/>
      <c r="TOX108" s="139"/>
      <c r="TOY108" s="139"/>
      <c r="TOZ108" s="139"/>
      <c r="TPA108" s="139"/>
      <c r="TPB108" s="139"/>
      <c r="TPC108" s="139"/>
      <c r="TPD108" s="139"/>
      <c r="TPE108" s="139"/>
      <c r="TPF108" s="139"/>
      <c r="TPG108" s="139"/>
      <c r="TPH108" s="139"/>
      <c r="TPI108" s="139"/>
      <c r="TPJ108" s="139"/>
      <c r="TPK108" s="139"/>
      <c r="TPL108" s="139"/>
      <c r="TPM108" s="139"/>
      <c r="TPN108" s="139"/>
      <c r="TPO108" s="139"/>
      <c r="TPP108" s="139"/>
      <c r="TPQ108" s="139"/>
      <c r="TPR108" s="139"/>
      <c r="TPS108" s="139"/>
      <c r="TPT108" s="139"/>
      <c r="TPU108" s="139"/>
      <c r="TPV108" s="139"/>
      <c r="TPW108" s="139"/>
      <c r="TPX108" s="139"/>
      <c r="TPY108" s="139"/>
      <c r="TPZ108" s="139"/>
      <c r="TQA108" s="139"/>
      <c r="TQB108" s="139"/>
      <c r="TQC108" s="139"/>
      <c r="TQD108" s="139"/>
      <c r="TQE108" s="139"/>
      <c r="TQF108" s="139"/>
      <c r="TQG108" s="139"/>
      <c r="TQH108" s="139"/>
      <c r="TQI108" s="139"/>
      <c r="TQJ108" s="139"/>
      <c r="TQK108" s="139"/>
      <c r="TQL108" s="139"/>
      <c r="TQM108" s="139"/>
      <c r="TQN108" s="139"/>
      <c r="TQO108" s="139"/>
      <c r="TQP108" s="139"/>
      <c r="TQQ108" s="139"/>
      <c r="TQR108" s="139"/>
      <c r="TQS108" s="139"/>
      <c r="TQT108" s="139"/>
      <c r="TQU108" s="139"/>
      <c r="TQV108" s="139"/>
      <c r="TQW108" s="139"/>
      <c r="TQX108" s="139"/>
      <c r="TQY108" s="139"/>
      <c r="TQZ108" s="139"/>
      <c r="TRA108" s="139"/>
      <c r="TRB108" s="139"/>
      <c r="TRC108" s="139"/>
      <c r="TRD108" s="139"/>
      <c r="TRE108" s="139"/>
      <c r="TRF108" s="139"/>
      <c r="TRG108" s="139"/>
      <c r="TRH108" s="139"/>
      <c r="TRI108" s="139"/>
      <c r="TRJ108" s="139"/>
      <c r="TRK108" s="139"/>
      <c r="TRL108" s="139"/>
      <c r="TRM108" s="139"/>
      <c r="TRN108" s="139"/>
      <c r="TRO108" s="139"/>
      <c r="TRP108" s="139"/>
      <c r="TRQ108" s="139"/>
      <c r="TRR108" s="139"/>
      <c r="TRS108" s="139"/>
      <c r="TRT108" s="139"/>
      <c r="TRU108" s="139"/>
      <c r="TRV108" s="139"/>
      <c r="TRW108" s="139"/>
      <c r="TRX108" s="139"/>
      <c r="TRY108" s="139"/>
      <c r="TRZ108" s="139"/>
      <c r="TSA108" s="139"/>
      <c r="TSB108" s="139"/>
      <c r="TSC108" s="139"/>
      <c r="TSD108" s="139"/>
      <c r="TSE108" s="139"/>
      <c r="TSF108" s="139"/>
      <c r="TSG108" s="139"/>
      <c r="TSH108" s="139"/>
      <c r="TSI108" s="139"/>
      <c r="TSJ108" s="139"/>
      <c r="TSK108" s="139"/>
      <c r="TSL108" s="139"/>
      <c r="TSM108" s="139"/>
      <c r="TSN108" s="139"/>
      <c r="TSO108" s="139"/>
      <c r="TSP108" s="139"/>
      <c r="TSQ108" s="139"/>
      <c r="TSR108" s="139"/>
      <c r="TSS108" s="139"/>
      <c r="TST108" s="139"/>
      <c r="TSU108" s="139"/>
      <c r="TSV108" s="139"/>
      <c r="TSW108" s="139"/>
      <c r="TSX108" s="139"/>
      <c r="TSY108" s="139"/>
      <c r="TSZ108" s="139"/>
      <c r="TTA108" s="139"/>
      <c r="TTB108" s="139"/>
      <c r="TTC108" s="139"/>
      <c r="TTD108" s="139"/>
      <c r="TTE108" s="139"/>
      <c r="TTF108" s="139"/>
      <c r="TTG108" s="139"/>
      <c r="TTH108" s="139"/>
      <c r="TTI108" s="139"/>
      <c r="TTJ108" s="139"/>
      <c r="TTK108" s="139"/>
      <c r="TTL108" s="139"/>
      <c r="TTM108" s="139"/>
      <c r="TTN108" s="139"/>
      <c r="TTO108" s="139"/>
      <c r="TTP108" s="139"/>
      <c r="TTQ108" s="139"/>
      <c r="TTR108" s="139"/>
      <c r="TTS108" s="139"/>
      <c r="TTT108" s="139"/>
      <c r="TTU108" s="139"/>
      <c r="TTV108" s="139"/>
      <c r="TTW108" s="139"/>
      <c r="TTX108" s="139"/>
      <c r="TTY108" s="139"/>
      <c r="TTZ108" s="139"/>
      <c r="TUA108" s="139"/>
      <c r="TUB108" s="139"/>
      <c r="TUC108" s="139"/>
      <c r="TUD108" s="139"/>
      <c r="TUE108" s="139"/>
      <c r="TUF108" s="139"/>
      <c r="TUG108" s="139"/>
      <c r="TUH108" s="139"/>
      <c r="TUI108" s="139"/>
      <c r="TUJ108" s="139"/>
      <c r="TUK108" s="139"/>
      <c r="TUL108" s="139"/>
      <c r="TUM108" s="139"/>
      <c r="TUN108" s="139"/>
      <c r="TUO108" s="139"/>
      <c r="TUP108" s="139"/>
      <c r="TUQ108" s="139"/>
      <c r="TUR108" s="139"/>
      <c r="TUS108" s="139"/>
      <c r="TUT108" s="139"/>
      <c r="TUU108" s="139"/>
      <c r="TUV108" s="139"/>
      <c r="TUW108" s="139"/>
      <c r="TUX108" s="139"/>
      <c r="TUY108" s="139"/>
      <c r="TUZ108" s="139"/>
      <c r="TVA108" s="139"/>
      <c r="TVB108" s="139"/>
      <c r="TVC108" s="139"/>
      <c r="TVD108" s="139"/>
      <c r="TVE108" s="139"/>
      <c r="TVF108" s="139"/>
      <c r="TVG108" s="139"/>
      <c r="TVH108" s="139"/>
      <c r="TVI108" s="139"/>
      <c r="TVJ108" s="139"/>
      <c r="TVK108" s="139"/>
      <c r="TVL108" s="139"/>
      <c r="TVM108" s="139"/>
      <c r="TVN108" s="139"/>
      <c r="TVO108" s="139"/>
      <c r="TVP108" s="139"/>
      <c r="TVQ108" s="139"/>
      <c r="TVR108" s="139"/>
      <c r="TVS108" s="139"/>
      <c r="TVT108" s="139"/>
      <c r="TVU108" s="139"/>
      <c r="TVV108" s="139"/>
      <c r="TVW108" s="139"/>
      <c r="TVX108" s="139"/>
      <c r="TVY108" s="139"/>
      <c r="TVZ108" s="139"/>
      <c r="TWA108" s="139"/>
      <c r="TWB108" s="139"/>
      <c r="TWC108" s="139"/>
      <c r="TWD108" s="139"/>
      <c r="TWE108" s="139"/>
      <c r="TWF108" s="139"/>
      <c r="TWG108" s="139"/>
      <c r="TWH108" s="139"/>
      <c r="TWI108" s="139"/>
      <c r="TWJ108" s="139"/>
      <c r="TWK108" s="139"/>
      <c r="TWL108" s="139"/>
      <c r="TWM108" s="139"/>
      <c r="TWN108" s="139"/>
      <c r="TWO108" s="139"/>
      <c r="TWP108" s="139"/>
      <c r="TWQ108" s="139"/>
      <c r="TWR108" s="139"/>
      <c r="TWS108" s="139"/>
      <c r="TWT108" s="139"/>
      <c r="TWU108" s="139"/>
      <c r="TWV108" s="139"/>
      <c r="TWW108" s="139"/>
      <c r="TWX108" s="139"/>
      <c r="TWY108" s="139"/>
      <c r="TWZ108" s="139"/>
      <c r="TXA108" s="139"/>
      <c r="TXB108" s="139"/>
      <c r="TXC108" s="139"/>
      <c r="TXD108" s="139"/>
      <c r="TXE108" s="139"/>
      <c r="TXF108" s="139"/>
      <c r="TXG108" s="139"/>
      <c r="TXH108" s="139"/>
      <c r="TXI108" s="139"/>
      <c r="TXJ108" s="139"/>
      <c r="TXK108" s="139"/>
      <c r="TXL108" s="139"/>
      <c r="TXM108" s="139"/>
      <c r="TXN108" s="139"/>
      <c r="TXO108" s="139"/>
      <c r="TXP108" s="139"/>
      <c r="TXQ108" s="139"/>
      <c r="TXR108" s="139"/>
      <c r="TXS108" s="139"/>
      <c r="TXT108" s="139"/>
      <c r="TXU108" s="139"/>
      <c r="TXV108" s="139"/>
      <c r="TXW108" s="139"/>
      <c r="TXX108" s="139"/>
      <c r="TXY108" s="139"/>
      <c r="TXZ108" s="139"/>
      <c r="TYA108" s="139"/>
      <c r="TYB108" s="139"/>
      <c r="TYC108" s="139"/>
      <c r="TYD108" s="139"/>
      <c r="TYE108" s="139"/>
      <c r="TYF108" s="139"/>
      <c r="TYG108" s="139"/>
      <c r="TYH108" s="139"/>
      <c r="TYI108" s="139"/>
      <c r="TYJ108" s="139"/>
      <c r="TYK108" s="139"/>
      <c r="TYL108" s="139"/>
      <c r="TYM108" s="139"/>
      <c r="TYN108" s="139"/>
      <c r="TYO108" s="139"/>
      <c r="TYP108" s="139"/>
      <c r="TYQ108" s="139"/>
      <c r="TYR108" s="139"/>
      <c r="TYS108" s="139"/>
      <c r="TYT108" s="139"/>
      <c r="TYU108" s="139"/>
      <c r="TYV108" s="139"/>
      <c r="TYW108" s="139"/>
      <c r="TYX108" s="139"/>
      <c r="TYY108" s="139"/>
      <c r="TYZ108" s="139"/>
      <c r="TZA108" s="139"/>
      <c r="TZB108" s="139"/>
      <c r="TZC108" s="139"/>
      <c r="TZD108" s="139"/>
      <c r="TZE108" s="139"/>
      <c r="TZF108" s="139"/>
      <c r="TZG108" s="139"/>
      <c r="TZH108" s="139"/>
      <c r="TZI108" s="139"/>
      <c r="TZJ108" s="139"/>
      <c r="TZK108" s="139"/>
      <c r="TZL108" s="139"/>
      <c r="TZM108" s="139"/>
      <c r="TZN108" s="139"/>
      <c r="TZO108" s="139"/>
      <c r="TZP108" s="139"/>
      <c r="TZQ108" s="139"/>
      <c r="TZR108" s="139"/>
      <c r="TZS108" s="139"/>
      <c r="TZT108" s="139"/>
      <c r="TZU108" s="139"/>
      <c r="TZV108" s="139"/>
      <c r="TZW108" s="139"/>
      <c r="TZX108" s="139"/>
      <c r="TZY108" s="139"/>
      <c r="TZZ108" s="139"/>
      <c r="UAA108" s="139"/>
      <c r="UAB108" s="139"/>
      <c r="UAC108" s="139"/>
      <c r="UAD108" s="139"/>
      <c r="UAE108" s="139"/>
      <c r="UAF108" s="139"/>
      <c r="UAG108" s="139"/>
      <c r="UAH108" s="139"/>
      <c r="UAI108" s="139"/>
      <c r="UAJ108" s="139"/>
      <c r="UAK108" s="139"/>
      <c r="UAL108" s="139"/>
      <c r="UAM108" s="139"/>
      <c r="UAN108" s="139"/>
      <c r="UAO108" s="139"/>
      <c r="UAP108" s="139"/>
      <c r="UAQ108" s="139"/>
      <c r="UAR108" s="139"/>
      <c r="UAS108" s="139"/>
      <c r="UAT108" s="139"/>
      <c r="UAU108" s="139"/>
      <c r="UAV108" s="139"/>
      <c r="UAW108" s="139"/>
      <c r="UAX108" s="139"/>
      <c r="UAY108" s="139"/>
      <c r="UAZ108" s="139"/>
      <c r="UBA108" s="139"/>
      <c r="UBB108" s="139"/>
      <c r="UBC108" s="139"/>
      <c r="UBD108" s="139"/>
      <c r="UBE108" s="139"/>
      <c r="UBF108" s="139"/>
      <c r="UBG108" s="139"/>
      <c r="UBH108" s="139"/>
      <c r="UBI108" s="139"/>
      <c r="UBJ108" s="139"/>
      <c r="UBK108" s="139"/>
      <c r="UBL108" s="139"/>
      <c r="UBM108" s="139"/>
      <c r="UBN108" s="139"/>
      <c r="UBO108" s="139"/>
      <c r="UBP108" s="139"/>
      <c r="UBQ108" s="139"/>
      <c r="UBR108" s="139"/>
      <c r="UBS108" s="139"/>
      <c r="UBT108" s="139"/>
      <c r="UBU108" s="139"/>
      <c r="UBV108" s="139"/>
      <c r="UBW108" s="139"/>
      <c r="UBX108" s="139"/>
      <c r="UBY108" s="139"/>
      <c r="UBZ108" s="139"/>
      <c r="UCA108" s="139"/>
      <c r="UCB108" s="139"/>
      <c r="UCC108" s="139"/>
      <c r="UCD108" s="139"/>
      <c r="UCE108" s="139"/>
      <c r="UCF108" s="139"/>
      <c r="UCG108" s="139"/>
      <c r="UCH108" s="139"/>
      <c r="UCI108" s="139"/>
      <c r="UCJ108" s="139"/>
      <c r="UCK108" s="139"/>
      <c r="UCL108" s="139"/>
      <c r="UCM108" s="139"/>
      <c r="UCN108" s="139"/>
      <c r="UCO108" s="139"/>
      <c r="UCP108" s="139"/>
      <c r="UCQ108" s="139"/>
      <c r="UCR108" s="139"/>
      <c r="UCS108" s="139"/>
      <c r="UCT108" s="139"/>
      <c r="UCU108" s="139"/>
      <c r="UCV108" s="139"/>
      <c r="UCW108" s="139"/>
      <c r="UCX108" s="139"/>
      <c r="UCY108" s="139"/>
      <c r="UCZ108" s="139"/>
      <c r="UDA108" s="139"/>
      <c r="UDB108" s="139"/>
      <c r="UDC108" s="139"/>
      <c r="UDD108" s="139"/>
      <c r="UDE108" s="139"/>
      <c r="UDF108" s="139"/>
      <c r="UDG108" s="139"/>
      <c r="UDH108" s="139"/>
      <c r="UDI108" s="139"/>
      <c r="UDJ108" s="139"/>
      <c r="UDK108" s="139"/>
      <c r="UDL108" s="139"/>
      <c r="UDM108" s="139"/>
      <c r="UDN108" s="139"/>
      <c r="UDO108" s="139"/>
      <c r="UDP108" s="139"/>
      <c r="UDQ108" s="139"/>
      <c r="UDR108" s="139"/>
      <c r="UDS108" s="139"/>
      <c r="UDT108" s="139"/>
      <c r="UDU108" s="139"/>
      <c r="UDV108" s="139"/>
      <c r="UDW108" s="139"/>
      <c r="UDX108" s="139"/>
      <c r="UDY108" s="139"/>
      <c r="UDZ108" s="139"/>
      <c r="UEA108" s="139"/>
      <c r="UEB108" s="139"/>
      <c r="UEC108" s="139"/>
      <c r="UED108" s="139"/>
      <c r="UEE108" s="139"/>
      <c r="UEF108" s="139"/>
      <c r="UEG108" s="139"/>
      <c r="UEH108" s="139"/>
      <c r="UEI108" s="139"/>
      <c r="UEJ108" s="139"/>
      <c r="UEK108" s="139"/>
      <c r="UEL108" s="139"/>
      <c r="UEM108" s="139"/>
      <c r="UEN108" s="139"/>
      <c r="UEO108" s="139"/>
      <c r="UEP108" s="139"/>
      <c r="UEQ108" s="139"/>
      <c r="UER108" s="139"/>
      <c r="UES108" s="139"/>
      <c r="UET108" s="139"/>
      <c r="UEU108" s="139"/>
      <c r="UEV108" s="139"/>
      <c r="UEW108" s="139"/>
      <c r="UEX108" s="139"/>
      <c r="UEY108" s="139"/>
      <c r="UEZ108" s="139"/>
      <c r="UFA108" s="139"/>
      <c r="UFB108" s="139"/>
      <c r="UFC108" s="139"/>
      <c r="UFD108" s="139"/>
      <c r="UFE108" s="139"/>
      <c r="UFF108" s="139"/>
      <c r="UFG108" s="139"/>
      <c r="UFH108" s="139"/>
      <c r="UFI108" s="139"/>
      <c r="UFJ108" s="139"/>
      <c r="UFK108" s="139"/>
      <c r="UFL108" s="139"/>
      <c r="UFM108" s="139"/>
      <c r="UFN108" s="139"/>
      <c r="UFO108" s="139"/>
      <c r="UFP108" s="139"/>
      <c r="UFQ108" s="139"/>
      <c r="UFR108" s="139"/>
      <c r="UFS108" s="139"/>
      <c r="UFT108" s="139"/>
      <c r="UFU108" s="139"/>
      <c r="UFV108" s="139"/>
      <c r="UFW108" s="139"/>
      <c r="UFX108" s="139"/>
      <c r="UFY108" s="139"/>
      <c r="UFZ108" s="139"/>
      <c r="UGA108" s="139"/>
      <c r="UGB108" s="139"/>
      <c r="UGC108" s="139"/>
      <c r="UGD108" s="139"/>
      <c r="UGE108" s="139"/>
      <c r="UGF108" s="139"/>
      <c r="UGG108" s="139"/>
      <c r="UGH108" s="139"/>
      <c r="UGI108" s="139"/>
      <c r="UGJ108" s="139"/>
      <c r="UGK108" s="139"/>
      <c r="UGL108" s="139"/>
      <c r="UGM108" s="139"/>
      <c r="UGN108" s="139"/>
      <c r="UGO108" s="139"/>
      <c r="UGP108" s="139"/>
      <c r="UGQ108" s="139"/>
      <c r="UGR108" s="139"/>
      <c r="UGS108" s="139"/>
      <c r="UGT108" s="139"/>
      <c r="UGU108" s="139"/>
      <c r="UGV108" s="139"/>
      <c r="UGW108" s="139"/>
      <c r="UGX108" s="139"/>
      <c r="UGY108" s="139"/>
      <c r="UGZ108" s="139"/>
      <c r="UHA108" s="139"/>
      <c r="UHB108" s="139"/>
      <c r="UHC108" s="139"/>
      <c r="UHD108" s="139"/>
      <c r="UHE108" s="139"/>
      <c r="UHF108" s="139"/>
      <c r="UHG108" s="139"/>
      <c r="UHH108" s="139"/>
      <c r="UHI108" s="139"/>
      <c r="UHJ108" s="139"/>
      <c r="UHK108" s="139"/>
      <c r="UHL108" s="139"/>
      <c r="UHM108" s="139"/>
      <c r="UHN108" s="139"/>
      <c r="UHO108" s="139"/>
      <c r="UHP108" s="139"/>
      <c r="UHQ108" s="139"/>
      <c r="UHR108" s="139"/>
      <c r="UHS108" s="139"/>
      <c r="UHT108" s="139"/>
      <c r="UHU108" s="139"/>
      <c r="UHV108" s="139"/>
      <c r="UHW108" s="139"/>
      <c r="UHX108" s="139"/>
      <c r="UHY108" s="139"/>
      <c r="UHZ108" s="139"/>
      <c r="UIA108" s="139"/>
      <c r="UIB108" s="139"/>
      <c r="UIC108" s="139"/>
      <c r="UID108" s="139"/>
      <c r="UIE108" s="139"/>
      <c r="UIF108" s="139"/>
      <c r="UIG108" s="139"/>
      <c r="UIH108" s="139"/>
      <c r="UII108" s="139"/>
      <c r="UIJ108" s="139"/>
      <c r="UIK108" s="139"/>
      <c r="UIL108" s="139"/>
      <c r="UIM108" s="139"/>
      <c r="UIN108" s="139"/>
      <c r="UIO108" s="139"/>
      <c r="UIP108" s="139"/>
      <c r="UIQ108" s="139"/>
      <c r="UIR108" s="139"/>
      <c r="UIS108" s="139"/>
      <c r="UIT108" s="139"/>
      <c r="UIU108" s="139"/>
      <c r="UIV108" s="139"/>
      <c r="UIW108" s="139"/>
      <c r="UIX108" s="139"/>
      <c r="UIY108" s="139"/>
      <c r="UIZ108" s="139"/>
      <c r="UJA108" s="139"/>
      <c r="UJB108" s="139"/>
      <c r="UJC108" s="139"/>
      <c r="UJD108" s="139"/>
      <c r="UJE108" s="139"/>
      <c r="UJF108" s="139"/>
      <c r="UJG108" s="139"/>
      <c r="UJH108" s="139"/>
      <c r="UJI108" s="139"/>
      <c r="UJJ108" s="139"/>
      <c r="UJK108" s="139"/>
      <c r="UJL108" s="139"/>
      <c r="UJM108" s="139"/>
      <c r="UJN108" s="139"/>
      <c r="UJO108" s="139"/>
      <c r="UJP108" s="139"/>
      <c r="UJQ108" s="139"/>
      <c r="UJR108" s="139"/>
      <c r="UJS108" s="139"/>
      <c r="UJT108" s="139"/>
      <c r="UJU108" s="139"/>
      <c r="UJV108" s="139"/>
      <c r="UJW108" s="139"/>
      <c r="UJX108" s="139"/>
      <c r="UJY108" s="139"/>
      <c r="UJZ108" s="139"/>
      <c r="UKA108" s="139"/>
      <c r="UKB108" s="139"/>
      <c r="UKC108" s="139"/>
      <c r="UKD108" s="139"/>
      <c r="UKE108" s="139"/>
      <c r="UKF108" s="139"/>
      <c r="UKG108" s="139"/>
      <c r="UKH108" s="139"/>
      <c r="UKI108" s="139"/>
      <c r="UKJ108" s="139"/>
      <c r="UKK108" s="139"/>
      <c r="UKL108" s="139"/>
      <c r="UKM108" s="139"/>
      <c r="UKN108" s="139"/>
      <c r="UKO108" s="139"/>
      <c r="UKP108" s="139"/>
      <c r="UKQ108" s="139"/>
      <c r="UKR108" s="139"/>
      <c r="UKS108" s="139"/>
      <c r="UKT108" s="139"/>
      <c r="UKU108" s="139"/>
      <c r="UKV108" s="139"/>
      <c r="UKW108" s="139"/>
      <c r="UKX108" s="139"/>
      <c r="UKY108" s="139"/>
      <c r="UKZ108" s="139"/>
      <c r="ULA108" s="139"/>
      <c r="ULB108" s="139"/>
      <c r="ULC108" s="139"/>
      <c r="ULD108" s="139"/>
      <c r="ULE108" s="139"/>
      <c r="ULF108" s="139"/>
      <c r="ULG108" s="139"/>
      <c r="ULH108" s="139"/>
      <c r="ULI108" s="139"/>
      <c r="ULJ108" s="139"/>
      <c r="ULK108" s="139"/>
      <c r="ULL108" s="139"/>
      <c r="ULM108" s="139"/>
      <c r="ULN108" s="139"/>
      <c r="ULO108" s="139"/>
      <c r="ULP108" s="139"/>
      <c r="ULQ108" s="139"/>
      <c r="ULR108" s="139"/>
      <c r="ULS108" s="139"/>
      <c r="ULT108" s="139"/>
      <c r="ULU108" s="139"/>
      <c r="ULV108" s="139"/>
      <c r="ULW108" s="139"/>
      <c r="ULX108" s="139"/>
      <c r="ULY108" s="139"/>
      <c r="ULZ108" s="139"/>
      <c r="UMA108" s="139"/>
      <c r="UMB108" s="139"/>
      <c r="UMC108" s="139"/>
      <c r="UMD108" s="139"/>
      <c r="UME108" s="139"/>
      <c r="UMF108" s="139"/>
      <c r="UMG108" s="139"/>
      <c r="UMH108" s="139"/>
      <c r="UMI108" s="139"/>
      <c r="UMJ108" s="139"/>
      <c r="UMK108" s="139"/>
      <c r="UML108" s="139"/>
      <c r="UMM108" s="139"/>
      <c r="UMN108" s="139"/>
      <c r="UMO108" s="139"/>
      <c r="UMP108" s="139"/>
      <c r="UMQ108" s="139"/>
      <c r="UMR108" s="139"/>
      <c r="UMS108" s="139"/>
      <c r="UMT108" s="139"/>
      <c r="UMU108" s="139"/>
      <c r="UMV108" s="139"/>
      <c r="UMW108" s="139"/>
      <c r="UMX108" s="139"/>
      <c r="UMY108" s="139"/>
      <c r="UMZ108" s="139"/>
      <c r="UNA108" s="139"/>
      <c r="UNB108" s="139"/>
      <c r="UNC108" s="139"/>
      <c r="UND108" s="139"/>
      <c r="UNE108" s="139"/>
      <c r="UNF108" s="139"/>
      <c r="UNG108" s="139"/>
      <c r="UNH108" s="139"/>
      <c r="UNI108" s="139"/>
      <c r="UNJ108" s="139"/>
      <c r="UNK108" s="139"/>
      <c r="UNL108" s="139"/>
      <c r="UNM108" s="139"/>
      <c r="UNN108" s="139"/>
      <c r="UNO108" s="139"/>
      <c r="UNP108" s="139"/>
      <c r="UNQ108" s="139"/>
      <c r="UNR108" s="139"/>
      <c r="UNS108" s="139"/>
      <c r="UNT108" s="139"/>
      <c r="UNU108" s="139"/>
      <c r="UNV108" s="139"/>
      <c r="UNW108" s="139"/>
      <c r="UNX108" s="139"/>
      <c r="UNY108" s="139"/>
      <c r="UNZ108" s="139"/>
      <c r="UOA108" s="139"/>
      <c r="UOB108" s="139"/>
      <c r="UOC108" s="139"/>
      <c r="UOD108" s="139"/>
      <c r="UOE108" s="139"/>
      <c r="UOF108" s="139"/>
      <c r="UOG108" s="139"/>
      <c r="UOH108" s="139"/>
      <c r="UOI108" s="139"/>
      <c r="UOJ108" s="139"/>
      <c r="UOK108" s="139"/>
      <c r="UOL108" s="139"/>
      <c r="UOM108" s="139"/>
      <c r="UON108" s="139"/>
      <c r="UOO108" s="139"/>
      <c r="UOP108" s="139"/>
      <c r="UOQ108" s="139"/>
      <c r="UOR108" s="139"/>
      <c r="UOS108" s="139"/>
      <c r="UOT108" s="139"/>
      <c r="UOU108" s="139"/>
      <c r="UOV108" s="139"/>
      <c r="UOW108" s="139"/>
      <c r="UOX108" s="139"/>
      <c r="UOY108" s="139"/>
      <c r="UOZ108" s="139"/>
      <c r="UPA108" s="139"/>
      <c r="UPB108" s="139"/>
      <c r="UPC108" s="139"/>
      <c r="UPD108" s="139"/>
      <c r="UPE108" s="139"/>
      <c r="UPF108" s="139"/>
      <c r="UPG108" s="139"/>
      <c r="UPH108" s="139"/>
      <c r="UPI108" s="139"/>
      <c r="UPJ108" s="139"/>
      <c r="UPK108" s="139"/>
      <c r="UPL108" s="139"/>
      <c r="UPM108" s="139"/>
      <c r="UPN108" s="139"/>
      <c r="UPO108" s="139"/>
      <c r="UPP108" s="139"/>
      <c r="UPQ108" s="139"/>
      <c r="UPR108" s="139"/>
      <c r="UPS108" s="139"/>
      <c r="UPT108" s="139"/>
      <c r="UPU108" s="139"/>
      <c r="UPV108" s="139"/>
      <c r="UPW108" s="139"/>
      <c r="UPX108" s="139"/>
      <c r="UPY108" s="139"/>
      <c r="UPZ108" s="139"/>
      <c r="UQA108" s="139"/>
      <c r="UQB108" s="139"/>
      <c r="UQC108" s="139"/>
      <c r="UQD108" s="139"/>
      <c r="UQE108" s="139"/>
      <c r="UQF108" s="139"/>
      <c r="UQG108" s="139"/>
      <c r="UQH108" s="139"/>
      <c r="UQI108" s="139"/>
      <c r="UQJ108" s="139"/>
      <c r="UQK108" s="139"/>
      <c r="UQL108" s="139"/>
      <c r="UQM108" s="139"/>
      <c r="UQN108" s="139"/>
      <c r="UQO108" s="139"/>
      <c r="UQP108" s="139"/>
      <c r="UQQ108" s="139"/>
      <c r="UQR108" s="139"/>
      <c r="UQS108" s="139"/>
      <c r="UQT108" s="139"/>
      <c r="UQU108" s="139"/>
      <c r="UQV108" s="139"/>
      <c r="UQW108" s="139"/>
      <c r="UQX108" s="139"/>
      <c r="UQY108" s="139"/>
      <c r="UQZ108" s="139"/>
      <c r="URA108" s="139"/>
      <c r="URB108" s="139"/>
      <c r="URC108" s="139"/>
      <c r="URD108" s="139"/>
      <c r="URE108" s="139"/>
      <c r="URF108" s="139"/>
      <c r="URG108" s="139"/>
      <c r="URH108" s="139"/>
      <c r="URI108" s="139"/>
      <c r="URJ108" s="139"/>
      <c r="URK108" s="139"/>
      <c r="URL108" s="139"/>
      <c r="URM108" s="139"/>
      <c r="URN108" s="139"/>
      <c r="URO108" s="139"/>
      <c r="URP108" s="139"/>
      <c r="URQ108" s="139"/>
      <c r="URR108" s="139"/>
      <c r="URS108" s="139"/>
      <c r="URT108" s="139"/>
      <c r="URU108" s="139"/>
      <c r="URV108" s="139"/>
      <c r="URW108" s="139"/>
      <c r="URX108" s="139"/>
      <c r="URY108" s="139"/>
      <c r="URZ108" s="139"/>
      <c r="USA108" s="139"/>
      <c r="USB108" s="139"/>
      <c r="USC108" s="139"/>
      <c r="USD108" s="139"/>
      <c r="USE108" s="139"/>
      <c r="USF108" s="139"/>
      <c r="USG108" s="139"/>
      <c r="USH108" s="139"/>
      <c r="USI108" s="139"/>
      <c r="USJ108" s="139"/>
      <c r="USK108" s="139"/>
      <c r="USL108" s="139"/>
      <c r="USM108" s="139"/>
      <c r="USN108" s="139"/>
      <c r="USO108" s="139"/>
      <c r="USP108" s="139"/>
      <c r="USQ108" s="139"/>
      <c r="USR108" s="139"/>
      <c r="USS108" s="139"/>
      <c r="UST108" s="139"/>
      <c r="USU108" s="139"/>
      <c r="USV108" s="139"/>
      <c r="USW108" s="139"/>
      <c r="USX108" s="139"/>
      <c r="USY108" s="139"/>
      <c r="USZ108" s="139"/>
      <c r="UTA108" s="139"/>
      <c r="UTB108" s="139"/>
      <c r="UTC108" s="139"/>
      <c r="UTD108" s="139"/>
      <c r="UTE108" s="139"/>
      <c r="UTF108" s="139"/>
      <c r="UTG108" s="139"/>
      <c r="UTH108" s="139"/>
      <c r="UTI108" s="139"/>
      <c r="UTJ108" s="139"/>
      <c r="UTK108" s="139"/>
      <c r="UTL108" s="139"/>
      <c r="UTM108" s="139"/>
      <c r="UTN108" s="139"/>
      <c r="UTO108" s="139"/>
      <c r="UTP108" s="139"/>
      <c r="UTQ108" s="139"/>
      <c r="UTR108" s="139"/>
      <c r="UTS108" s="139"/>
      <c r="UTT108" s="139"/>
      <c r="UTU108" s="139"/>
      <c r="UTV108" s="139"/>
      <c r="UTW108" s="139"/>
      <c r="UTX108" s="139"/>
      <c r="UTY108" s="139"/>
      <c r="UTZ108" s="139"/>
      <c r="UUA108" s="139"/>
      <c r="UUB108" s="139"/>
      <c r="UUC108" s="139"/>
      <c r="UUD108" s="139"/>
      <c r="UUE108" s="139"/>
      <c r="UUF108" s="139"/>
      <c r="UUG108" s="139"/>
      <c r="UUH108" s="139"/>
      <c r="UUI108" s="139"/>
      <c r="UUJ108" s="139"/>
      <c r="UUK108" s="139"/>
      <c r="UUL108" s="139"/>
      <c r="UUM108" s="139"/>
      <c r="UUN108" s="139"/>
      <c r="UUO108" s="139"/>
      <c r="UUP108" s="139"/>
      <c r="UUQ108" s="139"/>
      <c r="UUR108" s="139"/>
      <c r="UUS108" s="139"/>
      <c r="UUT108" s="139"/>
      <c r="UUU108" s="139"/>
      <c r="UUV108" s="139"/>
      <c r="UUW108" s="139"/>
      <c r="UUX108" s="139"/>
      <c r="UUY108" s="139"/>
      <c r="UUZ108" s="139"/>
      <c r="UVA108" s="139"/>
      <c r="UVB108" s="139"/>
      <c r="UVC108" s="139"/>
      <c r="UVD108" s="139"/>
      <c r="UVE108" s="139"/>
      <c r="UVF108" s="139"/>
      <c r="UVG108" s="139"/>
      <c r="UVH108" s="139"/>
      <c r="UVI108" s="139"/>
      <c r="UVJ108" s="139"/>
      <c r="UVK108" s="139"/>
      <c r="UVL108" s="139"/>
      <c r="UVM108" s="139"/>
      <c r="UVN108" s="139"/>
      <c r="UVO108" s="139"/>
      <c r="UVP108" s="139"/>
      <c r="UVQ108" s="139"/>
      <c r="UVR108" s="139"/>
      <c r="UVS108" s="139"/>
      <c r="UVT108" s="139"/>
      <c r="UVU108" s="139"/>
      <c r="UVV108" s="139"/>
      <c r="UVW108" s="139"/>
      <c r="UVX108" s="139"/>
      <c r="UVY108" s="139"/>
      <c r="UVZ108" s="139"/>
      <c r="UWA108" s="139"/>
      <c r="UWB108" s="139"/>
      <c r="UWC108" s="139"/>
      <c r="UWD108" s="139"/>
      <c r="UWE108" s="139"/>
      <c r="UWF108" s="139"/>
      <c r="UWG108" s="139"/>
      <c r="UWH108" s="139"/>
      <c r="UWI108" s="139"/>
      <c r="UWJ108" s="139"/>
      <c r="UWK108" s="139"/>
      <c r="UWL108" s="139"/>
      <c r="UWM108" s="139"/>
      <c r="UWN108" s="139"/>
      <c r="UWO108" s="139"/>
      <c r="UWP108" s="139"/>
      <c r="UWQ108" s="139"/>
      <c r="UWR108" s="139"/>
      <c r="UWS108" s="139"/>
      <c r="UWT108" s="139"/>
      <c r="UWU108" s="139"/>
      <c r="UWV108" s="139"/>
      <c r="UWW108" s="139"/>
      <c r="UWX108" s="139"/>
      <c r="UWY108" s="139"/>
      <c r="UWZ108" s="139"/>
      <c r="UXA108" s="139"/>
      <c r="UXB108" s="139"/>
      <c r="UXC108" s="139"/>
      <c r="UXD108" s="139"/>
      <c r="UXE108" s="139"/>
      <c r="UXF108" s="139"/>
      <c r="UXG108" s="139"/>
      <c r="UXH108" s="139"/>
      <c r="UXI108" s="139"/>
      <c r="UXJ108" s="139"/>
      <c r="UXK108" s="139"/>
      <c r="UXL108" s="139"/>
      <c r="UXM108" s="139"/>
      <c r="UXN108" s="139"/>
      <c r="UXO108" s="139"/>
      <c r="UXP108" s="139"/>
      <c r="UXQ108" s="139"/>
      <c r="UXR108" s="139"/>
      <c r="UXS108" s="139"/>
      <c r="UXT108" s="139"/>
      <c r="UXU108" s="139"/>
      <c r="UXV108" s="139"/>
      <c r="UXW108" s="139"/>
      <c r="UXX108" s="139"/>
      <c r="UXY108" s="139"/>
      <c r="UXZ108" s="139"/>
      <c r="UYA108" s="139"/>
      <c r="UYB108" s="139"/>
      <c r="UYC108" s="139"/>
      <c r="UYD108" s="139"/>
      <c r="UYE108" s="139"/>
      <c r="UYF108" s="139"/>
      <c r="UYG108" s="139"/>
      <c r="UYH108" s="139"/>
      <c r="UYI108" s="139"/>
      <c r="UYJ108" s="139"/>
      <c r="UYK108" s="139"/>
      <c r="UYL108" s="139"/>
      <c r="UYM108" s="139"/>
      <c r="UYN108" s="139"/>
      <c r="UYO108" s="139"/>
      <c r="UYP108" s="139"/>
      <c r="UYQ108" s="139"/>
      <c r="UYR108" s="139"/>
      <c r="UYS108" s="139"/>
      <c r="UYT108" s="139"/>
      <c r="UYU108" s="139"/>
      <c r="UYV108" s="139"/>
      <c r="UYW108" s="139"/>
      <c r="UYX108" s="139"/>
      <c r="UYY108" s="139"/>
      <c r="UYZ108" s="139"/>
      <c r="UZA108" s="139"/>
      <c r="UZB108" s="139"/>
      <c r="UZC108" s="139"/>
      <c r="UZD108" s="139"/>
      <c r="UZE108" s="139"/>
      <c r="UZF108" s="139"/>
      <c r="UZG108" s="139"/>
      <c r="UZH108" s="139"/>
      <c r="UZI108" s="139"/>
      <c r="UZJ108" s="139"/>
      <c r="UZK108" s="139"/>
      <c r="UZL108" s="139"/>
      <c r="UZM108" s="139"/>
      <c r="UZN108" s="139"/>
      <c r="UZO108" s="139"/>
      <c r="UZP108" s="139"/>
      <c r="UZQ108" s="139"/>
      <c r="UZR108" s="139"/>
      <c r="UZS108" s="139"/>
      <c r="UZT108" s="139"/>
      <c r="UZU108" s="139"/>
      <c r="UZV108" s="139"/>
      <c r="UZW108" s="139"/>
      <c r="UZX108" s="139"/>
      <c r="UZY108" s="139"/>
      <c r="UZZ108" s="139"/>
      <c r="VAA108" s="139"/>
      <c r="VAB108" s="139"/>
      <c r="VAC108" s="139"/>
      <c r="VAD108" s="139"/>
      <c r="VAE108" s="139"/>
      <c r="VAF108" s="139"/>
      <c r="VAG108" s="139"/>
      <c r="VAH108" s="139"/>
      <c r="VAI108" s="139"/>
      <c r="VAJ108" s="139"/>
      <c r="VAK108" s="139"/>
      <c r="VAL108" s="139"/>
      <c r="VAM108" s="139"/>
      <c r="VAN108" s="139"/>
      <c r="VAO108" s="139"/>
      <c r="VAP108" s="139"/>
      <c r="VAQ108" s="139"/>
      <c r="VAR108" s="139"/>
      <c r="VAS108" s="139"/>
      <c r="VAT108" s="139"/>
      <c r="VAU108" s="139"/>
      <c r="VAV108" s="139"/>
      <c r="VAW108" s="139"/>
      <c r="VAX108" s="139"/>
      <c r="VAY108" s="139"/>
      <c r="VAZ108" s="139"/>
      <c r="VBA108" s="139"/>
      <c r="VBB108" s="139"/>
      <c r="VBC108" s="139"/>
      <c r="VBD108" s="139"/>
      <c r="VBE108" s="139"/>
      <c r="VBF108" s="139"/>
      <c r="VBG108" s="139"/>
      <c r="VBH108" s="139"/>
      <c r="VBI108" s="139"/>
      <c r="VBJ108" s="139"/>
      <c r="VBK108" s="139"/>
      <c r="VBL108" s="139"/>
      <c r="VBM108" s="139"/>
      <c r="VBN108" s="139"/>
      <c r="VBO108" s="139"/>
      <c r="VBP108" s="139"/>
      <c r="VBQ108" s="139"/>
      <c r="VBR108" s="139"/>
      <c r="VBS108" s="139"/>
      <c r="VBT108" s="139"/>
      <c r="VBU108" s="139"/>
      <c r="VBV108" s="139"/>
      <c r="VBW108" s="139"/>
      <c r="VBX108" s="139"/>
      <c r="VBY108" s="139"/>
      <c r="VBZ108" s="139"/>
      <c r="VCA108" s="139"/>
      <c r="VCB108" s="139"/>
      <c r="VCC108" s="139"/>
      <c r="VCD108" s="139"/>
      <c r="VCE108" s="139"/>
      <c r="VCF108" s="139"/>
      <c r="VCG108" s="139"/>
      <c r="VCH108" s="139"/>
      <c r="VCI108" s="139"/>
      <c r="VCJ108" s="139"/>
      <c r="VCK108" s="139"/>
      <c r="VCL108" s="139"/>
      <c r="VCM108" s="139"/>
      <c r="VCN108" s="139"/>
      <c r="VCO108" s="139"/>
      <c r="VCP108" s="139"/>
      <c r="VCQ108" s="139"/>
      <c r="VCR108" s="139"/>
      <c r="VCS108" s="139"/>
      <c r="VCT108" s="139"/>
      <c r="VCU108" s="139"/>
      <c r="VCV108" s="139"/>
      <c r="VCW108" s="139"/>
      <c r="VCX108" s="139"/>
      <c r="VCY108" s="139"/>
      <c r="VCZ108" s="139"/>
      <c r="VDA108" s="139"/>
      <c r="VDB108" s="139"/>
      <c r="VDC108" s="139"/>
      <c r="VDD108" s="139"/>
      <c r="VDE108" s="139"/>
      <c r="VDF108" s="139"/>
      <c r="VDG108" s="139"/>
      <c r="VDH108" s="139"/>
      <c r="VDI108" s="139"/>
      <c r="VDJ108" s="139"/>
      <c r="VDK108" s="139"/>
      <c r="VDL108" s="139"/>
      <c r="VDM108" s="139"/>
      <c r="VDN108" s="139"/>
      <c r="VDO108" s="139"/>
      <c r="VDP108" s="139"/>
      <c r="VDQ108" s="139"/>
      <c r="VDR108" s="139"/>
      <c r="VDS108" s="139"/>
      <c r="VDT108" s="139"/>
      <c r="VDU108" s="139"/>
      <c r="VDV108" s="139"/>
      <c r="VDW108" s="139"/>
      <c r="VDX108" s="139"/>
      <c r="VDY108" s="139"/>
      <c r="VDZ108" s="139"/>
      <c r="VEA108" s="139"/>
      <c r="VEB108" s="139"/>
      <c r="VEC108" s="139"/>
      <c r="VED108" s="139"/>
      <c r="VEE108" s="139"/>
      <c r="VEF108" s="139"/>
      <c r="VEG108" s="139"/>
      <c r="VEH108" s="139"/>
      <c r="VEI108" s="139"/>
      <c r="VEJ108" s="139"/>
      <c r="VEK108" s="139"/>
      <c r="VEL108" s="139"/>
      <c r="VEM108" s="139"/>
      <c r="VEN108" s="139"/>
      <c r="VEO108" s="139"/>
      <c r="VEP108" s="139"/>
      <c r="VEQ108" s="139"/>
      <c r="VER108" s="139"/>
      <c r="VES108" s="139"/>
      <c r="VET108" s="139"/>
      <c r="VEU108" s="139"/>
      <c r="VEV108" s="139"/>
      <c r="VEW108" s="139"/>
      <c r="VEX108" s="139"/>
      <c r="VEY108" s="139"/>
      <c r="VEZ108" s="139"/>
      <c r="VFA108" s="139"/>
      <c r="VFB108" s="139"/>
      <c r="VFC108" s="139"/>
      <c r="VFD108" s="139"/>
      <c r="VFE108" s="139"/>
      <c r="VFF108" s="139"/>
      <c r="VFG108" s="139"/>
      <c r="VFH108" s="139"/>
      <c r="VFI108" s="139"/>
      <c r="VFJ108" s="139"/>
      <c r="VFK108" s="139"/>
      <c r="VFL108" s="139"/>
      <c r="VFM108" s="139"/>
      <c r="VFN108" s="139"/>
      <c r="VFO108" s="139"/>
      <c r="VFP108" s="139"/>
      <c r="VFQ108" s="139"/>
      <c r="VFR108" s="139"/>
      <c r="VFS108" s="139"/>
      <c r="VFT108" s="139"/>
      <c r="VFU108" s="139"/>
      <c r="VFV108" s="139"/>
      <c r="VFW108" s="139"/>
      <c r="VFX108" s="139"/>
      <c r="VFY108" s="139"/>
      <c r="VFZ108" s="139"/>
      <c r="VGA108" s="139"/>
      <c r="VGB108" s="139"/>
      <c r="VGC108" s="139"/>
      <c r="VGD108" s="139"/>
      <c r="VGE108" s="139"/>
      <c r="VGF108" s="139"/>
      <c r="VGG108" s="139"/>
      <c r="VGH108" s="139"/>
      <c r="VGI108" s="139"/>
      <c r="VGJ108" s="139"/>
      <c r="VGK108" s="139"/>
      <c r="VGL108" s="139"/>
      <c r="VGM108" s="139"/>
      <c r="VGN108" s="139"/>
      <c r="VGO108" s="139"/>
      <c r="VGP108" s="139"/>
      <c r="VGQ108" s="139"/>
      <c r="VGR108" s="139"/>
      <c r="VGS108" s="139"/>
      <c r="VGT108" s="139"/>
      <c r="VGU108" s="139"/>
      <c r="VGV108" s="139"/>
      <c r="VGW108" s="139"/>
      <c r="VGX108" s="139"/>
      <c r="VGY108" s="139"/>
      <c r="VGZ108" s="139"/>
      <c r="VHA108" s="139"/>
      <c r="VHB108" s="139"/>
      <c r="VHC108" s="139"/>
      <c r="VHD108" s="139"/>
      <c r="VHE108" s="139"/>
      <c r="VHF108" s="139"/>
      <c r="VHG108" s="139"/>
      <c r="VHH108" s="139"/>
      <c r="VHI108" s="139"/>
      <c r="VHJ108" s="139"/>
      <c r="VHK108" s="139"/>
      <c r="VHL108" s="139"/>
      <c r="VHM108" s="139"/>
      <c r="VHN108" s="139"/>
      <c r="VHO108" s="139"/>
      <c r="VHP108" s="139"/>
      <c r="VHQ108" s="139"/>
      <c r="VHR108" s="139"/>
      <c r="VHS108" s="139"/>
      <c r="VHT108" s="139"/>
      <c r="VHU108" s="139"/>
      <c r="VHV108" s="139"/>
      <c r="VHW108" s="139"/>
      <c r="VHX108" s="139"/>
      <c r="VHY108" s="139"/>
      <c r="VHZ108" s="139"/>
      <c r="VIA108" s="139"/>
      <c r="VIB108" s="139"/>
      <c r="VIC108" s="139"/>
      <c r="VID108" s="139"/>
      <c r="VIE108" s="139"/>
      <c r="VIF108" s="139"/>
      <c r="VIG108" s="139"/>
      <c r="VIH108" s="139"/>
      <c r="VII108" s="139"/>
      <c r="VIJ108" s="139"/>
      <c r="VIK108" s="139"/>
      <c r="VIL108" s="139"/>
      <c r="VIM108" s="139"/>
      <c r="VIN108" s="139"/>
      <c r="VIO108" s="139"/>
      <c r="VIP108" s="139"/>
      <c r="VIQ108" s="139"/>
      <c r="VIR108" s="139"/>
      <c r="VIS108" s="139"/>
      <c r="VIT108" s="139"/>
      <c r="VIU108" s="139"/>
      <c r="VIV108" s="139"/>
      <c r="VIW108" s="139"/>
      <c r="VIX108" s="139"/>
      <c r="VIY108" s="139"/>
      <c r="VIZ108" s="139"/>
      <c r="VJA108" s="139"/>
      <c r="VJB108" s="139"/>
      <c r="VJC108" s="139"/>
      <c r="VJD108" s="139"/>
      <c r="VJE108" s="139"/>
      <c r="VJF108" s="139"/>
      <c r="VJG108" s="139"/>
      <c r="VJH108" s="139"/>
      <c r="VJI108" s="139"/>
      <c r="VJJ108" s="139"/>
      <c r="VJK108" s="139"/>
      <c r="VJL108" s="139"/>
      <c r="VJM108" s="139"/>
      <c r="VJN108" s="139"/>
      <c r="VJO108" s="139"/>
      <c r="VJP108" s="139"/>
      <c r="VJQ108" s="139"/>
      <c r="VJR108" s="139"/>
      <c r="VJS108" s="139"/>
      <c r="VJT108" s="139"/>
      <c r="VJU108" s="139"/>
      <c r="VJV108" s="139"/>
      <c r="VJW108" s="139"/>
      <c r="VJX108" s="139"/>
      <c r="VJY108" s="139"/>
      <c r="VJZ108" s="139"/>
      <c r="VKA108" s="139"/>
      <c r="VKB108" s="139"/>
      <c r="VKC108" s="139"/>
      <c r="VKD108" s="139"/>
      <c r="VKE108" s="139"/>
      <c r="VKF108" s="139"/>
      <c r="VKG108" s="139"/>
      <c r="VKH108" s="139"/>
      <c r="VKI108" s="139"/>
      <c r="VKJ108" s="139"/>
      <c r="VKK108" s="139"/>
      <c r="VKL108" s="139"/>
      <c r="VKM108" s="139"/>
      <c r="VKN108" s="139"/>
      <c r="VKO108" s="139"/>
      <c r="VKP108" s="139"/>
      <c r="VKQ108" s="139"/>
      <c r="VKR108" s="139"/>
      <c r="VKS108" s="139"/>
      <c r="VKT108" s="139"/>
      <c r="VKU108" s="139"/>
      <c r="VKV108" s="139"/>
      <c r="VKW108" s="139"/>
      <c r="VKX108" s="139"/>
      <c r="VKY108" s="139"/>
      <c r="VKZ108" s="139"/>
      <c r="VLA108" s="139"/>
      <c r="VLB108" s="139"/>
      <c r="VLC108" s="139"/>
      <c r="VLD108" s="139"/>
      <c r="VLE108" s="139"/>
      <c r="VLF108" s="139"/>
      <c r="VLG108" s="139"/>
      <c r="VLH108" s="139"/>
      <c r="VLI108" s="139"/>
      <c r="VLJ108" s="139"/>
      <c r="VLK108" s="139"/>
      <c r="VLL108" s="139"/>
      <c r="VLM108" s="139"/>
      <c r="VLN108" s="139"/>
      <c r="VLO108" s="139"/>
      <c r="VLP108" s="139"/>
      <c r="VLQ108" s="139"/>
      <c r="VLR108" s="139"/>
      <c r="VLS108" s="139"/>
      <c r="VLT108" s="139"/>
      <c r="VLU108" s="139"/>
      <c r="VLV108" s="139"/>
      <c r="VLW108" s="139"/>
      <c r="VLX108" s="139"/>
      <c r="VLY108" s="139"/>
      <c r="VLZ108" s="139"/>
      <c r="VMA108" s="139"/>
      <c r="VMB108" s="139"/>
      <c r="VMC108" s="139"/>
      <c r="VMD108" s="139"/>
      <c r="VME108" s="139"/>
      <c r="VMF108" s="139"/>
      <c r="VMG108" s="139"/>
      <c r="VMH108" s="139"/>
      <c r="VMI108" s="139"/>
      <c r="VMJ108" s="139"/>
      <c r="VMK108" s="139"/>
      <c r="VML108" s="139"/>
      <c r="VMM108" s="139"/>
      <c r="VMN108" s="139"/>
      <c r="VMO108" s="139"/>
      <c r="VMP108" s="139"/>
      <c r="VMQ108" s="139"/>
      <c r="VMR108" s="139"/>
      <c r="VMS108" s="139"/>
      <c r="VMT108" s="139"/>
      <c r="VMU108" s="139"/>
      <c r="VMV108" s="139"/>
      <c r="VMW108" s="139"/>
      <c r="VMX108" s="139"/>
      <c r="VMY108" s="139"/>
      <c r="VMZ108" s="139"/>
      <c r="VNA108" s="139"/>
      <c r="VNB108" s="139"/>
      <c r="VNC108" s="139"/>
      <c r="VND108" s="139"/>
      <c r="VNE108" s="139"/>
      <c r="VNF108" s="139"/>
      <c r="VNG108" s="139"/>
      <c r="VNH108" s="139"/>
      <c r="VNI108" s="139"/>
      <c r="VNJ108" s="139"/>
      <c r="VNK108" s="139"/>
      <c r="VNL108" s="139"/>
      <c r="VNM108" s="139"/>
      <c r="VNN108" s="139"/>
      <c r="VNO108" s="139"/>
      <c r="VNP108" s="139"/>
      <c r="VNQ108" s="139"/>
      <c r="VNR108" s="139"/>
      <c r="VNS108" s="139"/>
      <c r="VNT108" s="139"/>
      <c r="VNU108" s="139"/>
      <c r="VNV108" s="139"/>
      <c r="VNW108" s="139"/>
      <c r="VNX108" s="139"/>
      <c r="VNY108" s="139"/>
      <c r="VNZ108" s="139"/>
      <c r="VOA108" s="139"/>
      <c r="VOB108" s="139"/>
      <c r="VOC108" s="139"/>
      <c r="VOD108" s="139"/>
      <c r="VOE108" s="139"/>
      <c r="VOF108" s="139"/>
      <c r="VOG108" s="139"/>
      <c r="VOH108" s="139"/>
      <c r="VOI108" s="139"/>
      <c r="VOJ108" s="139"/>
      <c r="VOK108" s="139"/>
      <c r="VOL108" s="139"/>
      <c r="VOM108" s="139"/>
      <c r="VON108" s="139"/>
      <c r="VOO108" s="139"/>
      <c r="VOP108" s="139"/>
      <c r="VOQ108" s="139"/>
      <c r="VOR108" s="139"/>
      <c r="VOS108" s="139"/>
      <c r="VOT108" s="139"/>
      <c r="VOU108" s="139"/>
      <c r="VOV108" s="139"/>
      <c r="VOW108" s="139"/>
      <c r="VOX108" s="139"/>
      <c r="VOY108" s="139"/>
      <c r="VOZ108" s="139"/>
      <c r="VPA108" s="139"/>
      <c r="VPB108" s="139"/>
      <c r="VPC108" s="139"/>
      <c r="VPD108" s="139"/>
      <c r="VPE108" s="139"/>
      <c r="VPF108" s="139"/>
      <c r="VPG108" s="139"/>
      <c r="VPH108" s="139"/>
      <c r="VPI108" s="139"/>
      <c r="VPJ108" s="139"/>
      <c r="VPK108" s="139"/>
      <c r="VPL108" s="139"/>
      <c r="VPM108" s="139"/>
      <c r="VPN108" s="139"/>
      <c r="VPO108" s="139"/>
      <c r="VPP108" s="139"/>
      <c r="VPQ108" s="139"/>
      <c r="VPR108" s="139"/>
      <c r="VPS108" s="139"/>
      <c r="VPT108" s="139"/>
      <c r="VPU108" s="139"/>
      <c r="VPV108" s="139"/>
      <c r="VPW108" s="139"/>
      <c r="VPX108" s="139"/>
      <c r="VPY108" s="139"/>
      <c r="VPZ108" s="139"/>
      <c r="VQA108" s="139"/>
      <c r="VQB108" s="139"/>
      <c r="VQC108" s="139"/>
      <c r="VQD108" s="139"/>
      <c r="VQE108" s="139"/>
      <c r="VQF108" s="139"/>
      <c r="VQG108" s="139"/>
      <c r="VQH108" s="139"/>
      <c r="VQI108" s="139"/>
      <c r="VQJ108" s="139"/>
      <c r="VQK108" s="139"/>
      <c r="VQL108" s="139"/>
      <c r="VQM108" s="139"/>
      <c r="VQN108" s="139"/>
      <c r="VQO108" s="139"/>
      <c r="VQP108" s="139"/>
      <c r="VQQ108" s="139"/>
      <c r="VQR108" s="139"/>
      <c r="VQS108" s="139"/>
      <c r="VQT108" s="139"/>
      <c r="VQU108" s="139"/>
      <c r="VQV108" s="139"/>
      <c r="VQW108" s="139"/>
      <c r="VQX108" s="139"/>
      <c r="VQY108" s="139"/>
      <c r="VQZ108" s="139"/>
      <c r="VRA108" s="139"/>
      <c r="VRB108" s="139"/>
      <c r="VRC108" s="139"/>
      <c r="VRD108" s="139"/>
      <c r="VRE108" s="139"/>
      <c r="VRF108" s="139"/>
      <c r="VRG108" s="139"/>
      <c r="VRH108" s="139"/>
      <c r="VRI108" s="139"/>
      <c r="VRJ108" s="139"/>
      <c r="VRK108" s="139"/>
      <c r="VRL108" s="139"/>
      <c r="VRM108" s="139"/>
      <c r="VRN108" s="139"/>
      <c r="VRO108" s="139"/>
      <c r="VRP108" s="139"/>
      <c r="VRQ108" s="139"/>
      <c r="VRR108" s="139"/>
      <c r="VRS108" s="139"/>
      <c r="VRT108" s="139"/>
      <c r="VRU108" s="139"/>
      <c r="VRV108" s="139"/>
      <c r="VRW108" s="139"/>
      <c r="VRX108" s="139"/>
      <c r="VRY108" s="139"/>
      <c r="VRZ108" s="139"/>
      <c r="VSA108" s="139"/>
      <c r="VSB108" s="139"/>
      <c r="VSC108" s="139"/>
      <c r="VSD108" s="139"/>
      <c r="VSE108" s="139"/>
      <c r="VSF108" s="139"/>
      <c r="VSG108" s="139"/>
      <c r="VSH108" s="139"/>
      <c r="VSI108" s="139"/>
      <c r="VSJ108" s="139"/>
      <c r="VSK108" s="139"/>
      <c r="VSL108" s="139"/>
      <c r="VSM108" s="139"/>
      <c r="VSN108" s="139"/>
      <c r="VSO108" s="139"/>
      <c r="VSP108" s="139"/>
      <c r="VSQ108" s="139"/>
      <c r="VSR108" s="139"/>
      <c r="VSS108" s="139"/>
      <c r="VST108" s="139"/>
      <c r="VSU108" s="139"/>
      <c r="VSV108" s="139"/>
      <c r="VSW108" s="139"/>
      <c r="VSX108" s="139"/>
      <c r="VSY108" s="139"/>
      <c r="VSZ108" s="139"/>
      <c r="VTA108" s="139"/>
      <c r="VTB108" s="139"/>
      <c r="VTC108" s="139"/>
      <c r="VTD108" s="139"/>
      <c r="VTE108" s="139"/>
      <c r="VTF108" s="139"/>
      <c r="VTG108" s="139"/>
      <c r="VTH108" s="139"/>
      <c r="VTI108" s="139"/>
      <c r="VTJ108" s="139"/>
      <c r="VTK108" s="139"/>
      <c r="VTL108" s="139"/>
      <c r="VTM108" s="139"/>
      <c r="VTN108" s="139"/>
      <c r="VTO108" s="139"/>
      <c r="VTP108" s="139"/>
      <c r="VTQ108" s="139"/>
      <c r="VTR108" s="139"/>
      <c r="VTS108" s="139"/>
      <c r="VTT108" s="139"/>
      <c r="VTU108" s="139"/>
      <c r="VTV108" s="139"/>
      <c r="VTW108" s="139"/>
      <c r="VTX108" s="139"/>
      <c r="VTY108" s="139"/>
      <c r="VTZ108" s="139"/>
      <c r="VUA108" s="139"/>
      <c r="VUB108" s="139"/>
      <c r="VUC108" s="139"/>
      <c r="VUD108" s="139"/>
      <c r="VUE108" s="139"/>
      <c r="VUF108" s="139"/>
      <c r="VUG108" s="139"/>
      <c r="VUH108" s="139"/>
      <c r="VUI108" s="139"/>
      <c r="VUJ108" s="139"/>
      <c r="VUK108" s="139"/>
      <c r="VUL108" s="139"/>
      <c r="VUM108" s="139"/>
      <c r="VUN108" s="139"/>
      <c r="VUO108" s="139"/>
      <c r="VUP108" s="139"/>
      <c r="VUQ108" s="139"/>
      <c r="VUR108" s="139"/>
      <c r="VUS108" s="139"/>
      <c r="VUT108" s="139"/>
      <c r="VUU108" s="139"/>
      <c r="VUV108" s="139"/>
      <c r="VUW108" s="139"/>
      <c r="VUX108" s="139"/>
      <c r="VUY108" s="139"/>
      <c r="VUZ108" s="139"/>
      <c r="VVA108" s="139"/>
      <c r="VVB108" s="139"/>
      <c r="VVC108" s="139"/>
      <c r="VVD108" s="139"/>
      <c r="VVE108" s="139"/>
      <c r="VVF108" s="139"/>
      <c r="VVG108" s="139"/>
      <c r="VVH108" s="139"/>
      <c r="VVI108" s="139"/>
      <c r="VVJ108" s="139"/>
      <c r="VVK108" s="139"/>
      <c r="VVL108" s="139"/>
      <c r="VVM108" s="139"/>
      <c r="VVN108" s="139"/>
      <c r="VVO108" s="139"/>
      <c r="VVP108" s="139"/>
      <c r="VVQ108" s="139"/>
      <c r="VVR108" s="139"/>
      <c r="VVS108" s="139"/>
      <c r="VVT108" s="139"/>
      <c r="VVU108" s="139"/>
      <c r="VVV108" s="139"/>
      <c r="VVW108" s="139"/>
      <c r="VVX108" s="139"/>
      <c r="VVY108" s="139"/>
      <c r="VVZ108" s="139"/>
      <c r="VWA108" s="139"/>
      <c r="VWB108" s="139"/>
      <c r="VWC108" s="139"/>
      <c r="VWD108" s="139"/>
      <c r="VWE108" s="139"/>
      <c r="VWF108" s="139"/>
      <c r="VWG108" s="139"/>
      <c r="VWH108" s="139"/>
      <c r="VWI108" s="139"/>
      <c r="VWJ108" s="139"/>
      <c r="VWK108" s="139"/>
      <c r="VWL108" s="139"/>
      <c r="VWM108" s="139"/>
      <c r="VWN108" s="139"/>
      <c r="VWO108" s="139"/>
      <c r="VWP108" s="139"/>
      <c r="VWQ108" s="139"/>
      <c r="VWR108" s="139"/>
      <c r="VWS108" s="139"/>
      <c r="VWT108" s="139"/>
      <c r="VWU108" s="139"/>
      <c r="VWV108" s="139"/>
      <c r="VWW108" s="139"/>
      <c r="VWX108" s="139"/>
      <c r="VWY108" s="139"/>
      <c r="VWZ108" s="139"/>
      <c r="VXA108" s="139"/>
      <c r="VXB108" s="139"/>
      <c r="VXC108" s="139"/>
      <c r="VXD108" s="139"/>
      <c r="VXE108" s="139"/>
      <c r="VXF108" s="139"/>
      <c r="VXG108" s="139"/>
      <c r="VXH108" s="139"/>
      <c r="VXI108" s="139"/>
      <c r="VXJ108" s="139"/>
      <c r="VXK108" s="139"/>
      <c r="VXL108" s="139"/>
      <c r="VXM108" s="139"/>
      <c r="VXN108" s="139"/>
      <c r="VXO108" s="139"/>
      <c r="VXP108" s="139"/>
      <c r="VXQ108" s="139"/>
      <c r="VXR108" s="139"/>
      <c r="VXS108" s="139"/>
      <c r="VXT108" s="139"/>
      <c r="VXU108" s="139"/>
      <c r="VXV108" s="139"/>
      <c r="VXW108" s="139"/>
      <c r="VXX108" s="139"/>
      <c r="VXY108" s="139"/>
      <c r="VXZ108" s="139"/>
      <c r="VYA108" s="139"/>
      <c r="VYB108" s="139"/>
      <c r="VYC108" s="139"/>
      <c r="VYD108" s="139"/>
      <c r="VYE108" s="139"/>
      <c r="VYF108" s="139"/>
      <c r="VYG108" s="139"/>
      <c r="VYH108" s="139"/>
      <c r="VYI108" s="139"/>
      <c r="VYJ108" s="139"/>
      <c r="VYK108" s="139"/>
      <c r="VYL108" s="139"/>
      <c r="VYM108" s="139"/>
      <c r="VYN108" s="139"/>
      <c r="VYO108" s="139"/>
      <c r="VYP108" s="139"/>
      <c r="VYQ108" s="139"/>
      <c r="VYR108" s="139"/>
      <c r="VYS108" s="139"/>
      <c r="VYT108" s="139"/>
      <c r="VYU108" s="139"/>
      <c r="VYV108" s="139"/>
      <c r="VYW108" s="139"/>
      <c r="VYX108" s="139"/>
      <c r="VYY108" s="139"/>
      <c r="VYZ108" s="139"/>
      <c r="VZA108" s="139"/>
      <c r="VZB108" s="139"/>
      <c r="VZC108" s="139"/>
      <c r="VZD108" s="139"/>
      <c r="VZE108" s="139"/>
      <c r="VZF108" s="139"/>
      <c r="VZG108" s="139"/>
      <c r="VZH108" s="139"/>
      <c r="VZI108" s="139"/>
      <c r="VZJ108" s="139"/>
      <c r="VZK108" s="139"/>
      <c r="VZL108" s="139"/>
      <c r="VZM108" s="139"/>
      <c r="VZN108" s="139"/>
      <c r="VZO108" s="139"/>
      <c r="VZP108" s="139"/>
      <c r="VZQ108" s="139"/>
      <c r="VZR108" s="139"/>
      <c r="VZS108" s="139"/>
      <c r="VZT108" s="139"/>
      <c r="VZU108" s="139"/>
      <c r="VZV108" s="139"/>
      <c r="VZW108" s="139"/>
      <c r="VZX108" s="139"/>
      <c r="VZY108" s="139"/>
      <c r="VZZ108" s="139"/>
      <c r="WAA108" s="139"/>
      <c r="WAB108" s="139"/>
      <c r="WAC108" s="139"/>
      <c r="WAD108" s="139"/>
      <c r="WAE108" s="139"/>
      <c r="WAF108" s="139"/>
      <c r="WAG108" s="139"/>
      <c r="WAH108" s="139"/>
      <c r="WAI108" s="139"/>
      <c r="WAJ108" s="139"/>
      <c r="WAK108" s="139"/>
      <c r="WAL108" s="139"/>
      <c r="WAM108" s="139"/>
      <c r="WAN108" s="139"/>
      <c r="WAO108" s="139"/>
      <c r="WAP108" s="139"/>
      <c r="WAQ108" s="139"/>
      <c r="WAR108" s="139"/>
      <c r="WAS108" s="139"/>
      <c r="WAT108" s="139"/>
      <c r="WAU108" s="139"/>
      <c r="WAV108" s="139"/>
      <c r="WAW108" s="139"/>
      <c r="WAX108" s="139"/>
      <c r="WAY108" s="139"/>
      <c r="WAZ108" s="139"/>
      <c r="WBA108" s="139"/>
      <c r="WBB108" s="139"/>
      <c r="WBC108" s="139"/>
      <c r="WBD108" s="139"/>
      <c r="WBE108" s="139"/>
      <c r="WBF108" s="139"/>
      <c r="WBG108" s="139"/>
      <c r="WBH108" s="139"/>
      <c r="WBI108" s="139"/>
      <c r="WBJ108" s="139"/>
      <c r="WBK108" s="139"/>
      <c r="WBL108" s="139"/>
      <c r="WBM108" s="139"/>
      <c r="WBN108" s="139"/>
      <c r="WBO108" s="139"/>
      <c r="WBP108" s="139"/>
      <c r="WBQ108" s="139"/>
      <c r="WBR108" s="139"/>
      <c r="WBS108" s="139"/>
      <c r="WBT108" s="139"/>
      <c r="WBU108" s="139"/>
      <c r="WBV108" s="139"/>
      <c r="WBW108" s="139"/>
      <c r="WBX108" s="139"/>
      <c r="WBY108" s="139"/>
      <c r="WBZ108" s="139"/>
      <c r="WCA108" s="139"/>
      <c r="WCB108" s="139"/>
      <c r="WCC108" s="139"/>
      <c r="WCD108" s="139"/>
      <c r="WCE108" s="139"/>
      <c r="WCF108" s="139"/>
      <c r="WCG108" s="139"/>
      <c r="WCH108" s="139"/>
      <c r="WCI108" s="139"/>
      <c r="WCJ108" s="139"/>
      <c r="WCK108" s="139"/>
      <c r="WCL108" s="139"/>
      <c r="WCM108" s="139"/>
      <c r="WCN108" s="139"/>
      <c r="WCO108" s="139"/>
      <c r="WCP108" s="139"/>
      <c r="WCQ108" s="139"/>
      <c r="WCR108" s="139"/>
      <c r="WCS108" s="139"/>
      <c r="WCT108" s="139"/>
      <c r="WCU108" s="139"/>
      <c r="WCV108" s="139"/>
      <c r="WCW108" s="139"/>
      <c r="WCX108" s="139"/>
      <c r="WCY108" s="139"/>
      <c r="WCZ108" s="139"/>
      <c r="WDA108" s="139"/>
      <c r="WDB108" s="139"/>
      <c r="WDC108" s="139"/>
      <c r="WDD108" s="139"/>
      <c r="WDE108" s="139"/>
      <c r="WDF108" s="139"/>
      <c r="WDG108" s="139"/>
      <c r="WDH108" s="139"/>
      <c r="WDI108" s="139"/>
      <c r="WDJ108" s="139"/>
      <c r="WDK108" s="139"/>
      <c r="WDL108" s="139"/>
      <c r="WDM108" s="139"/>
      <c r="WDN108" s="139"/>
      <c r="WDO108" s="139"/>
      <c r="WDP108" s="139"/>
      <c r="WDQ108" s="139"/>
      <c r="WDR108" s="139"/>
      <c r="WDS108" s="139"/>
      <c r="WDT108" s="139"/>
      <c r="WDU108" s="139"/>
      <c r="WDV108" s="139"/>
      <c r="WDW108" s="139"/>
      <c r="WDX108" s="139"/>
      <c r="WDY108" s="139"/>
      <c r="WDZ108" s="139"/>
      <c r="WEA108" s="139"/>
      <c r="WEB108" s="139"/>
      <c r="WEC108" s="139"/>
      <c r="WED108" s="139"/>
      <c r="WEE108" s="139"/>
      <c r="WEF108" s="139"/>
      <c r="WEG108" s="139"/>
      <c r="WEH108" s="139"/>
      <c r="WEI108" s="139"/>
      <c r="WEJ108" s="139"/>
      <c r="WEK108" s="139"/>
      <c r="WEL108" s="139"/>
      <c r="WEM108" s="139"/>
      <c r="WEN108" s="139"/>
      <c r="WEO108" s="139"/>
      <c r="WEP108" s="139"/>
      <c r="WEQ108" s="139"/>
      <c r="WER108" s="139"/>
      <c r="WES108" s="139"/>
      <c r="WET108" s="139"/>
      <c r="WEU108" s="139"/>
      <c r="WEV108" s="139"/>
      <c r="WEW108" s="139"/>
      <c r="WEX108" s="139"/>
      <c r="WEY108" s="139"/>
      <c r="WEZ108" s="139"/>
      <c r="WFA108" s="139"/>
      <c r="WFB108" s="139"/>
      <c r="WFC108" s="139"/>
      <c r="WFD108" s="139"/>
      <c r="WFE108" s="139"/>
      <c r="WFF108" s="139"/>
      <c r="WFG108" s="139"/>
      <c r="WFH108" s="139"/>
      <c r="WFI108" s="139"/>
      <c r="WFJ108" s="139"/>
      <c r="WFK108" s="139"/>
      <c r="WFL108" s="139"/>
      <c r="WFM108" s="139"/>
      <c r="WFN108" s="139"/>
      <c r="WFO108" s="139"/>
      <c r="WFP108" s="139"/>
      <c r="WFQ108" s="139"/>
      <c r="WFR108" s="139"/>
      <c r="WFS108" s="139"/>
      <c r="WFT108" s="139"/>
      <c r="WFU108" s="139"/>
      <c r="WFV108" s="139"/>
      <c r="WFW108" s="139"/>
      <c r="WFX108" s="139"/>
      <c r="WFY108" s="139"/>
      <c r="WFZ108" s="139"/>
      <c r="WGA108" s="139"/>
      <c r="WGB108" s="139"/>
      <c r="WGC108" s="139"/>
      <c r="WGD108" s="139"/>
      <c r="WGE108" s="139"/>
      <c r="WGF108" s="139"/>
      <c r="WGG108" s="139"/>
      <c r="WGH108" s="139"/>
      <c r="WGI108" s="139"/>
      <c r="WGJ108" s="139"/>
      <c r="WGK108" s="139"/>
      <c r="WGL108" s="139"/>
      <c r="WGM108" s="139"/>
      <c r="WGN108" s="139"/>
      <c r="WGO108" s="139"/>
      <c r="WGP108" s="139"/>
      <c r="WGQ108" s="139"/>
      <c r="WGR108" s="139"/>
      <c r="WGS108" s="139"/>
      <c r="WGT108" s="139"/>
      <c r="WGU108" s="139"/>
      <c r="WGV108" s="139"/>
      <c r="WGW108" s="139"/>
      <c r="WGX108" s="139"/>
      <c r="WGY108" s="139"/>
      <c r="WGZ108" s="139"/>
      <c r="WHA108" s="139"/>
      <c r="WHB108" s="139"/>
      <c r="WHC108" s="139"/>
      <c r="WHD108" s="139"/>
      <c r="WHE108" s="139"/>
      <c r="WHF108" s="139"/>
      <c r="WHG108" s="139"/>
      <c r="WHH108" s="139"/>
      <c r="WHI108" s="139"/>
      <c r="WHJ108" s="139"/>
      <c r="WHK108" s="139"/>
      <c r="WHL108" s="139"/>
      <c r="WHM108" s="139"/>
      <c r="WHN108" s="139"/>
      <c r="WHO108" s="139"/>
      <c r="WHP108" s="139"/>
      <c r="WHQ108" s="139"/>
      <c r="WHR108" s="139"/>
      <c r="WHS108" s="139"/>
      <c r="WHT108" s="139"/>
      <c r="WHU108" s="139"/>
      <c r="WHV108" s="139"/>
      <c r="WHW108" s="139"/>
      <c r="WHX108" s="139"/>
      <c r="WHY108" s="139"/>
      <c r="WHZ108" s="139"/>
      <c r="WIA108" s="139"/>
      <c r="WIB108" s="139"/>
      <c r="WIC108" s="139"/>
      <c r="WID108" s="139"/>
      <c r="WIE108" s="139"/>
      <c r="WIF108" s="139"/>
      <c r="WIG108" s="139"/>
      <c r="WIH108" s="139"/>
      <c r="WII108" s="139"/>
      <c r="WIJ108" s="139"/>
      <c r="WIK108" s="139"/>
      <c r="WIL108" s="139"/>
      <c r="WIM108" s="139"/>
      <c r="WIN108" s="139"/>
      <c r="WIO108" s="139"/>
      <c r="WIP108" s="139"/>
      <c r="WIQ108" s="139"/>
      <c r="WIR108" s="139"/>
      <c r="WIS108" s="139"/>
      <c r="WIT108" s="139"/>
      <c r="WIU108" s="139"/>
      <c r="WIV108" s="139"/>
      <c r="WIW108" s="139"/>
      <c r="WIX108" s="139"/>
      <c r="WIY108" s="139"/>
      <c r="WIZ108" s="139"/>
      <c r="WJA108" s="139"/>
      <c r="WJB108" s="139"/>
      <c r="WJC108" s="139"/>
      <c r="WJD108" s="139"/>
      <c r="WJE108" s="139"/>
      <c r="WJF108" s="139"/>
      <c r="WJG108" s="139"/>
      <c r="WJH108" s="139"/>
      <c r="WJI108" s="139"/>
      <c r="WJJ108" s="139"/>
      <c r="WJK108" s="139"/>
      <c r="WJL108" s="139"/>
      <c r="WJM108" s="139"/>
      <c r="WJN108" s="139"/>
      <c r="WJO108" s="139"/>
      <c r="WJP108" s="139"/>
      <c r="WJQ108" s="139"/>
      <c r="WJR108" s="139"/>
      <c r="WJS108" s="139"/>
      <c r="WJT108" s="139"/>
      <c r="WJU108" s="139"/>
      <c r="WJV108" s="139"/>
      <c r="WJW108" s="139"/>
      <c r="WJX108" s="139"/>
      <c r="WJY108" s="139"/>
      <c r="WJZ108" s="139"/>
      <c r="WKA108" s="139"/>
      <c r="WKB108" s="139"/>
      <c r="WKC108" s="139"/>
      <c r="WKD108" s="139"/>
      <c r="WKE108" s="139"/>
      <c r="WKF108" s="139"/>
      <c r="WKG108" s="139"/>
      <c r="WKH108" s="139"/>
      <c r="WKI108" s="139"/>
      <c r="WKJ108" s="139"/>
      <c r="WKK108" s="139"/>
      <c r="WKL108" s="139"/>
      <c r="WKM108" s="139"/>
      <c r="WKN108" s="139"/>
      <c r="WKO108" s="139"/>
      <c r="WKP108" s="139"/>
      <c r="WKQ108" s="139"/>
      <c r="WKR108" s="139"/>
      <c r="WKS108" s="139"/>
      <c r="WKT108" s="139"/>
      <c r="WKU108" s="139"/>
      <c r="WKV108" s="139"/>
      <c r="WKW108" s="139"/>
      <c r="WKX108" s="139"/>
      <c r="WKY108" s="139"/>
      <c r="WKZ108" s="139"/>
      <c r="WLA108" s="139"/>
      <c r="WLB108" s="139"/>
      <c r="WLC108" s="139"/>
      <c r="WLD108" s="139"/>
      <c r="WLE108" s="139"/>
      <c r="WLF108" s="139"/>
      <c r="WLG108" s="139"/>
      <c r="WLH108" s="139"/>
      <c r="WLI108" s="139"/>
      <c r="WLJ108" s="139"/>
      <c r="WLK108" s="139"/>
      <c r="WLL108" s="139"/>
      <c r="WLM108" s="139"/>
      <c r="WLN108" s="139"/>
      <c r="WLO108" s="139"/>
      <c r="WLP108" s="139"/>
      <c r="WLQ108" s="139"/>
      <c r="WLR108" s="139"/>
      <c r="WLS108" s="139"/>
      <c r="WLT108" s="139"/>
      <c r="WLU108" s="139"/>
      <c r="WLV108" s="139"/>
      <c r="WLW108" s="139"/>
      <c r="WLX108" s="139"/>
      <c r="WLY108" s="139"/>
      <c r="WLZ108" s="139"/>
      <c r="WMA108" s="139"/>
      <c r="WMB108" s="139"/>
      <c r="WMC108" s="139"/>
      <c r="WMD108" s="139"/>
      <c r="WME108" s="139"/>
      <c r="WMF108" s="139"/>
      <c r="WMG108" s="139"/>
      <c r="WMH108" s="139"/>
      <c r="WMI108" s="139"/>
      <c r="WMJ108" s="139"/>
      <c r="WMK108" s="139"/>
      <c r="WML108" s="139"/>
      <c r="WMM108" s="139"/>
      <c r="WMN108" s="139"/>
      <c r="WMO108" s="139"/>
      <c r="WMP108" s="139"/>
      <c r="WMQ108" s="139"/>
      <c r="WMR108" s="139"/>
      <c r="WMS108" s="139"/>
      <c r="WMT108" s="139"/>
      <c r="WMU108" s="139"/>
      <c r="WMV108" s="139"/>
      <c r="WMW108" s="139"/>
      <c r="WMX108" s="139"/>
      <c r="WMY108" s="139"/>
      <c r="WMZ108" s="139"/>
      <c r="WNA108" s="139"/>
      <c r="WNB108" s="139"/>
      <c r="WNC108" s="139"/>
      <c r="WND108" s="139"/>
      <c r="WNE108" s="139"/>
      <c r="WNF108" s="139"/>
      <c r="WNG108" s="139"/>
      <c r="WNH108" s="139"/>
      <c r="WNI108" s="139"/>
      <c r="WNJ108" s="139"/>
      <c r="WNK108" s="139"/>
      <c r="WNL108" s="139"/>
      <c r="WNM108" s="139"/>
      <c r="WNN108" s="139"/>
      <c r="WNO108" s="139"/>
      <c r="WNP108" s="139"/>
      <c r="WNQ108" s="139"/>
      <c r="WNR108" s="139"/>
      <c r="WNS108" s="139"/>
      <c r="WNT108" s="139"/>
      <c r="WNU108" s="139"/>
      <c r="WNV108" s="139"/>
      <c r="WNW108" s="139"/>
      <c r="WNX108" s="139"/>
      <c r="WNY108" s="139"/>
      <c r="WNZ108" s="139"/>
      <c r="WOA108" s="139"/>
      <c r="WOB108" s="139"/>
      <c r="WOC108" s="139"/>
      <c r="WOD108" s="139"/>
      <c r="WOE108" s="139"/>
      <c r="WOF108" s="139"/>
      <c r="WOG108" s="139"/>
      <c r="WOH108" s="139"/>
      <c r="WOI108" s="139"/>
      <c r="WOJ108" s="139"/>
      <c r="WOK108" s="139"/>
      <c r="WOL108" s="139"/>
      <c r="WOM108" s="139"/>
      <c r="WON108" s="139"/>
      <c r="WOO108" s="139"/>
      <c r="WOP108" s="139"/>
      <c r="WOQ108" s="139"/>
      <c r="WOR108" s="139"/>
      <c r="WOS108" s="139"/>
      <c r="WOT108" s="139"/>
      <c r="WOU108" s="139"/>
      <c r="WOV108" s="139"/>
      <c r="WOW108" s="139"/>
      <c r="WOX108" s="139"/>
      <c r="WOY108" s="139"/>
      <c r="WOZ108" s="139"/>
      <c r="WPA108" s="139"/>
      <c r="WPB108" s="139"/>
      <c r="WPC108" s="139"/>
      <c r="WPD108" s="139"/>
      <c r="WPE108" s="139"/>
      <c r="WPF108" s="139"/>
      <c r="WPG108" s="139"/>
      <c r="WPH108" s="139"/>
      <c r="WPI108" s="139"/>
      <c r="WPJ108" s="139"/>
      <c r="WPK108" s="139"/>
      <c r="WPL108" s="139"/>
      <c r="WPM108" s="139"/>
      <c r="WPN108" s="139"/>
      <c r="WPO108" s="139"/>
      <c r="WPP108" s="139"/>
      <c r="WPQ108" s="139"/>
      <c r="WPR108" s="139"/>
      <c r="WPS108" s="139"/>
      <c r="WPT108" s="139"/>
      <c r="WPU108" s="139"/>
      <c r="WPV108" s="139"/>
      <c r="WPW108" s="139"/>
      <c r="WPX108" s="139"/>
      <c r="WPY108" s="139"/>
      <c r="WPZ108" s="139"/>
      <c r="WQA108" s="139"/>
      <c r="WQB108" s="139"/>
      <c r="WQC108" s="139"/>
      <c r="WQD108" s="139"/>
      <c r="WQE108" s="139"/>
      <c r="WQF108" s="139"/>
      <c r="WQG108" s="139"/>
      <c r="WQH108" s="139"/>
      <c r="WQI108" s="139"/>
      <c r="WQJ108" s="139"/>
      <c r="WQK108" s="139"/>
      <c r="WQL108" s="139"/>
      <c r="WQM108" s="139"/>
      <c r="WQN108" s="139"/>
      <c r="WQO108" s="139"/>
      <c r="WQP108" s="139"/>
      <c r="WQQ108" s="139"/>
      <c r="WQR108" s="139"/>
      <c r="WQS108" s="139"/>
      <c r="WQT108" s="139"/>
      <c r="WQU108" s="139"/>
      <c r="WQV108" s="139"/>
      <c r="WQW108" s="139"/>
      <c r="WQX108" s="139"/>
      <c r="WQY108" s="139"/>
      <c r="WQZ108" s="139"/>
      <c r="WRA108" s="139"/>
      <c r="WRB108" s="139"/>
      <c r="WRC108" s="139"/>
      <c r="WRD108" s="139"/>
      <c r="WRE108" s="139"/>
      <c r="WRF108" s="139"/>
      <c r="WRG108" s="139"/>
      <c r="WRH108" s="139"/>
      <c r="WRI108" s="139"/>
      <c r="WRJ108" s="139"/>
      <c r="WRK108" s="139"/>
      <c r="WRL108" s="139"/>
      <c r="WRM108" s="139"/>
      <c r="WRN108" s="139"/>
      <c r="WRO108" s="139"/>
      <c r="WRP108" s="139"/>
      <c r="WRQ108" s="139"/>
      <c r="WRR108" s="139"/>
      <c r="WRS108" s="139"/>
      <c r="WRT108" s="139"/>
      <c r="WRU108" s="139"/>
      <c r="WRV108" s="139"/>
      <c r="WRW108" s="139"/>
      <c r="WRX108" s="139"/>
      <c r="WRY108" s="139"/>
      <c r="WRZ108" s="139"/>
      <c r="WSA108" s="139"/>
      <c r="WSB108" s="139"/>
      <c r="WSC108" s="139"/>
      <c r="WSD108" s="139"/>
      <c r="WSE108" s="139"/>
      <c r="WSF108" s="139"/>
      <c r="WSG108" s="139"/>
      <c r="WSH108" s="139"/>
      <c r="WSI108" s="139"/>
      <c r="WSJ108" s="139"/>
      <c r="WSK108" s="139"/>
      <c r="WSL108" s="139"/>
      <c r="WSM108" s="139"/>
      <c r="WSN108" s="139"/>
      <c r="WSO108" s="139"/>
      <c r="WSP108" s="139"/>
      <c r="WSQ108" s="139"/>
      <c r="WSR108" s="139"/>
      <c r="WSS108" s="139"/>
      <c r="WST108" s="139"/>
      <c r="WSU108" s="139"/>
      <c r="WSV108" s="139"/>
      <c r="WSW108" s="139"/>
      <c r="WSX108" s="139"/>
      <c r="WSY108" s="139"/>
      <c r="WSZ108" s="139"/>
      <c r="WTA108" s="139"/>
      <c r="WTB108" s="139"/>
      <c r="WTC108" s="139"/>
      <c r="WTD108" s="139"/>
      <c r="WTE108" s="139"/>
      <c r="WTF108" s="139"/>
      <c r="WTG108" s="139"/>
      <c r="WTH108" s="139"/>
      <c r="WTI108" s="139"/>
      <c r="WTJ108" s="139"/>
      <c r="WTK108" s="139"/>
      <c r="WTL108" s="139"/>
      <c r="WTM108" s="139"/>
      <c r="WTN108" s="139"/>
      <c r="WTO108" s="139"/>
      <c r="WTP108" s="139"/>
      <c r="WTQ108" s="139"/>
      <c r="WTR108" s="139"/>
      <c r="WTS108" s="139"/>
      <c r="WTT108" s="139"/>
      <c r="WTU108" s="139"/>
      <c r="WTV108" s="139"/>
      <c r="WTW108" s="139"/>
      <c r="WTX108" s="139"/>
      <c r="WTY108" s="139"/>
      <c r="WTZ108" s="139"/>
      <c r="WUA108" s="139"/>
      <c r="WUB108" s="139"/>
      <c r="WUC108" s="139"/>
      <c r="WUD108" s="139"/>
      <c r="WUE108" s="139"/>
      <c r="WUF108" s="139"/>
      <c r="WUG108" s="139"/>
      <c r="WUH108" s="139"/>
      <c r="WUI108" s="139"/>
      <c r="WUJ108" s="139"/>
      <c r="WUK108" s="139"/>
      <c r="WUL108" s="139"/>
      <c r="WUM108" s="139"/>
      <c r="WUN108" s="139"/>
      <c r="WUO108" s="139"/>
      <c r="WUP108" s="139"/>
      <c r="WUQ108" s="139"/>
      <c r="WUR108" s="139"/>
      <c r="WUS108" s="139"/>
      <c r="WUT108" s="139"/>
      <c r="WUU108" s="139"/>
      <c r="WUV108" s="139"/>
      <c r="WUW108" s="139"/>
      <c r="WUX108" s="139"/>
      <c r="WUY108" s="139"/>
      <c r="WUZ108" s="139"/>
      <c r="WVA108" s="139"/>
      <c r="WVB108" s="139"/>
      <c r="WVC108" s="139"/>
      <c r="WVD108" s="139"/>
      <c r="WVE108" s="139"/>
      <c r="WVF108" s="139"/>
      <c r="WVG108" s="139"/>
      <c r="WVH108" s="139"/>
      <c r="WVI108" s="139"/>
      <c r="WVJ108" s="139"/>
      <c r="WVK108" s="139"/>
      <c r="WVL108" s="139"/>
      <c r="WVM108" s="139"/>
      <c r="WVN108" s="139"/>
      <c r="WVO108" s="139"/>
      <c r="WVP108" s="139"/>
      <c r="WVQ108" s="139"/>
      <c r="WVR108" s="139"/>
      <c r="WVS108" s="139"/>
      <c r="WVT108" s="139"/>
      <c r="WVU108" s="139"/>
      <c r="WVV108" s="139"/>
      <c r="WVW108" s="139"/>
      <c r="WVX108" s="139"/>
      <c r="WVY108" s="139"/>
      <c r="WVZ108" s="139"/>
      <c r="WWA108" s="139"/>
      <c r="WWB108" s="139"/>
      <c r="WWC108" s="139"/>
      <c r="WWD108" s="139"/>
      <c r="WWE108" s="139"/>
      <c r="WWF108" s="139"/>
      <c r="WWG108" s="139"/>
      <c r="WWH108" s="139"/>
      <c r="WWI108" s="139"/>
      <c r="WWJ108" s="139"/>
      <c r="WWK108" s="139"/>
      <c r="WWL108" s="139"/>
      <c r="WWM108" s="139"/>
      <c r="WWN108" s="139"/>
      <c r="WWO108" s="139"/>
      <c r="WWP108" s="139"/>
      <c r="WWQ108" s="139"/>
      <c r="WWR108" s="139"/>
      <c r="WWS108" s="139"/>
      <c r="WWT108" s="139"/>
      <c r="WWU108" s="139"/>
      <c r="WWV108" s="139"/>
      <c r="WWW108" s="139"/>
      <c r="WWX108" s="139"/>
      <c r="WWY108" s="139"/>
      <c r="WWZ108" s="139"/>
      <c r="WXA108" s="139"/>
      <c r="WXB108" s="139"/>
      <c r="WXC108" s="139"/>
      <c r="WXD108" s="139"/>
      <c r="WXE108" s="139"/>
      <c r="WXF108" s="139"/>
      <c r="WXG108" s="139"/>
      <c r="WXH108" s="139"/>
      <c r="WXI108" s="139"/>
      <c r="WXJ108" s="139"/>
      <c r="WXK108" s="139"/>
      <c r="WXL108" s="139"/>
      <c r="WXM108" s="139"/>
      <c r="WXN108" s="139"/>
      <c r="WXO108" s="139"/>
      <c r="WXP108" s="139"/>
      <c r="WXQ108" s="139"/>
      <c r="WXR108" s="139"/>
      <c r="WXS108" s="139"/>
      <c r="WXT108" s="139"/>
      <c r="WXU108" s="139"/>
      <c r="WXV108" s="139"/>
      <c r="WXW108" s="139"/>
      <c r="WXX108" s="139"/>
      <c r="WXY108" s="139"/>
      <c r="WXZ108" s="139"/>
      <c r="WYA108" s="139"/>
      <c r="WYB108" s="139"/>
      <c r="WYC108" s="139"/>
      <c r="WYD108" s="139"/>
      <c r="WYE108" s="139"/>
      <c r="WYF108" s="139"/>
      <c r="WYG108" s="139"/>
      <c r="WYH108" s="139"/>
      <c r="WYI108" s="139"/>
      <c r="WYJ108" s="139"/>
      <c r="WYK108" s="139"/>
      <c r="WYL108" s="139"/>
      <c r="WYM108" s="139"/>
      <c r="WYN108" s="139"/>
      <c r="WYO108" s="139"/>
      <c r="WYP108" s="139"/>
      <c r="WYQ108" s="139"/>
      <c r="WYR108" s="139"/>
      <c r="WYS108" s="139"/>
      <c r="WYT108" s="139"/>
      <c r="WYU108" s="139"/>
      <c r="WYV108" s="139"/>
      <c r="WYW108" s="139"/>
      <c r="WYX108" s="139"/>
      <c r="WYY108" s="139"/>
      <c r="WYZ108" s="139"/>
      <c r="WZA108" s="139"/>
      <c r="WZB108" s="139"/>
      <c r="WZC108" s="139"/>
      <c r="WZD108" s="139"/>
      <c r="WZE108" s="139"/>
      <c r="WZF108" s="139"/>
      <c r="WZG108" s="139"/>
      <c r="WZH108" s="139"/>
      <c r="WZI108" s="139"/>
      <c r="WZJ108" s="139"/>
      <c r="WZK108" s="139"/>
      <c r="WZL108" s="139"/>
      <c r="WZM108" s="139"/>
      <c r="WZN108" s="139"/>
      <c r="WZO108" s="139"/>
      <c r="WZP108" s="139"/>
      <c r="WZQ108" s="139"/>
      <c r="WZR108" s="139"/>
      <c r="WZS108" s="139"/>
      <c r="WZT108" s="139"/>
      <c r="WZU108" s="139"/>
      <c r="WZV108" s="139"/>
      <c r="WZW108" s="139"/>
      <c r="WZX108" s="139"/>
      <c r="WZY108" s="139"/>
      <c r="WZZ108" s="139"/>
      <c r="XAA108" s="139"/>
      <c r="XAB108" s="139"/>
      <c r="XAC108" s="139"/>
      <c r="XAD108" s="139"/>
      <c r="XAE108" s="139"/>
      <c r="XAF108" s="139"/>
      <c r="XAG108" s="139"/>
      <c r="XAH108" s="139"/>
      <c r="XAI108" s="139"/>
      <c r="XAJ108" s="139"/>
      <c r="XAK108" s="139"/>
      <c r="XAL108" s="139"/>
      <c r="XAM108" s="139"/>
      <c r="XAN108" s="139"/>
      <c r="XAO108" s="139"/>
      <c r="XAP108" s="139"/>
      <c r="XAQ108" s="139"/>
      <c r="XAR108" s="139"/>
      <c r="XAS108" s="139"/>
      <c r="XAT108" s="139"/>
      <c r="XAU108" s="139"/>
      <c r="XAV108" s="139"/>
      <c r="XAW108" s="139"/>
      <c r="XAX108" s="139"/>
      <c r="XAY108" s="139"/>
      <c r="XAZ108" s="139"/>
      <c r="XBA108" s="139"/>
      <c r="XBB108" s="139"/>
      <c r="XBC108" s="139"/>
      <c r="XBD108" s="139"/>
      <c r="XBE108" s="139"/>
      <c r="XBF108" s="139"/>
      <c r="XBG108" s="139"/>
      <c r="XBH108" s="139"/>
      <c r="XBI108" s="139"/>
      <c r="XBJ108" s="139"/>
      <c r="XBK108" s="139"/>
      <c r="XBL108" s="139"/>
      <c r="XBM108" s="139"/>
      <c r="XBN108" s="139"/>
      <c r="XBO108" s="139"/>
      <c r="XBP108" s="139"/>
      <c r="XBQ108" s="139"/>
      <c r="XBR108" s="139"/>
      <c r="XBS108" s="139"/>
      <c r="XBT108" s="139"/>
      <c r="XBU108" s="139"/>
      <c r="XBV108" s="139"/>
      <c r="XBW108" s="139"/>
      <c r="XBX108" s="139"/>
      <c r="XBY108" s="139"/>
      <c r="XBZ108" s="139"/>
      <c r="XCA108" s="139"/>
      <c r="XCB108" s="139"/>
      <c r="XCC108" s="139"/>
      <c r="XCD108" s="139"/>
      <c r="XCE108" s="139"/>
      <c r="XCF108" s="139"/>
      <c r="XCG108" s="139"/>
      <c r="XCH108" s="139"/>
      <c r="XCI108" s="139"/>
      <c r="XCJ108" s="139"/>
      <c r="XCK108" s="139"/>
      <c r="XCL108" s="139"/>
      <c r="XCM108" s="139"/>
      <c r="XCN108" s="139"/>
      <c r="XCO108" s="139"/>
      <c r="XCP108" s="139"/>
      <c r="XCQ108" s="139"/>
      <c r="XCR108" s="139"/>
      <c r="XCS108" s="139"/>
      <c r="XCT108" s="139"/>
      <c r="XCU108" s="139"/>
      <c r="XCV108" s="139"/>
      <c r="XCW108" s="139"/>
      <c r="XCX108" s="139"/>
      <c r="XCY108" s="139"/>
      <c r="XCZ108" s="139"/>
      <c r="XDA108" s="139"/>
      <c r="XDB108" s="139"/>
      <c r="XDC108" s="139"/>
      <c r="XDD108" s="139"/>
      <c r="XDE108" s="139"/>
      <c r="XDF108" s="139"/>
      <c r="XDG108" s="139"/>
      <c r="XDH108" s="139"/>
      <c r="XDI108" s="139"/>
      <c r="XDJ108" s="139"/>
      <c r="XDK108" s="139"/>
      <c r="XDL108" s="139"/>
      <c r="XDM108" s="139"/>
      <c r="XDN108" s="139"/>
      <c r="XDO108" s="139"/>
      <c r="XDP108" s="139"/>
      <c r="XDQ108" s="139"/>
      <c r="XDR108" s="139"/>
      <c r="XDS108" s="139"/>
      <c r="XDT108" s="139"/>
      <c r="XDU108" s="139"/>
      <c r="XDV108" s="139"/>
      <c r="XDW108" s="139"/>
      <c r="XDX108" s="139"/>
      <c r="XDY108" s="139"/>
      <c r="XDZ108" s="139"/>
      <c r="XEA108" s="139"/>
      <c r="XEB108" s="139"/>
      <c r="XEC108" s="139"/>
      <c r="XED108" s="139"/>
      <c r="XEE108" s="139"/>
      <c r="XEF108" s="139"/>
      <c r="XEG108" s="139"/>
      <c r="XEH108" s="139"/>
      <c r="XEI108" s="139"/>
      <c r="XEJ108" s="139"/>
      <c r="XEK108" s="139"/>
      <c r="XEL108" s="139"/>
      <c r="XEM108" s="139"/>
      <c r="XEN108" s="139"/>
      <c r="XEO108" s="139"/>
      <c r="XEP108" s="139"/>
    </row>
    <row r="109" spans="1:16370" s="72" customFormat="1" ht="14" customHeight="1" x14ac:dyDescent="0.3">
      <c r="A109" s="72" t="e">
        <f>VLOOKUP(C109,'[1]青岛4 (2)'!$C:$D,2,0)</f>
        <v>#N/A</v>
      </c>
      <c r="B109" s="100" t="s">
        <v>161</v>
      </c>
      <c r="C109" s="101">
        <v>10880017516</v>
      </c>
      <c r="D109" s="105">
        <v>110001315293</v>
      </c>
      <c r="E109" s="102">
        <v>110001315293</v>
      </c>
      <c r="F109" s="100" t="s">
        <v>164</v>
      </c>
      <c r="G109" s="105">
        <v>3000</v>
      </c>
      <c r="H109" s="103">
        <v>3000</v>
      </c>
      <c r="I109" s="104" t="str">
        <f>VLOOKUP(C109,'[2]IE model  海尔产品'!$A$1:$D$65536,4,0)</f>
        <v>1*2</v>
      </c>
      <c r="J109" s="104" cm="1">
        <f t="array" ref="J109">INDEX($A$2:$AF$2,MIN(IF(M109:AF109&lt;&gt;0,COLUMN(M109:AF109))))</f>
        <v>46148</v>
      </c>
      <c r="K109" s="100">
        <f>VLOOKUP(C109,'[2]IE model  海尔产品'!$A$1:$H$65536,8,0)</f>
        <v>500</v>
      </c>
      <c r="L109" s="100">
        <f>VLOOKUP(C109,'[2]IE model  海尔产品'!$A$1:$I$65536,9,0)</f>
        <v>26</v>
      </c>
      <c r="M109" s="114"/>
      <c r="N109" s="115"/>
      <c r="O109" s="114"/>
      <c r="P109" s="115"/>
      <c r="Q109" s="114"/>
      <c r="R109" s="114"/>
      <c r="S109" s="114">
        <v>2400</v>
      </c>
      <c r="T109" s="114"/>
      <c r="U109" s="114">
        <v>600</v>
      </c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5">
        <f t="shared" ref="AG109" si="47">SUM(M109:AF109)</f>
        <v>3000</v>
      </c>
      <c r="AH109" s="124">
        <f t="shared" ref="AH109" si="48">+H109-AG109</f>
        <v>0</v>
      </c>
      <c r="AI109" s="125" t="s">
        <v>1843</v>
      </c>
      <c r="AK109" s="135"/>
      <c r="AL109" s="136"/>
      <c r="AM109" s="72" t="str">
        <f>_xlfn.XLOOKUP(C109,'[4]4-30'!$F:$F,'[4]4-30'!$S:$S)</f>
        <v>在制7600--5/7入完</v>
      </c>
    </row>
    <row r="110" spans="1:16370" s="139" customFormat="1" x14ac:dyDescent="0.3">
      <c r="A110" s="72">
        <v>110001315953</v>
      </c>
      <c r="B110" s="100" t="s">
        <v>216</v>
      </c>
      <c r="C110" s="101">
        <v>10880031185</v>
      </c>
      <c r="D110" s="105">
        <v>110001315953</v>
      </c>
      <c r="E110" s="145">
        <v>110001315953</v>
      </c>
      <c r="F110" s="140" t="s">
        <v>172</v>
      </c>
      <c r="G110" s="100">
        <v>1450</v>
      </c>
      <c r="H110" s="103">
        <v>1450</v>
      </c>
      <c r="I110" s="104" t="str">
        <f>VLOOKUP(C110,'[2]IE model  海尔产品'!$A$1:$D$65536,4,0)</f>
        <v>1*2</v>
      </c>
      <c r="J110" s="104" cm="1">
        <f t="array" ref="J110">INDEX($A$2:$AF$2,MIN(IF(M110:AF110&lt;&gt;0,COLUMN(M110:AF110))))</f>
        <v>46149</v>
      </c>
      <c r="K110" s="100">
        <f>VLOOKUP(C110,'[2]IE model  海尔产品'!$A$1:$H$65536,8,0)</f>
        <v>450</v>
      </c>
      <c r="L110" s="100">
        <f>VLOOKUP(C110,'[2]IE model  海尔产品'!$A$1:$I$65536,9,0)</f>
        <v>30</v>
      </c>
      <c r="M110" s="115"/>
      <c r="N110" s="114"/>
      <c r="O110" s="115"/>
      <c r="P110" s="114"/>
      <c r="Q110" s="115"/>
      <c r="R110" s="114"/>
      <c r="S110" s="114"/>
      <c r="T110" s="114"/>
      <c r="U110" s="114">
        <v>1450</v>
      </c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5">
        <f>SUM(M110:AF110)</f>
        <v>1450</v>
      </c>
      <c r="AH110" s="124">
        <f>+H110-AG110</f>
        <v>0</v>
      </c>
      <c r="AI110" s="130">
        <v>46149</v>
      </c>
      <c r="AK110" s="130"/>
      <c r="AL110" s="140"/>
      <c r="AM110" s="72">
        <f>_xlfn.XLOOKUP(C110,'[4]4-30'!$F:$F,'[4]4-30'!$S:$S)</f>
        <v>0</v>
      </c>
    </row>
    <row r="111" spans="1:16370" s="72" customFormat="1" ht="12.65" customHeight="1" x14ac:dyDescent="0.3">
      <c r="B111" s="100" t="s">
        <v>161</v>
      </c>
      <c r="C111" s="101">
        <v>10880035513</v>
      </c>
      <c r="D111" s="105">
        <v>110001308397</v>
      </c>
      <c r="E111" s="102">
        <v>110001308397</v>
      </c>
      <c r="F111" s="100" t="s">
        <v>167</v>
      </c>
      <c r="G111" s="105">
        <v>1000</v>
      </c>
      <c r="H111" s="103">
        <v>1000</v>
      </c>
      <c r="I111" s="104" t="str">
        <f>VLOOKUP(C111,'[2]IE model  海尔产品'!$A$1:$D$65536,4,0)</f>
        <v>1*2</v>
      </c>
      <c r="J111" s="104" cm="1">
        <f t="array" ref="J111">INDEX($A$2:$AF$2,MIN(IF(M111:AF111&lt;&gt;0,COLUMN(M111:AF111))))</f>
        <v>46149</v>
      </c>
      <c r="K111" s="100">
        <f>VLOOKUP(C111,'[2]IE model  海尔产品'!$A$1:$H$65536,8,0)</f>
        <v>360</v>
      </c>
      <c r="L111" s="100">
        <f>VLOOKUP(C111,'[2]IE model  海尔产品'!$A$1:$I$65536,9,0)</f>
        <v>26</v>
      </c>
      <c r="M111" s="114"/>
      <c r="N111" s="129"/>
      <c r="O111" s="114"/>
      <c r="P111" s="129"/>
      <c r="Q111" s="114"/>
      <c r="R111" s="113"/>
      <c r="S111" s="114"/>
      <c r="T111" s="113"/>
      <c r="U111" s="114">
        <v>1000</v>
      </c>
      <c r="V111" s="113"/>
      <c r="W111" s="114"/>
      <c r="X111" s="113"/>
      <c r="Y111" s="114"/>
      <c r="Z111" s="113"/>
      <c r="AA111" s="113"/>
      <c r="AB111" s="113"/>
      <c r="AC111" s="113"/>
      <c r="AD111" s="113"/>
      <c r="AE111" s="113"/>
      <c r="AF111" s="113"/>
      <c r="AG111" s="115">
        <f>SUM(M111:AF111)</f>
        <v>1000</v>
      </c>
      <c r="AH111" s="146">
        <f>+H111-AG111</f>
        <v>0</v>
      </c>
      <c r="AI111" s="125" t="s">
        <v>1842</v>
      </c>
      <c r="AK111" s="135"/>
      <c r="AL111" s="136"/>
      <c r="AM111" s="72" t="str">
        <f>_xlfn.XLOOKUP(C111,'[4]4-30'!$F:$F,'[4]4-30'!$S:$S)</f>
        <v>在制1000--5/11入库</v>
      </c>
    </row>
    <row r="112" spans="1:16370" s="72" customFormat="1" ht="14" customHeight="1" x14ac:dyDescent="0.3">
      <c r="A112" s="72" t="e">
        <f>VLOOKUP(C112,'[1]青岛4 (2)'!$C:$D,2,0)</f>
        <v>#N/A</v>
      </c>
      <c r="B112" s="100" t="s">
        <v>161</v>
      </c>
      <c r="C112" s="101">
        <v>10880036423</v>
      </c>
      <c r="D112" s="105">
        <v>110001303037</v>
      </c>
      <c r="E112" s="102">
        <v>110001303037</v>
      </c>
      <c r="F112" s="100" t="s">
        <v>170</v>
      </c>
      <c r="G112" s="105">
        <v>4500</v>
      </c>
      <c r="H112" s="103">
        <v>4500</v>
      </c>
      <c r="I112" s="104" t="str">
        <f>VLOOKUP(C112,'[2]IE model  海尔产品'!$A$1:$D$65536,4,0)</f>
        <v>1*2</v>
      </c>
      <c r="J112" s="104" cm="1">
        <f t="array" ref="J112">INDEX($A$2:$AF$2,MIN(IF(M112:AF112&lt;&gt;0,COLUMN(M112:AF112))))</f>
        <v>46149</v>
      </c>
      <c r="K112" s="100">
        <f>VLOOKUP(C112,'[2]IE model  海尔产品'!$A$1:$H$65536,8,0)</f>
        <v>450</v>
      </c>
      <c r="L112" s="100">
        <f>VLOOKUP(C112,'[2]IE model  海尔产品'!$A$1:$I$65536,9,0)</f>
        <v>28</v>
      </c>
      <c r="M112" s="114"/>
      <c r="N112" s="115"/>
      <c r="O112" s="114"/>
      <c r="P112" s="115"/>
      <c r="Q112" s="114"/>
      <c r="R112" s="115"/>
      <c r="S112" s="114"/>
      <c r="T112" s="114"/>
      <c r="U112" s="114">
        <v>1700</v>
      </c>
      <c r="V112" s="114"/>
      <c r="W112" s="114">
        <v>2800</v>
      </c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5">
        <f>SUM(M112:AF112)</f>
        <v>4500</v>
      </c>
      <c r="AH112" s="124">
        <f>+H112-AG112</f>
        <v>0</v>
      </c>
      <c r="AI112" s="125">
        <v>46155</v>
      </c>
      <c r="AK112" s="135"/>
      <c r="AL112" s="136"/>
      <c r="AM112" s="72" t="str">
        <f>_xlfn.XLOOKUP(C112,'[4]4-30'!$F:$F,'[4]4-30'!$S:$S)</f>
        <v>5/8入库2400，5/13入库4500</v>
      </c>
    </row>
    <row r="113" spans="1:16370" s="141" customFormat="1" ht="12.65" customHeight="1" x14ac:dyDescent="0.3">
      <c r="A113" s="74" t="e">
        <f>VLOOKUP(C113,'[1]青岛4 (2)'!$C:$D,2,0)</f>
        <v>#N/A</v>
      </c>
      <c r="B113" s="100" t="s">
        <v>161</v>
      </c>
      <c r="C113" s="105">
        <v>10880036513</v>
      </c>
      <c r="D113" s="105">
        <v>110001307353</v>
      </c>
      <c r="E113" s="105">
        <v>110001307353</v>
      </c>
      <c r="F113" s="106" t="s">
        <v>189</v>
      </c>
      <c r="G113" s="106">
        <v>2100</v>
      </c>
      <c r="H113" s="106">
        <v>2100</v>
      </c>
      <c r="I113" s="104" t="str">
        <f>VLOOKUP(C113,'[2]IE model  海尔产品'!$A$1:$D$65536,4,0)</f>
        <v>1*2</v>
      </c>
      <c r="J113" s="104" t="e" cm="1" vm="1">
        <f t="array" aca="1" ref="J113" ca="1">INDEX($A$2:$AF$2,MIN(IF(M113:AF113&lt;&gt;0,COLUMN(M113:AF113))))</f>
        <v>#VALUE!</v>
      </c>
      <c r="K113" s="100">
        <f>VLOOKUP(C113,'[2]IE model  海尔产品'!$A$1:$H$65536,8,0)</f>
        <v>300</v>
      </c>
      <c r="L113" s="100">
        <f>VLOOKUP(C113,'[2]IE model  海尔产品'!$A$1:$I$65536,9,0)</f>
        <v>22</v>
      </c>
      <c r="M113" s="127"/>
      <c r="N113" s="128"/>
      <c r="O113" s="127"/>
      <c r="P113" s="128"/>
      <c r="Q113" s="127"/>
      <c r="R113" s="128"/>
      <c r="S113" s="127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7">
        <f>SUM(M113:AF113)</f>
        <v>0</v>
      </c>
      <c r="AH113" s="133">
        <f>+H113-AG113</f>
        <v>2100</v>
      </c>
      <c r="AI113" s="134" t="s">
        <v>1833</v>
      </c>
      <c r="AK113" s="134"/>
      <c r="AL113" s="142"/>
      <c r="AM113" s="72">
        <f>_xlfn.XLOOKUP(C113,'[4]4-30'!$F:$F,'[4]4-30'!$S:$S)</f>
        <v>0</v>
      </c>
    </row>
    <row r="114" spans="1:16370" s="141" customFormat="1" x14ac:dyDescent="0.3">
      <c r="A114" s="74"/>
      <c r="B114" s="100" t="s">
        <v>161</v>
      </c>
      <c r="C114" s="105">
        <v>10880036514</v>
      </c>
      <c r="D114" s="105">
        <v>110001303047</v>
      </c>
      <c r="E114" s="105">
        <v>110001303047</v>
      </c>
      <c r="F114" s="106" t="s">
        <v>1669</v>
      </c>
      <c r="G114" s="106">
        <v>5000</v>
      </c>
      <c r="H114" s="106">
        <v>5000</v>
      </c>
      <c r="I114" s="104" t="str">
        <f>VLOOKUP(C114,'[2]IE model  海尔产品'!$A$1:$D$65536,4,0)</f>
        <v>1*2</v>
      </c>
      <c r="J114" s="104" t="e" cm="1" vm="1">
        <f t="array" aca="1" ref="J114" ca="1">INDEX($A$2:$AF$2,MIN(IF(M114:AF114&lt;&gt;0,COLUMN(M114:AF114))))</f>
        <v>#VALUE!</v>
      </c>
      <c r="K114" s="100">
        <f>VLOOKUP(C114,'[2]IE model  海尔产品'!$A$1:$H$65536,8,0)</f>
        <v>300</v>
      </c>
      <c r="L114" s="100"/>
      <c r="M114" s="127"/>
      <c r="N114" s="128"/>
      <c r="O114" s="127"/>
      <c r="P114" s="128"/>
      <c r="Q114" s="127"/>
      <c r="R114" s="128"/>
      <c r="S114" s="127"/>
      <c r="T114" s="128"/>
      <c r="U114" s="127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7">
        <f>SUM(M114:AF114)</f>
        <v>0</v>
      </c>
      <c r="AH114" s="133">
        <f>+H114-AG114</f>
        <v>5000</v>
      </c>
      <c r="AI114" s="134" t="s">
        <v>1834</v>
      </c>
      <c r="AK114" s="134"/>
      <c r="AL114" s="142"/>
      <c r="AM114" s="72">
        <f>_xlfn.XLOOKUP(C114,'[4]4-30'!$F:$F,'[4]4-30'!$S:$S)</f>
        <v>0</v>
      </c>
    </row>
    <row r="115" spans="1:16370" ht="14.4" customHeight="1" x14ac:dyDescent="0.3">
      <c r="A115" s="72" t="e">
        <f>VLOOKUP(C115,'[1]青岛4 (2)'!$C:$D,2,0)</f>
        <v>#N/A</v>
      </c>
      <c r="B115" s="91" t="s">
        <v>201</v>
      </c>
      <c r="C115" s="91"/>
      <c r="D115" s="93"/>
      <c r="E115" s="93"/>
      <c r="F115" s="93"/>
      <c r="G115" s="91"/>
      <c r="H115" s="92"/>
      <c r="I115" s="92"/>
      <c r="J115" s="94"/>
      <c r="K115" s="92"/>
      <c r="L115" s="92"/>
      <c r="M115" s="110">
        <f>SUM(M105:M114)</f>
        <v>2400</v>
      </c>
      <c r="N115" s="110">
        <f>SUM(N105:N114)</f>
        <v>0</v>
      </c>
      <c r="O115" s="110">
        <f>SUM(O105:O114)</f>
        <v>0</v>
      </c>
      <c r="P115" s="110">
        <f>SUM(P105:P114)</f>
        <v>0</v>
      </c>
      <c r="Q115" s="110">
        <f>SUM(Q105:Q114)</f>
        <v>0</v>
      </c>
      <c r="R115" s="110">
        <f>SUM(R105:R114)</f>
        <v>0</v>
      </c>
      <c r="S115" s="110">
        <f>SUM(S105:S114)</f>
        <v>2400</v>
      </c>
      <c r="T115" s="110">
        <f>SUM(T105:T114)</f>
        <v>0</v>
      </c>
      <c r="U115" s="110">
        <f>SUM(U105:U114)</f>
        <v>4750</v>
      </c>
      <c r="V115" s="110">
        <f>SUM(V105:V114)</f>
        <v>0</v>
      </c>
      <c r="W115" s="110">
        <f>SUM(W105:W114)</f>
        <v>2800</v>
      </c>
      <c r="X115" s="110">
        <f>SUM(X105:X114)</f>
        <v>0</v>
      </c>
      <c r="Y115" s="110">
        <f>SUM(Y105:Y114)</f>
        <v>0</v>
      </c>
      <c r="Z115" s="110">
        <f>SUM(Z105:Z114)</f>
        <v>0</v>
      </c>
      <c r="AA115" s="110">
        <f>SUM(AA105:AA114)</f>
        <v>0</v>
      </c>
      <c r="AB115" s="110">
        <f>SUM(AB105:AB114)</f>
        <v>0</v>
      </c>
      <c r="AC115" s="110">
        <f>SUM(AC105:AC114)</f>
        <v>0</v>
      </c>
      <c r="AD115" s="110">
        <f>SUM(AD105:AD114)</f>
        <v>0</v>
      </c>
      <c r="AE115" s="110">
        <f>SUM(AE105:AE114)</f>
        <v>0</v>
      </c>
      <c r="AF115" s="110">
        <f>SUM(AF105:AF114)</f>
        <v>0</v>
      </c>
      <c r="AG115" s="110"/>
      <c r="AH115" s="110"/>
      <c r="AI115" s="121"/>
      <c r="AJ115" s="72" t="e">
        <f>VLOOKUP(E115,[5]Data!$D:$D,1,0)</f>
        <v>#N/A</v>
      </c>
      <c r="AK115" s="125" t="e">
        <f>VLOOKUP(AJ115,[5]Data!$D:$I,6,0)</f>
        <v>#N/A</v>
      </c>
      <c r="AL115" s="92"/>
      <c r="AM115" s="72" t="str">
        <f>_xlfn.XLOOKUP(C115,'[4]4-30'!$F:$F,'[4]4-30'!$S:$S)</f>
        <v>备注</v>
      </c>
    </row>
    <row r="116" spans="1:16370" s="72" customFormat="1" ht="13.5" customHeight="1" x14ac:dyDescent="0.3">
      <c r="A116" s="72" t="e">
        <f>VLOOKUP(C116,'[1]青岛4 (2)'!$C:$D,2,0)</f>
        <v>#N/A</v>
      </c>
      <c r="B116" s="100" t="s">
        <v>202</v>
      </c>
      <c r="C116" s="101">
        <v>10880037615</v>
      </c>
      <c r="D116" s="105">
        <v>110001307034</v>
      </c>
      <c r="E116" s="102">
        <v>110001307034</v>
      </c>
      <c r="F116" s="100" t="s">
        <v>203</v>
      </c>
      <c r="G116" s="100">
        <v>1000</v>
      </c>
      <c r="H116" s="103">
        <v>800</v>
      </c>
      <c r="I116" s="104" t="str">
        <f>VLOOKUP(C116,'[2]IE model  海尔产品'!$A$1:$D$65536,4,0)</f>
        <v>1*1</v>
      </c>
      <c r="J116" s="104" cm="1">
        <f t="array" ref="J116">INDEX($A$2:$AF$2,MIN(IF(M116:AF116&lt;&gt;0,COLUMN(M116:AF116))))</f>
        <v>46142</v>
      </c>
      <c r="K116" s="100">
        <f>VLOOKUP(C116,'[2]IE model  海尔产品'!$A$1:$H$65536,8,0)</f>
        <v>60</v>
      </c>
      <c r="L116" s="100">
        <f>VLOOKUP(C116,'[2]IE model  海尔产品'!$A$1:$I$65536,9,0)</f>
        <v>53</v>
      </c>
      <c r="M116" s="115">
        <v>500</v>
      </c>
      <c r="N116" s="129"/>
      <c r="O116" s="115">
        <v>300</v>
      </c>
      <c r="P116" s="124"/>
      <c r="Q116" s="115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15">
        <f t="shared" ref="AG116:AG119" si="49">SUM(M116:AF116)</f>
        <v>800</v>
      </c>
      <c r="AH116" s="124">
        <f t="shared" ref="AH116:AH119" si="50">+H116-AG116</f>
        <v>0</v>
      </c>
      <c r="AI116" s="130" t="s">
        <v>1837</v>
      </c>
      <c r="AJ116" s="73"/>
      <c r="AK116" s="138"/>
      <c r="AL116" s="138"/>
      <c r="AM116" s="72" t="e">
        <f>_xlfn.XLOOKUP(C116,'[4]4-30'!$F:$F,'[4]4-30'!$S:$S)</f>
        <v>#N/A</v>
      </c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/>
      <c r="JH116" s="73"/>
      <c r="JI116" s="73"/>
      <c r="JJ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X116" s="73"/>
      <c r="JY116" s="73"/>
      <c r="JZ116" s="73"/>
      <c r="KA116" s="73"/>
      <c r="KB116" s="73"/>
      <c r="KC116" s="73"/>
      <c r="KD116" s="73"/>
      <c r="KE116" s="73"/>
      <c r="KF116" s="73"/>
      <c r="KG116" s="73"/>
      <c r="KH116" s="73"/>
      <c r="KI116" s="73"/>
      <c r="KJ116" s="73"/>
      <c r="KK116" s="73"/>
      <c r="KL116" s="73"/>
      <c r="KM116" s="73"/>
      <c r="KN116" s="73"/>
      <c r="KO116" s="73"/>
      <c r="KP116" s="73"/>
      <c r="KQ116" s="73"/>
      <c r="KR116" s="73"/>
      <c r="KS116" s="73"/>
      <c r="KT116" s="73"/>
      <c r="KU116" s="73"/>
      <c r="KV116" s="73"/>
      <c r="KW116" s="73"/>
      <c r="KX116" s="73"/>
      <c r="KY116" s="73"/>
      <c r="KZ116" s="73"/>
      <c r="LA116" s="73"/>
      <c r="LB116" s="73"/>
      <c r="LC116" s="73"/>
      <c r="LD116" s="73"/>
      <c r="LE116" s="73"/>
      <c r="LF116" s="73"/>
      <c r="LG116" s="73"/>
      <c r="LH116" s="73"/>
      <c r="LI116" s="73"/>
      <c r="LJ116" s="73"/>
      <c r="LK116" s="73"/>
      <c r="LL116" s="73"/>
      <c r="LM116" s="73"/>
      <c r="LN116" s="73"/>
      <c r="LO116" s="73"/>
      <c r="LP116" s="73"/>
      <c r="LQ116" s="73"/>
      <c r="LR116" s="73"/>
      <c r="LS116" s="73"/>
      <c r="LT116" s="73"/>
      <c r="LU116" s="73"/>
      <c r="LV116" s="73"/>
      <c r="LW116" s="73"/>
      <c r="LX116" s="73"/>
      <c r="LY116" s="73"/>
      <c r="LZ116" s="73"/>
      <c r="MA116" s="73"/>
      <c r="MB116" s="73"/>
      <c r="MC116" s="73"/>
      <c r="MD116" s="73"/>
      <c r="ME116" s="73"/>
      <c r="MF116" s="73"/>
      <c r="MG116" s="73"/>
      <c r="MH116" s="73"/>
      <c r="MI116" s="73"/>
      <c r="MJ116" s="73"/>
      <c r="MK116" s="73"/>
      <c r="ML116" s="73"/>
      <c r="MM116" s="73"/>
      <c r="MN116" s="73"/>
      <c r="MO116" s="73"/>
      <c r="MP116" s="73"/>
      <c r="MQ116" s="73"/>
      <c r="MR116" s="73"/>
      <c r="MS116" s="73"/>
      <c r="MT116" s="73"/>
      <c r="MU116" s="73"/>
      <c r="MV116" s="73"/>
      <c r="MW116" s="73"/>
      <c r="MX116" s="73"/>
      <c r="MY116" s="73"/>
      <c r="MZ116" s="73"/>
      <c r="NA116" s="73"/>
      <c r="NB116" s="73"/>
      <c r="NC116" s="73"/>
      <c r="ND116" s="73"/>
      <c r="NE116" s="73"/>
      <c r="NF116" s="73"/>
      <c r="NG116" s="73"/>
      <c r="NH116" s="73"/>
      <c r="NI116" s="73"/>
      <c r="NJ116" s="73"/>
      <c r="NK116" s="73"/>
      <c r="NL116" s="73"/>
      <c r="NM116" s="73"/>
      <c r="NN116" s="73"/>
      <c r="NO116" s="73"/>
      <c r="NP116" s="73"/>
      <c r="NQ116" s="73"/>
      <c r="NR116" s="73"/>
      <c r="NS116" s="73"/>
      <c r="NT116" s="73"/>
      <c r="NU116" s="73"/>
      <c r="NV116" s="73"/>
      <c r="NW116" s="73"/>
      <c r="NX116" s="73"/>
      <c r="NY116" s="73"/>
      <c r="NZ116" s="73"/>
      <c r="OA116" s="73"/>
      <c r="OB116" s="73"/>
      <c r="OC116" s="73"/>
      <c r="OD116" s="73"/>
      <c r="OE116" s="73"/>
      <c r="OF116" s="73"/>
      <c r="OG116" s="73"/>
      <c r="OH116" s="73"/>
      <c r="OI116" s="73"/>
      <c r="OJ116" s="73"/>
      <c r="OK116" s="73"/>
      <c r="OL116" s="73"/>
      <c r="OM116" s="73"/>
      <c r="ON116" s="73"/>
      <c r="OO116" s="73"/>
      <c r="OP116" s="73"/>
      <c r="OQ116" s="73"/>
      <c r="OR116" s="73"/>
      <c r="OS116" s="73"/>
      <c r="OT116" s="73"/>
      <c r="OU116" s="73"/>
      <c r="OV116" s="73"/>
      <c r="OW116" s="73"/>
      <c r="OX116" s="73"/>
      <c r="OY116" s="73"/>
      <c r="OZ116" s="73"/>
      <c r="PA116" s="73"/>
      <c r="PB116" s="73"/>
      <c r="PC116" s="73"/>
      <c r="PD116" s="73"/>
      <c r="PE116" s="73"/>
      <c r="PF116" s="73"/>
      <c r="PG116" s="73"/>
      <c r="PH116" s="73"/>
      <c r="PI116" s="73"/>
      <c r="PJ116" s="73"/>
      <c r="PK116" s="73"/>
      <c r="PL116" s="73"/>
      <c r="PM116" s="73"/>
      <c r="PN116" s="73"/>
      <c r="PO116" s="73"/>
      <c r="PP116" s="73"/>
      <c r="PQ116" s="73"/>
      <c r="PR116" s="73"/>
      <c r="PS116" s="73"/>
      <c r="PT116" s="73"/>
      <c r="PU116" s="73"/>
      <c r="PV116" s="73"/>
      <c r="PW116" s="73"/>
      <c r="PX116" s="73"/>
      <c r="PY116" s="73"/>
      <c r="PZ116" s="73"/>
      <c r="QA116" s="73"/>
      <c r="QB116" s="73"/>
      <c r="QC116" s="73"/>
      <c r="QD116" s="73"/>
      <c r="QE116" s="73"/>
      <c r="QF116" s="73"/>
      <c r="QG116" s="73"/>
      <c r="QH116" s="73"/>
      <c r="QI116" s="73"/>
      <c r="QJ116" s="73"/>
      <c r="QK116" s="73"/>
      <c r="QL116" s="73"/>
      <c r="QM116" s="73"/>
      <c r="QN116" s="73"/>
      <c r="QO116" s="73"/>
      <c r="QP116" s="73"/>
      <c r="QQ116" s="73"/>
      <c r="QR116" s="73"/>
      <c r="QS116" s="73"/>
      <c r="QT116" s="73"/>
      <c r="QU116" s="73"/>
      <c r="QV116" s="73"/>
      <c r="QW116" s="73"/>
      <c r="QX116" s="73"/>
      <c r="QY116" s="73"/>
      <c r="QZ116" s="73"/>
      <c r="RA116" s="73"/>
      <c r="RB116" s="73"/>
      <c r="RC116" s="73"/>
      <c r="RD116" s="73"/>
      <c r="RE116" s="73"/>
      <c r="RF116" s="73"/>
      <c r="RG116" s="73"/>
      <c r="RH116" s="73"/>
      <c r="RI116" s="73"/>
      <c r="RJ116" s="73"/>
      <c r="RK116" s="73"/>
      <c r="RL116" s="73"/>
      <c r="RM116" s="73"/>
      <c r="RN116" s="73"/>
      <c r="RO116" s="73"/>
      <c r="RP116" s="73"/>
      <c r="RQ116" s="73"/>
      <c r="RR116" s="73"/>
      <c r="RS116" s="73"/>
      <c r="RT116" s="73"/>
      <c r="RU116" s="73"/>
      <c r="RV116" s="73"/>
      <c r="RW116" s="73"/>
      <c r="RX116" s="73"/>
      <c r="RY116" s="73"/>
      <c r="RZ116" s="73"/>
      <c r="SA116" s="73"/>
      <c r="SB116" s="73"/>
      <c r="SC116" s="73"/>
      <c r="SD116" s="73"/>
      <c r="SE116" s="73"/>
      <c r="SF116" s="73"/>
      <c r="SG116" s="73"/>
      <c r="SH116" s="73"/>
      <c r="SI116" s="73"/>
      <c r="SJ116" s="73"/>
      <c r="SK116" s="73"/>
      <c r="SL116" s="73"/>
      <c r="SM116" s="73"/>
      <c r="SN116" s="73"/>
      <c r="SO116" s="73"/>
      <c r="SP116" s="73"/>
      <c r="SQ116" s="73"/>
      <c r="SR116" s="73"/>
      <c r="SS116" s="73"/>
      <c r="ST116" s="73"/>
      <c r="SU116" s="73"/>
      <c r="SV116" s="73"/>
      <c r="SW116" s="73"/>
      <c r="SX116" s="73"/>
      <c r="SY116" s="73"/>
      <c r="SZ116" s="73"/>
      <c r="TA116" s="73"/>
      <c r="TB116" s="73"/>
      <c r="TC116" s="73"/>
      <c r="TD116" s="73"/>
      <c r="TE116" s="73"/>
      <c r="TF116" s="73"/>
      <c r="TG116" s="73"/>
      <c r="TH116" s="73"/>
      <c r="TI116" s="73"/>
      <c r="TJ116" s="73"/>
      <c r="TK116" s="73"/>
      <c r="TL116" s="73"/>
      <c r="TM116" s="73"/>
      <c r="TN116" s="73"/>
      <c r="TO116" s="73"/>
      <c r="TP116" s="73"/>
      <c r="TQ116" s="73"/>
      <c r="TR116" s="73"/>
      <c r="TS116" s="73"/>
      <c r="TT116" s="73"/>
      <c r="TU116" s="73"/>
      <c r="TV116" s="73"/>
      <c r="TW116" s="73"/>
      <c r="TX116" s="73"/>
      <c r="TY116" s="73"/>
      <c r="TZ116" s="73"/>
      <c r="UA116" s="73"/>
      <c r="UB116" s="73"/>
      <c r="UC116" s="73"/>
      <c r="UD116" s="73"/>
      <c r="UE116" s="73"/>
      <c r="UF116" s="73"/>
      <c r="UG116" s="73"/>
      <c r="UH116" s="73"/>
      <c r="UI116" s="73"/>
      <c r="UJ116" s="73"/>
      <c r="UK116" s="73"/>
      <c r="UL116" s="73"/>
      <c r="UM116" s="73"/>
      <c r="UN116" s="73"/>
      <c r="UO116" s="73"/>
      <c r="UP116" s="73"/>
      <c r="UQ116" s="73"/>
      <c r="UR116" s="73"/>
      <c r="US116" s="73"/>
      <c r="UT116" s="73"/>
      <c r="UU116" s="73"/>
      <c r="UV116" s="73"/>
      <c r="UW116" s="73"/>
      <c r="UX116" s="73"/>
      <c r="UY116" s="73"/>
      <c r="UZ116" s="73"/>
      <c r="VA116" s="73"/>
      <c r="VB116" s="73"/>
      <c r="VC116" s="73"/>
      <c r="VD116" s="73"/>
      <c r="VE116" s="73"/>
      <c r="VF116" s="73"/>
      <c r="VG116" s="73"/>
      <c r="VH116" s="73"/>
      <c r="VI116" s="73"/>
      <c r="VJ116" s="73"/>
      <c r="VK116" s="73"/>
      <c r="VL116" s="73"/>
      <c r="VM116" s="73"/>
      <c r="VN116" s="73"/>
      <c r="VO116" s="73"/>
      <c r="VP116" s="73"/>
      <c r="VQ116" s="73"/>
      <c r="VR116" s="73"/>
      <c r="VS116" s="73"/>
      <c r="VT116" s="73"/>
      <c r="VU116" s="73"/>
      <c r="VV116" s="73"/>
      <c r="VW116" s="73"/>
      <c r="VX116" s="73"/>
      <c r="VY116" s="73"/>
      <c r="VZ116" s="73"/>
      <c r="WA116" s="73"/>
      <c r="WB116" s="73"/>
      <c r="WC116" s="73"/>
      <c r="WD116" s="73"/>
      <c r="WE116" s="73"/>
      <c r="WF116" s="73"/>
      <c r="WG116" s="73"/>
      <c r="WH116" s="73"/>
      <c r="WI116" s="73"/>
      <c r="WJ116" s="73"/>
      <c r="WK116" s="73"/>
      <c r="WL116" s="73"/>
      <c r="WM116" s="73"/>
      <c r="WN116" s="73"/>
      <c r="WO116" s="73"/>
      <c r="WP116" s="73"/>
      <c r="WQ116" s="73"/>
      <c r="WR116" s="73"/>
      <c r="WS116" s="73"/>
      <c r="WT116" s="73"/>
      <c r="WU116" s="73"/>
      <c r="WV116" s="73"/>
      <c r="WW116" s="73"/>
      <c r="WX116" s="73"/>
      <c r="WY116" s="73"/>
      <c r="WZ116" s="73"/>
      <c r="XA116" s="73"/>
      <c r="XB116" s="73"/>
      <c r="XC116" s="73"/>
      <c r="XD116" s="73"/>
      <c r="XE116" s="73"/>
      <c r="XF116" s="73"/>
      <c r="XG116" s="73"/>
      <c r="XH116" s="73"/>
      <c r="XI116" s="73"/>
      <c r="XJ116" s="73"/>
      <c r="XK116" s="73"/>
      <c r="XL116" s="73"/>
      <c r="XM116" s="73"/>
      <c r="XN116" s="73"/>
      <c r="XO116" s="73"/>
      <c r="XP116" s="73"/>
      <c r="XQ116" s="73"/>
      <c r="XR116" s="73"/>
      <c r="XS116" s="73"/>
      <c r="XT116" s="73"/>
      <c r="XU116" s="73"/>
      <c r="XV116" s="73"/>
      <c r="XW116" s="73"/>
      <c r="XX116" s="73"/>
      <c r="XY116" s="73"/>
      <c r="XZ116" s="73"/>
      <c r="YA116" s="73"/>
      <c r="YB116" s="73"/>
      <c r="YC116" s="73"/>
      <c r="YD116" s="73"/>
      <c r="YE116" s="73"/>
      <c r="YF116" s="73"/>
      <c r="YG116" s="73"/>
      <c r="YH116" s="73"/>
      <c r="YI116" s="73"/>
      <c r="YJ116" s="73"/>
      <c r="YK116" s="73"/>
      <c r="YL116" s="73"/>
      <c r="YM116" s="73"/>
      <c r="YN116" s="73"/>
      <c r="YO116" s="73"/>
      <c r="YP116" s="73"/>
      <c r="YQ116" s="73"/>
      <c r="YR116" s="73"/>
      <c r="YS116" s="73"/>
      <c r="YT116" s="73"/>
      <c r="YU116" s="73"/>
      <c r="YV116" s="73"/>
      <c r="YW116" s="73"/>
      <c r="YX116" s="73"/>
      <c r="YY116" s="73"/>
      <c r="YZ116" s="73"/>
      <c r="ZA116" s="73"/>
      <c r="ZB116" s="73"/>
      <c r="ZC116" s="73"/>
      <c r="ZD116" s="73"/>
      <c r="ZE116" s="73"/>
      <c r="ZF116" s="73"/>
      <c r="ZG116" s="73"/>
      <c r="ZH116" s="73"/>
      <c r="ZI116" s="73"/>
      <c r="ZJ116" s="73"/>
      <c r="ZK116" s="73"/>
      <c r="ZL116" s="73"/>
      <c r="ZM116" s="73"/>
      <c r="ZN116" s="73"/>
      <c r="ZO116" s="73"/>
      <c r="ZP116" s="73"/>
      <c r="ZQ116" s="73"/>
      <c r="ZR116" s="73"/>
      <c r="ZS116" s="73"/>
      <c r="ZT116" s="73"/>
      <c r="ZU116" s="73"/>
      <c r="ZV116" s="73"/>
      <c r="ZW116" s="73"/>
      <c r="ZX116" s="73"/>
      <c r="ZY116" s="73"/>
      <c r="ZZ116" s="73"/>
      <c r="AAA116" s="73"/>
      <c r="AAB116" s="73"/>
      <c r="AAC116" s="73"/>
      <c r="AAD116" s="73"/>
      <c r="AAE116" s="73"/>
      <c r="AAF116" s="73"/>
      <c r="AAG116" s="73"/>
      <c r="AAH116" s="73"/>
      <c r="AAI116" s="73"/>
      <c r="AAJ116" s="73"/>
      <c r="AAK116" s="73"/>
      <c r="AAL116" s="73"/>
      <c r="AAM116" s="73"/>
      <c r="AAN116" s="73"/>
      <c r="AAO116" s="73"/>
      <c r="AAP116" s="73"/>
      <c r="AAQ116" s="73"/>
      <c r="AAR116" s="73"/>
      <c r="AAS116" s="73"/>
      <c r="AAT116" s="73"/>
      <c r="AAU116" s="73"/>
      <c r="AAV116" s="73"/>
      <c r="AAW116" s="73"/>
      <c r="AAX116" s="73"/>
      <c r="AAY116" s="73"/>
      <c r="AAZ116" s="73"/>
      <c r="ABA116" s="73"/>
      <c r="ABB116" s="73"/>
      <c r="ABC116" s="73"/>
      <c r="ABD116" s="73"/>
      <c r="ABE116" s="73"/>
      <c r="ABF116" s="73"/>
      <c r="ABG116" s="73"/>
      <c r="ABH116" s="73"/>
      <c r="ABI116" s="73"/>
      <c r="ABJ116" s="73"/>
      <c r="ABK116" s="73"/>
      <c r="ABL116" s="73"/>
      <c r="ABM116" s="73"/>
      <c r="ABN116" s="73"/>
      <c r="ABO116" s="73"/>
      <c r="ABP116" s="73"/>
      <c r="ABQ116" s="73"/>
      <c r="ABR116" s="73"/>
      <c r="ABS116" s="73"/>
      <c r="ABT116" s="73"/>
      <c r="ABU116" s="73"/>
      <c r="ABV116" s="73"/>
      <c r="ABW116" s="73"/>
      <c r="ABX116" s="73"/>
      <c r="ABY116" s="73"/>
      <c r="ABZ116" s="73"/>
      <c r="ACA116" s="73"/>
      <c r="ACB116" s="73"/>
      <c r="ACC116" s="73"/>
      <c r="ACD116" s="73"/>
      <c r="ACE116" s="73"/>
      <c r="ACF116" s="73"/>
      <c r="ACG116" s="73"/>
      <c r="ACH116" s="73"/>
      <c r="ACI116" s="73"/>
      <c r="ACJ116" s="73"/>
      <c r="ACK116" s="73"/>
      <c r="ACL116" s="73"/>
      <c r="ACM116" s="73"/>
      <c r="ACN116" s="73"/>
      <c r="ACO116" s="73"/>
      <c r="ACP116" s="73"/>
      <c r="ACQ116" s="73"/>
      <c r="ACR116" s="73"/>
      <c r="ACS116" s="73"/>
      <c r="ACT116" s="73"/>
      <c r="ACU116" s="73"/>
      <c r="ACV116" s="73"/>
      <c r="ACW116" s="73"/>
      <c r="ACX116" s="73"/>
      <c r="ACY116" s="73"/>
      <c r="ACZ116" s="73"/>
      <c r="ADA116" s="73"/>
      <c r="ADB116" s="73"/>
      <c r="ADC116" s="73"/>
      <c r="ADD116" s="73"/>
      <c r="ADE116" s="73"/>
      <c r="ADF116" s="73"/>
      <c r="ADG116" s="73"/>
      <c r="ADH116" s="73"/>
      <c r="ADI116" s="73"/>
      <c r="ADJ116" s="73"/>
      <c r="ADK116" s="73"/>
      <c r="ADL116" s="73"/>
      <c r="ADM116" s="73"/>
      <c r="ADN116" s="73"/>
      <c r="ADO116" s="73"/>
      <c r="ADP116" s="73"/>
      <c r="ADQ116" s="73"/>
      <c r="ADR116" s="73"/>
      <c r="ADS116" s="73"/>
      <c r="ADT116" s="73"/>
      <c r="ADU116" s="73"/>
      <c r="ADV116" s="73"/>
      <c r="ADW116" s="73"/>
      <c r="ADX116" s="73"/>
      <c r="ADY116" s="73"/>
      <c r="ADZ116" s="73"/>
      <c r="AEA116" s="73"/>
      <c r="AEB116" s="73"/>
      <c r="AEC116" s="73"/>
      <c r="AED116" s="73"/>
      <c r="AEE116" s="73"/>
      <c r="AEF116" s="73"/>
      <c r="AEG116" s="73"/>
      <c r="AEH116" s="73"/>
      <c r="AEI116" s="73"/>
      <c r="AEJ116" s="73"/>
      <c r="AEK116" s="73"/>
      <c r="AEL116" s="73"/>
      <c r="AEM116" s="73"/>
      <c r="AEN116" s="73"/>
      <c r="AEO116" s="73"/>
      <c r="AEP116" s="73"/>
      <c r="AEQ116" s="73"/>
      <c r="AER116" s="73"/>
      <c r="AES116" s="73"/>
      <c r="AET116" s="73"/>
      <c r="AEU116" s="73"/>
      <c r="AEV116" s="73"/>
      <c r="AEW116" s="73"/>
      <c r="AEX116" s="73"/>
      <c r="AEY116" s="73"/>
      <c r="AEZ116" s="73"/>
      <c r="AFA116" s="73"/>
      <c r="AFB116" s="73"/>
      <c r="AFC116" s="73"/>
      <c r="AFD116" s="73"/>
      <c r="AFE116" s="73"/>
      <c r="AFF116" s="73"/>
      <c r="AFG116" s="73"/>
      <c r="AFH116" s="73"/>
      <c r="AFI116" s="73"/>
      <c r="AFJ116" s="73"/>
      <c r="AFK116" s="73"/>
      <c r="AFL116" s="73"/>
      <c r="AFM116" s="73"/>
      <c r="AFN116" s="73"/>
      <c r="AFO116" s="73"/>
      <c r="AFP116" s="73"/>
      <c r="AFQ116" s="73"/>
      <c r="AFR116" s="73"/>
      <c r="AFS116" s="73"/>
      <c r="AFT116" s="73"/>
      <c r="AFU116" s="73"/>
      <c r="AFV116" s="73"/>
      <c r="AFW116" s="73"/>
      <c r="AFX116" s="73"/>
      <c r="AFY116" s="73"/>
      <c r="AFZ116" s="73"/>
      <c r="AGA116" s="73"/>
      <c r="AGB116" s="73"/>
      <c r="AGC116" s="73"/>
      <c r="AGD116" s="73"/>
      <c r="AGE116" s="73"/>
      <c r="AGF116" s="73"/>
      <c r="AGG116" s="73"/>
      <c r="AGH116" s="73"/>
      <c r="AGI116" s="73"/>
      <c r="AGJ116" s="73"/>
      <c r="AGK116" s="73"/>
      <c r="AGL116" s="73"/>
      <c r="AGM116" s="73"/>
      <c r="AGN116" s="73"/>
      <c r="AGO116" s="73"/>
      <c r="AGP116" s="73"/>
      <c r="AGQ116" s="73"/>
      <c r="AGR116" s="73"/>
      <c r="AGS116" s="73"/>
      <c r="AGT116" s="73"/>
      <c r="AGU116" s="73"/>
      <c r="AGV116" s="73"/>
      <c r="AGW116" s="73"/>
      <c r="AGX116" s="73"/>
      <c r="AGY116" s="73"/>
      <c r="AGZ116" s="73"/>
      <c r="AHA116" s="73"/>
      <c r="AHB116" s="73"/>
      <c r="AHC116" s="73"/>
      <c r="AHD116" s="73"/>
      <c r="AHE116" s="73"/>
      <c r="AHF116" s="73"/>
      <c r="AHG116" s="73"/>
      <c r="AHH116" s="73"/>
      <c r="AHI116" s="73"/>
      <c r="AHJ116" s="73"/>
      <c r="AHK116" s="73"/>
      <c r="AHL116" s="73"/>
      <c r="AHM116" s="73"/>
      <c r="AHN116" s="73"/>
      <c r="AHO116" s="73"/>
      <c r="AHP116" s="73"/>
      <c r="AHQ116" s="73"/>
      <c r="AHR116" s="73"/>
      <c r="AHS116" s="73"/>
      <c r="AHT116" s="73"/>
      <c r="AHU116" s="73"/>
      <c r="AHV116" s="73"/>
      <c r="AHW116" s="73"/>
      <c r="AHX116" s="73"/>
      <c r="AHY116" s="73"/>
      <c r="AHZ116" s="73"/>
      <c r="AIA116" s="73"/>
      <c r="AIB116" s="73"/>
      <c r="AIC116" s="73"/>
      <c r="AID116" s="73"/>
      <c r="AIE116" s="73"/>
      <c r="AIF116" s="73"/>
      <c r="AIG116" s="73"/>
      <c r="AIH116" s="73"/>
      <c r="AII116" s="73"/>
      <c r="AIJ116" s="73"/>
      <c r="AIK116" s="73"/>
      <c r="AIL116" s="73"/>
      <c r="AIM116" s="73"/>
      <c r="AIN116" s="73"/>
      <c r="AIO116" s="73"/>
      <c r="AIP116" s="73"/>
      <c r="AIQ116" s="73"/>
      <c r="AIR116" s="73"/>
      <c r="AIS116" s="73"/>
      <c r="AIT116" s="73"/>
      <c r="AIU116" s="73"/>
      <c r="AIV116" s="73"/>
      <c r="AIW116" s="73"/>
      <c r="AIX116" s="73"/>
      <c r="AIY116" s="73"/>
      <c r="AIZ116" s="73"/>
      <c r="AJA116" s="73"/>
      <c r="AJB116" s="73"/>
      <c r="AJC116" s="73"/>
      <c r="AJD116" s="73"/>
      <c r="AJE116" s="73"/>
      <c r="AJF116" s="73"/>
      <c r="AJG116" s="73"/>
      <c r="AJH116" s="73"/>
      <c r="AJI116" s="73"/>
      <c r="AJJ116" s="73"/>
      <c r="AJK116" s="73"/>
      <c r="AJL116" s="73"/>
      <c r="AJM116" s="73"/>
      <c r="AJN116" s="73"/>
      <c r="AJO116" s="73"/>
      <c r="AJP116" s="73"/>
      <c r="AJQ116" s="73"/>
      <c r="AJR116" s="73"/>
      <c r="AJS116" s="73"/>
      <c r="AJT116" s="73"/>
      <c r="AJU116" s="73"/>
      <c r="AJV116" s="73"/>
      <c r="AJW116" s="73"/>
      <c r="AJX116" s="73"/>
      <c r="AJY116" s="73"/>
      <c r="AJZ116" s="73"/>
      <c r="AKA116" s="73"/>
      <c r="AKB116" s="73"/>
      <c r="AKC116" s="73"/>
      <c r="AKD116" s="73"/>
      <c r="AKE116" s="73"/>
      <c r="AKF116" s="73"/>
      <c r="AKG116" s="73"/>
      <c r="AKH116" s="73"/>
      <c r="AKI116" s="73"/>
      <c r="AKJ116" s="73"/>
      <c r="AKK116" s="73"/>
      <c r="AKL116" s="73"/>
      <c r="AKM116" s="73"/>
      <c r="AKN116" s="73"/>
      <c r="AKO116" s="73"/>
      <c r="AKP116" s="73"/>
      <c r="AKQ116" s="73"/>
      <c r="AKR116" s="73"/>
      <c r="AKS116" s="73"/>
      <c r="AKT116" s="73"/>
      <c r="AKU116" s="73"/>
      <c r="AKV116" s="73"/>
      <c r="AKW116" s="73"/>
      <c r="AKX116" s="73"/>
      <c r="AKY116" s="73"/>
      <c r="AKZ116" s="73"/>
      <c r="ALA116" s="73"/>
      <c r="ALB116" s="73"/>
      <c r="ALC116" s="73"/>
      <c r="ALD116" s="73"/>
      <c r="ALE116" s="73"/>
      <c r="ALF116" s="73"/>
      <c r="ALG116" s="73"/>
      <c r="ALH116" s="73"/>
      <c r="ALI116" s="73"/>
      <c r="ALJ116" s="73"/>
      <c r="ALK116" s="73"/>
      <c r="ALL116" s="73"/>
      <c r="ALM116" s="73"/>
      <c r="ALN116" s="73"/>
      <c r="ALO116" s="73"/>
      <c r="ALP116" s="73"/>
      <c r="ALQ116" s="73"/>
      <c r="ALR116" s="73"/>
      <c r="ALS116" s="73"/>
      <c r="ALT116" s="73"/>
      <c r="ALU116" s="73"/>
      <c r="ALV116" s="73"/>
      <c r="ALW116" s="73"/>
      <c r="ALX116" s="73"/>
      <c r="ALY116" s="73"/>
      <c r="ALZ116" s="73"/>
      <c r="AMA116" s="73"/>
      <c r="AMB116" s="73"/>
      <c r="AMC116" s="73"/>
      <c r="AMD116" s="73"/>
      <c r="AME116" s="73"/>
      <c r="AMF116" s="73"/>
      <c r="AMG116" s="73"/>
      <c r="AMH116" s="73"/>
      <c r="AMI116" s="73"/>
      <c r="AMJ116" s="73"/>
      <c r="AMK116" s="73"/>
      <c r="AML116" s="73"/>
      <c r="AMM116" s="73"/>
      <c r="AMN116" s="73"/>
      <c r="AMO116" s="73"/>
      <c r="AMP116" s="73"/>
      <c r="AMQ116" s="73"/>
      <c r="AMR116" s="73"/>
      <c r="AMS116" s="73"/>
      <c r="AMT116" s="73"/>
      <c r="AMU116" s="73"/>
      <c r="AMV116" s="73"/>
      <c r="AMW116" s="73"/>
      <c r="AMX116" s="73"/>
      <c r="AMY116" s="73"/>
      <c r="AMZ116" s="73"/>
      <c r="ANA116" s="73"/>
      <c r="ANB116" s="73"/>
      <c r="ANC116" s="73"/>
      <c r="AND116" s="73"/>
      <c r="ANE116" s="73"/>
      <c r="ANF116" s="73"/>
      <c r="ANG116" s="73"/>
      <c r="ANH116" s="73"/>
      <c r="ANI116" s="73"/>
      <c r="ANJ116" s="73"/>
      <c r="ANK116" s="73"/>
      <c r="ANL116" s="73"/>
      <c r="ANM116" s="73"/>
      <c r="ANN116" s="73"/>
      <c r="ANO116" s="73"/>
      <c r="ANP116" s="73"/>
      <c r="ANQ116" s="73"/>
      <c r="ANR116" s="73"/>
      <c r="ANS116" s="73"/>
      <c r="ANT116" s="73"/>
      <c r="ANU116" s="73"/>
      <c r="ANV116" s="73"/>
      <c r="ANW116" s="73"/>
      <c r="ANX116" s="73"/>
      <c r="ANY116" s="73"/>
      <c r="ANZ116" s="73"/>
      <c r="AOA116" s="73"/>
      <c r="AOB116" s="73"/>
      <c r="AOC116" s="73"/>
      <c r="AOD116" s="73"/>
      <c r="AOE116" s="73"/>
      <c r="AOF116" s="73"/>
      <c r="AOG116" s="73"/>
      <c r="AOH116" s="73"/>
      <c r="AOI116" s="73"/>
      <c r="AOJ116" s="73"/>
      <c r="AOK116" s="73"/>
      <c r="AOL116" s="73"/>
      <c r="AOM116" s="73"/>
      <c r="AON116" s="73"/>
      <c r="AOO116" s="73"/>
      <c r="AOP116" s="73"/>
      <c r="AOQ116" s="73"/>
      <c r="AOR116" s="73"/>
      <c r="AOS116" s="73"/>
      <c r="AOT116" s="73"/>
      <c r="AOU116" s="73"/>
      <c r="AOV116" s="73"/>
      <c r="AOW116" s="73"/>
      <c r="AOX116" s="73"/>
      <c r="AOY116" s="73"/>
      <c r="AOZ116" s="73"/>
      <c r="APA116" s="73"/>
      <c r="APB116" s="73"/>
      <c r="APC116" s="73"/>
      <c r="APD116" s="73"/>
      <c r="APE116" s="73"/>
      <c r="APF116" s="73"/>
      <c r="APG116" s="73"/>
      <c r="APH116" s="73"/>
      <c r="API116" s="73"/>
      <c r="APJ116" s="73"/>
      <c r="APK116" s="73"/>
      <c r="APL116" s="73"/>
      <c r="APM116" s="73"/>
      <c r="APN116" s="73"/>
      <c r="APO116" s="73"/>
      <c r="APP116" s="73"/>
      <c r="APQ116" s="73"/>
      <c r="APR116" s="73"/>
      <c r="APS116" s="73"/>
      <c r="APT116" s="73"/>
      <c r="APU116" s="73"/>
      <c r="APV116" s="73"/>
      <c r="APW116" s="73"/>
      <c r="APX116" s="73"/>
      <c r="APY116" s="73"/>
      <c r="APZ116" s="73"/>
      <c r="AQA116" s="73"/>
      <c r="AQB116" s="73"/>
      <c r="AQC116" s="73"/>
      <c r="AQD116" s="73"/>
      <c r="AQE116" s="73"/>
      <c r="AQF116" s="73"/>
      <c r="AQG116" s="73"/>
      <c r="AQH116" s="73"/>
      <c r="AQI116" s="73"/>
      <c r="AQJ116" s="73"/>
      <c r="AQK116" s="73"/>
      <c r="AQL116" s="73"/>
      <c r="AQM116" s="73"/>
      <c r="AQN116" s="73"/>
      <c r="AQO116" s="73"/>
      <c r="AQP116" s="73"/>
      <c r="AQQ116" s="73"/>
      <c r="AQR116" s="73"/>
      <c r="AQS116" s="73"/>
      <c r="AQT116" s="73"/>
      <c r="AQU116" s="73"/>
      <c r="AQV116" s="73"/>
      <c r="AQW116" s="73"/>
      <c r="AQX116" s="73"/>
      <c r="AQY116" s="73"/>
      <c r="AQZ116" s="73"/>
      <c r="ARA116" s="73"/>
      <c r="ARB116" s="73"/>
      <c r="ARC116" s="73"/>
      <c r="ARD116" s="73"/>
      <c r="ARE116" s="73"/>
      <c r="ARF116" s="73"/>
      <c r="ARG116" s="73"/>
      <c r="ARH116" s="73"/>
      <c r="ARI116" s="73"/>
      <c r="ARJ116" s="73"/>
      <c r="ARK116" s="73"/>
      <c r="ARL116" s="73"/>
      <c r="ARM116" s="73"/>
      <c r="ARN116" s="73"/>
      <c r="ARO116" s="73"/>
      <c r="ARP116" s="73"/>
      <c r="ARQ116" s="73"/>
      <c r="ARR116" s="73"/>
      <c r="ARS116" s="73"/>
      <c r="ART116" s="73"/>
      <c r="ARU116" s="73"/>
      <c r="ARV116" s="73"/>
      <c r="ARW116" s="73"/>
      <c r="ARX116" s="73"/>
      <c r="ARY116" s="73"/>
      <c r="ARZ116" s="73"/>
      <c r="ASA116" s="73"/>
      <c r="ASB116" s="73"/>
      <c r="ASC116" s="73"/>
      <c r="ASD116" s="73"/>
      <c r="ASE116" s="73"/>
      <c r="ASF116" s="73"/>
      <c r="ASG116" s="73"/>
      <c r="ASH116" s="73"/>
      <c r="ASI116" s="73"/>
      <c r="ASJ116" s="73"/>
      <c r="ASK116" s="73"/>
      <c r="ASL116" s="73"/>
      <c r="ASM116" s="73"/>
      <c r="ASN116" s="73"/>
      <c r="ASO116" s="73"/>
      <c r="ASP116" s="73"/>
      <c r="ASQ116" s="73"/>
      <c r="ASR116" s="73"/>
      <c r="ASS116" s="73"/>
      <c r="AST116" s="73"/>
      <c r="ASU116" s="73"/>
      <c r="ASV116" s="73"/>
      <c r="ASW116" s="73"/>
      <c r="ASX116" s="73"/>
      <c r="ASY116" s="73"/>
      <c r="ASZ116" s="73"/>
      <c r="ATA116" s="73"/>
      <c r="ATB116" s="73"/>
      <c r="ATC116" s="73"/>
      <c r="ATD116" s="73"/>
      <c r="ATE116" s="73"/>
      <c r="ATF116" s="73"/>
      <c r="ATG116" s="73"/>
      <c r="ATH116" s="73"/>
      <c r="ATI116" s="73"/>
      <c r="ATJ116" s="73"/>
      <c r="ATK116" s="73"/>
      <c r="ATL116" s="73"/>
      <c r="ATM116" s="73"/>
      <c r="ATN116" s="73"/>
      <c r="ATO116" s="73"/>
      <c r="ATP116" s="73"/>
      <c r="ATQ116" s="73"/>
      <c r="ATR116" s="73"/>
      <c r="ATS116" s="73"/>
      <c r="ATT116" s="73"/>
      <c r="ATU116" s="73"/>
      <c r="ATV116" s="73"/>
      <c r="ATW116" s="73"/>
      <c r="ATX116" s="73"/>
      <c r="ATY116" s="73"/>
      <c r="ATZ116" s="73"/>
      <c r="AUA116" s="73"/>
      <c r="AUB116" s="73"/>
      <c r="AUC116" s="73"/>
      <c r="AUD116" s="73"/>
      <c r="AUE116" s="73"/>
      <c r="AUF116" s="73"/>
      <c r="AUG116" s="73"/>
      <c r="AUH116" s="73"/>
      <c r="AUI116" s="73"/>
      <c r="AUJ116" s="73"/>
      <c r="AUK116" s="73"/>
      <c r="AUL116" s="73"/>
      <c r="AUM116" s="73"/>
      <c r="AUN116" s="73"/>
      <c r="AUO116" s="73"/>
      <c r="AUP116" s="73"/>
      <c r="AUQ116" s="73"/>
      <c r="AUR116" s="73"/>
      <c r="AUS116" s="73"/>
      <c r="AUT116" s="73"/>
      <c r="AUU116" s="73"/>
      <c r="AUV116" s="73"/>
      <c r="AUW116" s="73"/>
      <c r="AUX116" s="73"/>
      <c r="AUY116" s="73"/>
      <c r="AUZ116" s="73"/>
      <c r="AVA116" s="73"/>
      <c r="AVB116" s="73"/>
      <c r="AVC116" s="73"/>
      <c r="AVD116" s="73"/>
      <c r="AVE116" s="73"/>
      <c r="AVF116" s="73"/>
      <c r="AVG116" s="73"/>
      <c r="AVH116" s="73"/>
      <c r="AVI116" s="73"/>
      <c r="AVJ116" s="73"/>
      <c r="AVK116" s="73"/>
      <c r="AVL116" s="73"/>
      <c r="AVM116" s="73"/>
      <c r="AVN116" s="73"/>
      <c r="AVO116" s="73"/>
      <c r="AVP116" s="73"/>
      <c r="AVQ116" s="73"/>
      <c r="AVR116" s="73"/>
      <c r="AVS116" s="73"/>
      <c r="AVT116" s="73"/>
      <c r="AVU116" s="73"/>
      <c r="AVV116" s="73"/>
      <c r="AVW116" s="73"/>
      <c r="AVX116" s="73"/>
      <c r="AVY116" s="73"/>
      <c r="AVZ116" s="73"/>
      <c r="AWA116" s="73"/>
      <c r="AWB116" s="73"/>
      <c r="AWC116" s="73"/>
      <c r="AWD116" s="73"/>
      <c r="AWE116" s="73"/>
      <c r="AWF116" s="73"/>
      <c r="AWG116" s="73"/>
      <c r="AWH116" s="73"/>
      <c r="AWI116" s="73"/>
      <c r="AWJ116" s="73"/>
      <c r="AWK116" s="73"/>
      <c r="AWL116" s="73"/>
      <c r="AWM116" s="73"/>
      <c r="AWN116" s="73"/>
      <c r="AWO116" s="73"/>
      <c r="AWP116" s="73"/>
      <c r="AWQ116" s="73"/>
      <c r="AWR116" s="73"/>
      <c r="AWS116" s="73"/>
      <c r="AWT116" s="73"/>
      <c r="AWU116" s="73"/>
      <c r="AWV116" s="73"/>
      <c r="AWW116" s="73"/>
      <c r="AWX116" s="73"/>
      <c r="AWY116" s="73"/>
      <c r="AWZ116" s="73"/>
      <c r="AXA116" s="73"/>
      <c r="AXB116" s="73"/>
      <c r="AXC116" s="73"/>
      <c r="AXD116" s="73"/>
      <c r="AXE116" s="73"/>
      <c r="AXF116" s="73"/>
      <c r="AXG116" s="73"/>
      <c r="AXH116" s="73"/>
      <c r="AXI116" s="73"/>
      <c r="AXJ116" s="73"/>
      <c r="AXK116" s="73"/>
      <c r="AXL116" s="73"/>
      <c r="AXM116" s="73"/>
      <c r="AXN116" s="73"/>
      <c r="AXO116" s="73"/>
      <c r="AXP116" s="73"/>
      <c r="AXQ116" s="73"/>
      <c r="AXR116" s="73"/>
      <c r="AXS116" s="73"/>
      <c r="AXT116" s="73"/>
      <c r="AXU116" s="73"/>
      <c r="AXV116" s="73"/>
      <c r="AXW116" s="73"/>
      <c r="AXX116" s="73"/>
      <c r="AXY116" s="73"/>
      <c r="AXZ116" s="73"/>
      <c r="AYA116" s="73"/>
      <c r="AYB116" s="73"/>
      <c r="AYC116" s="73"/>
      <c r="AYD116" s="73"/>
      <c r="AYE116" s="73"/>
      <c r="AYF116" s="73"/>
      <c r="AYG116" s="73"/>
      <c r="AYH116" s="73"/>
      <c r="AYI116" s="73"/>
      <c r="AYJ116" s="73"/>
      <c r="AYK116" s="73"/>
      <c r="AYL116" s="73"/>
      <c r="AYM116" s="73"/>
      <c r="AYN116" s="73"/>
      <c r="AYO116" s="73"/>
      <c r="AYP116" s="73"/>
      <c r="AYQ116" s="73"/>
      <c r="AYR116" s="73"/>
      <c r="AYS116" s="73"/>
      <c r="AYT116" s="73"/>
      <c r="AYU116" s="73"/>
      <c r="AYV116" s="73"/>
      <c r="AYW116" s="73"/>
      <c r="AYX116" s="73"/>
      <c r="AYY116" s="73"/>
      <c r="AYZ116" s="73"/>
      <c r="AZA116" s="73"/>
      <c r="AZB116" s="73"/>
      <c r="AZC116" s="73"/>
      <c r="AZD116" s="73"/>
      <c r="AZE116" s="73"/>
      <c r="AZF116" s="73"/>
      <c r="AZG116" s="73"/>
      <c r="AZH116" s="73"/>
      <c r="AZI116" s="73"/>
      <c r="AZJ116" s="73"/>
      <c r="AZK116" s="73"/>
      <c r="AZL116" s="73"/>
      <c r="AZM116" s="73"/>
      <c r="AZN116" s="73"/>
      <c r="AZO116" s="73"/>
      <c r="AZP116" s="73"/>
      <c r="AZQ116" s="73"/>
      <c r="AZR116" s="73"/>
      <c r="AZS116" s="73"/>
      <c r="AZT116" s="73"/>
      <c r="AZU116" s="73"/>
      <c r="AZV116" s="73"/>
      <c r="AZW116" s="73"/>
      <c r="AZX116" s="73"/>
      <c r="AZY116" s="73"/>
      <c r="AZZ116" s="73"/>
      <c r="BAA116" s="73"/>
      <c r="BAB116" s="73"/>
      <c r="BAC116" s="73"/>
      <c r="BAD116" s="73"/>
      <c r="BAE116" s="73"/>
      <c r="BAF116" s="73"/>
      <c r="BAG116" s="73"/>
      <c r="BAH116" s="73"/>
      <c r="BAI116" s="73"/>
      <c r="BAJ116" s="73"/>
      <c r="BAK116" s="73"/>
      <c r="BAL116" s="73"/>
      <c r="BAM116" s="73"/>
      <c r="BAN116" s="73"/>
      <c r="BAO116" s="73"/>
      <c r="BAP116" s="73"/>
      <c r="BAQ116" s="73"/>
      <c r="BAR116" s="73"/>
      <c r="BAS116" s="73"/>
      <c r="BAT116" s="73"/>
      <c r="BAU116" s="73"/>
      <c r="BAV116" s="73"/>
      <c r="BAW116" s="73"/>
      <c r="BAX116" s="73"/>
      <c r="BAY116" s="73"/>
      <c r="BAZ116" s="73"/>
      <c r="BBA116" s="73"/>
      <c r="BBB116" s="73"/>
      <c r="BBC116" s="73"/>
      <c r="BBD116" s="73"/>
      <c r="BBE116" s="73"/>
      <c r="BBF116" s="73"/>
      <c r="BBG116" s="73"/>
      <c r="BBH116" s="73"/>
      <c r="BBI116" s="73"/>
      <c r="BBJ116" s="73"/>
      <c r="BBK116" s="73"/>
      <c r="BBL116" s="73"/>
      <c r="BBM116" s="73"/>
      <c r="BBN116" s="73"/>
      <c r="BBO116" s="73"/>
      <c r="BBP116" s="73"/>
      <c r="BBQ116" s="73"/>
      <c r="BBR116" s="73"/>
      <c r="BBS116" s="73"/>
      <c r="BBT116" s="73"/>
      <c r="BBU116" s="73"/>
      <c r="BBV116" s="73"/>
      <c r="BBW116" s="73"/>
      <c r="BBX116" s="73"/>
      <c r="BBY116" s="73"/>
      <c r="BBZ116" s="73"/>
      <c r="BCA116" s="73"/>
      <c r="BCB116" s="73"/>
      <c r="BCC116" s="73"/>
      <c r="BCD116" s="73"/>
      <c r="BCE116" s="73"/>
      <c r="BCF116" s="73"/>
      <c r="BCG116" s="73"/>
      <c r="BCH116" s="73"/>
      <c r="BCI116" s="73"/>
      <c r="BCJ116" s="73"/>
      <c r="BCK116" s="73"/>
      <c r="BCL116" s="73"/>
      <c r="BCM116" s="73"/>
      <c r="BCN116" s="73"/>
      <c r="BCO116" s="73"/>
      <c r="BCP116" s="73"/>
      <c r="BCQ116" s="73"/>
      <c r="BCR116" s="73"/>
      <c r="BCS116" s="73"/>
      <c r="BCT116" s="73"/>
      <c r="BCU116" s="73"/>
      <c r="BCV116" s="73"/>
      <c r="BCW116" s="73"/>
      <c r="BCX116" s="73"/>
      <c r="BCY116" s="73"/>
      <c r="BCZ116" s="73"/>
      <c r="BDA116" s="73"/>
      <c r="BDB116" s="73"/>
      <c r="BDC116" s="73"/>
      <c r="BDD116" s="73"/>
      <c r="BDE116" s="73"/>
      <c r="BDF116" s="73"/>
      <c r="BDG116" s="73"/>
      <c r="BDH116" s="73"/>
      <c r="BDI116" s="73"/>
      <c r="BDJ116" s="73"/>
      <c r="BDK116" s="73"/>
      <c r="BDL116" s="73"/>
      <c r="BDM116" s="73"/>
      <c r="BDN116" s="73"/>
      <c r="BDO116" s="73"/>
      <c r="BDP116" s="73"/>
      <c r="BDQ116" s="73"/>
      <c r="BDR116" s="73"/>
      <c r="BDS116" s="73"/>
      <c r="BDT116" s="73"/>
      <c r="BDU116" s="73"/>
      <c r="BDV116" s="73"/>
      <c r="BDW116" s="73"/>
      <c r="BDX116" s="73"/>
      <c r="BDY116" s="73"/>
      <c r="BDZ116" s="73"/>
      <c r="BEA116" s="73"/>
      <c r="BEB116" s="73"/>
      <c r="BEC116" s="73"/>
      <c r="BED116" s="73"/>
      <c r="BEE116" s="73"/>
      <c r="BEF116" s="73"/>
      <c r="BEG116" s="73"/>
      <c r="BEH116" s="73"/>
      <c r="BEI116" s="73"/>
      <c r="BEJ116" s="73"/>
      <c r="BEK116" s="73"/>
      <c r="BEL116" s="73"/>
      <c r="BEM116" s="73"/>
      <c r="BEN116" s="73"/>
      <c r="BEO116" s="73"/>
      <c r="BEP116" s="73"/>
      <c r="BEQ116" s="73"/>
      <c r="BER116" s="73"/>
      <c r="BES116" s="73"/>
      <c r="BET116" s="73"/>
      <c r="BEU116" s="73"/>
      <c r="BEV116" s="73"/>
      <c r="BEW116" s="73"/>
      <c r="BEX116" s="73"/>
      <c r="BEY116" s="73"/>
      <c r="BEZ116" s="73"/>
      <c r="BFA116" s="73"/>
      <c r="BFB116" s="73"/>
      <c r="BFC116" s="73"/>
      <c r="BFD116" s="73"/>
      <c r="BFE116" s="73"/>
      <c r="BFF116" s="73"/>
      <c r="BFG116" s="73"/>
      <c r="BFH116" s="73"/>
      <c r="BFI116" s="73"/>
      <c r="BFJ116" s="73"/>
      <c r="BFK116" s="73"/>
      <c r="BFL116" s="73"/>
      <c r="BFM116" s="73"/>
      <c r="BFN116" s="73"/>
      <c r="BFO116" s="73"/>
      <c r="BFP116" s="73"/>
      <c r="BFQ116" s="73"/>
      <c r="BFR116" s="73"/>
      <c r="BFS116" s="73"/>
      <c r="BFT116" s="73"/>
      <c r="BFU116" s="73"/>
      <c r="BFV116" s="73"/>
      <c r="BFW116" s="73"/>
      <c r="BFX116" s="73"/>
      <c r="BFY116" s="73"/>
      <c r="BFZ116" s="73"/>
      <c r="BGA116" s="73"/>
      <c r="BGB116" s="73"/>
      <c r="BGC116" s="73"/>
      <c r="BGD116" s="73"/>
      <c r="BGE116" s="73"/>
      <c r="BGF116" s="73"/>
      <c r="BGG116" s="73"/>
      <c r="BGH116" s="73"/>
      <c r="BGI116" s="73"/>
      <c r="BGJ116" s="73"/>
      <c r="BGK116" s="73"/>
      <c r="BGL116" s="73"/>
      <c r="BGM116" s="73"/>
      <c r="BGN116" s="73"/>
      <c r="BGO116" s="73"/>
      <c r="BGP116" s="73"/>
      <c r="BGQ116" s="73"/>
      <c r="BGR116" s="73"/>
      <c r="BGS116" s="73"/>
      <c r="BGT116" s="73"/>
      <c r="BGU116" s="73"/>
      <c r="BGV116" s="73"/>
      <c r="BGW116" s="73"/>
      <c r="BGX116" s="73"/>
      <c r="BGY116" s="73"/>
      <c r="BGZ116" s="73"/>
      <c r="BHA116" s="73"/>
      <c r="BHB116" s="73"/>
      <c r="BHC116" s="73"/>
      <c r="BHD116" s="73"/>
      <c r="BHE116" s="73"/>
      <c r="BHF116" s="73"/>
      <c r="BHG116" s="73"/>
      <c r="BHH116" s="73"/>
      <c r="BHI116" s="73"/>
      <c r="BHJ116" s="73"/>
      <c r="BHK116" s="73"/>
      <c r="BHL116" s="73"/>
      <c r="BHM116" s="73"/>
      <c r="BHN116" s="73"/>
      <c r="BHO116" s="73"/>
      <c r="BHP116" s="73"/>
      <c r="BHQ116" s="73"/>
      <c r="BHR116" s="73"/>
      <c r="BHS116" s="73"/>
      <c r="BHT116" s="73"/>
      <c r="BHU116" s="73"/>
      <c r="BHV116" s="73"/>
      <c r="BHW116" s="73"/>
      <c r="BHX116" s="73"/>
      <c r="BHY116" s="73"/>
      <c r="BHZ116" s="73"/>
      <c r="BIA116" s="73"/>
      <c r="BIB116" s="73"/>
      <c r="BIC116" s="73"/>
      <c r="BID116" s="73"/>
      <c r="BIE116" s="73"/>
      <c r="BIF116" s="73"/>
      <c r="BIG116" s="73"/>
      <c r="BIH116" s="73"/>
      <c r="BII116" s="73"/>
      <c r="BIJ116" s="73"/>
      <c r="BIK116" s="73"/>
      <c r="BIL116" s="73"/>
      <c r="BIM116" s="73"/>
      <c r="BIN116" s="73"/>
      <c r="BIO116" s="73"/>
      <c r="BIP116" s="73"/>
      <c r="BIQ116" s="73"/>
      <c r="BIR116" s="73"/>
      <c r="BIS116" s="73"/>
      <c r="BIT116" s="73"/>
      <c r="BIU116" s="73"/>
      <c r="BIV116" s="73"/>
      <c r="BIW116" s="73"/>
      <c r="BIX116" s="73"/>
      <c r="BIY116" s="73"/>
      <c r="BIZ116" s="73"/>
      <c r="BJA116" s="73"/>
      <c r="BJB116" s="73"/>
      <c r="BJC116" s="73"/>
      <c r="BJD116" s="73"/>
      <c r="BJE116" s="73"/>
      <c r="BJF116" s="73"/>
      <c r="BJG116" s="73"/>
      <c r="BJH116" s="73"/>
      <c r="BJI116" s="73"/>
      <c r="BJJ116" s="73"/>
      <c r="BJK116" s="73"/>
      <c r="BJL116" s="73"/>
      <c r="BJM116" s="73"/>
      <c r="BJN116" s="73"/>
      <c r="BJO116" s="73"/>
      <c r="BJP116" s="73"/>
      <c r="BJQ116" s="73"/>
      <c r="BJR116" s="73"/>
      <c r="BJS116" s="73"/>
      <c r="BJT116" s="73"/>
      <c r="BJU116" s="73"/>
      <c r="BJV116" s="73"/>
      <c r="BJW116" s="73"/>
      <c r="BJX116" s="73"/>
      <c r="BJY116" s="73"/>
      <c r="BJZ116" s="73"/>
      <c r="BKA116" s="73"/>
      <c r="BKB116" s="73"/>
      <c r="BKC116" s="73"/>
      <c r="BKD116" s="73"/>
      <c r="BKE116" s="73"/>
      <c r="BKF116" s="73"/>
      <c r="BKG116" s="73"/>
      <c r="BKH116" s="73"/>
      <c r="BKI116" s="73"/>
      <c r="BKJ116" s="73"/>
      <c r="BKK116" s="73"/>
      <c r="BKL116" s="73"/>
      <c r="BKM116" s="73"/>
      <c r="BKN116" s="73"/>
      <c r="BKO116" s="73"/>
      <c r="BKP116" s="73"/>
      <c r="BKQ116" s="73"/>
      <c r="BKR116" s="73"/>
      <c r="BKS116" s="73"/>
      <c r="BKT116" s="73"/>
      <c r="BKU116" s="73"/>
      <c r="BKV116" s="73"/>
      <c r="BKW116" s="73"/>
      <c r="BKX116" s="73"/>
      <c r="BKY116" s="73"/>
      <c r="BKZ116" s="73"/>
      <c r="BLA116" s="73"/>
      <c r="BLB116" s="73"/>
      <c r="BLC116" s="73"/>
      <c r="BLD116" s="73"/>
      <c r="BLE116" s="73"/>
      <c r="BLF116" s="73"/>
      <c r="BLG116" s="73"/>
      <c r="BLH116" s="73"/>
      <c r="BLI116" s="73"/>
      <c r="BLJ116" s="73"/>
      <c r="BLK116" s="73"/>
      <c r="BLL116" s="73"/>
      <c r="BLM116" s="73"/>
      <c r="BLN116" s="73"/>
      <c r="BLO116" s="73"/>
      <c r="BLP116" s="73"/>
      <c r="BLQ116" s="73"/>
      <c r="BLR116" s="73"/>
      <c r="BLS116" s="73"/>
      <c r="BLT116" s="73"/>
      <c r="BLU116" s="73"/>
      <c r="BLV116" s="73"/>
      <c r="BLW116" s="73"/>
      <c r="BLX116" s="73"/>
      <c r="BLY116" s="73"/>
      <c r="BLZ116" s="73"/>
      <c r="BMA116" s="73"/>
      <c r="BMB116" s="73"/>
      <c r="BMC116" s="73"/>
      <c r="BMD116" s="73"/>
      <c r="BME116" s="73"/>
      <c r="BMF116" s="73"/>
      <c r="BMG116" s="73"/>
      <c r="BMH116" s="73"/>
      <c r="BMI116" s="73"/>
      <c r="BMJ116" s="73"/>
      <c r="BMK116" s="73"/>
      <c r="BML116" s="73"/>
      <c r="BMM116" s="73"/>
      <c r="BMN116" s="73"/>
      <c r="BMO116" s="73"/>
      <c r="BMP116" s="73"/>
      <c r="BMQ116" s="73"/>
      <c r="BMR116" s="73"/>
      <c r="BMS116" s="73"/>
      <c r="BMT116" s="73"/>
      <c r="BMU116" s="73"/>
      <c r="BMV116" s="73"/>
      <c r="BMW116" s="73"/>
      <c r="BMX116" s="73"/>
      <c r="BMY116" s="73"/>
      <c r="BMZ116" s="73"/>
      <c r="BNA116" s="73"/>
      <c r="BNB116" s="73"/>
      <c r="BNC116" s="73"/>
      <c r="BND116" s="73"/>
      <c r="BNE116" s="73"/>
      <c r="BNF116" s="73"/>
      <c r="BNG116" s="73"/>
      <c r="BNH116" s="73"/>
      <c r="BNI116" s="73"/>
      <c r="BNJ116" s="73"/>
      <c r="BNK116" s="73"/>
      <c r="BNL116" s="73"/>
      <c r="BNM116" s="73"/>
      <c r="BNN116" s="73"/>
      <c r="BNO116" s="73"/>
      <c r="BNP116" s="73"/>
      <c r="BNQ116" s="73"/>
      <c r="BNR116" s="73"/>
      <c r="BNS116" s="73"/>
      <c r="BNT116" s="73"/>
      <c r="BNU116" s="73"/>
      <c r="BNV116" s="73"/>
      <c r="BNW116" s="73"/>
      <c r="BNX116" s="73"/>
      <c r="BNY116" s="73"/>
      <c r="BNZ116" s="73"/>
      <c r="BOA116" s="73"/>
      <c r="BOB116" s="73"/>
      <c r="BOC116" s="73"/>
      <c r="BOD116" s="73"/>
      <c r="BOE116" s="73"/>
      <c r="BOF116" s="73"/>
      <c r="BOG116" s="73"/>
      <c r="BOH116" s="73"/>
      <c r="BOI116" s="73"/>
      <c r="BOJ116" s="73"/>
      <c r="BOK116" s="73"/>
      <c r="BOL116" s="73"/>
      <c r="BOM116" s="73"/>
      <c r="BON116" s="73"/>
      <c r="BOO116" s="73"/>
      <c r="BOP116" s="73"/>
      <c r="BOQ116" s="73"/>
      <c r="BOR116" s="73"/>
      <c r="BOS116" s="73"/>
      <c r="BOT116" s="73"/>
      <c r="BOU116" s="73"/>
      <c r="BOV116" s="73"/>
      <c r="BOW116" s="73"/>
      <c r="BOX116" s="73"/>
      <c r="BOY116" s="73"/>
      <c r="BOZ116" s="73"/>
      <c r="BPA116" s="73"/>
      <c r="BPB116" s="73"/>
      <c r="BPC116" s="73"/>
      <c r="BPD116" s="73"/>
      <c r="BPE116" s="73"/>
      <c r="BPF116" s="73"/>
      <c r="BPG116" s="73"/>
      <c r="BPH116" s="73"/>
      <c r="BPI116" s="73"/>
      <c r="BPJ116" s="73"/>
      <c r="BPK116" s="73"/>
      <c r="BPL116" s="73"/>
      <c r="BPM116" s="73"/>
      <c r="BPN116" s="73"/>
      <c r="BPO116" s="73"/>
      <c r="BPP116" s="73"/>
      <c r="BPQ116" s="73"/>
      <c r="BPR116" s="73"/>
      <c r="BPS116" s="73"/>
      <c r="BPT116" s="73"/>
      <c r="BPU116" s="73"/>
      <c r="BPV116" s="73"/>
      <c r="BPW116" s="73"/>
      <c r="BPX116" s="73"/>
      <c r="BPY116" s="73"/>
      <c r="BPZ116" s="73"/>
      <c r="BQA116" s="73"/>
      <c r="BQB116" s="73"/>
      <c r="BQC116" s="73"/>
      <c r="BQD116" s="73"/>
      <c r="BQE116" s="73"/>
      <c r="BQF116" s="73"/>
      <c r="BQG116" s="73"/>
      <c r="BQH116" s="73"/>
      <c r="BQI116" s="73"/>
      <c r="BQJ116" s="73"/>
      <c r="BQK116" s="73"/>
      <c r="BQL116" s="73"/>
      <c r="BQM116" s="73"/>
      <c r="BQN116" s="73"/>
      <c r="BQO116" s="73"/>
      <c r="BQP116" s="73"/>
      <c r="BQQ116" s="73"/>
      <c r="BQR116" s="73"/>
      <c r="BQS116" s="73"/>
      <c r="BQT116" s="73"/>
      <c r="BQU116" s="73"/>
      <c r="BQV116" s="73"/>
      <c r="BQW116" s="73"/>
      <c r="BQX116" s="73"/>
      <c r="BQY116" s="73"/>
      <c r="BQZ116" s="73"/>
      <c r="BRA116" s="73"/>
      <c r="BRB116" s="73"/>
      <c r="BRC116" s="73"/>
      <c r="BRD116" s="73"/>
      <c r="BRE116" s="73"/>
      <c r="BRF116" s="73"/>
      <c r="BRG116" s="73"/>
      <c r="BRH116" s="73"/>
      <c r="BRI116" s="73"/>
      <c r="BRJ116" s="73"/>
      <c r="BRK116" s="73"/>
      <c r="BRL116" s="73"/>
      <c r="BRM116" s="73"/>
      <c r="BRN116" s="73"/>
      <c r="BRO116" s="73"/>
      <c r="BRP116" s="73"/>
      <c r="BRQ116" s="73"/>
      <c r="BRR116" s="73"/>
      <c r="BRS116" s="73"/>
      <c r="BRT116" s="73"/>
      <c r="BRU116" s="73"/>
      <c r="BRV116" s="73"/>
      <c r="BRW116" s="73"/>
      <c r="BRX116" s="73"/>
      <c r="BRY116" s="73"/>
      <c r="BRZ116" s="73"/>
      <c r="BSA116" s="73"/>
      <c r="BSB116" s="73"/>
      <c r="BSC116" s="73"/>
      <c r="BSD116" s="73"/>
      <c r="BSE116" s="73"/>
      <c r="BSF116" s="73"/>
      <c r="BSG116" s="73"/>
      <c r="BSH116" s="73"/>
      <c r="BSI116" s="73"/>
      <c r="BSJ116" s="73"/>
      <c r="BSK116" s="73"/>
      <c r="BSL116" s="73"/>
      <c r="BSM116" s="73"/>
      <c r="BSN116" s="73"/>
      <c r="BSO116" s="73"/>
      <c r="BSP116" s="73"/>
      <c r="BSQ116" s="73"/>
      <c r="BSR116" s="73"/>
      <c r="BSS116" s="73"/>
      <c r="BST116" s="73"/>
      <c r="BSU116" s="73"/>
      <c r="BSV116" s="73"/>
      <c r="BSW116" s="73"/>
      <c r="BSX116" s="73"/>
      <c r="BSY116" s="73"/>
      <c r="BSZ116" s="73"/>
      <c r="BTA116" s="73"/>
      <c r="BTB116" s="73"/>
      <c r="BTC116" s="73"/>
      <c r="BTD116" s="73"/>
      <c r="BTE116" s="73"/>
      <c r="BTF116" s="73"/>
      <c r="BTG116" s="73"/>
      <c r="BTH116" s="73"/>
      <c r="BTI116" s="73"/>
      <c r="BTJ116" s="73"/>
      <c r="BTK116" s="73"/>
      <c r="BTL116" s="73"/>
      <c r="BTM116" s="73"/>
      <c r="BTN116" s="73"/>
      <c r="BTO116" s="73"/>
      <c r="BTP116" s="73"/>
      <c r="BTQ116" s="73"/>
      <c r="BTR116" s="73"/>
      <c r="BTS116" s="73"/>
      <c r="BTT116" s="73"/>
      <c r="BTU116" s="73"/>
      <c r="BTV116" s="73"/>
      <c r="BTW116" s="73"/>
      <c r="BTX116" s="73"/>
      <c r="BTY116" s="73"/>
      <c r="BTZ116" s="73"/>
      <c r="BUA116" s="73"/>
      <c r="BUB116" s="73"/>
      <c r="BUC116" s="73"/>
      <c r="BUD116" s="73"/>
      <c r="BUE116" s="73"/>
      <c r="BUF116" s="73"/>
      <c r="BUG116" s="73"/>
      <c r="BUH116" s="73"/>
      <c r="BUI116" s="73"/>
      <c r="BUJ116" s="73"/>
      <c r="BUK116" s="73"/>
      <c r="BUL116" s="73"/>
      <c r="BUM116" s="73"/>
      <c r="BUN116" s="73"/>
      <c r="BUO116" s="73"/>
      <c r="BUP116" s="73"/>
      <c r="BUQ116" s="73"/>
      <c r="BUR116" s="73"/>
      <c r="BUS116" s="73"/>
      <c r="BUT116" s="73"/>
      <c r="BUU116" s="73"/>
      <c r="BUV116" s="73"/>
      <c r="BUW116" s="73"/>
      <c r="BUX116" s="73"/>
      <c r="BUY116" s="73"/>
      <c r="BUZ116" s="73"/>
      <c r="BVA116" s="73"/>
      <c r="BVB116" s="73"/>
      <c r="BVC116" s="73"/>
      <c r="BVD116" s="73"/>
      <c r="BVE116" s="73"/>
      <c r="BVF116" s="73"/>
      <c r="BVG116" s="73"/>
      <c r="BVH116" s="73"/>
      <c r="BVI116" s="73"/>
      <c r="BVJ116" s="73"/>
      <c r="BVK116" s="73"/>
      <c r="BVL116" s="73"/>
      <c r="BVM116" s="73"/>
      <c r="BVN116" s="73"/>
      <c r="BVO116" s="73"/>
      <c r="BVP116" s="73"/>
      <c r="BVQ116" s="73"/>
      <c r="BVR116" s="73"/>
      <c r="BVS116" s="73"/>
      <c r="BVT116" s="73"/>
      <c r="BVU116" s="73"/>
      <c r="BVV116" s="73"/>
      <c r="BVW116" s="73"/>
      <c r="BVX116" s="73"/>
      <c r="BVY116" s="73"/>
      <c r="BVZ116" s="73"/>
      <c r="BWA116" s="73"/>
      <c r="BWB116" s="73"/>
      <c r="BWC116" s="73"/>
      <c r="BWD116" s="73"/>
      <c r="BWE116" s="73"/>
      <c r="BWF116" s="73"/>
      <c r="BWG116" s="73"/>
      <c r="BWH116" s="73"/>
      <c r="BWI116" s="73"/>
      <c r="BWJ116" s="73"/>
      <c r="BWK116" s="73"/>
      <c r="BWL116" s="73"/>
      <c r="BWM116" s="73"/>
      <c r="BWN116" s="73"/>
      <c r="BWO116" s="73"/>
      <c r="BWP116" s="73"/>
      <c r="BWQ116" s="73"/>
      <c r="BWR116" s="73"/>
      <c r="BWS116" s="73"/>
      <c r="BWT116" s="73"/>
      <c r="BWU116" s="73"/>
      <c r="BWV116" s="73"/>
      <c r="BWW116" s="73"/>
      <c r="BWX116" s="73"/>
      <c r="BWY116" s="73"/>
      <c r="BWZ116" s="73"/>
      <c r="BXA116" s="73"/>
      <c r="BXB116" s="73"/>
      <c r="BXC116" s="73"/>
      <c r="BXD116" s="73"/>
      <c r="BXE116" s="73"/>
      <c r="BXF116" s="73"/>
      <c r="BXG116" s="73"/>
      <c r="BXH116" s="73"/>
      <c r="BXI116" s="73"/>
      <c r="BXJ116" s="73"/>
      <c r="BXK116" s="73"/>
      <c r="BXL116" s="73"/>
      <c r="BXM116" s="73"/>
      <c r="BXN116" s="73"/>
      <c r="BXO116" s="73"/>
      <c r="BXP116" s="73"/>
      <c r="BXQ116" s="73"/>
      <c r="BXR116" s="73"/>
      <c r="BXS116" s="73"/>
      <c r="BXT116" s="73"/>
      <c r="BXU116" s="73"/>
      <c r="BXV116" s="73"/>
      <c r="BXW116" s="73"/>
      <c r="BXX116" s="73"/>
      <c r="BXY116" s="73"/>
      <c r="BXZ116" s="73"/>
      <c r="BYA116" s="73"/>
      <c r="BYB116" s="73"/>
      <c r="BYC116" s="73"/>
      <c r="BYD116" s="73"/>
      <c r="BYE116" s="73"/>
      <c r="BYF116" s="73"/>
      <c r="BYG116" s="73"/>
      <c r="BYH116" s="73"/>
      <c r="BYI116" s="73"/>
      <c r="BYJ116" s="73"/>
      <c r="BYK116" s="73"/>
      <c r="BYL116" s="73"/>
      <c r="BYM116" s="73"/>
      <c r="BYN116" s="73"/>
      <c r="BYO116" s="73"/>
      <c r="BYP116" s="73"/>
      <c r="BYQ116" s="73"/>
      <c r="BYR116" s="73"/>
      <c r="BYS116" s="73"/>
      <c r="BYT116" s="73"/>
      <c r="BYU116" s="73"/>
      <c r="BYV116" s="73"/>
      <c r="BYW116" s="73"/>
      <c r="BYX116" s="73"/>
      <c r="BYY116" s="73"/>
      <c r="BYZ116" s="73"/>
      <c r="BZA116" s="73"/>
      <c r="BZB116" s="73"/>
      <c r="BZC116" s="73"/>
      <c r="BZD116" s="73"/>
      <c r="BZE116" s="73"/>
      <c r="BZF116" s="73"/>
      <c r="BZG116" s="73"/>
      <c r="BZH116" s="73"/>
      <c r="BZI116" s="73"/>
      <c r="BZJ116" s="73"/>
      <c r="BZK116" s="73"/>
      <c r="BZL116" s="73"/>
      <c r="BZM116" s="73"/>
      <c r="BZN116" s="73"/>
      <c r="BZO116" s="73"/>
      <c r="BZP116" s="73"/>
      <c r="BZQ116" s="73"/>
      <c r="BZR116" s="73"/>
      <c r="BZS116" s="73"/>
      <c r="BZT116" s="73"/>
      <c r="BZU116" s="73"/>
      <c r="BZV116" s="73"/>
      <c r="BZW116" s="73"/>
      <c r="BZX116" s="73"/>
      <c r="BZY116" s="73"/>
      <c r="BZZ116" s="73"/>
      <c r="CAA116" s="73"/>
      <c r="CAB116" s="73"/>
      <c r="CAC116" s="73"/>
      <c r="CAD116" s="73"/>
      <c r="CAE116" s="73"/>
      <c r="CAF116" s="73"/>
      <c r="CAG116" s="73"/>
      <c r="CAH116" s="73"/>
      <c r="CAI116" s="73"/>
      <c r="CAJ116" s="73"/>
      <c r="CAK116" s="73"/>
      <c r="CAL116" s="73"/>
      <c r="CAM116" s="73"/>
      <c r="CAN116" s="73"/>
      <c r="CAO116" s="73"/>
      <c r="CAP116" s="73"/>
      <c r="CAQ116" s="73"/>
      <c r="CAR116" s="73"/>
      <c r="CAS116" s="73"/>
      <c r="CAT116" s="73"/>
      <c r="CAU116" s="73"/>
      <c r="CAV116" s="73"/>
      <c r="CAW116" s="73"/>
      <c r="CAX116" s="73"/>
      <c r="CAY116" s="73"/>
      <c r="CAZ116" s="73"/>
      <c r="CBA116" s="73"/>
      <c r="CBB116" s="73"/>
      <c r="CBC116" s="73"/>
      <c r="CBD116" s="73"/>
      <c r="CBE116" s="73"/>
      <c r="CBF116" s="73"/>
      <c r="CBG116" s="73"/>
      <c r="CBH116" s="73"/>
      <c r="CBI116" s="73"/>
      <c r="CBJ116" s="73"/>
      <c r="CBK116" s="73"/>
      <c r="CBL116" s="73"/>
      <c r="CBM116" s="73"/>
      <c r="CBN116" s="73"/>
      <c r="CBO116" s="73"/>
      <c r="CBP116" s="73"/>
      <c r="CBQ116" s="73"/>
      <c r="CBR116" s="73"/>
      <c r="CBS116" s="73"/>
      <c r="CBT116" s="73"/>
      <c r="CBU116" s="73"/>
      <c r="CBV116" s="73"/>
      <c r="CBW116" s="73"/>
      <c r="CBX116" s="73"/>
      <c r="CBY116" s="73"/>
      <c r="CBZ116" s="73"/>
      <c r="CCA116" s="73"/>
      <c r="CCB116" s="73"/>
      <c r="CCC116" s="73"/>
      <c r="CCD116" s="73"/>
      <c r="CCE116" s="73"/>
      <c r="CCF116" s="73"/>
      <c r="CCG116" s="73"/>
      <c r="CCH116" s="73"/>
      <c r="CCI116" s="73"/>
      <c r="CCJ116" s="73"/>
      <c r="CCK116" s="73"/>
      <c r="CCL116" s="73"/>
      <c r="CCM116" s="73"/>
      <c r="CCN116" s="73"/>
      <c r="CCO116" s="73"/>
      <c r="CCP116" s="73"/>
      <c r="CCQ116" s="73"/>
      <c r="CCR116" s="73"/>
      <c r="CCS116" s="73"/>
      <c r="CCT116" s="73"/>
      <c r="CCU116" s="73"/>
      <c r="CCV116" s="73"/>
      <c r="CCW116" s="73"/>
      <c r="CCX116" s="73"/>
      <c r="CCY116" s="73"/>
      <c r="CCZ116" s="73"/>
      <c r="CDA116" s="73"/>
      <c r="CDB116" s="73"/>
      <c r="CDC116" s="73"/>
      <c r="CDD116" s="73"/>
      <c r="CDE116" s="73"/>
      <c r="CDF116" s="73"/>
      <c r="CDG116" s="73"/>
      <c r="CDH116" s="73"/>
      <c r="CDI116" s="73"/>
      <c r="CDJ116" s="73"/>
      <c r="CDK116" s="73"/>
      <c r="CDL116" s="73"/>
      <c r="CDM116" s="73"/>
      <c r="CDN116" s="73"/>
      <c r="CDO116" s="73"/>
      <c r="CDP116" s="73"/>
      <c r="CDQ116" s="73"/>
      <c r="CDR116" s="73"/>
      <c r="CDS116" s="73"/>
      <c r="CDT116" s="73"/>
      <c r="CDU116" s="73"/>
      <c r="CDV116" s="73"/>
      <c r="CDW116" s="73"/>
      <c r="CDX116" s="73"/>
      <c r="CDY116" s="73"/>
      <c r="CDZ116" s="73"/>
      <c r="CEA116" s="73"/>
      <c r="CEB116" s="73"/>
      <c r="CEC116" s="73"/>
      <c r="CED116" s="73"/>
      <c r="CEE116" s="73"/>
      <c r="CEF116" s="73"/>
      <c r="CEG116" s="73"/>
      <c r="CEH116" s="73"/>
      <c r="CEI116" s="73"/>
      <c r="CEJ116" s="73"/>
      <c r="CEK116" s="73"/>
      <c r="CEL116" s="73"/>
      <c r="CEM116" s="73"/>
      <c r="CEN116" s="73"/>
      <c r="CEO116" s="73"/>
      <c r="CEP116" s="73"/>
      <c r="CEQ116" s="73"/>
      <c r="CER116" s="73"/>
      <c r="CES116" s="73"/>
      <c r="CET116" s="73"/>
      <c r="CEU116" s="73"/>
      <c r="CEV116" s="73"/>
      <c r="CEW116" s="73"/>
      <c r="CEX116" s="73"/>
      <c r="CEY116" s="73"/>
      <c r="CEZ116" s="73"/>
      <c r="CFA116" s="73"/>
      <c r="CFB116" s="73"/>
      <c r="CFC116" s="73"/>
      <c r="CFD116" s="73"/>
      <c r="CFE116" s="73"/>
      <c r="CFF116" s="73"/>
      <c r="CFG116" s="73"/>
      <c r="CFH116" s="73"/>
      <c r="CFI116" s="73"/>
      <c r="CFJ116" s="73"/>
      <c r="CFK116" s="73"/>
      <c r="CFL116" s="73"/>
      <c r="CFM116" s="73"/>
      <c r="CFN116" s="73"/>
      <c r="CFO116" s="73"/>
      <c r="CFP116" s="73"/>
      <c r="CFQ116" s="73"/>
      <c r="CFR116" s="73"/>
      <c r="CFS116" s="73"/>
      <c r="CFT116" s="73"/>
      <c r="CFU116" s="73"/>
      <c r="CFV116" s="73"/>
      <c r="CFW116" s="73"/>
      <c r="CFX116" s="73"/>
      <c r="CFY116" s="73"/>
      <c r="CFZ116" s="73"/>
      <c r="CGA116" s="73"/>
      <c r="CGB116" s="73"/>
      <c r="CGC116" s="73"/>
      <c r="CGD116" s="73"/>
      <c r="CGE116" s="73"/>
      <c r="CGF116" s="73"/>
      <c r="CGG116" s="73"/>
      <c r="CGH116" s="73"/>
      <c r="CGI116" s="73"/>
      <c r="CGJ116" s="73"/>
      <c r="CGK116" s="73"/>
      <c r="CGL116" s="73"/>
      <c r="CGM116" s="73"/>
      <c r="CGN116" s="73"/>
      <c r="CGO116" s="73"/>
      <c r="CGP116" s="73"/>
      <c r="CGQ116" s="73"/>
      <c r="CGR116" s="73"/>
      <c r="CGS116" s="73"/>
      <c r="CGT116" s="73"/>
      <c r="CGU116" s="73"/>
      <c r="CGV116" s="73"/>
      <c r="CGW116" s="73"/>
      <c r="CGX116" s="73"/>
      <c r="CGY116" s="73"/>
      <c r="CGZ116" s="73"/>
      <c r="CHA116" s="73"/>
      <c r="CHB116" s="73"/>
      <c r="CHC116" s="73"/>
      <c r="CHD116" s="73"/>
      <c r="CHE116" s="73"/>
      <c r="CHF116" s="73"/>
      <c r="CHG116" s="73"/>
      <c r="CHH116" s="73"/>
      <c r="CHI116" s="73"/>
      <c r="CHJ116" s="73"/>
      <c r="CHK116" s="73"/>
      <c r="CHL116" s="73"/>
      <c r="CHM116" s="73"/>
      <c r="CHN116" s="73"/>
      <c r="CHO116" s="73"/>
      <c r="CHP116" s="73"/>
      <c r="CHQ116" s="73"/>
      <c r="CHR116" s="73"/>
      <c r="CHS116" s="73"/>
      <c r="CHT116" s="73"/>
      <c r="CHU116" s="73"/>
      <c r="CHV116" s="73"/>
      <c r="CHW116" s="73"/>
      <c r="CHX116" s="73"/>
      <c r="CHY116" s="73"/>
      <c r="CHZ116" s="73"/>
      <c r="CIA116" s="73"/>
      <c r="CIB116" s="73"/>
      <c r="CIC116" s="73"/>
      <c r="CID116" s="73"/>
      <c r="CIE116" s="73"/>
      <c r="CIF116" s="73"/>
      <c r="CIG116" s="73"/>
      <c r="CIH116" s="73"/>
      <c r="CII116" s="73"/>
      <c r="CIJ116" s="73"/>
      <c r="CIK116" s="73"/>
      <c r="CIL116" s="73"/>
      <c r="CIM116" s="73"/>
      <c r="CIN116" s="73"/>
      <c r="CIO116" s="73"/>
      <c r="CIP116" s="73"/>
      <c r="CIQ116" s="73"/>
      <c r="CIR116" s="73"/>
      <c r="CIS116" s="73"/>
      <c r="CIT116" s="73"/>
      <c r="CIU116" s="73"/>
      <c r="CIV116" s="73"/>
      <c r="CIW116" s="73"/>
      <c r="CIX116" s="73"/>
      <c r="CIY116" s="73"/>
      <c r="CIZ116" s="73"/>
      <c r="CJA116" s="73"/>
      <c r="CJB116" s="73"/>
      <c r="CJC116" s="73"/>
      <c r="CJD116" s="73"/>
      <c r="CJE116" s="73"/>
      <c r="CJF116" s="73"/>
      <c r="CJG116" s="73"/>
      <c r="CJH116" s="73"/>
      <c r="CJI116" s="73"/>
      <c r="CJJ116" s="73"/>
      <c r="CJK116" s="73"/>
      <c r="CJL116" s="73"/>
      <c r="CJM116" s="73"/>
      <c r="CJN116" s="73"/>
      <c r="CJO116" s="73"/>
      <c r="CJP116" s="73"/>
      <c r="CJQ116" s="73"/>
      <c r="CJR116" s="73"/>
      <c r="CJS116" s="73"/>
      <c r="CJT116" s="73"/>
      <c r="CJU116" s="73"/>
      <c r="CJV116" s="73"/>
      <c r="CJW116" s="73"/>
      <c r="CJX116" s="73"/>
      <c r="CJY116" s="73"/>
      <c r="CJZ116" s="73"/>
      <c r="CKA116" s="73"/>
      <c r="CKB116" s="73"/>
      <c r="CKC116" s="73"/>
      <c r="CKD116" s="73"/>
      <c r="CKE116" s="73"/>
      <c r="CKF116" s="73"/>
      <c r="CKG116" s="73"/>
      <c r="CKH116" s="73"/>
      <c r="CKI116" s="73"/>
      <c r="CKJ116" s="73"/>
      <c r="CKK116" s="73"/>
      <c r="CKL116" s="73"/>
      <c r="CKM116" s="73"/>
      <c r="CKN116" s="73"/>
      <c r="CKO116" s="73"/>
      <c r="CKP116" s="73"/>
      <c r="CKQ116" s="73"/>
      <c r="CKR116" s="73"/>
      <c r="CKS116" s="73"/>
      <c r="CKT116" s="73"/>
      <c r="CKU116" s="73"/>
      <c r="CKV116" s="73"/>
      <c r="CKW116" s="73"/>
      <c r="CKX116" s="73"/>
      <c r="CKY116" s="73"/>
      <c r="CKZ116" s="73"/>
      <c r="CLA116" s="73"/>
      <c r="CLB116" s="73"/>
      <c r="CLC116" s="73"/>
      <c r="CLD116" s="73"/>
      <c r="CLE116" s="73"/>
      <c r="CLF116" s="73"/>
      <c r="CLG116" s="73"/>
      <c r="CLH116" s="73"/>
      <c r="CLI116" s="73"/>
      <c r="CLJ116" s="73"/>
      <c r="CLK116" s="73"/>
      <c r="CLL116" s="73"/>
      <c r="CLM116" s="73"/>
      <c r="CLN116" s="73"/>
      <c r="CLO116" s="73"/>
      <c r="CLP116" s="73"/>
      <c r="CLQ116" s="73"/>
      <c r="CLR116" s="73"/>
      <c r="CLS116" s="73"/>
      <c r="CLT116" s="73"/>
      <c r="CLU116" s="73"/>
      <c r="CLV116" s="73"/>
      <c r="CLW116" s="73"/>
      <c r="CLX116" s="73"/>
      <c r="CLY116" s="73"/>
      <c r="CLZ116" s="73"/>
      <c r="CMA116" s="73"/>
      <c r="CMB116" s="73"/>
      <c r="CMC116" s="73"/>
      <c r="CMD116" s="73"/>
      <c r="CME116" s="73"/>
      <c r="CMF116" s="73"/>
      <c r="CMG116" s="73"/>
      <c r="CMH116" s="73"/>
      <c r="CMI116" s="73"/>
      <c r="CMJ116" s="73"/>
      <c r="CMK116" s="73"/>
      <c r="CML116" s="73"/>
      <c r="CMM116" s="73"/>
      <c r="CMN116" s="73"/>
      <c r="CMO116" s="73"/>
      <c r="CMP116" s="73"/>
      <c r="CMQ116" s="73"/>
      <c r="CMR116" s="73"/>
      <c r="CMS116" s="73"/>
      <c r="CMT116" s="73"/>
      <c r="CMU116" s="73"/>
      <c r="CMV116" s="73"/>
      <c r="CMW116" s="73"/>
      <c r="CMX116" s="73"/>
      <c r="CMY116" s="73"/>
      <c r="CMZ116" s="73"/>
      <c r="CNA116" s="73"/>
      <c r="CNB116" s="73"/>
      <c r="CNC116" s="73"/>
      <c r="CND116" s="73"/>
      <c r="CNE116" s="73"/>
      <c r="CNF116" s="73"/>
      <c r="CNG116" s="73"/>
      <c r="CNH116" s="73"/>
      <c r="CNI116" s="73"/>
      <c r="CNJ116" s="73"/>
      <c r="CNK116" s="73"/>
      <c r="CNL116" s="73"/>
      <c r="CNM116" s="73"/>
      <c r="CNN116" s="73"/>
      <c r="CNO116" s="73"/>
      <c r="CNP116" s="73"/>
      <c r="CNQ116" s="73"/>
      <c r="CNR116" s="73"/>
      <c r="CNS116" s="73"/>
      <c r="CNT116" s="73"/>
      <c r="CNU116" s="73"/>
      <c r="CNV116" s="73"/>
      <c r="CNW116" s="73"/>
      <c r="CNX116" s="73"/>
      <c r="CNY116" s="73"/>
      <c r="CNZ116" s="73"/>
      <c r="COA116" s="73"/>
      <c r="COB116" s="73"/>
      <c r="COC116" s="73"/>
      <c r="COD116" s="73"/>
      <c r="COE116" s="73"/>
      <c r="COF116" s="73"/>
      <c r="COG116" s="73"/>
      <c r="COH116" s="73"/>
      <c r="COI116" s="73"/>
      <c r="COJ116" s="73"/>
      <c r="COK116" s="73"/>
      <c r="COL116" s="73"/>
      <c r="COM116" s="73"/>
      <c r="CON116" s="73"/>
      <c r="COO116" s="73"/>
      <c r="COP116" s="73"/>
      <c r="COQ116" s="73"/>
      <c r="COR116" s="73"/>
      <c r="COS116" s="73"/>
      <c r="COT116" s="73"/>
      <c r="COU116" s="73"/>
      <c r="COV116" s="73"/>
      <c r="COW116" s="73"/>
      <c r="COX116" s="73"/>
      <c r="COY116" s="73"/>
      <c r="COZ116" s="73"/>
      <c r="CPA116" s="73"/>
      <c r="CPB116" s="73"/>
      <c r="CPC116" s="73"/>
      <c r="CPD116" s="73"/>
      <c r="CPE116" s="73"/>
      <c r="CPF116" s="73"/>
      <c r="CPG116" s="73"/>
      <c r="CPH116" s="73"/>
      <c r="CPI116" s="73"/>
      <c r="CPJ116" s="73"/>
      <c r="CPK116" s="73"/>
      <c r="CPL116" s="73"/>
      <c r="CPM116" s="73"/>
      <c r="CPN116" s="73"/>
      <c r="CPO116" s="73"/>
      <c r="CPP116" s="73"/>
      <c r="CPQ116" s="73"/>
      <c r="CPR116" s="73"/>
      <c r="CPS116" s="73"/>
      <c r="CPT116" s="73"/>
      <c r="CPU116" s="73"/>
      <c r="CPV116" s="73"/>
      <c r="CPW116" s="73"/>
      <c r="CPX116" s="73"/>
      <c r="CPY116" s="73"/>
      <c r="CPZ116" s="73"/>
      <c r="CQA116" s="73"/>
      <c r="CQB116" s="73"/>
      <c r="CQC116" s="73"/>
      <c r="CQD116" s="73"/>
      <c r="CQE116" s="73"/>
      <c r="CQF116" s="73"/>
      <c r="CQG116" s="73"/>
      <c r="CQH116" s="73"/>
      <c r="CQI116" s="73"/>
      <c r="CQJ116" s="73"/>
      <c r="CQK116" s="73"/>
      <c r="CQL116" s="73"/>
      <c r="CQM116" s="73"/>
      <c r="CQN116" s="73"/>
      <c r="CQO116" s="73"/>
      <c r="CQP116" s="73"/>
      <c r="CQQ116" s="73"/>
      <c r="CQR116" s="73"/>
      <c r="CQS116" s="73"/>
      <c r="CQT116" s="73"/>
      <c r="CQU116" s="73"/>
      <c r="CQV116" s="73"/>
      <c r="CQW116" s="73"/>
      <c r="CQX116" s="73"/>
      <c r="CQY116" s="73"/>
      <c r="CQZ116" s="73"/>
      <c r="CRA116" s="73"/>
      <c r="CRB116" s="73"/>
      <c r="CRC116" s="73"/>
      <c r="CRD116" s="73"/>
      <c r="CRE116" s="73"/>
      <c r="CRF116" s="73"/>
      <c r="CRG116" s="73"/>
      <c r="CRH116" s="73"/>
      <c r="CRI116" s="73"/>
      <c r="CRJ116" s="73"/>
      <c r="CRK116" s="73"/>
      <c r="CRL116" s="73"/>
      <c r="CRM116" s="73"/>
      <c r="CRN116" s="73"/>
      <c r="CRO116" s="73"/>
      <c r="CRP116" s="73"/>
      <c r="CRQ116" s="73"/>
      <c r="CRR116" s="73"/>
      <c r="CRS116" s="73"/>
      <c r="CRT116" s="73"/>
      <c r="CRU116" s="73"/>
      <c r="CRV116" s="73"/>
      <c r="CRW116" s="73"/>
      <c r="CRX116" s="73"/>
      <c r="CRY116" s="73"/>
      <c r="CRZ116" s="73"/>
      <c r="CSA116" s="73"/>
      <c r="CSB116" s="73"/>
      <c r="CSC116" s="73"/>
      <c r="CSD116" s="73"/>
      <c r="CSE116" s="73"/>
      <c r="CSF116" s="73"/>
      <c r="CSG116" s="73"/>
      <c r="CSH116" s="73"/>
      <c r="CSI116" s="73"/>
      <c r="CSJ116" s="73"/>
      <c r="CSK116" s="73"/>
      <c r="CSL116" s="73"/>
      <c r="CSM116" s="73"/>
      <c r="CSN116" s="73"/>
      <c r="CSO116" s="73"/>
      <c r="CSP116" s="73"/>
      <c r="CSQ116" s="73"/>
      <c r="CSR116" s="73"/>
      <c r="CSS116" s="73"/>
      <c r="CST116" s="73"/>
      <c r="CSU116" s="73"/>
      <c r="CSV116" s="73"/>
      <c r="CSW116" s="73"/>
      <c r="CSX116" s="73"/>
      <c r="CSY116" s="73"/>
      <c r="CSZ116" s="73"/>
      <c r="CTA116" s="73"/>
      <c r="CTB116" s="73"/>
      <c r="CTC116" s="73"/>
      <c r="CTD116" s="73"/>
      <c r="CTE116" s="73"/>
      <c r="CTF116" s="73"/>
      <c r="CTG116" s="73"/>
      <c r="CTH116" s="73"/>
      <c r="CTI116" s="73"/>
      <c r="CTJ116" s="73"/>
      <c r="CTK116" s="73"/>
      <c r="CTL116" s="73"/>
      <c r="CTM116" s="73"/>
      <c r="CTN116" s="73"/>
      <c r="CTO116" s="73"/>
      <c r="CTP116" s="73"/>
      <c r="CTQ116" s="73"/>
      <c r="CTR116" s="73"/>
      <c r="CTS116" s="73"/>
      <c r="CTT116" s="73"/>
      <c r="CTU116" s="73"/>
      <c r="CTV116" s="73"/>
      <c r="CTW116" s="73"/>
      <c r="CTX116" s="73"/>
      <c r="CTY116" s="73"/>
      <c r="CTZ116" s="73"/>
      <c r="CUA116" s="73"/>
      <c r="CUB116" s="73"/>
      <c r="CUC116" s="73"/>
      <c r="CUD116" s="73"/>
      <c r="CUE116" s="73"/>
      <c r="CUF116" s="73"/>
      <c r="CUG116" s="73"/>
      <c r="CUH116" s="73"/>
      <c r="CUI116" s="73"/>
      <c r="CUJ116" s="73"/>
      <c r="CUK116" s="73"/>
      <c r="CUL116" s="73"/>
      <c r="CUM116" s="73"/>
      <c r="CUN116" s="73"/>
      <c r="CUO116" s="73"/>
      <c r="CUP116" s="73"/>
      <c r="CUQ116" s="73"/>
      <c r="CUR116" s="73"/>
      <c r="CUS116" s="73"/>
      <c r="CUT116" s="73"/>
      <c r="CUU116" s="73"/>
      <c r="CUV116" s="73"/>
      <c r="CUW116" s="73"/>
      <c r="CUX116" s="73"/>
      <c r="CUY116" s="73"/>
      <c r="CUZ116" s="73"/>
      <c r="CVA116" s="73"/>
      <c r="CVB116" s="73"/>
      <c r="CVC116" s="73"/>
      <c r="CVD116" s="73"/>
      <c r="CVE116" s="73"/>
      <c r="CVF116" s="73"/>
      <c r="CVG116" s="73"/>
      <c r="CVH116" s="73"/>
      <c r="CVI116" s="73"/>
      <c r="CVJ116" s="73"/>
      <c r="CVK116" s="73"/>
      <c r="CVL116" s="73"/>
      <c r="CVM116" s="73"/>
      <c r="CVN116" s="73"/>
      <c r="CVO116" s="73"/>
      <c r="CVP116" s="73"/>
      <c r="CVQ116" s="73"/>
      <c r="CVR116" s="73"/>
      <c r="CVS116" s="73"/>
      <c r="CVT116" s="73"/>
      <c r="CVU116" s="73"/>
      <c r="CVV116" s="73"/>
      <c r="CVW116" s="73"/>
      <c r="CVX116" s="73"/>
      <c r="CVY116" s="73"/>
      <c r="CVZ116" s="73"/>
      <c r="CWA116" s="73"/>
      <c r="CWB116" s="73"/>
      <c r="CWC116" s="73"/>
      <c r="CWD116" s="73"/>
      <c r="CWE116" s="73"/>
      <c r="CWF116" s="73"/>
      <c r="CWG116" s="73"/>
      <c r="CWH116" s="73"/>
      <c r="CWI116" s="73"/>
      <c r="CWJ116" s="73"/>
      <c r="CWK116" s="73"/>
      <c r="CWL116" s="73"/>
      <c r="CWM116" s="73"/>
      <c r="CWN116" s="73"/>
      <c r="CWO116" s="73"/>
      <c r="CWP116" s="73"/>
      <c r="CWQ116" s="73"/>
      <c r="CWR116" s="73"/>
      <c r="CWS116" s="73"/>
      <c r="CWT116" s="73"/>
      <c r="CWU116" s="73"/>
      <c r="CWV116" s="73"/>
      <c r="CWW116" s="73"/>
      <c r="CWX116" s="73"/>
      <c r="CWY116" s="73"/>
      <c r="CWZ116" s="73"/>
      <c r="CXA116" s="73"/>
      <c r="CXB116" s="73"/>
      <c r="CXC116" s="73"/>
      <c r="CXD116" s="73"/>
      <c r="CXE116" s="73"/>
      <c r="CXF116" s="73"/>
      <c r="CXG116" s="73"/>
      <c r="CXH116" s="73"/>
      <c r="CXI116" s="73"/>
      <c r="CXJ116" s="73"/>
      <c r="CXK116" s="73"/>
      <c r="CXL116" s="73"/>
      <c r="CXM116" s="73"/>
      <c r="CXN116" s="73"/>
      <c r="CXO116" s="73"/>
      <c r="CXP116" s="73"/>
      <c r="CXQ116" s="73"/>
      <c r="CXR116" s="73"/>
      <c r="CXS116" s="73"/>
      <c r="CXT116" s="73"/>
      <c r="CXU116" s="73"/>
      <c r="CXV116" s="73"/>
      <c r="CXW116" s="73"/>
      <c r="CXX116" s="73"/>
      <c r="CXY116" s="73"/>
      <c r="CXZ116" s="73"/>
      <c r="CYA116" s="73"/>
      <c r="CYB116" s="73"/>
      <c r="CYC116" s="73"/>
      <c r="CYD116" s="73"/>
      <c r="CYE116" s="73"/>
      <c r="CYF116" s="73"/>
      <c r="CYG116" s="73"/>
      <c r="CYH116" s="73"/>
      <c r="CYI116" s="73"/>
      <c r="CYJ116" s="73"/>
      <c r="CYK116" s="73"/>
      <c r="CYL116" s="73"/>
      <c r="CYM116" s="73"/>
      <c r="CYN116" s="73"/>
      <c r="CYO116" s="73"/>
      <c r="CYP116" s="73"/>
      <c r="CYQ116" s="73"/>
      <c r="CYR116" s="73"/>
      <c r="CYS116" s="73"/>
      <c r="CYT116" s="73"/>
      <c r="CYU116" s="73"/>
      <c r="CYV116" s="73"/>
      <c r="CYW116" s="73"/>
      <c r="CYX116" s="73"/>
      <c r="CYY116" s="73"/>
      <c r="CYZ116" s="73"/>
      <c r="CZA116" s="73"/>
      <c r="CZB116" s="73"/>
      <c r="CZC116" s="73"/>
      <c r="CZD116" s="73"/>
      <c r="CZE116" s="73"/>
      <c r="CZF116" s="73"/>
      <c r="CZG116" s="73"/>
      <c r="CZH116" s="73"/>
      <c r="CZI116" s="73"/>
      <c r="CZJ116" s="73"/>
      <c r="CZK116" s="73"/>
      <c r="CZL116" s="73"/>
      <c r="CZM116" s="73"/>
      <c r="CZN116" s="73"/>
      <c r="CZO116" s="73"/>
      <c r="CZP116" s="73"/>
      <c r="CZQ116" s="73"/>
      <c r="CZR116" s="73"/>
      <c r="CZS116" s="73"/>
      <c r="CZT116" s="73"/>
      <c r="CZU116" s="73"/>
      <c r="CZV116" s="73"/>
      <c r="CZW116" s="73"/>
      <c r="CZX116" s="73"/>
      <c r="CZY116" s="73"/>
      <c r="CZZ116" s="73"/>
      <c r="DAA116" s="73"/>
      <c r="DAB116" s="73"/>
      <c r="DAC116" s="73"/>
      <c r="DAD116" s="73"/>
      <c r="DAE116" s="73"/>
      <c r="DAF116" s="73"/>
      <c r="DAG116" s="73"/>
      <c r="DAH116" s="73"/>
      <c r="DAI116" s="73"/>
      <c r="DAJ116" s="73"/>
      <c r="DAK116" s="73"/>
      <c r="DAL116" s="73"/>
      <c r="DAM116" s="73"/>
      <c r="DAN116" s="73"/>
      <c r="DAO116" s="73"/>
      <c r="DAP116" s="73"/>
      <c r="DAQ116" s="73"/>
      <c r="DAR116" s="73"/>
      <c r="DAS116" s="73"/>
      <c r="DAT116" s="73"/>
      <c r="DAU116" s="73"/>
      <c r="DAV116" s="73"/>
      <c r="DAW116" s="73"/>
      <c r="DAX116" s="73"/>
      <c r="DAY116" s="73"/>
      <c r="DAZ116" s="73"/>
      <c r="DBA116" s="73"/>
      <c r="DBB116" s="73"/>
      <c r="DBC116" s="73"/>
      <c r="DBD116" s="73"/>
      <c r="DBE116" s="73"/>
      <c r="DBF116" s="73"/>
      <c r="DBG116" s="73"/>
      <c r="DBH116" s="73"/>
      <c r="DBI116" s="73"/>
      <c r="DBJ116" s="73"/>
      <c r="DBK116" s="73"/>
      <c r="DBL116" s="73"/>
      <c r="DBM116" s="73"/>
      <c r="DBN116" s="73"/>
      <c r="DBO116" s="73"/>
      <c r="DBP116" s="73"/>
      <c r="DBQ116" s="73"/>
      <c r="DBR116" s="73"/>
      <c r="DBS116" s="73"/>
      <c r="DBT116" s="73"/>
      <c r="DBU116" s="73"/>
      <c r="DBV116" s="73"/>
      <c r="DBW116" s="73"/>
      <c r="DBX116" s="73"/>
      <c r="DBY116" s="73"/>
      <c r="DBZ116" s="73"/>
      <c r="DCA116" s="73"/>
      <c r="DCB116" s="73"/>
      <c r="DCC116" s="73"/>
      <c r="DCD116" s="73"/>
      <c r="DCE116" s="73"/>
      <c r="DCF116" s="73"/>
      <c r="DCG116" s="73"/>
      <c r="DCH116" s="73"/>
      <c r="DCI116" s="73"/>
      <c r="DCJ116" s="73"/>
      <c r="DCK116" s="73"/>
      <c r="DCL116" s="73"/>
      <c r="DCM116" s="73"/>
      <c r="DCN116" s="73"/>
      <c r="DCO116" s="73"/>
      <c r="DCP116" s="73"/>
      <c r="DCQ116" s="73"/>
      <c r="DCR116" s="73"/>
      <c r="DCS116" s="73"/>
      <c r="DCT116" s="73"/>
      <c r="DCU116" s="73"/>
      <c r="DCV116" s="73"/>
      <c r="DCW116" s="73"/>
      <c r="DCX116" s="73"/>
      <c r="DCY116" s="73"/>
      <c r="DCZ116" s="73"/>
      <c r="DDA116" s="73"/>
      <c r="DDB116" s="73"/>
      <c r="DDC116" s="73"/>
      <c r="DDD116" s="73"/>
      <c r="DDE116" s="73"/>
      <c r="DDF116" s="73"/>
      <c r="DDG116" s="73"/>
      <c r="DDH116" s="73"/>
      <c r="DDI116" s="73"/>
      <c r="DDJ116" s="73"/>
      <c r="DDK116" s="73"/>
      <c r="DDL116" s="73"/>
      <c r="DDM116" s="73"/>
      <c r="DDN116" s="73"/>
      <c r="DDO116" s="73"/>
      <c r="DDP116" s="73"/>
      <c r="DDQ116" s="73"/>
      <c r="DDR116" s="73"/>
      <c r="DDS116" s="73"/>
      <c r="DDT116" s="73"/>
      <c r="DDU116" s="73"/>
      <c r="DDV116" s="73"/>
      <c r="DDW116" s="73"/>
      <c r="DDX116" s="73"/>
      <c r="DDY116" s="73"/>
      <c r="DDZ116" s="73"/>
      <c r="DEA116" s="73"/>
      <c r="DEB116" s="73"/>
      <c r="DEC116" s="73"/>
      <c r="DED116" s="73"/>
      <c r="DEE116" s="73"/>
      <c r="DEF116" s="73"/>
      <c r="DEG116" s="73"/>
      <c r="DEH116" s="73"/>
      <c r="DEI116" s="73"/>
      <c r="DEJ116" s="73"/>
      <c r="DEK116" s="73"/>
      <c r="DEL116" s="73"/>
      <c r="DEM116" s="73"/>
      <c r="DEN116" s="73"/>
      <c r="DEO116" s="73"/>
      <c r="DEP116" s="73"/>
      <c r="DEQ116" s="73"/>
      <c r="DER116" s="73"/>
      <c r="DES116" s="73"/>
      <c r="DET116" s="73"/>
      <c r="DEU116" s="73"/>
      <c r="DEV116" s="73"/>
      <c r="DEW116" s="73"/>
      <c r="DEX116" s="73"/>
      <c r="DEY116" s="73"/>
      <c r="DEZ116" s="73"/>
      <c r="DFA116" s="73"/>
      <c r="DFB116" s="73"/>
      <c r="DFC116" s="73"/>
      <c r="DFD116" s="73"/>
      <c r="DFE116" s="73"/>
      <c r="DFF116" s="73"/>
      <c r="DFG116" s="73"/>
      <c r="DFH116" s="73"/>
      <c r="DFI116" s="73"/>
      <c r="DFJ116" s="73"/>
      <c r="DFK116" s="73"/>
      <c r="DFL116" s="73"/>
      <c r="DFM116" s="73"/>
      <c r="DFN116" s="73"/>
      <c r="DFO116" s="73"/>
      <c r="DFP116" s="73"/>
      <c r="DFQ116" s="73"/>
      <c r="DFR116" s="73"/>
      <c r="DFS116" s="73"/>
      <c r="DFT116" s="73"/>
      <c r="DFU116" s="73"/>
      <c r="DFV116" s="73"/>
      <c r="DFW116" s="73"/>
      <c r="DFX116" s="73"/>
      <c r="DFY116" s="73"/>
      <c r="DFZ116" s="73"/>
      <c r="DGA116" s="73"/>
      <c r="DGB116" s="73"/>
      <c r="DGC116" s="73"/>
      <c r="DGD116" s="73"/>
      <c r="DGE116" s="73"/>
      <c r="DGF116" s="73"/>
      <c r="DGG116" s="73"/>
      <c r="DGH116" s="73"/>
      <c r="DGI116" s="73"/>
      <c r="DGJ116" s="73"/>
      <c r="DGK116" s="73"/>
      <c r="DGL116" s="73"/>
      <c r="DGM116" s="73"/>
      <c r="DGN116" s="73"/>
      <c r="DGO116" s="73"/>
      <c r="DGP116" s="73"/>
      <c r="DGQ116" s="73"/>
      <c r="DGR116" s="73"/>
      <c r="DGS116" s="73"/>
      <c r="DGT116" s="73"/>
      <c r="DGU116" s="73"/>
      <c r="DGV116" s="73"/>
      <c r="DGW116" s="73"/>
      <c r="DGX116" s="73"/>
      <c r="DGY116" s="73"/>
      <c r="DGZ116" s="73"/>
      <c r="DHA116" s="73"/>
      <c r="DHB116" s="73"/>
      <c r="DHC116" s="73"/>
      <c r="DHD116" s="73"/>
      <c r="DHE116" s="73"/>
      <c r="DHF116" s="73"/>
      <c r="DHG116" s="73"/>
      <c r="DHH116" s="73"/>
      <c r="DHI116" s="73"/>
      <c r="DHJ116" s="73"/>
      <c r="DHK116" s="73"/>
      <c r="DHL116" s="73"/>
      <c r="DHM116" s="73"/>
      <c r="DHN116" s="73"/>
      <c r="DHO116" s="73"/>
      <c r="DHP116" s="73"/>
      <c r="DHQ116" s="73"/>
      <c r="DHR116" s="73"/>
      <c r="DHS116" s="73"/>
      <c r="DHT116" s="73"/>
      <c r="DHU116" s="73"/>
      <c r="DHV116" s="73"/>
      <c r="DHW116" s="73"/>
      <c r="DHX116" s="73"/>
      <c r="DHY116" s="73"/>
      <c r="DHZ116" s="73"/>
      <c r="DIA116" s="73"/>
      <c r="DIB116" s="73"/>
      <c r="DIC116" s="73"/>
      <c r="DID116" s="73"/>
      <c r="DIE116" s="73"/>
      <c r="DIF116" s="73"/>
      <c r="DIG116" s="73"/>
      <c r="DIH116" s="73"/>
      <c r="DII116" s="73"/>
      <c r="DIJ116" s="73"/>
      <c r="DIK116" s="73"/>
      <c r="DIL116" s="73"/>
      <c r="DIM116" s="73"/>
      <c r="DIN116" s="73"/>
      <c r="DIO116" s="73"/>
      <c r="DIP116" s="73"/>
      <c r="DIQ116" s="73"/>
      <c r="DIR116" s="73"/>
      <c r="DIS116" s="73"/>
      <c r="DIT116" s="73"/>
      <c r="DIU116" s="73"/>
      <c r="DIV116" s="73"/>
      <c r="DIW116" s="73"/>
      <c r="DIX116" s="73"/>
      <c r="DIY116" s="73"/>
      <c r="DIZ116" s="73"/>
      <c r="DJA116" s="73"/>
      <c r="DJB116" s="73"/>
      <c r="DJC116" s="73"/>
      <c r="DJD116" s="73"/>
      <c r="DJE116" s="73"/>
      <c r="DJF116" s="73"/>
      <c r="DJG116" s="73"/>
      <c r="DJH116" s="73"/>
      <c r="DJI116" s="73"/>
      <c r="DJJ116" s="73"/>
      <c r="DJK116" s="73"/>
      <c r="DJL116" s="73"/>
      <c r="DJM116" s="73"/>
      <c r="DJN116" s="73"/>
      <c r="DJO116" s="73"/>
      <c r="DJP116" s="73"/>
      <c r="DJQ116" s="73"/>
      <c r="DJR116" s="73"/>
      <c r="DJS116" s="73"/>
      <c r="DJT116" s="73"/>
      <c r="DJU116" s="73"/>
      <c r="DJV116" s="73"/>
      <c r="DJW116" s="73"/>
      <c r="DJX116" s="73"/>
      <c r="DJY116" s="73"/>
      <c r="DJZ116" s="73"/>
      <c r="DKA116" s="73"/>
      <c r="DKB116" s="73"/>
      <c r="DKC116" s="73"/>
      <c r="DKD116" s="73"/>
      <c r="DKE116" s="73"/>
      <c r="DKF116" s="73"/>
      <c r="DKG116" s="73"/>
      <c r="DKH116" s="73"/>
      <c r="DKI116" s="73"/>
      <c r="DKJ116" s="73"/>
      <c r="DKK116" s="73"/>
      <c r="DKL116" s="73"/>
      <c r="DKM116" s="73"/>
      <c r="DKN116" s="73"/>
      <c r="DKO116" s="73"/>
      <c r="DKP116" s="73"/>
      <c r="DKQ116" s="73"/>
      <c r="DKR116" s="73"/>
      <c r="DKS116" s="73"/>
      <c r="DKT116" s="73"/>
      <c r="DKU116" s="73"/>
      <c r="DKV116" s="73"/>
      <c r="DKW116" s="73"/>
      <c r="DKX116" s="73"/>
      <c r="DKY116" s="73"/>
      <c r="DKZ116" s="73"/>
      <c r="DLA116" s="73"/>
      <c r="DLB116" s="73"/>
      <c r="DLC116" s="73"/>
      <c r="DLD116" s="73"/>
      <c r="DLE116" s="73"/>
      <c r="DLF116" s="73"/>
      <c r="DLG116" s="73"/>
      <c r="DLH116" s="73"/>
      <c r="DLI116" s="73"/>
      <c r="DLJ116" s="73"/>
      <c r="DLK116" s="73"/>
      <c r="DLL116" s="73"/>
      <c r="DLM116" s="73"/>
      <c r="DLN116" s="73"/>
      <c r="DLO116" s="73"/>
      <c r="DLP116" s="73"/>
      <c r="DLQ116" s="73"/>
      <c r="DLR116" s="73"/>
      <c r="DLS116" s="73"/>
      <c r="DLT116" s="73"/>
      <c r="DLU116" s="73"/>
      <c r="DLV116" s="73"/>
      <c r="DLW116" s="73"/>
      <c r="DLX116" s="73"/>
      <c r="DLY116" s="73"/>
      <c r="DLZ116" s="73"/>
      <c r="DMA116" s="73"/>
      <c r="DMB116" s="73"/>
      <c r="DMC116" s="73"/>
      <c r="DMD116" s="73"/>
      <c r="DME116" s="73"/>
      <c r="DMF116" s="73"/>
      <c r="DMG116" s="73"/>
      <c r="DMH116" s="73"/>
      <c r="DMI116" s="73"/>
      <c r="DMJ116" s="73"/>
      <c r="DMK116" s="73"/>
      <c r="DML116" s="73"/>
      <c r="DMM116" s="73"/>
      <c r="DMN116" s="73"/>
      <c r="DMO116" s="73"/>
      <c r="DMP116" s="73"/>
      <c r="DMQ116" s="73"/>
      <c r="DMR116" s="73"/>
      <c r="DMS116" s="73"/>
      <c r="DMT116" s="73"/>
      <c r="DMU116" s="73"/>
      <c r="DMV116" s="73"/>
      <c r="DMW116" s="73"/>
      <c r="DMX116" s="73"/>
      <c r="DMY116" s="73"/>
      <c r="DMZ116" s="73"/>
      <c r="DNA116" s="73"/>
      <c r="DNB116" s="73"/>
      <c r="DNC116" s="73"/>
      <c r="DND116" s="73"/>
      <c r="DNE116" s="73"/>
      <c r="DNF116" s="73"/>
      <c r="DNG116" s="73"/>
      <c r="DNH116" s="73"/>
      <c r="DNI116" s="73"/>
      <c r="DNJ116" s="73"/>
      <c r="DNK116" s="73"/>
      <c r="DNL116" s="73"/>
      <c r="DNM116" s="73"/>
      <c r="DNN116" s="73"/>
      <c r="DNO116" s="73"/>
      <c r="DNP116" s="73"/>
      <c r="DNQ116" s="73"/>
      <c r="DNR116" s="73"/>
      <c r="DNS116" s="73"/>
      <c r="DNT116" s="73"/>
      <c r="DNU116" s="73"/>
      <c r="DNV116" s="73"/>
      <c r="DNW116" s="73"/>
      <c r="DNX116" s="73"/>
      <c r="DNY116" s="73"/>
      <c r="DNZ116" s="73"/>
      <c r="DOA116" s="73"/>
      <c r="DOB116" s="73"/>
      <c r="DOC116" s="73"/>
      <c r="DOD116" s="73"/>
      <c r="DOE116" s="73"/>
      <c r="DOF116" s="73"/>
      <c r="DOG116" s="73"/>
      <c r="DOH116" s="73"/>
      <c r="DOI116" s="73"/>
      <c r="DOJ116" s="73"/>
      <c r="DOK116" s="73"/>
      <c r="DOL116" s="73"/>
      <c r="DOM116" s="73"/>
      <c r="DON116" s="73"/>
      <c r="DOO116" s="73"/>
      <c r="DOP116" s="73"/>
      <c r="DOQ116" s="73"/>
      <c r="DOR116" s="73"/>
      <c r="DOS116" s="73"/>
      <c r="DOT116" s="73"/>
      <c r="DOU116" s="73"/>
      <c r="DOV116" s="73"/>
      <c r="DOW116" s="73"/>
      <c r="DOX116" s="73"/>
      <c r="DOY116" s="73"/>
      <c r="DOZ116" s="73"/>
      <c r="DPA116" s="73"/>
      <c r="DPB116" s="73"/>
      <c r="DPC116" s="73"/>
      <c r="DPD116" s="73"/>
      <c r="DPE116" s="73"/>
      <c r="DPF116" s="73"/>
      <c r="DPG116" s="73"/>
      <c r="DPH116" s="73"/>
      <c r="DPI116" s="73"/>
      <c r="DPJ116" s="73"/>
      <c r="DPK116" s="73"/>
      <c r="DPL116" s="73"/>
      <c r="DPM116" s="73"/>
      <c r="DPN116" s="73"/>
      <c r="DPO116" s="73"/>
      <c r="DPP116" s="73"/>
      <c r="DPQ116" s="73"/>
      <c r="DPR116" s="73"/>
      <c r="DPS116" s="73"/>
      <c r="DPT116" s="73"/>
      <c r="DPU116" s="73"/>
      <c r="DPV116" s="73"/>
      <c r="DPW116" s="73"/>
      <c r="DPX116" s="73"/>
      <c r="DPY116" s="73"/>
      <c r="DPZ116" s="73"/>
      <c r="DQA116" s="73"/>
      <c r="DQB116" s="73"/>
      <c r="DQC116" s="73"/>
      <c r="DQD116" s="73"/>
      <c r="DQE116" s="73"/>
      <c r="DQF116" s="73"/>
      <c r="DQG116" s="73"/>
      <c r="DQH116" s="73"/>
      <c r="DQI116" s="73"/>
      <c r="DQJ116" s="73"/>
      <c r="DQK116" s="73"/>
      <c r="DQL116" s="73"/>
      <c r="DQM116" s="73"/>
      <c r="DQN116" s="73"/>
      <c r="DQO116" s="73"/>
      <c r="DQP116" s="73"/>
      <c r="DQQ116" s="73"/>
      <c r="DQR116" s="73"/>
      <c r="DQS116" s="73"/>
      <c r="DQT116" s="73"/>
      <c r="DQU116" s="73"/>
      <c r="DQV116" s="73"/>
      <c r="DQW116" s="73"/>
      <c r="DQX116" s="73"/>
      <c r="DQY116" s="73"/>
      <c r="DQZ116" s="73"/>
      <c r="DRA116" s="73"/>
      <c r="DRB116" s="73"/>
      <c r="DRC116" s="73"/>
      <c r="DRD116" s="73"/>
      <c r="DRE116" s="73"/>
      <c r="DRF116" s="73"/>
      <c r="DRG116" s="73"/>
      <c r="DRH116" s="73"/>
      <c r="DRI116" s="73"/>
      <c r="DRJ116" s="73"/>
      <c r="DRK116" s="73"/>
      <c r="DRL116" s="73"/>
      <c r="DRM116" s="73"/>
      <c r="DRN116" s="73"/>
      <c r="DRO116" s="73"/>
      <c r="DRP116" s="73"/>
      <c r="DRQ116" s="73"/>
      <c r="DRR116" s="73"/>
      <c r="DRS116" s="73"/>
      <c r="DRT116" s="73"/>
      <c r="DRU116" s="73"/>
      <c r="DRV116" s="73"/>
      <c r="DRW116" s="73"/>
      <c r="DRX116" s="73"/>
      <c r="DRY116" s="73"/>
      <c r="DRZ116" s="73"/>
      <c r="DSA116" s="73"/>
      <c r="DSB116" s="73"/>
      <c r="DSC116" s="73"/>
      <c r="DSD116" s="73"/>
      <c r="DSE116" s="73"/>
      <c r="DSF116" s="73"/>
      <c r="DSG116" s="73"/>
      <c r="DSH116" s="73"/>
      <c r="DSI116" s="73"/>
      <c r="DSJ116" s="73"/>
      <c r="DSK116" s="73"/>
      <c r="DSL116" s="73"/>
      <c r="DSM116" s="73"/>
      <c r="DSN116" s="73"/>
      <c r="DSO116" s="73"/>
      <c r="DSP116" s="73"/>
      <c r="DSQ116" s="73"/>
      <c r="DSR116" s="73"/>
      <c r="DSS116" s="73"/>
      <c r="DST116" s="73"/>
      <c r="DSU116" s="73"/>
      <c r="DSV116" s="73"/>
      <c r="DSW116" s="73"/>
      <c r="DSX116" s="73"/>
      <c r="DSY116" s="73"/>
      <c r="DSZ116" s="73"/>
      <c r="DTA116" s="73"/>
      <c r="DTB116" s="73"/>
      <c r="DTC116" s="73"/>
      <c r="DTD116" s="73"/>
      <c r="DTE116" s="73"/>
      <c r="DTF116" s="73"/>
      <c r="DTG116" s="73"/>
      <c r="DTH116" s="73"/>
      <c r="DTI116" s="73"/>
      <c r="DTJ116" s="73"/>
      <c r="DTK116" s="73"/>
      <c r="DTL116" s="73"/>
      <c r="DTM116" s="73"/>
      <c r="DTN116" s="73"/>
      <c r="DTO116" s="73"/>
      <c r="DTP116" s="73"/>
      <c r="DTQ116" s="73"/>
      <c r="DTR116" s="73"/>
      <c r="DTS116" s="73"/>
      <c r="DTT116" s="73"/>
      <c r="DTU116" s="73"/>
      <c r="DTV116" s="73"/>
      <c r="DTW116" s="73"/>
      <c r="DTX116" s="73"/>
      <c r="DTY116" s="73"/>
      <c r="DTZ116" s="73"/>
      <c r="DUA116" s="73"/>
      <c r="DUB116" s="73"/>
      <c r="DUC116" s="73"/>
      <c r="DUD116" s="73"/>
      <c r="DUE116" s="73"/>
      <c r="DUF116" s="73"/>
      <c r="DUG116" s="73"/>
      <c r="DUH116" s="73"/>
      <c r="DUI116" s="73"/>
      <c r="DUJ116" s="73"/>
      <c r="DUK116" s="73"/>
      <c r="DUL116" s="73"/>
      <c r="DUM116" s="73"/>
      <c r="DUN116" s="73"/>
      <c r="DUO116" s="73"/>
      <c r="DUP116" s="73"/>
      <c r="DUQ116" s="73"/>
      <c r="DUR116" s="73"/>
      <c r="DUS116" s="73"/>
      <c r="DUT116" s="73"/>
      <c r="DUU116" s="73"/>
      <c r="DUV116" s="73"/>
      <c r="DUW116" s="73"/>
      <c r="DUX116" s="73"/>
      <c r="DUY116" s="73"/>
      <c r="DUZ116" s="73"/>
      <c r="DVA116" s="73"/>
      <c r="DVB116" s="73"/>
      <c r="DVC116" s="73"/>
      <c r="DVD116" s="73"/>
      <c r="DVE116" s="73"/>
      <c r="DVF116" s="73"/>
      <c r="DVG116" s="73"/>
      <c r="DVH116" s="73"/>
      <c r="DVI116" s="73"/>
      <c r="DVJ116" s="73"/>
      <c r="DVK116" s="73"/>
      <c r="DVL116" s="73"/>
      <c r="DVM116" s="73"/>
      <c r="DVN116" s="73"/>
      <c r="DVO116" s="73"/>
      <c r="DVP116" s="73"/>
      <c r="DVQ116" s="73"/>
      <c r="DVR116" s="73"/>
      <c r="DVS116" s="73"/>
      <c r="DVT116" s="73"/>
      <c r="DVU116" s="73"/>
      <c r="DVV116" s="73"/>
      <c r="DVW116" s="73"/>
      <c r="DVX116" s="73"/>
      <c r="DVY116" s="73"/>
      <c r="DVZ116" s="73"/>
      <c r="DWA116" s="73"/>
      <c r="DWB116" s="73"/>
      <c r="DWC116" s="73"/>
      <c r="DWD116" s="73"/>
      <c r="DWE116" s="73"/>
      <c r="DWF116" s="73"/>
      <c r="DWG116" s="73"/>
      <c r="DWH116" s="73"/>
      <c r="DWI116" s="73"/>
      <c r="DWJ116" s="73"/>
      <c r="DWK116" s="73"/>
      <c r="DWL116" s="73"/>
      <c r="DWM116" s="73"/>
      <c r="DWN116" s="73"/>
      <c r="DWO116" s="73"/>
      <c r="DWP116" s="73"/>
      <c r="DWQ116" s="73"/>
      <c r="DWR116" s="73"/>
      <c r="DWS116" s="73"/>
      <c r="DWT116" s="73"/>
      <c r="DWU116" s="73"/>
      <c r="DWV116" s="73"/>
      <c r="DWW116" s="73"/>
      <c r="DWX116" s="73"/>
      <c r="DWY116" s="73"/>
      <c r="DWZ116" s="73"/>
      <c r="DXA116" s="73"/>
      <c r="DXB116" s="73"/>
      <c r="DXC116" s="73"/>
      <c r="DXD116" s="73"/>
      <c r="DXE116" s="73"/>
      <c r="DXF116" s="73"/>
      <c r="DXG116" s="73"/>
      <c r="DXH116" s="73"/>
      <c r="DXI116" s="73"/>
      <c r="DXJ116" s="73"/>
      <c r="DXK116" s="73"/>
      <c r="DXL116" s="73"/>
      <c r="DXM116" s="73"/>
      <c r="DXN116" s="73"/>
      <c r="DXO116" s="73"/>
      <c r="DXP116" s="73"/>
      <c r="DXQ116" s="73"/>
      <c r="DXR116" s="73"/>
      <c r="DXS116" s="73"/>
      <c r="DXT116" s="73"/>
      <c r="DXU116" s="73"/>
      <c r="DXV116" s="73"/>
      <c r="DXW116" s="73"/>
      <c r="DXX116" s="73"/>
      <c r="DXY116" s="73"/>
      <c r="DXZ116" s="73"/>
      <c r="DYA116" s="73"/>
      <c r="DYB116" s="73"/>
      <c r="DYC116" s="73"/>
      <c r="DYD116" s="73"/>
      <c r="DYE116" s="73"/>
      <c r="DYF116" s="73"/>
      <c r="DYG116" s="73"/>
      <c r="DYH116" s="73"/>
      <c r="DYI116" s="73"/>
      <c r="DYJ116" s="73"/>
      <c r="DYK116" s="73"/>
      <c r="DYL116" s="73"/>
      <c r="DYM116" s="73"/>
      <c r="DYN116" s="73"/>
      <c r="DYO116" s="73"/>
      <c r="DYP116" s="73"/>
      <c r="DYQ116" s="73"/>
      <c r="DYR116" s="73"/>
      <c r="DYS116" s="73"/>
      <c r="DYT116" s="73"/>
      <c r="DYU116" s="73"/>
      <c r="DYV116" s="73"/>
      <c r="DYW116" s="73"/>
      <c r="DYX116" s="73"/>
      <c r="DYY116" s="73"/>
      <c r="DYZ116" s="73"/>
      <c r="DZA116" s="73"/>
      <c r="DZB116" s="73"/>
      <c r="DZC116" s="73"/>
      <c r="DZD116" s="73"/>
      <c r="DZE116" s="73"/>
      <c r="DZF116" s="73"/>
      <c r="DZG116" s="73"/>
      <c r="DZH116" s="73"/>
      <c r="DZI116" s="73"/>
      <c r="DZJ116" s="73"/>
      <c r="DZK116" s="73"/>
      <c r="DZL116" s="73"/>
      <c r="DZM116" s="73"/>
      <c r="DZN116" s="73"/>
      <c r="DZO116" s="73"/>
      <c r="DZP116" s="73"/>
      <c r="DZQ116" s="73"/>
      <c r="DZR116" s="73"/>
      <c r="DZS116" s="73"/>
      <c r="DZT116" s="73"/>
      <c r="DZU116" s="73"/>
      <c r="DZV116" s="73"/>
      <c r="DZW116" s="73"/>
      <c r="DZX116" s="73"/>
      <c r="DZY116" s="73"/>
      <c r="DZZ116" s="73"/>
      <c r="EAA116" s="73"/>
      <c r="EAB116" s="73"/>
      <c r="EAC116" s="73"/>
      <c r="EAD116" s="73"/>
      <c r="EAE116" s="73"/>
      <c r="EAF116" s="73"/>
      <c r="EAG116" s="73"/>
      <c r="EAH116" s="73"/>
      <c r="EAI116" s="73"/>
      <c r="EAJ116" s="73"/>
      <c r="EAK116" s="73"/>
      <c r="EAL116" s="73"/>
      <c r="EAM116" s="73"/>
      <c r="EAN116" s="73"/>
      <c r="EAO116" s="73"/>
      <c r="EAP116" s="73"/>
      <c r="EAQ116" s="73"/>
      <c r="EAR116" s="73"/>
      <c r="EAS116" s="73"/>
      <c r="EAT116" s="73"/>
      <c r="EAU116" s="73"/>
      <c r="EAV116" s="73"/>
      <c r="EAW116" s="73"/>
      <c r="EAX116" s="73"/>
      <c r="EAY116" s="73"/>
      <c r="EAZ116" s="73"/>
      <c r="EBA116" s="73"/>
      <c r="EBB116" s="73"/>
      <c r="EBC116" s="73"/>
      <c r="EBD116" s="73"/>
      <c r="EBE116" s="73"/>
      <c r="EBF116" s="73"/>
      <c r="EBG116" s="73"/>
      <c r="EBH116" s="73"/>
      <c r="EBI116" s="73"/>
      <c r="EBJ116" s="73"/>
      <c r="EBK116" s="73"/>
      <c r="EBL116" s="73"/>
      <c r="EBM116" s="73"/>
      <c r="EBN116" s="73"/>
      <c r="EBO116" s="73"/>
      <c r="EBP116" s="73"/>
      <c r="EBQ116" s="73"/>
      <c r="EBR116" s="73"/>
      <c r="EBS116" s="73"/>
      <c r="EBT116" s="73"/>
      <c r="EBU116" s="73"/>
      <c r="EBV116" s="73"/>
      <c r="EBW116" s="73"/>
      <c r="EBX116" s="73"/>
      <c r="EBY116" s="73"/>
      <c r="EBZ116" s="73"/>
      <c r="ECA116" s="73"/>
      <c r="ECB116" s="73"/>
      <c r="ECC116" s="73"/>
      <c r="ECD116" s="73"/>
      <c r="ECE116" s="73"/>
      <c r="ECF116" s="73"/>
      <c r="ECG116" s="73"/>
      <c r="ECH116" s="73"/>
      <c r="ECI116" s="73"/>
      <c r="ECJ116" s="73"/>
      <c r="ECK116" s="73"/>
      <c r="ECL116" s="73"/>
      <c r="ECM116" s="73"/>
      <c r="ECN116" s="73"/>
      <c r="ECO116" s="73"/>
      <c r="ECP116" s="73"/>
      <c r="ECQ116" s="73"/>
      <c r="ECR116" s="73"/>
      <c r="ECS116" s="73"/>
      <c r="ECT116" s="73"/>
      <c r="ECU116" s="73"/>
      <c r="ECV116" s="73"/>
      <c r="ECW116" s="73"/>
      <c r="ECX116" s="73"/>
      <c r="ECY116" s="73"/>
      <c r="ECZ116" s="73"/>
      <c r="EDA116" s="73"/>
      <c r="EDB116" s="73"/>
      <c r="EDC116" s="73"/>
      <c r="EDD116" s="73"/>
      <c r="EDE116" s="73"/>
      <c r="EDF116" s="73"/>
      <c r="EDG116" s="73"/>
      <c r="EDH116" s="73"/>
      <c r="EDI116" s="73"/>
      <c r="EDJ116" s="73"/>
      <c r="EDK116" s="73"/>
      <c r="EDL116" s="73"/>
      <c r="EDM116" s="73"/>
      <c r="EDN116" s="73"/>
      <c r="EDO116" s="73"/>
      <c r="EDP116" s="73"/>
      <c r="EDQ116" s="73"/>
      <c r="EDR116" s="73"/>
      <c r="EDS116" s="73"/>
      <c r="EDT116" s="73"/>
      <c r="EDU116" s="73"/>
      <c r="EDV116" s="73"/>
      <c r="EDW116" s="73"/>
      <c r="EDX116" s="73"/>
      <c r="EDY116" s="73"/>
      <c r="EDZ116" s="73"/>
      <c r="EEA116" s="73"/>
      <c r="EEB116" s="73"/>
      <c r="EEC116" s="73"/>
      <c r="EED116" s="73"/>
      <c r="EEE116" s="73"/>
      <c r="EEF116" s="73"/>
      <c r="EEG116" s="73"/>
      <c r="EEH116" s="73"/>
      <c r="EEI116" s="73"/>
      <c r="EEJ116" s="73"/>
      <c r="EEK116" s="73"/>
      <c r="EEL116" s="73"/>
      <c r="EEM116" s="73"/>
      <c r="EEN116" s="73"/>
      <c r="EEO116" s="73"/>
      <c r="EEP116" s="73"/>
      <c r="EEQ116" s="73"/>
      <c r="EER116" s="73"/>
      <c r="EES116" s="73"/>
      <c r="EET116" s="73"/>
      <c r="EEU116" s="73"/>
      <c r="EEV116" s="73"/>
      <c r="EEW116" s="73"/>
      <c r="EEX116" s="73"/>
      <c r="EEY116" s="73"/>
      <c r="EEZ116" s="73"/>
      <c r="EFA116" s="73"/>
      <c r="EFB116" s="73"/>
      <c r="EFC116" s="73"/>
      <c r="EFD116" s="73"/>
      <c r="EFE116" s="73"/>
      <c r="EFF116" s="73"/>
      <c r="EFG116" s="73"/>
      <c r="EFH116" s="73"/>
      <c r="EFI116" s="73"/>
      <c r="EFJ116" s="73"/>
      <c r="EFK116" s="73"/>
      <c r="EFL116" s="73"/>
      <c r="EFM116" s="73"/>
      <c r="EFN116" s="73"/>
      <c r="EFO116" s="73"/>
      <c r="EFP116" s="73"/>
      <c r="EFQ116" s="73"/>
      <c r="EFR116" s="73"/>
      <c r="EFS116" s="73"/>
      <c r="EFT116" s="73"/>
      <c r="EFU116" s="73"/>
      <c r="EFV116" s="73"/>
      <c r="EFW116" s="73"/>
      <c r="EFX116" s="73"/>
      <c r="EFY116" s="73"/>
      <c r="EFZ116" s="73"/>
      <c r="EGA116" s="73"/>
      <c r="EGB116" s="73"/>
      <c r="EGC116" s="73"/>
      <c r="EGD116" s="73"/>
      <c r="EGE116" s="73"/>
      <c r="EGF116" s="73"/>
      <c r="EGG116" s="73"/>
      <c r="EGH116" s="73"/>
      <c r="EGI116" s="73"/>
      <c r="EGJ116" s="73"/>
      <c r="EGK116" s="73"/>
      <c r="EGL116" s="73"/>
      <c r="EGM116" s="73"/>
      <c r="EGN116" s="73"/>
      <c r="EGO116" s="73"/>
      <c r="EGP116" s="73"/>
      <c r="EGQ116" s="73"/>
      <c r="EGR116" s="73"/>
      <c r="EGS116" s="73"/>
      <c r="EGT116" s="73"/>
      <c r="EGU116" s="73"/>
      <c r="EGV116" s="73"/>
      <c r="EGW116" s="73"/>
      <c r="EGX116" s="73"/>
      <c r="EGY116" s="73"/>
      <c r="EGZ116" s="73"/>
      <c r="EHA116" s="73"/>
      <c r="EHB116" s="73"/>
      <c r="EHC116" s="73"/>
      <c r="EHD116" s="73"/>
      <c r="EHE116" s="73"/>
      <c r="EHF116" s="73"/>
      <c r="EHG116" s="73"/>
      <c r="EHH116" s="73"/>
      <c r="EHI116" s="73"/>
      <c r="EHJ116" s="73"/>
      <c r="EHK116" s="73"/>
      <c r="EHL116" s="73"/>
      <c r="EHM116" s="73"/>
      <c r="EHN116" s="73"/>
      <c r="EHO116" s="73"/>
      <c r="EHP116" s="73"/>
      <c r="EHQ116" s="73"/>
      <c r="EHR116" s="73"/>
      <c r="EHS116" s="73"/>
      <c r="EHT116" s="73"/>
      <c r="EHU116" s="73"/>
      <c r="EHV116" s="73"/>
      <c r="EHW116" s="73"/>
      <c r="EHX116" s="73"/>
      <c r="EHY116" s="73"/>
      <c r="EHZ116" s="73"/>
      <c r="EIA116" s="73"/>
      <c r="EIB116" s="73"/>
      <c r="EIC116" s="73"/>
      <c r="EID116" s="73"/>
      <c r="EIE116" s="73"/>
      <c r="EIF116" s="73"/>
      <c r="EIG116" s="73"/>
      <c r="EIH116" s="73"/>
      <c r="EII116" s="73"/>
      <c r="EIJ116" s="73"/>
      <c r="EIK116" s="73"/>
      <c r="EIL116" s="73"/>
      <c r="EIM116" s="73"/>
      <c r="EIN116" s="73"/>
      <c r="EIO116" s="73"/>
      <c r="EIP116" s="73"/>
      <c r="EIQ116" s="73"/>
      <c r="EIR116" s="73"/>
      <c r="EIS116" s="73"/>
      <c r="EIT116" s="73"/>
      <c r="EIU116" s="73"/>
      <c r="EIV116" s="73"/>
      <c r="EIW116" s="73"/>
      <c r="EIX116" s="73"/>
      <c r="EIY116" s="73"/>
      <c r="EIZ116" s="73"/>
      <c r="EJA116" s="73"/>
      <c r="EJB116" s="73"/>
      <c r="EJC116" s="73"/>
      <c r="EJD116" s="73"/>
      <c r="EJE116" s="73"/>
      <c r="EJF116" s="73"/>
      <c r="EJG116" s="73"/>
      <c r="EJH116" s="73"/>
      <c r="EJI116" s="73"/>
      <c r="EJJ116" s="73"/>
      <c r="EJK116" s="73"/>
      <c r="EJL116" s="73"/>
      <c r="EJM116" s="73"/>
      <c r="EJN116" s="73"/>
      <c r="EJO116" s="73"/>
      <c r="EJP116" s="73"/>
      <c r="EJQ116" s="73"/>
      <c r="EJR116" s="73"/>
      <c r="EJS116" s="73"/>
      <c r="EJT116" s="73"/>
      <c r="EJU116" s="73"/>
      <c r="EJV116" s="73"/>
      <c r="EJW116" s="73"/>
      <c r="EJX116" s="73"/>
      <c r="EJY116" s="73"/>
      <c r="EJZ116" s="73"/>
      <c r="EKA116" s="73"/>
      <c r="EKB116" s="73"/>
      <c r="EKC116" s="73"/>
      <c r="EKD116" s="73"/>
      <c r="EKE116" s="73"/>
      <c r="EKF116" s="73"/>
      <c r="EKG116" s="73"/>
      <c r="EKH116" s="73"/>
      <c r="EKI116" s="73"/>
      <c r="EKJ116" s="73"/>
      <c r="EKK116" s="73"/>
      <c r="EKL116" s="73"/>
      <c r="EKM116" s="73"/>
      <c r="EKN116" s="73"/>
      <c r="EKO116" s="73"/>
      <c r="EKP116" s="73"/>
      <c r="EKQ116" s="73"/>
      <c r="EKR116" s="73"/>
      <c r="EKS116" s="73"/>
      <c r="EKT116" s="73"/>
      <c r="EKU116" s="73"/>
      <c r="EKV116" s="73"/>
      <c r="EKW116" s="73"/>
      <c r="EKX116" s="73"/>
      <c r="EKY116" s="73"/>
      <c r="EKZ116" s="73"/>
      <c r="ELA116" s="73"/>
      <c r="ELB116" s="73"/>
      <c r="ELC116" s="73"/>
      <c r="ELD116" s="73"/>
      <c r="ELE116" s="73"/>
      <c r="ELF116" s="73"/>
      <c r="ELG116" s="73"/>
      <c r="ELH116" s="73"/>
      <c r="ELI116" s="73"/>
      <c r="ELJ116" s="73"/>
      <c r="ELK116" s="73"/>
      <c r="ELL116" s="73"/>
      <c r="ELM116" s="73"/>
      <c r="ELN116" s="73"/>
      <c r="ELO116" s="73"/>
      <c r="ELP116" s="73"/>
      <c r="ELQ116" s="73"/>
      <c r="ELR116" s="73"/>
      <c r="ELS116" s="73"/>
      <c r="ELT116" s="73"/>
      <c r="ELU116" s="73"/>
      <c r="ELV116" s="73"/>
      <c r="ELW116" s="73"/>
      <c r="ELX116" s="73"/>
      <c r="ELY116" s="73"/>
      <c r="ELZ116" s="73"/>
      <c r="EMA116" s="73"/>
      <c r="EMB116" s="73"/>
      <c r="EMC116" s="73"/>
      <c r="EMD116" s="73"/>
      <c r="EME116" s="73"/>
      <c r="EMF116" s="73"/>
      <c r="EMG116" s="73"/>
      <c r="EMH116" s="73"/>
      <c r="EMI116" s="73"/>
      <c r="EMJ116" s="73"/>
      <c r="EMK116" s="73"/>
      <c r="EML116" s="73"/>
      <c r="EMM116" s="73"/>
      <c r="EMN116" s="73"/>
      <c r="EMO116" s="73"/>
      <c r="EMP116" s="73"/>
      <c r="EMQ116" s="73"/>
      <c r="EMR116" s="73"/>
      <c r="EMS116" s="73"/>
      <c r="EMT116" s="73"/>
      <c r="EMU116" s="73"/>
      <c r="EMV116" s="73"/>
      <c r="EMW116" s="73"/>
      <c r="EMX116" s="73"/>
      <c r="EMY116" s="73"/>
      <c r="EMZ116" s="73"/>
      <c r="ENA116" s="73"/>
      <c r="ENB116" s="73"/>
      <c r="ENC116" s="73"/>
      <c r="END116" s="73"/>
      <c r="ENE116" s="73"/>
      <c r="ENF116" s="73"/>
      <c r="ENG116" s="73"/>
      <c r="ENH116" s="73"/>
      <c r="ENI116" s="73"/>
      <c r="ENJ116" s="73"/>
      <c r="ENK116" s="73"/>
      <c r="ENL116" s="73"/>
      <c r="ENM116" s="73"/>
      <c r="ENN116" s="73"/>
      <c r="ENO116" s="73"/>
      <c r="ENP116" s="73"/>
      <c r="ENQ116" s="73"/>
      <c r="ENR116" s="73"/>
      <c r="ENS116" s="73"/>
      <c r="ENT116" s="73"/>
      <c r="ENU116" s="73"/>
      <c r="ENV116" s="73"/>
      <c r="ENW116" s="73"/>
      <c r="ENX116" s="73"/>
      <c r="ENY116" s="73"/>
      <c r="ENZ116" s="73"/>
      <c r="EOA116" s="73"/>
      <c r="EOB116" s="73"/>
      <c r="EOC116" s="73"/>
      <c r="EOD116" s="73"/>
      <c r="EOE116" s="73"/>
      <c r="EOF116" s="73"/>
      <c r="EOG116" s="73"/>
      <c r="EOH116" s="73"/>
      <c r="EOI116" s="73"/>
      <c r="EOJ116" s="73"/>
      <c r="EOK116" s="73"/>
      <c r="EOL116" s="73"/>
      <c r="EOM116" s="73"/>
      <c r="EON116" s="73"/>
      <c r="EOO116" s="73"/>
      <c r="EOP116" s="73"/>
      <c r="EOQ116" s="73"/>
      <c r="EOR116" s="73"/>
      <c r="EOS116" s="73"/>
      <c r="EOT116" s="73"/>
      <c r="EOU116" s="73"/>
      <c r="EOV116" s="73"/>
      <c r="EOW116" s="73"/>
      <c r="EOX116" s="73"/>
      <c r="EOY116" s="73"/>
      <c r="EOZ116" s="73"/>
      <c r="EPA116" s="73"/>
      <c r="EPB116" s="73"/>
      <c r="EPC116" s="73"/>
      <c r="EPD116" s="73"/>
      <c r="EPE116" s="73"/>
      <c r="EPF116" s="73"/>
      <c r="EPG116" s="73"/>
      <c r="EPH116" s="73"/>
      <c r="EPI116" s="73"/>
      <c r="EPJ116" s="73"/>
      <c r="EPK116" s="73"/>
      <c r="EPL116" s="73"/>
      <c r="EPM116" s="73"/>
      <c r="EPN116" s="73"/>
      <c r="EPO116" s="73"/>
      <c r="EPP116" s="73"/>
      <c r="EPQ116" s="73"/>
      <c r="EPR116" s="73"/>
      <c r="EPS116" s="73"/>
      <c r="EPT116" s="73"/>
      <c r="EPU116" s="73"/>
      <c r="EPV116" s="73"/>
      <c r="EPW116" s="73"/>
      <c r="EPX116" s="73"/>
      <c r="EPY116" s="73"/>
      <c r="EPZ116" s="73"/>
      <c r="EQA116" s="73"/>
      <c r="EQB116" s="73"/>
      <c r="EQC116" s="73"/>
      <c r="EQD116" s="73"/>
      <c r="EQE116" s="73"/>
      <c r="EQF116" s="73"/>
      <c r="EQG116" s="73"/>
      <c r="EQH116" s="73"/>
      <c r="EQI116" s="73"/>
      <c r="EQJ116" s="73"/>
      <c r="EQK116" s="73"/>
      <c r="EQL116" s="73"/>
      <c r="EQM116" s="73"/>
      <c r="EQN116" s="73"/>
      <c r="EQO116" s="73"/>
      <c r="EQP116" s="73"/>
      <c r="EQQ116" s="73"/>
      <c r="EQR116" s="73"/>
      <c r="EQS116" s="73"/>
      <c r="EQT116" s="73"/>
      <c r="EQU116" s="73"/>
      <c r="EQV116" s="73"/>
      <c r="EQW116" s="73"/>
      <c r="EQX116" s="73"/>
      <c r="EQY116" s="73"/>
      <c r="EQZ116" s="73"/>
      <c r="ERA116" s="73"/>
      <c r="ERB116" s="73"/>
      <c r="ERC116" s="73"/>
      <c r="ERD116" s="73"/>
      <c r="ERE116" s="73"/>
      <c r="ERF116" s="73"/>
      <c r="ERG116" s="73"/>
      <c r="ERH116" s="73"/>
      <c r="ERI116" s="73"/>
      <c r="ERJ116" s="73"/>
      <c r="ERK116" s="73"/>
      <c r="ERL116" s="73"/>
      <c r="ERM116" s="73"/>
      <c r="ERN116" s="73"/>
      <c r="ERO116" s="73"/>
      <c r="ERP116" s="73"/>
      <c r="ERQ116" s="73"/>
      <c r="ERR116" s="73"/>
      <c r="ERS116" s="73"/>
      <c r="ERT116" s="73"/>
      <c r="ERU116" s="73"/>
      <c r="ERV116" s="73"/>
      <c r="ERW116" s="73"/>
      <c r="ERX116" s="73"/>
      <c r="ERY116" s="73"/>
      <c r="ERZ116" s="73"/>
      <c r="ESA116" s="73"/>
      <c r="ESB116" s="73"/>
      <c r="ESC116" s="73"/>
      <c r="ESD116" s="73"/>
      <c r="ESE116" s="73"/>
      <c r="ESF116" s="73"/>
      <c r="ESG116" s="73"/>
      <c r="ESH116" s="73"/>
      <c r="ESI116" s="73"/>
      <c r="ESJ116" s="73"/>
      <c r="ESK116" s="73"/>
      <c r="ESL116" s="73"/>
      <c r="ESM116" s="73"/>
      <c r="ESN116" s="73"/>
      <c r="ESO116" s="73"/>
      <c r="ESP116" s="73"/>
      <c r="ESQ116" s="73"/>
      <c r="ESR116" s="73"/>
      <c r="ESS116" s="73"/>
      <c r="EST116" s="73"/>
      <c r="ESU116" s="73"/>
      <c r="ESV116" s="73"/>
      <c r="ESW116" s="73"/>
      <c r="ESX116" s="73"/>
      <c r="ESY116" s="73"/>
      <c r="ESZ116" s="73"/>
      <c r="ETA116" s="73"/>
      <c r="ETB116" s="73"/>
      <c r="ETC116" s="73"/>
      <c r="ETD116" s="73"/>
      <c r="ETE116" s="73"/>
      <c r="ETF116" s="73"/>
      <c r="ETG116" s="73"/>
      <c r="ETH116" s="73"/>
      <c r="ETI116" s="73"/>
      <c r="ETJ116" s="73"/>
      <c r="ETK116" s="73"/>
      <c r="ETL116" s="73"/>
      <c r="ETM116" s="73"/>
      <c r="ETN116" s="73"/>
      <c r="ETO116" s="73"/>
      <c r="ETP116" s="73"/>
      <c r="ETQ116" s="73"/>
      <c r="ETR116" s="73"/>
      <c r="ETS116" s="73"/>
      <c r="ETT116" s="73"/>
      <c r="ETU116" s="73"/>
      <c r="ETV116" s="73"/>
      <c r="ETW116" s="73"/>
      <c r="ETX116" s="73"/>
      <c r="ETY116" s="73"/>
      <c r="ETZ116" s="73"/>
      <c r="EUA116" s="73"/>
      <c r="EUB116" s="73"/>
      <c r="EUC116" s="73"/>
      <c r="EUD116" s="73"/>
      <c r="EUE116" s="73"/>
      <c r="EUF116" s="73"/>
      <c r="EUG116" s="73"/>
      <c r="EUH116" s="73"/>
      <c r="EUI116" s="73"/>
      <c r="EUJ116" s="73"/>
      <c r="EUK116" s="73"/>
      <c r="EUL116" s="73"/>
      <c r="EUM116" s="73"/>
      <c r="EUN116" s="73"/>
      <c r="EUO116" s="73"/>
      <c r="EUP116" s="73"/>
      <c r="EUQ116" s="73"/>
      <c r="EUR116" s="73"/>
      <c r="EUS116" s="73"/>
      <c r="EUT116" s="73"/>
      <c r="EUU116" s="73"/>
      <c r="EUV116" s="73"/>
      <c r="EUW116" s="73"/>
      <c r="EUX116" s="73"/>
      <c r="EUY116" s="73"/>
      <c r="EUZ116" s="73"/>
      <c r="EVA116" s="73"/>
      <c r="EVB116" s="73"/>
      <c r="EVC116" s="73"/>
      <c r="EVD116" s="73"/>
      <c r="EVE116" s="73"/>
      <c r="EVF116" s="73"/>
      <c r="EVG116" s="73"/>
      <c r="EVH116" s="73"/>
      <c r="EVI116" s="73"/>
      <c r="EVJ116" s="73"/>
      <c r="EVK116" s="73"/>
      <c r="EVL116" s="73"/>
      <c r="EVM116" s="73"/>
      <c r="EVN116" s="73"/>
      <c r="EVO116" s="73"/>
      <c r="EVP116" s="73"/>
      <c r="EVQ116" s="73"/>
      <c r="EVR116" s="73"/>
      <c r="EVS116" s="73"/>
      <c r="EVT116" s="73"/>
      <c r="EVU116" s="73"/>
      <c r="EVV116" s="73"/>
      <c r="EVW116" s="73"/>
      <c r="EVX116" s="73"/>
      <c r="EVY116" s="73"/>
      <c r="EVZ116" s="73"/>
      <c r="EWA116" s="73"/>
      <c r="EWB116" s="73"/>
      <c r="EWC116" s="73"/>
      <c r="EWD116" s="73"/>
      <c r="EWE116" s="73"/>
      <c r="EWF116" s="73"/>
      <c r="EWG116" s="73"/>
      <c r="EWH116" s="73"/>
      <c r="EWI116" s="73"/>
      <c r="EWJ116" s="73"/>
      <c r="EWK116" s="73"/>
      <c r="EWL116" s="73"/>
      <c r="EWM116" s="73"/>
      <c r="EWN116" s="73"/>
      <c r="EWO116" s="73"/>
      <c r="EWP116" s="73"/>
      <c r="EWQ116" s="73"/>
      <c r="EWR116" s="73"/>
      <c r="EWS116" s="73"/>
      <c r="EWT116" s="73"/>
      <c r="EWU116" s="73"/>
      <c r="EWV116" s="73"/>
      <c r="EWW116" s="73"/>
      <c r="EWX116" s="73"/>
      <c r="EWY116" s="73"/>
      <c r="EWZ116" s="73"/>
      <c r="EXA116" s="73"/>
      <c r="EXB116" s="73"/>
      <c r="EXC116" s="73"/>
      <c r="EXD116" s="73"/>
      <c r="EXE116" s="73"/>
      <c r="EXF116" s="73"/>
      <c r="EXG116" s="73"/>
      <c r="EXH116" s="73"/>
      <c r="EXI116" s="73"/>
      <c r="EXJ116" s="73"/>
      <c r="EXK116" s="73"/>
      <c r="EXL116" s="73"/>
      <c r="EXM116" s="73"/>
      <c r="EXN116" s="73"/>
      <c r="EXO116" s="73"/>
      <c r="EXP116" s="73"/>
      <c r="EXQ116" s="73"/>
      <c r="EXR116" s="73"/>
      <c r="EXS116" s="73"/>
      <c r="EXT116" s="73"/>
      <c r="EXU116" s="73"/>
      <c r="EXV116" s="73"/>
      <c r="EXW116" s="73"/>
      <c r="EXX116" s="73"/>
      <c r="EXY116" s="73"/>
      <c r="EXZ116" s="73"/>
      <c r="EYA116" s="73"/>
      <c r="EYB116" s="73"/>
      <c r="EYC116" s="73"/>
      <c r="EYD116" s="73"/>
      <c r="EYE116" s="73"/>
      <c r="EYF116" s="73"/>
      <c r="EYG116" s="73"/>
      <c r="EYH116" s="73"/>
      <c r="EYI116" s="73"/>
      <c r="EYJ116" s="73"/>
      <c r="EYK116" s="73"/>
      <c r="EYL116" s="73"/>
      <c r="EYM116" s="73"/>
      <c r="EYN116" s="73"/>
      <c r="EYO116" s="73"/>
      <c r="EYP116" s="73"/>
      <c r="EYQ116" s="73"/>
      <c r="EYR116" s="73"/>
      <c r="EYS116" s="73"/>
      <c r="EYT116" s="73"/>
      <c r="EYU116" s="73"/>
      <c r="EYV116" s="73"/>
      <c r="EYW116" s="73"/>
      <c r="EYX116" s="73"/>
      <c r="EYY116" s="73"/>
      <c r="EYZ116" s="73"/>
      <c r="EZA116" s="73"/>
      <c r="EZB116" s="73"/>
      <c r="EZC116" s="73"/>
      <c r="EZD116" s="73"/>
      <c r="EZE116" s="73"/>
      <c r="EZF116" s="73"/>
      <c r="EZG116" s="73"/>
      <c r="EZH116" s="73"/>
      <c r="EZI116" s="73"/>
      <c r="EZJ116" s="73"/>
      <c r="EZK116" s="73"/>
      <c r="EZL116" s="73"/>
      <c r="EZM116" s="73"/>
      <c r="EZN116" s="73"/>
      <c r="EZO116" s="73"/>
      <c r="EZP116" s="73"/>
      <c r="EZQ116" s="73"/>
      <c r="EZR116" s="73"/>
      <c r="EZS116" s="73"/>
      <c r="EZT116" s="73"/>
      <c r="EZU116" s="73"/>
      <c r="EZV116" s="73"/>
      <c r="EZW116" s="73"/>
      <c r="EZX116" s="73"/>
      <c r="EZY116" s="73"/>
      <c r="EZZ116" s="73"/>
      <c r="FAA116" s="73"/>
      <c r="FAB116" s="73"/>
      <c r="FAC116" s="73"/>
      <c r="FAD116" s="73"/>
      <c r="FAE116" s="73"/>
      <c r="FAF116" s="73"/>
      <c r="FAG116" s="73"/>
      <c r="FAH116" s="73"/>
      <c r="FAI116" s="73"/>
      <c r="FAJ116" s="73"/>
      <c r="FAK116" s="73"/>
      <c r="FAL116" s="73"/>
      <c r="FAM116" s="73"/>
      <c r="FAN116" s="73"/>
      <c r="FAO116" s="73"/>
      <c r="FAP116" s="73"/>
      <c r="FAQ116" s="73"/>
      <c r="FAR116" s="73"/>
      <c r="FAS116" s="73"/>
      <c r="FAT116" s="73"/>
      <c r="FAU116" s="73"/>
      <c r="FAV116" s="73"/>
      <c r="FAW116" s="73"/>
      <c r="FAX116" s="73"/>
      <c r="FAY116" s="73"/>
      <c r="FAZ116" s="73"/>
      <c r="FBA116" s="73"/>
      <c r="FBB116" s="73"/>
      <c r="FBC116" s="73"/>
      <c r="FBD116" s="73"/>
      <c r="FBE116" s="73"/>
      <c r="FBF116" s="73"/>
      <c r="FBG116" s="73"/>
      <c r="FBH116" s="73"/>
      <c r="FBI116" s="73"/>
      <c r="FBJ116" s="73"/>
      <c r="FBK116" s="73"/>
      <c r="FBL116" s="73"/>
      <c r="FBM116" s="73"/>
      <c r="FBN116" s="73"/>
      <c r="FBO116" s="73"/>
      <c r="FBP116" s="73"/>
      <c r="FBQ116" s="73"/>
      <c r="FBR116" s="73"/>
      <c r="FBS116" s="73"/>
      <c r="FBT116" s="73"/>
      <c r="FBU116" s="73"/>
      <c r="FBV116" s="73"/>
      <c r="FBW116" s="73"/>
      <c r="FBX116" s="73"/>
      <c r="FBY116" s="73"/>
      <c r="FBZ116" s="73"/>
      <c r="FCA116" s="73"/>
      <c r="FCB116" s="73"/>
      <c r="FCC116" s="73"/>
      <c r="FCD116" s="73"/>
      <c r="FCE116" s="73"/>
      <c r="FCF116" s="73"/>
      <c r="FCG116" s="73"/>
      <c r="FCH116" s="73"/>
      <c r="FCI116" s="73"/>
      <c r="FCJ116" s="73"/>
      <c r="FCK116" s="73"/>
      <c r="FCL116" s="73"/>
      <c r="FCM116" s="73"/>
      <c r="FCN116" s="73"/>
      <c r="FCO116" s="73"/>
      <c r="FCP116" s="73"/>
      <c r="FCQ116" s="73"/>
      <c r="FCR116" s="73"/>
      <c r="FCS116" s="73"/>
      <c r="FCT116" s="73"/>
      <c r="FCU116" s="73"/>
      <c r="FCV116" s="73"/>
      <c r="FCW116" s="73"/>
      <c r="FCX116" s="73"/>
      <c r="FCY116" s="73"/>
      <c r="FCZ116" s="73"/>
      <c r="FDA116" s="73"/>
      <c r="FDB116" s="73"/>
      <c r="FDC116" s="73"/>
      <c r="FDD116" s="73"/>
      <c r="FDE116" s="73"/>
      <c r="FDF116" s="73"/>
      <c r="FDG116" s="73"/>
      <c r="FDH116" s="73"/>
      <c r="FDI116" s="73"/>
      <c r="FDJ116" s="73"/>
      <c r="FDK116" s="73"/>
      <c r="FDL116" s="73"/>
      <c r="FDM116" s="73"/>
      <c r="FDN116" s="73"/>
      <c r="FDO116" s="73"/>
      <c r="FDP116" s="73"/>
      <c r="FDQ116" s="73"/>
      <c r="FDR116" s="73"/>
      <c r="FDS116" s="73"/>
      <c r="FDT116" s="73"/>
      <c r="FDU116" s="73"/>
      <c r="FDV116" s="73"/>
      <c r="FDW116" s="73"/>
      <c r="FDX116" s="73"/>
      <c r="FDY116" s="73"/>
      <c r="FDZ116" s="73"/>
      <c r="FEA116" s="73"/>
      <c r="FEB116" s="73"/>
      <c r="FEC116" s="73"/>
      <c r="FED116" s="73"/>
      <c r="FEE116" s="73"/>
      <c r="FEF116" s="73"/>
      <c r="FEG116" s="73"/>
      <c r="FEH116" s="73"/>
      <c r="FEI116" s="73"/>
      <c r="FEJ116" s="73"/>
      <c r="FEK116" s="73"/>
      <c r="FEL116" s="73"/>
      <c r="FEM116" s="73"/>
      <c r="FEN116" s="73"/>
      <c r="FEO116" s="73"/>
      <c r="FEP116" s="73"/>
      <c r="FEQ116" s="73"/>
      <c r="FER116" s="73"/>
      <c r="FES116" s="73"/>
      <c r="FET116" s="73"/>
      <c r="FEU116" s="73"/>
      <c r="FEV116" s="73"/>
      <c r="FEW116" s="73"/>
      <c r="FEX116" s="73"/>
      <c r="FEY116" s="73"/>
      <c r="FEZ116" s="73"/>
      <c r="FFA116" s="73"/>
      <c r="FFB116" s="73"/>
      <c r="FFC116" s="73"/>
      <c r="FFD116" s="73"/>
      <c r="FFE116" s="73"/>
      <c r="FFF116" s="73"/>
      <c r="FFG116" s="73"/>
      <c r="FFH116" s="73"/>
      <c r="FFI116" s="73"/>
      <c r="FFJ116" s="73"/>
      <c r="FFK116" s="73"/>
      <c r="FFL116" s="73"/>
      <c r="FFM116" s="73"/>
      <c r="FFN116" s="73"/>
      <c r="FFO116" s="73"/>
      <c r="FFP116" s="73"/>
      <c r="FFQ116" s="73"/>
      <c r="FFR116" s="73"/>
      <c r="FFS116" s="73"/>
      <c r="FFT116" s="73"/>
      <c r="FFU116" s="73"/>
      <c r="FFV116" s="73"/>
      <c r="FFW116" s="73"/>
      <c r="FFX116" s="73"/>
      <c r="FFY116" s="73"/>
      <c r="FFZ116" s="73"/>
      <c r="FGA116" s="73"/>
      <c r="FGB116" s="73"/>
      <c r="FGC116" s="73"/>
      <c r="FGD116" s="73"/>
      <c r="FGE116" s="73"/>
      <c r="FGF116" s="73"/>
      <c r="FGG116" s="73"/>
      <c r="FGH116" s="73"/>
      <c r="FGI116" s="73"/>
      <c r="FGJ116" s="73"/>
      <c r="FGK116" s="73"/>
      <c r="FGL116" s="73"/>
      <c r="FGM116" s="73"/>
      <c r="FGN116" s="73"/>
      <c r="FGO116" s="73"/>
      <c r="FGP116" s="73"/>
      <c r="FGQ116" s="73"/>
      <c r="FGR116" s="73"/>
      <c r="FGS116" s="73"/>
      <c r="FGT116" s="73"/>
      <c r="FGU116" s="73"/>
      <c r="FGV116" s="73"/>
      <c r="FGW116" s="73"/>
      <c r="FGX116" s="73"/>
      <c r="FGY116" s="73"/>
      <c r="FGZ116" s="73"/>
      <c r="FHA116" s="73"/>
      <c r="FHB116" s="73"/>
      <c r="FHC116" s="73"/>
      <c r="FHD116" s="73"/>
      <c r="FHE116" s="73"/>
      <c r="FHF116" s="73"/>
      <c r="FHG116" s="73"/>
      <c r="FHH116" s="73"/>
      <c r="FHI116" s="73"/>
      <c r="FHJ116" s="73"/>
      <c r="FHK116" s="73"/>
      <c r="FHL116" s="73"/>
      <c r="FHM116" s="73"/>
      <c r="FHN116" s="73"/>
      <c r="FHO116" s="73"/>
      <c r="FHP116" s="73"/>
      <c r="FHQ116" s="73"/>
      <c r="FHR116" s="73"/>
      <c r="FHS116" s="73"/>
      <c r="FHT116" s="73"/>
      <c r="FHU116" s="73"/>
      <c r="FHV116" s="73"/>
      <c r="FHW116" s="73"/>
      <c r="FHX116" s="73"/>
      <c r="FHY116" s="73"/>
      <c r="FHZ116" s="73"/>
      <c r="FIA116" s="73"/>
      <c r="FIB116" s="73"/>
      <c r="FIC116" s="73"/>
      <c r="FID116" s="73"/>
      <c r="FIE116" s="73"/>
      <c r="FIF116" s="73"/>
      <c r="FIG116" s="73"/>
      <c r="FIH116" s="73"/>
      <c r="FII116" s="73"/>
      <c r="FIJ116" s="73"/>
      <c r="FIK116" s="73"/>
      <c r="FIL116" s="73"/>
      <c r="FIM116" s="73"/>
      <c r="FIN116" s="73"/>
      <c r="FIO116" s="73"/>
      <c r="FIP116" s="73"/>
      <c r="FIQ116" s="73"/>
      <c r="FIR116" s="73"/>
      <c r="FIS116" s="73"/>
      <c r="FIT116" s="73"/>
      <c r="FIU116" s="73"/>
      <c r="FIV116" s="73"/>
      <c r="FIW116" s="73"/>
      <c r="FIX116" s="73"/>
      <c r="FIY116" s="73"/>
      <c r="FIZ116" s="73"/>
      <c r="FJA116" s="73"/>
      <c r="FJB116" s="73"/>
      <c r="FJC116" s="73"/>
      <c r="FJD116" s="73"/>
      <c r="FJE116" s="73"/>
      <c r="FJF116" s="73"/>
      <c r="FJG116" s="73"/>
      <c r="FJH116" s="73"/>
      <c r="FJI116" s="73"/>
      <c r="FJJ116" s="73"/>
      <c r="FJK116" s="73"/>
      <c r="FJL116" s="73"/>
      <c r="FJM116" s="73"/>
      <c r="FJN116" s="73"/>
      <c r="FJO116" s="73"/>
      <c r="FJP116" s="73"/>
      <c r="FJQ116" s="73"/>
      <c r="FJR116" s="73"/>
      <c r="FJS116" s="73"/>
      <c r="FJT116" s="73"/>
      <c r="FJU116" s="73"/>
      <c r="FJV116" s="73"/>
      <c r="FJW116" s="73"/>
      <c r="FJX116" s="73"/>
      <c r="FJY116" s="73"/>
      <c r="FJZ116" s="73"/>
      <c r="FKA116" s="73"/>
      <c r="FKB116" s="73"/>
      <c r="FKC116" s="73"/>
      <c r="FKD116" s="73"/>
      <c r="FKE116" s="73"/>
      <c r="FKF116" s="73"/>
      <c r="FKG116" s="73"/>
      <c r="FKH116" s="73"/>
      <c r="FKI116" s="73"/>
      <c r="FKJ116" s="73"/>
      <c r="FKK116" s="73"/>
      <c r="FKL116" s="73"/>
      <c r="FKM116" s="73"/>
      <c r="FKN116" s="73"/>
      <c r="FKO116" s="73"/>
      <c r="FKP116" s="73"/>
      <c r="FKQ116" s="73"/>
      <c r="FKR116" s="73"/>
      <c r="FKS116" s="73"/>
      <c r="FKT116" s="73"/>
      <c r="FKU116" s="73"/>
      <c r="FKV116" s="73"/>
      <c r="FKW116" s="73"/>
      <c r="FKX116" s="73"/>
      <c r="FKY116" s="73"/>
      <c r="FKZ116" s="73"/>
      <c r="FLA116" s="73"/>
      <c r="FLB116" s="73"/>
      <c r="FLC116" s="73"/>
      <c r="FLD116" s="73"/>
      <c r="FLE116" s="73"/>
      <c r="FLF116" s="73"/>
      <c r="FLG116" s="73"/>
      <c r="FLH116" s="73"/>
      <c r="FLI116" s="73"/>
      <c r="FLJ116" s="73"/>
      <c r="FLK116" s="73"/>
      <c r="FLL116" s="73"/>
      <c r="FLM116" s="73"/>
      <c r="FLN116" s="73"/>
      <c r="FLO116" s="73"/>
      <c r="FLP116" s="73"/>
      <c r="FLQ116" s="73"/>
      <c r="FLR116" s="73"/>
      <c r="FLS116" s="73"/>
      <c r="FLT116" s="73"/>
      <c r="FLU116" s="73"/>
      <c r="FLV116" s="73"/>
      <c r="FLW116" s="73"/>
      <c r="FLX116" s="73"/>
      <c r="FLY116" s="73"/>
      <c r="FLZ116" s="73"/>
      <c r="FMA116" s="73"/>
      <c r="FMB116" s="73"/>
      <c r="FMC116" s="73"/>
      <c r="FMD116" s="73"/>
      <c r="FME116" s="73"/>
      <c r="FMF116" s="73"/>
      <c r="FMG116" s="73"/>
      <c r="FMH116" s="73"/>
      <c r="FMI116" s="73"/>
      <c r="FMJ116" s="73"/>
      <c r="FMK116" s="73"/>
      <c r="FML116" s="73"/>
      <c r="FMM116" s="73"/>
      <c r="FMN116" s="73"/>
      <c r="FMO116" s="73"/>
      <c r="FMP116" s="73"/>
      <c r="FMQ116" s="73"/>
      <c r="FMR116" s="73"/>
      <c r="FMS116" s="73"/>
      <c r="FMT116" s="73"/>
      <c r="FMU116" s="73"/>
      <c r="FMV116" s="73"/>
      <c r="FMW116" s="73"/>
      <c r="FMX116" s="73"/>
      <c r="FMY116" s="73"/>
      <c r="FMZ116" s="73"/>
      <c r="FNA116" s="73"/>
      <c r="FNB116" s="73"/>
      <c r="FNC116" s="73"/>
      <c r="FND116" s="73"/>
      <c r="FNE116" s="73"/>
      <c r="FNF116" s="73"/>
      <c r="FNG116" s="73"/>
      <c r="FNH116" s="73"/>
      <c r="FNI116" s="73"/>
      <c r="FNJ116" s="73"/>
      <c r="FNK116" s="73"/>
      <c r="FNL116" s="73"/>
      <c r="FNM116" s="73"/>
      <c r="FNN116" s="73"/>
      <c r="FNO116" s="73"/>
      <c r="FNP116" s="73"/>
      <c r="FNQ116" s="73"/>
      <c r="FNR116" s="73"/>
      <c r="FNS116" s="73"/>
      <c r="FNT116" s="73"/>
      <c r="FNU116" s="73"/>
      <c r="FNV116" s="73"/>
      <c r="FNW116" s="73"/>
      <c r="FNX116" s="73"/>
      <c r="FNY116" s="73"/>
      <c r="FNZ116" s="73"/>
      <c r="FOA116" s="73"/>
      <c r="FOB116" s="73"/>
      <c r="FOC116" s="73"/>
      <c r="FOD116" s="73"/>
      <c r="FOE116" s="73"/>
      <c r="FOF116" s="73"/>
      <c r="FOG116" s="73"/>
      <c r="FOH116" s="73"/>
      <c r="FOI116" s="73"/>
      <c r="FOJ116" s="73"/>
      <c r="FOK116" s="73"/>
      <c r="FOL116" s="73"/>
      <c r="FOM116" s="73"/>
      <c r="FON116" s="73"/>
      <c r="FOO116" s="73"/>
      <c r="FOP116" s="73"/>
      <c r="FOQ116" s="73"/>
      <c r="FOR116" s="73"/>
      <c r="FOS116" s="73"/>
      <c r="FOT116" s="73"/>
      <c r="FOU116" s="73"/>
      <c r="FOV116" s="73"/>
      <c r="FOW116" s="73"/>
      <c r="FOX116" s="73"/>
      <c r="FOY116" s="73"/>
      <c r="FOZ116" s="73"/>
      <c r="FPA116" s="73"/>
      <c r="FPB116" s="73"/>
      <c r="FPC116" s="73"/>
      <c r="FPD116" s="73"/>
      <c r="FPE116" s="73"/>
      <c r="FPF116" s="73"/>
      <c r="FPG116" s="73"/>
      <c r="FPH116" s="73"/>
      <c r="FPI116" s="73"/>
      <c r="FPJ116" s="73"/>
      <c r="FPK116" s="73"/>
      <c r="FPL116" s="73"/>
      <c r="FPM116" s="73"/>
      <c r="FPN116" s="73"/>
      <c r="FPO116" s="73"/>
      <c r="FPP116" s="73"/>
      <c r="FPQ116" s="73"/>
      <c r="FPR116" s="73"/>
      <c r="FPS116" s="73"/>
      <c r="FPT116" s="73"/>
      <c r="FPU116" s="73"/>
      <c r="FPV116" s="73"/>
      <c r="FPW116" s="73"/>
      <c r="FPX116" s="73"/>
      <c r="FPY116" s="73"/>
      <c r="FPZ116" s="73"/>
      <c r="FQA116" s="73"/>
      <c r="FQB116" s="73"/>
      <c r="FQC116" s="73"/>
      <c r="FQD116" s="73"/>
      <c r="FQE116" s="73"/>
      <c r="FQF116" s="73"/>
      <c r="FQG116" s="73"/>
      <c r="FQH116" s="73"/>
      <c r="FQI116" s="73"/>
      <c r="FQJ116" s="73"/>
      <c r="FQK116" s="73"/>
      <c r="FQL116" s="73"/>
      <c r="FQM116" s="73"/>
      <c r="FQN116" s="73"/>
      <c r="FQO116" s="73"/>
      <c r="FQP116" s="73"/>
      <c r="FQQ116" s="73"/>
      <c r="FQR116" s="73"/>
      <c r="FQS116" s="73"/>
      <c r="FQT116" s="73"/>
      <c r="FQU116" s="73"/>
      <c r="FQV116" s="73"/>
      <c r="FQW116" s="73"/>
      <c r="FQX116" s="73"/>
      <c r="FQY116" s="73"/>
      <c r="FQZ116" s="73"/>
      <c r="FRA116" s="73"/>
      <c r="FRB116" s="73"/>
      <c r="FRC116" s="73"/>
      <c r="FRD116" s="73"/>
      <c r="FRE116" s="73"/>
      <c r="FRF116" s="73"/>
      <c r="FRG116" s="73"/>
      <c r="FRH116" s="73"/>
      <c r="FRI116" s="73"/>
      <c r="FRJ116" s="73"/>
      <c r="FRK116" s="73"/>
      <c r="FRL116" s="73"/>
      <c r="FRM116" s="73"/>
      <c r="FRN116" s="73"/>
      <c r="FRO116" s="73"/>
      <c r="FRP116" s="73"/>
      <c r="FRQ116" s="73"/>
      <c r="FRR116" s="73"/>
      <c r="FRS116" s="73"/>
      <c r="FRT116" s="73"/>
      <c r="FRU116" s="73"/>
      <c r="FRV116" s="73"/>
      <c r="FRW116" s="73"/>
      <c r="FRX116" s="73"/>
      <c r="FRY116" s="73"/>
      <c r="FRZ116" s="73"/>
      <c r="FSA116" s="73"/>
      <c r="FSB116" s="73"/>
      <c r="FSC116" s="73"/>
      <c r="FSD116" s="73"/>
      <c r="FSE116" s="73"/>
      <c r="FSF116" s="73"/>
      <c r="FSG116" s="73"/>
      <c r="FSH116" s="73"/>
      <c r="FSI116" s="73"/>
      <c r="FSJ116" s="73"/>
      <c r="FSK116" s="73"/>
      <c r="FSL116" s="73"/>
      <c r="FSM116" s="73"/>
      <c r="FSN116" s="73"/>
      <c r="FSO116" s="73"/>
      <c r="FSP116" s="73"/>
      <c r="FSQ116" s="73"/>
      <c r="FSR116" s="73"/>
      <c r="FSS116" s="73"/>
      <c r="FST116" s="73"/>
      <c r="FSU116" s="73"/>
      <c r="FSV116" s="73"/>
      <c r="FSW116" s="73"/>
      <c r="FSX116" s="73"/>
      <c r="FSY116" s="73"/>
      <c r="FSZ116" s="73"/>
      <c r="FTA116" s="73"/>
      <c r="FTB116" s="73"/>
      <c r="FTC116" s="73"/>
      <c r="FTD116" s="73"/>
      <c r="FTE116" s="73"/>
      <c r="FTF116" s="73"/>
      <c r="FTG116" s="73"/>
      <c r="FTH116" s="73"/>
      <c r="FTI116" s="73"/>
      <c r="FTJ116" s="73"/>
      <c r="FTK116" s="73"/>
      <c r="FTL116" s="73"/>
      <c r="FTM116" s="73"/>
      <c r="FTN116" s="73"/>
      <c r="FTO116" s="73"/>
      <c r="FTP116" s="73"/>
      <c r="FTQ116" s="73"/>
      <c r="FTR116" s="73"/>
      <c r="FTS116" s="73"/>
      <c r="FTT116" s="73"/>
      <c r="FTU116" s="73"/>
      <c r="FTV116" s="73"/>
      <c r="FTW116" s="73"/>
      <c r="FTX116" s="73"/>
      <c r="FTY116" s="73"/>
      <c r="FTZ116" s="73"/>
      <c r="FUA116" s="73"/>
      <c r="FUB116" s="73"/>
      <c r="FUC116" s="73"/>
      <c r="FUD116" s="73"/>
      <c r="FUE116" s="73"/>
      <c r="FUF116" s="73"/>
      <c r="FUG116" s="73"/>
      <c r="FUH116" s="73"/>
      <c r="FUI116" s="73"/>
      <c r="FUJ116" s="73"/>
      <c r="FUK116" s="73"/>
      <c r="FUL116" s="73"/>
      <c r="FUM116" s="73"/>
      <c r="FUN116" s="73"/>
      <c r="FUO116" s="73"/>
      <c r="FUP116" s="73"/>
      <c r="FUQ116" s="73"/>
      <c r="FUR116" s="73"/>
      <c r="FUS116" s="73"/>
      <c r="FUT116" s="73"/>
      <c r="FUU116" s="73"/>
      <c r="FUV116" s="73"/>
      <c r="FUW116" s="73"/>
      <c r="FUX116" s="73"/>
      <c r="FUY116" s="73"/>
      <c r="FUZ116" s="73"/>
      <c r="FVA116" s="73"/>
      <c r="FVB116" s="73"/>
      <c r="FVC116" s="73"/>
      <c r="FVD116" s="73"/>
      <c r="FVE116" s="73"/>
      <c r="FVF116" s="73"/>
      <c r="FVG116" s="73"/>
      <c r="FVH116" s="73"/>
      <c r="FVI116" s="73"/>
      <c r="FVJ116" s="73"/>
      <c r="FVK116" s="73"/>
      <c r="FVL116" s="73"/>
      <c r="FVM116" s="73"/>
      <c r="FVN116" s="73"/>
      <c r="FVO116" s="73"/>
      <c r="FVP116" s="73"/>
      <c r="FVQ116" s="73"/>
      <c r="FVR116" s="73"/>
      <c r="FVS116" s="73"/>
      <c r="FVT116" s="73"/>
      <c r="FVU116" s="73"/>
      <c r="FVV116" s="73"/>
      <c r="FVW116" s="73"/>
      <c r="FVX116" s="73"/>
      <c r="FVY116" s="73"/>
      <c r="FVZ116" s="73"/>
      <c r="FWA116" s="73"/>
      <c r="FWB116" s="73"/>
      <c r="FWC116" s="73"/>
      <c r="FWD116" s="73"/>
      <c r="FWE116" s="73"/>
      <c r="FWF116" s="73"/>
      <c r="FWG116" s="73"/>
      <c r="FWH116" s="73"/>
      <c r="FWI116" s="73"/>
      <c r="FWJ116" s="73"/>
      <c r="FWK116" s="73"/>
      <c r="FWL116" s="73"/>
      <c r="FWM116" s="73"/>
      <c r="FWN116" s="73"/>
      <c r="FWO116" s="73"/>
      <c r="FWP116" s="73"/>
      <c r="FWQ116" s="73"/>
      <c r="FWR116" s="73"/>
      <c r="FWS116" s="73"/>
      <c r="FWT116" s="73"/>
      <c r="FWU116" s="73"/>
      <c r="FWV116" s="73"/>
      <c r="FWW116" s="73"/>
      <c r="FWX116" s="73"/>
      <c r="FWY116" s="73"/>
      <c r="FWZ116" s="73"/>
      <c r="FXA116" s="73"/>
      <c r="FXB116" s="73"/>
      <c r="FXC116" s="73"/>
      <c r="FXD116" s="73"/>
      <c r="FXE116" s="73"/>
      <c r="FXF116" s="73"/>
      <c r="FXG116" s="73"/>
      <c r="FXH116" s="73"/>
      <c r="FXI116" s="73"/>
      <c r="FXJ116" s="73"/>
      <c r="FXK116" s="73"/>
      <c r="FXL116" s="73"/>
      <c r="FXM116" s="73"/>
      <c r="FXN116" s="73"/>
      <c r="FXO116" s="73"/>
      <c r="FXP116" s="73"/>
      <c r="FXQ116" s="73"/>
      <c r="FXR116" s="73"/>
      <c r="FXS116" s="73"/>
      <c r="FXT116" s="73"/>
      <c r="FXU116" s="73"/>
      <c r="FXV116" s="73"/>
      <c r="FXW116" s="73"/>
      <c r="FXX116" s="73"/>
      <c r="FXY116" s="73"/>
      <c r="FXZ116" s="73"/>
      <c r="FYA116" s="73"/>
      <c r="FYB116" s="73"/>
      <c r="FYC116" s="73"/>
      <c r="FYD116" s="73"/>
      <c r="FYE116" s="73"/>
      <c r="FYF116" s="73"/>
      <c r="FYG116" s="73"/>
      <c r="FYH116" s="73"/>
      <c r="FYI116" s="73"/>
      <c r="FYJ116" s="73"/>
      <c r="FYK116" s="73"/>
      <c r="FYL116" s="73"/>
      <c r="FYM116" s="73"/>
      <c r="FYN116" s="73"/>
      <c r="FYO116" s="73"/>
      <c r="FYP116" s="73"/>
      <c r="FYQ116" s="73"/>
      <c r="FYR116" s="73"/>
      <c r="FYS116" s="73"/>
      <c r="FYT116" s="73"/>
      <c r="FYU116" s="73"/>
      <c r="FYV116" s="73"/>
      <c r="FYW116" s="73"/>
      <c r="FYX116" s="73"/>
      <c r="FYY116" s="73"/>
      <c r="FYZ116" s="73"/>
      <c r="FZA116" s="73"/>
      <c r="FZB116" s="73"/>
      <c r="FZC116" s="73"/>
      <c r="FZD116" s="73"/>
      <c r="FZE116" s="73"/>
      <c r="FZF116" s="73"/>
      <c r="FZG116" s="73"/>
      <c r="FZH116" s="73"/>
      <c r="FZI116" s="73"/>
      <c r="FZJ116" s="73"/>
      <c r="FZK116" s="73"/>
      <c r="FZL116" s="73"/>
      <c r="FZM116" s="73"/>
      <c r="FZN116" s="73"/>
      <c r="FZO116" s="73"/>
      <c r="FZP116" s="73"/>
      <c r="FZQ116" s="73"/>
      <c r="FZR116" s="73"/>
      <c r="FZS116" s="73"/>
      <c r="FZT116" s="73"/>
      <c r="FZU116" s="73"/>
      <c r="FZV116" s="73"/>
      <c r="FZW116" s="73"/>
      <c r="FZX116" s="73"/>
      <c r="FZY116" s="73"/>
      <c r="FZZ116" s="73"/>
      <c r="GAA116" s="73"/>
      <c r="GAB116" s="73"/>
      <c r="GAC116" s="73"/>
      <c r="GAD116" s="73"/>
      <c r="GAE116" s="73"/>
      <c r="GAF116" s="73"/>
      <c r="GAG116" s="73"/>
      <c r="GAH116" s="73"/>
      <c r="GAI116" s="73"/>
      <c r="GAJ116" s="73"/>
      <c r="GAK116" s="73"/>
      <c r="GAL116" s="73"/>
      <c r="GAM116" s="73"/>
      <c r="GAN116" s="73"/>
      <c r="GAO116" s="73"/>
      <c r="GAP116" s="73"/>
      <c r="GAQ116" s="73"/>
      <c r="GAR116" s="73"/>
      <c r="GAS116" s="73"/>
      <c r="GAT116" s="73"/>
      <c r="GAU116" s="73"/>
      <c r="GAV116" s="73"/>
      <c r="GAW116" s="73"/>
      <c r="GAX116" s="73"/>
      <c r="GAY116" s="73"/>
      <c r="GAZ116" s="73"/>
      <c r="GBA116" s="73"/>
      <c r="GBB116" s="73"/>
      <c r="GBC116" s="73"/>
      <c r="GBD116" s="73"/>
      <c r="GBE116" s="73"/>
      <c r="GBF116" s="73"/>
      <c r="GBG116" s="73"/>
      <c r="GBH116" s="73"/>
      <c r="GBI116" s="73"/>
      <c r="GBJ116" s="73"/>
      <c r="GBK116" s="73"/>
      <c r="GBL116" s="73"/>
      <c r="GBM116" s="73"/>
      <c r="GBN116" s="73"/>
      <c r="GBO116" s="73"/>
      <c r="GBP116" s="73"/>
      <c r="GBQ116" s="73"/>
      <c r="GBR116" s="73"/>
      <c r="GBS116" s="73"/>
      <c r="GBT116" s="73"/>
      <c r="GBU116" s="73"/>
      <c r="GBV116" s="73"/>
      <c r="GBW116" s="73"/>
      <c r="GBX116" s="73"/>
      <c r="GBY116" s="73"/>
      <c r="GBZ116" s="73"/>
      <c r="GCA116" s="73"/>
      <c r="GCB116" s="73"/>
      <c r="GCC116" s="73"/>
      <c r="GCD116" s="73"/>
      <c r="GCE116" s="73"/>
      <c r="GCF116" s="73"/>
      <c r="GCG116" s="73"/>
      <c r="GCH116" s="73"/>
      <c r="GCI116" s="73"/>
      <c r="GCJ116" s="73"/>
      <c r="GCK116" s="73"/>
      <c r="GCL116" s="73"/>
      <c r="GCM116" s="73"/>
      <c r="GCN116" s="73"/>
      <c r="GCO116" s="73"/>
      <c r="GCP116" s="73"/>
      <c r="GCQ116" s="73"/>
      <c r="GCR116" s="73"/>
      <c r="GCS116" s="73"/>
      <c r="GCT116" s="73"/>
      <c r="GCU116" s="73"/>
      <c r="GCV116" s="73"/>
      <c r="GCW116" s="73"/>
      <c r="GCX116" s="73"/>
      <c r="GCY116" s="73"/>
      <c r="GCZ116" s="73"/>
      <c r="GDA116" s="73"/>
      <c r="GDB116" s="73"/>
      <c r="GDC116" s="73"/>
      <c r="GDD116" s="73"/>
      <c r="GDE116" s="73"/>
      <c r="GDF116" s="73"/>
      <c r="GDG116" s="73"/>
      <c r="GDH116" s="73"/>
      <c r="GDI116" s="73"/>
      <c r="GDJ116" s="73"/>
      <c r="GDK116" s="73"/>
      <c r="GDL116" s="73"/>
      <c r="GDM116" s="73"/>
      <c r="GDN116" s="73"/>
      <c r="GDO116" s="73"/>
      <c r="GDP116" s="73"/>
      <c r="GDQ116" s="73"/>
      <c r="GDR116" s="73"/>
      <c r="GDS116" s="73"/>
      <c r="GDT116" s="73"/>
      <c r="GDU116" s="73"/>
      <c r="GDV116" s="73"/>
      <c r="GDW116" s="73"/>
      <c r="GDX116" s="73"/>
      <c r="GDY116" s="73"/>
      <c r="GDZ116" s="73"/>
      <c r="GEA116" s="73"/>
      <c r="GEB116" s="73"/>
      <c r="GEC116" s="73"/>
      <c r="GED116" s="73"/>
      <c r="GEE116" s="73"/>
      <c r="GEF116" s="73"/>
      <c r="GEG116" s="73"/>
      <c r="GEH116" s="73"/>
      <c r="GEI116" s="73"/>
      <c r="GEJ116" s="73"/>
      <c r="GEK116" s="73"/>
      <c r="GEL116" s="73"/>
      <c r="GEM116" s="73"/>
      <c r="GEN116" s="73"/>
      <c r="GEO116" s="73"/>
      <c r="GEP116" s="73"/>
      <c r="GEQ116" s="73"/>
      <c r="GER116" s="73"/>
      <c r="GES116" s="73"/>
      <c r="GET116" s="73"/>
      <c r="GEU116" s="73"/>
      <c r="GEV116" s="73"/>
      <c r="GEW116" s="73"/>
      <c r="GEX116" s="73"/>
      <c r="GEY116" s="73"/>
      <c r="GEZ116" s="73"/>
      <c r="GFA116" s="73"/>
      <c r="GFB116" s="73"/>
      <c r="GFC116" s="73"/>
      <c r="GFD116" s="73"/>
      <c r="GFE116" s="73"/>
      <c r="GFF116" s="73"/>
      <c r="GFG116" s="73"/>
      <c r="GFH116" s="73"/>
      <c r="GFI116" s="73"/>
      <c r="GFJ116" s="73"/>
      <c r="GFK116" s="73"/>
      <c r="GFL116" s="73"/>
      <c r="GFM116" s="73"/>
      <c r="GFN116" s="73"/>
      <c r="GFO116" s="73"/>
      <c r="GFP116" s="73"/>
      <c r="GFQ116" s="73"/>
      <c r="GFR116" s="73"/>
      <c r="GFS116" s="73"/>
      <c r="GFT116" s="73"/>
      <c r="GFU116" s="73"/>
      <c r="GFV116" s="73"/>
      <c r="GFW116" s="73"/>
      <c r="GFX116" s="73"/>
      <c r="GFY116" s="73"/>
      <c r="GFZ116" s="73"/>
      <c r="GGA116" s="73"/>
      <c r="GGB116" s="73"/>
      <c r="GGC116" s="73"/>
      <c r="GGD116" s="73"/>
      <c r="GGE116" s="73"/>
      <c r="GGF116" s="73"/>
      <c r="GGG116" s="73"/>
      <c r="GGH116" s="73"/>
      <c r="GGI116" s="73"/>
      <c r="GGJ116" s="73"/>
      <c r="GGK116" s="73"/>
      <c r="GGL116" s="73"/>
      <c r="GGM116" s="73"/>
      <c r="GGN116" s="73"/>
      <c r="GGO116" s="73"/>
      <c r="GGP116" s="73"/>
      <c r="GGQ116" s="73"/>
      <c r="GGR116" s="73"/>
      <c r="GGS116" s="73"/>
      <c r="GGT116" s="73"/>
      <c r="GGU116" s="73"/>
      <c r="GGV116" s="73"/>
      <c r="GGW116" s="73"/>
      <c r="GGX116" s="73"/>
      <c r="GGY116" s="73"/>
      <c r="GGZ116" s="73"/>
      <c r="GHA116" s="73"/>
      <c r="GHB116" s="73"/>
      <c r="GHC116" s="73"/>
      <c r="GHD116" s="73"/>
      <c r="GHE116" s="73"/>
      <c r="GHF116" s="73"/>
      <c r="GHG116" s="73"/>
      <c r="GHH116" s="73"/>
      <c r="GHI116" s="73"/>
      <c r="GHJ116" s="73"/>
      <c r="GHK116" s="73"/>
      <c r="GHL116" s="73"/>
      <c r="GHM116" s="73"/>
      <c r="GHN116" s="73"/>
      <c r="GHO116" s="73"/>
      <c r="GHP116" s="73"/>
      <c r="GHQ116" s="73"/>
      <c r="GHR116" s="73"/>
      <c r="GHS116" s="73"/>
      <c r="GHT116" s="73"/>
      <c r="GHU116" s="73"/>
      <c r="GHV116" s="73"/>
      <c r="GHW116" s="73"/>
      <c r="GHX116" s="73"/>
      <c r="GHY116" s="73"/>
      <c r="GHZ116" s="73"/>
      <c r="GIA116" s="73"/>
      <c r="GIB116" s="73"/>
      <c r="GIC116" s="73"/>
      <c r="GID116" s="73"/>
      <c r="GIE116" s="73"/>
      <c r="GIF116" s="73"/>
      <c r="GIG116" s="73"/>
      <c r="GIH116" s="73"/>
      <c r="GII116" s="73"/>
      <c r="GIJ116" s="73"/>
      <c r="GIK116" s="73"/>
      <c r="GIL116" s="73"/>
      <c r="GIM116" s="73"/>
      <c r="GIN116" s="73"/>
      <c r="GIO116" s="73"/>
      <c r="GIP116" s="73"/>
      <c r="GIQ116" s="73"/>
      <c r="GIR116" s="73"/>
      <c r="GIS116" s="73"/>
      <c r="GIT116" s="73"/>
      <c r="GIU116" s="73"/>
      <c r="GIV116" s="73"/>
      <c r="GIW116" s="73"/>
      <c r="GIX116" s="73"/>
      <c r="GIY116" s="73"/>
      <c r="GIZ116" s="73"/>
      <c r="GJA116" s="73"/>
      <c r="GJB116" s="73"/>
      <c r="GJC116" s="73"/>
      <c r="GJD116" s="73"/>
      <c r="GJE116" s="73"/>
      <c r="GJF116" s="73"/>
      <c r="GJG116" s="73"/>
      <c r="GJH116" s="73"/>
      <c r="GJI116" s="73"/>
      <c r="GJJ116" s="73"/>
      <c r="GJK116" s="73"/>
      <c r="GJL116" s="73"/>
      <c r="GJM116" s="73"/>
      <c r="GJN116" s="73"/>
      <c r="GJO116" s="73"/>
      <c r="GJP116" s="73"/>
      <c r="GJQ116" s="73"/>
      <c r="GJR116" s="73"/>
      <c r="GJS116" s="73"/>
      <c r="GJT116" s="73"/>
      <c r="GJU116" s="73"/>
      <c r="GJV116" s="73"/>
      <c r="GJW116" s="73"/>
      <c r="GJX116" s="73"/>
      <c r="GJY116" s="73"/>
      <c r="GJZ116" s="73"/>
      <c r="GKA116" s="73"/>
      <c r="GKB116" s="73"/>
      <c r="GKC116" s="73"/>
      <c r="GKD116" s="73"/>
      <c r="GKE116" s="73"/>
      <c r="GKF116" s="73"/>
      <c r="GKG116" s="73"/>
      <c r="GKH116" s="73"/>
      <c r="GKI116" s="73"/>
      <c r="GKJ116" s="73"/>
      <c r="GKK116" s="73"/>
      <c r="GKL116" s="73"/>
      <c r="GKM116" s="73"/>
      <c r="GKN116" s="73"/>
      <c r="GKO116" s="73"/>
      <c r="GKP116" s="73"/>
      <c r="GKQ116" s="73"/>
      <c r="GKR116" s="73"/>
      <c r="GKS116" s="73"/>
      <c r="GKT116" s="73"/>
      <c r="GKU116" s="73"/>
      <c r="GKV116" s="73"/>
      <c r="GKW116" s="73"/>
      <c r="GKX116" s="73"/>
      <c r="GKY116" s="73"/>
      <c r="GKZ116" s="73"/>
      <c r="GLA116" s="73"/>
      <c r="GLB116" s="73"/>
      <c r="GLC116" s="73"/>
      <c r="GLD116" s="73"/>
      <c r="GLE116" s="73"/>
      <c r="GLF116" s="73"/>
      <c r="GLG116" s="73"/>
      <c r="GLH116" s="73"/>
      <c r="GLI116" s="73"/>
      <c r="GLJ116" s="73"/>
      <c r="GLK116" s="73"/>
      <c r="GLL116" s="73"/>
      <c r="GLM116" s="73"/>
      <c r="GLN116" s="73"/>
      <c r="GLO116" s="73"/>
      <c r="GLP116" s="73"/>
      <c r="GLQ116" s="73"/>
      <c r="GLR116" s="73"/>
      <c r="GLS116" s="73"/>
      <c r="GLT116" s="73"/>
      <c r="GLU116" s="73"/>
      <c r="GLV116" s="73"/>
      <c r="GLW116" s="73"/>
      <c r="GLX116" s="73"/>
      <c r="GLY116" s="73"/>
      <c r="GLZ116" s="73"/>
      <c r="GMA116" s="73"/>
      <c r="GMB116" s="73"/>
      <c r="GMC116" s="73"/>
      <c r="GMD116" s="73"/>
      <c r="GME116" s="73"/>
      <c r="GMF116" s="73"/>
      <c r="GMG116" s="73"/>
      <c r="GMH116" s="73"/>
      <c r="GMI116" s="73"/>
      <c r="GMJ116" s="73"/>
      <c r="GMK116" s="73"/>
      <c r="GML116" s="73"/>
      <c r="GMM116" s="73"/>
      <c r="GMN116" s="73"/>
      <c r="GMO116" s="73"/>
      <c r="GMP116" s="73"/>
      <c r="GMQ116" s="73"/>
      <c r="GMR116" s="73"/>
      <c r="GMS116" s="73"/>
      <c r="GMT116" s="73"/>
      <c r="GMU116" s="73"/>
      <c r="GMV116" s="73"/>
      <c r="GMW116" s="73"/>
      <c r="GMX116" s="73"/>
      <c r="GMY116" s="73"/>
      <c r="GMZ116" s="73"/>
      <c r="GNA116" s="73"/>
      <c r="GNB116" s="73"/>
      <c r="GNC116" s="73"/>
      <c r="GND116" s="73"/>
      <c r="GNE116" s="73"/>
      <c r="GNF116" s="73"/>
      <c r="GNG116" s="73"/>
      <c r="GNH116" s="73"/>
      <c r="GNI116" s="73"/>
      <c r="GNJ116" s="73"/>
      <c r="GNK116" s="73"/>
      <c r="GNL116" s="73"/>
      <c r="GNM116" s="73"/>
      <c r="GNN116" s="73"/>
      <c r="GNO116" s="73"/>
      <c r="GNP116" s="73"/>
      <c r="GNQ116" s="73"/>
      <c r="GNR116" s="73"/>
      <c r="GNS116" s="73"/>
      <c r="GNT116" s="73"/>
      <c r="GNU116" s="73"/>
      <c r="GNV116" s="73"/>
      <c r="GNW116" s="73"/>
      <c r="GNX116" s="73"/>
      <c r="GNY116" s="73"/>
      <c r="GNZ116" s="73"/>
      <c r="GOA116" s="73"/>
      <c r="GOB116" s="73"/>
      <c r="GOC116" s="73"/>
      <c r="GOD116" s="73"/>
      <c r="GOE116" s="73"/>
      <c r="GOF116" s="73"/>
      <c r="GOG116" s="73"/>
      <c r="GOH116" s="73"/>
      <c r="GOI116" s="73"/>
      <c r="GOJ116" s="73"/>
      <c r="GOK116" s="73"/>
      <c r="GOL116" s="73"/>
      <c r="GOM116" s="73"/>
      <c r="GON116" s="73"/>
      <c r="GOO116" s="73"/>
      <c r="GOP116" s="73"/>
      <c r="GOQ116" s="73"/>
      <c r="GOR116" s="73"/>
      <c r="GOS116" s="73"/>
      <c r="GOT116" s="73"/>
      <c r="GOU116" s="73"/>
      <c r="GOV116" s="73"/>
      <c r="GOW116" s="73"/>
      <c r="GOX116" s="73"/>
      <c r="GOY116" s="73"/>
      <c r="GOZ116" s="73"/>
      <c r="GPA116" s="73"/>
      <c r="GPB116" s="73"/>
      <c r="GPC116" s="73"/>
      <c r="GPD116" s="73"/>
      <c r="GPE116" s="73"/>
      <c r="GPF116" s="73"/>
      <c r="GPG116" s="73"/>
      <c r="GPH116" s="73"/>
      <c r="GPI116" s="73"/>
      <c r="GPJ116" s="73"/>
      <c r="GPK116" s="73"/>
      <c r="GPL116" s="73"/>
      <c r="GPM116" s="73"/>
      <c r="GPN116" s="73"/>
      <c r="GPO116" s="73"/>
      <c r="GPP116" s="73"/>
      <c r="GPQ116" s="73"/>
      <c r="GPR116" s="73"/>
      <c r="GPS116" s="73"/>
      <c r="GPT116" s="73"/>
      <c r="GPU116" s="73"/>
      <c r="GPV116" s="73"/>
      <c r="GPW116" s="73"/>
      <c r="GPX116" s="73"/>
      <c r="GPY116" s="73"/>
      <c r="GPZ116" s="73"/>
      <c r="GQA116" s="73"/>
      <c r="GQB116" s="73"/>
      <c r="GQC116" s="73"/>
      <c r="GQD116" s="73"/>
      <c r="GQE116" s="73"/>
      <c r="GQF116" s="73"/>
      <c r="GQG116" s="73"/>
      <c r="GQH116" s="73"/>
      <c r="GQI116" s="73"/>
      <c r="GQJ116" s="73"/>
      <c r="GQK116" s="73"/>
      <c r="GQL116" s="73"/>
      <c r="GQM116" s="73"/>
      <c r="GQN116" s="73"/>
      <c r="GQO116" s="73"/>
      <c r="GQP116" s="73"/>
      <c r="GQQ116" s="73"/>
      <c r="GQR116" s="73"/>
      <c r="GQS116" s="73"/>
      <c r="GQT116" s="73"/>
      <c r="GQU116" s="73"/>
      <c r="GQV116" s="73"/>
      <c r="GQW116" s="73"/>
      <c r="GQX116" s="73"/>
      <c r="GQY116" s="73"/>
      <c r="GQZ116" s="73"/>
      <c r="GRA116" s="73"/>
      <c r="GRB116" s="73"/>
      <c r="GRC116" s="73"/>
      <c r="GRD116" s="73"/>
      <c r="GRE116" s="73"/>
      <c r="GRF116" s="73"/>
      <c r="GRG116" s="73"/>
      <c r="GRH116" s="73"/>
      <c r="GRI116" s="73"/>
      <c r="GRJ116" s="73"/>
      <c r="GRK116" s="73"/>
      <c r="GRL116" s="73"/>
      <c r="GRM116" s="73"/>
      <c r="GRN116" s="73"/>
      <c r="GRO116" s="73"/>
      <c r="GRP116" s="73"/>
      <c r="GRQ116" s="73"/>
      <c r="GRR116" s="73"/>
      <c r="GRS116" s="73"/>
      <c r="GRT116" s="73"/>
      <c r="GRU116" s="73"/>
      <c r="GRV116" s="73"/>
      <c r="GRW116" s="73"/>
      <c r="GRX116" s="73"/>
      <c r="GRY116" s="73"/>
      <c r="GRZ116" s="73"/>
      <c r="GSA116" s="73"/>
      <c r="GSB116" s="73"/>
      <c r="GSC116" s="73"/>
      <c r="GSD116" s="73"/>
      <c r="GSE116" s="73"/>
      <c r="GSF116" s="73"/>
      <c r="GSG116" s="73"/>
      <c r="GSH116" s="73"/>
      <c r="GSI116" s="73"/>
      <c r="GSJ116" s="73"/>
      <c r="GSK116" s="73"/>
      <c r="GSL116" s="73"/>
      <c r="GSM116" s="73"/>
      <c r="GSN116" s="73"/>
      <c r="GSO116" s="73"/>
      <c r="GSP116" s="73"/>
      <c r="GSQ116" s="73"/>
      <c r="GSR116" s="73"/>
      <c r="GSS116" s="73"/>
      <c r="GST116" s="73"/>
      <c r="GSU116" s="73"/>
      <c r="GSV116" s="73"/>
      <c r="GSW116" s="73"/>
      <c r="GSX116" s="73"/>
      <c r="GSY116" s="73"/>
      <c r="GSZ116" s="73"/>
      <c r="GTA116" s="73"/>
      <c r="GTB116" s="73"/>
      <c r="GTC116" s="73"/>
      <c r="GTD116" s="73"/>
      <c r="GTE116" s="73"/>
      <c r="GTF116" s="73"/>
      <c r="GTG116" s="73"/>
      <c r="GTH116" s="73"/>
      <c r="GTI116" s="73"/>
      <c r="GTJ116" s="73"/>
      <c r="GTK116" s="73"/>
      <c r="GTL116" s="73"/>
      <c r="GTM116" s="73"/>
      <c r="GTN116" s="73"/>
      <c r="GTO116" s="73"/>
      <c r="GTP116" s="73"/>
      <c r="GTQ116" s="73"/>
      <c r="GTR116" s="73"/>
      <c r="GTS116" s="73"/>
      <c r="GTT116" s="73"/>
      <c r="GTU116" s="73"/>
      <c r="GTV116" s="73"/>
      <c r="GTW116" s="73"/>
      <c r="GTX116" s="73"/>
      <c r="GTY116" s="73"/>
      <c r="GTZ116" s="73"/>
      <c r="GUA116" s="73"/>
      <c r="GUB116" s="73"/>
      <c r="GUC116" s="73"/>
      <c r="GUD116" s="73"/>
      <c r="GUE116" s="73"/>
      <c r="GUF116" s="73"/>
      <c r="GUG116" s="73"/>
      <c r="GUH116" s="73"/>
      <c r="GUI116" s="73"/>
      <c r="GUJ116" s="73"/>
      <c r="GUK116" s="73"/>
      <c r="GUL116" s="73"/>
      <c r="GUM116" s="73"/>
      <c r="GUN116" s="73"/>
      <c r="GUO116" s="73"/>
      <c r="GUP116" s="73"/>
      <c r="GUQ116" s="73"/>
      <c r="GUR116" s="73"/>
      <c r="GUS116" s="73"/>
      <c r="GUT116" s="73"/>
      <c r="GUU116" s="73"/>
      <c r="GUV116" s="73"/>
      <c r="GUW116" s="73"/>
      <c r="GUX116" s="73"/>
      <c r="GUY116" s="73"/>
      <c r="GUZ116" s="73"/>
      <c r="GVA116" s="73"/>
      <c r="GVB116" s="73"/>
      <c r="GVC116" s="73"/>
      <c r="GVD116" s="73"/>
      <c r="GVE116" s="73"/>
      <c r="GVF116" s="73"/>
      <c r="GVG116" s="73"/>
      <c r="GVH116" s="73"/>
      <c r="GVI116" s="73"/>
      <c r="GVJ116" s="73"/>
      <c r="GVK116" s="73"/>
      <c r="GVL116" s="73"/>
      <c r="GVM116" s="73"/>
      <c r="GVN116" s="73"/>
      <c r="GVO116" s="73"/>
      <c r="GVP116" s="73"/>
      <c r="GVQ116" s="73"/>
      <c r="GVR116" s="73"/>
      <c r="GVS116" s="73"/>
      <c r="GVT116" s="73"/>
      <c r="GVU116" s="73"/>
      <c r="GVV116" s="73"/>
      <c r="GVW116" s="73"/>
      <c r="GVX116" s="73"/>
      <c r="GVY116" s="73"/>
      <c r="GVZ116" s="73"/>
      <c r="GWA116" s="73"/>
      <c r="GWB116" s="73"/>
      <c r="GWC116" s="73"/>
      <c r="GWD116" s="73"/>
      <c r="GWE116" s="73"/>
      <c r="GWF116" s="73"/>
      <c r="GWG116" s="73"/>
      <c r="GWH116" s="73"/>
      <c r="GWI116" s="73"/>
      <c r="GWJ116" s="73"/>
      <c r="GWK116" s="73"/>
      <c r="GWL116" s="73"/>
      <c r="GWM116" s="73"/>
      <c r="GWN116" s="73"/>
      <c r="GWO116" s="73"/>
      <c r="GWP116" s="73"/>
      <c r="GWQ116" s="73"/>
      <c r="GWR116" s="73"/>
      <c r="GWS116" s="73"/>
      <c r="GWT116" s="73"/>
      <c r="GWU116" s="73"/>
      <c r="GWV116" s="73"/>
      <c r="GWW116" s="73"/>
      <c r="GWX116" s="73"/>
      <c r="GWY116" s="73"/>
      <c r="GWZ116" s="73"/>
      <c r="GXA116" s="73"/>
      <c r="GXB116" s="73"/>
      <c r="GXC116" s="73"/>
      <c r="GXD116" s="73"/>
      <c r="GXE116" s="73"/>
      <c r="GXF116" s="73"/>
      <c r="GXG116" s="73"/>
      <c r="GXH116" s="73"/>
      <c r="GXI116" s="73"/>
      <c r="GXJ116" s="73"/>
      <c r="GXK116" s="73"/>
      <c r="GXL116" s="73"/>
      <c r="GXM116" s="73"/>
      <c r="GXN116" s="73"/>
      <c r="GXO116" s="73"/>
      <c r="GXP116" s="73"/>
      <c r="GXQ116" s="73"/>
      <c r="GXR116" s="73"/>
      <c r="GXS116" s="73"/>
      <c r="GXT116" s="73"/>
      <c r="GXU116" s="73"/>
      <c r="GXV116" s="73"/>
      <c r="GXW116" s="73"/>
      <c r="GXX116" s="73"/>
      <c r="GXY116" s="73"/>
      <c r="GXZ116" s="73"/>
      <c r="GYA116" s="73"/>
      <c r="GYB116" s="73"/>
      <c r="GYC116" s="73"/>
      <c r="GYD116" s="73"/>
      <c r="GYE116" s="73"/>
      <c r="GYF116" s="73"/>
      <c r="GYG116" s="73"/>
      <c r="GYH116" s="73"/>
      <c r="GYI116" s="73"/>
      <c r="GYJ116" s="73"/>
      <c r="GYK116" s="73"/>
      <c r="GYL116" s="73"/>
      <c r="GYM116" s="73"/>
      <c r="GYN116" s="73"/>
      <c r="GYO116" s="73"/>
      <c r="GYP116" s="73"/>
      <c r="GYQ116" s="73"/>
      <c r="GYR116" s="73"/>
      <c r="GYS116" s="73"/>
      <c r="GYT116" s="73"/>
      <c r="GYU116" s="73"/>
      <c r="GYV116" s="73"/>
      <c r="GYW116" s="73"/>
      <c r="GYX116" s="73"/>
      <c r="GYY116" s="73"/>
      <c r="GYZ116" s="73"/>
      <c r="GZA116" s="73"/>
      <c r="GZB116" s="73"/>
      <c r="GZC116" s="73"/>
      <c r="GZD116" s="73"/>
      <c r="GZE116" s="73"/>
      <c r="GZF116" s="73"/>
      <c r="GZG116" s="73"/>
      <c r="GZH116" s="73"/>
      <c r="GZI116" s="73"/>
      <c r="GZJ116" s="73"/>
      <c r="GZK116" s="73"/>
      <c r="GZL116" s="73"/>
      <c r="GZM116" s="73"/>
      <c r="GZN116" s="73"/>
      <c r="GZO116" s="73"/>
      <c r="GZP116" s="73"/>
      <c r="GZQ116" s="73"/>
      <c r="GZR116" s="73"/>
      <c r="GZS116" s="73"/>
      <c r="GZT116" s="73"/>
      <c r="GZU116" s="73"/>
      <c r="GZV116" s="73"/>
      <c r="GZW116" s="73"/>
      <c r="GZX116" s="73"/>
      <c r="GZY116" s="73"/>
      <c r="GZZ116" s="73"/>
      <c r="HAA116" s="73"/>
      <c r="HAB116" s="73"/>
      <c r="HAC116" s="73"/>
      <c r="HAD116" s="73"/>
      <c r="HAE116" s="73"/>
      <c r="HAF116" s="73"/>
      <c r="HAG116" s="73"/>
      <c r="HAH116" s="73"/>
      <c r="HAI116" s="73"/>
      <c r="HAJ116" s="73"/>
      <c r="HAK116" s="73"/>
      <c r="HAL116" s="73"/>
      <c r="HAM116" s="73"/>
      <c r="HAN116" s="73"/>
      <c r="HAO116" s="73"/>
      <c r="HAP116" s="73"/>
      <c r="HAQ116" s="73"/>
      <c r="HAR116" s="73"/>
      <c r="HAS116" s="73"/>
      <c r="HAT116" s="73"/>
      <c r="HAU116" s="73"/>
      <c r="HAV116" s="73"/>
      <c r="HAW116" s="73"/>
      <c r="HAX116" s="73"/>
      <c r="HAY116" s="73"/>
      <c r="HAZ116" s="73"/>
      <c r="HBA116" s="73"/>
      <c r="HBB116" s="73"/>
      <c r="HBC116" s="73"/>
      <c r="HBD116" s="73"/>
      <c r="HBE116" s="73"/>
      <c r="HBF116" s="73"/>
      <c r="HBG116" s="73"/>
      <c r="HBH116" s="73"/>
      <c r="HBI116" s="73"/>
      <c r="HBJ116" s="73"/>
      <c r="HBK116" s="73"/>
      <c r="HBL116" s="73"/>
      <c r="HBM116" s="73"/>
      <c r="HBN116" s="73"/>
      <c r="HBO116" s="73"/>
      <c r="HBP116" s="73"/>
      <c r="HBQ116" s="73"/>
      <c r="HBR116" s="73"/>
      <c r="HBS116" s="73"/>
      <c r="HBT116" s="73"/>
      <c r="HBU116" s="73"/>
      <c r="HBV116" s="73"/>
      <c r="HBW116" s="73"/>
      <c r="HBX116" s="73"/>
      <c r="HBY116" s="73"/>
      <c r="HBZ116" s="73"/>
      <c r="HCA116" s="73"/>
      <c r="HCB116" s="73"/>
      <c r="HCC116" s="73"/>
      <c r="HCD116" s="73"/>
      <c r="HCE116" s="73"/>
      <c r="HCF116" s="73"/>
      <c r="HCG116" s="73"/>
      <c r="HCH116" s="73"/>
      <c r="HCI116" s="73"/>
      <c r="HCJ116" s="73"/>
      <c r="HCK116" s="73"/>
      <c r="HCL116" s="73"/>
      <c r="HCM116" s="73"/>
      <c r="HCN116" s="73"/>
      <c r="HCO116" s="73"/>
      <c r="HCP116" s="73"/>
      <c r="HCQ116" s="73"/>
      <c r="HCR116" s="73"/>
      <c r="HCS116" s="73"/>
      <c r="HCT116" s="73"/>
      <c r="HCU116" s="73"/>
      <c r="HCV116" s="73"/>
      <c r="HCW116" s="73"/>
      <c r="HCX116" s="73"/>
      <c r="HCY116" s="73"/>
      <c r="HCZ116" s="73"/>
      <c r="HDA116" s="73"/>
      <c r="HDB116" s="73"/>
      <c r="HDC116" s="73"/>
      <c r="HDD116" s="73"/>
      <c r="HDE116" s="73"/>
      <c r="HDF116" s="73"/>
      <c r="HDG116" s="73"/>
      <c r="HDH116" s="73"/>
      <c r="HDI116" s="73"/>
      <c r="HDJ116" s="73"/>
      <c r="HDK116" s="73"/>
      <c r="HDL116" s="73"/>
      <c r="HDM116" s="73"/>
      <c r="HDN116" s="73"/>
      <c r="HDO116" s="73"/>
      <c r="HDP116" s="73"/>
      <c r="HDQ116" s="73"/>
      <c r="HDR116" s="73"/>
      <c r="HDS116" s="73"/>
      <c r="HDT116" s="73"/>
      <c r="HDU116" s="73"/>
      <c r="HDV116" s="73"/>
      <c r="HDW116" s="73"/>
      <c r="HDX116" s="73"/>
      <c r="HDY116" s="73"/>
      <c r="HDZ116" s="73"/>
      <c r="HEA116" s="73"/>
      <c r="HEB116" s="73"/>
      <c r="HEC116" s="73"/>
      <c r="HED116" s="73"/>
      <c r="HEE116" s="73"/>
      <c r="HEF116" s="73"/>
      <c r="HEG116" s="73"/>
      <c r="HEH116" s="73"/>
      <c r="HEI116" s="73"/>
      <c r="HEJ116" s="73"/>
      <c r="HEK116" s="73"/>
      <c r="HEL116" s="73"/>
      <c r="HEM116" s="73"/>
      <c r="HEN116" s="73"/>
      <c r="HEO116" s="73"/>
      <c r="HEP116" s="73"/>
      <c r="HEQ116" s="73"/>
      <c r="HER116" s="73"/>
      <c r="HES116" s="73"/>
      <c r="HET116" s="73"/>
      <c r="HEU116" s="73"/>
      <c r="HEV116" s="73"/>
      <c r="HEW116" s="73"/>
      <c r="HEX116" s="73"/>
      <c r="HEY116" s="73"/>
      <c r="HEZ116" s="73"/>
      <c r="HFA116" s="73"/>
      <c r="HFB116" s="73"/>
      <c r="HFC116" s="73"/>
      <c r="HFD116" s="73"/>
      <c r="HFE116" s="73"/>
      <c r="HFF116" s="73"/>
      <c r="HFG116" s="73"/>
      <c r="HFH116" s="73"/>
      <c r="HFI116" s="73"/>
      <c r="HFJ116" s="73"/>
      <c r="HFK116" s="73"/>
      <c r="HFL116" s="73"/>
      <c r="HFM116" s="73"/>
      <c r="HFN116" s="73"/>
      <c r="HFO116" s="73"/>
      <c r="HFP116" s="73"/>
      <c r="HFQ116" s="73"/>
      <c r="HFR116" s="73"/>
      <c r="HFS116" s="73"/>
      <c r="HFT116" s="73"/>
      <c r="HFU116" s="73"/>
      <c r="HFV116" s="73"/>
      <c r="HFW116" s="73"/>
      <c r="HFX116" s="73"/>
      <c r="HFY116" s="73"/>
      <c r="HFZ116" s="73"/>
      <c r="HGA116" s="73"/>
      <c r="HGB116" s="73"/>
      <c r="HGC116" s="73"/>
      <c r="HGD116" s="73"/>
      <c r="HGE116" s="73"/>
      <c r="HGF116" s="73"/>
      <c r="HGG116" s="73"/>
      <c r="HGH116" s="73"/>
      <c r="HGI116" s="73"/>
      <c r="HGJ116" s="73"/>
      <c r="HGK116" s="73"/>
      <c r="HGL116" s="73"/>
      <c r="HGM116" s="73"/>
      <c r="HGN116" s="73"/>
      <c r="HGO116" s="73"/>
      <c r="HGP116" s="73"/>
      <c r="HGQ116" s="73"/>
      <c r="HGR116" s="73"/>
      <c r="HGS116" s="73"/>
      <c r="HGT116" s="73"/>
      <c r="HGU116" s="73"/>
      <c r="HGV116" s="73"/>
      <c r="HGW116" s="73"/>
      <c r="HGX116" s="73"/>
      <c r="HGY116" s="73"/>
      <c r="HGZ116" s="73"/>
      <c r="HHA116" s="73"/>
      <c r="HHB116" s="73"/>
      <c r="HHC116" s="73"/>
      <c r="HHD116" s="73"/>
      <c r="HHE116" s="73"/>
      <c r="HHF116" s="73"/>
      <c r="HHG116" s="73"/>
      <c r="HHH116" s="73"/>
      <c r="HHI116" s="73"/>
      <c r="HHJ116" s="73"/>
      <c r="HHK116" s="73"/>
      <c r="HHL116" s="73"/>
      <c r="HHM116" s="73"/>
      <c r="HHN116" s="73"/>
      <c r="HHO116" s="73"/>
      <c r="HHP116" s="73"/>
      <c r="HHQ116" s="73"/>
      <c r="HHR116" s="73"/>
      <c r="HHS116" s="73"/>
      <c r="HHT116" s="73"/>
      <c r="HHU116" s="73"/>
      <c r="HHV116" s="73"/>
      <c r="HHW116" s="73"/>
      <c r="HHX116" s="73"/>
      <c r="HHY116" s="73"/>
      <c r="HHZ116" s="73"/>
      <c r="HIA116" s="73"/>
      <c r="HIB116" s="73"/>
      <c r="HIC116" s="73"/>
      <c r="HID116" s="73"/>
      <c r="HIE116" s="73"/>
      <c r="HIF116" s="73"/>
      <c r="HIG116" s="73"/>
      <c r="HIH116" s="73"/>
      <c r="HII116" s="73"/>
      <c r="HIJ116" s="73"/>
      <c r="HIK116" s="73"/>
      <c r="HIL116" s="73"/>
      <c r="HIM116" s="73"/>
      <c r="HIN116" s="73"/>
      <c r="HIO116" s="73"/>
      <c r="HIP116" s="73"/>
      <c r="HIQ116" s="73"/>
      <c r="HIR116" s="73"/>
      <c r="HIS116" s="73"/>
      <c r="HIT116" s="73"/>
      <c r="HIU116" s="73"/>
      <c r="HIV116" s="73"/>
      <c r="HIW116" s="73"/>
      <c r="HIX116" s="73"/>
      <c r="HIY116" s="73"/>
      <c r="HIZ116" s="73"/>
      <c r="HJA116" s="73"/>
      <c r="HJB116" s="73"/>
      <c r="HJC116" s="73"/>
      <c r="HJD116" s="73"/>
      <c r="HJE116" s="73"/>
      <c r="HJF116" s="73"/>
      <c r="HJG116" s="73"/>
      <c r="HJH116" s="73"/>
      <c r="HJI116" s="73"/>
      <c r="HJJ116" s="73"/>
      <c r="HJK116" s="73"/>
      <c r="HJL116" s="73"/>
      <c r="HJM116" s="73"/>
      <c r="HJN116" s="73"/>
      <c r="HJO116" s="73"/>
      <c r="HJP116" s="73"/>
      <c r="HJQ116" s="73"/>
      <c r="HJR116" s="73"/>
      <c r="HJS116" s="73"/>
      <c r="HJT116" s="73"/>
      <c r="HJU116" s="73"/>
      <c r="HJV116" s="73"/>
      <c r="HJW116" s="73"/>
      <c r="HJX116" s="73"/>
      <c r="HJY116" s="73"/>
      <c r="HJZ116" s="73"/>
      <c r="HKA116" s="73"/>
      <c r="HKB116" s="73"/>
      <c r="HKC116" s="73"/>
      <c r="HKD116" s="73"/>
      <c r="HKE116" s="73"/>
      <c r="HKF116" s="73"/>
      <c r="HKG116" s="73"/>
      <c r="HKH116" s="73"/>
      <c r="HKI116" s="73"/>
      <c r="HKJ116" s="73"/>
      <c r="HKK116" s="73"/>
      <c r="HKL116" s="73"/>
      <c r="HKM116" s="73"/>
      <c r="HKN116" s="73"/>
      <c r="HKO116" s="73"/>
      <c r="HKP116" s="73"/>
      <c r="HKQ116" s="73"/>
      <c r="HKR116" s="73"/>
      <c r="HKS116" s="73"/>
      <c r="HKT116" s="73"/>
      <c r="HKU116" s="73"/>
      <c r="HKV116" s="73"/>
      <c r="HKW116" s="73"/>
      <c r="HKX116" s="73"/>
      <c r="HKY116" s="73"/>
      <c r="HKZ116" s="73"/>
      <c r="HLA116" s="73"/>
      <c r="HLB116" s="73"/>
      <c r="HLC116" s="73"/>
      <c r="HLD116" s="73"/>
      <c r="HLE116" s="73"/>
      <c r="HLF116" s="73"/>
      <c r="HLG116" s="73"/>
      <c r="HLH116" s="73"/>
      <c r="HLI116" s="73"/>
      <c r="HLJ116" s="73"/>
      <c r="HLK116" s="73"/>
      <c r="HLL116" s="73"/>
      <c r="HLM116" s="73"/>
      <c r="HLN116" s="73"/>
      <c r="HLO116" s="73"/>
      <c r="HLP116" s="73"/>
      <c r="HLQ116" s="73"/>
      <c r="HLR116" s="73"/>
      <c r="HLS116" s="73"/>
      <c r="HLT116" s="73"/>
      <c r="HLU116" s="73"/>
      <c r="HLV116" s="73"/>
      <c r="HLW116" s="73"/>
      <c r="HLX116" s="73"/>
      <c r="HLY116" s="73"/>
      <c r="HLZ116" s="73"/>
      <c r="HMA116" s="73"/>
      <c r="HMB116" s="73"/>
      <c r="HMC116" s="73"/>
      <c r="HMD116" s="73"/>
      <c r="HME116" s="73"/>
      <c r="HMF116" s="73"/>
      <c r="HMG116" s="73"/>
      <c r="HMH116" s="73"/>
      <c r="HMI116" s="73"/>
      <c r="HMJ116" s="73"/>
      <c r="HMK116" s="73"/>
      <c r="HML116" s="73"/>
      <c r="HMM116" s="73"/>
      <c r="HMN116" s="73"/>
      <c r="HMO116" s="73"/>
      <c r="HMP116" s="73"/>
      <c r="HMQ116" s="73"/>
      <c r="HMR116" s="73"/>
      <c r="HMS116" s="73"/>
      <c r="HMT116" s="73"/>
      <c r="HMU116" s="73"/>
      <c r="HMV116" s="73"/>
      <c r="HMW116" s="73"/>
      <c r="HMX116" s="73"/>
      <c r="HMY116" s="73"/>
      <c r="HMZ116" s="73"/>
      <c r="HNA116" s="73"/>
      <c r="HNB116" s="73"/>
      <c r="HNC116" s="73"/>
      <c r="HND116" s="73"/>
      <c r="HNE116" s="73"/>
      <c r="HNF116" s="73"/>
      <c r="HNG116" s="73"/>
      <c r="HNH116" s="73"/>
      <c r="HNI116" s="73"/>
      <c r="HNJ116" s="73"/>
      <c r="HNK116" s="73"/>
      <c r="HNL116" s="73"/>
      <c r="HNM116" s="73"/>
      <c r="HNN116" s="73"/>
      <c r="HNO116" s="73"/>
      <c r="HNP116" s="73"/>
      <c r="HNQ116" s="73"/>
      <c r="HNR116" s="73"/>
      <c r="HNS116" s="73"/>
      <c r="HNT116" s="73"/>
      <c r="HNU116" s="73"/>
      <c r="HNV116" s="73"/>
      <c r="HNW116" s="73"/>
      <c r="HNX116" s="73"/>
      <c r="HNY116" s="73"/>
      <c r="HNZ116" s="73"/>
      <c r="HOA116" s="73"/>
      <c r="HOB116" s="73"/>
      <c r="HOC116" s="73"/>
      <c r="HOD116" s="73"/>
      <c r="HOE116" s="73"/>
      <c r="HOF116" s="73"/>
      <c r="HOG116" s="73"/>
      <c r="HOH116" s="73"/>
      <c r="HOI116" s="73"/>
      <c r="HOJ116" s="73"/>
      <c r="HOK116" s="73"/>
      <c r="HOL116" s="73"/>
      <c r="HOM116" s="73"/>
      <c r="HON116" s="73"/>
      <c r="HOO116" s="73"/>
      <c r="HOP116" s="73"/>
      <c r="HOQ116" s="73"/>
      <c r="HOR116" s="73"/>
      <c r="HOS116" s="73"/>
      <c r="HOT116" s="73"/>
      <c r="HOU116" s="73"/>
      <c r="HOV116" s="73"/>
      <c r="HOW116" s="73"/>
      <c r="HOX116" s="73"/>
      <c r="HOY116" s="73"/>
      <c r="HOZ116" s="73"/>
      <c r="HPA116" s="73"/>
      <c r="HPB116" s="73"/>
      <c r="HPC116" s="73"/>
      <c r="HPD116" s="73"/>
      <c r="HPE116" s="73"/>
      <c r="HPF116" s="73"/>
      <c r="HPG116" s="73"/>
      <c r="HPH116" s="73"/>
      <c r="HPI116" s="73"/>
      <c r="HPJ116" s="73"/>
      <c r="HPK116" s="73"/>
      <c r="HPL116" s="73"/>
      <c r="HPM116" s="73"/>
      <c r="HPN116" s="73"/>
      <c r="HPO116" s="73"/>
      <c r="HPP116" s="73"/>
      <c r="HPQ116" s="73"/>
      <c r="HPR116" s="73"/>
      <c r="HPS116" s="73"/>
      <c r="HPT116" s="73"/>
      <c r="HPU116" s="73"/>
      <c r="HPV116" s="73"/>
      <c r="HPW116" s="73"/>
      <c r="HPX116" s="73"/>
      <c r="HPY116" s="73"/>
      <c r="HPZ116" s="73"/>
      <c r="HQA116" s="73"/>
      <c r="HQB116" s="73"/>
      <c r="HQC116" s="73"/>
      <c r="HQD116" s="73"/>
      <c r="HQE116" s="73"/>
      <c r="HQF116" s="73"/>
      <c r="HQG116" s="73"/>
      <c r="HQH116" s="73"/>
      <c r="HQI116" s="73"/>
      <c r="HQJ116" s="73"/>
      <c r="HQK116" s="73"/>
      <c r="HQL116" s="73"/>
      <c r="HQM116" s="73"/>
      <c r="HQN116" s="73"/>
      <c r="HQO116" s="73"/>
      <c r="HQP116" s="73"/>
      <c r="HQQ116" s="73"/>
      <c r="HQR116" s="73"/>
      <c r="HQS116" s="73"/>
      <c r="HQT116" s="73"/>
      <c r="HQU116" s="73"/>
      <c r="HQV116" s="73"/>
      <c r="HQW116" s="73"/>
      <c r="HQX116" s="73"/>
      <c r="HQY116" s="73"/>
      <c r="HQZ116" s="73"/>
      <c r="HRA116" s="73"/>
      <c r="HRB116" s="73"/>
      <c r="HRC116" s="73"/>
      <c r="HRD116" s="73"/>
      <c r="HRE116" s="73"/>
      <c r="HRF116" s="73"/>
      <c r="HRG116" s="73"/>
      <c r="HRH116" s="73"/>
      <c r="HRI116" s="73"/>
      <c r="HRJ116" s="73"/>
      <c r="HRK116" s="73"/>
      <c r="HRL116" s="73"/>
      <c r="HRM116" s="73"/>
      <c r="HRN116" s="73"/>
      <c r="HRO116" s="73"/>
      <c r="HRP116" s="73"/>
      <c r="HRQ116" s="73"/>
      <c r="HRR116" s="73"/>
      <c r="HRS116" s="73"/>
      <c r="HRT116" s="73"/>
      <c r="HRU116" s="73"/>
      <c r="HRV116" s="73"/>
      <c r="HRW116" s="73"/>
      <c r="HRX116" s="73"/>
      <c r="HRY116" s="73"/>
      <c r="HRZ116" s="73"/>
      <c r="HSA116" s="73"/>
      <c r="HSB116" s="73"/>
      <c r="HSC116" s="73"/>
      <c r="HSD116" s="73"/>
      <c r="HSE116" s="73"/>
      <c r="HSF116" s="73"/>
      <c r="HSG116" s="73"/>
      <c r="HSH116" s="73"/>
      <c r="HSI116" s="73"/>
      <c r="HSJ116" s="73"/>
      <c r="HSK116" s="73"/>
      <c r="HSL116" s="73"/>
      <c r="HSM116" s="73"/>
      <c r="HSN116" s="73"/>
      <c r="HSO116" s="73"/>
      <c r="HSP116" s="73"/>
      <c r="HSQ116" s="73"/>
      <c r="HSR116" s="73"/>
      <c r="HSS116" s="73"/>
      <c r="HST116" s="73"/>
      <c r="HSU116" s="73"/>
      <c r="HSV116" s="73"/>
      <c r="HSW116" s="73"/>
      <c r="HSX116" s="73"/>
      <c r="HSY116" s="73"/>
      <c r="HSZ116" s="73"/>
      <c r="HTA116" s="73"/>
      <c r="HTB116" s="73"/>
      <c r="HTC116" s="73"/>
      <c r="HTD116" s="73"/>
      <c r="HTE116" s="73"/>
      <c r="HTF116" s="73"/>
      <c r="HTG116" s="73"/>
      <c r="HTH116" s="73"/>
      <c r="HTI116" s="73"/>
      <c r="HTJ116" s="73"/>
      <c r="HTK116" s="73"/>
      <c r="HTL116" s="73"/>
      <c r="HTM116" s="73"/>
      <c r="HTN116" s="73"/>
      <c r="HTO116" s="73"/>
      <c r="HTP116" s="73"/>
      <c r="HTQ116" s="73"/>
      <c r="HTR116" s="73"/>
      <c r="HTS116" s="73"/>
      <c r="HTT116" s="73"/>
      <c r="HTU116" s="73"/>
      <c r="HTV116" s="73"/>
      <c r="HTW116" s="73"/>
      <c r="HTX116" s="73"/>
      <c r="HTY116" s="73"/>
      <c r="HTZ116" s="73"/>
      <c r="HUA116" s="73"/>
      <c r="HUB116" s="73"/>
      <c r="HUC116" s="73"/>
      <c r="HUD116" s="73"/>
      <c r="HUE116" s="73"/>
      <c r="HUF116" s="73"/>
      <c r="HUG116" s="73"/>
      <c r="HUH116" s="73"/>
      <c r="HUI116" s="73"/>
      <c r="HUJ116" s="73"/>
      <c r="HUK116" s="73"/>
      <c r="HUL116" s="73"/>
      <c r="HUM116" s="73"/>
      <c r="HUN116" s="73"/>
      <c r="HUO116" s="73"/>
      <c r="HUP116" s="73"/>
      <c r="HUQ116" s="73"/>
      <c r="HUR116" s="73"/>
      <c r="HUS116" s="73"/>
      <c r="HUT116" s="73"/>
      <c r="HUU116" s="73"/>
      <c r="HUV116" s="73"/>
      <c r="HUW116" s="73"/>
      <c r="HUX116" s="73"/>
      <c r="HUY116" s="73"/>
      <c r="HUZ116" s="73"/>
      <c r="HVA116" s="73"/>
      <c r="HVB116" s="73"/>
      <c r="HVC116" s="73"/>
      <c r="HVD116" s="73"/>
      <c r="HVE116" s="73"/>
      <c r="HVF116" s="73"/>
      <c r="HVG116" s="73"/>
      <c r="HVH116" s="73"/>
      <c r="HVI116" s="73"/>
      <c r="HVJ116" s="73"/>
      <c r="HVK116" s="73"/>
      <c r="HVL116" s="73"/>
      <c r="HVM116" s="73"/>
      <c r="HVN116" s="73"/>
      <c r="HVO116" s="73"/>
      <c r="HVP116" s="73"/>
      <c r="HVQ116" s="73"/>
      <c r="HVR116" s="73"/>
      <c r="HVS116" s="73"/>
      <c r="HVT116" s="73"/>
      <c r="HVU116" s="73"/>
      <c r="HVV116" s="73"/>
      <c r="HVW116" s="73"/>
      <c r="HVX116" s="73"/>
      <c r="HVY116" s="73"/>
      <c r="HVZ116" s="73"/>
      <c r="HWA116" s="73"/>
      <c r="HWB116" s="73"/>
      <c r="HWC116" s="73"/>
      <c r="HWD116" s="73"/>
      <c r="HWE116" s="73"/>
      <c r="HWF116" s="73"/>
      <c r="HWG116" s="73"/>
      <c r="HWH116" s="73"/>
      <c r="HWI116" s="73"/>
      <c r="HWJ116" s="73"/>
      <c r="HWK116" s="73"/>
      <c r="HWL116" s="73"/>
      <c r="HWM116" s="73"/>
      <c r="HWN116" s="73"/>
      <c r="HWO116" s="73"/>
      <c r="HWP116" s="73"/>
      <c r="HWQ116" s="73"/>
      <c r="HWR116" s="73"/>
      <c r="HWS116" s="73"/>
      <c r="HWT116" s="73"/>
      <c r="HWU116" s="73"/>
      <c r="HWV116" s="73"/>
      <c r="HWW116" s="73"/>
      <c r="HWX116" s="73"/>
      <c r="HWY116" s="73"/>
      <c r="HWZ116" s="73"/>
      <c r="HXA116" s="73"/>
      <c r="HXB116" s="73"/>
      <c r="HXC116" s="73"/>
      <c r="HXD116" s="73"/>
      <c r="HXE116" s="73"/>
      <c r="HXF116" s="73"/>
      <c r="HXG116" s="73"/>
      <c r="HXH116" s="73"/>
      <c r="HXI116" s="73"/>
      <c r="HXJ116" s="73"/>
      <c r="HXK116" s="73"/>
      <c r="HXL116" s="73"/>
      <c r="HXM116" s="73"/>
      <c r="HXN116" s="73"/>
      <c r="HXO116" s="73"/>
      <c r="HXP116" s="73"/>
      <c r="HXQ116" s="73"/>
      <c r="HXR116" s="73"/>
      <c r="HXS116" s="73"/>
      <c r="HXT116" s="73"/>
      <c r="HXU116" s="73"/>
      <c r="HXV116" s="73"/>
      <c r="HXW116" s="73"/>
      <c r="HXX116" s="73"/>
      <c r="HXY116" s="73"/>
      <c r="HXZ116" s="73"/>
      <c r="HYA116" s="73"/>
      <c r="HYB116" s="73"/>
      <c r="HYC116" s="73"/>
      <c r="HYD116" s="73"/>
      <c r="HYE116" s="73"/>
      <c r="HYF116" s="73"/>
      <c r="HYG116" s="73"/>
      <c r="HYH116" s="73"/>
      <c r="HYI116" s="73"/>
      <c r="HYJ116" s="73"/>
      <c r="HYK116" s="73"/>
      <c r="HYL116" s="73"/>
      <c r="HYM116" s="73"/>
      <c r="HYN116" s="73"/>
      <c r="HYO116" s="73"/>
      <c r="HYP116" s="73"/>
      <c r="HYQ116" s="73"/>
      <c r="HYR116" s="73"/>
      <c r="HYS116" s="73"/>
      <c r="HYT116" s="73"/>
      <c r="HYU116" s="73"/>
      <c r="HYV116" s="73"/>
      <c r="HYW116" s="73"/>
      <c r="HYX116" s="73"/>
      <c r="HYY116" s="73"/>
      <c r="HYZ116" s="73"/>
      <c r="HZA116" s="73"/>
      <c r="HZB116" s="73"/>
      <c r="HZC116" s="73"/>
      <c r="HZD116" s="73"/>
      <c r="HZE116" s="73"/>
      <c r="HZF116" s="73"/>
      <c r="HZG116" s="73"/>
      <c r="HZH116" s="73"/>
      <c r="HZI116" s="73"/>
      <c r="HZJ116" s="73"/>
      <c r="HZK116" s="73"/>
      <c r="HZL116" s="73"/>
      <c r="HZM116" s="73"/>
      <c r="HZN116" s="73"/>
      <c r="HZO116" s="73"/>
      <c r="HZP116" s="73"/>
      <c r="HZQ116" s="73"/>
      <c r="HZR116" s="73"/>
      <c r="HZS116" s="73"/>
      <c r="HZT116" s="73"/>
      <c r="HZU116" s="73"/>
      <c r="HZV116" s="73"/>
      <c r="HZW116" s="73"/>
      <c r="HZX116" s="73"/>
      <c r="HZY116" s="73"/>
      <c r="HZZ116" s="73"/>
      <c r="IAA116" s="73"/>
      <c r="IAB116" s="73"/>
      <c r="IAC116" s="73"/>
      <c r="IAD116" s="73"/>
      <c r="IAE116" s="73"/>
      <c r="IAF116" s="73"/>
      <c r="IAG116" s="73"/>
      <c r="IAH116" s="73"/>
      <c r="IAI116" s="73"/>
      <c r="IAJ116" s="73"/>
      <c r="IAK116" s="73"/>
      <c r="IAL116" s="73"/>
      <c r="IAM116" s="73"/>
      <c r="IAN116" s="73"/>
      <c r="IAO116" s="73"/>
      <c r="IAP116" s="73"/>
      <c r="IAQ116" s="73"/>
      <c r="IAR116" s="73"/>
      <c r="IAS116" s="73"/>
      <c r="IAT116" s="73"/>
      <c r="IAU116" s="73"/>
      <c r="IAV116" s="73"/>
      <c r="IAW116" s="73"/>
      <c r="IAX116" s="73"/>
      <c r="IAY116" s="73"/>
      <c r="IAZ116" s="73"/>
      <c r="IBA116" s="73"/>
      <c r="IBB116" s="73"/>
      <c r="IBC116" s="73"/>
      <c r="IBD116" s="73"/>
      <c r="IBE116" s="73"/>
      <c r="IBF116" s="73"/>
      <c r="IBG116" s="73"/>
      <c r="IBH116" s="73"/>
      <c r="IBI116" s="73"/>
      <c r="IBJ116" s="73"/>
      <c r="IBK116" s="73"/>
      <c r="IBL116" s="73"/>
      <c r="IBM116" s="73"/>
      <c r="IBN116" s="73"/>
      <c r="IBO116" s="73"/>
      <c r="IBP116" s="73"/>
      <c r="IBQ116" s="73"/>
      <c r="IBR116" s="73"/>
      <c r="IBS116" s="73"/>
      <c r="IBT116" s="73"/>
      <c r="IBU116" s="73"/>
      <c r="IBV116" s="73"/>
      <c r="IBW116" s="73"/>
      <c r="IBX116" s="73"/>
      <c r="IBY116" s="73"/>
      <c r="IBZ116" s="73"/>
      <c r="ICA116" s="73"/>
      <c r="ICB116" s="73"/>
      <c r="ICC116" s="73"/>
      <c r="ICD116" s="73"/>
      <c r="ICE116" s="73"/>
      <c r="ICF116" s="73"/>
      <c r="ICG116" s="73"/>
      <c r="ICH116" s="73"/>
      <c r="ICI116" s="73"/>
      <c r="ICJ116" s="73"/>
      <c r="ICK116" s="73"/>
      <c r="ICL116" s="73"/>
      <c r="ICM116" s="73"/>
      <c r="ICN116" s="73"/>
      <c r="ICO116" s="73"/>
      <c r="ICP116" s="73"/>
      <c r="ICQ116" s="73"/>
      <c r="ICR116" s="73"/>
      <c r="ICS116" s="73"/>
      <c r="ICT116" s="73"/>
      <c r="ICU116" s="73"/>
      <c r="ICV116" s="73"/>
      <c r="ICW116" s="73"/>
      <c r="ICX116" s="73"/>
      <c r="ICY116" s="73"/>
      <c r="ICZ116" s="73"/>
      <c r="IDA116" s="73"/>
      <c r="IDB116" s="73"/>
      <c r="IDC116" s="73"/>
      <c r="IDD116" s="73"/>
      <c r="IDE116" s="73"/>
      <c r="IDF116" s="73"/>
      <c r="IDG116" s="73"/>
      <c r="IDH116" s="73"/>
      <c r="IDI116" s="73"/>
      <c r="IDJ116" s="73"/>
      <c r="IDK116" s="73"/>
      <c r="IDL116" s="73"/>
      <c r="IDM116" s="73"/>
      <c r="IDN116" s="73"/>
      <c r="IDO116" s="73"/>
      <c r="IDP116" s="73"/>
      <c r="IDQ116" s="73"/>
      <c r="IDR116" s="73"/>
      <c r="IDS116" s="73"/>
      <c r="IDT116" s="73"/>
      <c r="IDU116" s="73"/>
      <c r="IDV116" s="73"/>
      <c r="IDW116" s="73"/>
      <c r="IDX116" s="73"/>
      <c r="IDY116" s="73"/>
      <c r="IDZ116" s="73"/>
      <c r="IEA116" s="73"/>
      <c r="IEB116" s="73"/>
      <c r="IEC116" s="73"/>
      <c r="IED116" s="73"/>
      <c r="IEE116" s="73"/>
      <c r="IEF116" s="73"/>
      <c r="IEG116" s="73"/>
      <c r="IEH116" s="73"/>
      <c r="IEI116" s="73"/>
      <c r="IEJ116" s="73"/>
      <c r="IEK116" s="73"/>
      <c r="IEL116" s="73"/>
      <c r="IEM116" s="73"/>
      <c r="IEN116" s="73"/>
      <c r="IEO116" s="73"/>
      <c r="IEP116" s="73"/>
      <c r="IEQ116" s="73"/>
      <c r="IER116" s="73"/>
      <c r="IES116" s="73"/>
      <c r="IET116" s="73"/>
      <c r="IEU116" s="73"/>
      <c r="IEV116" s="73"/>
      <c r="IEW116" s="73"/>
      <c r="IEX116" s="73"/>
      <c r="IEY116" s="73"/>
      <c r="IEZ116" s="73"/>
      <c r="IFA116" s="73"/>
      <c r="IFB116" s="73"/>
      <c r="IFC116" s="73"/>
      <c r="IFD116" s="73"/>
      <c r="IFE116" s="73"/>
      <c r="IFF116" s="73"/>
      <c r="IFG116" s="73"/>
      <c r="IFH116" s="73"/>
      <c r="IFI116" s="73"/>
      <c r="IFJ116" s="73"/>
      <c r="IFK116" s="73"/>
      <c r="IFL116" s="73"/>
      <c r="IFM116" s="73"/>
      <c r="IFN116" s="73"/>
      <c r="IFO116" s="73"/>
      <c r="IFP116" s="73"/>
      <c r="IFQ116" s="73"/>
      <c r="IFR116" s="73"/>
      <c r="IFS116" s="73"/>
      <c r="IFT116" s="73"/>
      <c r="IFU116" s="73"/>
      <c r="IFV116" s="73"/>
      <c r="IFW116" s="73"/>
      <c r="IFX116" s="73"/>
      <c r="IFY116" s="73"/>
      <c r="IFZ116" s="73"/>
      <c r="IGA116" s="73"/>
      <c r="IGB116" s="73"/>
      <c r="IGC116" s="73"/>
      <c r="IGD116" s="73"/>
      <c r="IGE116" s="73"/>
      <c r="IGF116" s="73"/>
      <c r="IGG116" s="73"/>
      <c r="IGH116" s="73"/>
      <c r="IGI116" s="73"/>
      <c r="IGJ116" s="73"/>
      <c r="IGK116" s="73"/>
      <c r="IGL116" s="73"/>
      <c r="IGM116" s="73"/>
      <c r="IGN116" s="73"/>
      <c r="IGO116" s="73"/>
      <c r="IGP116" s="73"/>
      <c r="IGQ116" s="73"/>
      <c r="IGR116" s="73"/>
      <c r="IGS116" s="73"/>
      <c r="IGT116" s="73"/>
      <c r="IGU116" s="73"/>
      <c r="IGV116" s="73"/>
      <c r="IGW116" s="73"/>
      <c r="IGX116" s="73"/>
      <c r="IGY116" s="73"/>
      <c r="IGZ116" s="73"/>
      <c r="IHA116" s="73"/>
      <c r="IHB116" s="73"/>
      <c r="IHC116" s="73"/>
      <c r="IHD116" s="73"/>
      <c r="IHE116" s="73"/>
      <c r="IHF116" s="73"/>
      <c r="IHG116" s="73"/>
      <c r="IHH116" s="73"/>
      <c r="IHI116" s="73"/>
      <c r="IHJ116" s="73"/>
      <c r="IHK116" s="73"/>
      <c r="IHL116" s="73"/>
      <c r="IHM116" s="73"/>
      <c r="IHN116" s="73"/>
      <c r="IHO116" s="73"/>
      <c r="IHP116" s="73"/>
      <c r="IHQ116" s="73"/>
      <c r="IHR116" s="73"/>
      <c r="IHS116" s="73"/>
      <c r="IHT116" s="73"/>
      <c r="IHU116" s="73"/>
      <c r="IHV116" s="73"/>
      <c r="IHW116" s="73"/>
      <c r="IHX116" s="73"/>
      <c r="IHY116" s="73"/>
      <c r="IHZ116" s="73"/>
      <c r="IIA116" s="73"/>
      <c r="IIB116" s="73"/>
      <c r="IIC116" s="73"/>
      <c r="IID116" s="73"/>
      <c r="IIE116" s="73"/>
      <c r="IIF116" s="73"/>
      <c r="IIG116" s="73"/>
      <c r="IIH116" s="73"/>
      <c r="III116" s="73"/>
      <c r="IIJ116" s="73"/>
      <c r="IIK116" s="73"/>
      <c r="IIL116" s="73"/>
      <c r="IIM116" s="73"/>
      <c r="IIN116" s="73"/>
      <c r="IIO116" s="73"/>
      <c r="IIP116" s="73"/>
      <c r="IIQ116" s="73"/>
      <c r="IIR116" s="73"/>
      <c r="IIS116" s="73"/>
      <c r="IIT116" s="73"/>
      <c r="IIU116" s="73"/>
      <c r="IIV116" s="73"/>
      <c r="IIW116" s="73"/>
      <c r="IIX116" s="73"/>
      <c r="IIY116" s="73"/>
      <c r="IIZ116" s="73"/>
      <c r="IJA116" s="73"/>
      <c r="IJB116" s="73"/>
      <c r="IJC116" s="73"/>
      <c r="IJD116" s="73"/>
      <c r="IJE116" s="73"/>
      <c r="IJF116" s="73"/>
      <c r="IJG116" s="73"/>
      <c r="IJH116" s="73"/>
      <c r="IJI116" s="73"/>
      <c r="IJJ116" s="73"/>
      <c r="IJK116" s="73"/>
      <c r="IJL116" s="73"/>
      <c r="IJM116" s="73"/>
      <c r="IJN116" s="73"/>
      <c r="IJO116" s="73"/>
      <c r="IJP116" s="73"/>
      <c r="IJQ116" s="73"/>
      <c r="IJR116" s="73"/>
      <c r="IJS116" s="73"/>
      <c r="IJT116" s="73"/>
      <c r="IJU116" s="73"/>
      <c r="IJV116" s="73"/>
      <c r="IJW116" s="73"/>
      <c r="IJX116" s="73"/>
      <c r="IJY116" s="73"/>
      <c r="IJZ116" s="73"/>
      <c r="IKA116" s="73"/>
      <c r="IKB116" s="73"/>
      <c r="IKC116" s="73"/>
      <c r="IKD116" s="73"/>
      <c r="IKE116" s="73"/>
      <c r="IKF116" s="73"/>
      <c r="IKG116" s="73"/>
      <c r="IKH116" s="73"/>
      <c r="IKI116" s="73"/>
      <c r="IKJ116" s="73"/>
      <c r="IKK116" s="73"/>
      <c r="IKL116" s="73"/>
      <c r="IKM116" s="73"/>
      <c r="IKN116" s="73"/>
      <c r="IKO116" s="73"/>
      <c r="IKP116" s="73"/>
      <c r="IKQ116" s="73"/>
      <c r="IKR116" s="73"/>
      <c r="IKS116" s="73"/>
      <c r="IKT116" s="73"/>
      <c r="IKU116" s="73"/>
      <c r="IKV116" s="73"/>
      <c r="IKW116" s="73"/>
      <c r="IKX116" s="73"/>
      <c r="IKY116" s="73"/>
      <c r="IKZ116" s="73"/>
      <c r="ILA116" s="73"/>
      <c r="ILB116" s="73"/>
      <c r="ILC116" s="73"/>
      <c r="ILD116" s="73"/>
      <c r="ILE116" s="73"/>
      <c r="ILF116" s="73"/>
      <c r="ILG116" s="73"/>
      <c r="ILH116" s="73"/>
      <c r="ILI116" s="73"/>
      <c r="ILJ116" s="73"/>
      <c r="ILK116" s="73"/>
      <c r="ILL116" s="73"/>
      <c r="ILM116" s="73"/>
      <c r="ILN116" s="73"/>
      <c r="ILO116" s="73"/>
      <c r="ILP116" s="73"/>
      <c r="ILQ116" s="73"/>
      <c r="ILR116" s="73"/>
      <c r="ILS116" s="73"/>
      <c r="ILT116" s="73"/>
      <c r="ILU116" s="73"/>
      <c r="ILV116" s="73"/>
      <c r="ILW116" s="73"/>
      <c r="ILX116" s="73"/>
      <c r="ILY116" s="73"/>
      <c r="ILZ116" s="73"/>
      <c r="IMA116" s="73"/>
      <c r="IMB116" s="73"/>
      <c r="IMC116" s="73"/>
      <c r="IMD116" s="73"/>
      <c r="IME116" s="73"/>
      <c r="IMF116" s="73"/>
      <c r="IMG116" s="73"/>
      <c r="IMH116" s="73"/>
      <c r="IMI116" s="73"/>
      <c r="IMJ116" s="73"/>
      <c r="IMK116" s="73"/>
      <c r="IML116" s="73"/>
      <c r="IMM116" s="73"/>
      <c r="IMN116" s="73"/>
      <c r="IMO116" s="73"/>
      <c r="IMP116" s="73"/>
      <c r="IMQ116" s="73"/>
      <c r="IMR116" s="73"/>
      <c r="IMS116" s="73"/>
      <c r="IMT116" s="73"/>
      <c r="IMU116" s="73"/>
      <c r="IMV116" s="73"/>
      <c r="IMW116" s="73"/>
      <c r="IMX116" s="73"/>
      <c r="IMY116" s="73"/>
      <c r="IMZ116" s="73"/>
      <c r="INA116" s="73"/>
      <c r="INB116" s="73"/>
      <c r="INC116" s="73"/>
      <c r="IND116" s="73"/>
      <c r="INE116" s="73"/>
      <c r="INF116" s="73"/>
      <c r="ING116" s="73"/>
      <c r="INH116" s="73"/>
      <c r="INI116" s="73"/>
      <c r="INJ116" s="73"/>
      <c r="INK116" s="73"/>
      <c r="INL116" s="73"/>
      <c r="INM116" s="73"/>
      <c r="INN116" s="73"/>
      <c r="INO116" s="73"/>
      <c r="INP116" s="73"/>
      <c r="INQ116" s="73"/>
      <c r="INR116" s="73"/>
      <c r="INS116" s="73"/>
      <c r="INT116" s="73"/>
      <c r="INU116" s="73"/>
      <c r="INV116" s="73"/>
      <c r="INW116" s="73"/>
      <c r="INX116" s="73"/>
      <c r="INY116" s="73"/>
      <c r="INZ116" s="73"/>
      <c r="IOA116" s="73"/>
      <c r="IOB116" s="73"/>
      <c r="IOC116" s="73"/>
      <c r="IOD116" s="73"/>
      <c r="IOE116" s="73"/>
      <c r="IOF116" s="73"/>
      <c r="IOG116" s="73"/>
      <c r="IOH116" s="73"/>
      <c r="IOI116" s="73"/>
      <c r="IOJ116" s="73"/>
      <c r="IOK116" s="73"/>
      <c r="IOL116" s="73"/>
      <c r="IOM116" s="73"/>
      <c r="ION116" s="73"/>
      <c r="IOO116" s="73"/>
      <c r="IOP116" s="73"/>
      <c r="IOQ116" s="73"/>
      <c r="IOR116" s="73"/>
      <c r="IOS116" s="73"/>
      <c r="IOT116" s="73"/>
      <c r="IOU116" s="73"/>
      <c r="IOV116" s="73"/>
      <c r="IOW116" s="73"/>
      <c r="IOX116" s="73"/>
      <c r="IOY116" s="73"/>
      <c r="IOZ116" s="73"/>
      <c r="IPA116" s="73"/>
      <c r="IPB116" s="73"/>
      <c r="IPC116" s="73"/>
      <c r="IPD116" s="73"/>
      <c r="IPE116" s="73"/>
      <c r="IPF116" s="73"/>
      <c r="IPG116" s="73"/>
      <c r="IPH116" s="73"/>
      <c r="IPI116" s="73"/>
      <c r="IPJ116" s="73"/>
      <c r="IPK116" s="73"/>
      <c r="IPL116" s="73"/>
      <c r="IPM116" s="73"/>
      <c r="IPN116" s="73"/>
      <c r="IPO116" s="73"/>
      <c r="IPP116" s="73"/>
      <c r="IPQ116" s="73"/>
      <c r="IPR116" s="73"/>
      <c r="IPS116" s="73"/>
      <c r="IPT116" s="73"/>
      <c r="IPU116" s="73"/>
      <c r="IPV116" s="73"/>
      <c r="IPW116" s="73"/>
      <c r="IPX116" s="73"/>
      <c r="IPY116" s="73"/>
      <c r="IPZ116" s="73"/>
      <c r="IQA116" s="73"/>
      <c r="IQB116" s="73"/>
      <c r="IQC116" s="73"/>
      <c r="IQD116" s="73"/>
      <c r="IQE116" s="73"/>
      <c r="IQF116" s="73"/>
      <c r="IQG116" s="73"/>
      <c r="IQH116" s="73"/>
      <c r="IQI116" s="73"/>
      <c r="IQJ116" s="73"/>
      <c r="IQK116" s="73"/>
      <c r="IQL116" s="73"/>
      <c r="IQM116" s="73"/>
      <c r="IQN116" s="73"/>
      <c r="IQO116" s="73"/>
      <c r="IQP116" s="73"/>
      <c r="IQQ116" s="73"/>
      <c r="IQR116" s="73"/>
      <c r="IQS116" s="73"/>
      <c r="IQT116" s="73"/>
      <c r="IQU116" s="73"/>
      <c r="IQV116" s="73"/>
      <c r="IQW116" s="73"/>
      <c r="IQX116" s="73"/>
      <c r="IQY116" s="73"/>
      <c r="IQZ116" s="73"/>
      <c r="IRA116" s="73"/>
      <c r="IRB116" s="73"/>
      <c r="IRC116" s="73"/>
      <c r="IRD116" s="73"/>
      <c r="IRE116" s="73"/>
      <c r="IRF116" s="73"/>
      <c r="IRG116" s="73"/>
      <c r="IRH116" s="73"/>
      <c r="IRI116" s="73"/>
      <c r="IRJ116" s="73"/>
      <c r="IRK116" s="73"/>
      <c r="IRL116" s="73"/>
      <c r="IRM116" s="73"/>
      <c r="IRN116" s="73"/>
      <c r="IRO116" s="73"/>
      <c r="IRP116" s="73"/>
      <c r="IRQ116" s="73"/>
      <c r="IRR116" s="73"/>
      <c r="IRS116" s="73"/>
      <c r="IRT116" s="73"/>
      <c r="IRU116" s="73"/>
      <c r="IRV116" s="73"/>
      <c r="IRW116" s="73"/>
      <c r="IRX116" s="73"/>
      <c r="IRY116" s="73"/>
      <c r="IRZ116" s="73"/>
      <c r="ISA116" s="73"/>
      <c r="ISB116" s="73"/>
      <c r="ISC116" s="73"/>
      <c r="ISD116" s="73"/>
      <c r="ISE116" s="73"/>
      <c r="ISF116" s="73"/>
      <c r="ISG116" s="73"/>
      <c r="ISH116" s="73"/>
      <c r="ISI116" s="73"/>
      <c r="ISJ116" s="73"/>
      <c r="ISK116" s="73"/>
      <c r="ISL116" s="73"/>
      <c r="ISM116" s="73"/>
      <c r="ISN116" s="73"/>
      <c r="ISO116" s="73"/>
      <c r="ISP116" s="73"/>
      <c r="ISQ116" s="73"/>
      <c r="ISR116" s="73"/>
      <c r="ISS116" s="73"/>
      <c r="IST116" s="73"/>
      <c r="ISU116" s="73"/>
      <c r="ISV116" s="73"/>
      <c r="ISW116" s="73"/>
      <c r="ISX116" s="73"/>
      <c r="ISY116" s="73"/>
      <c r="ISZ116" s="73"/>
      <c r="ITA116" s="73"/>
      <c r="ITB116" s="73"/>
      <c r="ITC116" s="73"/>
      <c r="ITD116" s="73"/>
      <c r="ITE116" s="73"/>
      <c r="ITF116" s="73"/>
      <c r="ITG116" s="73"/>
      <c r="ITH116" s="73"/>
      <c r="ITI116" s="73"/>
      <c r="ITJ116" s="73"/>
      <c r="ITK116" s="73"/>
      <c r="ITL116" s="73"/>
      <c r="ITM116" s="73"/>
      <c r="ITN116" s="73"/>
      <c r="ITO116" s="73"/>
      <c r="ITP116" s="73"/>
      <c r="ITQ116" s="73"/>
      <c r="ITR116" s="73"/>
      <c r="ITS116" s="73"/>
      <c r="ITT116" s="73"/>
      <c r="ITU116" s="73"/>
      <c r="ITV116" s="73"/>
      <c r="ITW116" s="73"/>
      <c r="ITX116" s="73"/>
      <c r="ITY116" s="73"/>
      <c r="ITZ116" s="73"/>
      <c r="IUA116" s="73"/>
      <c r="IUB116" s="73"/>
      <c r="IUC116" s="73"/>
      <c r="IUD116" s="73"/>
      <c r="IUE116" s="73"/>
      <c r="IUF116" s="73"/>
      <c r="IUG116" s="73"/>
      <c r="IUH116" s="73"/>
      <c r="IUI116" s="73"/>
      <c r="IUJ116" s="73"/>
      <c r="IUK116" s="73"/>
      <c r="IUL116" s="73"/>
      <c r="IUM116" s="73"/>
      <c r="IUN116" s="73"/>
      <c r="IUO116" s="73"/>
      <c r="IUP116" s="73"/>
      <c r="IUQ116" s="73"/>
      <c r="IUR116" s="73"/>
      <c r="IUS116" s="73"/>
      <c r="IUT116" s="73"/>
      <c r="IUU116" s="73"/>
      <c r="IUV116" s="73"/>
      <c r="IUW116" s="73"/>
      <c r="IUX116" s="73"/>
      <c r="IUY116" s="73"/>
      <c r="IUZ116" s="73"/>
      <c r="IVA116" s="73"/>
      <c r="IVB116" s="73"/>
      <c r="IVC116" s="73"/>
      <c r="IVD116" s="73"/>
      <c r="IVE116" s="73"/>
      <c r="IVF116" s="73"/>
      <c r="IVG116" s="73"/>
      <c r="IVH116" s="73"/>
      <c r="IVI116" s="73"/>
      <c r="IVJ116" s="73"/>
      <c r="IVK116" s="73"/>
      <c r="IVL116" s="73"/>
      <c r="IVM116" s="73"/>
      <c r="IVN116" s="73"/>
      <c r="IVO116" s="73"/>
      <c r="IVP116" s="73"/>
      <c r="IVQ116" s="73"/>
      <c r="IVR116" s="73"/>
      <c r="IVS116" s="73"/>
      <c r="IVT116" s="73"/>
      <c r="IVU116" s="73"/>
      <c r="IVV116" s="73"/>
      <c r="IVW116" s="73"/>
      <c r="IVX116" s="73"/>
      <c r="IVY116" s="73"/>
      <c r="IVZ116" s="73"/>
      <c r="IWA116" s="73"/>
      <c r="IWB116" s="73"/>
      <c r="IWC116" s="73"/>
      <c r="IWD116" s="73"/>
      <c r="IWE116" s="73"/>
      <c r="IWF116" s="73"/>
      <c r="IWG116" s="73"/>
      <c r="IWH116" s="73"/>
      <c r="IWI116" s="73"/>
      <c r="IWJ116" s="73"/>
      <c r="IWK116" s="73"/>
      <c r="IWL116" s="73"/>
      <c r="IWM116" s="73"/>
      <c r="IWN116" s="73"/>
      <c r="IWO116" s="73"/>
      <c r="IWP116" s="73"/>
      <c r="IWQ116" s="73"/>
      <c r="IWR116" s="73"/>
      <c r="IWS116" s="73"/>
      <c r="IWT116" s="73"/>
      <c r="IWU116" s="73"/>
      <c r="IWV116" s="73"/>
      <c r="IWW116" s="73"/>
      <c r="IWX116" s="73"/>
      <c r="IWY116" s="73"/>
      <c r="IWZ116" s="73"/>
      <c r="IXA116" s="73"/>
      <c r="IXB116" s="73"/>
      <c r="IXC116" s="73"/>
      <c r="IXD116" s="73"/>
      <c r="IXE116" s="73"/>
      <c r="IXF116" s="73"/>
      <c r="IXG116" s="73"/>
      <c r="IXH116" s="73"/>
      <c r="IXI116" s="73"/>
      <c r="IXJ116" s="73"/>
      <c r="IXK116" s="73"/>
      <c r="IXL116" s="73"/>
      <c r="IXM116" s="73"/>
      <c r="IXN116" s="73"/>
      <c r="IXO116" s="73"/>
      <c r="IXP116" s="73"/>
      <c r="IXQ116" s="73"/>
      <c r="IXR116" s="73"/>
      <c r="IXS116" s="73"/>
      <c r="IXT116" s="73"/>
      <c r="IXU116" s="73"/>
      <c r="IXV116" s="73"/>
      <c r="IXW116" s="73"/>
      <c r="IXX116" s="73"/>
      <c r="IXY116" s="73"/>
      <c r="IXZ116" s="73"/>
      <c r="IYA116" s="73"/>
      <c r="IYB116" s="73"/>
      <c r="IYC116" s="73"/>
      <c r="IYD116" s="73"/>
      <c r="IYE116" s="73"/>
      <c r="IYF116" s="73"/>
      <c r="IYG116" s="73"/>
      <c r="IYH116" s="73"/>
      <c r="IYI116" s="73"/>
      <c r="IYJ116" s="73"/>
      <c r="IYK116" s="73"/>
      <c r="IYL116" s="73"/>
      <c r="IYM116" s="73"/>
      <c r="IYN116" s="73"/>
      <c r="IYO116" s="73"/>
      <c r="IYP116" s="73"/>
      <c r="IYQ116" s="73"/>
      <c r="IYR116" s="73"/>
      <c r="IYS116" s="73"/>
      <c r="IYT116" s="73"/>
      <c r="IYU116" s="73"/>
      <c r="IYV116" s="73"/>
      <c r="IYW116" s="73"/>
      <c r="IYX116" s="73"/>
      <c r="IYY116" s="73"/>
      <c r="IYZ116" s="73"/>
      <c r="IZA116" s="73"/>
      <c r="IZB116" s="73"/>
      <c r="IZC116" s="73"/>
      <c r="IZD116" s="73"/>
      <c r="IZE116" s="73"/>
      <c r="IZF116" s="73"/>
      <c r="IZG116" s="73"/>
      <c r="IZH116" s="73"/>
      <c r="IZI116" s="73"/>
      <c r="IZJ116" s="73"/>
      <c r="IZK116" s="73"/>
      <c r="IZL116" s="73"/>
      <c r="IZM116" s="73"/>
      <c r="IZN116" s="73"/>
      <c r="IZO116" s="73"/>
      <c r="IZP116" s="73"/>
      <c r="IZQ116" s="73"/>
      <c r="IZR116" s="73"/>
      <c r="IZS116" s="73"/>
      <c r="IZT116" s="73"/>
      <c r="IZU116" s="73"/>
      <c r="IZV116" s="73"/>
      <c r="IZW116" s="73"/>
      <c r="IZX116" s="73"/>
      <c r="IZY116" s="73"/>
      <c r="IZZ116" s="73"/>
      <c r="JAA116" s="73"/>
      <c r="JAB116" s="73"/>
      <c r="JAC116" s="73"/>
      <c r="JAD116" s="73"/>
      <c r="JAE116" s="73"/>
      <c r="JAF116" s="73"/>
      <c r="JAG116" s="73"/>
      <c r="JAH116" s="73"/>
      <c r="JAI116" s="73"/>
      <c r="JAJ116" s="73"/>
      <c r="JAK116" s="73"/>
      <c r="JAL116" s="73"/>
      <c r="JAM116" s="73"/>
      <c r="JAN116" s="73"/>
      <c r="JAO116" s="73"/>
      <c r="JAP116" s="73"/>
      <c r="JAQ116" s="73"/>
      <c r="JAR116" s="73"/>
      <c r="JAS116" s="73"/>
      <c r="JAT116" s="73"/>
      <c r="JAU116" s="73"/>
      <c r="JAV116" s="73"/>
      <c r="JAW116" s="73"/>
      <c r="JAX116" s="73"/>
      <c r="JAY116" s="73"/>
      <c r="JAZ116" s="73"/>
      <c r="JBA116" s="73"/>
      <c r="JBB116" s="73"/>
      <c r="JBC116" s="73"/>
      <c r="JBD116" s="73"/>
      <c r="JBE116" s="73"/>
      <c r="JBF116" s="73"/>
      <c r="JBG116" s="73"/>
      <c r="JBH116" s="73"/>
      <c r="JBI116" s="73"/>
      <c r="JBJ116" s="73"/>
      <c r="JBK116" s="73"/>
      <c r="JBL116" s="73"/>
      <c r="JBM116" s="73"/>
      <c r="JBN116" s="73"/>
      <c r="JBO116" s="73"/>
      <c r="JBP116" s="73"/>
      <c r="JBQ116" s="73"/>
      <c r="JBR116" s="73"/>
      <c r="JBS116" s="73"/>
      <c r="JBT116" s="73"/>
      <c r="JBU116" s="73"/>
      <c r="JBV116" s="73"/>
      <c r="JBW116" s="73"/>
      <c r="JBX116" s="73"/>
      <c r="JBY116" s="73"/>
      <c r="JBZ116" s="73"/>
      <c r="JCA116" s="73"/>
      <c r="JCB116" s="73"/>
      <c r="JCC116" s="73"/>
      <c r="JCD116" s="73"/>
      <c r="JCE116" s="73"/>
      <c r="JCF116" s="73"/>
      <c r="JCG116" s="73"/>
      <c r="JCH116" s="73"/>
      <c r="JCI116" s="73"/>
      <c r="JCJ116" s="73"/>
      <c r="JCK116" s="73"/>
      <c r="JCL116" s="73"/>
      <c r="JCM116" s="73"/>
      <c r="JCN116" s="73"/>
      <c r="JCO116" s="73"/>
      <c r="JCP116" s="73"/>
      <c r="JCQ116" s="73"/>
      <c r="JCR116" s="73"/>
      <c r="JCS116" s="73"/>
      <c r="JCT116" s="73"/>
      <c r="JCU116" s="73"/>
      <c r="JCV116" s="73"/>
      <c r="JCW116" s="73"/>
      <c r="JCX116" s="73"/>
      <c r="JCY116" s="73"/>
      <c r="JCZ116" s="73"/>
      <c r="JDA116" s="73"/>
      <c r="JDB116" s="73"/>
      <c r="JDC116" s="73"/>
      <c r="JDD116" s="73"/>
      <c r="JDE116" s="73"/>
      <c r="JDF116" s="73"/>
      <c r="JDG116" s="73"/>
      <c r="JDH116" s="73"/>
      <c r="JDI116" s="73"/>
      <c r="JDJ116" s="73"/>
      <c r="JDK116" s="73"/>
      <c r="JDL116" s="73"/>
      <c r="JDM116" s="73"/>
      <c r="JDN116" s="73"/>
      <c r="JDO116" s="73"/>
      <c r="JDP116" s="73"/>
      <c r="JDQ116" s="73"/>
      <c r="JDR116" s="73"/>
      <c r="JDS116" s="73"/>
      <c r="JDT116" s="73"/>
      <c r="JDU116" s="73"/>
      <c r="JDV116" s="73"/>
      <c r="JDW116" s="73"/>
      <c r="JDX116" s="73"/>
      <c r="JDY116" s="73"/>
      <c r="JDZ116" s="73"/>
      <c r="JEA116" s="73"/>
      <c r="JEB116" s="73"/>
      <c r="JEC116" s="73"/>
      <c r="JED116" s="73"/>
      <c r="JEE116" s="73"/>
      <c r="JEF116" s="73"/>
      <c r="JEG116" s="73"/>
      <c r="JEH116" s="73"/>
      <c r="JEI116" s="73"/>
      <c r="JEJ116" s="73"/>
      <c r="JEK116" s="73"/>
      <c r="JEL116" s="73"/>
      <c r="JEM116" s="73"/>
      <c r="JEN116" s="73"/>
      <c r="JEO116" s="73"/>
      <c r="JEP116" s="73"/>
      <c r="JEQ116" s="73"/>
      <c r="JER116" s="73"/>
      <c r="JES116" s="73"/>
      <c r="JET116" s="73"/>
      <c r="JEU116" s="73"/>
      <c r="JEV116" s="73"/>
      <c r="JEW116" s="73"/>
      <c r="JEX116" s="73"/>
      <c r="JEY116" s="73"/>
      <c r="JEZ116" s="73"/>
      <c r="JFA116" s="73"/>
      <c r="JFB116" s="73"/>
      <c r="JFC116" s="73"/>
      <c r="JFD116" s="73"/>
      <c r="JFE116" s="73"/>
      <c r="JFF116" s="73"/>
      <c r="JFG116" s="73"/>
      <c r="JFH116" s="73"/>
      <c r="JFI116" s="73"/>
      <c r="JFJ116" s="73"/>
      <c r="JFK116" s="73"/>
      <c r="JFL116" s="73"/>
      <c r="JFM116" s="73"/>
      <c r="JFN116" s="73"/>
      <c r="JFO116" s="73"/>
      <c r="JFP116" s="73"/>
      <c r="JFQ116" s="73"/>
      <c r="JFR116" s="73"/>
      <c r="JFS116" s="73"/>
      <c r="JFT116" s="73"/>
      <c r="JFU116" s="73"/>
      <c r="JFV116" s="73"/>
      <c r="JFW116" s="73"/>
      <c r="JFX116" s="73"/>
      <c r="JFY116" s="73"/>
      <c r="JFZ116" s="73"/>
      <c r="JGA116" s="73"/>
      <c r="JGB116" s="73"/>
      <c r="JGC116" s="73"/>
      <c r="JGD116" s="73"/>
      <c r="JGE116" s="73"/>
      <c r="JGF116" s="73"/>
      <c r="JGG116" s="73"/>
      <c r="JGH116" s="73"/>
      <c r="JGI116" s="73"/>
      <c r="JGJ116" s="73"/>
      <c r="JGK116" s="73"/>
      <c r="JGL116" s="73"/>
      <c r="JGM116" s="73"/>
      <c r="JGN116" s="73"/>
      <c r="JGO116" s="73"/>
      <c r="JGP116" s="73"/>
      <c r="JGQ116" s="73"/>
      <c r="JGR116" s="73"/>
      <c r="JGS116" s="73"/>
      <c r="JGT116" s="73"/>
      <c r="JGU116" s="73"/>
      <c r="JGV116" s="73"/>
      <c r="JGW116" s="73"/>
      <c r="JGX116" s="73"/>
      <c r="JGY116" s="73"/>
      <c r="JGZ116" s="73"/>
      <c r="JHA116" s="73"/>
      <c r="JHB116" s="73"/>
      <c r="JHC116" s="73"/>
      <c r="JHD116" s="73"/>
      <c r="JHE116" s="73"/>
      <c r="JHF116" s="73"/>
      <c r="JHG116" s="73"/>
      <c r="JHH116" s="73"/>
      <c r="JHI116" s="73"/>
      <c r="JHJ116" s="73"/>
      <c r="JHK116" s="73"/>
      <c r="JHL116" s="73"/>
      <c r="JHM116" s="73"/>
      <c r="JHN116" s="73"/>
      <c r="JHO116" s="73"/>
      <c r="JHP116" s="73"/>
      <c r="JHQ116" s="73"/>
      <c r="JHR116" s="73"/>
      <c r="JHS116" s="73"/>
      <c r="JHT116" s="73"/>
      <c r="JHU116" s="73"/>
      <c r="JHV116" s="73"/>
      <c r="JHW116" s="73"/>
      <c r="JHX116" s="73"/>
      <c r="JHY116" s="73"/>
      <c r="JHZ116" s="73"/>
      <c r="JIA116" s="73"/>
      <c r="JIB116" s="73"/>
      <c r="JIC116" s="73"/>
      <c r="JID116" s="73"/>
      <c r="JIE116" s="73"/>
      <c r="JIF116" s="73"/>
      <c r="JIG116" s="73"/>
      <c r="JIH116" s="73"/>
      <c r="JII116" s="73"/>
      <c r="JIJ116" s="73"/>
      <c r="JIK116" s="73"/>
      <c r="JIL116" s="73"/>
      <c r="JIM116" s="73"/>
      <c r="JIN116" s="73"/>
      <c r="JIO116" s="73"/>
      <c r="JIP116" s="73"/>
      <c r="JIQ116" s="73"/>
      <c r="JIR116" s="73"/>
      <c r="JIS116" s="73"/>
      <c r="JIT116" s="73"/>
      <c r="JIU116" s="73"/>
      <c r="JIV116" s="73"/>
      <c r="JIW116" s="73"/>
      <c r="JIX116" s="73"/>
      <c r="JIY116" s="73"/>
      <c r="JIZ116" s="73"/>
      <c r="JJA116" s="73"/>
      <c r="JJB116" s="73"/>
      <c r="JJC116" s="73"/>
      <c r="JJD116" s="73"/>
      <c r="JJE116" s="73"/>
      <c r="JJF116" s="73"/>
      <c r="JJG116" s="73"/>
      <c r="JJH116" s="73"/>
      <c r="JJI116" s="73"/>
      <c r="JJJ116" s="73"/>
      <c r="JJK116" s="73"/>
      <c r="JJL116" s="73"/>
      <c r="JJM116" s="73"/>
      <c r="JJN116" s="73"/>
      <c r="JJO116" s="73"/>
      <c r="JJP116" s="73"/>
      <c r="JJQ116" s="73"/>
      <c r="JJR116" s="73"/>
      <c r="JJS116" s="73"/>
      <c r="JJT116" s="73"/>
      <c r="JJU116" s="73"/>
      <c r="JJV116" s="73"/>
      <c r="JJW116" s="73"/>
      <c r="JJX116" s="73"/>
      <c r="JJY116" s="73"/>
      <c r="JJZ116" s="73"/>
      <c r="JKA116" s="73"/>
      <c r="JKB116" s="73"/>
      <c r="JKC116" s="73"/>
      <c r="JKD116" s="73"/>
      <c r="JKE116" s="73"/>
      <c r="JKF116" s="73"/>
      <c r="JKG116" s="73"/>
      <c r="JKH116" s="73"/>
      <c r="JKI116" s="73"/>
      <c r="JKJ116" s="73"/>
      <c r="JKK116" s="73"/>
      <c r="JKL116" s="73"/>
      <c r="JKM116" s="73"/>
      <c r="JKN116" s="73"/>
      <c r="JKO116" s="73"/>
      <c r="JKP116" s="73"/>
      <c r="JKQ116" s="73"/>
      <c r="JKR116" s="73"/>
      <c r="JKS116" s="73"/>
      <c r="JKT116" s="73"/>
      <c r="JKU116" s="73"/>
      <c r="JKV116" s="73"/>
      <c r="JKW116" s="73"/>
      <c r="JKX116" s="73"/>
      <c r="JKY116" s="73"/>
      <c r="JKZ116" s="73"/>
      <c r="JLA116" s="73"/>
      <c r="JLB116" s="73"/>
      <c r="JLC116" s="73"/>
      <c r="JLD116" s="73"/>
      <c r="JLE116" s="73"/>
      <c r="JLF116" s="73"/>
      <c r="JLG116" s="73"/>
      <c r="JLH116" s="73"/>
      <c r="JLI116" s="73"/>
      <c r="JLJ116" s="73"/>
      <c r="JLK116" s="73"/>
      <c r="JLL116" s="73"/>
      <c r="JLM116" s="73"/>
      <c r="JLN116" s="73"/>
      <c r="JLO116" s="73"/>
      <c r="JLP116" s="73"/>
      <c r="JLQ116" s="73"/>
      <c r="JLR116" s="73"/>
      <c r="JLS116" s="73"/>
      <c r="JLT116" s="73"/>
      <c r="JLU116" s="73"/>
      <c r="JLV116" s="73"/>
      <c r="JLW116" s="73"/>
      <c r="JLX116" s="73"/>
      <c r="JLY116" s="73"/>
      <c r="JLZ116" s="73"/>
      <c r="JMA116" s="73"/>
      <c r="JMB116" s="73"/>
      <c r="JMC116" s="73"/>
      <c r="JMD116" s="73"/>
      <c r="JME116" s="73"/>
      <c r="JMF116" s="73"/>
      <c r="JMG116" s="73"/>
      <c r="JMH116" s="73"/>
      <c r="JMI116" s="73"/>
      <c r="JMJ116" s="73"/>
      <c r="JMK116" s="73"/>
      <c r="JML116" s="73"/>
      <c r="JMM116" s="73"/>
      <c r="JMN116" s="73"/>
      <c r="JMO116" s="73"/>
      <c r="JMP116" s="73"/>
      <c r="JMQ116" s="73"/>
      <c r="JMR116" s="73"/>
      <c r="JMS116" s="73"/>
      <c r="JMT116" s="73"/>
      <c r="JMU116" s="73"/>
      <c r="JMV116" s="73"/>
      <c r="JMW116" s="73"/>
      <c r="JMX116" s="73"/>
      <c r="JMY116" s="73"/>
      <c r="JMZ116" s="73"/>
      <c r="JNA116" s="73"/>
      <c r="JNB116" s="73"/>
      <c r="JNC116" s="73"/>
      <c r="JND116" s="73"/>
      <c r="JNE116" s="73"/>
      <c r="JNF116" s="73"/>
      <c r="JNG116" s="73"/>
      <c r="JNH116" s="73"/>
      <c r="JNI116" s="73"/>
      <c r="JNJ116" s="73"/>
      <c r="JNK116" s="73"/>
      <c r="JNL116" s="73"/>
      <c r="JNM116" s="73"/>
      <c r="JNN116" s="73"/>
      <c r="JNO116" s="73"/>
      <c r="JNP116" s="73"/>
      <c r="JNQ116" s="73"/>
      <c r="JNR116" s="73"/>
      <c r="JNS116" s="73"/>
      <c r="JNT116" s="73"/>
      <c r="JNU116" s="73"/>
      <c r="JNV116" s="73"/>
      <c r="JNW116" s="73"/>
      <c r="JNX116" s="73"/>
      <c r="JNY116" s="73"/>
      <c r="JNZ116" s="73"/>
      <c r="JOA116" s="73"/>
      <c r="JOB116" s="73"/>
      <c r="JOC116" s="73"/>
      <c r="JOD116" s="73"/>
      <c r="JOE116" s="73"/>
      <c r="JOF116" s="73"/>
      <c r="JOG116" s="73"/>
      <c r="JOH116" s="73"/>
      <c r="JOI116" s="73"/>
      <c r="JOJ116" s="73"/>
      <c r="JOK116" s="73"/>
      <c r="JOL116" s="73"/>
      <c r="JOM116" s="73"/>
      <c r="JON116" s="73"/>
      <c r="JOO116" s="73"/>
      <c r="JOP116" s="73"/>
      <c r="JOQ116" s="73"/>
      <c r="JOR116" s="73"/>
      <c r="JOS116" s="73"/>
      <c r="JOT116" s="73"/>
      <c r="JOU116" s="73"/>
      <c r="JOV116" s="73"/>
      <c r="JOW116" s="73"/>
      <c r="JOX116" s="73"/>
      <c r="JOY116" s="73"/>
      <c r="JOZ116" s="73"/>
      <c r="JPA116" s="73"/>
      <c r="JPB116" s="73"/>
      <c r="JPC116" s="73"/>
      <c r="JPD116" s="73"/>
      <c r="JPE116" s="73"/>
      <c r="JPF116" s="73"/>
      <c r="JPG116" s="73"/>
      <c r="JPH116" s="73"/>
      <c r="JPI116" s="73"/>
      <c r="JPJ116" s="73"/>
      <c r="JPK116" s="73"/>
      <c r="JPL116" s="73"/>
      <c r="JPM116" s="73"/>
      <c r="JPN116" s="73"/>
      <c r="JPO116" s="73"/>
      <c r="JPP116" s="73"/>
      <c r="JPQ116" s="73"/>
      <c r="JPR116" s="73"/>
      <c r="JPS116" s="73"/>
      <c r="JPT116" s="73"/>
      <c r="JPU116" s="73"/>
      <c r="JPV116" s="73"/>
      <c r="JPW116" s="73"/>
      <c r="JPX116" s="73"/>
      <c r="JPY116" s="73"/>
      <c r="JPZ116" s="73"/>
      <c r="JQA116" s="73"/>
      <c r="JQB116" s="73"/>
      <c r="JQC116" s="73"/>
      <c r="JQD116" s="73"/>
      <c r="JQE116" s="73"/>
      <c r="JQF116" s="73"/>
      <c r="JQG116" s="73"/>
      <c r="JQH116" s="73"/>
      <c r="JQI116" s="73"/>
      <c r="JQJ116" s="73"/>
      <c r="JQK116" s="73"/>
      <c r="JQL116" s="73"/>
      <c r="JQM116" s="73"/>
      <c r="JQN116" s="73"/>
      <c r="JQO116" s="73"/>
      <c r="JQP116" s="73"/>
      <c r="JQQ116" s="73"/>
      <c r="JQR116" s="73"/>
      <c r="JQS116" s="73"/>
      <c r="JQT116" s="73"/>
      <c r="JQU116" s="73"/>
      <c r="JQV116" s="73"/>
      <c r="JQW116" s="73"/>
      <c r="JQX116" s="73"/>
      <c r="JQY116" s="73"/>
      <c r="JQZ116" s="73"/>
      <c r="JRA116" s="73"/>
      <c r="JRB116" s="73"/>
      <c r="JRC116" s="73"/>
      <c r="JRD116" s="73"/>
      <c r="JRE116" s="73"/>
      <c r="JRF116" s="73"/>
      <c r="JRG116" s="73"/>
      <c r="JRH116" s="73"/>
      <c r="JRI116" s="73"/>
      <c r="JRJ116" s="73"/>
      <c r="JRK116" s="73"/>
      <c r="JRL116" s="73"/>
      <c r="JRM116" s="73"/>
      <c r="JRN116" s="73"/>
      <c r="JRO116" s="73"/>
      <c r="JRP116" s="73"/>
      <c r="JRQ116" s="73"/>
      <c r="JRR116" s="73"/>
      <c r="JRS116" s="73"/>
      <c r="JRT116" s="73"/>
      <c r="JRU116" s="73"/>
      <c r="JRV116" s="73"/>
      <c r="JRW116" s="73"/>
      <c r="JRX116" s="73"/>
      <c r="JRY116" s="73"/>
      <c r="JRZ116" s="73"/>
      <c r="JSA116" s="73"/>
      <c r="JSB116" s="73"/>
      <c r="JSC116" s="73"/>
      <c r="JSD116" s="73"/>
      <c r="JSE116" s="73"/>
      <c r="JSF116" s="73"/>
      <c r="JSG116" s="73"/>
      <c r="JSH116" s="73"/>
      <c r="JSI116" s="73"/>
      <c r="JSJ116" s="73"/>
      <c r="JSK116" s="73"/>
      <c r="JSL116" s="73"/>
      <c r="JSM116" s="73"/>
      <c r="JSN116" s="73"/>
      <c r="JSO116" s="73"/>
      <c r="JSP116" s="73"/>
      <c r="JSQ116" s="73"/>
      <c r="JSR116" s="73"/>
      <c r="JSS116" s="73"/>
      <c r="JST116" s="73"/>
      <c r="JSU116" s="73"/>
      <c r="JSV116" s="73"/>
      <c r="JSW116" s="73"/>
      <c r="JSX116" s="73"/>
      <c r="JSY116" s="73"/>
      <c r="JSZ116" s="73"/>
      <c r="JTA116" s="73"/>
      <c r="JTB116" s="73"/>
      <c r="JTC116" s="73"/>
      <c r="JTD116" s="73"/>
      <c r="JTE116" s="73"/>
      <c r="JTF116" s="73"/>
      <c r="JTG116" s="73"/>
      <c r="JTH116" s="73"/>
      <c r="JTI116" s="73"/>
      <c r="JTJ116" s="73"/>
      <c r="JTK116" s="73"/>
      <c r="JTL116" s="73"/>
      <c r="JTM116" s="73"/>
      <c r="JTN116" s="73"/>
      <c r="JTO116" s="73"/>
      <c r="JTP116" s="73"/>
      <c r="JTQ116" s="73"/>
      <c r="JTR116" s="73"/>
      <c r="JTS116" s="73"/>
      <c r="JTT116" s="73"/>
      <c r="JTU116" s="73"/>
      <c r="JTV116" s="73"/>
      <c r="JTW116" s="73"/>
      <c r="JTX116" s="73"/>
      <c r="JTY116" s="73"/>
      <c r="JTZ116" s="73"/>
      <c r="JUA116" s="73"/>
      <c r="JUB116" s="73"/>
      <c r="JUC116" s="73"/>
      <c r="JUD116" s="73"/>
      <c r="JUE116" s="73"/>
      <c r="JUF116" s="73"/>
      <c r="JUG116" s="73"/>
      <c r="JUH116" s="73"/>
      <c r="JUI116" s="73"/>
      <c r="JUJ116" s="73"/>
      <c r="JUK116" s="73"/>
      <c r="JUL116" s="73"/>
      <c r="JUM116" s="73"/>
      <c r="JUN116" s="73"/>
      <c r="JUO116" s="73"/>
      <c r="JUP116" s="73"/>
      <c r="JUQ116" s="73"/>
      <c r="JUR116" s="73"/>
      <c r="JUS116" s="73"/>
      <c r="JUT116" s="73"/>
      <c r="JUU116" s="73"/>
      <c r="JUV116" s="73"/>
      <c r="JUW116" s="73"/>
      <c r="JUX116" s="73"/>
      <c r="JUY116" s="73"/>
      <c r="JUZ116" s="73"/>
      <c r="JVA116" s="73"/>
      <c r="JVB116" s="73"/>
      <c r="JVC116" s="73"/>
      <c r="JVD116" s="73"/>
      <c r="JVE116" s="73"/>
      <c r="JVF116" s="73"/>
      <c r="JVG116" s="73"/>
      <c r="JVH116" s="73"/>
      <c r="JVI116" s="73"/>
      <c r="JVJ116" s="73"/>
      <c r="JVK116" s="73"/>
      <c r="JVL116" s="73"/>
      <c r="JVM116" s="73"/>
      <c r="JVN116" s="73"/>
      <c r="JVO116" s="73"/>
      <c r="JVP116" s="73"/>
      <c r="JVQ116" s="73"/>
      <c r="JVR116" s="73"/>
      <c r="JVS116" s="73"/>
      <c r="JVT116" s="73"/>
      <c r="JVU116" s="73"/>
      <c r="JVV116" s="73"/>
      <c r="JVW116" s="73"/>
      <c r="JVX116" s="73"/>
      <c r="JVY116" s="73"/>
      <c r="JVZ116" s="73"/>
      <c r="JWA116" s="73"/>
      <c r="JWB116" s="73"/>
      <c r="JWC116" s="73"/>
      <c r="JWD116" s="73"/>
      <c r="JWE116" s="73"/>
      <c r="JWF116" s="73"/>
      <c r="JWG116" s="73"/>
      <c r="JWH116" s="73"/>
      <c r="JWI116" s="73"/>
      <c r="JWJ116" s="73"/>
      <c r="JWK116" s="73"/>
      <c r="JWL116" s="73"/>
      <c r="JWM116" s="73"/>
      <c r="JWN116" s="73"/>
      <c r="JWO116" s="73"/>
      <c r="JWP116" s="73"/>
      <c r="JWQ116" s="73"/>
      <c r="JWR116" s="73"/>
      <c r="JWS116" s="73"/>
      <c r="JWT116" s="73"/>
      <c r="JWU116" s="73"/>
      <c r="JWV116" s="73"/>
      <c r="JWW116" s="73"/>
      <c r="JWX116" s="73"/>
      <c r="JWY116" s="73"/>
      <c r="JWZ116" s="73"/>
      <c r="JXA116" s="73"/>
      <c r="JXB116" s="73"/>
      <c r="JXC116" s="73"/>
      <c r="JXD116" s="73"/>
      <c r="JXE116" s="73"/>
      <c r="JXF116" s="73"/>
      <c r="JXG116" s="73"/>
      <c r="JXH116" s="73"/>
      <c r="JXI116" s="73"/>
      <c r="JXJ116" s="73"/>
      <c r="JXK116" s="73"/>
      <c r="JXL116" s="73"/>
      <c r="JXM116" s="73"/>
      <c r="JXN116" s="73"/>
      <c r="JXO116" s="73"/>
      <c r="JXP116" s="73"/>
      <c r="JXQ116" s="73"/>
      <c r="JXR116" s="73"/>
      <c r="JXS116" s="73"/>
      <c r="JXT116" s="73"/>
      <c r="JXU116" s="73"/>
      <c r="JXV116" s="73"/>
      <c r="JXW116" s="73"/>
      <c r="JXX116" s="73"/>
      <c r="JXY116" s="73"/>
      <c r="JXZ116" s="73"/>
      <c r="JYA116" s="73"/>
      <c r="JYB116" s="73"/>
      <c r="JYC116" s="73"/>
      <c r="JYD116" s="73"/>
      <c r="JYE116" s="73"/>
      <c r="JYF116" s="73"/>
      <c r="JYG116" s="73"/>
      <c r="JYH116" s="73"/>
      <c r="JYI116" s="73"/>
      <c r="JYJ116" s="73"/>
      <c r="JYK116" s="73"/>
      <c r="JYL116" s="73"/>
      <c r="JYM116" s="73"/>
      <c r="JYN116" s="73"/>
      <c r="JYO116" s="73"/>
      <c r="JYP116" s="73"/>
      <c r="JYQ116" s="73"/>
      <c r="JYR116" s="73"/>
      <c r="JYS116" s="73"/>
      <c r="JYT116" s="73"/>
      <c r="JYU116" s="73"/>
      <c r="JYV116" s="73"/>
      <c r="JYW116" s="73"/>
      <c r="JYX116" s="73"/>
      <c r="JYY116" s="73"/>
      <c r="JYZ116" s="73"/>
      <c r="JZA116" s="73"/>
      <c r="JZB116" s="73"/>
      <c r="JZC116" s="73"/>
      <c r="JZD116" s="73"/>
      <c r="JZE116" s="73"/>
      <c r="JZF116" s="73"/>
      <c r="JZG116" s="73"/>
      <c r="JZH116" s="73"/>
      <c r="JZI116" s="73"/>
      <c r="JZJ116" s="73"/>
      <c r="JZK116" s="73"/>
      <c r="JZL116" s="73"/>
      <c r="JZM116" s="73"/>
      <c r="JZN116" s="73"/>
      <c r="JZO116" s="73"/>
      <c r="JZP116" s="73"/>
      <c r="JZQ116" s="73"/>
      <c r="JZR116" s="73"/>
      <c r="JZS116" s="73"/>
      <c r="JZT116" s="73"/>
      <c r="JZU116" s="73"/>
      <c r="JZV116" s="73"/>
      <c r="JZW116" s="73"/>
      <c r="JZX116" s="73"/>
      <c r="JZY116" s="73"/>
      <c r="JZZ116" s="73"/>
      <c r="KAA116" s="73"/>
      <c r="KAB116" s="73"/>
      <c r="KAC116" s="73"/>
      <c r="KAD116" s="73"/>
      <c r="KAE116" s="73"/>
      <c r="KAF116" s="73"/>
      <c r="KAG116" s="73"/>
      <c r="KAH116" s="73"/>
      <c r="KAI116" s="73"/>
      <c r="KAJ116" s="73"/>
      <c r="KAK116" s="73"/>
      <c r="KAL116" s="73"/>
      <c r="KAM116" s="73"/>
      <c r="KAN116" s="73"/>
      <c r="KAO116" s="73"/>
      <c r="KAP116" s="73"/>
      <c r="KAQ116" s="73"/>
      <c r="KAR116" s="73"/>
      <c r="KAS116" s="73"/>
      <c r="KAT116" s="73"/>
      <c r="KAU116" s="73"/>
      <c r="KAV116" s="73"/>
      <c r="KAW116" s="73"/>
      <c r="KAX116" s="73"/>
      <c r="KAY116" s="73"/>
      <c r="KAZ116" s="73"/>
      <c r="KBA116" s="73"/>
      <c r="KBB116" s="73"/>
      <c r="KBC116" s="73"/>
      <c r="KBD116" s="73"/>
      <c r="KBE116" s="73"/>
      <c r="KBF116" s="73"/>
      <c r="KBG116" s="73"/>
      <c r="KBH116" s="73"/>
      <c r="KBI116" s="73"/>
      <c r="KBJ116" s="73"/>
      <c r="KBK116" s="73"/>
      <c r="KBL116" s="73"/>
      <c r="KBM116" s="73"/>
      <c r="KBN116" s="73"/>
      <c r="KBO116" s="73"/>
      <c r="KBP116" s="73"/>
      <c r="KBQ116" s="73"/>
      <c r="KBR116" s="73"/>
      <c r="KBS116" s="73"/>
      <c r="KBT116" s="73"/>
      <c r="KBU116" s="73"/>
      <c r="KBV116" s="73"/>
      <c r="KBW116" s="73"/>
      <c r="KBX116" s="73"/>
      <c r="KBY116" s="73"/>
      <c r="KBZ116" s="73"/>
      <c r="KCA116" s="73"/>
      <c r="KCB116" s="73"/>
      <c r="KCC116" s="73"/>
      <c r="KCD116" s="73"/>
      <c r="KCE116" s="73"/>
      <c r="KCF116" s="73"/>
      <c r="KCG116" s="73"/>
      <c r="KCH116" s="73"/>
      <c r="KCI116" s="73"/>
      <c r="KCJ116" s="73"/>
      <c r="KCK116" s="73"/>
      <c r="KCL116" s="73"/>
      <c r="KCM116" s="73"/>
      <c r="KCN116" s="73"/>
      <c r="KCO116" s="73"/>
      <c r="KCP116" s="73"/>
      <c r="KCQ116" s="73"/>
      <c r="KCR116" s="73"/>
      <c r="KCS116" s="73"/>
      <c r="KCT116" s="73"/>
      <c r="KCU116" s="73"/>
      <c r="KCV116" s="73"/>
      <c r="KCW116" s="73"/>
      <c r="KCX116" s="73"/>
      <c r="KCY116" s="73"/>
      <c r="KCZ116" s="73"/>
      <c r="KDA116" s="73"/>
      <c r="KDB116" s="73"/>
      <c r="KDC116" s="73"/>
      <c r="KDD116" s="73"/>
      <c r="KDE116" s="73"/>
      <c r="KDF116" s="73"/>
      <c r="KDG116" s="73"/>
      <c r="KDH116" s="73"/>
      <c r="KDI116" s="73"/>
      <c r="KDJ116" s="73"/>
      <c r="KDK116" s="73"/>
      <c r="KDL116" s="73"/>
      <c r="KDM116" s="73"/>
      <c r="KDN116" s="73"/>
      <c r="KDO116" s="73"/>
      <c r="KDP116" s="73"/>
      <c r="KDQ116" s="73"/>
      <c r="KDR116" s="73"/>
      <c r="KDS116" s="73"/>
      <c r="KDT116" s="73"/>
      <c r="KDU116" s="73"/>
      <c r="KDV116" s="73"/>
      <c r="KDW116" s="73"/>
      <c r="KDX116" s="73"/>
      <c r="KDY116" s="73"/>
      <c r="KDZ116" s="73"/>
      <c r="KEA116" s="73"/>
      <c r="KEB116" s="73"/>
      <c r="KEC116" s="73"/>
      <c r="KED116" s="73"/>
      <c r="KEE116" s="73"/>
      <c r="KEF116" s="73"/>
      <c r="KEG116" s="73"/>
      <c r="KEH116" s="73"/>
      <c r="KEI116" s="73"/>
      <c r="KEJ116" s="73"/>
      <c r="KEK116" s="73"/>
      <c r="KEL116" s="73"/>
      <c r="KEM116" s="73"/>
      <c r="KEN116" s="73"/>
      <c r="KEO116" s="73"/>
      <c r="KEP116" s="73"/>
      <c r="KEQ116" s="73"/>
      <c r="KER116" s="73"/>
      <c r="KES116" s="73"/>
      <c r="KET116" s="73"/>
      <c r="KEU116" s="73"/>
      <c r="KEV116" s="73"/>
      <c r="KEW116" s="73"/>
      <c r="KEX116" s="73"/>
      <c r="KEY116" s="73"/>
      <c r="KEZ116" s="73"/>
      <c r="KFA116" s="73"/>
      <c r="KFB116" s="73"/>
      <c r="KFC116" s="73"/>
      <c r="KFD116" s="73"/>
      <c r="KFE116" s="73"/>
      <c r="KFF116" s="73"/>
      <c r="KFG116" s="73"/>
      <c r="KFH116" s="73"/>
      <c r="KFI116" s="73"/>
      <c r="KFJ116" s="73"/>
      <c r="KFK116" s="73"/>
      <c r="KFL116" s="73"/>
      <c r="KFM116" s="73"/>
      <c r="KFN116" s="73"/>
      <c r="KFO116" s="73"/>
      <c r="KFP116" s="73"/>
      <c r="KFQ116" s="73"/>
      <c r="KFR116" s="73"/>
      <c r="KFS116" s="73"/>
      <c r="KFT116" s="73"/>
      <c r="KFU116" s="73"/>
      <c r="KFV116" s="73"/>
      <c r="KFW116" s="73"/>
      <c r="KFX116" s="73"/>
      <c r="KFY116" s="73"/>
      <c r="KFZ116" s="73"/>
      <c r="KGA116" s="73"/>
      <c r="KGB116" s="73"/>
      <c r="KGC116" s="73"/>
      <c r="KGD116" s="73"/>
      <c r="KGE116" s="73"/>
      <c r="KGF116" s="73"/>
      <c r="KGG116" s="73"/>
      <c r="KGH116" s="73"/>
      <c r="KGI116" s="73"/>
      <c r="KGJ116" s="73"/>
      <c r="KGK116" s="73"/>
      <c r="KGL116" s="73"/>
      <c r="KGM116" s="73"/>
      <c r="KGN116" s="73"/>
      <c r="KGO116" s="73"/>
      <c r="KGP116" s="73"/>
      <c r="KGQ116" s="73"/>
      <c r="KGR116" s="73"/>
      <c r="KGS116" s="73"/>
      <c r="KGT116" s="73"/>
      <c r="KGU116" s="73"/>
      <c r="KGV116" s="73"/>
      <c r="KGW116" s="73"/>
      <c r="KGX116" s="73"/>
      <c r="KGY116" s="73"/>
      <c r="KGZ116" s="73"/>
      <c r="KHA116" s="73"/>
      <c r="KHB116" s="73"/>
      <c r="KHC116" s="73"/>
      <c r="KHD116" s="73"/>
      <c r="KHE116" s="73"/>
      <c r="KHF116" s="73"/>
      <c r="KHG116" s="73"/>
      <c r="KHH116" s="73"/>
      <c r="KHI116" s="73"/>
      <c r="KHJ116" s="73"/>
      <c r="KHK116" s="73"/>
      <c r="KHL116" s="73"/>
      <c r="KHM116" s="73"/>
      <c r="KHN116" s="73"/>
      <c r="KHO116" s="73"/>
      <c r="KHP116" s="73"/>
      <c r="KHQ116" s="73"/>
      <c r="KHR116" s="73"/>
      <c r="KHS116" s="73"/>
      <c r="KHT116" s="73"/>
      <c r="KHU116" s="73"/>
      <c r="KHV116" s="73"/>
      <c r="KHW116" s="73"/>
      <c r="KHX116" s="73"/>
      <c r="KHY116" s="73"/>
      <c r="KHZ116" s="73"/>
      <c r="KIA116" s="73"/>
      <c r="KIB116" s="73"/>
      <c r="KIC116" s="73"/>
      <c r="KID116" s="73"/>
      <c r="KIE116" s="73"/>
      <c r="KIF116" s="73"/>
      <c r="KIG116" s="73"/>
      <c r="KIH116" s="73"/>
      <c r="KII116" s="73"/>
      <c r="KIJ116" s="73"/>
      <c r="KIK116" s="73"/>
      <c r="KIL116" s="73"/>
      <c r="KIM116" s="73"/>
      <c r="KIN116" s="73"/>
      <c r="KIO116" s="73"/>
      <c r="KIP116" s="73"/>
      <c r="KIQ116" s="73"/>
      <c r="KIR116" s="73"/>
      <c r="KIS116" s="73"/>
      <c r="KIT116" s="73"/>
      <c r="KIU116" s="73"/>
      <c r="KIV116" s="73"/>
      <c r="KIW116" s="73"/>
      <c r="KIX116" s="73"/>
      <c r="KIY116" s="73"/>
      <c r="KIZ116" s="73"/>
      <c r="KJA116" s="73"/>
      <c r="KJB116" s="73"/>
      <c r="KJC116" s="73"/>
      <c r="KJD116" s="73"/>
      <c r="KJE116" s="73"/>
      <c r="KJF116" s="73"/>
      <c r="KJG116" s="73"/>
      <c r="KJH116" s="73"/>
      <c r="KJI116" s="73"/>
      <c r="KJJ116" s="73"/>
      <c r="KJK116" s="73"/>
      <c r="KJL116" s="73"/>
      <c r="KJM116" s="73"/>
      <c r="KJN116" s="73"/>
      <c r="KJO116" s="73"/>
      <c r="KJP116" s="73"/>
      <c r="KJQ116" s="73"/>
      <c r="KJR116" s="73"/>
      <c r="KJS116" s="73"/>
      <c r="KJT116" s="73"/>
      <c r="KJU116" s="73"/>
      <c r="KJV116" s="73"/>
      <c r="KJW116" s="73"/>
      <c r="KJX116" s="73"/>
      <c r="KJY116" s="73"/>
      <c r="KJZ116" s="73"/>
      <c r="KKA116" s="73"/>
      <c r="KKB116" s="73"/>
      <c r="KKC116" s="73"/>
      <c r="KKD116" s="73"/>
      <c r="KKE116" s="73"/>
      <c r="KKF116" s="73"/>
      <c r="KKG116" s="73"/>
      <c r="KKH116" s="73"/>
      <c r="KKI116" s="73"/>
      <c r="KKJ116" s="73"/>
      <c r="KKK116" s="73"/>
      <c r="KKL116" s="73"/>
      <c r="KKM116" s="73"/>
      <c r="KKN116" s="73"/>
      <c r="KKO116" s="73"/>
      <c r="KKP116" s="73"/>
      <c r="KKQ116" s="73"/>
      <c r="KKR116" s="73"/>
      <c r="KKS116" s="73"/>
      <c r="KKT116" s="73"/>
      <c r="KKU116" s="73"/>
      <c r="KKV116" s="73"/>
      <c r="KKW116" s="73"/>
      <c r="KKX116" s="73"/>
      <c r="KKY116" s="73"/>
      <c r="KKZ116" s="73"/>
      <c r="KLA116" s="73"/>
      <c r="KLB116" s="73"/>
      <c r="KLC116" s="73"/>
      <c r="KLD116" s="73"/>
      <c r="KLE116" s="73"/>
      <c r="KLF116" s="73"/>
      <c r="KLG116" s="73"/>
      <c r="KLH116" s="73"/>
      <c r="KLI116" s="73"/>
      <c r="KLJ116" s="73"/>
      <c r="KLK116" s="73"/>
      <c r="KLL116" s="73"/>
      <c r="KLM116" s="73"/>
      <c r="KLN116" s="73"/>
      <c r="KLO116" s="73"/>
      <c r="KLP116" s="73"/>
      <c r="KLQ116" s="73"/>
      <c r="KLR116" s="73"/>
      <c r="KLS116" s="73"/>
      <c r="KLT116" s="73"/>
      <c r="KLU116" s="73"/>
      <c r="KLV116" s="73"/>
      <c r="KLW116" s="73"/>
      <c r="KLX116" s="73"/>
      <c r="KLY116" s="73"/>
      <c r="KLZ116" s="73"/>
      <c r="KMA116" s="73"/>
      <c r="KMB116" s="73"/>
      <c r="KMC116" s="73"/>
      <c r="KMD116" s="73"/>
      <c r="KME116" s="73"/>
      <c r="KMF116" s="73"/>
      <c r="KMG116" s="73"/>
      <c r="KMH116" s="73"/>
      <c r="KMI116" s="73"/>
      <c r="KMJ116" s="73"/>
      <c r="KMK116" s="73"/>
      <c r="KML116" s="73"/>
      <c r="KMM116" s="73"/>
      <c r="KMN116" s="73"/>
      <c r="KMO116" s="73"/>
      <c r="KMP116" s="73"/>
      <c r="KMQ116" s="73"/>
      <c r="KMR116" s="73"/>
      <c r="KMS116" s="73"/>
      <c r="KMT116" s="73"/>
      <c r="KMU116" s="73"/>
      <c r="KMV116" s="73"/>
      <c r="KMW116" s="73"/>
      <c r="KMX116" s="73"/>
      <c r="KMY116" s="73"/>
      <c r="KMZ116" s="73"/>
      <c r="KNA116" s="73"/>
      <c r="KNB116" s="73"/>
      <c r="KNC116" s="73"/>
      <c r="KND116" s="73"/>
      <c r="KNE116" s="73"/>
      <c r="KNF116" s="73"/>
      <c r="KNG116" s="73"/>
      <c r="KNH116" s="73"/>
      <c r="KNI116" s="73"/>
      <c r="KNJ116" s="73"/>
      <c r="KNK116" s="73"/>
      <c r="KNL116" s="73"/>
      <c r="KNM116" s="73"/>
      <c r="KNN116" s="73"/>
      <c r="KNO116" s="73"/>
      <c r="KNP116" s="73"/>
      <c r="KNQ116" s="73"/>
      <c r="KNR116" s="73"/>
      <c r="KNS116" s="73"/>
      <c r="KNT116" s="73"/>
      <c r="KNU116" s="73"/>
      <c r="KNV116" s="73"/>
      <c r="KNW116" s="73"/>
      <c r="KNX116" s="73"/>
      <c r="KNY116" s="73"/>
      <c r="KNZ116" s="73"/>
      <c r="KOA116" s="73"/>
      <c r="KOB116" s="73"/>
      <c r="KOC116" s="73"/>
      <c r="KOD116" s="73"/>
      <c r="KOE116" s="73"/>
      <c r="KOF116" s="73"/>
      <c r="KOG116" s="73"/>
      <c r="KOH116" s="73"/>
      <c r="KOI116" s="73"/>
      <c r="KOJ116" s="73"/>
      <c r="KOK116" s="73"/>
      <c r="KOL116" s="73"/>
      <c r="KOM116" s="73"/>
      <c r="KON116" s="73"/>
      <c r="KOO116" s="73"/>
      <c r="KOP116" s="73"/>
      <c r="KOQ116" s="73"/>
      <c r="KOR116" s="73"/>
      <c r="KOS116" s="73"/>
      <c r="KOT116" s="73"/>
      <c r="KOU116" s="73"/>
      <c r="KOV116" s="73"/>
      <c r="KOW116" s="73"/>
      <c r="KOX116" s="73"/>
      <c r="KOY116" s="73"/>
      <c r="KOZ116" s="73"/>
      <c r="KPA116" s="73"/>
      <c r="KPB116" s="73"/>
      <c r="KPC116" s="73"/>
      <c r="KPD116" s="73"/>
      <c r="KPE116" s="73"/>
      <c r="KPF116" s="73"/>
      <c r="KPG116" s="73"/>
      <c r="KPH116" s="73"/>
      <c r="KPI116" s="73"/>
      <c r="KPJ116" s="73"/>
      <c r="KPK116" s="73"/>
      <c r="KPL116" s="73"/>
      <c r="KPM116" s="73"/>
      <c r="KPN116" s="73"/>
      <c r="KPO116" s="73"/>
      <c r="KPP116" s="73"/>
      <c r="KPQ116" s="73"/>
      <c r="KPR116" s="73"/>
      <c r="KPS116" s="73"/>
      <c r="KPT116" s="73"/>
      <c r="KPU116" s="73"/>
      <c r="KPV116" s="73"/>
      <c r="KPW116" s="73"/>
      <c r="KPX116" s="73"/>
      <c r="KPY116" s="73"/>
      <c r="KPZ116" s="73"/>
      <c r="KQA116" s="73"/>
      <c r="KQB116" s="73"/>
      <c r="KQC116" s="73"/>
      <c r="KQD116" s="73"/>
      <c r="KQE116" s="73"/>
      <c r="KQF116" s="73"/>
      <c r="KQG116" s="73"/>
      <c r="KQH116" s="73"/>
      <c r="KQI116" s="73"/>
      <c r="KQJ116" s="73"/>
      <c r="KQK116" s="73"/>
      <c r="KQL116" s="73"/>
      <c r="KQM116" s="73"/>
      <c r="KQN116" s="73"/>
      <c r="KQO116" s="73"/>
      <c r="KQP116" s="73"/>
      <c r="KQQ116" s="73"/>
      <c r="KQR116" s="73"/>
      <c r="KQS116" s="73"/>
      <c r="KQT116" s="73"/>
      <c r="KQU116" s="73"/>
      <c r="KQV116" s="73"/>
      <c r="KQW116" s="73"/>
      <c r="KQX116" s="73"/>
      <c r="KQY116" s="73"/>
      <c r="KQZ116" s="73"/>
      <c r="KRA116" s="73"/>
      <c r="KRB116" s="73"/>
      <c r="KRC116" s="73"/>
      <c r="KRD116" s="73"/>
      <c r="KRE116" s="73"/>
      <c r="KRF116" s="73"/>
      <c r="KRG116" s="73"/>
      <c r="KRH116" s="73"/>
      <c r="KRI116" s="73"/>
      <c r="KRJ116" s="73"/>
      <c r="KRK116" s="73"/>
      <c r="KRL116" s="73"/>
      <c r="KRM116" s="73"/>
      <c r="KRN116" s="73"/>
      <c r="KRO116" s="73"/>
      <c r="KRP116" s="73"/>
      <c r="KRQ116" s="73"/>
      <c r="KRR116" s="73"/>
      <c r="KRS116" s="73"/>
      <c r="KRT116" s="73"/>
      <c r="KRU116" s="73"/>
      <c r="KRV116" s="73"/>
      <c r="KRW116" s="73"/>
      <c r="KRX116" s="73"/>
      <c r="KRY116" s="73"/>
      <c r="KRZ116" s="73"/>
      <c r="KSA116" s="73"/>
      <c r="KSB116" s="73"/>
      <c r="KSC116" s="73"/>
      <c r="KSD116" s="73"/>
      <c r="KSE116" s="73"/>
      <c r="KSF116" s="73"/>
      <c r="KSG116" s="73"/>
      <c r="KSH116" s="73"/>
      <c r="KSI116" s="73"/>
      <c r="KSJ116" s="73"/>
      <c r="KSK116" s="73"/>
      <c r="KSL116" s="73"/>
      <c r="KSM116" s="73"/>
      <c r="KSN116" s="73"/>
      <c r="KSO116" s="73"/>
      <c r="KSP116" s="73"/>
      <c r="KSQ116" s="73"/>
      <c r="KSR116" s="73"/>
      <c r="KSS116" s="73"/>
      <c r="KST116" s="73"/>
      <c r="KSU116" s="73"/>
      <c r="KSV116" s="73"/>
      <c r="KSW116" s="73"/>
      <c r="KSX116" s="73"/>
      <c r="KSY116" s="73"/>
      <c r="KSZ116" s="73"/>
      <c r="KTA116" s="73"/>
      <c r="KTB116" s="73"/>
      <c r="KTC116" s="73"/>
      <c r="KTD116" s="73"/>
      <c r="KTE116" s="73"/>
      <c r="KTF116" s="73"/>
      <c r="KTG116" s="73"/>
      <c r="KTH116" s="73"/>
      <c r="KTI116" s="73"/>
      <c r="KTJ116" s="73"/>
      <c r="KTK116" s="73"/>
      <c r="KTL116" s="73"/>
      <c r="KTM116" s="73"/>
      <c r="KTN116" s="73"/>
      <c r="KTO116" s="73"/>
      <c r="KTP116" s="73"/>
      <c r="KTQ116" s="73"/>
      <c r="KTR116" s="73"/>
      <c r="KTS116" s="73"/>
      <c r="KTT116" s="73"/>
      <c r="KTU116" s="73"/>
      <c r="KTV116" s="73"/>
      <c r="KTW116" s="73"/>
      <c r="KTX116" s="73"/>
      <c r="KTY116" s="73"/>
      <c r="KTZ116" s="73"/>
      <c r="KUA116" s="73"/>
      <c r="KUB116" s="73"/>
      <c r="KUC116" s="73"/>
      <c r="KUD116" s="73"/>
      <c r="KUE116" s="73"/>
      <c r="KUF116" s="73"/>
      <c r="KUG116" s="73"/>
      <c r="KUH116" s="73"/>
      <c r="KUI116" s="73"/>
      <c r="KUJ116" s="73"/>
      <c r="KUK116" s="73"/>
      <c r="KUL116" s="73"/>
      <c r="KUM116" s="73"/>
      <c r="KUN116" s="73"/>
      <c r="KUO116" s="73"/>
      <c r="KUP116" s="73"/>
      <c r="KUQ116" s="73"/>
      <c r="KUR116" s="73"/>
      <c r="KUS116" s="73"/>
      <c r="KUT116" s="73"/>
      <c r="KUU116" s="73"/>
      <c r="KUV116" s="73"/>
      <c r="KUW116" s="73"/>
      <c r="KUX116" s="73"/>
      <c r="KUY116" s="73"/>
      <c r="KUZ116" s="73"/>
      <c r="KVA116" s="73"/>
      <c r="KVB116" s="73"/>
      <c r="KVC116" s="73"/>
      <c r="KVD116" s="73"/>
      <c r="KVE116" s="73"/>
      <c r="KVF116" s="73"/>
      <c r="KVG116" s="73"/>
      <c r="KVH116" s="73"/>
      <c r="KVI116" s="73"/>
      <c r="KVJ116" s="73"/>
      <c r="KVK116" s="73"/>
      <c r="KVL116" s="73"/>
      <c r="KVM116" s="73"/>
      <c r="KVN116" s="73"/>
      <c r="KVO116" s="73"/>
      <c r="KVP116" s="73"/>
      <c r="KVQ116" s="73"/>
      <c r="KVR116" s="73"/>
      <c r="KVS116" s="73"/>
      <c r="KVT116" s="73"/>
      <c r="KVU116" s="73"/>
      <c r="KVV116" s="73"/>
      <c r="KVW116" s="73"/>
      <c r="KVX116" s="73"/>
      <c r="KVY116" s="73"/>
      <c r="KVZ116" s="73"/>
      <c r="KWA116" s="73"/>
      <c r="KWB116" s="73"/>
      <c r="KWC116" s="73"/>
      <c r="KWD116" s="73"/>
      <c r="KWE116" s="73"/>
      <c r="KWF116" s="73"/>
      <c r="KWG116" s="73"/>
      <c r="KWH116" s="73"/>
      <c r="KWI116" s="73"/>
      <c r="KWJ116" s="73"/>
      <c r="KWK116" s="73"/>
      <c r="KWL116" s="73"/>
      <c r="KWM116" s="73"/>
      <c r="KWN116" s="73"/>
      <c r="KWO116" s="73"/>
      <c r="KWP116" s="73"/>
      <c r="KWQ116" s="73"/>
      <c r="KWR116" s="73"/>
      <c r="KWS116" s="73"/>
      <c r="KWT116" s="73"/>
      <c r="KWU116" s="73"/>
      <c r="KWV116" s="73"/>
      <c r="KWW116" s="73"/>
      <c r="KWX116" s="73"/>
      <c r="KWY116" s="73"/>
      <c r="KWZ116" s="73"/>
      <c r="KXA116" s="73"/>
      <c r="KXB116" s="73"/>
      <c r="KXC116" s="73"/>
      <c r="KXD116" s="73"/>
      <c r="KXE116" s="73"/>
      <c r="KXF116" s="73"/>
      <c r="KXG116" s="73"/>
      <c r="KXH116" s="73"/>
      <c r="KXI116" s="73"/>
      <c r="KXJ116" s="73"/>
      <c r="KXK116" s="73"/>
      <c r="KXL116" s="73"/>
      <c r="KXM116" s="73"/>
      <c r="KXN116" s="73"/>
      <c r="KXO116" s="73"/>
      <c r="KXP116" s="73"/>
      <c r="KXQ116" s="73"/>
      <c r="KXR116" s="73"/>
      <c r="KXS116" s="73"/>
      <c r="KXT116" s="73"/>
      <c r="KXU116" s="73"/>
      <c r="KXV116" s="73"/>
      <c r="KXW116" s="73"/>
      <c r="KXX116" s="73"/>
      <c r="KXY116" s="73"/>
      <c r="KXZ116" s="73"/>
      <c r="KYA116" s="73"/>
      <c r="KYB116" s="73"/>
      <c r="KYC116" s="73"/>
      <c r="KYD116" s="73"/>
      <c r="KYE116" s="73"/>
      <c r="KYF116" s="73"/>
      <c r="KYG116" s="73"/>
      <c r="KYH116" s="73"/>
      <c r="KYI116" s="73"/>
      <c r="KYJ116" s="73"/>
      <c r="KYK116" s="73"/>
      <c r="KYL116" s="73"/>
      <c r="KYM116" s="73"/>
      <c r="KYN116" s="73"/>
      <c r="KYO116" s="73"/>
      <c r="KYP116" s="73"/>
      <c r="KYQ116" s="73"/>
      <c r="KYR116" s="73"/>
      <c r="KYS116" s="73"/>
      <c r="KYT116" s="73"/>
      <c r="KYU116" s="73"/>
      <c r="KYV116" s="73"/>
      <c r="KYW116" s="73"/>
      <c r="KYX116" s="73"/>
      <c r="KYY116" s="73"/>
      <c r="KYZ116" s="73"/>
      <c r="KZA116" s="73"/>
      <c r="KZB116" s="73"/>
      <c r="KZC116" s="73"/>
      <c r="KZD116" s="73"/>
      <c r="KZE116" s="73"/>
      <c r="KZF116" s="73"/>
      <c r="KZG116" s="73"/>
      <c r="KZH116" s="73"/>
      <c r="KZI116" s="73"/>
      <c r="KZJ116" s="73"/>
      <c r="KZK116" s="73"/>
      <c r="KZL116" s="73"/>
      <c r="KZM116" s="73"/>
      <c r="KZN116" s="73"/>
      <c r="KZO116" s="73"/>
      <c r="KZP116" s="73"/>
      <c r="KZQ116" s="73"/>
      <c r="KZR116" s="73"/>
      <c r="KZS116" s="73"/>
      <c r="KZT116" s="73"/>
      <c r="KZU116" s="73"/>
      <c r="KZV116" s="73"/>
      <c r="KZW116" s="73"/>
      <c r="KZX116" s="73"/>
      <c r="KZY116" s="73"/>
      <c r="KZZ116" s="73"/>
      <c r="LAA116" s="73"/>
      <c r="LAB116" s="73"/>
      <c r="LAC116" s="73"/>
      <c r="LAD116" s="73"/>
      <c r="LAE116" s="73"/>
      <c r="LAF116" s="73"/>
      <c r="LAG116" s="73"/>
      <c r="LAH116" s="73"/>
      <c r="LAI116" s="73"/>
      <c r="LAJ116" s="73"/>
      <c r="LAK116" s="73"/>
      <c r="LAL116" s="73"/>
      <c r="LAM116" s="73"/>
      <c r="LAN116" s="73"/>
      <c r="LAO116" s="73"/>
      <c r="LAP116" s="73"/>
      <c r="LAQ116" s="73"/>
      <c r="LAR116" s="73"/>
      <c r="LAS116" s="73"/>
      <c r="LAT116" s="73"/>
      <c r="LAU116" s="73"/>
      <c r="LAV116" s="73"/>
      <c r="LAW116" s="73"/>
      <c r="LAX116" s="73"/>
      <c r="LAY116" s="73"/>
      <c r="LAZ116" s="73"/>
      <c r="LBA116" s="73"/>
      <c r="LBB116" s="73"/>
      <c r="LBC116" s="73"/>
      <c r="LBD116" s="73"/>
      <c r="LBE116" s="73"/>
      <c r="LBF116" s="73"/>
      <c r="LBG116" s="73"/>
      <c r="LBH116" s="73"/>
      <c r="LBI116" s="73"/>
      <c r="LBJ116" s="73"/>
      <c r="LBK116" s="73"/>
      <c r="LBL116" s="73"/>
      <c r="LBM116" s="73"/>
      <c r="LBN116" s="73"/>
      <c r="LBO116" s="73"/>
      <c r="LBP116" s="73"/>
      <c r="LBQ116" s="73"/>
      <c r="LBR116" s="73"/>
      <c r="LBS116" s="73"/>
      <c r="LBT116" s="73"/>
      <c r="LBU116" s="73"/>
      <c r="LBV116" s="73"/>
      <c r="LBW116" s="73"/>
      <c r="LBX116" s="73"/>
      <c r="LBY116" s="73"/>
      <c r="LBZ116" s="73"/>
      <c r="LCA116" s="73"/>
      <c r="LCB116" s="73"/>
      <c r="LCC116" s="73"/>
      <c r="LCD116" s="73"/>
      <c r="LCE116" s="73"/>
      <c r="LCF116" s="73"/>
      <c r="LCG116" s="73"/>
      <c r="LCH116" s="73"/>
      <c r="LCI116" s="73"/>
      <c r="LCJ116" s="73"/>
      <c r="LCK116" s="73"/>
      <c r="LCL116" s="73"/>
      <c r="LCM116" s="73"/>
      <c r="LCN116" s="73"/>
      <c r="LCO116" s="73"/>
      <c r="LCP116" s="73"/>
      <c r="LCQ116" s="73"/>
      <c r="LCR116" s="73"/>
      <c r="LCS116" s="73"/>
      <c r="LCT116" s="73"/>
      <c r="LCU116" s="73"/>
      <c r="LCV116" s="73"/>
      <c r="LCW116" s="73"/>
      <c r="LCX116" s="73"/>
      <c r="LCY116" s="73"/>
      <c r="LCZ116" s="73"/>
      <c r="LDA116" s="73"/>
      <c r="LDB116" s="73"/>
      <c r="LDC116" s="73"/>
      <c r="LDD116" s="73"/>
      <c r="LDE116" s="73"/>
      <c r="LDF116" s="73"/>
      <c r="LDG116" s="73"/>
      <c r="LDH116" s="73"/>
      <c r="LDI116" s="73"/>
      <c r="LDJ116" s="73"/>
      <c r="LDK116" s="73"/>
      <c r="LDL116" s="73"/>
      <c r="LDM116" s="73"/>
      <c r="LDN116" s="73"/>
      <c r="LDO116" s="73"/>
      <c r="LDP116" s="73"/>
      <c r="LDQ116" s="73"/>
      <c r="LDR116" s="73"/>
      <c r="LDS116" s="73"/>
      <c r="LDT116" s="73"/>
      <c r="LDU116" s="73"/>
      <c r="LDV116" s="73"/>
      <c r="LDW116" s="73"/>
      <c r="LDX116" s="73"/>
      <c r="LDY116" s="73"/>
      <c r="LDZ116" s="73"/>
      <c r="LEA116" s="73"/>
      <c r="LEB116" s="73"/>
      <c r="LEC116" s="73"/>
      <c r="LED116" s="73"/>
      <c r="LEE116" s="73"/>
      <c r="LEF116" s="73"/>
      <c r="LEG116" s="73"/>
      <c r="LEH116" s="73"/>
      <c r="LEI116" s="73"/>
      <c r="LEJ116" s="73"/>
      <c r="LEK116" s="73"/>
      <c r="LEL116" s="73"/>
      <c r="LEM116" s="73"/>
      <c r="LEN116" s="73"/>
      <c r="LEO116" s="73"/>
      <c r="LEP116" s="73"/>
      <c r="LEQ116" s="73"/>
      <c r="LER116" s="73"/>
      <c r="LES116" s="73"/>
      <c r="LET116" s="73"/>
      <c r="LEU116" s="73"/>
      <c r="LEV116" s="73"/>
      <c r="LEW116" s="73"/>
      <c r="LEX116" s="73"/>
      <c r="LEY116" s="73"/>
      <c r="LEZ116" s="73"/>
      <c r="LFA116" s="73"/>
      <c r="LFB116" s="73"/>
      <c r="LFC116" s="73"/>
      <c r="LFD116" s="73"/>
      <c r="LFE116" s="73"/>
      <c r="LFF116" s="73"/>
      <c r="LFG116" s="73"/>
      <c r="LFH116" s="73"/>
      <c r="LFI116" s="73"/>
      <c r="LFJ116" s="73"/>
      <c r="LFK116" s="73"/>
      <c r="LFL116" s="73"/>
      <c r="LFM116" s="73"/>
      <c r="LFN116" s="73"/>
      <c r="LFO116" s="73"/>
      <c r="LFP116" s="73"/>
      <c r="LFQ116" s="73"/>
      <c r="LFR116" s="73"/>
      <c r="LFS116" s="73"/>
      <c r="LFT116" s="73"/>
      <c r="LFU116" s="73"/>
      <c r="LFV116" s="73"/>
      <c r="LFW116" s="73"/>
      <c r="LFX116" s="73"/>
      <c r="LFY116" s="73"/>
      <c r="LFZ116" s="73"/>
      <c r="LGA116" s="73"/>
      <c r="LGB116" s="73"/>
      <c r="LGC116" s="73"/>
      <c r="LGD116" s="73"/>
      <c r="LGE116" s="73"/>
      <c r="LGF116" s="73"/>
      <c r="LGG116" s="73"/>
      <c r="LGH116" s="73"/>
      <c r="LGI116" s="73"/>
      <c r="LGJ116" s="73"/>
      <c r="LGK116" s="73"/>
      <c r="LGL116" s="73"/>
      <c r="LGM116" s="73"/>
      <c r="LGN116" s="73"/>
      <c r="LGO116" s="73"/>
      <c r="LGP116" s="73"/>
      <c r="LGQ116" s="73"/>
      <c r="LGR116" s="73"/>
      <c r="LGS116" s="73"/>
      <c r="LGT116" s="73"/>
      <c r="LGU116" s="73"/>
      <c r="LGV116" s="73"/>
      <c r="LGW116" s="73"/>
      <c r="LGX116" s="73"/>
      <c r="LGY116" s="73"/>
      <c r="LGZ116" s="73"/>
      <c r="LHA116" s="73"/>
      <c r="LHB116" s="73"/>
      <c r="LHC116" s="73"/>
      <c r="LHD116" s="73"/>
      <c r="LHE116" s="73"/>
      <c r="LHF116" s="73"/>
      <c r="LHG116" s="73"/>
      <c r="LHH116" s="73"/>
      <c r="LHI116" s="73"/>
      <c r="LHJ116" s="73"/>
      <c r="LHK116" s="73"/>
      <c r="LHL116" s="73"/>
      <c r="LHM116" s="73"/>
      <c r="LHN116" s="73"/>
      <c r="LHO116" s="73"/>
      <c r="LHP116" s="73"/>
      <c r="LHQ116" s="73"/>
      <c r="LHR116" s="73"/>
      <c r="LHS116" s="73"/>
      <c r="LHT116" s="73"/>
      <c r="LHU116" s="73"/>
      <c r="LHV116" s="73"/>
      <c r="LHW116" s="73"/>
      <c r="LHX116" s="73"/>
      <c r="LHY116" s="73"/>
      <c r="LHZ116" s="73"/>
      <c r="LIA116" s="73"/>
      <c r="LIB116" s="73"/>
      <c r="LIC116" s="73"/>
      <c r="LID116" s="73"/>
      <c r="LIE116" s="73"/>
      <c r="LIF116" s="73"/>
      <c r="LIG116" s="73"/>
      <c r="LIH116" s="73"/>
      <c r="LII116" s="73"/>
      <c r="LIJ116" s="73"/>
      <c r="LIK116" s="73"/>
      <c r="LIL116" s="73"/>
      <c r="LIM116" s="73"/>
      <c r="LIN116" s="73"/>
      <c r="LIO116" s="73"/>
      <c r="LIP116" s="73"/>
      <c r="LIQ116" s="73"/>
      <c r="LIR116" s="73"/>
      <c r="LIS116" s="73"/>
      <c r="LIT116" s="73"/>
      <c r="LIU116" s="73"/>
      <c r="LIV116" s="73"/>
      <c r="LIW116" s="73"/>
      <c r="LIX116" s="73"/>
      <c r="LIY116" s="73"/>
      <c r="LIZ116" s="73"/>
      <c r="LJA116" s="73"/>
      <c r="LJB116" s="73"/>
      <c r="LJC116" s="73"/>
      <c r="LJD116" s="73"/>
      <c r="LJE116" s="73"/>
      <c r="LJF116" s="73"/>
      <c r="LJG116" s="73"/>
      <c r="LJH116" s="73"/>
      <c r="LJI116" s="73"/>
      <c r="LJJ116" s="73"/>
      <c r="LJK116" s="73"/>
      <c r="LJL116" s="73"/>
      <c r="LJM116" s="73"/>
      <c r="LJN116" s="73"/>
      <c r="LJO116" s="73"/>
      <c r="LJP116" s="73"/>
      <c r="LJQ116" s="73"/>
      <c r="LJR116" s="73"/>
      <c r="LJS116" s="73"/>
      <c r="LJT116" s="73"/>
      <c r="LJU116" s="73"/>
      <c r="LJV116" s="73"/>
      <c r="LJW116" s="73"/>
      <c r="LJX116" s="73"/>
      <c r="LJY116" s="73"/>
      <c r="LJZ116" s="73"/>
      <c r="LKA116" s="73"/>
      <c r="LKB116" s="73"/>
      <c r="LKC116" s="73"/>
      <c r="LKD116" s="73"/>
      <c r="LKE116" s="73"/>
      <c r="LKF116" s="73"/>
      <c r="LKG116" s="73"/>
      <c r="LKH116" s="73"/>
      <c r="LKI116" s="73"/>
      <c r="LKJ116" s="73"/>
      <c r="LKK116" s="73"/>
      <c r="LKL116" s="73"/>
      <c r="LKM116" s="73"/>
      <c r="LKN116" s="73"/>
      <c r="LKO116" s="73"/>
      <c r="LKP116" s="73"/>
      <c r="LKQ116" s="73"/>
      <c r="LKR116" s="73"/>
      <c r="LKS116" s="73"/>
      <c r="LKT116" s="73"/>
      <c r="LKU116" s="73"/>
      <c r="LKV116" s="73"/>
      <c r="LKW116" s="73"/>
      <c r="LKX116" s="73"/>
      <c r="LKY116" s="73"/>
      <c r="LKZ116" s="73"/>
      <c r="LLA116" s="73"/>
      <c r="LLB116" s="73"/>
      <c r="LLC116" s="73"/>
      <c r="LLD116" s="73"/>
      <c r="LLE116" s="73"/>
      <c r="LLF116" s="73"/>
      <c r="LLG116" s="73"/>
      <c r="LLH116" s="73"/>
      <c r="LLI116" s="73"/>
      <c r="LLJ116" s="73"/>
      <c r="LLK116" s="73"/>
      <c r="LLL116" s="73"/>
      <c r="LLM116" s="73"/>
      <c r="LLN116" s="73"/>
      <c r="LLO116" s="73"/>
      <c r="LLP116" s="73"/>
      <c r="LLQ116" s="73"/>
      <c r="LLR116" s="73"/>
      <c r="LLS116" s="73"/>
      <c r="LLT116" s="73"/>
      <c r="LLU116" s="73"/>
      <c r="LLV116" s="73"/>
      <c r="LLW116" s="73"/>
      <c r="LLX116" s="73"/>
      <c r="LLY116" s="73"/>
      <c r="LLZ116" s="73"/>
      <c r="LMA116" s="73"/>
      <c r="LMB116" s="73"/>
      <c r="LMC116" s="73"/>
      <c r="LMD116" s="73"/>
      <c r="LME116" s="73"/>
      <c r="LMF116" s="73"/>
      <c r="LMG116" s="73"/>
      <c r="LMH116" s="73"/>
      <c r="LMI116" s="73"/>
      <c r="LMJ116" s="73"/>
      <c r="LMK116" s="73"/>
      <c r="LML116" s="73"/>
      <c r="LMM116" s="73"/>
      <c r="LMN116" s="73"/>
      <c r="LMO116" s="73"/>
      <c r="LMP116" s="73"/>
      <c r="LMQ116" s="73"/>
      <c r="LMR116" s="73"/>
      <c r="LMS116" s="73"/>
      <c r="LMT116" s="73"/>
      <c r="LMU116" s="73"/>
      <c r="LMV116" s="73"/>
      <c r="LMW116" s="73"/>
      <c r="LMX116" s="73"/>
      <c r="LMY116" s="73"/>
      <c r="LMZ116" s="73"/>
      <c r="LNA116" s="73"/>
      <c r="LNB116" s="73"/>
      <c r="LNC116" s="73"/>
      <c r="LND116" s="73"/>
      <c r="LNE116" s="73"/>
      <c r="LNF116" s="73"/>
      <c r="LNG116" s="73"/>
      <c r="LNH116" s="73"/>
      <c r="LNI116" s="73"/>
      <c r="LNJ116" s="73"/>
      <c r="LNK116" s="73"/>
      <c r="LNL116" s="73"/>
      <c r="LNM116" s="73"/>
      <c r="LNN116" s="73"/>
      <c r="LNO116" s="73"/>
      <c r="LNP116" s="73"/>
      <c r="LNQ116" s="73"/>
      <c r="LNR116" s="73"/>
      <c r="LNS116" s="73"/>
      <c r="LNT116" s="73"/>
      <c r="LNU116" s="73"/>
      <c r="LNV116" s="73"/>
      <c r="LNW116" s="73"/>
      <c r="LNX116" s="73"/>
      <c r="LNY116" s="73"/>
      <c r="LNZ116" s="73"/>
      <c r="LOA116" s="73"/>
      <c r="LOB116" s="73"/>
      <c r="LOC116" s="73"/>
      <c r="LOD116" s="73"/>
      <c r="LOE116" s="73"/>
      <c r="LOF116" s="73"/>
      <c r="LOG116" s="73"/>
      <c r="LOH116" s="73"/>
      <c r="LOI116" s="73"/>
      <c r="LOJ116" s="73"/>
      <c r="LOK116" s="73"/>
      <c r="LOL116" s="73"/>
      <c r="LOM116" s="73"/>
      <c r="LON116" s="73"/>
      <c r="LOO116" s="73"/>
      <c r="LOP116" s="73"/>
      <c r="LOQ116" s="73"/>
      <c r="LOR116" s="73"/>
      <c r="LOS116" s="73"/>
      <c r="LOT116" s="73"/>
      <c r="LOU116" s="73"/>
      <c r="LOV116" s="73"/>
      <c r="LOW116" s="73"/>
      <c r="LOX116" s="73"/>
      <c r="LOY116" s="73"/>
      <c r="LOZ116" s="73"/>
      <c r="LPA116" s="73"/>
      <c r="LPB116" s="73"/>
      <c r="LPC116" s="73"/>
      <c r="LPD116" s="73"/>
      <c r="LPE116" s="73"/>
      <c r="LPF116" s="73"/>
      <c r="LPG116" s="73"/>
      <c r="LPH116" s="73"/>
      <c r="LPI116" s="73"/>
      <c r="LPJ116" s="73"/>
      <c r="LPK116" s="73"/>
      <c r="LPL116" s="73"/>
      <c r="LPM116" s="73"/>
      <c r="LPN116" s="73"/>
      <c r="LPO116" s="73"/>
      <c r="LPP116" s="73"/>
      <c r="LPQ116" s="73"/>
      <c r="LPR116" s="73"/>
      <c r="LPS116" s="73"/>
      <c r="LPT116" s="73"/>
      <c r="LPU116" s="73"/>
      <c r="LPV116" s="73"/>
      <c r="LPW116" s="73"/>
      <c r="LPX116" s="73"/>
      <c r="LPY116" s="73"/>
      <c r="LPZ116" s="73"/>
      <c r="LQA116" s="73"/>
      <c r="LQB116" s="73"/>
      <c r="LQC116" s="73"/>
      <c r="LQD116" s="73"/>
      <c r="LQE116" s="73"/>
      <c r="LQF116" s="73"/>
      <c r="LQG116" s="73"/>
      <c r="LQH116" s="73"/>
      <c r="LQI116" s="73"/>
      <c r="LQJ116" s="73"/>
      <c r="LQK116" s="73"/>
      <c r="LQL116" s="73"/>
      <c r="LQM116" s="73"/>
      <c r="LQN116" s="73"/>
      <c r="LQO116" s="73"/>
      <c r="LQP116" s="73"/>
      <c r="LQQ116" s="73"/>
      <c r="LQR116" s="73"/>
      <c r="LQS116" s="73"/>
      <c r="LQT116" s="73"/>
      <c r="LQU116" s="73"/>
      <c r="LQV116" s="73"/>
      <c r="LQW116" s="73"/>
      <c r="LQX116" s="73"/>
      <c r="LQY116" s="73"/>
      <c r="LQZ116" s="73"/>
      <c r="LRA116" s="73"/>
      <c r="LRB116" s="73"/>
      <c r="LRC116" s="73"/>
      <c r="LRD116" s="73"/>
      <c r="LRE116" s="73"/>
      <c r="LRF116" s="73"/>
      <c r="LRG116" s="73"/>
      <c r="LRH116" s="73"/>
      <c r="LRI116" s="73"/>
      <c r="LRJ116" s="73"/>
      <c r="LRK116" s="73"/>
      <c r="LRL116" s="73"/>
      <c r="LRM116" s="73"/>
      <c r="LRN116" s="73"/>
      <c r="LRO116" s="73"/>
      <c r="LRP116" s="73"/>
      <c r="LRQ116" s="73"/>
      <c r="LRR116" s="73"/>
      <c r="LRS116" s="73"/>
      <c r="LRT116" s="73"/>
      <c r="LRU116" s="73"/>
      <c r="LRV116" s="73"/>
      <c r="LRW116" s="73"/>
      <c r="LRX116" s="73"/>
      <c r="LRY116" s="73"/>
      <c r="LRZ116" s="73"/>
      <c r="LSA116" s="73"/>
      <c r="LSB116" s="73"/>
      <c r="LSC116" s="73"/>
      <c r="LSD116" s="73"/>
      <c r="LSE116" s="73"/>
      <c r="LSF116" s="73"/>
      <c r="LSG116" s="73"/>
      <c r="LSH116" s="73"/>
      <c r="LSI116" s="73"/>
      <c r="LSJ116" s="73"/>
      <c r="LSK116" s="73"/>
      <c r="LSL116" s="73"/>
      <c r="LSM116" s="73"/>
      <c r="LSN116" s="73"/>
      <c r="LSO116" s="73"/>
      <c r="LSP116" s="73"/>
      <c r="LSQ116" s="73"/>
      <c r="LSR116" s="73"/>
      <c r="LSS116" s="73"/>
      <c r="LST116" s="73"/>
      <c r="LSU116" s="73"/>
      <c r="LSV116" s="73"/>
      <c r="LSW116" s="73"/>
      <c r="LSX116" s="73"/>
      <c r="LSY116" s="73"/>
      <c r="LSZ116" s="73"/>
      <c r="LTA116" s="73"/>
      <c r="LTB116" s="73"/>
      <c r="LTC116" s="73"/>
      <c r="LTD116" s="73"/>
      <c r="LTE116" s="73"/>
      <c r="LTF116" s="73"/>
      <c r="LTG116" s="73"/>
      <c r="LTH116" s="73"/>
      <c r="LTI116" s="73"/>
      <c r="LTJ116" s="73"/>
      <c r="LTK116" s="73"/>
      <c r="LTL116" s="73"/>
      <c r="LTM116" s="73"/>
      <c r="LTN116" s="73"/>
      <c r="LTO116" s="73"/>
      <c r="LTP116" s="73"/>
      <c r="LTQ116" s="73"/>
      <c r="LTR116" s="73"/>
      <c r="LTS116" s="73"/>
      <c r="LTT116" s="73"/>
      <c r="LTU116" s="73"/>
      <c r="LTV116" s="73"/>
      <c r="LTW116" s="73"/>
      <c r="LTX116" s="73"/>
      <c r="LTY116" s="73"/>
      <c r="LTZ116" s="73"/>
      <c r="LUA116" s="73"/>
      <c r="LUB116" s="73"/>
      <c r="LUC116" s="73"/>
      <c r="LUD116" s="73"/>
      <c r="LUE116" s="73"/>
      <c r="LUF116" s="73"/>
      <c r="LUG116" s="73"/>
      <c r="LUH116" s="73"/>
      <c r="LUI116" s="73"/>
      <c r="LUJ116" s="73"/>
      <c r="LUK116" s="73"/>
      <c r="LUL116" s="73"/>
      <c r="LUM116" s="73"/>
      <c r="LUN116" s="73"/>
      <c r="LUO116" s="73"/>
      <c r="LUP116" s="73"/>
      <c r="LUQ116" s="73"/>
      <c r="LUR116" s="73"/>
      <c r="LUS116" s="73"/>
      <c r="LUT116" s="73"/>
      <c r="LUU116" s="73"/>
      <c r="LUV116" s="73"/>
      <c r="LUW116" s="73"/>
      <c r="LUX116" s="73"/>
      <c r="LUY116" s="73"/>
      <c r="LUZ116" s="73"/>
      <c r="LVA116" s="73"/>
      <c r="LVB116" s="73"/>
      <c r="LVC116" s="73"/>
      <c r="LVD116" s="73"/>
      <c r="LVE116" s="73"/>
      <c r="LVF116" s="73"/>
      <c r="LVG116" s="73"/>
      <c r="LVH116" s="73"/>
      <c r="LVI116" s="73"/>
      <c r="LVJ116" s="73"/>
      <c r="LVK116" s="73"/>
      <c r="LVL116" s="73"/>
      <c r="LVM116" s="73"/>
      <c r="LVN116" s="73"/>
      <c r="LVO116" s="73"/>
      <c r="LVP116" s="73"/>
      <c r="LVQ116" s="73"/>
      <c r="LVR116" s="73"/>
      <c r="LVS116" s="73"/>
      <c r="LVT116" s="73"/>
      <c r="LVU116" s="73"/>
      <c r="LVV116" s="73"/>
      <c r="LVW116" s="73"/>
      <c r="LVX116" s="73"/>
      <c r="LVY116" s="73"/>
      <c r="LVZ116" s="73"/>
      <c r="LWA116" s="73"/>
      <c r="LWB116" s="73"/>
      <c r="LWC116" s="73"/>
      <c r="LWD116" s="73"/>
      <c r="LWE116" s="73"/>
      <c r="LWF116" s="73"/>
      <c r="LWG116" s="73"/>
      <c r="LWH116" s="73"/>
      <c r="LWI116" s="73"/>
      <c r="LWJ116" s="73"/>
      <c r="LWK116" s="73"/>
      <c r="LWL116" s="73"/>
      <c r="LWM116" s="73"/>
      <c r="LWN116" s="73"/>
      <c r="LWO116" s="73"/>
      <c r="LWP116" s="73"/>
      <c r="LWQ116" s="73"/>
      <c r="LWR116" s="73"/>
      <c r="LWS116" s="73"/>
      <c r="LWT116" s="73"/>
      <c r="LWU116" s="73"/>
      <c r="LWV116" s="73"/>
      <c r="LWW116" s="73"/>
      <c r="LWX116" s="73"/>
      <c r="LWY116" s="73"/>
      <c r="LWZ116" s="73"/>
      <c r="LXA116" s="73"/>
      <c r="LXB116" s="73"/>
      <c r="LXC116" s="73"/>
      <c r="LXD116" s="73"/>
      <c r="LXE116" s="73"/>
      <c r="LXF116" s="73"/>
      <c r="LXG116" s="73"/>
      <c r="LXH116" s="73"/>
      <c r="LXI116" s="73"/>
      <c r="LXJ116" s="73"/>
      <c r="LXK116" s="73"/>
      <c r="LXL116" s="73"/>
      <c r="LXM116" s="73"/>
      <c r="LXN116" s="73"/>
      <c r="LXO116" s="73"/>
      <c r="LXP116" s="73"/>
      <c r="LXQ116" s="73"/>
      <c r="LXR116" s="73"/>
      <c r="LXS116" s="73"/>
      <c r="LXT116" s="73"/>
      <c r="LXU116" s="73"/>
      <c r="LXV116" s="73"/>
      <c r="LXW116" s="73"/>
      <c r="LXX116" s="73"/>
      <c r="LXY116" s="73"/>
      <c r="LXZ116" s="73"/>
      <c r="LYA116" s="73"/>
      <c r="LYB116" s="73"/>
      <c r="LYC116" s="73"/>
      <c r="LYD116" s="73"/>
      <c r="LYE116" s="73"/>
      <c r="LYF116" s="73"/>
      <c r="LYG116" s="73"/>
      <c r="LYH116" s="73"/>
      <c r="LYI116" s="73"/>
      <c r="LYJ116" s="73"/>
      <c r="LYK116" s="73"/>
      <c r="LYL116" s="73"/>
      <c r="LYM116" s="73"/>
      <c r="LYN116" s="73"/>
      <c r="LYO116" s="73"/>
      <c r="LYP116" s="73"/>
      <c r="LYQ116" s="73"/>
      <c r="LYR116" s="73"/>
      <c r="LYS116" s="73"/>
      <c r="LYT116" s="73"/>
      <c r="LYU116" s="73"/>
      <c r="LYV116" s="73"/>
      <c r="LYW116" s="73"/>
      <c r="LYX116" s="73"/>
      <c r="LYY116" s="73"/>
      <c r="LYZ116" s="73"/>
      <c r="LZA116" s="73"/>
      <c r="LZB116" s="73"/>
      <c r="LZC116" s="73"/>
      <c r="LZD116" s="73"/>
      <c r="LZE116" s="73"/>
      <c r="LZF116" s="73"/>
      <c r="LZG116" s="73"/>
      <c r="LZH116" s="73"/>
      <c r="LZI116" s="73"/>
      <c r="LZJ116" s="73"/>
      <c r="LZK116" s="73"/>
      <c r="LZL116" s="73"/>
      <c r="LZM116" s="73"/>
      <c r="LZN116" s="73"/>
      <c r="LZO116" s="73"/>
      <c r="LZP116" s="73"/>
      <c r="LZQ116" s="73"/>
      <c r="LZR116" s="73"/>
      <c r="LZS116" s="73"/>
      <c r="LZT116" s="73"/>
      <c r="LZU116" s="73"/>
      <c r="LZV116" s="73"/>
      <c r="LZW116" s="73"/>
      <c r="LZX116" s="73"/>
      <c r="LZY116" s="73"/>
      <c r="LZZ116" s="73"/>
      <c r="MAA116" s="73"/>
      <c r="MAB116" s="73"/>
      <c r="MAC116" s="73"/>
      <c r="MAD116" s="73"/>
      <c r="MAE116" s="73"/>
      <c r="MAF116" s="73"/>
      <c r="MAG116" s="73"/>
      <c r="MAH116" s="73"/>
      <c r="MAI116" s="73"/>
      <c r="MAJ116" s="73"/>
      <c r="MAK116" s="73"/>
      <c r="MAL116" s="73"/>
      <c r="MAM116" s="73"/>
      <c r="MAN116" s="73"/>
      <c r="MAO116" s="73"/>
      <c r="MAP116" s="73"/>
      <c r="MAQ116" s="73"/>
      <c r="MAR116" s="73"/>
      <c r="MAS116" s="73"/>
      <c r="MAT116" s="73"/>
      <c r="MAU116" s="73"/>
      <c r="MAV116" s="73"/>
      <c r="MAW116" s="73"/>
      <c r="MAX116" s="73"/>
      <c r="MAY116" s="73"/>
      <c r="MAZ116" s="73"/>
      <c r="MBA116" s="73"/>
      <c r="MBB116" s="73"/>
      <c r="MBC116" s="73"/>
      <c r="MBD116" s="73"/>
      <c r="MBE116" s="73"/>
      <c r="MBF116" s="73"/>
      <c r="MBG116" s="73"/>
      <c r="MBH116" s="73"/>
      <c r="MBI116" s="73"/>
      <c r="MBJ116" s="73"/>
      <c r="MBK116" s="73"/>
      <c r="MBL116" s="73"/>
      <c r="MBM116" s="73"/>
      <c r="MBN116" s="73"/>
      <c r="MBO116" s="73"/>
      <c r="MBP116" s="73"/>
      <c r="MBQ116" s="73"/>
      <c r="MBR116" s="73"/>
      <c r="MBS116" s="73"/>
      <c r="MBT116" s="73"/>
      <c r="MBU116" s="73"/>
      <c r="MBV116" s="73"/>
      <c r="MBW116" s="73"/>
      <c r="MBX116" s="73"/>
      <c r="MBY116" s="73"/>
      <c r="MBZ116" s="73"/>
      <c r="MCA116" s="73"/>
      <c r="MCB116" s="73"/>
      <c r="MCC116" s="73"/>
      <c r="MCD116" s="73"/>
      <c r="MCE116" s="73"/>
      <c r="MCF116" s="73"/>
      <c r="MCG116" s="73"/>
      <c r="MCH116" s="73"/>
      <c r="MCI116" s="73"/>
      <c r="MCJ116" s="73"/>
      <c r="MCK116" s="73"/>
      <c r="MCL116" s="73"/>
      <c r="MCM116" s="73"/>
      <c r="MCN116" s="73"/>
      <c r="MCO116" s="73"/>
      <c r="MCP116" s="73"/>
      <c r="MCQ116" s="73"/>
      <c r="MCR116" s="73"/>
      <c r="MCS116" s="73"/>
      <c r="MCT116" s="73"/>
      <c r="MCU116" s="73"/>
      <c r="MCV116" s="73"/>
      <c r="MCW116" s="73"/>
      <c r="MCX116" s="73"/>
      <c r="MCY116" s="73"/>
      <c r="MCZ116" s="73"/>
      <c r="MDA116" s="73"/>
      <c r="MDB116" s="73"/>
      <c r="MDC116" s="73"/>
      <c r="MDD116" s="73"/>
      <c r="MDE116" s="73"/>
      <c r="MDF116" s="73"/>
      <c r="MDG116" s="73"/>
      <c r="MDH116" s="73"/>
      <c r="MDI116" s="73"/>
      <c r="MDJ116" s="73"/>
      <c r="MDK116" s="73"/>
      <c r="MDL116" s="73"/>
      <c r="MDM116" s="73"/>
      <c r="MDN116" s="73"/>
      <c r="MDO116" s="73"/>
      <c r="MDP116" s="73"/>
      <c r="MDQ116" s="73"/>
      <c r="MDR116" s="73"/>
      <c r="MDS116" s="73"/>
      <c r="MDT116" s="73"/>
      <c r="MDU116" s="73"/>
      <c r="MDV116" s="73"/>
      <c r="MDW116" s="73"/>
      <c r="MDX116" s="73"/>
      <c r="MDY116" s="73"/>
      <c r="MDZ116" s="73"/>
      <c r="MEA116" s="73"/>
      <c r="MEB116" s="73"/>
      <c r="MEC116" s="73"/>
      <c r="MED116" s="73"/>
      <c r="MEE116" s="73"/>
      <c r="MEF116" s="73"/>
      <c r="MEG116" s="73"/>
      <c r="MEH116" s="73"/>
      <c r="MEI116" s="73"/>
      <c r="MEJ116" s="73"/>
      <c r="MEK116" s="73"/>
      <c r="MEL116" s="73"/>
      <c r="MEM116" s="73"/>
      <c r="MEN116" s="73"/>
      <c r="MEO116" s="73"/>
      <c r="MEP116" s="73"/>
      <c r="MEQ116" s="73"/>
      <c r="MER116" s="73"/>
      <c r="MES116" s="73"/>
      <c r="MET116" s="73"/>
      <c r="MEU116" s="73"/>
      <c r="MEV116" s="73"/>
      <c r="MEW116" s="73"/>
      <c r="MEX116" s="73"/>
      <c r="MEY116" s="73"/>
      <c r="MEZ116" s="73"/>
      <c r="MFA116" s="73"/>
      <c r="MFB116" s="73"/>
      <c r="MFC116" s="73"/>
      <c r="MFD116" s="73"/>
      <c r="MFE116" s="73"/>
      <c r="MFF116" s="73"/>
      <c r="MFG116" s="73"/>
      <c r="MFH116" s="73"/>
      <c r="MFI116" s="73"/>
      <c r="MFJ116" s="73"/>
      <c r="MFK116" s="73"/>
      <c r="MFL116" s="73"/>
      <c r="MFM116" s="73"/>
      <c r="MFN116" s="73"/>
      <c r="MFO116" s="73"/>
      <c r="MFP116" s="73"/>
      <c r="MFQ116" s="73"/>
      <c r="MFR116" s="73"/>
      <c r="MFS116" s="73"/>
      <c r="MFT116" s="73"/>
      <c r="MFU116" s="73"/>
      <c r="MFV116" s="73"/>
      <c r="MFW116" s="73"/>
      <c r="MFX116" s="73"/>
      <c r="MFY116" s="73"/>
      <c r="MFZ116" s="73"/>
      <c r="MGA116" s="73"/>
      <c r="MGB116" s="73"/>
      <c r="MGC116" s="73"/>
      <c r="MGD116" s="73"/>
      <c r="MGE116" s="73"/>
      <c r="MGF116" s="73"/>
      <c r="MGG116" s="73"/>
      <c r="MGH116" s="73"/>
      <c r="MGI116" s="73"/>
      <c r="MGJ116" s="73"/>
      <c r="MGK116" s="73"/>
      <c r="MGL116" s="73"/>
      <c r="MGM116" s="73"/>
      <c r="MGN116" s="73"/>
      <c r="MGO116" s="73"/>
      <c r="MGP116" s="73"/>
      <c r="MGQ116" s="73"/>
      <c r="MGR116" s="73"/>
      <c r="MGS116" s="73"/>
      <c r="MGT116" s="73"/>
      <c r="MGU116" s="73"/>
      <c r="MGV116" s="73"/>
      <c r="MGW116" s="73"/>
      <c r="MGX116" s="73"/>
      <c r="MGY116" s="73"/>
      <c r="MGZ116" s="73"/>
      <c r="MHA116" s="73"/>
      <c r="MHB116" s="73"/>
      <c r="MHC116" s="73"/>
      <c r="MHD116" s="73"/>
      <c r="MHE116" s="73"/>
      <c r="MHF116" s="73"/>
      <c r="MHG116" s="73"/>
      <c r="MHH116" s="73"/>
      <c r="MHI116" s="73"/>
      <c r="MHJ116" s="73"/>
      <c r="MHK116" s="73"/>
      <c r="MHL116" s="73"/>
      <c r="MHM116" s="73"/>
      <c r="MHN116" s="73"/>
      <c r="MHO116" s="73"/>
      <c r="MHP116" s="73"/>
      <c r="MHQ116" s="73"/>
      <c r="MHR116" s="73"/>
      <c r="MHS116" s="73"/>
      <c r="MHT116" s="73"/>
      <c r="MHU116" s="73"/>
      <c r="MHV116" s="73"/>
      <c r="MHW116" s="73"/>
      <c r="MHX116" s="73"/>
      <c r="MHY116" s="73"/>
      <c r="MHZ116" s="73"/>
      <c r="MIA116" s="73"/>
      <c r="MIB116" s="73"/>
      <c r="MIC116" s="73"/>
      <c r="MID116" s="73"/>
      <c r="MIE116" s="73"/>
      <c r="MIF116" s="73"/>
      <c r="MIG116" s="73"/>
      <c r="MIH116" s="73"/>
      <c r="MII116" s="73"/>
      <c r="MIJ116" s="73"/>
      <c r="MIK116" s="73"/>
      <c r="MIL116" s="73"/>
      <c r="MIM116" s="73"/>
      <c r="MIN116" s="73"/>
      <c r="MIO116" s="73"/>
      <c r="MIP116" s="73"/>
      <c r="MIQ116" s="73"/>
      <c r="MIR116" s="73"/>
      <c r="MIS116" s="73"/>
      <c r="MIT116" s="73"/>
      <c r="MIU116" s="73"/>
      <c r="MIV116" s="73"/>
      <c r="MIW116" s="73"/>
      <c r="MIX116" s="73"/>
      <c r="MIY116" s="73"/>
      <c r="MIZ116" s="73"/>
      <c r="MJA116" s="73"/>
      <c r="MJB116" s="73"/>
      <c r="MJC116" s="73"/>
      <c r="MJD116" s="73"/>
      <c r="MJE116" s="73"/>
      <c r="MJF116" s="73"/>
      <c r="MJG116" s="73"/>
      <c r="MJH116" s="73"/>
      <c r="MJI116" s="73"/>
      <c r="MJJ116" s="73"/>
      <c r="MJK116" s="73"/>
      <c r="MJL116" s="73"/>
      <c r="MJM116" s="73"/>
      <c r="MJN116" s="73"/>
      <c r="MJO116" s="73"/>
      <c r="MJP116" s="73"/>
      <c r="MJQ116" s="73"/>
      <c r="MJR116" s="73"/>
      <c r="MJS116" s="73"/>
      <c r="MJT116" s="73"/>
      <c r="MJU116" s="73"/>
      <c r="MJV116" s="73"/>
      <c r="MJW116" s="73"/>
      <c r="MJX116" s="73"/>
      <c r="MJY116" s="73"/>
      <c r="MJZ116" s="73"/>
      <c r="MKA116" s="73"/>
      <c r="MKB116" s="73"/>
      <c r="MKC116" s="73"/>
      <c r="MKD116" s="73"/>
      <c r="MKE116" s="73"/>
      <c r="MKF116" s="73"/>
      <c r="MKG116" s="73"/>
      <c r="MKH116" s="73"/>
      <c r="MKI116" s="73"/>
      <c r="MKJ116" s="73"/>
      <c r="MKK116" s="73"/>
      <c r="MKL116" s="73"/>
      <c r="MKM116" s="73"/>
      <c r="MKN116" s="73"/>
      <c r="MKO116" s="73"/>
      <c r="MKP116" s="73"/>
      <c r="MKQ116" s="73"/>
      <c r="MKR116" s="73"/>
      <c r="MKS116" s="73"/>
      <c r="MKT116" s="73"/>
      <c r="MKU116" s="73"/>
      <c r="MKV116" s="73"/>
      <c r="MKW116" s="73"/>
      <c r="MKX116" s="73"/>
      <c r="MKY116" s="73"/>
      <c r="MKZ116" s="73"/>
      <c r="MLA116" s="73"/>
      <c r="MLB116" s="73"/>
      <c r="MLC116" s="73"/>
      <c r="MLD116" s="73"/>
      <c r="MLE116" s="73"/>
      <c r="MLF116" s="73"/>
      <c r="MLG116" s="73"/>
      <c r="MLH116" s="73"/>
      <c r="MLI116" s="73"/>
      <c r="MLJ116" s="73"/>
      <c r="MLK116" s="73"/>
      <c r="MLL116" s="73"/>
      <c r="MLM116" s="73"/>
      <c r="MLN116" s="73"/>
      <c r="MLO116" s="73"/>
      <c r="MLP116" s="73"/>
      <c r="MLQ116" s="73"/>
      <c r="MLR116" s="73"/>
      <c r="MLS116" s="73"/>
      <c r="MLT116" s="73"/>
      <c r="MLU116" s="73"/>
      <c r="MLV116" s="73"/>
      <c r="MLW116" s="73"/>
      <c r="MLX116" s="73"/>
      <c r="MLY116" s="73"/>
      <c r="MLZ116" s="73"/>
      <c r="MMA116" s="73"/>
      <c r="MMB116" s="73"/>
      <c r="MMC116" s="73"/>
      <c r="MMD116" s="73"/>
      <c r="MME116" s="73"/>
      <c r="MMF116" s="73"/>
      <c r="MMG116" s="73"/>
      <c r="MMH116" s="73"/>
      <c r="MMI116" s="73"/>
      <c r="MMJ116" s="73"/>
      <c r="MMK116" s="73"/>
      <c r="MML116" s="73"/>
      <c r="MMM116" s="73"/>
      <c r="MMN116" s="73"/>
      <c r="MMO116" s="73"/>
      <c r="MMP116" s="73"/>
      <c r="MMQ116" s="73"/>
      <c r="MMR116" s="73"/>
      <c r="MMS116" s="73"/>
      <c r="MMT116" s="73"/>
      <c r="MMU116" s="73"/>
      <c r="MMV116" s="73"/>
      <c r="MMW116" s="73"/>
      <c r="MMX116" s="73"/>
      <c r="MMY116" s="73"/>
      <c r="MMZ116" s="73"/>
      <c r="MNA116" s="73"/>
      <c r="MNB116" s="73"/>
      <c r="MNC116" s="73"/>
      <c r="MND116" s="73"/>
      <c r="MNE116" s="73"/>
      <c r="MNF116" s="73"/>
      <c r="MNG116" s="73"/>
      <c r="MNH116" s="73"/>
      <c r="MNI116" s="73"/>
      <c r="MNJ116" s="73"/>
      <c r="MNK116" s="73"/>
      <c r="MNL116" s="73"/>
      <c r="MNM116" s="73"/>
      <c r="MNN116" s="73"/>
      <c r="MNO116" s="73"/>
      <c r="MNP116" s="73"/>
      <c r="MNQ116" s="73"/>
      <c r="MNR116" s="73"/>
      <c r="MNS116" s="73"/>
      <c r="MNT116" s="73"/>
      <c r="MNU116" s="73"/>
      <c r="MNV116" s="73"/>
      <c r="MNW116" s="73"/>
      <c r="MNX116" s="73"/>
      <c r="MNY116" s="73"/>
      <c r="MNZ116" s="73"/>
      <c r="MOA116" s="73"/>
      <c r="MOB116" s="73"/>
      <c r="MOC116" s="73"/>
      <c r="MOD116" s="73"/>
      <c r="MOE116" s="73"/>
      <c r="MOF116" s="73"/>
      <c r="MOG116" s="73"/>
      <c r="MOH116" s="73"/>
      <c r="MOI116" s="73"/>
      <c r="MOJ116" s="73"/>
      <c r="MOK116" s="73"/>
      <c r="MOL116" s="73"/>
      <c r="MOM116" s="73"/>
      <c r="MON116" s="73"/>
      <c r="MOO116" s="73"/>
      <c r="MOP116" s="73"/>
      <c r="MOQ116" s="73"/>
      <c r="MOR116" s="73"/>
      <c r="MOS116" s="73"/>
      <c r="MOT116" s="73"/>
      <c r="MOU116" s="73"/>
      <c r="MOV116" s="73"/>
      <c r="MOW116" s="73"/>
      <c r="MOX116" s="73"/>
      <c r="MOY116" s="73"/>
      <c r="MOZ116" s="73"/>
      <c r="MPA116" s="73"/>
      <c r="MPB116" s="73"/>
      <c r="MPC116" s="73"/>
      <c r="MPD116" s="73"/>
      <c r="MPE116" s="73"/>
      <c r="MPF116" s="73"/>
      <c r="MPG116" s="73"/>
      <c r="MPH116" s="73"/>
      <c r="MPI116" s="73"/>
      <c r="MPJ116" s="73"/>
      <c r="MPK116" s="73"/>
      <c r="MPL116" s="73"/>
      <c r="MPM116" s="73"/>
      <c r="MPN116" s="73"/>
      <c r="MPO116" s="73"/>
      <c r="MPP116" s="73"/>
      <c r="MPQ116" s="73"/>
      <c r="MPR116" s="73"/>
      <c r="MPS116" s="73"/>
      <c r="MPT116" s="73"/>
      <c r="MPU116" s="73"/>
      <c r="MPV116" s="73"/>
      <c r="MPW116" s="73"/>
      <c r="MPX116" s="73"/>
      <c r="MPY116" s="73"/>
      <c r="MPZ116" s="73"/>
      <c r="MQA116" s="73"/>
      <c r="MQB116" s="73"/>
      <c r="MQC116" s="73"/>
      <c r="MQD116" s="73"/>
      <c r="MQE116" s="73"/>
      <c r="MQF116" s="73"/>
      <c r="MQG116" s="73"/>
      <c r="MQH116" s="73"/>
      <c r="MQI116" s="73"/>
      <c r="MQJ116" s="73"/>
      <c r="MQK116" s="73"/>
      <c r="MQL116" s="73"/>
      <c r="MQM116" s="73"/>
      <c r="MQN116" s="73"/>
      <c r="MQO116" s="73"/>
      <c r="MQP116" s="73"/>
      <c r="MQQ116" s="73"/>
      <c r="MQR116" s="73"/>
      <c r="MQS116" s="73"/>
      <c r="MQT116" s="73"/>
      <c r="MQU116" s="73"/>
      <c r="MQV116" s="73"/>
      <c r="MQW116" s="73"/>
      <c r="MQX116" s="73"/>
      <c r="MQY116" s="73"/>
      <c r="MQZ116" s="73"/>
      <c r="MRA116" s="73"/>
      <c r="MRB116" s="73"/>
      <c r="MRC116" s="73"/>
      <c r="MRD116" s="73"/>
      <c r="MRE116" s="73"/>
      <c r="MRF116" s="73"/>
      <c r="MRG116" s="73"/>
      <c r="MRH116" s="73"/>
      <c r="MRI116" s="73"/>
      <c r="MRJ116" s="73"/>
      <c r="MRK116" s="73"/>
      <c r="MRL116" s="73"/>
      <c r="MRM116" s="73"/>
      <c r="MRN116" s="73"/>
      <c r="MRO116" s="73"/>
      <c r="MRP116" s="73"/>
      <c r="MRQ116" s="73"/>
      <c r="MRR116" s="73"/>
      <c r="MRS116" s="73"/>
      <c r="MRT116" s="73"/>
      <c r="MRU116" s="73"/>
      <c r="MRV116" s="73"/>
      <c r="MRW116" s="73"/>
      <c r="MRX116" s="73"/>
      <c r="MRY116" s="73"/>
      <c r="MRZ116" s="73"/>
      <c r="MSA116" s="73"/>
      <c r="MSB116" s="73"/>
      <c r="MSC116" s="73"/>
      <c r="MSD116" s="73"/>
      <c r="MSE116" s="73"/>
      <c r="MSF116" s="73"/>
      <c r="MSG116" s="73"/>
      <c r="MSH116" s="73"/>
      <c r="MSI116" s="73"/>
      <c r="MSJ116" s="73"/>
      <c r="MSK116" s="73"/>
      <c r="MSL116" s="73"/>
      <c r="MSM116" s="73"/>
      <c r="MSN116" s="73"/>
      <c r="MSO116" s="73"/>
      <c r="MSP116" s="73"/>
      <c r="MSQ116" s="73"/>
      <c r="MSR116" s="73"/>
      <c r="MSS116" s="73"/>
      <c r="MST116" s="73"/>
      <c r="MSU116" s="73"/>
      <c r="MSV116" s="73"/>
      <c r="MSW116" s="73"/>
      <c r="MSX116" s="73"/>
      <c r="MSY116" s="73"/>
      <c r="MSZ116" s="73"/>
      <c r="MTA116" s="73"/>
      <c r="MTB116" s="73"/>
      <c r="MTC116" s="73"/>
      <c r="MTD116" s="73"/>
      <c r="MTE116" s="73"/>
      <c r="MTF116" s="73"/>
      <c r="MTG116" s="73"/>
      <c r="MTH116" s="73"/>
      <c r="MTI116" s="73"/>
      <c r="MTJ116" s="73"/>
      <c r="MTK116" s="73"/>
      <c r="MTL116" s="73"/>
      <c r="MTM116" s="73"/>
      <c r="MTN116" s="73"/>
      <c r="MTO116" s="73"/>
      <c r="MTP116" s="73"/>
      <c r="MTQ116" s="73"/>
      <c r="MTR116" s="73"/>
      <c r="MTS116" s="73"/>
      <c r="MTT116" s="73"/>
      <c r="MTU116" s="73"/>
      <c r="MTV116" s="73"/>
      <c r="MTW116" s="73"/>
      <c r="MTX116" s="73"/>
      <c r="MTY116" s="73"/>
      <c r="MTZ116" s="73"/>
      <c r="MUA116" s="73"/>
      <c r="MUB116" s="73"/>
      <c r="MUC116" s="73"/>
      <c r="MUD116" s="73"/>
      <c r="MUE116" s="73"/>
      <c r="MUF116" s="73"/>
      <c r="MUG116" s="73"/>
      <c r="MUH116" s="73"/>
      <c r="MUI116" s="73"/>
      <c r="MUJ116" s="73"/>
      <c r="MUK116" s="73"/>
      <c r="MUL116" s="73"/>
      <c r="MUM116" s="73"/>
      <c r="MUN116" s="73"/>
      <c r="MUO116" s="73"/>
      <c r="MUP116" s="73"/>
      <c r="MUQ116" s="73"/>
      <c r="MUR116" s="73"/>
      <c r="MUS116" s="73"/>
      <c r="MUT116" s="73"/>
      <c r="MUU116" s="73"/>
      <c r="MUV116" s="73"/>
      <c r="MUW116" s="73"/>
      <c r="MUX116" s="73"/>
      <c r="MUY116" s="73"/>
      <c r="MUZ116" s="73"/>
      <c r="MVA116" s="73"/>
      <c r="MVB116" s="73"/>
      <c r="MVC116" s="73"/>
      <c r="MVD116" s="73"/>
      <c r="MVE116" s="73"/>
      <c r="MVF116" s="73"/>
      <c r="MVG116" s="73"/>
      <c r="MVH116" s="73"/>
      <c r="MVI116" s="73"/>
      <c r="MVJ116" s="73"/>
      <c r="MVK116" s="73"/>
      <c r="MVL116" s="73"/>
      <c r="MVM116" s="73"/>
      <c r="MVN116" s="73"/>
      <c r="MVO116" s="73"/>
      <c r="MVP116" s="73"/>
      <c r="MVQ116" s="73"/>
      <c r="MVR116" s="73"/>
      <c r="MVS116" s="73"/>
      <c r="MVT116" s="73"/>
      <c r="MVU116" s="73"/>
      <c r="MVV116" s="73"/>
      <c r="MVW116" s="73"/>
      <c r="MVX116" s="73"/>
      <c r="MVY116" s="73"/>
      <c r="MVZ116" s="73"/>
      <c r="MWA116" s="73"/>
      <c r="MWB116" s="73"/>
      <c r="MWC116" s="73"/>
      <c r="MWD116" s="73"/>
      <c r="MWE116" s="73"/>
      <c r="MWF116" s="73"/>
      <c r="MWG116" s="73"/>
      <c r="MWH116" s="73"/>
      <c r="MWI116" s="73"/>
      <c r="MWJ116" s="73"/>
      <c r="MWK116" s="73"/>
      <c r="MWL116" s="73"/>
      <c r="MWM116" s="73"/>
      <c r="MWN116" s="73"/>
      <c r="MWO116" s="73"/>
      <c r="MWP116" s="73"/>
      <c r="MWQ116" s="73"/>
      <c r="MWR116" s="73"/>
      <c r="MWS116" s="73"/>
      <c r="MWT116" s="73"/>
      <c r="MWU116" s="73"/>
      <c r="MWV116" s="73"/>
      <c r="MWW116" s="73"/>
      <c r="MWX116" s="73"/>
      <c r="MWY116" s="73"/>
      <c r="MWZ116" s="73"/>
      <c r="MXA116" s="73"/>
      <c r="MXB116" s="73"/>
      <c r="MXC116" s="73"/>
      <c r="MXD116" s="73"/>
      <c r="MXE116" s="73"/>
      <c r="MXF116" s="73"/>
      <c r="MXG116" s="73"/>
      <c r="MXH116" s="73"/>
      <c r="MXI116" s="73"/>
      <c r="MXJ116" s="73"/>
      <c r="MXK116" s="73"/>
      <c r="MXL116" s="73"/>
      <c r="MXM116" s="73"/>
      <c r="MXN116" s="73"/>
      <c r="MXO116" s="73"/>
      <c r="MXP116" s="73"/>
      <c r="MXQ116" s="73"/>
      <c r="MXR116" s="73"/>
      <c r="MXS116" s="73"/>
      <c r="MXT116" s="73"/>
      <c r="MXU116" s="73"/>
      <c r="MXV116" s="73"/>
      <c r="MXW116" s="73"/>
      <c r="MXX116" s="73"/>
      <c r="MXY116" s="73"/>
      <c r="MXZ116" s="73"/>
      <c r="MYA116" s="73"/>
      <c r="MYB116" s="73"/>
      <c r="MYC116" s="73"/>
      <c r="MYD116" s="73"/>
      <c r="MYE116" s="73"/>
      <c r="MYF116" s="73"/>
      <c r="MYG116" s="73"/>
      <c r="MYH116" s="73"/>
      <c r="MYI116" s="73"/>
      <c r="MYJ116" s="73"/>
      <c r="MYK116" s="73"/>
      <c r="MYL116" s="73"/>
      <c r="MYM116" s="73"/>
      <c r="MYN116" s="73"/>
      <c r="MYO116" s="73"/>
      <c r="MYP116" s="73"/>
      <c r="MYQ116" s="73"/>
      <c r="MYR116" s="73"/>
      <c r="MYS116" s="73"/>
      <c r="MYT116" s="73"/>
      <c r="MYU116" s="73"/>
      <c r="MYV116" s="73"/>
      <c r="MYW116" s="73"/>
      <c r="MYX116" s="73"/>
      <c r="MYY116" s="73"/>
      <c r="MYZ116" s="73"/>
      <c r="MZA116" s="73"/>
      <c r="MZB116" s="73"/>
      <c r="MZC116" s="73"/>
      <c r="MZD116" s="73"/>
      <c r="MZE116" s="73"/>
      <c r="MZF116" s="73"/>
      <c r="MZG116" s="73"/>
      <c r="MZH116" s="73"/>
      <c r="MZI116" s="73"/>
      <c r="MZJ116" s="73"/>
      <c r="MZK116" s="73"/>
      <c r="MZL116" s="73"/>
      <c r="MZM116" s="73"/>
      <c r="MZN116" s="73"/>
      <c r="MZO116" s="73"/>
      <c r="MZP116" s="73"/>
      <c r="MZQ116" s="73"/>
      <c r="MZR116" s="73"/>
      <c r="MZS116" s="73"/>
      <c r="MZT116" s="73"/>
      <c r="MZU116" s="73"/>
      <c r="MZV116" s="73"/>
      <c r="MZW116" s="73"/>
      <c r="MZX116" s="73"/>
      <c r="MZY116" s="73"/>
      <c r="MZZ116" s="73"/>
      <c r="NAA116" s="73"/>
      <c r="NAB116" s="73"/>
      <c r="NAC116" s="73"/>
      <c r="NAD116" s="73"/>
      <c r="NAE116" s="73"/>
      <c r="NAF116" s="73"/>
      <c r="NAG116" s="73"/>
      <c r="NAH116" s="73"/>
      <c r="NAI116" s="73"/>
      <c r="NAJ116" s="73"/>
      <c r="NAK116" s="73"/>
      <c r="NAL116" s="73"/>
      <c r="NAM116" s="73"/>
      <c r="NAN116" s="73"/>
      <c r="NAO116" s="73"/>
      <c r="NAP116" s="73"/>
      <c r="NAQ116" s="73"/>
      <c r="NAR116" s="73"/>
      <c r="NAS116" s="73"/>
      <c r="NAT116" s="73"/>
      <c r="NAU116" s="73"/>
      <c r="NAV116" s="73"/>
      <c r="NAW116" s="73"/>
      <c r="NAX116" s="73"/>
      <c r="NAY116" s="73"/>
      <c r="NAZ116" s="73"/>
      <c r="NBA116" s="73"/>
      <c r="NBB116" s="73"/>
      <c r="NBC116" s="73"/>
      <c r="NBD116" s="73"/>
      <c r="NBE116" s="73"/>
      <c r="NBF116" s="73"/>
      <c r="NBG116" s="73"/>
      <c r="NBH116" s="73"/>
      <c r="NBI116" s="73"/>
      <c r="NBJ116" s="73"/>
      <c r="NBK116" s="73"/>
      <c r="NBL116" s="73"/>
      <c r="NBM116" s="73"/>
      <c r="NBN116" s="73"/>
      <c r="NBO116" s="73"/>
      <c r="NBP116" s="73"/>
      <c r="NBQ116" s="73"/>
      <c r="NBR116" s="73"/>
      <c r="NBS116" s="73"/>
      <c r="NBT116" s="73"/>
      <c r="NBU116" s="73"/>
      <c r="NBV116" s="73"/>
      <c r="NBW116" s="73"/>
      <c r="NBX116" s="73"/>
      <c r="NBY116" s="73"/>
      <c r="NBZ116" s="73"/>
      <c r="NCA116" s="73"/>
      <c r="NCB116" s="73"/>
      <c r="NCC116" s="73"/>
      <c r="NCD116" s="73"/>
      <c r="NCE116" s="73"/>
      <c r="NCF116" s="73"/>
      <c r="NCG116" s="73"/>
      <c r="NCH116" s="73"/>
      <c r="NCI116" s="73"/>
      <c r="NCJ116" s="73"/>
      <c r="NCK116" s="73"/>
      <c r="NCL116" s="73"/>
      <c r="NCM116" s="73"/>
      <c r="NCN116" s="73"/>
      <c r="NCO116" s="73"/>
      <c r="NCP116" s="73"/>
      <c r="NCQ116" s="73"/>
      <c r="NCR116" s="73"/>
      <c r="NCS116" s="73"/>
      <c r="NCT116" s="73"/>
      <c r="NCU116" s="73"/>
      <c r="NCV116" s="73"/>
      <c r="NCW116" s="73"/>
      <c r="NCX116" s="73"/>
      <c r="NCY116" s="73"/>
      <c r="NCZ116" s="73"/>
      <c r="NDA116" s="73"/>
      <c r="NDB116" s="73"/>
      <c r="NDC116" s="73"/>
      <c r="NDD116" s="73"/>
      <c r="NDE116" s="73"/>
      <c r="NDF116" s="73"/>
      <c r="NDG116" s="73"/>
      <c r="NDH116" s="73"/>
      <c r="NDI116" s="73"/>
      <c r="NDJ116" s="73"/>
      <c r="NDK116" s="73"/>
      <c r="NDL116" s="73"/>
      <c r="NDM116" s="73"/>
      <c r="NDN116" s="73"/>
      <c r="NDO116" s="73"/>
      <c r="NDP116" s="73"/>
      <c r="NDQ116" s="73"/>
      <c r="NDR116" s="73"/>
      <c r="NDS116" s="73"/>
      <c r="NDT116" s="73"/>
      <c r="NDU116" s="73"/>
      <c r="NDV116" s="73"/>
      <c r="NDW116" s="73"/>
      <c r="NDX116" s="73"/>
      <c r="NDY116" s="73"/>
      <c r="NDZ116" s="73"/>
      <c r="NEA116" s="73"/>
      <c r="NEB116" s="73"/>
      <c r="NEC116" s="73"/>
      <c r="NED116" s="73"/>
      <c r="NEE116" s="73"/>
      <c r="NEF116" s="73"/>
      <c r="NEG116" s="73"/>
      <c r="NEH116" s="73"/>
      <c r="NEI116" s="73"/>
      <c r="NEJ116" s="73"/>
      <c r="NEK116" s="73"/>
      <c r="NEL116" s="73"/>
      <c r="NEM116" s="73"/>
      <c r="NEN116" s="73"/>
      <c r="NEO116" s="73"/>
      <c r="NEP116" s="73"/>
      <c r="NEQ116" s="73"/>
      <c r="NER116" s="73"/>
      <c r="NES116" s="73"/>
      <c r="NET116" s="73"/>
      <c r="NEU116" s="73"/>
      <c r="NEV116" s="73"/>
      <c r="NEW116" s="73"/>
      <c r="NEX116" s="73"/>
      <c r="NEY116" s="73"/>
      <c r="NEZ116" s="73"/>
      <c r="NFA116" s="73"/>
      <c r="NFB116" s="73"/>
      <c r="NFC116" s="73"/>
      <c r="NFD116" s="73"/>
      <c r="NFE116" s="73"/>
      <c r="NFF116" s="73"/>
      <c r="NFG116" s="73"/>
      <c r="NFH116" s="73"/>
      <c r="NFI116" s="73"/>
      <c r="NFJ116" s="73"/>
      <c r="NFK116" s="73"/>
      <c r="NFL116" s="73"/>
      <c r="NFM116" s="73"/>
      <c r="NFN116" s="73"/>
      <c r="NFO116" s="73"/>
      <c r="NFP116" s="73"/>
      <c r="NFQ116" s="73"/>
      <c r="NFR116" s="73"/>
      <c r="NFS116" s="73"/>
      <c r="NFT116" s="73"/>
      <c r="NFU116" s="73"/>
      <c r="NFV116" s="73"/>
      <c r="NFW116" s="73"/>
      <c r="NFX116" s="73"/>
      <c r="NFY116" s="73"/>
      <c r="NFZ116" s="73"/>
      <c r="NGA116" s="73"/>
      <c r="NGB116" s="73"/>
      <c r="NGC116" s="73"/>
      <c r="NGD116" s="73"/>
      <c r="NGE116" s="73"/>
      <c r="NGF116" s="73"/>
      <c r="NGG116" s="73"/>
      <c r="NGH116" s="73"/>
      <c r="NGI116" s="73"/>
      <c r="NGJ116" s="73"/>
      <c r="NGK116" s="73"/>
      <c r="NGL116" s="73"/>
      <c r="NGM116" s="73"/>
      <c r="NGN116" s="73"/>
      <c r="NGO116" s="73"/>
      <c r="NGP116" s="73"/>
      <c r="NGQ116" s="73"/>
      <c r="NGR116" s="73"/>
      <c r="NGS116" s="73"/>
      <c r="NGT116" s="73"/>
      <c r="NGU116" s="73"/>
      <c r="NGV116" s="73"/>
      <c r="NGW116" s="73"/>
      <c r="NGX116" s="73"/>
      <c r="NGY116" s="73"/>
      <c r="NGZ116" s="73"/>
      <c r="NHA116" s="73"/>
      <c r="NHB116" s="73"/>
      <c r="NHC116" s="73"/>
      <c r="NHD116" s="73"/>
      <c r="NHE116" s="73"/>
      <c r="NHF116" s="73"/>
      <c r="NHG116" s="73"/>
      <c r="NHH116" s="73"/>
      <c r="NHI116" s="73"/>
      <c r="NHJ116" s="73"/>
      <c r="NHK116" s="73"/>
      <c r="NHL116" s="73"/>
      <c r="NHM116" s="73"/>
      <c r="NHN116" s="73"/>
      <c r="NHO116" s="73"/>
      <c r="NHP116" s="73"/>
      <c r="NHQ116" s="73"/>
      <c r="NHR116" s="73"/>
      <c r="NHS116" s="73"/>
      <c r="NHT116" s="73"/>
      <c r="NHU116" s="73"/>
      <c r="NHV116" s="73"/>
      <c r="NHW116" s="73"/>
      <c r="NHX116" s="73"/>
      <c r="NHY116" s="73"/>
      <c r="NHZ116" s="73"/>
      <c r="NIA116" s="73"/>
      <c r="NIB116" s="73"/>
      <c r="NIC116" s="73"/>
      <c r="NID116" s="73"/>
      <c r="NIE116" s="73"/>
      <c r="NIF116" s="73"/>
      <c r="NIG116" s="73"/>
      <c r="NIH116" s="73"/>
      <c r="NII116" s="73"/>
      <c r="NIJ116" s="73"/>
      <c r="NIK116" s="73"/>
      <c r="NIL116" s="73"/>
      <c r="NIM116" s="73"/>
      <c r="NIN116" s="73"/>
      <c r="NIO116" s="73"/>
      <c r="NIP116" s="73"/>
      <c r="NIQ116" s="73"/>
      <c r="NIR116" s="73"/>
      <c r="NIS116" s="73"/>
      <c r="NIT116" s="73"/>
      <c r="NIU116" s="73"/>
      <c r="NIV116" s="73"/>
      <c r="NIW116" s="73"/>
      <c r="NIX116" s="73"/>
      <c r="NIY116" s="73"/>
      <c r="NIZ116" s="73"/>
      <c r="NJA116" s="73"/>
      <c r="NJB116" s="73"/>
      <c r="NJC116" s="73"/>
      <c r="NJD116" s="73"/>
      <c r="NJE116" s="73"/>
      <c r="NJF116" s="73"/>
      <c r="NJG116" s="73"/>
      <c r="NJH116" s="73"/>
      <c r="NJI116" s="73"/>
      <c r="NJJ116" s="73"/>
      <c r="NJK116" s="73"/>
      <c r="NJL116" s="73"/>
      <c r="NJM116" s="73"/>
      <c r="NJN116" s="73"/>
      <c r="NJO116" s="73"/>
      <c r="NJP116" s="73"/>
      <c r="NJQ116" s="73"/>
      <c r="NJR116" s="73"/>
      <c r="NJS116" s="73"/>
      <c r="NJT116" s="73"/>
      <c r="NJU116" s="73"/>
      <c r="NJV116" s="73"/>
      <c r="NJW116" s="73"/>
      <c r="NJX116" s="73"/>
      <c r="NJY116" s="73"/>
      <c r="NJZ116" s="73"/>
      <c r="NKA116" s="73"/>
      <c r="NKB116" s="73"/>
      <c r="NKC116" s="73"/>
      <c r="NKD116" s="73"/>
      <c r="NKE116" s="73"/>
      <c r="NKF116" s="73"/>
      <c r="NKG116" s="73"/>
      <c r="NKH116" s="73"/>
      <c r="NKI116" s="73"/>
      <c r="NKJ116" s="73"/>
      <c r="NKK116" s="73"/>
      <c r="NKL116" s="73"/>
      <c r="NKM116" s="73"/>
      <c r="NKN116" s="73"/>
      <c r="NKO116" s="73"/>
      <c r="NKP116" s="73"/>
      <c r="NKQ116" s="73"/>
      <c r="NKR116" s="73"/>
      <c r="NKS116" s="73"/>
      <c r="NKT116" s="73"/>
      <c r="NKU116" s="73"/>
      <c r="NKV116" s="73"/>
      <c r="NKW116" s="73"/>
      <c r="NKX116" s="73"/>
      <c r="NKY116" s="73"/>
      <c r="NKZ116" s="73"/>
      <c r="NLA116" s="73"/>
      <c r="NLB116" s="73"/>
      <c r="NLC116" s="73"/>
      <c r="NLD116" s="73"/>
      <c r="NLE116" s="73"/>
      <c r="NLF116" s="73"/>
      <c r="NLG116" s="73"/>
      <c r="NLH116" s="73"/>
      <c r="NLI116" s="73"/>
      <c r="NLJ116" s="73"/>
      <c r="NLK116" s="73"/>
      <c r="NLL116" s="73"/>
      <c r="NLM116" s="73"/>
      <c r="NLN116" s="73"/>
      <c r="NLO116" s="73"/>
      <c r="NLP116" s="73"/>
      <c r="NLQ116" s="73"/>
      <c r="NLR116" s="73"/>
      <c r="NLS116" s="73"/>
      <c r="NLT116" s="73"/>
      <c r="NLU116" s="73"/>
      <c r="NLV116" s="73"/>
      <c r="NLW116" s="73"/>
      <c r="NLX116" s="73"/>
      <c r="NLY116" s="73"/>
      <c r="NLZ116" s="73"/>
      <c r="NMA116" s="73"/>
      <c r="NMB116" s="73"/>
      <c r="NMC116" s="73"/>
      <c r="NMD116" s="73"/>
      <c r="NME116" s="73"/>
      <c r="NMF116" s="73"/>
      <c r="NMG116" s="73"/>
      <c r="NMH116" s="73"/>
      <c r="NMI116" s="73"/>
      <c r="NMJ116" s="73"/>
      <c r="NMK116" s="73"/>
      <c r="NML116" s="73"/>
      <c r="NMM116" s="73"/>
      <c r="NMN116" s="73"/>
      <c r="NMO116" s="73"/>
      <c r="NMP116" s="73"/>
      <c r="NMQ116" s="73"/>
      <c r="NMR116" s="73"/>
      <c r="NMS116" s="73"/>
      <c r="NMT116" s="73"/>
      <c r="NMU116" s="73"/>
      <c r="NMV116" s="73"/>
      <c r="NMW116" s="73"/>
      <c r="NMX116" s="73"/>
      <c r="NMY116" s="73"/>
      <c r="NMZ116" s="73"/>
      <c r="NNA116" s="73"/>
      <c r="NNB116" s="73"/>
      <c r="NNC116" s="73"/>
      <c r="NND116" s="73"/>
      <c r="NNE116" s="73"/>
      <c r="NNF116" s="73"/>
      <c r="NNG116" s="73"/>
      <c r="NNH116" s="73"/>
      <c r="NNI116" s="73"/>
      <c r="NNJ116" s="73"/>
      <c r="NNK116" s="73"/>
      <c r="NNL116" s="73"/>
      <c r="NNM116" s="73"/>
      <c r="NNN116" s="73"/>
      <c r="NNO116" s="73"/>
      <c r="NNP116" s="73"/>
      <c r="NNQ116" s="73"/>
      <c r="NNR116" s="73"/>
      <c r="NNS116" s="73"/>
      <c r="NNT116" s="73"/>
      <c r="NNU116" s="73"/>
      <c r="NNV116" s="73"/>
      <c r="NNW116" s="73"/>
      <c r="NNX116" s="73"/>
      <c r="NNY116" s="73"/>
      <c r="NNZ116" s="73"/>
      <c r="NOA116" s="73"/>
      <c r="NOB116" s="73"/>
      <c r="NOC116" s="73"/>
      <c r="NOD116" s="73"/>
      <c r="NOE116" s="73"/>
      <c r="NOF116" s="73"/>
      <c r="NOG116" s="73"/>
      <c r="NOH116" s="73"/>
      <c r="NOI116" s="73"/>
      <c r="NOJ116" s="73"/>
      <c r="NOK116" s="73"/>
      <c r="NOL116" s="73"/>
      <c r="NOM116" s="73"/>
      <c r="NON116" s="73"/>
      <c r="NOO116" s="73"/>
      <c r="NOP116" s="73"/>
      <c r="NOQ116" s="73"/>
      <c r="NOR116" s="73"/>
      <c r="NOS116" s="73"/>
      <c r="NOT116" s="73"/>
      <c r="NOU116" s="73"/>
      <c r="NOV116" s="73"/>
      <c r="NOW116" s="73"/>
      <c r="NOX116" s="73"/>
      <c r="NOY116" s="73"/>
      <c r="NOZ116" s="73"/>
      <c r="NPA116" s="73"/>
      <c r="NPB116" s="73"/>
      <c r="NPC116" s="73"/>
      <c r="NPD116" s="73"/>
      <c r="NPE116" s="73"/>
      <c r="NPF116" s="73"/>
      <c r="NPG116" s="73"/>
      <c r="NPH116" s="73"/>
      <c r="NPI116" s="73"/>
      <c r="NPJ116" s="73"/>
      <c r="NPK116" s="73"/>
      <c r="NPL116" s="73"/>
      <c r="NPM116" s="73"/>
      <c r="NPN116" s="73"/>
      <c r="NPO116" s="73"/>
      <c r="NPP116" s="73"/>
      <c r="NPQ116" s="73"/>
      <c r="NPR116" s="73"/>
      <c r="NPS116" s="73"/>
      <c r="NPT116" s="73"/>
      <c r="NPU116" s="73"/>
      <c r="NPV116" s="73"/>
      <c r="NPW116" s="73"/>
      <c r="NPX116" s="73"/>
      <c r="NPY116" s="73"/>
      <c r="NPZ116" s="73"/>
      <c r="NQA116" s="73"/>
      <c r="NQB116" s="73"/>
      <c r="NQC116" s="73"/>
      <c r="NQD116" s="73"/>
      <c r="NQE116" s="73"/>
      <c r="NQF116" s="73"/>
      <c r="NQG116" s="73"/>
      <c r="NQH116" s="73"/>
      <c r="NQI116" s="73"/>
      <c r="NQJ116" s="73"/>
      <c r="NQK116" s="73"/>
      <c r="NQL116" s="73"/>
      <c r="NQM116" s="73"/>
      <c r="NQN116" s="73"/>
      <c r="NQO116" s="73"/>
      <c r="NQP116" s="73"/>
      <c r="NQQ116" s="73"/>
      <c r="NQR116" s="73"/>
      <c r="NQS116" s="73"/>
      <c r="NQT116" s="73"/>
      <c r="NQU116" s="73"/>
      <c r="NQV116" s="73"/>
      <c r="NQW116" s="73"/>
      <c r="NQX116" s="73"/>
      <c r="NQY116" s="73"/>
      <c r="NQZ116" s="73"/>
      <c r="NRA116" s="73"/>
      <c r="NRB116" s="73"/>
      <c r="NRC116" s="73"/>
      <c r="NRD116" s="73"/>
      <c r="NRE116" s="73"/>
      <c r="NRF116" s="73"/>
      <c r="NRG116" s="73"/>
      <c r="NRH116" s="73"/>
      <c r="NRI116" s="73"/>
      <c r="NRJ116" s="73"/>
      <c r="NRK116" s="73"/>
      <c r="NRL116" s="73"/>
      <c r="NRM116" s="73"/>
      <c r="NRN116" s="73"/>
      <c r="NRO116" s="73"/>
      <c r="NRP116" s="73"/>
      <c r="NRQ116" s="73"/>
      <c r="NRR116" s="73"/>
      <c r="NRS116" s="73"/>
      <c r="NRT116" s="73"/>
      <c r="NRU116" s="73"/>
      <c r="NRV116" s="73"/>
      <c r="NRW116" s="73"/>
      <c r="NRX116" s="73"/>
      <c r="NRY116" s="73"/>
      <c r="NRZ116" s="73"/>
      <c r="NSA116" s="73"/>
      <c r="NSB116" s="73"/>
      <c r="NSC116" s="73"/>
      <c r="NSD116" s="73"/>
      <c r="NSE116" s="73"/>
      <c r="NSF116" s="73"/>
      <c r="NSG116" s="73"/>
      <c r="NSH116" s="73"/>
      <c r="NSI116" s="73"/>
      <c r="NSJ116" s="73"/>
      <c r="NSK116" s="73"/>
      <c r="NSL116" s="73"/>
      <c r="NSM116" s="73"/>
      <c r="NSN116" s="73"/>
      <c r="NSO116" s="73"/>
      <c r="NSP116" s="73"/>
      <c r="NSQ116" s="73"/>
      <c r="NSR116" s="73"/>
      <c r="NSS116" s="73"/>
      <c r="NST116" s="73"/>
      <c r="NSU116" s="73"/>
      <c r="NSV116" s="73"/>
      <c r="NSW116" s="73"/>
      <c r="NSX116" s="73"/>
      <c r="NSY116" s="73"/>
      <c r="NSZ116" s="73"/>
      <c r="NTA116" s="73"/>
      <c r="NTB116" s="73"/>
      <c r="NTC116" s="73"/>
      <c r="NTD116" s="73"/>
      <c r="NTE116" s="73"/>
      <c r="NTF116" s="73"/>
      <c r="NTG116" s="73"/>
      <c r="NTH116" s="73"/>
      <c r="NTI116" s="73"/>
      <c r="NTJ116" s="73"/>
      <c r="NTK116" s="73"/>
      <c r="NTL116" s="73"/>
      <c r="NTM116" s="73"/>
      <c r="NTN116" s="73"/>
      <c r="NTO116" s="73"/>
      <c r="NTP116" s="73"/>
      <c r="NTQ116" s="73"/>
      <c r="NTR116" s="73"/>
      <c r="NTS116" s="73"/>
      <c r="NTT116" s="73"/>
      <c r="NTU116" s="73"/>
      <c r="NTV116" s="73"/>
      <c r="NTW116" s="73"/>
      <c r="NTX116" s="73"/>
      <c r="NTY116" s="73"/>
      <c r="NTZ116" s="73"/>
      <c r="NUA116" s="73"/>
      <c r="NUB116" s="73"/>
      <c r="NUC116" s="73"/>
      <c r="NUD116" s="73"/>
      <c r="NUE116" s="73"/>
      <c r="NUF116" s="73"/>
      <c r="NUG116" s="73"/>
      <c r="NUH116" s="73"/>
      <c r="NUI116" s="73"/>
      <c r="NUJ116" s="73"/>
      <c r="NUK116" s="73"/>
      <c r="NUL116" s="73"/>
      <c r="NUM116" s="73"/>
      <c r="NUN116" s="73"/>
      <c r="NUO116" s="73"/>
      <c r="NUP116" s="73"/>
      <c r="NUQ116" s="73"/>
      <c r="NUR116" s="73"/>
      <c r="NUS116" s="73"/>
      <c r="NUT116" s="73"/>
      <c r="NUU116" s="73"/>
      <c r="NUV116" s="73"/>
      <c r="NUW116" s="73"/>
      <c r="NUX116" s="73"/>
      <c r="NUY116" s="73"/>
      <c r="NUZ116" s="73"/>
      <c r="NVA116" s="73"/>
      <c r="NVB116" s="73"/>
      <c r="NVC116" s="73"/>
      <c r="NVD116" s="73"/>
      <c r="NVE116" s="73"/>
      <c r="NVF116" s="73"/>
      <c r="NVG116" s="73"/>
      <c r="NVH116" s="73"/>
      <c r="NVI116" s="73"/>
      <c r="NVJ116" s="73"/>
      <c r="NVK116" s="73"/>
      <c r="NVL116" s="73"/>
      <c r="NVM116" s="73"/>
      <c r="NVN116" s="73"/>
      <c r="NVO116" s="73"/>
      <c r="NVP116" s="73"/>
      <c r="NVQ116" s="73"/>
      <c r="NVR116" s="73"/>
      <c r="NVS116" s="73"/>
      <c r="NVT116" s="73"/>
      <c r="NVU116" s="73"/>
      <c r="NVV116" s="73"/>
      <c r="NVW116" s="73"/>
      <c r="NVX116" s="73"/>
      <c r="NVY116" s="73"/>
      <c r="NVZ116" s="73"/>
      <c r="NWA116" s="73"/>
      <c r="NWB116" s="73"/>
      <c r="NWC116" s="73"/>
      <c r="NWD116" s="73"/>
      <c r="NWE116" s="73"/>
      <c r="NWF116" s="73"/>
      <c r="NWG116" s="73"/>
      <c r="NWH116" s="73"/>
      <c r="NWI116" s="73"/>
      <c r="NWJ116" s="73"/>
      <c r="NWK116" s="73"/>
      <c r="NWL116" s="73"/>
      <c r="NWM116" s="73"/>
      <c r="NWN116" s="73"/>
      <c r="NWO116" s="73"/>
      <c r="NWP116" s="73"/>
      <c r="NWQ116" s="73"/>
      <c r="NWR116" s="73"/>
      <c r="NWS116" s="73"/>
      <c r="NWT116" s="73"/>
      <c r="NWU116" s="73"/>
      <c r="NWV116" s="73"/>
      <c r="NWW116" s="73"/>
      <c r="NWX116" s="73"/>
      <c r="NWY116" s="73"/>
      <c r="NWZ116" s="73"/>
      <c r="NXA116" s="73"/>
      <c r="NXB116" s="73"/>
      <c r="NXC116" s="73"/>
      <c r="NXD116" s="73"/>
      <c r="NXE116" s="73"/>
      <c r="NXF116" s="73"/>
      <c r="NXG116" s="73"/>
      <c r="NXH116" s="73"/>
      <c r="NXI116" s="73"/>
      <c r="NXJ116" s="73"/>
      <c r="NXK116" s="73"/>
      <c r="NXL116" s="73"/>
      <c r="NXM116" s="73"/>
      <c r="NXN116" s="73"/>
      <c r="NXO116" s="73"/>
      <c r="NXP116" s="73"/>
      <c r="NXQ116" s="73"/>
      <c r="NXR116" s="73"/>
      <c r="NXS116" s="73"/>
      <c r="NXT116" s="73"/>
      <c r="NXU116" s="73"/>
      <c r="NXV116" s="73"/>
      <c r="NXW116" s="73"/>
      <c r="NXX116" s="73"/>
      <c r="NXY116" s="73"/>
      <c r="NXZ116" s="73"/>
      <c r="NYA116" s="73"/>
      <c r="NYB116" s="73"/>
      <c r="NYC116" s="73"/>
      <c r="NYD116" s="73"/>
      <c r="NYE116" s="73"/>
      <c r="NYF116" s="73"/>
      <c r="NYG116" s="73"/>
      <c r="NYH116" s="73"/>
      <c r="NYI116" s="73"/>
      <c r="NYJ116" s="73"/>
      <c r="NYK116" s="73"/>
      <c r="NYL116" s="73"/>
      <c r="NYM116" s="73"/>
      <c r="NYN116" s="73"/>
      <c r="NYO116" s="73"/>
      <c r="NYP116" s="73"/>
      <c r="NYQ116" s="73"/>
      <c r="NYR116" s="73"/>
      <c r="NYS116" s="73"/>
      <c r="NYT116" s="73"/>
      <c r="NYU116" s="73"/>
      <c r="NYV116" s="73"/>
      <c r="NYW116" s="73"/>
      <c r="NYX116" s="73"/>
      <c r="NYY116" s="73"/>
      <c r="NYZ116" s="73"/>
      <c r="NZA116" s="73"/>
      <c r="NZB116" s="73"/>
      <c r="NZC116" s="73"/>
      <c r="NZD116" s="73"/>
      <c r="NZE116" s="73"/>
      <c r="NZF116" s="73"/>
      <c r="NZG116" s="73"/>
      <c r="NZH116" s="73"/>
      <c r="NZI116" s="73"/>
      <c r="NZJ116" s="73"/>
      <c r="NZK116" s="73"/>
      <c r="NZL116" s="73"/>
      <c r="NZM116" s="73"/>
      <c r="NZN116" s="73"/>
      <c r="NZO116" s="73"/>
      <c r="NZP116" s="73"/>
      <c r="NZQ116" s="73"/>
      <c r="NZR116" s="73"/>
      <c r="NZS116" s="73"/>
      <c r="NZT116" s="73"/>
      <c r="NZU116" s="73"/>
      <c r="NZV116" s="73"/>
      <c r="NZW116" s="73"/>
      <c r="NZX116" s="73"/>
      <c r="NZY116" s="73"/>
      <c r="NZZ116" s="73"/>
      <c r="OAA116" s="73"/>
      <c r="OAB116" s="73"/>
      <c r="OAC116" s="73"/>
      <c r="OAD116" s="73"/>
      <c r="OAE116" s="73"/>
      <c r="OAF116" s="73"/>
      <c r="OAG116" s="73"/>
      <c r="OAH116" s="73"/>
      <c r="OAI116" s="73"/>
      <c r="OAJ116" s="73"/>
      <c r="OAK116" s="73"/>
      <c r="OAL116" s="73"/>
      <c r="OAM116" s="73"/>
      <c r="OAN116" s="73"/>
      <c r="OAO116" s="73"/>
      <c r="OAP116" s="73"/>
      <c r="OAQ116" s="73"/>
      <c r="OAR116" s="73"/>
      <c r="OAS116" s="73"/>
      <c r="OAT116" s="73"/>
      <c r="OAU116" s="73"/>
      <c r="OAV116" s="73"/>
      <c r="OAW116" s="73"/>
      <c r="OAX116" s="73"/>
      <c r="OAY116" s="73"/>
      <c r="OAZ116" s="73"/>
      <c r="OBA116" s="73"/>
      <c r="OBB116" s="73"/>
      <c r="OBC116" s="73"/>
      <c r="OBD116" s="73"/>
      <c r="OBE116" s="73"/>
      <c r="OBF116" s="73"/>
      <c r="OBG116" s="73"/>
      <c r="OBH116" s="73"/>
      <c r="OBI116" s="73"/>
      <c r="OBJ116" s="73"/>
      <c r="OBK116" s="73"/>
      <c r="OBL116" s="73"/>
      <c r="OBM116" s="73"/>
      <c r="OBN116" s="73"/>
      <c r="OBO116" s="73"/>
      <c r="OBP116" s="73"/>
      <c r="OBQ116" s="73"/>
      <c r="OBR116" s="73"/>
      <c r="OBS116" s="73"/>
      <c r="OBT116" s="73"/>
      <c r="OBU116" s="73"/>
      <c r="OBV116" s="73"/>
      <c r="OBW116" s="73"/>
      <c r="OBX116" s="73"/>
      <c r="OBY116" s="73"/>
      <c r="OBZ116" s="73"/>
      <c r="OCA116" s="73"/>
      <c r="OCB116" s="73"/>
      <c r="OCC116" s="73"/>
      <c r="OCD116" s="73"/>
      <c r="OCE116" s="73"/>
      <c r="OCF116" s="73"/>
      <c r="OCG116" s="73"/>
      <c r="OCH116" s="73"/>
      <c r="OCI116" s="73"/>
      <c r="OCJ116" s="73"/>
      <c r="OCK116" s="73"/>
      <c r="OCL116" s="73"/>
      <c r="OCM116" s="73"/>
      <c r="OCN116" s="73"/>
      <c r="OCO116" s="73"/>
      <c r="OCP116" s="73"/>
      <c r="OCQ116" s="73"/>
      <c r="OCR116" s="73"/>
      <c r="OCS116" s="73"/>
      <c r="OCT116" s="73"/>
      <c r="OCU116" s="73"/>
      <c r="OCV116" s="73"/>
      <c r="OCW116" s="73"/>
      <c r="OCX116" s="73"/>
      <c r="OCY116" s="73"/>
      <c r="OCZ116" s="73"/>
      <c r="ODA116" s="73"/>
      <c r="ODB116" s="73"/>
      <c r="ODC116" s="73"/>
      <c r="ODD116" s="73"/>
      <c r="ODE116" s="73"/>
      <c r="ODF116" s="73"/>
      <c r="ODG116" s="73"/>
      <c r="ODH116" s="73"/>
      <c r="ODI116" s="73"/>
      <c r="ODJ116" s="73"/>
      <c r="ODK116" s="73"/>
      <c r="ODL116" s="73"/>
      <c r="ODM116" s="73"/>
      <c r="ODN116" s="73"/>
      <c r="ODO116" s="73"/>
      <c r="ODP116" s="73"/>
      <c r="ODQ116" s="73"/>
      <c r="ODR116" s="73"/>
      <c r="ODS116" s="73"/>
      <c r="ODT116" s="73"/>
      <c r="ODU116" s="73"/>
      <c r="ODV116" s="73"/>
      <c r="ODW116" s="73"/>
      <c r="ODX116" s="73"/>
      <c r="ODY116" s="73"/>
      <c r="ODZ116" s="73"/>
      <c r="OEA116" s="73"/>
      <c r="OEB116" s="73"/>
      <c r="OEC116" s="73"/>
      <c r="OED116" s="73"/>
      <c r="OEE116" s="73"/>
      <c r="OEF116" s="73"/>
      <c r="OEG116" s="73"/>
      <c r="OEH116" s="73"/>
      <c r="OEI116" s="73"/>
      <c r="OEJ116" s="73"/>
      <c r="OEK116" s="73"/>
      <c r="OEL116" s="73"/>
      <c r="OEM116" s="73"/>
      <c r="OEN116" s="73"/>
      <c r="OEO116" s="73"/>
      <c r="OEP116" s="73"/>
      <c r="OEQ116" s="73"/>
      <c r="OER116" s="73"/>
      <c r="OES116" s="73"/>
      <c r="OET116" s="73"/>
      <c r="OEU116" s="73"/>
      <c r="OEV116" s="73"/>
      <c r="OEW116" s="73"/>
      <c r="OEX116" s="73"/>
      <c r="OEY116" s="73"/>
      <c r="OEZ116" s="73"/>
      <c r="OFA116" s="73"/>
      <c r="OFB116" s="73"/>
      <c r="OFC116" s="73"/>
      <c r="OFD116" s="73"/>
      <c r="OFE116" s="73"/>
      <c r="OFF116" s="73"/>
      <c r="OFG116" s="73"/>
      <c r="OFH116" s="73"/>
      <c r="OFI116" s="73"/>
      <c r="OFJ116" s="73"/>
      <c r="OFK116" s="73"/>
      <c r="OFL116" s="73"/>
      <c r="OFM116" s="73"/>
      <c r="OFN116" s="73"/>
      <c r="OFO116" s="73"/>
      <c r="OFP116" s="73"/>
      <c r="OFQ116" s="73"/>
      <c r="OFR116" s="73"/>
      <c r="OFS116" s="73"/>
      <c r="OFT116" s="73"/>
      <c r="OFU116" s="73"/>
      <c r="OFV116" s="73"/>
      <c r="OFW116" s="73"/>
      <c r="OFX116" s="73"/>
      <c r="OFY116" s="73"/>
      <c r="OFZ116" s="73"/>
      <c r="OGA116" s="73"/>
      <c r="OGB116" s="73"/>
      <c r="OGC116" s="73"/>
      <c r="OGD116" s="73"/>
      <c r="OGE116" s="73"/>
      <c r="OGF116" s="73"/>
      <c r="OGG116" s="73"/>
      <c r="OGH116" s="73"/>
      <c r="OGI116" s="73"/>
      <c r="OGJ116" s="73"/>
      <c r="OGK116" s="73"/>
      <c r="OGL116" s="73"/>
      <c r="OGM116" s="73"/>
      <c r="OGN116" s="73"/>
      <c r="OGO116" s="73"/>
      <c r="OGP116" s="73"/>
      <c r="OGQ116" s="73"/>
      <c r="OGR116" s="73"/>
      <c r="OGS116" s="73"/>
      <c r="OGT116" s="73"/>
      <c r="OGU116" s="73"/>
      <c r="OGV116" s="73"/>
      <c r="OGW116" s="73"/>
      <c r="OGX116" s="73"/>
      <c r="OGY116" s="73"/>
      <c r="OGZ116" s="73"/>
      <c r="OHA116" s="73"/>
      <c r="OHB116" s="73"/>
      <c r="OHC116" s="73"/>
      <c r="OHD116" s="73"/>
      <c r="OHE116" s="73"/>
      <c r="OHF116" s="73"/>
      <c r="OHG116" s="73"/>
      <c r="OHH116" s="73"/>
      <c r="OHI116" s="73"/>
      <c r="OHJ116" s="73"/>
      <c r="OHK116" s="73"/>
      <c r="OHL116" s="73"/>
      <c r="OHM116" s="73"/>
      <c r="OHN116" s="73"/>
      <c r="OHO116" s="73"/>
      <c r="OHP116" s="73"/>
      <c r="OHQ116" s="73"/>
      <c r="OHR116" s="73"/>
      <c r="OHS116" s="73"/>
      <c r="OHT116" s="73"/>
      <c r="OHU116" s="73"/>
      <c r="OHV116" s="73"/>
      <c r="OHW116" s="73"/>
      <c r="OHX116" s="73"/>
      <c r="OHY116" s="73"/>
      <c r="OHZ116" s="73"/>
      <c r="OIA116" s="73"/>
      <c r="OIB116" s="73"/>
      <c r="OIC116" s="73"/>
      <c r="OID116" s="73"/>
      <c r="OIE116" s="73"/>
      <c r="OIF116" s="73"/>
      <c r="OIG116" s="73"/>
      <c r="OIH116" s="73"/>
      <c r="OII116" s="73"/>
      <c r="OIJ116" s="73"/>
      <c r="OIK116" s="73"/>
      <c r="OIL116" s="73"/>
      <c r="OIM116" s="73"/>
      <c r="OIN116" s="73"/>
      <c r="OIO116" s="73"/>
      <c r="OIP116" s="73"/>
      <c r="OIQ116" s="73"/>
      <c r="OIR116" s="73"/>
      <c r="OIS116" s="73"/>
      <c r="OIT116" s="73"/>
      <c r="OIU116" s="73"/>
      <c r="OIV116" s="73"/>
      <c r="OIW116" s="73"/>
      <c r="OIX116" s="73"/>
      <c r="OIY116" s="73"/>
      <c r="OIZ116" s="73"/>
      <c r="OJA116" s="73"/>
      <c r="OJB116" s="73"/>
      <c r="OJC116" s="73"/>
      <c r="OJD116" s="73"/>
      <c r="OJE116" s="73"/>
      <c r="OJF116" s="73"/>
      <c r="OJG116" s="73"/>
      <c r="OJH116" s="73"/>
      <c r="OJI116" s="73"/>
      <c r="OJJ116" s="73"/>
      <c r="OJK116" s="73"/>
      <c r="OJL116" s="73"/>
      <c r="OJM116" s="73"/>
      <c r="OJN116" s="73"/>
      <c r="OJO116" s="73"/>
      <c r="OJP116" s="73"/>
      <c r="OJQ116" s="73"/>
      <c r="OJR116" s="73"/>
      <c r="OJS116" s="73"/>
      <c r="OJT116" s="73"/>
      <c r="OJU116" s="73"/>
      <c r="OJV116" s="73"/>
      <c r="OJW116" s="73"/>
      <c r="OJX116" s="73"/>
      <c r="OJY116" s="73"/>
      <c r="OJZ116" s="73"/>
      <c r="OKA116" s="73"/>
      <c r="OKB116" s="73"/>
      <c r="OKC116" s="73"/>
      <c r="OKD116" s="73"/>
      <c r="OKE116" s="73"/>
      <c r="OKF116" s="73"/>
      <c r="OKG116" s="73"/>
      <c r="OKH116" s="73"/>
      <c r="OKI116" s="73"/>
      <c r="OKJ116" s="73"/>
      <c r="OKK116" s="73"/>
      <c r="OKL116" s="73"/>
      <c r="OKM116" s="73"/>
      <c r="OKN116" s="73"/>
      <c r="OKO116" s="73"/>
      <c r="OKP116" s="73"/>
      <c r="OKQ116" s="73"/>
      <c r="OKR116" s="73"/>
      <c r="OKS116" s="73"/>
      <c r="OKT116" s="73"/>
      <c r="OKU116" s="73"/>
      <c r="OKV116" s="73"/>
      <c r="OKW116" s="73"/>
      <c r="OKX116" s="73"/>
      <c r="OKY116" s="73"/>
      <c r="OKZ116" s="73"/>
      <c r="OLA116" s="73"/>
      <c r="OLB116" s="73"/>
      <c r="OLC116" s="73"/>
      <c r="OLD116" s="73"/>
      <c r="OLE116" s="73"/>
      <c r="OLF116" s="73"/>
      <c r="OLG116" s="73"/>
      <c r="OLH116" s="73"/>
      <c r="OLI116" s="73"/>
      <c r="OLJ116" s="73"/>
      <c r="OLK116" s="73"/>
      <c r="OLL116" s="73"/>
      <c r="OLM116" s="73"/>
      <c r="OLN116" s="73"/>
      <c r="OLO116" s="73"/>
      <c r="OLP116" s="73"/>
      <c r="OLQ116" s="73"/>
      <c r="OLR116" s="73"/>
      <c r="OLS116" s="73"/>
      <c r="OLT116" s="73"/>
      <c r="OLU116" s="73"/>
      <c r="OLV116" s="73"/>
      <c r="OLW116" s="73"/>
      <c r="OLX116" s="73"/>
      <c r="OLY116" s="73"/>
      <c r="OLZ116" s="73"/>
      <c r="OMA116" s="73"/>
      <c r="OMB116" s="73"/>
      <c r="OMC116" s="73"/>
      <c r="OMD116" s="73"/>
      <c r="OME116" s="73"/>
      <c r="OMF116" s="73"/>
      <c r="OMG116" s="73"/>
      <c r="OMH116" s="73"/>
      <c r="OMI116" s="73"/>
      <c r="OMJ116" s="73"/>
      <c r="OMK116" s="73"/>
      <c r="OML116" s="73"/>
      <c r="OMM116" s="73"/>
      <c r="OMN116" s="73"/>
      <c r="OMO116" s="73"/>
      <c r="OMP116" s="73"/>
      <c r="OMQ116" s="73"/>
      <c r="OMR116" s="73"/>
      <c r="OMS116" s="73"/>
      <c r="OMT116" s="73"/>
      <c r="OMU116" s="73"/>
      <c r="OMV116" s="73"/>
      <c r="OMW116" s="73"/>
      <c r="OMX116" s="73"/>
      <c r="OMY116" s="73"/>
      <c r="OMZ116" s="73"/>
      <c r="ONA116" s="73"/>
      <c r="ONB116" s="73"/>
      <c r="ONC116" s="73"/>
      <c r="OND116" s="73"/>
      <c r="ONE116" s="73"/>
      <c r="ONF116" s="73"/>
      <c r="ONG116" s="73"/>
      <c r="ONH116" s="73"/>
      <c r="ONI116" s="73"/>
      <c r="ONJ116" s="73"/>
      <c r="ONK116" s="73"/>
      <c r="ONL116" s="73"/>
      <c r="ONM116" s="73"/>
      <c r="ONN116" s="73"/>
      <c r="ONO116" s="73"/>
      <c r="ONP116" s="73"/>
      <c r="ONQ116" s="73"/>
      <c r="ONR116" s="73"/>
      <c r="ONS116" s="73"/>
      <c r="ONT116" s="73"/>
      <c r="ONU116" s="73"/>
      <c r="ONV116" s="73"/>
      <c r="ONW116" s="73"/>
      <c r="ONX116" s="73"/>
      <c r="ONY116" s="73"/>
      <c r="ONZ116" s="73"/>
      <c r="OOA116" s="73"/>
      <c r="OOB116" s="73"/>
      <c r="OOC116" s="73"/>
      <c r="OOD116" s="73"/>
      <c r="OOE116" s="73"/>
      <c r="OOF116" s="73"/>
      <c r="OOG116" s="73"/>
      <c r="OOH116" s="73"/>
      <c r="OOI116" s="73"/>
      <c r="OOJ116" s="73"/>
      <c r="OOK116" s="73"/>
      <c r="OOL116" s="73"/>
      <c r="OOM116" s="73"/>
      <c r="OON116" s="73"/>
      <c r="OOO116" s="73"/>
      <c r="OOP116" s="73"/>
      <c r="OOQ116" s="73"/>
      <c r="OOR116" s="73"/>
      <c r="OOS116" s="73"/>
      <c r="OOT116" s="73"/>
      <c r="OOU116" s="73"/>
      <c r="OOV116" s="73"/>
      <c r="OOW116" s="73"/>
      <c r="OOX116" s="73"/>
      <c r="OOY116" s="73"/>
      <c r="OOZ116" s="73"/>
      <c r="OPA116" s="73"/>
      <c r="OPB116" s="73"/>
      <c r="OPC116" s="73"/>
      <c r="OPD116" s="73"/>
      <c r="OPE116" s="73"/>
      <c r="OPF116" s="73"/>
      <c r="OPG116" s="73"/>
      <c r="OPH116" s="73"/>
      <c r="OPI116" s="73"/>
      <c r="OPJ116" s="73"/>
      <c r="OPK116" s="73"/>
      <c r="OPL116" s="73"/>
      <c r="OPM116" s="73"/>
      <c r="OPN116" s="73"/>
      <c r="OPO116" s="73"/>
      <c r="OPP116" s="73"/>
      <c r="OPQ116" s="73"/>
      <c r="OPR116" s="73"/>
      <c r="OPS116" s="73"/>
      <c r="OPT116" s="73"/>
      <c r="OPU116" s="73"/>
      <c r="OPV116" s="73"/>
      <c r="OPW116" s="73"/>
      <c r="OPX116" s="73"/>
      <c r="OPY116" s="73"/>
      <c r="OPZ116" s="73"/>
      <c r="OQA116" s="73"/>
      <c r="OQB116" s="73"/>
      <c r="OQC116" s="73"/>
      <c r="OQD116" s="73"/>
      <c r="OQE116" s="73"/>
      <c r="OQF116" s="73"/>
      <c r="OQG116" s="73"/>
      <c r="OQH116" s="73"/>
      <c r="OQI116" s="73"/>
      <c r="OQJ116" s="73"/>
      <c r="OQK116" s="73"/>
      <c r="OQL116" s="73"/>
      <c r="OQM116" s="73"/>
      <c r="OQN116" s="73"/>
      <c r="OQO116" s="73"/>
      <c r="OQP116" s="73"/>
      <c r="OQQ116" s="73"/>
      <c r="OQR116" s="73"/>
      <c r="OQS116" s="73"/>
      <c r="OQT116" s="73"/>
      <c r="OQU116" s="73"/>
      <c r="OQV116" s="73"/>
      <c r="OQW116" s="73"/>
      <c r="OQX116" s="73"/>
      <c r="OQY116" s="73"/>
      <c r="OQZ116" s="73"/>
      <c r="ORA116" s="73"/>
      <c r="ORB116" s="73"/>
      <c r="ORC116" s="73"/>
      <c r="ORD116" s="73"/>
      <c r="ORE116" s="73"/>
      <c r="ORF116" s="73"/>
      <c r="ORG116" s="73"/>
      <c r="ORH116" s="73"/>
      <c r="ORI116" s="73"/>
      <c r="ORJ116" s="73"/>
      <c r="ORK116" s="73"/>
      <c r="ORL116" s="73"/>
      <c r="ORM116" s="73"/>
      <c r="ORN116" s="73"/>
      <c r="ORO116" s="73"/>
      <c r="ORP116" s="73"/>
      <c r="ORQ116" s="73"/>
      <c r="ORR116" s="73"/>
      <c r="ORS116" s="73"/>
      <c r="ORT116" s="73"/>
      <c r="ORU116" s="73"/>
      <c r="ORV116" s="73"/>
      <c r="ORW116" s="73"/>
      <c r="ORX116" s="73"/>
      <c r="ORY116" s="73"/>
      <c r="ORZ116" s="73"/>
      <c r="OSA116" s="73"/>
      <c r="OSB116" s="73"/>
      <c r="OSC116" s="73"/>
      <c r="OSD116" s="73"/>
      <c r="OSE116" s="73"/>
      <c r="OSF116" s="73"/>
      <c r="OSG116" s="73"/>
      <c r="OSH116" s="73"/>
      <c r="OSI116" s="73"/>
      <c r="OSJ116" s="73"/>
      <c r="OSK116" s="73"/>
      <c r="OSL116" s="73"/>
      <c r="OSM116" s="73"/>
      <c r="OSN116" s="73"/>
      <c r="OSO116" s="73"/>
      <c r="OSP116" s="73"/>
      <c r="OSQ116" s="73"/>
      <c r="OSR116" s="73"/>
      <c r="OSS116" s="73"/>
      <c r="OST116" s="73"/>
      <c r="OSU116" s="73"/>
      <c r="OSV116" s="73"/>
      <c r="OSW116" s="73"/>
      <c r="OSX116" s="73"/>
      <c r="OSY116" s="73"/>
      <c r="OSZ116" s="73"/>
      <c r="OTA116" s="73"/>
      <c r="OTB116" s="73"/>
      <c r="OTC116" s="73"/>
      <c r="OTD116" s="73"/>
      <c r="OTE116" s="73"/>
      <c r="OTF116" s="73"/>
      <c r="OTG116" s="73"/>
      <c r="OTH116" s="73"/>
      <c r="OTI116" s="73"/>
      <c r="OTJ116" s="73"/>
      <c r="OTK116" s="73"/>
      <c r="OTL116" s="73"/>
      <c r="OTM116" s="73"/>
      <c r="OTN116" s="73"/>
      <c r="OTO116" s="73"/>
      <c r="OTP116" s="73"/>
      <c r="OTQ116" s="73"/>
      <c r="OTR116" s="73"/>
      <c r="OTS116" s="73"/>
      <c r="OTT116" s="73"/>
      <c r="OTU116" s="73"/>
      <c r="OTV116" s="73"/>
      <c r="OTW116" s="73"/>
      <c r="OTX116" s="73"/>
      <c r="OTY116" s="73"/>
      <c r="OTZ116" s="73"/>
      <c r="OUA116" s="73"/>
      <c r="OUB116" s="73"/>
      <c r="OUC116" s="73"/>
      <c r="OUD116" s="73"/>
      <c r="OUE116" s="73"/>
      <c r="OUF116" s="73"/>
      <c r="OUG116" s="73"/>
      <c r="OUH116" s="73"/>
      <c r="OUI116" s="73"/>
      <c r="OUJ116" s="73"/>
      <c r="OUK116" s="73"/>
      <c r="OUL116" s="73"/>
      <c r="OUM116" s="73"/>
      <c r="OUN116" s="73"/>
      <c r="OUO116" s="73"/>
      <c r="OUP116" s="73"/>
      <c r="OUQ116" s="73"/>
      <c r="OUR116" s="73"/>
      <c r="OUS116" s="73"/>
      <c r="OUT116" s="73"/>
      <c r="OUU116" s="73"/>
      <c r="OUV116" s="73"/>
      <c r="OUW116" s="73"/>
      <c r="OUX116" s="73"/>
      <c r="OUY116" s="73"/>
      <c r="OUZ116" s="73"/>
      <c r="OVA116" s="73"/>
      <c r="OVB116" s="73"/>
      <c r="OVC116" s="73"/>
      <c r="OVD116" s="73"/>
      <c r="OVE116" s="73"/>
      <c r="OVF116" s="73"/>
      <c r="OVG116" s="73"/>
      <c r="OVH116" s="73"/>
      <c r="OVI116" s="73"/>
      <c r="OVJ116" s="73"/>
      <c r="OVK116" s="73"/>
      <c r="OVL116" s="73"/>
      <c r="OVM116" s="73"/>
      <c r="OVN116" s="73"/>
      <c r="OVO116" s="73"/>
      <c r="OVP116" s="73"/>
      <c r="OVQ116" s="73"/>
      <c r="OVR116" s="73"/>
      <c r="OVS116" s="73"/>
      <c r="OVT116" s="73"/>
      <c r="OVU116" s="73"/>
      <c r="OVV116" s="73"/>
      <c r="OVW116" s="73"/>
      <c r="OVX116" s="73"/>
      <c r="OVY116" s="73"/>
      <c r="OVZ116" s="73"/>
      <c r="OWA116" s="73"/>
      <c r="OWB116" s="73"/>
      <c r="OWC116" s="73"/>
      <c r="OWD116" s="73"/>
      <c r="OWE116" s="73"/>
      <c r="OWF116" s="73"/>
      <c r="OWG116" s="73"/>
      <c r="OWH116" s="73"/>
      <c r="OWI116" s="73"/>
      <c r="OWJ116" s="73"/>
      <c r="OWK116" s="73"/>
      <c r="OWL116" s="73"/>
      <c r="OWM116" s="73"/>
      <c r="OWN116" s="73"/>
      <c r="OWO116" s="73"/>
      <c r="OWP116" s="73"/>
      <c r="OWQ116" s="73"/>
      <c r="OWR116" s="73"/>
      <c r="OWS116" s="73"/>
      <c r="OWT116" s="73"/>
      <c r="OWU116" s="73"/>
      <c r="OWV116" s="73"/>
      <c r="OWW116" s="73"/>
      <c r="OWX116" s="73"/>
      <c r="OWY116" s="73"/>
      <c r="OWZ116" s="73"/>
      <c r="OXA116" s="73"/>
      <c r="OXB116" s="73"/>
      <c r="OXC116" s="73"/>
      <c r="OXD116" s="73"/>
      <c r="OXE116" s="73"/>
      <c r="OXF116" s="73"/>
      <c r="OXG116" s="73"/>
      <c r="OXH116" s="73"/>
      <c r="OXI116" s="73"/>
      <c r="OXJ116" s="73"/>
      <c r="OXK116" s="73"/>
      <c r="OXL116" s="73"/>
      <c r="OXM116" s="73"/>
      <c r="OXN116" s="73"/>
      <c r="OXO116" s="73"/>
      <c r="OXP116" s="73"/>
      <c r="OXQ116" s="73"/>
      <c r="OXR116" s="73"/>
      <c r="OXS116" s="73"/>
      <c r="OXT116" s="73"/>
      <c r="OXU116" s="73"/>
      <c r="OXV116" s="73"/>
      <c r="OXW116" s="73"/>
      <c r="OXX116" s="73"/>
      <c r="OXY116" s="73"/>
      <c r="OXZ116" s="73"/>
      <c r="OYA116" s="73"/>
      <c r="OYB116" s="73"/>
      <c r="OYC116" s="73"/>
      <c r="OYD116" s="73"/>
      <c r="OYE116" s="73"/>
      <c r="OYF116" s="73"/>
      <c r="OYG116" s="73"/>
      <c r="OYH116" s="73"/>
      <c r="OYI116" s="73"/>
      <c r="OYJ116" s="73"/>
      <c r="OYK116" s="73"/>
      <c r="OYL116" s="73"/>
      <c r="OYM116" s="73"/>
      <c r="OYN116" s="73"/>
      <c r="OYO116" s="73"/>
      <c r="OYP116" s="73"/>
      <c r="OYQ116" s="73"/>
      <c r="OYR116" s="73"/>
      <c r="OYS116" s="73"/>
      <c r="OYT116" s="73"/>
      <c r="OYU116" s="73"/>
      <c r="OYV116" s="73"/>
      <c r="OYW116" s="73"/>
      <c r="OYX116" s="73"/>
      <c r="OYY116" s="73"/>
      <c r="OYZ116" s="73"/>
      <c r="OZA116" s="73"/>
      <c r="OZB116" s="73"/>
      <c r="OZC116" s="73"/>
      <c r="OZD116" s="73"/>
      <c r="OZE116" s="73"/>
      <c r="OZF116" s="73"/>
      <c r="OZG116" s="73"/>
      <c r="OZH116" s="73"/>
      <c r="OZI116" s="73"/>
      <c r="OZJ116" s="73"/>
      <c r="OZK116" s="73"/>
      <c r="OZL116" s="73"/>
      <c r="OZM116" s="73"/>
      <c r="OZN116" s="73"/>
      <c r="OZO116" s="73"/>
      <c r="OZP116" s="73"/>
      <c r="OZQ116" s="73"/>
      <c r="OZR116" s="73"/>
      <c r="OZS116" s="73"/>
      <c r="OZT116" s="73"/>
      <c r="OZU116" s="73"/>
      <c r="OZV116" s="73"/>
      <c r="OZW116" s="73"/>
      <c r="OZX116" s="73"/>
      <c r="OZY116" s="73"/>
      <c r="OZZ116" s="73"/>
      <c r="PAA116" s="73"/>
      <c r="PAB116" s="73"/>
      <c r="PAC116" s="73"/>
      <c r="PAD116" s="73"/>
      <c r="PAE116" s="73"/>
      <c r="PAF116" s="73"/>
      <c r="PAG116" s="73"/>
      <c r="PAH116" s="73"/>
      <c r="PAI116" s="73"/>
      <c r="PAJ116" s="73"/>
      <c r="PAK116" s="73"/>
      <c r="PAL116" s="73"/>
      <c r="PAM116" s="73"/>
      <c r="PAN116" s="73"/>
      <c r="PAO116" s="73"/>
      <c r="PAP116" s="73"/>
      <c r="PAQ116" s="73"/>
      <c r="PAR116" s="73"/>
      <c r="PAS116" s="73"/>
      <c r="PAT116" s="73"/>
      <c r="PAU116" s="73"/>
      <c r="PAV116" s="73"/>
      <c r="PAW116" s="73"/>
      <c r="PAX116" s="73"/>
      <c r="PAY116" s="73"/>
      <c r="PAZ116" s="73"/>
      <c r="PBA116" s="73"/>
      <c r="PBB116" s="73"/>
      <c r="PBC116" s="73"/>
      <c r="PBD116" s="73"/>
      <c r="PBE116" s="73"/>
      <c r="PBF116" s="73"/>
      <c r="PBG116" s="73"/>
      <c r="PBH116" s="73"/>
      <c r="PBI116" s="73"/>
      <c r="PBJ116" s="73"/>
      <c r="PBK116" s="73"/>
      <c r="PBL116" s="73"/>
      <c r="PBM116" s="73"/>
      <c r="PBN116" s="73"/>
      <c r="PBO116" s="73"/>
      <c r="PBP116" s="73"/>
      <c r="PBQ116" s="73"/>
      <c r="PBR116" s="73"/>
      <c r="PBS116" s="73"/>
      <c r="PBT116" s="73"/>
      <c r="PBU116" s="73"/>
      <c r="PBV116" s="73"/>
      <c r="PBW116" s="73"/>
      <c r="PBX116" s="73"/>
      <c r="PBY116" s="73"/>
      <c r="PBZ116" s="73"/>
      <c r="PCA116" s="73"/>
      <c r="PCB116" s="73"/>
      <c r="PCC116" s="73"/>
      <c r="PCD116" s="73"/>
      <c r="PCE116" s="73"/>
      <c r="PCF116" s="73"/>
      <c r="PCG116" s="73"/>
      <c r="PCH116" s="73"/>
      <c r="PCI116" s="73"/>
      <c r="PCJ116" s="73"/>
      <c r="PCK116" s="73"/>
      <c r="PCL116" s="73"/>
      <c r="PCM116" s="73"/>
      <c r="PCN116" s="73"/>
      <c r="PCO116" s="73"/>
      <c r="PCP116" s="73"/>
      <c r="PCQ116" s="73"/>
      <c r="PCR116" s="73"/>
      <c r="PCS116" s="73"/>
      <c r="PCT116" s="73"/>
      <c r="PCU116" s="73"/>
      <c r="PCV116" s="73"/>
      <c r="PCW116" s="73"/>
      <c r="PCX116" s="73"/>
      <c r="PCY116" s="73"/>
      <c r="PCZ116" s="73"/>
      <c r="PDA116" s="73"/>
      <c r="PDB116" s="73"/>
      <c r="PDC116" s="73"/>
      <c r="PDD116" s="73"/>
      <c r="PDE116" s="73"/>
      <c r="PDF116" s="73"/>
      <c r="PDG116" s="73"/>
      <c r="PDH116" s="73"/>
      <c r="PDI116" s="73"/>
      <c r="PDJ116" s="73"/>
      <c r="PDK116" s="73"/>
      <c r="PDL116" s="73"/>
      <c r="PDM116" s="73"/>
      <c r="PDN116" s="73"/>
      <c r="PDO116" s="73"/>
      <c r="PDP116" s="73"/>
      <c r="PDQ116" s="73"/>
      <c r="PDR116" s="73"/>
      <c r="PDS116" s="73"/>
      <c r="PDT116" s="73"/>
      <c r="PDU116" s="73"/>
      <c r="PDV116" s="73"/>
      <c r="PDW116" s="73"/>
      <c r="PDX116" s="73"/>
      <c r="PDY116" s="73"/>
      <c r="PDZ116" s="73"/>
      <c r="PEA116" s="73"/>
      <c r="PEB116" s="73"/>
      <c r="PEC116" s="73"/>
      <c r="PED116" s="73"/>
      <c r="PEE116" s="73"/>
      <c r="PEF116" s="73"/>
      <c r="PEG116" s="73"/>
      <c r="PEH116" s="73"/>
      <c r="PEI116" s="73"/>
      <c r="PEJ116" s="73"/>
      <c r="PEK116" s="73"/>
      <c r="PEL116" s="73"/>
      <c r="PEM116" s="73"/>
      <c r="PEN116" s="73"/>
      <c r="PEO116" s="73"/>
      <c r="PEP116" s="73"/>
      <c r="PEQ116" s="73"/>
      <c r="PER116" s="73"/>
      <c r="PES116" s="73"/>
      <c r="PET116" s="73"/>
      <c r="PEU116" s="73"/>
      <c r="PEV116" s="73"/>
      <c r="PEW116" s="73"/>
      <c r="PEX116" s="73"/>
      <c r="PEY116" s="73"/>
      <c r="PEZ116" s="73"/>
      <c r="PFA116" s="73"/>
      <c r="PFB116" s="73"/>
      <c r="PFC116" s="73"/>
      <c r="PFD116" s="73"/>
      <c r="PFE116" s="73"/>
      <c r="PFF116" s="73"/>
      <c r="PFG116" s="73"/>
      <c r="PFH116" s="73"/>
      <c r="PFI116" s="73"/>
      <c r="PFJ116" s="73"/>
      <c r="PFK116" s="73"/>
      <c r="PFL116" s="73"/>
      <c r="PFM116" s="73"/>
      <c r="PFN116" s="73"/>
      <c r="PFO116" s="73"/>
      <c r="PFP116" s="73"/>
      <c r="PFQ116" s="73"/>
      <c r="PFR116" s="73"/>
      <c r="PFS116" s="73"/>
      <c r="PFT116" s="73"/>
      <c r="PFU116" s="73"/>
      <c r="PFV116" s="73"/>
      <c r="PFW116" s="73"/>
      <c r="PFX116" s="73"/>
      <c r="PFY116" s="73"/>
      <c r="PFZ116" s="73"/>
      <c r="PGA116" s="73"/>
      <c r="PGB116" s="73"/>
      <c r="PGC116" s="73"/>
      <c r="PGD116" s="73"/>
      <c r="PGE116" s="73"/>
      <c r="PGF116" s="73"/>
      <c r="PGG116" s="73"/>
      <c r="PGH116" s="73"/>
      <c r="PGI116" s="73"/>
      <c r="PGJ116" s="73"/>
      <c r="PGK116" s="73"/>
      <c r="PGL116" s="73"/>
      <c r="PGM116" s="73"/>
      <c r="PGN116" s="73"/>
      <c r="PGO116" s="73"/>
      <c r="PGP116" s="73"/>
      <c r="PGQ116" s="73"/>
      <c r="PGR116" s="73"/>
      <c r="PGS116" s="73"/>
      <c r="PGT116" s="73"/>
      <c r="PGU116" s="73"/>
      <c r="PGV116" s="73"/>
      <c r="PGW116" s="73"/>
      <c r="PGX116" s="73"/>
      <c r="PGY116" s="73"/>
      <c r="PGZ116" s="73"/>
      <c r="PHA116" s="73"/>
      <c r="PHB116" s="73"/>
      <c r="PHC116" s="73"/>
      <c r="PHD116" s="73"/>
      <c r="PHE116" s="73"/>
      <c r="PHF116" s="73"/>
      <c r="PHG116" s="73"/>
      <c r="PHH116" s="73"/>
      <c r="PHI116" s="73"/>
      <c r="PHJ116" s="73"/>
      <c r="PHK116" s="73"/>
      <c r="PHL116" s="73"/>
      <c r="PHM116" s="73"/>
      <c r="PHN116" s="73"/>
      <c r="PHO116" s="73"/>
      <c r="PHP116" s="73"/>
      <c r="PHQ116" s="73"/>
      <c r="PHR116" s="73"/>
      <c r="PHS116" s="73"/>
      <c r="PHT116" s="73"/>
      <c r="PHU116" s="73"/>
      <c r="PHV116" s="73"/>
      <c r="PHW116" s="73"/>
      <c r="PHX116" s="73"/>
      <c r="PHY116" s="73"/>
      <c r="PHZ116" s="73"/>
      <c r="PIA116" s="73"/>
      <c r="PIB116" s="73"/>
      <c r="PIC116" s="73"/>
      <c r="PID116" s="73"/>
      <c r="PIE116" s="73"/>
      <c r="PIF116" s="73"/>
      <c r="PIG116" s="73"/>
      <c r="PIH116" s="73"/>
      <c r="PII116" s="73"/>
      <c r="PIJ116" s="73"/>
      <c r="PIK116" s="73"/>
      <c r="PIL116" s="73"/>
      <c r="PIM116" s="73"/>
      <c r="PIN116" s="73"/>
      <c r="PIO116" s="73"/>
      <c r="PIP116" s="73"/>
      <c r="PIQ116" s="73"/>
      <c r="PIR116" s="73"/>
      <c r="PIS116" s="73"/>
      <c r="PIT116" s="73"/>
      <c r="PIU116" s="73"/>
      <c r="PIV116" s="73"/>
      <c r="PIW116" s="73"/>
      <c r="PIX116" s="73"/>
      <c r="PIY116" s="73"/>
      <c r="PIZ116" s="73"/>
      <c r="PJA116" s="73"/>
      <c r="PJB116" s="73"/>
      <c r="PJC116" s="73"/>
      <c r="PJD116" s="73"/>
      <c r="PJE116" s="73"/>
      <c r="PJF116" s="73"/>
      <c r="PJG116" s="73"/>
      <c r="PJH116" s="73"/>
      <c r="PJI116" s="73"/>
      <c r="PJJ116" s="73"/>
      <c r="PJK116" s="73"/>
      <c r="PJL116" s="73"/>
      <c r="PJM116" s="73"/>
      <c r="PJN116" s="73"/>
      <c r="PJO116" s="73"/>
      <c r="PJP116" s="73"/>
      <c r="PJQ116" s="73"/>
      <c r="PJR116" s="73"/>
      <c r="PJS116" s="73"/>
      <c r="PJT116" s="73"/>
      <c r="PJU116" s="73"/>
      <c r="PJV116" s="73"/>
      <c r="PJW116" s="73"/>
      <c r="PJX116" s="73"/>
      <c r="PJY116" s="73"/>
      <c r="PJZ116" s="73"/>
      <c r="PKA116" s="73"/>
      <c r="PKB116" s="73"/>
      <c r="PKC116" s="73"/>
      <c r="PKD116" s="73"/>
      <c r="PKE116" s="73"/>
      <c r="PKF116" s="73"/>
      <c r="PKG116" s="73"/>
      <c r="PKH116" s="73"/>
      <c r="PKI116" s="73"/>
      <c r="PKJ116" s="73"/>
      <c r="PKK116" s="73"/>
      <c r="PKL116" s="73"/>
      <c r="PKM116" s="73"/>
      <c r="PKN116" s="73"/>
      <c r="PKO116" s="73"/>
      <c r="PKP116" s="73"/>
      <c r="PKQ116" s="73"/>
      <c r="PKR116" s="73"/>
      <c r="PKS116" s="73"/>
      <c r="PKT116" s="73"/>
      <c r="PKU116" s="73"/>
      <c r="PKV116" s="73"/>
      <c r="PKW116" s="73"/>
      <c r="PKX116" s="73"/>
      <c r="PKY116" s="73"/>
      <c r="PKZ116" s="73"/>
      <c r="PLA116" s="73"/>
      <c r="PLB116" s="73"/>
      <c r="PLC116" s="73"/>
      <c r="PLD116" s="73"/>
      <c r="PLE116" s="73"/>
      <c r="PLF116" s="73"/>
      <c r="PLG116" s="73"/>
      <c r="PLH116" s="73"/>
      <c r="PLI116" s="73"/>
      <c r="PLJ116" s="73"/>
      <c r="PLK116" s="73"/>
      <c r="PLL116" s="73"/>
      <c r="PLM116" s="73"/>
      <c r="PLN116" s="73"/>
      <c r="PLO116" s="73"/>
      <c r="PLP116" s="73"/>
      <c r="PLQ116" s="73"/>
      <c r="PLR116" s="73"/>
      <c r="PLS116" s="73"/>
      <c r="PLT116" s="73"/>
      <c r="PLU116" s="73"/>
      <c r="PLV116" s="73"/>
      <c r="PLW116" s="73"/>
      <c r="PLX116" s="73"/>
      <c r="PLY116" s="73"/>
      <c r="PLZ116" s="73"/>
      <c r="PMA116" s="73"/>
      <c r="PMB116" s="73"/>
      <c r="PMC116" s="73"/>
      <c r="PMD116" s="73"/>
      <c r="PME116" s="73"/>
      <c r="PMF116" s="73"/>
      <c r="PMG116" s="73"/>
      <c r="PMH116" s="73"/>
      <c r="PMI116" s="73"/>
      <c r="PMJ116" s="73"/>
      <c r="PMK116" s="73"/>
      <c r="PML116" s="73"/>
      <c r="PMM116" s="73"/>
      <c r="PMN116" s="73"/>
      <c r="PMO116" s="73"/>
      <c r="PMP116" s="73"/>
      <c r="PMQ116" s="73"/>
      <c r="PMR116" s="73"/>
      <c r="PMS116" s="73"/>
      <c r="PMT116" s="73"/>
      <c r="PMU116" s="73"/>
      <c r="PMV116" s="73"/>
      <c r="PMW116" s="73"/>
      <c r="PMX116" s="73"/>
      <c r="PMY116" s="73"/>
      <c r="PMZ116" s="73"/>
      <c r="PNA116" s="73"/>
      <c r="PNB116" s="73"/>
      <c r="PNC116" s="73"/>
      <c r="PND116" s="73"/>
      <c r="PNE116" s="73"/>
      <c r="PNF116" s="73"/>
      <c r="PNG116" s="73"/>
      <c r="PNH116" s="73"/>
      <c r="PNI116" s="73"/>
      <c r="PNJ116" s="73"/>
      <c r="PNK116" s="73"/>
      <c r="PNL116" s="73"/>
      <c r="PNM116" s="73"/>
      <c r="PNN116" s="73"/>
      <c r="PNO116" s="73"/>
      <c r="PNP116" s="73"/>
      <c r="PNQ116" s="73"/>
      <c r="PNR116" s="73"/>
      <c r="PNS116" s="73"/>
      <c r="PNT116" s="73"/>
      <c r="PNU116" s="73"/>
      <c r="PNV116" s="73"/>
      <c r="PNW116" s="73"/>
      <c r="PNX116" s="73"/>
      <c r="PNY116" s="73"/>
      <c r="PNZ116" s="73"/>
      <c r="POA116" s="73"/>
      <c r="POB116" s="73"/>
      <c r="POC116" s="73"/>
      <c r="POD116" s="73"/>
      <c r="POE116" s="73"/>
      <c r="POF116" s="73"/>
      <c r="POG116" s="73"/>
      <c r="POH116" s="73"/>
      <c r="POI116" s="73"/>
      <c r="POJ116" s="73"/>
      <c r="POK116" s="73"/>
      <c r="POL116" s="73"/>
      <c r="POM116" s="73"/>
      <c r="PON116" s="73"/>
      <c r="POO116" s="73"/>
      <c r="POP116" s="73"/>
      <c r="POQ116" s="73"/>
      <c r="POR116" s="73"/>
      <c r="POS116" s="73"/>
      <c r="POT116" s="73"/>
      <c r="POU116" s="73"/>
      <c r="POV116" s="73"/>
      <c r="POW116" s="73"/>
      <c r="POX116" s="73"/>
      <c r="POY116" s="73"/>
      <c r="POZ116" s="73"/>
      <c r="PPA116" s="73"/>
      <c r="PPB116" s="73"/>
      <c r="PPC116" s="73"/>
      <c r="PPD116" s="73"/>
      <c r="PPE116" s="73"/>
      <c r="PPF116" s="73"/>
      <c r="PPG116" s="73"/>
      <c r="PPH116" s="73"/>
      <c r="PPI116" s="73"/>
      <c r="PPJ116" s="73"/>
      <c r="PPK116" s="73"/>
      <c r="PPL116" s="73"/>
      <c r="PPM116" s="73"/>
      <c r="PPN116" s="73"/>
      <c r="PPO116" s="73"/>
      <c r="PPP116" s="73"/>
      <c r="PPQ116" s="73"/>
      <c r="PPR116" s="73"/>
      <c r="PPS116" s="73"/>
      <c r="PPT116" s="73"/>
      <c r="PPU116" s="73"/>
      <c r="PPV116" s="73"/>
      <c r="PPW116" s="73"/>
      <c r="PPX116" s="73"/>
      <c r="PPY116" s="73"/>
      <c r="PPZ116" s="73"/>
      <c r="PQA116" s="73"/>
      <c r="PQB116" s="73"/>
      <c r="PQC116" s="73"/>
      <c r="PQD116" s="73"/>
      <c r="PQE116" s="73"/>
      <c r="PQF116" s="73"/>
      <c r="PQG116" s="73"/>
      <c r="PQH116" s="73"/>
      <c r="PQI116" s="73"/>
      <c r="PQJ116" s="73"/>
      <c r="PQK116" s="73"/>
      <c r="PQL116" s="73"/>
      <c r="PQM116" s="73"/>
      <c r="PQN116" s="73"/>
      <c r="PQO116" s="73"/>
      <c r="PQP116" s="73"/>
      <c r="PQQ116" s="73"/>
      <c r="PQR116" s="73"/>
      <c r="PQS116" s="73"/>
      <c r="PQT116" s="73"/>
      <c r="PQU116" s="73"/>
      <c r="PQV116" s="73"/>
      <c r="PQW116" s="73"/>
      <c r="PQX116" s="73"/>
      <c r="PQY116" s="73"/>
      <c r="PQZ116" s="73"/>
      <c r="PRA116" s="73"/>
      <c r="PRB116" s="73"/>
      <c r="PRC116" s="73"/>
      <c r="PRD116" s="73"/>
      <c r="PRE116" s="73"/>
      <c r="PRF116" s="73"/>
      <c r="PRG116" s="73"/>
      <c r="PRH116" s="73"/>
      <c r="PRI116" s="73"/>
      <c r="PRJ116" s="73"/>
      <c r="PRK116" s="73"/>
      <c r="PRL116" s="73"/>
      <c r="PRM116" s="73"/>
      <c r="PRN116" s="73"/>
      <c r="PRO116" s="73"/>
      <c r="PRP116" s="73"/>
      <c r="PRQ116" s="73"/>
      <c r="PRR116" s="73"/>
      <c r="PRS116" s="73"/>
      <c r="PRT116" s="73"/>
      <c r="PRU116" s="73"/>
      <c r="PRV116" s="73"/>
      <c r="PRW116" s="73"/>
      <c r="PRX116" s="73"/>
      <c r="PRY116" s="73"/>
      <c r="PRZ116" s="73"/>
      <c r="PSA116" s="73"/>
      <c r="PSB116" s="73"/>
      <c r="PSC116" s="73"/>
      <c r="PSD116" s="73"/>
      <c r="PSE116" s="73"/>
      <c r="PSF116" s="73"/>
      <c r="PSG116" s="73"/>
      <c r="PSH116" s="73"/>
      <c r="PSI116" s="73"/>
      <c r="PSJ116" s="73"/>
      <c r="PSK116" s="73"/>
      <c r="PSL116" s="73"/>
      <c r="PSM116" s="73"/>
      <c r="PSN116" s="73"/>
      <c r="PSO116" s="73"/>
      <c r="PSP116" s="73"/>
      <c r="PSQ116" s="73"/>
      <c r="PSR116" s="73"/>
      <c r="PSS116" s="73"/>
      <c r="PST116" s="73"/>
      <c r="PSU116" s="73"/>
      <c r="PSV116" s="73"/>
      <c r="PSW116" s="73"/>
      <c r="PSX116" s="73"/>
      <c r="PSY116" s="73"/>
      <c r="PSZ116" s="73"/>
      <c r="PTA116" s="73"/>
      <c r="PTB116" s="73"/>
      <c r="PTC116" s="73"/>
      <c r="PTD116" s="73"/>
      <c r="PTE116" s="73"/>
      <c r="PTF116" s="73"/>
      <c r="PTG116" s="73"/>
      <c r="PTH116" s="73"/>
      <c r="PTI116" s="73"/>
      <c r="PTJ116" s="73"/>
      <c r="PTK116" s="73"/>
      <c r="PTL116" s="73"/>
      <c r="PTM116" s="73"/>
      <c r="PTN116" s="73"/>
      <c r="PTO116" s="73"/>
      <c r="PTP116" s="73"/>
      <c r="PTQ116" s="73"/>
      <c r="PTR116" s="73"/>
      <c r="PTS116" s="73"/>
      <c r="PTT116" s="73"/>
      <c r="PTU116" s="73"/>
      <c r="PTV116" s="73"/>
      <c r="PTW116" s="73"/>
      <c r="PTX116" s="73"/>
      <c r="PTY116" s="73"/>
      <c r="PTZ116" s="73"/>
      <c r="PUA116" s="73"/>
      <c r="PUB116" s="73"/>
      <c r="PUC116" s="73"/>
      <c r="PUD116" s="73"/>
      <c r="PUE116" s="73"/>
      <c r="PUF116" s="73"/>
      <c r="PUG116" s="73"/>
      <c r="PUH116" s="73"/>
      <c r="PUI116" s="73"/>
      <c r="PUJ116" s="73"/>
      <c r="PUK116" s="73"/>
      <c r="PUL116" s="73"/>
      <c r="PUM116" s="73"/>
      <c r="PUN116" s="73"/>
      <c r="PUO116" s="73"/>
      <c r="PUP116" s="73"/>
      <c r="PUQ116" s="73"/>
      <c r="PUR116" s="73"/>
      <c r="PUS116" s="73"/>
      <c r="PUT116" s="73"/>
      <c r="PUU116" s="73"/>
      <c r="PUV116" s="73"/>
      <c r="PUW116" s="73"/>
      <c r="PUX116" s="73"/>
      <c r="PUY116" s="73"/>
      <c r="PUZ116" s="73"/>
      <c r="PVA116" s="73"/>
      <c r="PVB116" s="73"/>
      <c r="PVC116" s="73"/>
      <c r="PVD116" s="73"/>
      <c r="PVE116" s="73"/>
      <c r="PVF116" s="73"/>
      <c r="PVG116" s="73"/>
      <c r="PVH116" s="73"/>
      <c r="PVI116" s="73"/>
      <c r="PVJ116" s="73"/>
      <c r="PVK116" s="73"/>
      <c r="PVL116" s="73"/>
      <c r="PVM116" s="73"/>
      <c r="PVN116" s="73"/>
      <c r="PVO116" s="73"/>
      <c r="PVP116" s="73"/>
      <c r="PVQ116" s="73"/>
      <c r="PVR116" s="73"/>
      <c r="PVS116" s="73"/>
      <c r="PVT116" s="73"/>
      <c r="PVU116" s="73"/>
      <c r="PVV116" s="73"/>
      <c r="PVW116" s="73"/>
      <c r="PVX116" s="73"/>
      <c r="PVY116" s="73"/>
      <c r="PVZ116" s="73"/>
      <c r="PWA116" s="73"/>
      <c r="PWB116" s="73"/>
      <c r="PWC116" s="73"/>
      <c r="PWD116" s="73"/>
      <c r="PWE116" s="73"/>
      <c r="PWF116" s="73"/>
      <c r="PWG116" s="73"/>
      <c r="PWH116" s="73"/>
      <c r="PWI116" s="73"/>
      <c r="PWJ116" s="73"/>
      <c r="PWK116" s="73"/>
      <c r="PWL116" s="73"/>
      <c r="PWM116" s="73"/>
      <c r="PWN116" s="73"/>
      <c r="PWO116" s="73"/>
      <c r="PWP116" s="73"/>
      <c r="PWQ116" s="73"/>
      <c r="PWR116" s="73"/>
      <c r="PWS116" s="73"/>
      <c r="PWT116" s="73"/>
      <c r="PWU116" s="73"/>
      <c r="PWV116" s="73"/>
      <c r="PWW116" s="73"/>
      <c r="PWX116" s="73"/>
      <c r="PWY116" s="73"/>
      <c r="PWZ116" s="73"/>
      <c r="PXA116" s="73"/>
      <c r="PXB116" s="73"/>
      <c r="PXC116" s="73"/>
      <c r="PXD116" s="73"/>
      <c r="PXE116" s="73"/>
      <c r="PXF116" s="73"/>
      <c r="PXG116" s="73"/>
      <c r="PXH116" s="73"/>
      <c r="PXI116" s="73"/>
      <c r="PXJ116" s="73"/>
      <c r="PXK116" s="73"/>
      <c r="PXL116" s="73"/>
      <c r="PXM116" s="73"/>
      <c r="PXN116" s="73"/>
      <c r="PXO116" s="73"/>
      <c r="PXP116" s="73"/>
      <c r="PXQ116" s="73"/>
      <c r="PXR116" s="73"/>
      <c r="PXS116" s="73"/>
      <c r="PXT116" s="73"/>
      <c r="PXU116" s="73"/>
      <c r="PXV116" s="73"/>
      <c r="PXW116" s="73"/>
      <c r="PXX116" s="73"/>
      <c r="PXY116" s="73"/>
      <c r="PXZ116" s="73"/>
      <c r="PYA116" s="73"/>
      <c r="PYB116" s="73"/>
      <c r="PYC116" s="73"/>
      <c r="PYD116" s="73"/>
      <c r="PYE116" s="73"/>
      <c r="PYF116" s="73"/>
      <c r="PYG116" s="73"/>
      <c r="PYH116" s="73"/>
      <c r="PYI116" s="73"/>
      <c r="PYJ116" s="73"/>
      <c r="PYK116" s="73"/>
      <c r="PYL116" s="73"/>
      <c r="PYM116" s="73"/>
      <c r="PYN116" s="73"/>
      <c r="PYO116" s="73"/>
      <c r="PYP116" s="73"/>
      <c r="PYQ116" s="73"/>
      <c r="PYR116" s="73"/>
      <c r="PYS116" s="73"/>
      <c r="PYT116" s="73"/>
      <c r="PYU116" s="73"/>
      <c r="PYV116" s="73"/>
      <c r="PYW116" s="73"/>
      <c r="PYX116" s="73"/>
      <c r="PYY116" s="73"/>
      <c r="PYZ116" s="73"/>
      <c r="PZA116" s="73"/>
      <c r="PZB116" s="73"/>
      <c r="PZC116" s="73"/>
      <c r="PZD116" s="73"/>
      <c r="PZE116" s="73"/>
      <c r="PZF116" s="73"/>
      <c r="PZG116" s="73"/>
      <c r="PZH116" s="73"/>
      <c r="PZI116" s="73"/>
      <c r="PZJ116" s="73"/>
      <c r="PZK116" s="73"/>
      <c r="PZL116" s="73"/>
      <c r="PZM116" s="73"/>
      <c r="PZN116" s="73"/>
      <c r="PZO116" s="73"/>
      <c r="PZP116" s="73"/>
      <c r="PZQ116" s="73"/>
      <c r="PZR116" s="73"/>
      <c r="PZS116" s="73"/>
      <c r="PZT116" s="73"/>
      <c r="PZU116" s="73"/>
      <c r="PZV116" s="73"/>
      <c r="PZW116" s="73"/>
      <c r="PZX116" s="73"/>
      <c r="PZY116" s="73"/>
      <c r="PZZ116" s="73"/>
      <c r="QAA116" s="73"/>
      <c r="QAB116" s="73"/>
      <c r="QAC116" s="73"/>
      <c r="QAD116" s="73"/>
      <c r="QAE116" s="73"/>
      <c r="QAF116" s="73"/>
      <c r="QAG116" s="73"/>
      <c r="QAH116" s="73"/>
      <c r="QAI116" s="73"/>
      <c r="QAJ116" s="73"/>
      <c r="QAK116" s="73"/>
      <c r="QAL116" s="73"/>
      <c r="QAM116" s="73"/>
      <c r="QAN116" s="73"/>
      <c r="QAO116" s="73"/>
      <c r="QAP116" s="73"/>
      <c r="QAQ116" s="73"/>
      <c r="QAR116" s="73"/>
      <c r="QAS116" s="73"/>
      <c r="QAT116" s="73"/>
      <c r="QAU116" s="73"/>
      <c r="QAV116" s="73"/>
      <c r="QAW116" s="73"/>
      <c r="QAX116" s="73"/>
      <c r="QAY116" s="73"/>
      <c r="QAZ116" s="73"/>
      <c r="QBA116" s="73"/>
      <c r="QBB116" s="73"/>
      <c r="QBC116" s="73"/>
      <c r="QBD116" s="73"/>
      <c r="QBE116" s="73"/>
      <c r="QBF116" s="73"/>
      <c r="QBG116" s="73"/>
      <c r="QBH116" s="73"/>
      <c r="QBI116" s="73"/>
      <c r="QBJ116" s="73"/>
      <c r="QBK116" s="73"/>
      <c r="QBL116" s="73"/>
      <c r="QBM116" s="73"/>
      <c r="QBN116" s="73"/>
      <c r="QBO116" s="73"/>
      <c r="QBP116" s="73"/>
      <c r="QBQ116" s="73"/>
      <c r="QBR116" s="73"/>
      <c r="QBS116" s="73"/>
      <c r="QBT116" s="73"/>
      <c r="QBU116" s="73"/>
      <c r="QBV116" s="73"/>
      <c r="QBW116" s="73"/>
      <c r="QBX116" s="73"/>
      <c r="QBY116" s="73"/>
      <c r="QBZ116" s="73"/>
      <c r="QCA116" s="73"/>
      <c r="QCB116" s="73"/>
      <c r="QCC116" s="73"/>
      <c r="QCD116" s="73"/>
      <c r="QCE116" s="73"/>
      <c r="QCF116" s="73"/>
      <c r="QCG116" s="73"/>
      <c r="QCH116" s="73"/>
      <c r="QCI116" s="73"/>
      <c r="QCJ116" s="73"/>
      <c r="QCK116" s="73"/>
      <c r="QCL116" s="73"/>
      <c r="QCM116" s="73"/>
      <c r="QCN116" s="73"/>
      <c r="QCO116" s="73"/>
      <c r="QCP116" s="73"/>
      <c r="QCQ116" s="73"/>
      <c r="QCR116" s="73"/>
      <c r="QCS116" s="73"/>
      <c r="QCT116" s="73"/>
      <c r="QCU116" s="73"/>
      <c r="QCV116" s="73"/>
      <c r="QCW116" s="73"/>
      <c r="QCX116" s="73"/>
      <c r="QCY116" s="73"/>
      <c r="QCZ116" s="73"/>
      <c r="QDA116" s="73"/>
      <c r="QDB116" s="73"/>
      <c r="QDC116" s="73"/>
      <c r="QDD116" s="73"/>
      <c r="QDE116" s="73"/>
      <c r="QDF116" s="73"/>
      <c r="QDG116" s="73"/>
      <c r="QDH116" s="73"/>
      <c r="QDI116" s="73"/>
      <c r="QDJ116" s="73"/>
      <c r="QDK116" s="73"/>
      <c r="QDL116" s="73"/>
      <c r="QDM116" s="73"/>
      <c r="QDN116" s="73"/>
      <c r="QDO116" s="73"/>
      <c r="QDP116" s="73"/>
      <c r="QDQ116" s="73"/>
      <c r="QDR116" s="73"/>
      <c r="QDS116" s="73"/>
      <c r="QDT116" s="73"/>
      <c r="QDU116" s="73"/>
      <c r="QDV116" s="73"/>
      <c r="QDW116" s="73"/>
      <c r="QDX116" s="73"/>
      <c r="QDY116" s="73"/>
      <c r="QDZ116" s="73"/>
      <c r="QEA116" s="73"/>
      <c r="QEB116" s="73"/>
      <c r="QEC116" s="73"/>
      <c r="QED116" s="73"/>
      <c r="QEE116" s="73"/>
      <c r="QEF116" s="73"/>
      <c r="QEG116" s="73"/>
      <c r="QEH116" s="73"/>
      <c r="QEI116" s="73"/>
      <c r="QEJ116" s="73"/>
      <c r="QEK116" s="73"/>
      <c r="QEL116" s="73"/>
      <c r="QEM116" s="73"/>
      <c r="QEN116" s="73"/>
      <c r="QEO116" s="73"/>
      <c r="QEP116" s="73"/>
      <c r="QEQ116" s="73"/>
      <c r="QER116" s="73"/>
      <c r="QES116" s="73"/>
      <c r="QET116" s="73"/>
      <c r="QEU116" s="73"/>
      <c r="QEV116" s="73"/>
      <c r="QEW116" s="73"/>
      <c r="QEX116" s="73"/>
      <c r="QEY116" s="73"/>
      <c r="QEZ116" s="73"/>
      <c r="QFA116" s="73"/>
      <c r="QFB116" s="73"/>
      <c r="QFC116" s="73"/>
      <c r="QFD116" s="73"/>
      <c r="QFE116" s="73"/>
      <c r="QFF116" s="73"/>
      <c r="QFG116" s="73"/>
      <c r="QFH116" s="73"/>
      <c r="QFI116" s="73"/>
      <c r="QFJ116" s="73"/>
      <c r="QFK116" s="73"/>
      <c r="QFL116" s="73"/>
      <c r="QFM116" s="73"/>
      <c r="QFN116" s="73"/>
      <c r="QFO116" s="73"/>
      <c r="QFP116" s="73"/>
      <c r="QFQ116" s="73"/>
      <c r="QFR116" s="73"/>
      <c r="QFS116" s="73"/>
      <c r="QFT116" s="73"/>
      <c r="QFU116" s="73"/>
      <c r="QFV116" s="73"/>
      <c r="QFW116" s="73"/>
      <c r="QFX116" s="73"/>
      <c r="QFY116" s="73"/>
      <c r="QFZ116" s="73"/>
      <c r="QGA116" s="73"/>
      <c r="QGB116" s="73"/>
      <c r="QGC116" s="73"/>
      <c r="QGD116" s="73"/>
      <c r="QGE116" s="73"/>
      <c r="QGF116" s="73"/>
      <c r="QGG116" s="73"/>
      <c r="QGH116" s="73"/>
      <c r="QGI116" s="73"/>
      <c r="QGJ116" s="73"/>
      <c r="QGK116" s="73"/>
      <c r="QGL116" s="73"/>
      <c r="QGM116" s="73"/>
      <c r="QGN116" s="73"/>
      <c r="QGO116" s="73"/>
      <c r="QGP116" s="73"/>
      <c r="QGQ116" s="73"/>
      <c r="QGR116" s="73"/>
      <c r="QGS116" s="73"/>
      <c r="QGT116" s="73"/>
      <c r="QGU116" s="73"/>
      <c r="QGV116" s="73"/>
      <c r="QGW116" s="73"/>
      <c r="QGX116" s="73"/>
      <c r="QGY116" s="73"/>
      <c r="QGZ116" s="73"/>
      <c r="QHA116" s="73"/>
      <c r="QHB116" s="73"/>
      <c r="QHC116" s="73"/>
      <c r="QHD116" s="73"/>
      <c r="QHE116" s="73"/>
      <c r="QHF116" s="73"/>
      <c r="QHG116" s="73"/>
      <c r="QHH116" s="73"/>
      <c r="QHI116" s="73"/>
      <c r="QHJ116" s="73"/>
      <c r="QHK116" s="73"/>
      <c r="QHL116" s="73"/>
      <c r="QHM116" s="73"/>
      <c r="QHN116" s="73"/>
      <c r="QHO116" s="73"/>
      <c r="QHP116" s="73"/>
      <c r="QHQ116" s="73"/>
      <c r="QHR116" s="73"/>
      <c r="QHS116" s="73"/>
      <c r="QHT116" s="73"/>
      <c r="QHU116" s="73"/>
      <c r="QHV116" s="73"/>
      <c r="QHW116" s="73"/>
      <c r="QHX116" s="73"/>
      <c r="QHY116" s="73"/>
      <c r="QHZ116" s="73"/>
      <c r="QIA116" s="73"/>
      <c r="QIB116" s="73"/>
      <c r="QIC116" s="73"/>
      <c r="QID116" s="73"/>
      <c r="QIE116" s="73"/>
      <c r="QIF116" s="73"/>
      <c r="QIG116" s="73"/>
      <c r="QIH116" s="73"/>
      <c r="QII116" s="73"/>
      <c r="QIJ116" s="73"/>
      <c r="QIK116" s="73"/>
      <c r="QIL116" s="73"/>
      <c r="QIM116" s="73"/>
      <c r="QIN116" s="73"/>
      <c r="QIO116" s="73"/>
      <c r="QIP116" s="73"/>
      <c r="QIQ116" s="73"/>
      <c r="QIR116" s="73"/>
      <c r="QIS116" s="73"/>
      <c r="QIT116" s="73"/>
      <c r="QIU116" s="73"/>
      <c r="QIV116" s="73"/>
      <c r="QIW116" s="73"/>
      <c r="QIX116" s="73"/>
      <c r="QIY116" s="73"/>
      <c r="QIZ116" s="73"/>
      <c r="QJA116" s="73"/>
      <c r="QJB116" s="73"/>
      <c r="QJC116" s="73"/>
      <c r="QJD116" s="73"/>
      <c r="QJE116" s="73"/>
      <c r="QJF116" s="73"/>
      <c r="QJG116" s="73"/>
      <c r="QJH116" s="73"/>
      <c r="QJI116" s="73"/>
      <c r="QJJ116" s="73"/>
      <c r="QJK116" s="73"/>
      <c r="QJL116" s="73"/>
      <c r="QJM116" s="73"/>
      <c r="QJN116" s="73"/>
      <c r="QJO116" s="73"/>
      <c r="QJP116" s="73"/>
      <c r="QJQ116" s="73"/>
      <c r="QJR116" s="73"/>
      <c r="QJS116" s="73"/>
      <c r="QJT116" s="73"/>
      <c r="QJU116" s="73"/>
      <c r="QJV116" s="73"/>
      <c r="QJW116" s="73"/>
      <c r="QJX116" s="73"/>
      <c r="QJY116" s="73"/>
      <c r="QJZ116" s="73"/>
      <c r="QKA116" s="73"/>
      <c r="QKB116" s="73"/>
      <c r="QKC116" s="73"/>
      <c r="QKD116" s="73"/>
      <c r="QKE116" s="73"/>
      <c r="QKF116" s="73"/>
      <c r="QKG116" s="73"/>
      <c r="QKH116" s="73"/>
      <c r="QKI116" s="73"/>
      <c r="QKJ116" s="73"/>
      <c r="QKK116" s="73"/>
      <c r="QKL116" s="73"/>
      <c r="QKM116" s="73"/>
      <c r="QKN116" s="73"/>
      <c r="QKO116" s="73"/>
      <c r="QKP116" s="73"/>
      <c r="QKQ116" s="73"/>
      <c r="QKR116" s="73"/>
      <c r="QKS116" s="73"/>
      <c r="QKT116" s="73"/>
      <c r="QKU116" s="73"/>
      <c r="QKV116" s="73"/>
      <c r="QKW116" s="73"/>
      <c r="QKX116" s="73"/>
      <c r="QKY116" s="73"/>
      <c r="QKZ116" s="73"/>
      <c r="QLA116" s="73"/>
      <c r="QLB116" s="73"/>
      <c r="QLC116" s="73"/>
      <c r="QLD116" s="73"/>
      <c r="QLE116" s="73"/>
      <c r="QLF116" s="73"/>
      <c r="QLG116" s="73"/>
      <c r="QLH116" s="73"/>
      <c r="QLI116" s="73"/>
      <c r="QLJ116" s="73"/>
      <c r="QLK116" s="73"/>
      <c r="QLL116" s="73"/>
      <c r="QLM116" s="73"/>
      <c r="QLN116" s="73"/>
      <c r="QLO116" s="73"/>
      <c r="QLP116" s="73"/>
      <c r="QLQ116" s="73"/>
      <c r="QLR116" s="73"/>
      <c r="QLS116" s="73"/>
      <c r="QLT116" s="73"/>
      <c r="QLU116" s="73"/>
      <c r="QLV116" s="73"/>
      <c r="QLW116" s="73"/>
      <c r="QLX116" s="73"/>
      <c r="QLY116" s="73"/>
      <c r="QLZ116" s="73"/>
      <c r="QMA116" s="73"/>
      <c r="QMB116" s="73"/>
      <c r="QMC116" s="73"/>
      <c r="QMD116" s="73"/>
      <c r="QME116" s="73"/>
      <c r="QMF116" s="73"/>
      <c r="QMG116" s="73"/>
      <c r="QMH116" s="73"/>
      <c r="QMI116" s="73"/>
      <c r="QMJ116" s="73"/>
      <c r="QMK116" s="73"/>
      <c r="QML116" s="73"/>
      <c r="QMM116" s="73"/>
      <c r="QMN116" s="73"/>
      <c r="QMO116" s="73"/>
      <c r="QMP116" s="73"/>
      <c r="QMQ116" s="73"/>
      <c r="QMR116" s="73"/>
      <c r="QMS116" s="73"/>
      <c r="QMT116" s="73"/>
      <c r="QMU116" s="73"/>
      <c r="QMV116" s="73"/>
      <c r="QMW116" s="73"/>
      <c r="QMX116" s="73"/>
      <c r="QMY116" s="73"/>
      <c r="QMZ116" s="73"/>
      <c r="QNA116" s="73"/>
      <c r="QNB116" s="73"/>
      <c r="QNC116" s="73"/>
      <c r="QND116" s="73"/>
      <c r="QNE116" s="73"/>
      <c r="QNF116" s="73"/>
      <c r="QNG116" s="73"/>
      <c r="QNH116" s="73"/>
      <c r="QNI116" s="73"/>
      <c r="QNJ116" s="73"/>
      <c r="QNK116" s="73"/>
      <c r="QNL116" s="73"/>
      <c r="QNM116" s="73"/>
      <c r="QNN116" s="73"/>
      <c r="QNO116" s="73"/>
      <c r="QNP116" s="73"/>
      <c r="QNQ116" s="73"/>
      <c r="QNR116" s="73"/>
      <c r="QNS116" s="73"/>
      <c r="QNT116" s="73"/>
      <c r="QNU116" s="73"/>
      <c r="QNV116" s="73"/>
      <c r="QNW116" s="73"/>
      <c r="QNX116" s="73"/>
      <c r="QNY116" s="73"/>
      <c r="QNZ116" s="73"/>
      <c r="QOA116" s="73"/>
      <c r="QOB116" s="73"/>
      <c r="QOC116" s="73"/>
      <c r="QOD116" s="73"/>
      <c r="QOE116" s="73"/>
      <c r="QOF116" s="73"/>
      <c r="QOG116" s="73"/>
      <c r="QOH116" s="73"/>
      <c r="QOI116" s="73"/>
      <c r="QOJ116" s="73"/>
      <c r="QOK116" s="73"/>
      <c r="QOL116" s="73"/>
      <c r="QOM116" s="73"/>
      <c r="QON116" s="73"/>
      <c r="QOO116" s="73"/>
      <c r="QOP116" s="73"/>
      <c r="QOQ116" s="73"/>
      <c r="QOR116" s="73"/>
      <c r="QOS116" s="73"/>
      <c r="QOT116" s="73"/>
      <c r="QOU116" s="73"/>
      <c r="QOV116" s="73"/>
      <c r="QOW116" s="73"/>
      <c r="QOX116" s="73"/>
      <c r="QOY116" s="73"/>
      <c r="QOZ116" s="73"/>
      <c r="QPA116" s="73"/>
      <c r="QPB116" s="73"/>
      <c r="QPC116" s="73"/>
      <c r="QPD116" s="73"/>
      <c r="QPE116" s="73"/>
      <c r="QPF116" s="73"/>
      <c r="QPG116" s="73"/>
      <c r="QPH116" s="73"/>
      <c r="QPI116" s="73"/>
      <c r="QPJ116" s="73"/>
      <c r="QPK116" s="73"/>
      <c r="QPL116" s="73"/>
      <c r="QPM116" s="73"/>
      <c r="QPN116" s="73"/>
      <c r="QPO116" s="73"/>
      <c r="QPP116" s="73"/>
      <c r="QPQ116" s="73"/>
      <c r="QPR116" s="73"/>
      <c r="QPS116" s="73"/>
      <c r="QPT116" s="73"/>
      <c r="QPU116" s="73"/>
      <c r="QPV116" s="73"/>
      <c r="QPW116" s="73"/>
      <c r="QPX116" s="73"/>
      <c r="QPY116" s="73"/>
      <c r="QPZ116" s="73"/>
      <c r="QQA116" s="73"/>
      <c r="QQB116" s="73"/>
      <c r="QQC116" s="73"/>
      <c r="QQD116" s="73"/>
      <c r="QQE116" s="73"/>
      <c r="QQF116" s="73"/>
      <c r="QQG116" s="73"/>
      <c r="QQH116" s="73"/>
      <c r="QQI116" s="73"/>
      <c r="QQJ116" s="73"/>
      <c r="QQK116" s="73"/>
      <c r="QQL116" s="73"/>
      <c r="QQM116" s="73"/>
      <c r="QQN116" s="73"/>
      <c r="QQO116" s="73"/>
      <c r="QQP116" s="73"/>
      <c r="QQQ116" s="73"/>
      <c r="QQR116" s="73"/>
      <c r="QQS116" s="73"/>
      <c r="QQT116" s="73"/>
      <c r="QQU116" s="73"/>
      <c r="QQV116" s="73"/>
      <c r="QQW116" s="73"/>
      <c r="QQX116" s="73"/>
      <c r="QQY116" s="73"/>
      <c r="QQZ116" s="73"/>
      <c r="QRA116" s="73"/>
      <c r="QRB116" s="73"/>
      <c r="QRC116" s="73"/>
      <c r="QRD116" s="73"/>
      <c r="QRE116" s="73"/>
      <c r="QRF116" s="73"/>
      <c r="QRG116" s="73"/>
      <c r="QRH116" s="73"/>
      <c r="QRI116" s="73"/>
      <c r="QRJ116" s="73"/>
      <c r="QRK116" s="73"/>
      <c r="QRL116" s="73"/>
      <c r="QRM116" s="73"/>
      <c r="QRN116" s="73"/>
      <c r="QRO116" s="73"/>
      <c r="QRP116" s="73"/>
      <c r="QRQ116" s="73"/>
      <c r="QRR116" s="73"/>
      <c r="QRS116" s="73"/>
      <c r="QRT116" s="73"/>
      <c r="QRU116" s="73"/>
      <c r="QRV116" s="73"/>
      <c r="QRW116" s="73"/>
      <c r="QRX116" s="73"/>
      <c r="QRY116" s="73"/>
      <c r="QRZ116" s="73"/>
      <c r="QSA116" s="73"/>
      <c r="QSB116" s="73"/>
      <c r="QSC116" s="73"/>
      <c r="QSD116" s="73"/>
      <c r="QSE116" s="73"/>
      <c r="QSF116" s="73"/>
      <c r="QSG116" s="73"/>
      <c r="QSH116" s="73"/>
      <c r="QSI116" s="73"/>
      <c r="QSJ116" s="73"/>
      <c r="QSK116" s="73"/>
      <c r="QSL116" s="73"/>
      <c r="QSM116" s="73"/>
      <c r="QSN116" s="73"/>
      <c r="QSO116" s="73"/>
      <c r="QSP116" s="73"/>
      <c r="QSQ116" s="73"/>
      <c r="QSR116" s="73"/>
      <c r="QSS116" s="73"/>
      <c r="QST116" s="73"/>
      <c r="QSU116" s="73"/>
      <c r="QSV116" s="73"/>
      <c r="QSW116" s="73"/>
      <c r="QSX116" s="73"/>
      <c r="QSY116" s="73"/>
      <c r="QSZ116" s="73"/>
      <c r="QTA116" s="73"/>
      <c r="QTB116" s="73"/>
      <c r="QTC116" s="73"/>
      <c r="QTD116" s="73"/>
      <c r="QTE116" s="73"/>
      <c r="QTF116" s="73"/>
      <c r="QTG116" s="73"/>
      <c r="QTH116" s="73"/>
      <c r="QTI116" s="73"/>
      <c r="QTJ116" s="73"/>
      <c r="QTK116" s="73"/>
      <c r="QTL116" s="73"/>
      <c r="QTM116" s="73"/>
      <c r="QTN116" s="73"/>
      <c r="QTO116" s="73"/>
      <c r="QTP116" s="73"/>
      <c r="QTQ116" s="73"/>
      <c r="QTR116" s="73"/>
      <c r="QTS116" s="73"/>
      <c r="QTT116" s="73"/>
      <c r="QTU116" s="73"/>
      <c r="QTV116" s="73"/>
      <c r="QTW116" s="73"/>
      <c r="QTX116" s="73"/>
      <c r="QTY116" s="73"/>
      <c r="QTZ116" s="73"/>
      <c r="QUA116" s="73"/>
      <c r="QUB116" s="73"/>
      <c r="QUC116" s="73"/>
      <c r="QUD116" s="73"/>
      <c r="QUE116" s="73"/>
      <c r="QUF116" s="73"/>
      <c r="QUG116" s="73"/>
      <c r="QUH116" s="73"/>
      <c r="QUI116" s="73"/>
      <c r="QUJ116" s="73"/>
      <c r="QUK116" s="73"/>
      <c r="QUL116" s="73"/>
      <c r="QUM116" s="73"/>
      <c r="QUN116" s="73"/>
      <c r="QUO116" s="73"/>
      <c r="QUP116" s="73"/>
      <c r="QUQ116" s="73"/>
      <c r="QUR116" s="73"/>
      <c r="QUS116" s="73"/>
      <c r="QUT116" s="73"/>
      <c r="QUU116" s="73"/>
      <c r="QUV116" s="73"/>
      <c r="QUW116" s="73"/>
      <c r="QUX116" s="73"/>
      <c r="QUY116" s="73"/>
      <c r="QUZ116" s="73"/>
      <c r="QVA116" s="73"/>
      <c r="QVB116" s="73"/>
      <c r="QVC116" s="73"/>
      <c r="QVD116" s="73"/>
      <c r="QVE116" s="73"/>
      <c r="QVF116" s="73"/>
      <c r="QVG116" s="73"/>
      <c r="QVH116" s="73"/>
      <c r="QVI116" s="73"/>
      <c r="QVJ116" s="73"/>
      <c r="QVK116" s="73"/>
      <c r="QVL116" s="73"/>
      <c r="QVM116" s="73"/>
      <c r="QVN116" s="73"/>
      <c r="QVO116" s="73"/>
      <c r="QVP116" s="73"/>
      <c r="QVQ116" s="73"/>
      <c r="QVR116" s="73"/>
      <c r="QVS116" s="73"/>
      <c r="QVT116" s="73"/>
      <c r="QVU116" s="73"/>
      <c r="QVV116" s="73"/>
      <c r="QVW116" s="73"/>
      <c r="QVX116" s="73"/>
      <c r="QVY116" s="73"/>
      <c r="QVZ116" s="73"/>
      <c r="QWA116" s="73"/>
      <c r="QWB116" s="73"/>
      <c r="QWC116" s="73"/>
      <c r="QWD116" s="73"/>
      <c r="QWE116" s="73"/>
      <c r="QWF116" s="73"/>
      <c r="QWG116" s="73"/>
      <c r="QWH116" s="73"/>
      <c r="QWI116" s="73"/>
      <c r="QWJ116" s="73"/>
      <c r="QWK116" s="73"/>
      <c r="QWL116" s="73"/>
      <c r="QWM116" s="73"/>
      <c r="QWN116" s="73"/>
      <c r="QWO116" s="73"/>
      <c r="QWP116" s="73"/>
      <c r="QWQ116" s="73"/>
      <c r="QWR116" s="73"/>
      <c r="QWS116" s="73"/>
      <c r="QWT116" s="73"/>
      <c r="QWU116" s="73"/>
      <c r="QWV116" s="73"/>
      <c r="QWW116" s="73"/>
      <c r="QWX116" s="73"/>
      <c r="QWY116" s="73"/>
      <c r="QWZ116" s="73"/>
      <c r="QXA116" s="73"/>
      <c r="QXB116" s="73"/>
      <c r="QXC116" s="73"/>
      <c r="QXD116" s="73"/>
      <c r="QXE116" s="73"/>
      <c r="QXF116" s="73"/>
      <c r="QXG116" s="73"/>
      <c r="QXH116" s="73"/>
      <c r="QXI116" s="73"/>
      <c r="QXJ116" s="73"/>
      <c r="QXK116" s="73"/>
      <c r="QXL116" s="73"/>
      <c r="QXM116" s="73"/>
      <c r="QXN116" s="73"/>
      <c r="QXO116" s="73"/>
      <c r="QXP116" s="73"/>
      <c r="QXQ116" s="73"/>
      <c r="QXR116" s="73"/>
      <c r="QXS116" s="73"/>
      <c r="QXT116" s="73"/>
      <c r="QXU116" s="73"/>
      <c r="QXV116" s="73"/>
      <c r="QXW116" s="73"/>
      <c r="QXX116" s="73"/>
      <c r="QXY116" s="73"/>
      <c r="QXZ116" s="73"/>
      <c r="QYA116" s="73"/>
      <c r="QYB116" s="73"/>
      <c r="QYC116" s="73"/>
      <c r="QYD116" s="73"/>
      <c r="QYE116" s="73"/>
      <c r="QYF116" s="73"/>
      <c r="QYG116" s="73"/>
      <c r="QYH116" s="73"/>
      <c r="QYI116" s="73"/>
      <c r="QYJ116" s="73"/>
      <c r="QYK116" s="73"/>
      <c r="QYL116" s="73"/>
      <c r="QYM116" s="73"/>
      <c r="QYN116" s="73"/>
      <c r="QYO116" s="73"/>
      <c r="QYP116" s="73"/>
      <c r="QYQ116" s="73"/>
      <c r="QYR116" s="73"/>
      <c r="QYS116" s="73"/>
      <c r="QYT116" s="73"/>
      <c r="QYU116" s="73"/>
      <c r="QYV116" s="73"/>
      <c r="QYW116" s="73"/>
      <c r="QYX116" s="73"/>
      <c r="QYY116" s="73"/>
      <c r="QYZ116" s="73"/>
      <c r="QZA116" s="73"/>
      <c r="QZB116" s="73"/>
      <c r="QZC116" s="73"/>
      <c r="QZD116" s="73"/>
      <c r="QZE116" s="73"/>
      <c r="QZF116" s="73"/>
      <c r="QZG116" s="73"/>
      <c r="QZH116" s="73"/>
      <c r="QZI116" s="73"/>
      <c r="QZJ116" s="73"/>
      <c r="QZK116" s="73"/>
      <c r="QZL116" s="73"/>
      <c r="QZM116" s="73"/>
      <c r="QZN116" s="73"/>
      <c r="QZO116" s="73"/>
      <c r="QZP116" s="73"/>
      <c r="QZQ116" s="73"/>
      <c r="QZR116" s="73"/>
      <c r="QZS116" s="73"/>
      <c r="QZT116" s="73"/>
      <c r="QZU116" s="73"/>
      <c r="QZV116" s="73"/>
      <c r="QZW116" s="73"/>
      <c r="QZX116" s="73"/>
      <c r="QZY116" s="73"/>
      <c r="QZZ116" s="73"/>
      <c r="RAA116" s="73"/>
      <c r="RAB116" s="73"/>
      <c r="RAC116" s="73"/>
      <c r="RAD116" s="73"/>
      <c r="RAE116" s="73"/>
      <c r="RAF116" s="73"/>
      <c r="RAG116" s="73"/>
      <c r="RAH116" s="73"/>
      <c r="RAI116" s="73"/>
      <c r="RAJ116" s="73"/>
      <c r="RAK116" s="73"/>
      <c r="RAL116" s="73"/>
      <c r="RAM116" s="73"/>
      <c r="RAN116" s="73"/>
      <c r="RAO116" s="73"/>
      <c r="RAP116" s="73"/>
      <c r="RAQ116" s="73"/>
      <c r="RAR116" s="73"/>
      <c r="RAS116" s="73"/>
      <c r="RAT116" s="73"/>
      <c r="RAU116" s="73"/>
      <c r="RAV116" s="73"/>
      <c r="RAW116" s="73"/>
      <c r="RAX116" s="73"/>
      <c r="RAY116" s="73"/>
      <c r="RAZ116" s="73"/>
      <c r="RBA116" s="73"/>
      <c r="RBB116" s="73"/>
      <c r="RBC116" s="73"/>
      <c r="RBD116" s="73"/>
      <c r="RBE116" s="73"/>
      <c r="RBF116" s="73"/>
      <c r="RBG116" s="73"/>
      <c r="RBH116" s="73"/>
      <c r="RBI116" s="73"/>
      <c r="RBJ116" s="73"/>
      <c r="RBK116" s="73"/>
      <c r="RBL116" s="73"/>
      <c r="RBM116" s="73"/>
      <c r="RBN116" s="73"/>
      <c r="RBO116" s="73"/>
      <c r="RBP116" s="73"/>
      <c r="RBQ116" s="73"/>
      <c r="RBR116" s="73"/>
      <c r="RBS116" s="73"/>
      <c r="RBT116" s="73"/>
      <c r="RBU116" s="73"/>
      <c r="RBV116" s="73"/>
      <c r="RBW116" s="73"/>
      <c r="RBX116" s="73"/>
      <c r="RBY116" s="73"/>
      <c r="RBZ116" s="73"/>
      <c r="RCA116" s="73"/>
      <c r="RCB116" s="73"/>
      <c r="RCC116" s="73"/>
      <c r="RCD116" s="73"/>
      <c r="RCE116" s="73"/>
      <c r="RCF116" s="73"/>
      <c r="RCG116" s="73"/>
      <c r="RCH116" s="73"/>
      <c r="RCI116" s="73"/>
      <c r="RCJ116" s="73"/>
      <c r="RCK116" s="73"/>
      <c r="RCL116" s="73"/>
      <c r="RCM116" s="73"/>
      <c r="RCN116" s="73"/>
      <c r="RCO116" s="73"/>
      <c r="RCP116" s="73"/>
      <c r="RCQ116" s="73"/>
      <c r="RCR116" s="73"/>
      <c r="RCS116" s="73"/>
      <c r="RCT116" s="73"/>
      <c r="RCU116" s="73"/>
      <c r="RCV116" s="73"/>
      <c r="RCW116" s="73"/>
      <c r="RCX116" s="73"/>
      <c r="RCY116" s="73"/>
      <c r="RCZ116" s="73"/>
      <c r="RDA116" s="73"/>
      <c r="RDB116" s="73"/>
      <c r="RDC116" s="73"/>
      <c r="RDD116" s="73"/>
      <c r="RDE116" s="73"/>
      <c r="RDF116" s="73"/>
      <c r="RDG116" s="73"/>
      <c r="RDH116" s="73"/>
      <c r="RDI116" s="73"/>
      <c r="RDJ116" s="73"/>
      <c r="RDK116" s="73"/>
      <c r="RDL116" s="73"/>
      <c r="RDM116" s="73"/>
      <c r="RDN116" s="73"/>
      <c r="RDO116" s="73"/>
      <c r="RDP116" s="73"/>
      <c r="RDQ116" s="73"/>
      <c r="RDR116" s="73"/>
      <c r="RDS116" s="73"/>
      <c r="RDT116" s="73"/>
      <c r="RDU116" s="73"/>
      <c r="RDV116" s="73"/>
      <c r="RDW116" s="73"/>
      <c r="RDX116" s="73"/>
      <c r="RDY116" s="73"/>
      <c r="RDZ116" s="73"/>
      <c r="REA116" s="73"/>
      <c r="REB116" s="73"/>
      <c r="REC116" s="73"/>
      <c r="RED116" s="73"/>
      <c r="REE116" s="73"/>
      <c r="REF116" s="73"/>
      <c r="REG116" s="73"/>
      <c r="REH116" s="73"/>
      <c r="REI116" s="73"/>
      <c r="REJ116" s="73"/>
      <c r="REK116" s="73"/>
      <c r="REL116" s="73"/>
      <c r="REM116" s="73"/>
      <c r="REN116" s="73"/>
      <c r="REO116" s="73"/>
      <c r="REP116" s="73"/>
      <c r="REQ116" s="73"/>
      <c r="RER116" s="73"/>
      <c r="RES116" s="73"/>
      <c r="RET116" s="73"/>
      <c r="REU116" s="73"/>
      <c r="REV116" s="73"/>
      <c r="REW116" s="73"/>
      <c r="REX116" s="73"/>
      <c r="REY116" s="73"/>
      <c r="REZ116" s="73"/>
      <c r="RFA116" s="73"/>
      <c r="RFB116" s="73"/>
      <c r="RFC116" s="73"/>
      <c r="RFD116" s="73"/>
      <c r="RFE116" s="73"/>
      <c r="RFF116" s="73"/>
      <c r="RFG116" s="73"/>
      <c r="RFH116" s="73"/>
      <c r="RFI116" s="73"/>
      <c r="RFJ116" s="73"/>
      <c r="RFK116" s="73"/>
      <c r="RFL116" s="73"/>
      <c r="RFM116" s="73"/>
      <c r="RFN116" s="73"/>
      <c r="RFO116" s="73"/>
      <c r="RFP116" s="73"/>
      <c r="RFQ116" s="73"/>
      <c r="RFR116" s="73"/>
      <c r="RFS116" s="73"/>
      <c r="RFT116" s="73"/>
      <c r="RFU116" s="73"/>
      <c r="RFV116" s="73"/>
      <c r="RFW116" s="73"/>
      <c r="RFX116" s="73"/>
      <c r="RFY116" s="73"/>
      <c r="RFZ116" s="73"/>
      <c r="RGA116" s="73"/>
      <c r="RGB116" s="73"/>
      <c r="RGC116" s="73"/>
      <c r="RGD116" s="73"/>
      <c r="RGE116" s="73"/>
      <c r="RGF116" s="73"/>
      <c r="RGG116" s="73"/>
      <c r="RGH116" s="73"/>
      <c r="RGI116" s="73"/>
      <c r="RGJ116" s="73"/>
      <c r="RGK116" s="73"/>
      <c r="RGL116" s="73"/>
      <c r="RGM116" s="73"/>
      <c r="RGN116" s="73"/>
      <c r="RGO116" s="73"/>
      <c r="RGP116" s="73"/>
      <c r="RGQ116" s="73"/>
      <c r="RGR116" s="73"/>
      <c r="RGS116" s="73"/>
      <c r="RGT116" s="73"/>
      <c r="RGU116" s="73"/>
      <c r="RGV116" s="73"/>
      <c r="RGW116" s="73"/>
      <c r="RGX116" s="73"/>
      <c r="RGY116" s="73"/>
      <c r="RGZ116" s="73"/>
      <c r="RHA116" s="73"/>
      <c r="RHB116" s="73"/>
      <c r="RHC116" s="73"/>
      <c r="RHD116" s="73"/>
      <c r="RHE116" s="73"/>
      <c r="RHF116" s="73"/>
      <c r="RHG116" s="73"/>
      <c r="RHH116" s="73"/>
      <c r="RHI116" s="73"/>
      <c r="RHJ116" s="73"/>
      <c r="RHK116" s="73"/>
      <c r="RHL116" s="73"/>
      <c r="RHM116" s="73"/>
      <c r="RHN116" s="73"/>
      <c r="RHO116" s="73"/>
      <c r="RHP116" s="73"/>
      <c r="RHQ116" s="73"/>
      <c r="RHR116" s="73"/>
      <c r="RHS116" s="73"/>
      <c r="RHT116" s="73"/>
      <c r="RHU116" s="73"/>
      <c r="RHV116" s="73"/>
      <c r="RHW116" s="73"/>
      <c r="RHX116" s="73"/>
      <c r="RHY116" s="73"/>
      <c r="RHZ116" s="73"/>
      <c r="RIA116" s="73"/>
      <c r="RIB116" s="73"/>
      <c r="RIC116" s="73"/>
      <c r="RID116" s="73"/>
      <c r="RIE116" s="73"/>
      <c r="RIF116" s="73"/>
      <c r="RIG116" s="73"/>
      <c r="RIH116" s="73"/>
      <c r="RII116" s="73"/>
      <c r="RIJ116" s="73"/>
      <c r="RIK116" s="73"/>
      <c r="RIL116" s="73"/>
      <c r="RIM116" s="73"/>
      <c r="RIN116" s="73"/>
      <c r="RIO116" s="73"/>
      <c r="RIP116" s="73"/>
      <c r="RIQ116" s="73"/>
      <c r="RIR116" s="73"/>
      <c r="RIS116" s="73"/>
      <c r="RIT116" s="73"/>
      <c r="RIU116" s="73"/>
      <c r="RIV116" s="73"/>
      <c r="RIW116" s="73"/>
      <c r="RIX116" s="73"/>
      <c r="RIY116" s="73"/>
      <c r="RIZ116" s="73"/>
      <c r="RJA116" s="73"/>
      <c r="RJB116" s="73"/>
      <c r="RJC116" s="73"/>
      <c r="RJD116" s="73"/>
      <c r="RJE116" s="73"/>
      <c r="RJF116" s="73"/>
      <c r="RJG116" s="73"/>
      <c r="RJH116" s="73"/>
      <c r="RJI116" s="73"/>
      <c r="RJJ116" s="73"/>
      <c r="RJK116" s="73"/>
      <c r="RJL116" s="73"/>
      <c r="RJM116" s="73"/>
      <c r="RJN116" s="73"/>
      <c r="RJO116" s="73"/>
      <c r="RJP116" s="73"/>
      <c r="RJQ116" s="73"/>
      <c r="RJR116" s="73"/>
      <c r="RJS116" s="73"/>
      <c r="RJT116" s="73"/>
      <c r="RJU116" s="73"/>
      <c r="RJV116" s="73"/>
      <c r="RJW116" s="73"/>
      <c r="RJX116" s="73"/>
      <c r="RJY116" s="73"/>
      <c r="RJZ116" s="73"/>
      <c r="RKA116" s="73"/>
      <c r="RKB116" s="73"/>
      <c r="RKC116" s="73"/>
      <c r="RKD116" s="73"/>
      <c r="RKE116" s="73"/>
      <c r="RKF116" s="73"/>
      <c r="RKG116" s="73"/>
      <c r="RKH116" s="73"/>
      <c r="RKI116" s="73"/>
      <c r="RKJ116" s="73"/>
      <c r="RKK116" s="73"/>
      <c r="RKL116" s="73"/>
      <c r="RKM116" s="73"/>
      <c r="RKN116" s="73"/>
      <c r="RKO116" s="73"/>
      <c r="RKP116" s="73"/>
      <c r="RKQ116" s="73"/>
      <c r="RKR116" s="73"/>
      <c r="RKS116" s="73"/>
      <c r="RKT116" s="73"/>
      <c r="RKU116" s="73"/>
      <c r="RKV116" s="73"/>
      <c r="RKW116" s="73"/>
      <c r="RKX116" s="73"/>
      <c r="RKY116" s="73"/>
      <c r="RKZ116" s="73"/>
      <c r="RLA116" s="73"/>
      <c r="RLB116" s="73"/>
      <c r="RLC116" s="73"/>
      <c r="RLD116" s="73"/>
      <c r="RLE116" s="73"/>
      <c r="RLF116" s="73"/>
      <c r="RLG116" s="73"/>
      <c r="RLH116" s="73"/>
      <c r="RLI116" s="73"/>
      <c r="RLJ116" s="73"/>
      <c r="RLK116" s="73"/>
      <c r="RLL116" s="73"/>
      <c r="RLM116" s="73"/>
      <c r="RLN116" s="73"/>
      <c r="RLO116" s="73"/>
      <c r="RLP116" s="73"/>
      <c r="RLQ116" s="73"/>
      <c r="RLR116" s="73"/>
      <c r="RLS116" s="73"/>
      <c r="RLT116" s="73"/>
      <c r="RLU116" s="73"/>
      <c r="RLV116" s="73"/>
      <c r="RLW116" s="73"/>
      <c r="RLX116" s="73"/>
      <c r="RLY116" s="73"/>
      <c r="RLZ116" s="73"/>
      <c r="RMA116" s="73"/>
      <c r="RMB116" s="73"/>
      <c r="RMC116" s="73"/>
      <c r="RMD116" s="73"/>
      <c r="RME116" s="73"/>
      <c r="RMF116" s="73"/>
      <c r="RMG116" s="73"/>
      <c r="RMH116" s="73"/>
      <c r="RMI116" s="73"/>
      <c r="RMJ116" s="73"/>
      <c r="RMK116" s="73"/>
      <c r="RML116" s="73"/>
      <c r="RMM116" s="73"/>
      <c r="RMN116" s="73"/>
      <c r="RMO116" s="73"/>
      <c r="RMP116" s="73"/>
      <c r="RMQ116" s="73"/>
      <c r="RMR116" s="73"/>
      <c r="RMS116" s="73"/>
      <c r="RMT116" s="73"/>
      <c r="RMU116" s="73"/>
      <c r="RMV116" s="73"/>
      <c r="RMW116" s="73"/>
      <c r="RMX116" s="73"/>
      <c r="RMY116" s="73"/>
      <c r="RMZ116" s="73"/>
      <c r="RNA116" s="73"/>
      <c r="RNB116" s="73"/>
      <c r="RNC116" s="73"/>
      <c r="RND116" s="73"/>
      <c r="RNE116" s="73"/>
      <c r="RNF116" s="73"/>
      <c r="RNG116" s="73"/>
      <c r="RNH116" s="73"/>
      <c r="RNI116" s="73"/>
      <c r="RNJ116" s="73"/>
      <c r="RNK116" s="73"/>
      <c r="RNL116" s="73"/>
      <c r="RNM116" s="73"/>
      <c r="RNN116" s="73"/>
      <c r="RNO116" s="73"/>
      <c r="RNP116" s="73"/>
      <c r="RNQ116" s="73"/>
      <c r="RNR116" s="73"/>
      <c r="RNS116" s="73"/>
      <c r="RNT116" s="73"/>
      <c r="RNU116" s="73"/>
      <c r="RNV116" s="73"/>
      <c r="RNW116" s="73"/>
      <c r="RNX116" s="73"/>
      <c r="RNY116" s="73"/>
      <c r="RNZ116" s="73"/>
      <c r="ROA116" s="73"/>
      <c r="ROB116" s="73"/>
      <c r="ROC116" s="73"/>
      <c r="ROD116" s="73"/>
      <c r="ROE116" s="73"/>
      <c r="ROF116" s="73"/>
      <c r="ROG116" s="73"/>
      <c r="ROH116" s="73"/>
      <c r="ROI116" s="73"/>
      <c r="ROJ116" s="73"/>
      <c r="ROK116" s="73"/>
      <c r="ROL116" s="73"/>
      <c r="ROM116" s="73"/>
      <c r="RON116" s="73"/>
      <c r="ROO116" s="73"/>
      <c r="ROP116" s="73"/>
      <c r="ROQ116" s="73"/>
      <c r="ROR116" s="73"/>
      <c r="ROS116" s="73"/>
      <c r="ROT116" s="73"/>
      <c r="ROU116" s="73"/>
      <c r="ROV116" s="73"/>
      <c r="ROW116" s="73"/>
      <c r="ROX116" s="73"/>
      <c r="ROY116" s="73"/>
      <c r="ROZ116" s="73"/>
      <c r="RPA116" s="73"/>
      <c r="RPB116" s="73"/>
      <c r="RPC116" s="73"/>
      <c r="RPD116" s="73"/>
      <c r="RPE116" s="73"/>
      <c r="RPF116" s="73"/>
      <c r="RPG116" s="73"/>
      <c r="RPH116" s="73"/>
      <c r="RPI116" s="73"/>
      <c r="RPJ116" s="73"/>
      <c r="RPK116" s="73"/>
      <c r="RPL116" s="73"/>
      <c r="RPM116" s="73"/>
      <c r="RPN116" s="73"/>
      <c r="RPO116" s="73"/>
      <c r="RPP116" s="73"/>
      <c r="RPQ116" s="73"/>
      <c r="RPR116" s="73"/>
      <c r="RPS116" s="73"/>
      <c r="RPT116" s="73"/>
      <c r="RPU116" s="73"/>
      <c r="RPV116" s="73"/>
      <c r="RPW116" s="73"/>
      <c r="RPX116" s="73"/>
      <c r="RPY116" s="73"/>
      <c r="RPZ116" s="73"/>
      <c r="RQA116" s="73"/>
      <c r="RQB116" s="73"/>
      <c r="RQC116" s="73"/>
      <c r="RQD116" s="73"/>
      <c r="RQE116" s="73"/>
      <c r="RQF116" s="73"/>
      <c r="RQG116" s="73"/>
      <c r="RQH116" s="73"/>
      <c r="RQI116" s="73"/>
      <c r="RQJ116" s="73"/>
      <c r="RQK116" s="73"/>
      <c r="RQL116" s="73"/>
      <c r="RQM116" s="73"/>
      <c r="RQN116" s="73"/>
      <c r="RQO116" s="73"/>
      <c r="RQP116" s="73"/>
      <c r="RQQ116" s="73"/>
      <c r="RQR116" s="73"/>
      <c r="RQS116" s="73"/>
      <c r="RQT116" s="73"/>
      <c r="RQU116" s="73"/>
      <c r="RQV116" s="73"/>
      <c r="RQW116" s="73"/>
      <c r="RQX116" s="73"/>
      <c r="RQY116" s="73"/>
      <c r="RQZ116" s="73"/>
      <c r="RRA116" s="73"/>
      <c r="RRB116" s="73"/>
      <c r="RRC116" s="73"/>
      <c r="RRD116" s="73"/>
      <c r="RRE116" s="73"/>
      <c r="RRF116" s="73"/>
      <c r="RRG116" s="73"/>
      <c r="RRH116" s="73"/>
      <c r="RRI116" s="73"/>
      <c r="RRJ116" s="73"/>
      <c r="RRK116" s="73"/>
      <c r="RRL116" s="73"/>
      <c r="RRM116" s="73"/>
      <c r="RRN116" s="73"/>
      <c r="RRO116" s="73"/>
      <c r="RRP116" s="73"/>
      <c r="RRQ116" s="73"/>
      <c r="RRR116" s="73"/>
      <c r="RRS116" s="73"/>
      <c r="RRT116" s="73"/>
      <c r="RRU116" s="73"/>
      <c r="RRV116" s="73"/>
      <c r="RRW116" s="73"/>
      <c r="RRX116" s="73"/>
      <c r="RRY116" s="73"/>
      <c r="RRZ116" s="73"/>
      <c r="RSA116" s="73"/>
      <c r="RSB116" s="73"/>
      <c r="RSC116" s="73"/>
      <c r="RSD116" s="73"/>
      <c r="RSE116" s="73"/>
      <c r="RSF116" s="73"/>
      <c r="RSG116" s="73"/>
      <c r="RSH116" s="73"/>
      <c r="RSI116" s="73"/>
      <c r="RSJ116" s="73"/>
      <c r="RSK116" s="73"/>
      <c r="RSL116" s="73"/>
      <c r="RSM116" s="73"/>
      <c r="RSN116" s="73"/>
      <c r="RSO116" s="73"/>
      <c r="RSP116" s="73"/>
      <c r="RSQ116" s="73"/>
      <c r="RSR116" s="73"/>
      <c r="RSS116" s="73"/>
      <c r="RST116" s="73"/>
      <c r="RSU116" s="73"/>
      <c r="RSV116" s="73"/>
      <c r="RSW116" s="73"/>
      <c r="RSX116" s="73"/>
      <c r="RSY116" s="73"/>
      <c r="RSZ116" s="73"/>
      <c r="RTA116" s="73"/>
      <c r="RTB116" s="73"/>
      <c r="RTC116" s="73"/>
      <c r="RTD116" s="73"/>
      <c r="RTE116" s="73"/>
      <c r="RTF116" s="73"/>
      <c r="RTG116" s="73"/>
      <c r="RTH116" s="73"/>
      <c r="RTI116" s="73"/>
      <c r="RTJ116" s="73"/>
      <c r="RTK116" s="73"/>
      <c r="RTL116" s="73"/>
      <c r="RTM116" s="73"/>
      <c r="RTN116" s="73"/>
      <c r="RTO116" s="73"/>
      <c r="RTP116" s="73"/>
      <c r="RTQ116" s="73"/>
      <c r="RTR116" s="73"/>
      <c r="RTS116" s="73"/>
      <c r="RTT116" s="73"/>
      <c r="RTU116" s="73"/>
      <c r="RTV116" s="73"/>
      <c r="RTW116" s="73"/>
      <c r="RTX116" s="73"/>
      <c r="RTY116" s="73"/>
      <c r="RTZ116" s="73"/>
      <c r="RUA116" s="73"/>
      <c r="RUB116" s="73"/>
      <c r="RUC116" s="73"/>
      <c r="RUD116" s="73"/>
      <c r="RUE116" s="73"/>
      <c r="RUF116" s="73"/>
      <c r="RUG116" s="73"/>
      <c r="RUH116" s="73"/>
      <c r="RUI116" s="73"/>
      <c r="RUJ116" s="73"/>
      <c r="RUK116" s="73"/>
      <c r="RUL116" s="73"/>
      <c r="RUM116" s="73"/>
      <c r="RUN116" s="73"/>
      <c r="RUO116" s="73"/>
      <c r="RUP116" s="73"/>
      <c r="RUQ116" s="73"/>
      <c r="RUR116" s="73"/>
      <c r="RUS116" s="73"/>
      <c r="RUT116" s="73"/>
      <c r="RUU116" s="73"/>
      <c r="RUV116" s="73"/>
      <c r="RUW116" s="73"/>
      <c r="RUX116" s="73"/>
      <c r="RUY116" s="73"/>
      <c r="RUZ116" s="73"/>
      <c r="RVA116" s="73"/>
      <c r="RVB116" s="73"/>
      <c r="RVC116" s="73"/>
      <c r="RVD116" s="73"/>
      <c r="RVE116" s="73"/>
      <c r="RVF116" s="73"/>
      <c r="RVG116" s="73"/>
      <c r="RVH116" s="73"/>
      <c r="RVI116" s="73"/>
      <c r="RVJ116" s="73"/>
      <c r="RVK116" s="73"/>
      <c r="RVL116" s="73"/>
      <c r="RVM116" s="73"/>
      <c r="RVN116" s="73"/>
      <c r="RVO116" s="73"/>
      <c r="RVP116" s="73"/>
      <c r="RVQ116" s="73"/>
      <c r="RVR116" s="73"/>
      <c r="RVS116" s="73"/>
      <c r="RVT116" s="73"/>
      <c r="RVU116" s="73"/>
      <c r="RVV116" s="73"/>
      <c r="RVW116" s="73"/>
      <c r="RVX116" s="73"/>
      <c r="RVY116" s="73"/>
      <c r="RVZ116" s="73"/>
      <c r="RWA116" s="73"/>
      <c r="RWB116" s="73"/>
      <c r="RWC116" s="73"/>
      <c r="RWD116" s="73"/>
      <c r="RWE116" s="73"/>
      <c r="RWF116" s="73"/>
      <c r="RWG116" s="73"/>
      <c r="RWH116" s="73"/>
      <c r="RWI116" s="73"/>
      <c r="RWJ116" s="73"/>
      <c r="RWK116" s="73"/>
      <c r="RWL116" s="73"/>
      <c r="RWM116" s="73"/>
      <c r="RWN116" s="73"/>
      <c r="RWO116" s="73"/>
      <c r="RWP116" s="73"/>
      <c r="RWQ116" s="73"/>
      <c r="RWR116" s="73"/>
      <c r="RWS116" s="73"/>
      <c r="RWT116" s="73"/>
      <c r="RWU116" s="73"/>
      <c r="RWV116" s="73"/>
      <c r="RWW116" s="73"/>
      <c r="RWX116" s="73"/>
      <c r="RWY116" s="73"/>
      <c r="RWZ116" s="73"/>
      <c r="RXA116" s="73"/>
      <c r="RXB116" s="73"/>
      <c r="RXC116" s="73"/>
      <c r="RXD116" s="73"/>
      <c r="RXE116" s="73"/>
      <c r="RXF116" s="73"/>
      <c r="RXG116" s="73"/>
      <c r="RXH116" s="73"/>
      <c r="RXI116" s="73"/>
      <c r="RXJ116" s="73"/>
      <c r="RXK116" s="73"/>
      <c r="RXL116" s="73"/>
      <c r="RXM116" s="73"/>
      <c r="RXN116" s="73"/>
      <c r="RXO116" s="73"/>
      <c r="RXP116" s="73"/>
      <c r="RXQ116" s="73"/>
      <c r="RXR116" s="73"/>
      <c r="RXS116" s="73"/>
      <c r="RXT116" s="73"/>
      <c r="RXU116" s="73"/>
      <c r="RXV116" s="73"/>
      <c r="RXW116" s="73"/>
      <c r="RXX116" s="73"/>
      <c r="RXY116" s="73"/>
      <c r="RXZ116" s="73"/>
      <c r="RYA116" s="73"/>
      <c r="RYB116" s="73"/>
      <c r="RYC116" s="73"/>
      <c r="RYD116" s="73"/>
      <c r="RYE116" s="73"/>
      <c r="RYF116" s="73"/>
      <c r="RYG116" s="73"/>
      <c r="RYH116" s="73"/>
      <c r="RYI116" s="73"/>
      <c r="RYJ116" s="73"/>
      <c r="RYK116" s="73"/>
      <c r="RYL116" s="73"/>
      <c r="RYM116" s="73"/>
      <c r="RYN116" s="73"/>
      <c r="RYO116" s="73"/>
      <c r="RYP116" s="73"/>
      <c r="RYQ116" s="73"/>
      <c r="RYR116" s="73"/>
      <c r="RYS116" s="73"/>
      <c r="RYT116" s="73"/>
      <c r="RYU116" s="73"/>
      <c r="RYV116" s="73"/>
      <c r="RYW116" s="73"/>
      <c r="RYX116" s="73"/>
      <c r="RYY116" s="73"/>
      <c r="RYZ116" s="73"/>
      <c r="RZA116" s="73"/>
      <c r="RZB116" s="73"/>
      <c r="RZC116" s="73"/>
      <c r="RZD116" s="73"/>
      <c r="RZE116" s="73"/>
      <c r="RZF116" s="73"/>
      <c r="RZG116" s="73"/>
      <c r="RZH116" s="73"/>
      <c r="RZI116" s="73"/>
      <c r="RZJ116" s="73"/>
      <c r="RZK116" s="73"/>
      <c r="RZL116" s="73"/>
      <c r="RZM116" s="73"/>
      <c r="RZN116" s="73"/>
      <c r="RZO116" s="73"/>
      <c r="RZP116" s="73"/>
      <c r="RZQ116" s="73"/>
      <c r="RZR116" s="73"/>
      <c r="RZS116" s="73"/>
      <c r="RZT116" s="73"/>
      <c r="RZU116" s="73"/>
      <c r="RZV116" s="73"/>
      <c r="RZW116" s="73"/>
      <c r="RZX116" s="73"/>
      <c r="RZY116" s="73"/>
      <c r="RZZ116" s="73"/>
      <c r="SAA116" s="73"/>
      <c r="SAB116" s="73"/>
      <c r="SAC116" s="73"/>
      <c r="SAD116" s="73"/>
      <c r="SAE116" s="73"/>
      <c r="SAF116" s="73"/>
      <c r="SAG116" s="73"/>
      <c r="SAH116" s="73"/>
      <c r="SAI116" s="73"/>
      <c r="SAJ116" s="73"/>
      <c r="SAK116" s="73"/>
      <c r="SAL116" s="73"/>
      <c r="SAM116" s="73"/>
      <c r="SAN116" s="73"/>
      <c r="SAO116" s="73"/>
      <c r="SAP116" s="73"/>
      <c r="SAQ116" s="73"/>
      <c r="SAR116" s="73"/>
      <c r="SAS116" s="73"/>
      <c r="SAT116" s="73"/>
      <c r="SAU116" s="73"/>
      <c r="SAV116" s="73"/>
      <c r="SAW116" s="73"/>
      <c r="SAX116" s="73"/>
      <c r="SAY116" s="73"/>
      <c r="SAZ116" s="73"/>
      <c r="SBA116" s="73"/>
      <c r="SBB116" s="73"/>
      <c r="SBC116" s="73"/>
      <c r="SBD116" s="73"/>
      <c r="SBE116" s="73"/>
      <c r="SBF116" s="73"/>
      <c r="SBG116" s="73"/>
      <c r="SBH116" s="73"/>
      <c r="SBI116" s="73"/>
      <c r="SBJ116" s="73"/>
      <c r="SBK116" s="73"/>
      <c r="SBL116" s="73"/>
      <c r="SBM116" s="73"/>
      <c r="SBN116" s="73"/>
      <c r="SBO116" s="73"/>
      <c r="SBP116" s="73"/>
      <c r="SBQ116" s="73"/>
      <c r="SBR116" s="73"/>
      <c r="SBS116" s="73"/>
      <c r="SBT116" s="73"/>
      <c r="SBU116" s="73"/>
      <c r="SBV116" s="73"/>
      <c r="SBW116" s="73"/>
      <c r="SBX116" s="73"/>
      <c r="SBY116" s="73"/>
      <c r="SBZ116" s="73"/>
      <c r="SCA116" s="73"/>
      <c r="SCB116" s="73"/>
      <c r="SCC116" s="73"/>
      <c r="SCD116" s="73"/>
      <c r="SCE116" s="73"/>
      <c r="SCF116" s="73"/>
      <c r="SCG116" s="73"/>
      <c r="SCH116" s="73"/>
      <c r="SCI116" s="73"/>
      <c r="SCJ116" s="73"/>
      <c r="SCK116" s="73"/>
      <c r="SCL116" s="73"/>
      <c r="SCM116" s="73"/>
      <c r="SCN116" s="73"/>
      <c r="SCO116" s="73"/>
      <c r="SCP116" s="73"/>
      <c r="SCQ116" s="73"/>
      <c r="SCR116" s="73"/>
      <c r="SCS116" s="73"/>
      <c r="SCT116" s="73"/>
      <c r="SCU116" s="73"/>
      <c r="SCV116" s="73"/>
      <c r="SCW116" s="73"/>
      <c r="SCX116" s="73"/>
      <c r="SCY116" s="73"/>
      <c r="SCZ116" s="73"/>
      <c r="SDA116" s="73"/>
      <c r="SDB116" s="73"/>
      <c r="SDC116" s="73"/>
      <c r="SDD116" s="73"/>
      <c r="SDE116" s="73"/>
      <c r="SDF116" s="73"/>
      <c r="SDG116" s="73"/>
      <c r="SDH116" s="73"/>
      <c r="SDI116" s="73"/>
      <c r="SDJ116" s="73"/>
      <c r="SDK116" s="73"/>
      <c r="SDL116" s="73"/>
      <c r="SDM116" s="73"/>
      <c r="SDN116" s="73"/>
      <c r="SDO116" s="73"/>
      <c r="SDP116" s="73"/>
      <c r="SDQ116" s="73"/>
      <c r="SDR116" s="73"/>
      <c r="SDS116" s="73"/>
      <c r="SDT116" s="73"/>
      <c r="SDU116" s="73"/>
      <c r="SDV116" s="73"/>
      <c r="SDW116" s="73"/>
      <c r="SDX116" s="73"/>
      <c r="SDY116" s="73"/>
      <c r="SDZ116" s="73"/>
      <c r="SEA116" s="73"/>
      <c r="SEB116" s="73"/>
      <c r="SEC116" s="73"/>
      <c r="SED116" s="73"/>
      <c r="SEE116" s="73"/>
      <c r="SEF116" s="73"/>
      <c r="SEG116" s="73"/>
      <c r="SEH116" s="73"/>
      <c r="SEI116" s="73"/>
      <c r="SEJ116" s="73"/>
      <c r="SEK116" s="73"/>
      <c r="SEL116" s="73"/>
      <c r="SEM116" s="73"/>
      <c r="SEN116" s="73"/>
      <c r="SEO116" s="73"/>
      <c r="SEP116" s="73"/>
      <c r="SEQ116" s="73"/>
      <c r="SER116" s="73"/>
      <c r="SES116" s="73"/>
      <c r="SET116" s="73"/>
      <c r="SEU116" s="73"/>
      <c r="SEV116" s="73"/>
      <c r="SEW116" s="73"/>
      <c r="SEX116" s="73"/>
      <c r="SEY116" s="73"/>
      <c r="SEZ116" s="73"/>
      <c r="SFA116" s="73"/>
      <c r="SFB116" s="73"/>
      <c r="SFC116" s="73"/>
      <c r="SFD116" s="73"/>
      <c r="SFE116" s="73"/>
      <c r="SFF116" s="73"/>
      <c r="SFG116" s="73"/>
      <c r="SFH116" s="73"/>
      <c r="SFI116" s="73"/>
      <c r="SFJ116" s="73"/>
      <c r="SFK116" s="73"/>
      <c r="SFL116" s="73"/>
      <c r="SFM116" s="73"/>
      <c r="SFN116" s="73"/>
      <c r="SFO116" s="73"/>
      <c r="SFP116" s="73"/>
      <c r="SFQ116" s="73"/>
      <c r="SFR116" s="73"/>
      <c r="SFS116" s="73"/>
      <c r="SFT116" s="73"/>
      <c r="SFU116" s="73"/>
      <c r="SFV116" s="73"/>
      <c r="SFW116" s="73"/>
      <c r="SFX116" s="73"/>
      <c r="SFY116" s="73"/>
      <c r="SFZ116" s="73"/>
      <c r="SGA116" s="73"/>
      <c r="SGB116" s="73"/>
      <c r="SGC116" s="73"/>
      <c r="SGD116" s="73"/>
      <c r="SGE116" s="73"/>
      <c r="SGF116" s="73"/>
      <c r="SGG116" s="73"/>
      <c r="SGH116" s="73"/>
      <c r="SGI116" s="73"/>
      <c r="SGJ116" s="73"/>
      <c r="SGK116" s="73"/>
      <c r="SGL116" s="73"/>
      <c r="SGM116" s="73"/>
      <c r="SGN116" s="73"/>
      <c r="SGO116" s="73"/>
      <c r="SGP116" s="73"/>
      <c r="SGQ116" s="73"/>
      <c r="SGR116" s="73"/>
      <c r="SGS116" s="73"/>
      <c r="SGT116" s="73"/>
      <c r="SGU116" s="73"/>
      <c r="SGV116" s="73"/>
      <c r="SGW116" s="73"/>
      <c r="SGX116" s="73"/>
      <c r="SGY116" s="73"/>
      <c r="SGZ116" s="73"/>
      <c r="SHA116" s="73"/>
      <c r="SHB116" s="73"/>
      <c r="SHC116" s="73"/>
      <c r="SHD116" s="73"/>
      <c r="SHE116" s="73"/>
      <c r="SHF116" s="73"/>
      <c r="SHG116" s="73"/>
      <c r="SHH116" s="73"/>
      <c r="SHI116" s="73"/>
      <c r="SHJ116" s="73"/>
      <c r="SHK116" s="73"/>
      <c r="SHL116" s="73"/>
      <c r="SHM116" s="73"/>
      <c r="SHN116" s="73"/>
      <c r="SHO116" s="73"/>
      <c r="SHP116" s="73"/>
      <c r="SHQ116" s="73"/>
      <c r="SHR116" s="73"/>
      <c r="SHS116" s="73"/>
      <c r="SHT116" s="73"/>
      <c r="SHU116" s="73"/>
      <c r="SHV116" s="73"/>
      <c r="SHW116" s="73"/>
      <c r="SHX116" s="73"/>
      <c r="SHY116" s="73"/>
      <c r="SHZ116" s="73"/>
      <c r="SIA116" s="73"/>
      <c r="SIB116" s="73"/>
      <c r="SIC116" s="73"/>
      <c r="SID116" s="73"/>
      <c r="SIE116" s="73"/>
      <c r="SIF116" s="73"/>
      <c r="SIG116" s="73"/>
      <c r="SIH116" s="73"/>
      <c r="SII116" s="73"/>
      <c r="SIJ116" s="73"/>
      <c r="SIK116" s="73"/>
      <c r="SIL116" s="73"/>
      <c r="SIM116" s="73"/>
      <c r="SIN116" s="73"/>
      <c r="SIO116" s="73"/>
      <c r="SIP116" s="73"/>
      <c r="SIQ116" s="73"/>
      <c r="SIR116" s="73"/>
      <c r="SIS116" s="73"/>
      <c r="SIT116" s="73"/>
      <c r="SIU116" s="73"/>
      <c r="SIV116" s="73"/>
      <c r="SIW116" s="73"/>
      <c r="SIX116" s="73"/>
      <c r="SIY116" s="73"/>
      <c r="SIZ116" s="73"/>
      <c r="SJA116" s="73"/>
      <c r="SJB116" s="73"/>
      <c r="SJC116" s="73"/>
      <c r="SJD116" s="73"/>
      <c r="SJE116" s="73"/>
      <c r="SJF116" s="73"/>
      <c r="SJG116" s="73"/>
      <c r="SJH116" s="73"/>
      <c r="SJI116" s="73"/>
      <c r="SJJ116" s="73"/>
      <c r="SJK116" s="73"/>
      <c r="SJL116" s="73"/>
      <c r="SJM116" s="73"/>
      <c r="SJN116" s="73"/>
      <c r="SJO116" s="73"/>
      <c r="SJP116" s="73"/>
      <c r="SJQ116" s="73"/>
      <c r="SJR116" s="73"/>
      <c r="SJS116" s="73"/>
      <c r="SJT116" s="73"/>
      <c r="SJU116" s="73"/>
      <c r="SJV116" s="73"/>
      <c r="SJW116" s="73"/>
      <c r="SJX116" s="73"/>
      <c r="SJY116" s="73"/>
      <c r="SJZ116" s="73"/>
      <c r="SKA116" s="73"/>
      <c r="SKB116" s="73"/>
      <c r="SKC116" s="73"/>
      <c r="SKD116" s="73"/>
      <c r="SKE116" s="73"/>
      <c r="SKF116" s="73"/>
      <c r="SKG116" s="73"/>
      <c r="SKH116" s="73"/>
      <c r="SKI116" s="73"/>
      <c r="SKJ116" s="73"/>
      <c r="SKK116" s="73"/>
      <c r="SKL116" s="73"/>
      <c r="SKM116" s="73"/>
      <c r="SKN116" s="73"/>
      <c r="SKO116" s="73"/>
      <c r="SKP116" s="73"/>
      <c r="SKQ116" s="73"/>
      <c r="SKR116" s="73"/>
      <c r="SKS116" s="73"/>
      <c r="SKT116" s="73"/>
      <c r="SKU116" s="73"/>
      <c r="SKV116" s="73"/>
      <c r="SKW116" s="73"/>
      <c r="SKX116" s="73"/>
      <c r="SKY116" s="73"/>
      <c r="SKZ116" s="73"/>
      <c r="SLA116" s="73"/>
      <c r="SLB116" s="73"/>
      <c r="SLC116" s="73"/>
      <c r="SLD116" s="73"/>
      <c r="SLE116" s="73"/>
      <c r="SLF116" s="73"/>
      <c r="SLG116" s="73"/>
      <c r="SLH116" s="73"/>
      <c r="SLI116" s="73"/>
      <c r="SLJ116" s="73"/>
      <c r="SLK116" s="73"/>
      <c r="SLL116" s="73"/>
      <c r="SLM116" s="73"/>
      <c r="SLN116" s="73"/>
      <c r="SLO116" s="73"/>
      <c r="SLP116" s="73"/>
      <c r="SLQ116" s="73"/>
      <c r="SLR116" s="73"/>
      <c r="SLS116" s="73"/>
      <c r="SLT116" s="73"/>
      <c r="SLU116" s="73"/>
      <c r="SLV116" s="73"/>
      <c r="SLW116" s="73"/>
      <c r="SLX116" s="73"/>
      <c r="SLY116" s="73"/>
      <c r="SLZ116" s="73"/>
      <c r="SMA116" s="73"/>
      <c r="SMB116" s="73"/>
      <c r="SMC116" s="73"/>
      <c r="SMD116" s="73"/>
      <c r="SME116" s="73"/>
      <c r="SMF116" s="73"/>
      <c r="SMG116" s="73"/>
      <c r="SMH116" s="73"/>
      <c r="SMI116" s="73"/>
      <c r="SMJ116" s="73"/>
      <c r="SMK116" s="73"/>
      <c r="SML116" s="73"/>
      <c r="SMM116" s="73"/>
      <c r="SMN116" s="73"/>
      <c r="SMO116" s="73"/>
      <c r="SMP116" s="73"/>
      <c r="SMQ116" s="73"/>
      <c r="SMR116" s="73"/>
      <c r="SMS116" s="73"/>
      <c r="SMT116" s="73"/>
      <c r="SMU116" s="73"/>
      <c r="SMV116" s="73"/>
      <c r="SMW116" s="73"/>
      <c r="SMX116" s="73"/>
      <c r="SMY116" s="73"/>
      <c r="SMZ116" s="73"/>
      <c r="SNA116" s="73"/>
      <c r="SNB116" s="73"/>
      <c r="SNC116" s="73"/>
      <c r="SND116" s="73"/>
      <c r="SNE116" s="73"/>
      <c r="SNF116" s="73"/>
      <c r="SNG116" s="73"/>
      <c r="SNH116" s="73"/>
      <c r="SNI116" s="73"/>
      <c r="SNJ116" s="73"/>
      <c r="SNK116" s="73"/>
      <c r="SNL116" s="73"/>
      <c r="SNM116" s="73"/>
      <c r="SNN116" s="73"/>
      <c r="SNO116" s="73"/>
      <c r="SNP116" s="73"/>
      <c r="SNQ116" s="73"/>
      <c r="SNR116" s="73"/>
      <c r="SNS116" s="73"/>
      <c r="SNT116" s="73"/>
      <c r="SNU116" s="73"/>
      <c r="SNV116" s="73"/>
      <c r="SNW116" s="73"/>
      <c r="SNX116" s="73"/>
      <c r="SNY116" s="73"/>
      <c r="SNZ116" s="73"/>
      <c r="SOA116" s="73"/>
      <c r="SOB116" s="73"/>
      <c r="SOC116" s="73"/>
      <c r="SOD116" s="73"/>
      <c r="SOE116" s="73"/>
      <c r="SOF116" s="73"/>
      <c r="SOG116" s="73"/>
      <c r="SOH116" s="73"/>
      <c r="SOI116" s="73"/>
      <c r="SOJ116" s="73"/>
      <c r="SOK116" s="73"/>
      <c r="SOL116" s="73"/>
      <c r="SOM116" s="73"/>
      <c r="SON116" s="73"/>
      <c r="SOO116" s="73"/>
      <c r="SOP116" s="73"/>
      <c r="SOQ116" s="73"/>
      <c r="SOR116" s="73"/>
      <c r="SOS116" s="73"/>
      <c r="SOT116" s="73"/>
      <c r="SOU116" s="73"/>
      <c r="SOV116" s="73"/>
      <c r="SOW116" s="73"/>
      <c r="SOX116" s="73"/>
      <c r="SOY116" s="73"/>
      <c r="SOZ116" s="73"/>
      <c r="SPA116" s="73"/>
      <c r="SPB116" s="73"/>
      <c r="SPC116" s="73"/>
      <c r="SPD116" s="73"/>
      <c r="SPE116" s="73"/>
      <c r="SPF116" s="73"/>
      <c r="SPG116" s="73"/>
      <c r="SPH116" s="73"/>
      <c r="SPI116" s="73"/>
      <c r="SPJ116" s="73"/>
      <c r="SPK116" s="73"/>
      <c r="SPL116" s="73"/>
      <c r="SPM116" s="73"/>
      <c r="SPN116" s="73"/>
      <c r="SPO116" s="73"/>
      <c r="SPP116" s="73"/>
      <c r="SPQ116" s="73"/>
      <c r="SPR116" s="73"/>
      <c r="SPS116" s="73"/>
      <c r="SPT116" s="73"/>
      <c r="SPU116" s="73"/>
      <c r="SPV116" s="73"/>
      <c r="SPW116" s="73"/>
      <c r="SPX116" s="73"/>
      <c r="SPY116" s="73"/>
      <c r="SPZ116" s="73"/>
      <c r="SQA116" s="73"/>
      <c r="SQB116" s="73"/>
      <c r="SQC116" s="73"/>
      <c r="SQD116" s="73"/>
      <c r="SQE116" s="73"/>
      <c r="SQF116" s="73"/>
      <c r="SQG116" s="73"/>
      <c r="SQH116" s="73"/>
      <c r="SQI116" s="73"/>
      <c r="SQJ116" s="73"/>
      <c r="SQK116" s="73"/>
      <c r="SQL116" s="73"/>
      <c r="SQM116" s="73"/>
      <c r="SQN116" s="73"/>
      <c r="SQO116" s="73"/>
      <c r="SQP116" s="73"/>
      <c r="SQQ116" s="73"/>
      <c r="SQR116" s="73"/>
      <c r="SQS116" s="73"/>
      <c r="SQT116" s="73"/>
      <c r="SQU116" s="73"/>
      <c r="SQV116" s="73"/>
      <c r="SQW116" s="73"/>
      <c r="SQX116" s="73"/>
      <c r="SQY116" s="73"/>
      <c r="SQZ116" s="73"/>
      <c r="SRA116" s="73"/>
      <c r="SRB116" s="73"/>
      <c r="SRC116" s="73"/>
      <c r="SRD116" s="73"/>
      <c r="SRE116" s="73"/>
      <c r="SRF116" s="73"/>
      <c r="SRG116" s="73"/>
      <c r="SRH116" s="73"/>
      <c r="SRI116" s="73"/>
      <c r="SRJ116" s="73"/>
      <c r="SRK116" s="73"/>
      <c r="SRL116" s="73"/>
      <c r="SRM116" s="73"/>
      <c r="SRN116" s="73"/>
      <c r="SRO116" s="73"/>
      <c r="SRP116" s="73"/>
      <c r="SRQ116" s="73"/>
      <c r="SRR116" s="73"/>
      <c r="SRS116" s="73"/>
      <c r="SRT116" s="73"/>
      <c r="SRU116" s="73"/>
      <c r="SRV116" s="73"/>
      <c r="SRW116" s="73"/>
      <c r="SRX116" s="73"/>
      <c r="SRY116" s="73"/>
      <c r="SRZ116" s="73"/>
      <c r="SSA116" s="73"/>
      <c r="SSB116" s="73"/>
      <c r="SSC116" s="73"/>
      <c r="SSD116" s="73"/>
      <c r="SSE116" s="73"/>
      <c r="SSF116" s="73"/>
      <c r="SSG116" s="73"/>
      <c r="SSH116" s="73"/>
      <c r="SSI116" s="73"/>
      <c r="SSJ116" s="73"/>
      <c r="SSK116" s="73"/>
      <c r="SSL116" s="73"/>
      <c r="SSM116" s="73"/>
      <c r="SSN116" s="73"/>
      <c r="SSO116" s="73"/>
      <c r="SSP116" s="73"/>
      <c r="SSQ116" s="73"/>
      <c r="SSR116" s="73"/>
      <c r="SSS116" s="73"/>
      <c r="SST116" s="73"/>
      <c r="SSU116" s="73"/>
      <c r="SSV116" s="73"/>
      <c r="SSW116" s="73"/>
      <c r="SSX116" s="73"/>
      <c r="SSY116" s="73"/>
      <c r="SSZ116" s="73"/>
      <c r="STA116" s="73"/>
      <c r="STB116" s="73"/>
      <c r="STC116" s="73"/>
      <c r="STD116" s="73"/>
      <c r="STE116" s="73"/>
      <c r="STF116" s="73"/>
      <c r="STG116" s="73"/>
      <c r="STH116" s="73"/>
      <c r="STI116" s="73"/>
      <c r="STJ116" s="73"/>
      <c r="STK116" s="73"/>
      <c r="STL116" s="73"/>
      <c r="STM116" s="73"/>
      <c r="STN116" s="73"/>
      <c r="STO116" s="73"/>
      <c r="STP116" s="73"/>
      <c r="STQ116" s="73"/>
      <c r="STR116" s="73"/>
      <c r="STS116" s="73"/>
      <c r="STT116" s="73"/>
      <c r="STU116" s="73"/>
      <c r="STV116" s="73"/>
      <c r="STW116" s="73"/>
      <c r="STX116" s="73"/>
      <c r="STY116" s="73"/>
      <c r="STZ116" s="73"/>
      <c r="SUA116" s="73"/>
      <c r="SUB116" s="73"/>
      <c r="SUC116" s="73"/>
      <c r="SUD116" s="73"/>
      <c r="SUE116" s="73"/>
      <c r="SUF116" s="73"/>
      <c r="SUG116" s="73"/>
      <c r="SUH116" s="73"/>
      <c r="SUI116" s="73"/>
      <c r="SUJ116" s="73"/>
      <c r="SUK116" s="73"/>
      <c r="SUL116" s="73"/>
      <c r="SUM116" s="73"/>
      <c r="SUN116" s="73"/>
      <c r="SUO116" s="73"/>
      <c r="SUP116" s="73"/>
      <c r="SUQ116" s="73"/>
      <c r="SUR116" s="73"/>
      <c r="SUS116" s="73"/>
      <c r="SUT116" s="73"/>
      <c r="SUU116" s="73"/>
      <c r="SUV116" s="73"/>
      <c r="SUW116" s="73"/>
      <c r="SUX116" s="73"/>
      <c r="SUY116" s="73"/>
      <c r="SUZ116" s="73"/>
      <c r="SVA116" s="73"/>
      <c r="SVB116" s="73"/>
      <c r="SVC116" s="73"/>
      <c r="SVD116" s="73"/>
      <c r="SVE116" s="73"/>
      <c r="SVF116" s="73"/>
      <c r="SVG116" s="73"/>
      <c r="SVH116" s="73"/>
      <c r="SVI116" s="73"/>
      <c r="SVJ116" s="73"/>
      <c r="SVK116" s="73"/>
      <c r="SVL116" s="73"/>
      <c r="SVM116" s="73"/>
      <c r="SVN116" s="73"/>
      <c r="SVO116" s="73"/>
      <c r="SVP116" s="73"/>
      <c r="SVQ116" s="73"/>
      <c r="SVR116" s="73"/>
      <c r="SVS116" s="73"/>
      <c r="SVT116" s="73"/>
      <c r="SVU116" s="73"/>
      <c r="SVV116" s="73"/>
      <c r="SVW116" s="73"/>
      <c r="SVX116" s="73"/>
      <c r="SVY116" s="73"/>
      <c r="SVZ116" s="73"/>
      <c r="SWA116" s="73"/>
      <c r="SWB116" s="73"/>
      <c r="SWC116" s="73"/>
      <c r="SWD116" s="73"/>
      <c r="SWE116" s="73"/>
      <c r="SWF116" s="73"/>
      <c r="SWG116" s="73"/>
      <c r="SWH116" s="73"/>
      <c r="SWI116" s="73"/>
      <c r="SWJ116" s="73"/>
      <c r="SWK116" s="73"/>
      <c r="SWL116" s="73"/>
      <c r="SWM116" s="73"/>
      <c r="SWN116" s="73"/>
      <c r="SWO116" s="73"/>
      <c r="SWP116" s="73"/>
      <c r="SWQ116" s="73"/>
      <c r="SWR116" s="73"/>
      <c r="SWS116" s="73"/>
      <c r="SWT116" s="73"/>
      <c r="SWU116" s="73"/>
      <c r="SWV116" s="73"/>
      <c r="SWW116" s="73"/>
      <c r="SWX116" s="73"/>
      <c r="SWY116" s="73"/>
      <c r="SWZ116" s="73"/>
      <c r="SXA116" s="73"/>
      <c r="SXB116" s="73"/>
      <c r="SXC116" s="73"/>
      <c r="SXD116" s="73"/>
      <c r="SXE116" s="73"/>
      <c r="SXF116" s="73"/>
      <c r="SXG116" s="73"/>
      <c r="SXH116" s="73"/>
      <c r="SXI116" s="73"/>
      <c r="SXJ116" s="73"/>
      <c r="SXK116" s="73"/>
      <c r="SXL116" s="73"/>
      <c r="SXM116" s="73"/>
      <c r="SXN116" s="73"/>
      <c r="SXO116" s="73"/>
      <c r="SXP116" s="73"/>
      <c r="SXQ116" s="73"/>
      <c r="SXR116" s="73"/>
      <c r="SXS116" s="73"/>
      <c r="SXT116" s="73"/>
      <c r="SXU116" s="73"/>
      <c r="SXV116" s="73"/>
      <c r="SXW116" s="73"/>
      <c r="SXX116" s="73"/>
      <c r="SXY116" s="73"/>
      <c r="SXZ116" s="73"/>
      <c r="SYA116" s="73"/>
      <c r="SYB116" s="73"/>
      <c r="SYC116" s="73"/>
      <c r="SYD116" s="73"/>
      <c r="SYE116" s="73"/>
      <c r="SYF116" s="73"/>
      <c r="SYG116" s="73"/>
      <c r="SYH116" s="73"/>
      <c r="SYI116" s="73"/>
      <c r="SYJ116" s="73"/>
      <c r="SYK116" s="73"/>
      <c r="SYL116" s="73"/>
      <c r="SYM116" s="73"/>
      <c r="SYN116" s="73"/>
      <c r="SYO116" s="73"/>
      <c r="SYP116" s="73"/>
      <c r="SYQ116" s="73"/>
      <c r="SYR116" s="73"/>
      <c r="SYS116" s="73"/>
      <c r="SYT116" s="73"/>
      <c r="SYU116" s="73"/>
      <c r="SYV116" s="73"/>
      <c r="SYW116" s="73"/>
      <c r="SYX116" s="73"/>
      <c r="SYY116" s="73"/>
      <c r="SYZ116" s="73"/>
      <c r="SZA116" s="73"/>
      <c r="SZB116" s="73"/>
      <c r="SZC116" s="73"/>
      <c r="SZD116" s="73"/>
      <c r="SZE116" s="73"/>
      <c r="SZF116" s="73"/>
      <c r="SZG116" s="73"/>
      <c r="SZH116" s="73"/>
      <c r="SZI116" s="73"/>
      <c r="SZJ116" s="73"/>
      <c r="SZK116" s="73"/>
      <c r="SZL116" s="73"/>
      <c r="SZM116" s="73"/>
      <c r="SZN116" s="73"/>
      <c r="SZO116" s="73"/>
      <c r="SZP116" s="73"/>
      <c r="SZQ116" s="73"/>
      <c r="SZR116" s="73"/>
      <c r="SZS116" s="73"/>
      <c r="SZT116" s="73"/>
      <c r="SZU116" s="73"/>
      <c r="SZV116" s="73"/>
      <c r="SZW116" s="73"/>
      <c r="SZX116" s="73"/>
      <c r="SZY116" s="73"/>
      <c r="SZZ116" s="73"/>
      <c r="TAA116" s="73"/>
      <c r="TAB116" s="73"/>
      <c r="TAC116" s="73"/>
      <c r="TAD116" s="73"/>
      <c r="TAE116" s="73"/>
      <c r="TAF116" s="73"/>
      <c r="TAG116" s="73"/>
      <c r="TAH116" s="73"/>
      <c r="TAI116" s="73"/>
      <c r="TAJ116" s="73"/>
      <c r="TAK116" s="73"/>
      <c r="TAL116" s="73"/>
      <c r="TAM116" s="73"/>
      <c r="TAN116" s="73"/>
      <c r="TAO116" s="73"/>
      <c r="TAP116" s="73"/>
      <c r="TAQ116" s="73"/>
      <c r="TAR116" s="73"/>
      <c r="TAS116" s="73"/>
      <c r="TAT116" s="73"/>
      <c r="TAU116" s="73"/>
      <c r="TAV116" s="73"/>
      <c r="TAW116" s="73"/>
      <c r="TAX116" s="73"/>
      <c r="TAY116" s="73"/>
      <c r="TAZ116" s="73"/>
      <c r="TBA116" s="73"/>
      <c r="TBB116" s="73"/>
      <c r="TBC116" s="73"/>
      <c r="TBD116" s="73"/>
      <c r="TBE116" s="73"/>
      <c r="TBF116" s="73"/>
      <c r="TBG116" s="73"/>
      <c r="TBH116" s="73"/>
      <c r="TBI116" s="73"/>
      <c r="TBJ116" s="73"/>
      <c r="TBK116" s="73"/>
      <c r="TBL116" s="73"/>
      <c r="TBM116" s="73"/>
      <c r="TBN116" s="73"/>
      <c r="TBO116" s="73"/>
      <c r="TBP116" s="73"/>
      <c r="TBQ116" s="73"/>
      <c r="TBR116" s="73"/>
      <c r="TBS116" s="73"/>
      <c r="TBT116" s="73"/>
      <c r="TBU116" s="73"/>
      <c r="TBV116" s="73"/>
      <c r="TBW116" s="73"/>
      <c r="TBX116" s="73"/>
      <c r="TBY116" s="73"/>
      <c r="TBZ116" s="73"/>
      <c r="TCA116" s="73"/>
      <c r="TCB116" s="73"/>
      <c r="TCC116" s="73"/>
      <c r="TCD116" s="73"/>
      <c r="TCE116" s="73"/>
      <c r="TCF116" s="73"/>
      <c r="TCG116" s="73"/>
      <c r="TCH116" s="73"/>
      <c r="TCI116" s="73"/>
      <c r="TCJ116" s="73"/>
      <c r="TCK116" s="73"/>
      <c r="TCL116" s="73"/>
      <c r="TCM116" s="73"/>
      <c r="TCN116" s="73"/>
      <c r="TCO116" s="73"/>
      <c r="TCP116" s="73"/>
      <c r="TCQ116" s="73"/>
      <c r="TCR116" s="73"/>
      <c r="TCS116" s="73"/>
      <c r="TCT116" s="73"/>
      <c r="TCU116" s="73"/>
      <c r="TCV116" s="73"/>
      <c r="TCW116" s="73"/>
      <c r="TCX116" s="73"/>
      <c r="TCY116" s="73"/>
      <c r="TCZ116" s="73"/>
      <c r="TDA116" s="73"/>
      <c r="TDB116" s="73"/>
      <c r="TDC116" s="73"/>
      <c r="TDD116" s="73"/>
      <c r="TDE116" s="73"/>
      <c r="TDF116" s="73"/>
      <c r="TDG116" s="73"/>
      <c r="TDH116" s="73"/>
      <c r="TDI116" s="73"/>
      <c r="TDJ116" s="73"/>
      <c r="TDK116" s="73"/>
      <c r="TDL116" s="73"/>
      <c r="TDM116" s="73"/>
      <c r="TDN116" s="73"/>
      <c r="TDO116" s="73"/>
      <c r="TDP116" s="73"/>
      <c r="TDQ116" s="73"/>
      <c r="TDR116" s="73"/>
      <c r="TDS116" s="73"/>
      <c r="TDT116" s="73"/>
      <c r="TDU116" s="73"/>
      <c r="TDV116" s="73"/>
      <c r="TDW116" s="73"/>
      <c r="TDX116" s="73"/>
      <c r="TDY116" s="73"/>
      <c r="TDZ116" s="73"/>
      <c r="TEA116" s="73"/>
      <c r="TEB116" s="73"/>
      <c r="TEC116" s="73"/>
      <c r="TED116" s="73"/>
      <c r="TEE116" s="73"/>
      <c r="TEF116" s="73"/>
      <c r="TEG116" s="73"/>
      <c r="TEH116" s="73"/>
      <c r="TEI116" s="73"/>
      <c r="TEJ116" s="73"/>
      <c r="TEK116" s="73"/>
      <c r="TEL116" s="73"/>
      <c r="TEM116" s="73"/>
      <c r="TEN116" s="73"/>
      <c r="TEO116" s="73"/>
      <c r="TEP116" s="73"/>
      <c r="TEQ116" s="73"/>
      <c r="TER116" s="73"/>
      <c r="TES116" s="73"/>
      <c r="TET116" s="73"/>
      <c r="TEU116" s="73"/>
      <c r="TEV116" s="73"/>
      <c r="TEW116" s="73"/>
      <c r="TEX116" s="73"/>
      <c r="TEY116" s="73"/>
      <c r="TEZ116" s="73"/>
      <c r="TFA116" s="73"/>
      <c r="TFB116" s="73"/>
      <c r="TFC116" s="73"/>
      <c r="TFD116" s="73"/>
      <c r="TFE116" s="73"/>
      <c r="TFF116" s="73"/>
      <c r="TFG116" s="73"/>
      <c r="TFH116" s="73"/>
      <c r="TFI116" s="73"/>
      <c r="TFJ116" s="73"/>
      <c r="TFK116" s="73"/>
      <c r="TFL116" s="73"/>
      <c r="TFM116" s="73"/>
      <c r="TFN116" s="73"/>
      <c r="TFO116" s="73"/>
      <c r="TFP116" s="73"/>
      <c r="TFQ116" s="73"/>
      <c r="TFR116" s="73"/>
      <c r="TFS116" s="73"/>
      <c r="TFT116" s="73"/>
      <c r="TFU116" s="73"/>
      <c r="TFV116" s="73"/>
      <c r="TFW116" s="73"/>
      <c r="TFX116" s="73"/>
      <c r="TFY116" s="73"/>
      <c r="TFZ116" s="73"/>
      <c r="TGA116" s="73"/>
      <c r="TGB116" s="73"/>
      <c r="TGC116" s="73"/>
      <c r="TGD116" s="73"/>
      <c r="TGE116" s="73"/>
      <c r="TGF116" s="73"/>
      <c r="TGG116" s="73"/>
      <c r="TGH116" s="73"/>
      <c r="TGI116" s="73"/>
      <c r="TGJ116" s="73"/>
      <c r="TGK116" s="73"/>
      <c r="TGL116" s="73"/>
      <c r="TGM116" s="73"/>
      <c r="TGN116" s="73"/>
      <c r="TGO116" s="73"/>
      <c r="TGP116" s="73"/>
      <c r="TGQ116" s="73"/>
      <c r="TGR116" s="73"/>
      <c r="TGS116" s="73"/>
      <c r="TGT116" s="73"/>
      <c r="TGU116" s="73"/>
      <c r="TGV116" s="73"/>
      <c r="TGW116" s="73"/>
      <c r="TGX116" s="73"/>
      <c r="TGY116" s="73"/>
      <c r="TGZ116" s="73"/>
      <c r="THA116" s="73"/>
      <c r="THB116" s="73"/>
      <c r="THC116" s="73"/>
      <c r="THD116" s="73"/>
      <c r="THE116" s="73"/>
      <c r="THF116" s="73"/>
      <c r="THG116" s="73"/>
      <c r="THH116" s="73"/>
      <c r="THI116" s="73"/>
      <c r="THJ116" s="73"/>
      <c r="THK116" s="73"/>
      <c r="THL116" s="73"/>
      <c r="THM116" s="73"/>
      <c r="THN116" s="73"/>
      <c r="THO116" s="73"/>
      <c r="THP116" s="73"/>
      <c r="THQ116" s="73"/>
      <c r="THR116" s="73"/>
      <c r="THS116" s="73"/>
      <c r="THT116" s="73"/>
      <c r="THU116" s="73"/>
      <c r="THV116" s="73"/>
      <c r="THW116" s="73"/>
      <c r="THX116" s="73"/>
      <c r="THY116" s="73"/>
      <c r="THZ116" s="73"/>
      <c r="TIA116" s="73"/>
      <c r="TIB116" s="73"/>
      <c r="TIC116" s="73"/>
      <c r="TID116" s="73"/>
      <c r="TIE116" s="73"/>
      <c r="TIF116" s="73"/>
      <c r="TIG116" s="73"/>
      <c r="TIH116" s="73"/>
      <c r="TII116" s="73"/>
      <c r="TIJ116" s="73"/>
      <c r="TIK116" s="73"/>
      <c r="TIL116" s="73"/>
      <c r="TIM116" s="73"/>
      <c r="TIN116" s="73"/>
      <c r="TIO116" s="73"/>
      <c r="TIP116" s="73"/>
      <c r="TIQ116" s="73"/>
      <c r="TIR116" s="73"/>
      <c r="TIS116" s="73"/>
      <c r="TIT116" s="73"/>
      <c r="TIU116" s="73"/>
      <c r="TIV116" s="73"/>
      <c r="TIW116" s="73"/>
      <c r="TIX116" s="73"/>
      <c r="TIY116" s="73"/>
      <c r="TIZ116" s="73"/>
      <c r="TJA116" s="73"/>
      <c r="TJB116" s="73"/>
      <c r="TJC116" s="73"/>
      <c r="TJD116" s="73"/>
      <c r="TJE116" s="73"/>
      <c r="TJF116" s="73"/>
      <c r="TJG116" s="73"/>
      <c r="TJH116" s="73"/>
      <c r="TJI116" s="73"/>
      <c r="TJJ116" s="73"/>
      <c r="TJK116" s="73"/>
      <c r="TJL116" s="73"/>
      <c r="TJM116" s="73"/>
      <c r="TJN116" s="73"/>
      <c r="TJO116" s="73"/>
      <c r="TJP116" s="73"/>
      <c r="TJQ116" s="73"/>
      <c r="TJR116" s="73"/>
      <c r="TJS116" s="73"/>
      <c r="TJT116" s="73"/>
      <c r="TJU116" s="73"/>
      <c r="TJV116" s="73"/>
      <c r="TJW116" s="73"/>
      <c r="TJX116" s="73"/>
      <c r="TJY116" s="73"/>
      <c r="TJZ116" s="73"/>
      <c r="TKA116" s="73"/>
      <c r="TKB116" s="73"/>
      <c r="TKC116" s="73"/>
      <c r="TKD116" s="73"/>
      <c r="TKE116" s="73"/>
      <c r="TKF116" s="73"/>
      <c r="TKG116" s="73"/>
      <c r="TKH116" s="73"/>
      <c r="TKI116" s="73"/>
      <c r="TKJ116" s="73"/>
      <c r="TKK116" s="73"/>
      <c r="TKL116" s="73"/>
      <c r="TKM116" s="73"/>
      <c r="TKN116" s="73"/>
      <c r="TKO116" s="73"/>
      <c r="TKP116" s="73"/>
      <c r="TKQ116" s="73"/>
      <c r="TKR116" s="73"/>
      <c r="TKS116" s="73"/>
      <c r="TKT116" s="73"/>
      <c r="TKU116" s="73"/>
      <c r="TKV116" s="73"/>
      <c r="TKW116" s="73"/>
      <c r="TKX116" s="73"/>
      <c r="TKY116" s="73"/>
      <c r="TKZ116" s="73"/>
      <c r="TLA116" s="73"/>
      <c r="TLB116" s="73"/>
      <c r="TLC116" s="73"/>
      <c r="TLD116" s="73"/>
      <c r="TLE116" s="73"/>
      <c r="TLF116" s="73"/>
      <c r="TLG116" s="73"/>
      <c r="TLH116" s="73"/>
      <c r="TLI116" s="73"/>
      <c r="TLJ116" s="73"/>
      <c r="TLK116" s="73"/>
      <c r="TLL116" s="73"/>
      <c r="TLM116" s="73"/>
      <c r="TLN116" s="73"/>
      <c r="TLO116" s="73"/>
      <c r="TLP116" s="73"/>
      <c r="TLQ116" s="73"/>
      <c r="TLR116" s="73"/>
      <c r="TLS116" s="73"/>
      <c r="TLT116" s="73"/>
      <c r="TLU116" s="73"/>
      <c r="TLV116" s="73"/>
      <c r="TLW116" s="73"/>
      <c r="TLX116" s="73"/>
      <c r="TLY116" s="73"/>
      <c r="TLZ116" s="73"/>
      <c r="TMA116" s="73"/>
      <c r="TMB116" s="73"/>
      <c r="TMC116" s="73"/>
      <c r="TMD116" s="73"/>
      <c r="TME116" s="73"/>
      <c r="TMF116" s="73"/>
      <c r="TMG116" s="73"/>
      <c r="TMH116" s="73"/>
      <c r="TMI116" s="73"/>
      <c r="TMJ116" s="73"/>
      <c r="TMK116" s="73"/>
      <c r="TML116" s="73"/>
      <c r="TMM116" s="73"/>
      <c r="TMN116" s="73"/>
      <c r="TMO116" s="73"/>
      <c r="TMP116" s="73"/>
      <c r="TMQ116" s="73"/>
      <c r="TMR116" s="73"/>
      <c r="TMS116" s="73"/>
      <c r="TMT116" s="73"/>
      <c r="TMU116" s="73"/>
      <c r="TMV116" s="73"/>
      <c r="TMW116" s="73"/>
      <c r="TMX116" s="73"/>
      <c r="TMY116" s="73"/>
      <c r="TMZ116" s="73"/>
      <c r="TNA116" s="73"/>
      <c r="TNB116" s="73"/>
      <c r="TNC116" s="73"/>
      <c r="TND116" s="73"/>
      <c r="TNE116" s="73"/>
      <c r="TNF116" s="73"/>
      <c r="TNG116" s="73"/>
      <c r="TNH116" s="73"/>
      <c r="TNI116" s="73"/>
      <c r="TNJ116" s="73"/>
      <c r="TNK116" s="73"/>
      <c r="TNL116" s="73"/>
      <c r="TNM116" s="73"/>
      <c r="TNN116" s="73"/>
      <c r="TNO116" s="73"/>
      <c r="TNP116" s="73"/>
      <c r="TNQ116" s="73"/>
      <c r="TNR116" s="73"/>
      <c r="TNS116" s="73"/>
      <c r="TNT116" s="73"/>
      <c r="TNU116" s="73"/>
      <c r="TNV116" s="73"/>
      <c r="TNW116" s="73"/>
      <c r="TNX116" s="73"/>
      <c r="TNY116" s="73"/>
      <c r="TNZ116" s="73"/>
      <c r="TOA116" s="73"/>
      <c r="TOB116" s="73"/>
      <c r="TOC116" s="73"/>
      <c r="TOD116" s="73"/>
      <c r="TOE116" s="73"/>
      <c r="TOF116" s="73"/>
      <c r="TOG116" s="73"/>
      <c r="TOH116" s="73"/>
      <c r="TOI116" s="73"/>
      <c r="TOJ116" s="73"/>
      <c r="TOK116" s="73"/>
      <c r="TOL116" s="73"/>
      <c r="TOM116" s="73"/>
      <c r="TON116" s="73"/>
      <c r="TOO116" s="73"/>
      <c r="TOP116" s="73"/>
      <c r="TOQ116" s="73"/>
      <c r="TOR116" s="73"/>
      <c r="TOS116" s="73"/>
      <c r="TOT116" s="73"/>
      <c r="TOU116" s="73"/>
      <c r="TOV116" s="73"/>
      <c r="TOW116" s="73"/>
      <c r="TOX116" s="73"/>
      <c r="TOY116" s="73"/>
      <c r="TOZ116" s="73"/>
      <c r="TPA116" s="73"/>
      <c r="TPB116" s="73"/>
      <c r="TPC116" s="73"/>
      <c r="TPD116" s="73"/>
      <c r="TPE116" s="73"/>
      <c r="TPF116" s="73"/>
      <c r="TPG116" s="73"/>
      <c r="TPH116" s="73"/>
      <c r="TPI116" s="73"/>
      <c r="TPJ116" s="73"/>
      <c r="TPK116" s="73"/>
      <c r="TPL116" s="73"/>
      <c r="TPM116" s="73"/>
      <c r="TPN116" s="73"/>
      <c r="TPO116" s="73"/>
      <c r="TPP116" s="73"/>
      <c r="TPQ116" s="73"/>
      <c r="TPR116" s="73"/>
      <c r="TPS116" s="73"/>
      <c r="TPT116" s="73"/>
      <c r="TPU116" s="73"/>
      <c r="TPV116" s="73"/>
      <c r="TPW116" s="73"/>
      <c r="TPX116" s="73"/>
      <c r="TPY116" s="73"/>
      <c r="TPZ116" s="73"/>
      <c r="TQA116" s="73"/>
      <c r="TQB116" s="73"/>
      <c r="TQC116" s="73"/>
      <c r="TQD116" s="73"/>
      <c r="TQE116" s="73"/>
      <c r="TQF116" s="73"/>
      <c r="TQG116" s="73"/>
      <c r="TQH116" s="73"/>
      <c r="TQI116" s="73"/>
      <c r="TQJ116" s="73"/>
      <c r="TQK116" s="73"/>
      <c r="TQL116" s="73"/>
      <c r="TQM116" s="73"/>
      <c r="TQN116" s="73"/>
      <c r="TQO116" s="73"/>
      <c r="TQP116" s="73"/>
      <c r="TQQ116" s="73"/>
      <c r="TQR116" s="73"/>
      <c r="TQS116" s="73"/>
      <c r="TQT116" s="73"/>
      <c r="TQU116" s="73"/>
      <c r="TQV116" s="73"/>
      <c r="TQW116" s="73"/>
      <c r="TQX116" s="73"/>
      <c r="TQY116" s="73"/>
      <c r="TQZ116" s="73"/>
      <c r="TRA116" s="73"/>
      <c r="TRB116" s="73"/>
      <c r="TRC116" s="73"/>
      <c r="TRD116" s="73"/>
      <c r="TRE116" s="73"/>
      <c r="TRF116" s="73"/>
      <c r="TRG116" s="73"/>
      <c r="TRH116" s="73"/>
      <c r="TRI116" s="73"/>
      <c r="TRJ116" s="73"/>
      <c r="TRK116" s="73"/>
      <c r="TRL116" s="73"/>
      <c r="TRM116" s="73"/>
      <c r="TRN116" s="73"/>
      <c r="TRO116" s="73"/>
      <c r="TRP116" s="73"/>
      <c r="TRQ116" s="73"/>
      <c r="TRR116" s="73"/>
      <c r="TRS116" s="73"/>
      <c r="TRT116" s="73"/>
      <c r="TRU116" s="73"/>
      <c r="TRV116" s="73"/>
      <c r="TRW116" s="73"/>
      <c r="TRX116" s="73"/>
      <c r="TRY116" s="73"/>
      <c r="TRZ116" s="73"/>
      <c r="TSA116" s="73"/>
      <c r="TSB116" s="73"/>
      <c r="TSC116" s="73"/>
      <c r="TSD116" s="73"/>
      <c r="TSE116" s="73"/>
      <c r="TSF116" s="73"/>
      <c r="TSG116" s="73"/>
      <c r="TSH116" s="73"/>
      <c r="TSI116" s="73"/>
      <c r="TSJ116" s="73"/>
      <c r="TSK116" s="73"/>
      <c r="TSL116" s="73"/>
      <c r="TSM116" s="73"/>
      <c r="TSN116" s="73"/>
      <c r="TSO116" s="73"/>
      <c r="TSP116" s="73"/>
      <c r="TSQ116" s="73"/>
      <c r="TSR116" s="73"/>
      <c r="TSS116" s="73"/>
      <c r="TST116" s="73"/>
      <c r="TSU116" s="73"/>
      <c r="TSV116" s="73"/>
      <c r="TSW116" s="73"/>
      <c r="TSX116" s="73"/>
      <c r="TSY116" s="73"/>
      <c r="TSZ116" s="73"/>
      <c r="TTA116" s="73"/>
      <c r="TTB116" s="73"/>
      <c r="TTC116" s="73"/>
      <c r="TTD116" s="73"/>
      <c r="TTE116" s="73"/>
      <c r="TTF116" s="73"/>
      <c r="TTG116" s="73"/>
      <c r="TTH116" s="73"/>
      <c r="TTI116" s="73"/>
      <c r="TTJ116" s="73"/>
      <c r="TTK116" s="73"/>
      <c r="TTL116" s="73"/>
      <c r="TTM116" s="73"/>
      <c r="TTN116" s="73"/>
      <c r="TTO116" s="73"/>
      <c r="TTP116" s="73"/>
      <c r="TTQ116" s="73"/>
      <c r="TTR116" s="73"/>
      <c r="TTS116" s="73"/>
      <c r="TTT116" s="73"/>
      <c r="TTU116" s="73"/>
      <c r="TTV116" s="73"/>
      <c r="TTW116" s="73"/>
      <c r="TTX116" s="73"/>
      <c r="TTY116" s="73"/>
      <c r="TTZ116" s="73"/>
      <c r="TUA116" s="73"/>
      <c r="TUB116" s="73"/>
      <c r="TUC116" s="73"/>
      <c r="TUD116" s="73"/>
      <c r="TUE116" s="73"/>
      <c r="TUF116" s="73"/>
      <c r="TUG116" s="73"/>
      <c r="TUH116" s="73"/>
      <c r="TUI116" s="73"/>
      <c r="TUJ116" s="73"/>
      <c r="TUK116" s="73"/>
      <c r="TUL116" s="73"/>
      <c r="TUM116" s="73"/>
      <c r="TUN116" s="73"/>
      <c r="TUO116" s="73"/>
      <c r="TUP116" s="73"/>
      <c r="TUQ116" s="73"/>
      <c r="TUR116" s="73"/>
      <c r="TUS116" s="73"/>
      <c r="TUT116" s="73"/>
      <c r="TUU116" s="73"/>
      <c r="TUV116" s="73"/>
      <c r="TUW116" s="73"/>
      <c r="TUX116" s="73"/>
      <c r="TUY116" s="73"/>
      <c r="TUZ116" s="73"/>
      <c r="TVA116" s="73"/>
      <c r="TVB116" s="73"/>
      <c r="TVC116" s="73"/>
      <c r="TVD116" s="73"/>
      <c r="TVE116" s="73"/>
      <c r="TVF116" s="73"/>
      <c r="TVG116" s="73"/>
      <c r="TVH116" s="73"/>
      <c r="TVI116" s="73"/>
      <c r="TVJ116" s="73"/>
      <c r="TVK116" s="73"/>
      <c r="TVL116" s="73"/>
      <c r="TVM116" s="73"/>
      <c r="TVN116" s="73"/>
      <c r="TVO116" s="73"/>
      <c r="TVP116" s="73"/>
      <c r="TVQ116" s="73"/>
      <c r="TVR116" s="73"/>
      <c r="TVS116" s="73"/>
      <c r="TVT116" s="73"/>
      <c r="TVU116" s="73"/>
      <c r="TVV116" s="73"/>
      <c r="TVW116" s="73"/>
      <c r="TVX116" s="73"/>
      <c r="TVY116" s="73"/>
      <c r="TVZ116" s="73"/>
      <c r="TWA116" s="73"/>
      <c r="TWB116" s="73"/>
      <c r="TWC116" s="73"/>
      <c r="TWD116" s="73"/>
      <c r="TWE116" s="73"/>
      <c r="TWF116" s="73"/>
      <c r="TWG116" s="73"/>
      <c r="TWH116" s="73"/>
      <c r="TWI116" s="73"/>
      <c r="TWJ116" s="73"/>
      <c r="TWK116" s="73"/>
      <c r="TWL116" s="73"/>
      <c r="TWM116" s="73"/>
      <c r="TWN116" s="73"/>
      <c r="TWO116" s="73"/>
      <c r="TWP116" s="73"/>
      <c r="TWQ116" s="73"/>
      <c r="TWR116" s="73"/>
      <c r="TWS116" s="73"/>
      <c r="TWT116" s="73"/>
      <c r="TWU116" s="73"/>
      <c r="TWV116" s="73"/>
      <c r="TWW116" s="73"/>
      <c r="TWX116" s="73"/>
      <c r="TWY116" s="73"/>
      <c r="TWZ116" s="73"/>
      <c r="TXA116" s="73"/>
      <c r="TXB116" s="73"/>
      <c r="TXC116" s="73"/>
      <c r="TXD116" s="73"/>
      <c r="TXE116" s="73"/>
      <c r="TXF116" s="73"/>
      <c r="TXG116" s="73"/>
      <c r="TXH116" s="73"/>
      <c r="TXI116" s="73"/>
      <c r="TXJ116" s="73"/>
      <c r="TXK116" s="73"/>
      <c r="TXL116" s="73"/>
      <c r="TXM116" s="73"/>
      <c r="TXN116" s="73"/>
      <c r="TXO116" s="73"/>
      <c r="TXP116" s="73"/>
      <c r="TXQ116" s="73"/>
      <c r="TXR116" s="73"/>
      <c r="TXS116" s="73"/>
      <c r="TXT116" s="73"/>
      <c r="TXU116" s="73"/>
      <c r="TXV116" s="73"/>
      <c r="TXW116" s="73"/>
      <c r="TXX116" s="73"/>
      <c r="TXY116" s="73"/>
      <c r="TXZ116" s="73"/>
      <c r="TYA116" s="73"/>
      <c r="TYB116" s="73"/>
      <c r="TYC116" s="73"/>
      <c r="TYD116" s="73"/>
      <c r="TYE116" s="73"/>
      <c r="TYF116" s="73"/>
      <c r="TYG116" s="73"/>
      <c r="TYH116" s="73"/>
      <c r="TYI116" s="73"/>
      <c r="TYJ116" s="73"/>
      <c r="TYK116" s="73"/>
      <c r="TYL116" s="73"/>
      <c r="TYM116" s="73"/>
      <c r="TYN116" s="73"/>
      <c r="TYO116" s="73"/>
      <c r="TYP116" s="73"/>
      <c r="TYQ116" s="73"/>
      <c r="TYR116" s="73"/>
      <c r="TYS116" s="73"/>
      <c r="TYT116" s="73"/>
      <c r="TYU116" s="73"/>
      <c r="TYV116" s="73"/>
      <c r="TYW116" s="73"/>
      <c r="TYX116" s="73"/>
      <c r="TYY116" s="73"/>
      <c r="TYZ116" s="73"/>
      <c r="TZA116" s="73"/>
      <c r="TZB116" s="73"/>
      <c r="TZC116" s="73"/>
      <c r="TZD116" s="73"/>
      <c r="TZE116" s="73"/>
      <c r="TZF116" s="73"/>
      <c r="TZG116" s="73"/>
      <c r="TZH116" s="73"/>
      <c r="TZI116" s="73"/>
      <c r="TZJ116" s="73"/>
      <c r="TZK116" s="73"/>
      <c r="TZL116" s="73"/>
      <c r="TZM116" s="73"/>
      <c r="TZN116" s="73"/>
      <c r="TZO116" s="73"/>
      <c r="TZP116" s="73"/>
      <c r="TZQ116" s="73"/>
      <c r="TZR116" s="73"/>
      <c r="TZS116" s="73"/>
      <c r="TZT116" s="73"/>
      <c r="TZU116" s="73"/>
      <c r="TZV116" s="73"/>
      <c r="TZW116" s="73"/>
      <c r="TZX116" s="73"/>
      <c r="TZY116" s="73"/>
      <c r="TZZ116" s="73"/>
      <c r="UAA116" s="73"/>
      <c r="UAB116" s="73"/>
      <c r="UAC116" s="73"/>
      <c r="UAD116" s="73"/>
      <c r="UAE116" s="73"/>
      <c r="UAF116" s="73"/>
      <c r="UAG116" s="73"/>
      <c r="UAH116" s="73"/>
      <c r="UAI116" s="73"/>
      <c r="UAJ116" s="73"/>
      <c r="UAK116" s="73"/>
      <c r="UAL116" s="73"/>
      <c r="UAM116" s="73"/>
      <c r="UAN116" s="73"/>
      <c r="UAO116" s="73"/>
      <c r="UAP116" s="73"/>
      <c r="UAQ116" s="73"/>
      <c r="UAR116" s="73"/>
      <c r="UAS116" s="73"/>
      <c r="UAT116" s="73"/>
      <c r="UAU116" s="73"/>
      <c r="UAV116" s="73"/>
      <c r="UAW116" s="73"/>
      <c r="UAX116" s="73"/>
      <c r="UAY116" s="73"/>
      <c r="UAZ116" s="73"/>
      <c r="UBA116" s="73"/>
      <c r="UBB116" s="73"/>
      <c r="UBC116" s="73"/>
      <c r="UBD116" s="73"/>
      <c r="UBE116" s="73"/>
      <c r="UBF116" s="73"/>
      <c r="UBG116" s="73"/>
      <c r="UBH116" s="73"/>
      <c r="UBI116" s="73"/>
      <c r="UBJ116" s="73"/>
      <c r="UBK116" s="73"/>
      <c r="UBL116" s="73"/>
      <c r="UBM116" s="73"/>
      <c r="UBN116" s="73"/>
      <c r="UBO116" s="73"/>
      <c r="UBP116" s="73"/>
      <c r="UBQ116" s="73"/>
      <c r="UBR116" s="73"/>
      <c r="UBS116" s="73"/>
      <c r="UBT116" s="73"/>
      <c r="UBU116" s="73"/>
      <c r="UBV116" s="73"/>
      <c r="UBW116" s="73"/>
      <c r="UBX116" s="73"/>
      <c r="UBY116" s="73"/>
      <c r="UBZ116" s="73"/>
      <c r="UCA116" s="73"/>
      <c r="UCB116" s="73"/>
      <c r="UCC116" s="73"/>
      <c r="UCD116" s="73"/>
      <c r="UCE116" s="73"/>
      <c r="UCF116" s="73"/>
      <c r="UCG116" s="73"/>
      <c r="UCH116" s="73"/>
      <c r="UCI116" s="73"/>
      <c r="UCJ116" s="73"/>
      <c r="UCK116" s="73"/>
      <c r="UCL116" s="73"/>
      <c r="UCM116" s="73"/>
      <c r="UCN116" s="73"/>
      <c r="UCO116" s="73"/>
      <c r="UCP116" s="73"/>
      <c r="UCQ116" s="73"/>
      <c r="UCR116" s="73"/>
      <c r="UCS116" s="73"/>
      <c r="UCT116" s="73"/>
      <c r="UCU116" s="73"/>
      <c r="UCV116" s="73"/>
      <c r="UCW116" s="73"/>
      <c r="UCX116" s="73"/>
      <c r="UCY116" s="73"/>
      <c r="UCZ116" s="73"/>
      <c r="UDA116" s="73"/>
      <c r="UDB116" s="73"/>
      <c r="UDC116" s="73"/>
      <c r="UDD116" s="73"/>
      <c r="UDE116" s="73"/>
      <c r="UDF116" s="73"/>
      <c r="UDG116" s="73"/>
      <c r="UDH116" s="73"/>
      <c r="UDI116" s="73"/>
      <c r="UDJ116" s="73"/>
      <c r="UDK116" s="73"/>
      <c r="UDL116" s="73"/>
      <c r="UDM116" s="73"/>
      <c r="UDN116" s="73"/>
      <c r="UDO116" s="73"/>
      <c r="UDP116" s="73"/>
      <c r="UDQ116" s="73"/>
      <c r="UDR116" s="73"/>
      <c r="UDS116" s="73"/>
      <c r="UDT116" s="73"/>
      <c r="UDU116" s="73"/>
      <c r="UDV116" s="73"/>
      <c r="UDW116" s="73"/>
      <c r="UDX116" s="73"/>
      <c r="UDY116" s="73"/>
      <c r="UDZ116" s="73"/>
      <c r="UEA116" s="73"/>
      <c r="UEB116" s="73"/>
      <c r="UEC116" s="73"/>
      <c r="UED116" s="73"/>
      <c r="UEE116" s="73"/>
      <c r="UEF116" s="73"/>
      <c r="UEG116" s="73"/>
      <c r="UEH116" s="73"/>
      <c r="UEI116" s="73"/>
      <c r="UEJ116" s="73"/>
      <c r="UEK116" s="73"/>
      <c r="UEL116" s="73"/>
      <c r="UEM116" s="73"/>
      <c r="UEN116" s="73"/>
      <c r="UEO116" s="73"/>
      <c r="UEP116" s="73"/>
      <c r="UEQ116" s="73"/>
      <c r="UER116" s="73"/>
      <c r="UES116" s="73"/>
      <c r="UET116" s="73"/>
      <c r="UEU116" s="73"/>
      <c r="UEV116" s="73"/>
      <c r="UEW116" s="73"/>
      <c r="UEX116" s="73"/>
      <c r="UEY116" s="73"/>
      <c r="UEZ116" s="73"/>
      <c r="UFA116" s="73"/>
      <c r="UFB116" s="73"/>
      <c r="UFC116" s="73"/>
      <c r="UFD116" s="73"/>
      <c r="UFE116" s="73"/>
      <c r="UFF116" s="73"/>
      <c r="UFG116" s="73"/>
      <c r="UFH116" s="73"/>
      <c r="UFI116" s="73"/>
      <c r="UFJ116" s="73"/>
      <c r="UFK116" s="73"/>
      <c r="UFL116" s="73"/>
      <c r="UFM116" s="73"/>
      <c r="UFN116" s="73"/>
      <c r="UFO116" s="73"/>
      <c r="UFP116" s="73"/>
      <c r="UFQ116" s="73"/>
      <c r="UFR116" s="73"/>
      <c r="UFS116" s="73"/>
      <c r="UFT116" s="73"/>
      <c r="UFU116" s="73"/>
      <c r="UFV116" s="73"/>
      <c r="UFW116" s="73"/>
      <c r="UFX116" s="73"/>
      <c r="UFY116" s="73"/>
      <c r="UFZ116" s="73"/>
      <c r="UGA116" s="73"/>
      <c r="UGB116" s="73"/>
      <c r="UGC116" s="73"/>
      <c r="UGD116" s="73"/>
      <c r="UGE116" s="73"/>
      <c r="UGF116" s="73"/>
      <c r="UGG116" s="73"/>
      <c r="UGH116" s="73"/>
      <c r="UGI116" s="73"/>
      <c r="UGJ116" s="73"/>
      <c r="UGK116" s="73"/>
      <c r="UGL116" s="73"/>
      <c r="UGM116" s="73"/>
      <c r="UGN116" s="73"/>
      <c r="UGO116" s="73"/>
      <c r="UGP116" s="73"/>
      <c r="UGQ116" s="73"/>
      <c r="UGR116" s="73"/>
      <c r="UGS116" s="73"/>
      <c r="UGT116" s="73"/>
      <c r="UGU116" s="73"/>
      <c r="UGV116" s="73"/>
      <c r="UGW116" s="73"/>
      <c r="UGX116" s="73"/>
      <c r="UGY116" s="73"/>
      <c r="UGZ116" s="73"/>
      <c r="UHA116" s="73"/>
      <c r="UHB116" s="73"/>
      <c r="UHC116" s="73"/>
      <c r="UHD116" s="73"/>
      <c r="UHE116" s="73"/>
      <c r="UHF116" s="73"/>
      <c r="UHG116" s="73"/>
      <c r="UHH116" s="73"/>
      <c r="UHI116" s="73"/>
      <c r="UHJ116" s="73"/>
      <c r="UHK116" s="73"/>
      <c r="UHL116" s="73"/>
      <c r="UHM116" s="73"/>
      <c r="UHN116" s="73"/>
      <c r="UHO116" s="73"/>
      <c r="UHP116" s="73"/>
      <c r="UHQ116" s="73"/>
      <c r="UHR116" s="73"/>
      <c r="UHS116" s="73"/>
      <c r="UHT116" s="73"/>
      <c r="UHU116" s="73"/>
      <c r="UHV116" s="73"/>
      <c r="UHW116" s="73"/>
      <c r="UHX116" s="73"/>
      <c r="UHY116" s="73"/>
      <c r="UHZ116" s="73"/>
      <c r="UIA116" s="73"/>
      <c r="UIB116" s="73"/>
      <c r="UIC116" s="73"/>
      <c r="UID116" s="73"/>
      <c r="UIE116" s="73"/>
      <c r="UIF116" s="73"/>
      <c r="UIG116" s="73"/>
      <c r="UIH116" s="73"/>
      <c r="UII116" s="73"/>
      <c r="UIJ116" s="73"/>
      <c r="UIK116" s="73"/>
      <c r="UIL116" s="73"/>
      <c r="UIM116" s="73"/>
      <c r="UIN116" s="73"/>
      <c r="UIO116" s="73"/>
      <c r="UIP116" s="73"/>
      <c r="UIQ116" s="73"/>
      <c r="UIR116" s="73"/>
      <c r="UIS116" s="73"/>
      <c r="UIT116" s="73"/>
      <c r="UIU116" s="73"/>
      <c r="UIV116" s="73"/>
      <c r="UIW116" s="73"/>
      <c r="UIX116" s="73"/>
      <c r="UIY116" s="73"/>
      <c r="UIZ116" s="73"/>
      <c r="UJA116" s="73"/>
      <c r="UJB116" s="73"/>
      <c r="UJC116" s="73"/>
      <c r="UJD116" s="73"/>
      <c r="UJE116" s="73"/>
      <c r="UJF116" s="73"/>
      <c r="UJG116" s="73"/>
      <c r="UJH116" s="73"/>
      <c r="UJI116" s="73"/>
      <c r="UJJ116" s="73"/>
      <c r="UJK116" s="73"/>
      <c r="UJL116" s="73"/>
      <c r="UJM116" s="73"/>
      <c r="UJN116" s="73"/>
      <c r="UJO116" s="73"/>
      <c r="UJP116" s="73"/>
      <c r="UJQ116" s="73"/>
      <c r="UJR116" s="73"/>
      <c r="UJS116" s="73"/>
      <c r="UJT116" s="73"/>
      <c r="UJU116" s="73"/>
      <c r="UJV116" s="73"/>
      <c r="UJW116" s="73"/>
      <c r="UJX116" s="73"/>
      <c r="UJY116" s="73"/>
      <c r="UJZ116" s="73"/>
      <c r="UKA116" s="73"/>
      <c r="UKB116" s="73"/>
      <c r="UKC116" s="73"/>
      <c r="UKD116" s="73"/>
      <c r="UKE116" s="73"/>
      <c r="UKF116" s="73"/>
      <c r="UKG116" s="73"/>
      <c r="UKH116" s="73"/>
      <c r="UKI116" s="73"/>
      <c r="UKJ116" s="73"/>
      <c r="UKK116" s="73"/>
      <c r="UKL116" s="73"/>
      <c r="UKM116" s="73"/>
      <c r="UKN116" s="73"/>
      <c r="UKO116" s="73"/>
      <c r="UKP116" s="73"/>
      <c r="UKQ116" s="73"/>
      <c r="UKR116" s="73"/>
      <c r="UKS116" s="73"/>
      <c r="UKT116" s="73"/>
      <c r="UKU116" s="73"/>
      <c r="UKV116" s="73"/>
      <c r="UKW116" s="73"/>
      <c r="UKX116" s="73"/>
      <c r="UKY116" s="73"/>
      <c r="UKZ116" s="73"/>
      <c r="ULA116" s="73"/>
      <c r="ULB116" s="73"/>
      <c r="ULC116" s="73"/>
      <c r="ULD116" s="73"/>
      <c r="ULE116" s="73"/>
      <c r="ULF116" s="73"/>
      <c r="ULG116" s="73"/>
      <c r="ULH116" s="73"/>
      <c r="ULI116" s="73"/>
      <c r="ULJ116" s="73"/>
      <c r="ULK116" s="73"/>
      <c r="ULL116" s="73"/>
      <c r="ULM116" s="73"/>
      <c r="ULN116" s="73"/>
      <c r="ULO116" s="73"/>
      <c r="ULP116" s="73"/>
      <c r="ULQ116" s="73"/>
      <c r="ULR116" s="73"/>
      <c r="ULS116" s="73"/>
      <c r="ULT116" s="73"/>
      <c r="ULU116" s="73"/>
      <c r="ULV116" s="73"/>
      <c r="ULW116" s="73"/>
      <c r="ULX116" s="73"/>
      <c r="ULY116" s="73"/>
      <c r="ULZ116" s="73"/>
      <c r="UMA116" s="73"/>
      <c r="UMB116" s="73"/>
      <c r="UMC116" s="73"/>
      <c r="UMD116" s="73"/>
      <c r="UME116" s="73"/>
      <c r="UMF116" s="73"/>
      <c r="UMG116" s="73"/>
      <c r="UMH116" s="73"/>
      <c r="UMI116" s="73"/>
      <c r="UMJ116" s="73"/>
      <c r="UMK116" s="73"/>
      <c r="UML116" s="73"/>
      <c r="UMM116" s="73"/>
      <c r="UMN116" s="73"/>
      <c r="UMO116" s="73"/>
      <c r="UMP116" s="73"/>
      <c r="UMQ116" s="73"/>
      <c r="UMR116" s="73"/>
      <c r="UMS116" s="73"/>
      <c r="UMT116" s="73"/>
      <c r="UMU116" s="73"/>
      <c r="UMV116" s="73"/>
      <c r="UMW116" s="73"/>
      <c r="UMX116" s="73"/>
      <c r="UMY116" s="73"/>
      <c r="UMZ116" s="73"/>
      <c r="UNA116" s="73"/>
      <c r="UNB116" s="73"/>
      <c r="UNC116" s="73"/>
      <c r="UND116" s="73"/>
      <c r="UNE116" s="73"/>
      <c r="UNF116" s="73"/>
      <c r="UNG116" s="73"/>
      <c r="UNH116" s="73"/>
      <c r="UNI116" s="73"/>
      <c r="UNJ116" s="73"/>
      <c r="UNK116" s="73"/>
      <c r="UNL116" s="73"/>
      <c r="UNM116" s="73"/>
      <c r="UNN116" s="73"/>
      <c r="UNO116" s="73"/>
      <c r="UNP116" s="73"/>
      <c r="UNQ116" s="73"/>
      <c r="UNR116" s="73"/>
      <c r="UNS116" s="73"/>
      <c r="UNT116" s="73"/>
      <c r="UNU116" s="73"/>
      <c r="UNV116" s="73"/>
      <c r="UNW116" s="73"/>
      <c r="UNX116" s="73"/>
      <c r="UNY116" s="73"/>
      <c r="UNZ116" s="73"/>
      <c r="UOA116" s="73"/>
      <c r="UOB116" s="73"/>
      <c r="UOC116" s="73"/>
      <c r="UOD116" s="73"/>
      <c r="UOE116" s="73"/>
      <c r="UOF116" s="73"/>
      <c r="UOG116" s="73"/>
      <c r="UOH116" s="73"/>
      <c r="UOI116" s="73"/>
      <c r="UOJ116" s="73"/>
      <c r="UOK116" s="73"/>
      <c r="UOL116" s="73"/>
      <c r="UOM116" s="73"/>
      <c r="UON116" s="73"/>
      <c r="UOO116" s="73"/>
      <c r="UOP116" s="73"/>
      <c r="UOQ116" s="73"/>
      <c r="UOR116" s="73"/>
      <c r="UOS116" s="73"/>
      <c r="UOT116" s="73"/>
      <c r="UOU116" s="73"/>
      <c r="UOV116" s="73"/>
      <c r="UOW116" s="73"/>
      <c r="UOX116" s="73"/>
      <c r="UOY116" s="73"/>
      <c r="UOZ116" s="73"/>
      <c r="UPA116" s="73"/>
      <c r="UPB116" s="73"/>
      <c r="UPC116" s="73"/>
      <c r="UPD116" s="73"/>
      <c r="UPE116" s="73"/>
      <c r="UPF116" s="73"/>
      <c r="UPG116" s="73"/>
      <c r="UPH116" s="73"/>
      <c r="UPI116" s="73"/>
      <c r="UPJ116" s="73"/>
      <c r="UPK116" s="73"/>
      <c r="UPL116" s="73"/>
      <c r="UPM116" s="73"/>
      <c r="UPN116" s="73"/>
      <c r="UPO116" s="73"/>
      <c r="UPP116" s="73"/>
      <c r="UPQ116" s="73"/>
      <c r="UPR116" s="73"/>
      <c r="UPS116" s="73"/>
      <c r="UPT116" s="73"/>
      <c r="UPU116" s="73"/>
      <c r="UPV116" s="73"/>
      <c r="UPW116" s="73"/>
      <c r="UPX116" s="73"/>
      <c r="UPY116" s="73"/>
      <c r="UPZ116" s="73"/>
      <c r="UQA116" s="73"/>
      <c r="UQB116" s="73"/>
      <c r="UQC116" s="73"/>
      <c r="UQD116" s="73"/>
      <c r="UQE116" s="73"/>
      <c r="UQF116" s="73"/>
      <c r="UQG116" s="73"/>
      <c r="UQH116" s="73"/>
      <c r="UQI116" s="73"/>
      <c r="UQJ116" s="73"/>
      <c r="UQK116" s="73"/>
      <c r="UQL116" s="73"/>
      <c r="UQM116" s="73"/>
      <c r="UQN116" s="73"/>
      <c r="UQO116" s="73"/>
      <c r="UQP116" s="73"/>
      <c r="UQQ116" s="73"/>
      <c r="UQR116" s="73"/>
      <c r="UQS116" s="73"/>
      <c r="UQT116" s="73"/>
      <c r="UQU116" s="73"/>
      <c r="UQV116" s="73"/>
      <c r="UQW116" s="73"/>
      <c r="UQX116" s="73"/>
      <c r="UQY116" s="73"/>
      <c r="UQZ116" s="73"/>
      <c r="URA116" s="73"/>
      <c r="URB116" s="73"/>
      <c r="URC116" s="73"/>
      <c r="URD116" s="73"/>
      <c r="URE116" s="73"/>
      <c r="URF116" s="73"/>
      <c r="URG116" s="73"/>
      <c r="URH116" s="73"/>
      <c r="URI116" s="73"/>
      <c r="URJ116" s="73"/>
      <c r="URK116" s="73"/>
      <c r="URL116" s="73"/>
      <c r="URM116" s="73"/>
      <c r="URN116" s="73"/>
      <c r="URO116" s="73"/>
      <c r="URP116" s="73"/>
      <c r="URQ116" s="73"/>
      <c r="URR116" s="73"/>
      <c r="URS116" s="73"/>
      <c r="URT116" s="73"/>
      <c r="URU116" s="73"/>
      <c r="URV116" s="73"/>
      <c r="URW116" s="73"/>
      <c r="URX116" s="73"/>
      <c r="URY116" s="73"/>
      <c r="URZ116" s="73"/>
      <c r="USA116" s="73"/>
      <c r="USB116" s="73"/>
      <c r="USC116" s="73"/>
      <c r="USD116" s="73"/>
      <c r="USE116" s="73"/>
      <c r="USF116" s="73"/>
      <c r="USG116" s="73"/>
      <c r="USH116" s="73"/>
      <c r="USI116" s="73"/>
      <c r="USJ116" s="73"/>
      <c r="USK116" s="73"/>
      <c r="USL116" s="73"/>
      <c r="USM116" s="73"/>
      <c r="USN116" s="73"/>
      <c r="USO116" s="73"/>
      <c r="USP116" s="73"/>
      <c r="USQ116" s="73"/>
      <c r="USR116" s="73"/>
      <c r="USS116" s="73"/>
      <c r="UST116" s="73"/>
      <c r="USU116" s="73"/>
      <c r="USV116" s="73"/>
      <c r="USW116" s="73"/>
      <c r="USX116" s="73"/>
      <c r="USY116" s="73"/>
      <c r="USZ116" s="73"/>
      <c r="UTA116" s="73"/>
      <c r="UTB116" s="73"/>
      <c r="UTC116" s="73"/>
      <c r="UTD116" s="73"/>
      <c r="UTE116" s="73"/>
      <c r="UTF116" s="73"/>
      <c r="UTG116" s="73"/>
      <c r="UTH116" s="73"/>
      <c r="UTI116" s="73"/>
      <c r="UTJ116" s="73"/>
      <c r="UTK116" s="73"/>
      <c r="UTL116" s="73"/>
      <c r="UTM116" s="73"/>
      <c r="UTN116" s="73"/>
      <c r="UTO116" s="73"/>
      <c r="UTP116" s="73"/>
      <c r="UTQ116" s="73"/>
      <c r="UTR116" s="73"/>
      <c r="UTS116" s="73"/>
      <c r="UTT116" s="73"/>
      <c r="UTU116" s="73"/>
      <c r="UTV116" s="73"/>
      <c r="UTW116" s="73"/>
      <c r="UTX116" s="73"/>
      <c r="UTY116" s="73"/>
      <c r="UTZ116" s="73"/>
      <c r="UUA116" s="73"/>
      <c r="UUB116" s="73"/>
      <c r="UUC116" s="73"/>
      <c r="UUD116" s="73"/>
      <c r="UUE116" s="73"/>
      <c r="UUF116" s="73"/>
      <c r="UUG116" s="73"/>
      <c r="UUH116" s="73"/>
      <c r="UUI116" s="73"/>
      <c r="UUJ116" s="73"/>
      <c r="UUK116" s="73"/>
      <c r="UUL116" s="73"/>
      <c r="UUM116" s="73"/>
      <c r="UUN116" s="73"/>
      <c r="UUO116" s="73"/>
      <c r="UUP116" s="73"/>
      <c r="UUQ116" s="73"/>
      <c r="UUR116" s="73"/>
      <c r="UUS116" s="73"/>
      <c r="UUT116" s="73"/>
      <c r="UUU116" s="73"/>
      <c r="UUV116" s="73"/>
      <c r="UUW116" s="73"/>
      <c r="UUX116" s="73"/>
      <c r="UUY116" s="73"/>
      <c r="UUZ116" s="73"/>
      <c r="UVA116" s="73"/>
      <c r="UVB116" s="73"/>
      <c r="UVC116" s="73"/>
      <c r="UVD116" s="73"/>
      <c r="UVE116" s="73"/>
      <c r="UVF116" s="73"/>
      <c r="UVG116" s="73"/>
      <c r="UVH116" s="73"/>
      <c r="UVI116" s="73"/>
      <c r="UVJ116" s="73"/>
      <c r="UVK116" s="73"/>
      <c r="UVL116" s="73"/>
      <c r="UVM116" s="73"/>
      <c r="UVN116" s="73"/>
      <c r="UVO116" s="73"/>
      <c r="UVP116" s="73"/>
      <c r="UVQ116" s="73"/>
      <c r="UVR116" s="73"/>
      <c r="UVS116" s="73"/>
      <c r="UVT116" s="73"/>
      <c r="UVU116" s="73"/>
      <c r="UVV116" s="73"/>
      <c r="UVW116" s="73"/>
      <c r="UVX116" s="73"/>
      <c r="UVY116" s="73"/>
      <c r="UVZ116" s="73"/>
      <c r="UWA116" s="73"/>
      <c r="UWB116" s="73"/>
      <c r="UWC116" s="73"/>
      <c r="UWD116" s="73"/>
      <c r="UWE116" s="73"/>
      <c r="UWF116" s="73"/>
      <c r="UWG116" s="73"/>
      <c r="UWH116" s="73"/>
      <c r="UWI116" s="73"/>
      <c r="UWJ116" s="73"/>
      <c r="UWK116" s="73"/>
      <c r="UWL116" s="73"/>
      <c r="UWM116" s="73"/>
      <c r="UWN116" s="73"/>
      <c r="UWO116" s="73"/>
      <c r="UWP116" s="73"/>
      <c r="UWQ116" s="73"/>
      <c r="UWR116" s="73"/>
      <c r="UWS116" s="73"/>
      <c r="UWT116" s="73"/>
      <c r="UWU116" s="73"/>
      <c r="UWV116" s="73"/>
      <c r="UWW116" s="73"/>
      <c r="UWX116" s="73"/>
      <c r="UWY116" s="73"/>
      <c r="UWZ116" s="73"/>
      <c r="UXA116" s="73"/>
      <c r="UXB116" s="73"/>
      <c r="UXC116" s="73"/>
      <c r="UXD116" s="73"/>
      <c r="UXE116" s="73"/>
      <c r="UXF116" s="73"/>
      <c r="UXG116" s="73"/>
      <c r="UXH116" s="73"/>
      <c r="UXI116" s="73"/>
      <c r="UXJ116" s="73"/>
      <c r="UXK116" s="73"/>
      <c r="UXL116" s="73"/>
      <c r="UXM116" s="73"/>
      <c r="UXN116" s="73"/>
      <c r="UXO116" s="73"/>
      <c r="UXP116" s="73"/>
      <c r="UXQ116" s="73"/>
      <c r="UXR116" s="73"/>
      <c r="UXS116" s="73"/>
      <c r="UXT116" s="73"/>
      <c r="UXU116" s="73"/>
      <c r="UXV116" s="73"/>
      <c r="UXW116" s="73"/>
      <c r="UXX116" s="73"/>
      <c r="UXY116" s="73"/>
      <c r="UXZ116" s="73"/>
      <c r="UYA116" s="73"/>
      <c r="UYB116" s="73"/>
      <c r="UYC116" s="73"/>
      <c r="UYD116" s="73"/>
      <c r="UYE116" s="73"/>
      <c r="UYF116" s="73"/>
      <c r="UYG116" s="73"/>
      <c r="UYH116" s="73"/>
      <c r="UYI116" s="73"/>
      <c r="UYJ116" s="73"/>
      <c r="UYK116" s="73"/>
      <c r="UYL116" s="73"/>
      <c r="UYM116" s="73"/>
      <c r="UYN116" s="73"/>
      <c r="UYO116" s="73"/>
      <c r="UYP116" s="73"/>
      <c r="UYQ116" s="73"/>
      <c r="UYR116" s="73"/>
      <c r="UYS116" s="73"/>
      <c r="UYT116" s="73"/>
      <c r="UYU116" s="73"/>
      <c r="UYV116" s="73"/>
      <c r="UYW116" s="73"/>
      <c r="UYX116" s="73"/>
      <c r="UYY116" s="73"/>
      <c r="UYZ116" s="73"/>
      <c r="UZA116" s="73"/>
      <c r="UZB116" s="73"/>
      <c r="UZC116" s="73"/>
      <c r="UZD116" s="73"/>
      <c r="UZE116" s="73"/>
      <c r="UZF116" s="73"/>
      <c r="UZG116" s="73"/>
      <c r="UZH116" s="73"/>
      <c r="UZI116" s="73"/>
      <c r="UZJ116" s="73"/>
      <c r="UZK116" s="73"/>
      <c r="UZL116" s="73"/>
      <c r="UZM116" s="73"/>
      <c r="UZN116" s="73"/>
      <c r="UZO116" s="73"/>
      <c r="UZP116" s="73"/>
      <c r="UZQ116" s="73"/>
      <c r="UZR116" s="73"/>
      <c r="UZS116" s="73"/>
      <c r="UZT116" s="73"/>
      <c r="UZU116" s="73"/>
      <c r="UZV116" s="73"/>
      <c r="UZW116" s="73"/>
      <c r="UZX116" s="73"/>
      <c r="UZY116" s="73"/>
      <c r="UZZ116" s="73"/>
      <c r="VAA116" s="73"/>
      <c r="VAB116" s="73"/>
      <c r="VAC116" s="73"/>
      <c r="VAD116" s="73"/>
      <c r="VAE116" s="73"/>
      <c r="VAF116" s="73"/>
      <c r="VAG116" s="73"/>
      <c r="VAH116" s="73"/>
      <c r="VAI116" s="73"/>
      <c r="VAJ116" s="73"/>
      <c r="VAK116" s="73"/>
      <c r="VAL116" s="73"/>
      <c r="VAM116" s="73"/>
      <c r="VAN116" s="73"/>
      <c r="VAO116" s="73"/>
      <c r="VAP116" s="73"/>
      <c r="VAQ116" s="73"/>
      <c r="VAR116" s="73"/>
      <c r="VAS116" s="73"/>
      <c r="VAT116" s="73"/>
      <c r="VAU116" s="73"/>
      <c r="VAV116" s="73"/>
      <c r="VAW116" s="73"/>
      <c r="VAX116" s="73"/>
      <c r="VAY116" s="73"/>
      <c r="VAZ116" s="73"/>
      <c r="VBA116" s="73"/>
      <c r="VBB116" s="73"/>
      <c r="VBC116" s="73"/>
      <c r="VBD116" s="73"/>
      <c r="VBE116" s="73"/>
      <c r="VBF116" s="73"/>
      <c r="VBG116" s="73"/>
      <c r="VBH116" s="73"/>
      <c r="VBI116" s="73"/>
      <c r="VBJ116" s="73"/>
      <c r="VBK116" s="73"/>
      <c r="VBL116" s="73"/>
      <c r="VBM116" s="73"/>
      <c r="VBN116" s="73"/>
      <c r="VBO116" s="73"/>
      <c r="VBP116" s="73"/>
      <c r="VBQ116" s="73"/>
      <c r="VBR116" s="73"/>
      <c r="VBS116" s="73"/>
      <c r="VBT116" s="73"/>
      <c r="VBU116" s="73"/>
      <c r="VBV116" s="73"/>
      <c r="VBW116" s="73"/>
      <c r="VBX116" s="73"/>
      <c r="VBY116" s="73"/>
      <c r="VBZ116" s="73"/>
      <c r="VCA116" s="73"/>
      <c r="VCB116" s="73"/>
      <c r="VCC116" s="73"/>
      <c r="VCD116" s="73"/>
      <c r="VCE116" s="73"/>
      <c r="VCF116" s="73"/>
      <c r="VCG116" s="73"/>
      <c r="VCH116" s="73"/>
      <c r="VCI116" s="73"/>
      <c r="VCJ116" s="73"/>
      <c r="VCK116" s="73"/>
      <c r="VCL116" s="73"/>
      <c r="VCM116" s="73"/>
      <c r="VCN116" s="73"/>
      <c r="VCO116" s="73"/>
      <c r="VCP116" s="73"/>
      <c r="VCQ116" s="73"/>
      <c r="VCR116" s="73"/>
      <c r="VCS116" s="73"/>
      <c r="VCT116" s="73"/>
      <c r="VCU116" s="73"/>
      <c r="VCV116" s="73"/>
      <c r="VCW116" s="73"/>
      <c r="VCX116" s="73"/>
      <c r="VCY116" s="73"/>
      <c r="VCZ116" s="73"/>
      <c r="VDA116" s="73"/>
      <c r="VDB116" s="73"/>
      <c r="VDC116" s="73"/>
      <c r="VDD116" s="73"/>
      <c r="VDE116" s="73"/>
      <c r="VDF116" s="73"/>
      <c r="VDG116" s="73"/>
      <c r="VDH116" s="73"/>
      <c r="VDI116" s="73"/>
      <c r="VDJ116" s="73"/>
      <c r="VDK116" s="73"/>
      <c r="VDL116" s="73"/>
      <c r="VDM116" s="73"/>
      <c r="VDN116" s="73"/>
      <c r="VDO116" s="73"/>
      <c r="VDP116" s="73"/>
      <c r="VDQ116" s="73"/>
      <c r="VDR116" s="73"/>
      <c r="VDS116" s="73"/>
      <c r="VDT116" s="73"/>
      <c r="VDU116" s="73"/>
      <c r="VDV116" s="73"/>
      <c r="VDW116" s="73"/>
      <c r="VDX116" s="73"/>
      <c r="VDY116" s="73"/>
      <c r="VDZ116" s="73"/>
      <c r="VEA116" s="73"/>
      <c r="VEB116" s="73"/>
      <c r="VEC116" s="73"/>
      <c r="VED116" s="73"/>
      <c r="VEE116" s="73"/>
      <c r="VEF116" s="73"/>
      <c r="VEG116" s="73"/>
      <c r="VEH116" s="73"/>
      <c r="VEI116" s="73"/>
      <c r="VEJ116" s="73"/>
      <c r="VEK116" s="73"/>
      <c r="VEL116" s="73"/>
      <c r="VEM116" s="73"/>
      <c r="VEN116" s="73"/>
      <c r="VEO116" s="73"/>
      <c r="VEP116" s="73"/>
      <c r="VEQ116" s="73"/>
      <c r="VER116" s="73"/>
      <c r="VES116" s="73"/>
      <c r="VET116" s="73"/>
      <c r="VEU116" s="73"/>
      <c r="VEV116" s="73"/>
      <c r="VEW116" s="73"/>
      <c r="VEX116" s="73"/>
      <c r="VEY116" s="73"/>
      <c r="VEZ116" s="73"/>
      <c r="VFA116" s="73"/>
      <c r="VFB116" s="73"/>
      <c r="VFC116" s="73"/>
      <c r="VFD116" s="73"/>
      <c r="VFE116" s="73"/>
      <c r="VFF116" s="73"/>
      <c r="VFG116" s="73"/>
      <c r="VFH116" s="73"/>
      <c r="VFI116" s="73"/>
      <c r="VFJ116" s="73"/>
      <c r="VFK116" s="73"/>
      <c r="VFL116" s="73"/>
      <c r="VFM116" s="73"/>
      <c r="VFN116" s="73"/>
      <c r="VFO116" s="73"/>
      <c r="VFP116" s="73"/>
      <c r="VFQ116" s="73"/>
      <c r="VFR116" s="73"/>
      <c r="VFS116" s="73"/>
      <c r="VFT116" s="73"/>
      <c r="VFU116" s="73"/>
      <c r="VFV116" s="73"/>
      <c r="VFW116" s="73"/>
      <c r="VFX116" s="73"/>
      <c r="VFY116" s="73"/>
      <c r="VFZ116" s="73"/>
      <c r="VGA116" s="73"/>
      <c r="VGB116" s="73"/>
      <c r="VGC116" s="73"/>
      <c r="VGD116" s="73"/>
      <c r="VGE116" s="73"/>
      <c r="VGF116" s="73"/>
      <c r="VGG116" s="73"/>
      <c r="VGH116" s="73"/>
      <c r="VGI116" s="73"/>
      <c r="VGJ116" s="73"/>
      <c r="VGK116" s="73"/>
      <c r="VGL116" s="73"/>
      <c r="VGM116" s="73"/>
      <c r="VGN116" s="73"/>
      <c r="VGO116" s="73"/>
      <c r="VGP116" s="73"/>
      <c r="VGQ116" s="73"/>
      <c r="VGR116" s="73"/>
      <c r="VGS116" s="73"/>
      <c r="VGT116" s="73"/>
      <c r="VGU116" s="73"/>
      <c r="VGV116" s="73"/>
      <c r="VGW116" s="73"/>
      <c r="VGX116" s="73"/>
      <c r="VGY116" s="73"/>
      <c r="VGZ116" s="73"/>
      <c r="VHA116" s="73"/>
      <c r="VHB116" s="73"/>
      <c r="VHC116" s="73"/>
      <c r="VHD116" s="73"/>
      <c r="VHE116" s="73"/>
      <c r="VHF116" s="73"/>
      <c r="VHG116" s="73"/>
      <c r="VHH116" s="73"/>
      <c r="VHI116" s="73"/>
      <c r="VHJ116" s="73"/>
      <c r="VHK116" s="73"/>
      <c r="VHL116" s="73"/>
      <c r="VHM116" s="73"/>
      <c r="VHN116" s="73"/>
      <c r="VHO116" s="73"/>
      <c r="VHP116" s="73"/>
      <c r="VHQ116" s="73"/>
      <c r="VHR116" s="73"/>
      <c r="VHS116" s="73"/>
      <c r="VHT116" s="73"/>
      <c r="VHU116" s="73"/>
      <c r="VHV116" s="73"/>
      <c r="VHW116" s="73"/>
      <c r="VHX116" s="73"/>
      <c r="VHY116" s="73"/>
      <c r="VHZ116" s="73"/>
      <c r="VIA116" s="73"/>
      <c r="VIB116" s="73"/>
      <c r="VIC116" s="73"/>
      <c r="VID116" s="73"/>
      <c r="VIE116" s="73"/>
      <c r="VIF116" s="73"/>
      <c r="VIG116" s="73"/>
      <c r="VIH116" s="73"/>
      <c r="VII116" s="73"/>
      <c r="VIJ116" s="73"/>
      <c r="VIK116" s="73"/>
      <c r="VIL116" s="73"/>
      <c r="VIM116" s="73"/>
      <c r="VIN116" s="73"/>
      <c r="VIO116" s="73"/>
      <c r="VIP116" s="73"/>
      <c r="VIQ116" s="73"/>
      <c r="VIR116" s="73"/>
      <c r="VIS116" s="73"/>
      <c r="VIT116" s="73"/>
      <c r="VIU116" s="73"/>
      <c r="VIV116" s="73"/>
      <c r="VIW116" s="73"/>
      <c r="VIX116" s="73"/>
      <c r="VIY116" s="73"/>
      <c r="VIZ116" s="73"/>
      <c r="VJA116" s="73"/>
      <c r="VJB116" s="73"/>
      <c r="VJC116" s="73"/>
      <c r="VJD116" s="73"/>
      <c r="VJE116" s="73"/>
      <c r="VJF116" s="73"/>
      <c r="VJG116" s="73"/>
      <c r="VJH116" s="73"/>
      <c r="VJI116" s="73"/>
      <c r="VJJ116" s="73"/>
      <c r="VJK116" s="73"/>
      <c r="VJL116" s="73"/>
      <c r="VJM116" s="73"/>
      <c r="VJN116" s="73"/>
      <c r="VJO116" s="73"/>
      <c r="VJP116" s="73"/>
      <c r="VJQ116" s="73"/>
      <c r="VJR116" s="73"/>
      <c r="VJS116" s="73"/>
      <c r="VJT116" s="73"/>
      <c r="VJU116" s="73"/>
      <c r="VJV116" s="73"/>
      <c r="VJW116" s="73"/>
      <c r="VJX116" s="73"/>
      <c r="VJY116" s="73"/>
      <c r="VJZ116" s="73"/>
      <c r="VKA116" s="73"/>
      <c r="VKB116" s="73"/>
      <c r="VKC116" s="73"/>
      <c r="VKD116" s="73"/>
      <c r="VKE116" s="73"/>
      <c r="VKF116" s="73"/>
      <c r="VKG116" s="73"/>
      <c r="VKH116" s="73"/>
      <c r="VKI116" s="73"/>
      <c r="VKJ116" s="73"/>
      <c r="VKK116" s="73"/>
      <c r="VKL116" s="73"/>
      <c r="VKM116" s="73"/>
      <c r="VKN116" s="73"/>
      <c r="VKO116" s="73"/>
      <c r="VKP116" s="73"/>
      <c r="VKQ116" s="73"/>
      <c r="VKR116" s="73"/>
      <c r="VKS116" s="73"/>
      <c r="VKT116" s="73"/>
      <c r="VKU116" s="73"/>
      <c r="VKV116" s="73"/>
      <c r="VKW116" s="73"/>
      <c r="VKX116" s="73"/>
      <c r="VKY116" s="73"/>
      <c r="VKZ116" s="73"/>
      <c r="VLA116" s="73"/>
      <c r="VLB116" s="73"/>
      <c r="VLC116" s="73"/>
      <c r="VLD116" s="73"/>
      <c r="VLE116" s="73"/>
      <c r="VLF116" s="73"/>
      <c r="VLG116" s="73"/>
      <c r="VLH116" s="73"/>
      <c r="VLI116" s="73"/>
      <c r="VLJ116" s="73"/>
      <c r="VLK116" s="73"/>
      <c r="VLL116" s="73"/>
      <c r="VLM116" s="73"/>
      <c r="VLN116" s="73"/>
      <c r="VLO116" s="73"/>
      <c r="VLP116" s="73"/>
      <c r="VLQ116" s="73"/>
      <c r="VLR116" s="73"/>
      <c r="VLS116" s="73"/>
      <c r="VLT116" s="73"/>
      <c r="VLU116" s="73"/>
      <c r="VLV116" s="73"/>
      <c r="VLW116" s="73"/>
      <c r="VLX116" s="73"/>
      <c r="VLY116" s="73"/>
      <c r="VLZ116" s="73"/>
      <c r="VMA116" s="73"/>
      <c r="VMB116" s="73"/>
      <c r="VMC116" s="73"/>
      <c r="VMD116" s="73"/>
      <c r="VME116" s="73"/>
      <c r="VMF116" s="73"/>
      <c r="VMG116" s="73"/>
      <c r="VMH116" s="73"/>
      <c r="VMI116" s="73"/>
      <c r="VMJ116" s="73"/>
      <c r="VMK116" s="73"/>
      <c r="VML116" s="73"/>
      <c r="VMM116" s="73"/>
      <c r="VMN116" s="73"/>
      <c r="VMO116" s="73"/>
      <c r="VMP116" s="73"/>
      <c r="VMQ116" s="73"/>
      <c r="VMR116" s="73"/>
      <c r="VMS116" s="73"/>
      <c r="VMT116" s="73"/>
      <c r="VMU116" s="73"/>
      <c r="VMV116" s="73"/>
      <c r="VMW116" s="73"/>
      <c r="VMX116" s="73"/>
      <c r="VMY116" s="73"/>
      <c r="VMZ116" s="73"/>
      <c r="VNA116" s="73"/>
      <c r="VNB116" s="73"/>
      <c r="VNC116" s="73"/>
      <c r="VND116" s="73"/>
      <c r="VNE116" s="73"/>
      <c r="VNF116" s="73"/>
      <c r="VNG116" s="73"/>
      <c r="VNH116" s="73"/>
      <c r="VNI116" s="73"/>
      <c r="VNJ116" s="73"/>
      <c r="VNK116" s="73"/>
      <c r="VNL116" s="73"/>
      <c r="VNM116" s="73"/>
      <c r="VNN116" s="73"/>
      <c r="VNO116" s="73"/>
      <c r="VNP116" s="73"/>
      <c r="VNQ116" s="73"/>
      <c r="VNR116" s="73"/>
      <c r="VNS116" s="73"/>
      <c r="VNT116" s="73"/>
      <c r="VNU116" s="73"/>
      <c r="VNV116" s="73"/>
      <c r="VNW116" s="73"/>
      <c r="VNX116" s="73"/>
      <c r="VNY116" s="73"/>
      <c r="VNZ116" s="73"/>
      <c r="VOA116" s="73"/>
      <c r="VOB116" s="73"/>
      <c r="VOC116" s="73"/>
      <c r="VOD116" s="73"/>
      <c r="VOE116" s="73"/>
      <c r="VOF116" s="73"/>
      <c r="VOG116" s="73"/>
      <c r="VOH116" s="73"/>
      <c r="VOI116" s="73"/>
      <c r="VOJ116" s="73"/>
      <c r="VOK116" s="73"/>
      <c r="VOL116" s="73"/>
      <c r="VOM116" s="73"/>
      <c r="VON116" s="73"/>
      <c r="VOO116" s="73"/>
      <c r="VOP116" s="73"/>
      <c r="VOQ116" s="73"/>
      <c r="VOR116" s="73"/>
      <c r="VOS116" s="73"/>
      <c r="VOT116" s="73"/>
      <c r="VOU116" s="73"/>
      <c r="VOV116" s="73"/>
      <c r="VOW116" s="73"/>
      <c r="VOX116" s="73"/>
      <c r="VOY116" s="73"/>
      <c r="VOZ116" s="73"/>
      <c r="VPA116" s="73"/>
      <c r="VPB116" s="73"/>
      <c r="VPC116" s="73"/>
      <c r="VPD116" s="73"/>
      <c r="VPE116" s="73"/>
      <c r="VPF116" s="73"/>
      <c r="VPG116" s="73"/>
      <c r="VPH116" s="73"/>
      <c r="VPI116" s="73"/>
      <c r="VPJ116" s="73"/>
      <c r="VPK116" s="73"/>
      <c r="VPL116" s="73"/>
      <c r="VPM116" s="73"/>
      <c r="VPN116" s="73"/>
      <c r="VPO116" s="73"/>
      <c r="VPP116" s="73"/>
      <c r="VPQ116" s="73"/>
      <c r="VPR116" s="73"/>
      <c r="VPS116" s="73"/>
      <c r="VPT116" s="73"/>
      <c r="VPU116" s="73"/>
      <c r="VPV116" s="73"/>
      <c r="VPW116" s="73"/>
      <c r="VPX116" s="73"/>
      <c r="VPY116" s="73"/>
      <c r="VPZ116" s="73"/>
      <c r="VQA116" s="73"/>
      <c r="VQB116" s="73"/>
      <c r="VQC116" s="73"/>
      <c r="VQD116" s="73"/>
      <c r="VQE116" s="73"/>
      <c r="VQF116" s="73"/>
      <c r="VQG116" s="73"/>
      <c r="VQH116" s="73"/>
      <c r="VQI116" s="73"/>
      <c r="VQJ116" s="73"/>
      <c r="VQK116" s="73"/>
      <c r="VQL116" s="73"/>
      <c r="VQM116" s="73"/>
      <c r="VQN116" s="73"/>
      <c r="VQO116" s="73"/>
      <c r="VQP116" s="73"/>
      <c r="VQQ116" s="73"/>
      <c r="VQR116" s="73"/>
      <c r="VQS116" s="73"/>
      <c r="VQT116" s="73"/>
      <c r="VQU116" s="73"/>
      <c r="VQV116" s="73"/>
      <c r="VQW116" s="73"/>
      <c r="VQX116" s="73"/>
      <c r="VQY116" s="73"/>
      <c r="VQZ116" s="73"/>
      <c r="VRA116" s="73"/>
      <c r="VRB116" s="73"/>
      <c r="VRC116" s="73"/>
      <c r="VRD116" s="73"/>
      <c r="VRE116" s="73"/>
      <c r="VRF116" s="73"/>
      <c r="VRG116" s="73"/>
      <c r="VRH116" s="73"/>
      <c r="VRI116" s="73"/>
      <c r="VRJ116" s="73"/>
      <c r="VRK116" s="73"/>
      <c r="VRL116" s="73"/>
      <c r="VRM116" s="73"/>
      <c r="VRN116" s="73"/>
      <c r="VRO116" s="73"/>
      <c r="VRP116" s="73"/>
      <c r="VRQ116" s="73"/>
      <c r="VRR116" s="73"/>
      <c r="VRS116" s="73"/>
      <c r="VRT116" s="73"/>
      <c r="VRU116" s="73"/>
      <c r="VRV116" s="73"/>
      <c r="VRW116" s="73"/>
      <c r="VRX116" s="73"/>
      <c r="VRY116" s="73"/>
      <c r="VRZ116" s="73"/>
      <c r="VSA116" s="73"/>
      <c r="VSB116" s="73"/>
      <c r="VSC116" s="73"/>
      <c r="VSD116" s="73"/>
      <c r="VSE116" s="73"/>
      <c r="VSF116" s="73"/>
      <c r="VSG116" s="73"/>
      <c r="VSH116" s="73"/>
      <c r="VSI116" s="73"/>
      <c r="VSJ116" s="73"/>
      <c r="VSK116" s="73"/>
      <c r="VSL116" s="73"/>
      <c r="VSM116" s="73"/>
      <c r="VSN116" s="73"/>
      <c r="VSO116" s="73"/>
      <c r="VSP116" s="73"/>
      <c r="VSQ116" s="73"/>
      <c r="VSR116" s="73"/>
      <c r="VSS116" s="73"/>
      <c r="VST116" s="73"/>
      <c r="VSU116" s="73"/>
      <c r="VSV116" s="73"/>
      <c r="VSW116" s="73"/>
      <c r="VSX116" s="73"/>
      <c r="VSY116" s="73"/>
      <c r="VSZ116" s="73"/>
      <c r="VTA116" s="73"/>
      <c r="VTB116" s="73"/>
      <c r="VTC116" s="73"/>
      <c r="VTD116" s="73"/>
      <c r="VTE116" s="73"/>
      <c r="VTF116" s="73"/>
      <c r="VTG116" s="73"/>
      <c r="VTH116" s="73"/>
      <c r="VTI116" s="73"/>
      <c r="VTJ116" s="73"/>
      <c r="VTK116" s="73"/>
      <c r="VTL116" s="73"/>
      <c r="VTM116" s="73"/>
      <c r="VTN116" s="73"/>
      <c r="VTO116" s="73"/>
      <c r="VTP116" s="73"/>
      <c r="VTQ116" s="73"/>
      <c r="VTR116" s="73"/>
      <c r="VTS116" s="73"/>
      <c r="VTT116" s="73"/>
      <c r="VTU116" s="73"/>
      <c r="VTV116" s="73"/>
      <c r="VTW116" s="73"/>
      <c r="VTX116" s="73"/>
      <c r="VTY116" s="73"/>
      <c r="VTZ116" s="73"/>
      <c r="VUA116" s="73"/>
      <c r="VUB116" s="73"/>
      <c r="VUC116" s="73"/>
      <c r="VUD116" s="73"/>
      <c r="VUE116" s="73"/>
      <c r="VUF116" s="73"/>
      <c r="VUG116" s="73"/>
      <c r="VUH116" s="73"/>
      <c r="VUI116" s="73"/>
      <c r="VUJ116" s="73"/>
      <c r="VUK116" s="73"/>
      <c r="VUL116" s="73"/>
      <c r="VUM116" s="73"/>
      <c r="VUN116" s="73"/>
      <c r="VUO116" s="73"/>
      <c r="VUP116" s="73"/>
      <c r="VUQ116" s="73"/>
      <c r="VUR116" s="73"/>
      <c r="VUS116" s="73"/>
      <c r="VUT116" s="73"/>
      <c r="VUU116" s="73"/>
      <c r="VUV116" s="73"/>
      <c r="VUW116" s="73"/>
      <c r="VUX116" s="73"/>
      <c r="VUY116" s="73"/>
      <c r="VUZ116" s="73"/>
      <c r="VVA116" s="73"/>
      <c r="VVB116" s="73"/>
      <c r="VVC116" s="73"/>
      <c r="VVD116" s="73"/>
      <c r="VVE116" s="73"/>
      <c r="VVF116" s="73"/>
      <c r="VVG116" s="73"/>
      <c r="VVH116" s="73"/>
      <c r="VVI116" s="73"/>
      <c r="VVJ116" s="73"/>
      <c r="VVK116" s="73"/>
      <c r="VVL116" s="73"/>
      <c r="VVM116" s="73"/>
      <c r="VVN116" s="73"/>
      <c r="VVO116" s="73"/>
      <c r="VVP116" s="73"/>
      <c r="VVQ116" s="73"/>
      <c r="VVR116" s="73"/>
      <c r="VVS116" s="73"/>
      <c r="VVT116" s="73"/>
      <c r="VVU116" s="73"/>
      <c r="VVV116" s="73"/>
      <c r="VVW116" s="73"/>
      <c r="VVX116" s="73"/>
      <c r="VVY116" s="73"/>
      <c r="VVZ116" s="73"/>
      <c r="VWA116" s="73"/>
      <c r="VWB116" s="73"/>
      <c r="VWC116" s="73"/>
      <c r="VWD116" s="73"/>
      <c r="VWE116" s="73"/>
      <c r="VWF116" s="73"/>
      <c r="VWG116" s="73"/>
      <c r="VWH116" s="73"/>
      <c r="VWI116" s="73"/>
      <c r="VWJ116" s="73"/>
      <c r="VWK116" s="73"/>
      <c r="VWL116" s="73"/>
      <c r="VWM116" s="73"/>
      <c r="VWN116" s="73"/>
      <c r="VWO116" s="73"/>
      <c r="VWP116" s="73"/>
      <c r="VWQ116" s="73"/>
      <c r="VWR116" s="73"/>
      <c r="VWS116" s="73"/>
      <c r="VWT116" s="73"/>
      <c r="VWU116" s="73"/>
      <c r="VWV116" s="73"/>
      <c r="VWW116" s="73"/>
      <c r="VWX116" s="73"/>
      <c r="VWY116" s="73"/>
      <c r="VWZ116" s="73"/>
      <c r="VXA116" s="73"/>
      <c r="VXB116" s="73"/>
      <c r="VXC116" s="73"/>
      <c r="VXD116" s="73"/>
      <c r="VXE116" s="73"/>
      <c r="VXF116" s="73"/>
      <c r="VXG116" s="73"/>
      <c r="VXH116" s="73"/>
      <c r="VXI116" s="73"/>
      <c r="VXJ116" s="73"/>
      <c r="VXK116" s="73"/>
      <c r="VXL116" s="73"/>
      <c r="VXM116" s="73"/>
      <c r="VXN116" s="73"/>
      <c r="VXO116" s="73"/>
      <c r="VXP116" s="73"/>
      <c r="VXQ116" s="73"/>
      <c r="VXR116" s="73"/>
      <c r="VXS116" s="73"/>
      <c r="VXT116" s="73"/>
      <c r="VXU116" s="73"/>
      <c r="VXV116" s="73"/>
      <c r="VXW116" s="73"/>
      <c r="VXX116" s="73"/>
      <c r="VXY116" s="73"/>
      <c r="VXZ116" s="73"/>
      <c r="VYA116" s="73"/>
      <c r="VYB116" s="73"/>
      <c r="VYC116" s="73"/>
      <c r="VYD116" s="73"/>
      <c r="VYE116" s="73"/>
      <c r="VYF116" s="73"/>
      <c r="VYG116" s="73"/>
      <c r="VYH116" s="73"/>
      <c r="VYI116" s="73"/>
      <c r="VYJ116" s="73"/>
      <c r="VYK116" s="73"/>
      <c r="VYL116" s="73"/>
      <c r="VYM116" s="73"/>
      <c r="VYN116" s="73"/>
      <c r="VYO116" s="73"/>
      <c r="VYP116" s="73"/>
      <c r="VYQ116" s="73"/>
      <c r="VYR116" s="73"/>
      <c r="VYS116" s="73"/>
      <c r="VYT116" s="73"/>
      <c r="VYU116" s="73"/>
      <c r="VYV116" s="73"/>
      <c r="VYW116" s="73"/>
      <c r="VYX116" s="73"/>
      <c r="VYY116" s="73"/>
      <c r="VYZ116" s="73"/>
      <c r="VZA116" s="73"/>
      <c r="VZB116" s="73"/>
      <c r="VZC116" s="73"/>
      <c r="VZD116" s="73"/>
      <c r="VZE116" s="73"/>
      <c r="VZF116" s="73"/>
      <c r="VZG116" s="73"/>
      <c r="VZH116" s="73"/>
      <c r="VZI116" s="73"/>
      <c r="VZJ116" s="73"/>
      <c r="VZK116" s="73"/>
      <c r="VZL116" s="73"/>
      <c r="VZM116" s="73"/>
      <c r="VZN116" s="73"/>
      <c r="VZO116" s="73"/>
      <c r="VZP116" s="73"/>
      <c r="VZQ116" s="73"/>
      <c r="VZR116" s="73"/>
      <c r="VZS116" s="73"/>
      <c r="VZT116" s="73"/>
      <c r="VZU116" s="73"/>
      <c r="VZV116" s="73"/>
      <c r="VZW116" s="73"/>
      <c r="VZX116" s="73"/>
      <c r="VZY116" s="73"/>
      <c r="VZZ116" s="73"/>
      <c r="WAA116" s="73"/>
      <c r="WAB116" s="73"/>
      <c r="WAC116" s="73"/>
      <c r="WAD116" s="73"/>
      <c r="WAE116" s="73"/>
      <c r="WAF116" s="73"/>
      <c r="WAG116" s="73"/>
      <c r="WAH116" s="73"/>
      <c r="WAI116" s="73"/>
      <c r="WAJ116" s="73"/>
      <c r="WAK116" s="73"/>
      <c r="WAL116" s="73"/>
      <c r="WAM116" s="73"/>
      <c r="WAN116" s="73"/>
      <c r="WAO116" s="73"/>
      <c r="WAP116" s="73"/>
      <c r="WAQ116" s="73"/>
      <c r="WAR116" s="73"/>
      <c r="WAS116" s="73"/>
      <c r="WAT116" s="73"/>
      <c r="WAU116" s="73"/>
      <c r="WAV116" s="73"/>
      <c r="WAW116" s="73"/>
      <c r="WAX116" s="73"/>
      <c r="WAY116" s="73"/>
      <c r="WAZ116" s="73"/>
      <c r="WBA116" s="73"/>
      <c r="WBB116" s="73"/>
      <c r="WBC116" s="73"/>
      <c r="WBD116" s="73"/>
      <c r="WBE116" s="73"/>
      <c r="WBF116" s="73"/>
      <c r="WBG116" s="73"/>
      <c r="WBH116" s="73"/>
      <c r="WBI116" s="73"/>
      <c r="WBJ116" s="73"/>
      <c r="WBK116" s="73"/>
      <c r="WBL116" s="73"/>
      <c r="WBM116" s="73"/>
      <c r="WBN116" s="73"/>
      <c r="WBO116" s="73"/>
      <c r="WBP116" s="73"/>
      <c r="WBQ116" s="73"/>
      <c r="WBR116" s="73"/>
      <c r="WBS116" s="73"/>
      <c r="WBT116" s="73"/>
      <c r="WBU116" s="73"/>
      <c r="WBV116" s="73"/>
      <c r="WBW116" s="73"/>
      <c r="WBX116" s="73"/>
      <c r="WBY116" s="73"/>
      <c r="WBZ116" s="73"/>
      <c r="WCA116" s="73"/>
      <c r="WCB116" s="73"/>
      <c r="WCC116" s="73"/>
      <c r="WCD116" s="73"/>
      <c r="WCE116" s="73"/>
      <c r="WCF116" s="73"/>
      <c r="WCG116" s="73"/>
      <c r="WCH116" s="73"/>
      <c r="WCI116" s="73"/>
      <c r="WCJ116" s="73"/>
      <c r="WCK116" s="73"/>
      <c r="WCL116" s="73"/>
      <c r="WCM116" s="73"/>
      <c r="WCN116" s="73"/>
      <c r="WCO116" s="73"/>
      <c r="WCP116" s="73"/>
      <c r="WCQ116" s="73"/>
      <c r="WCR116" s="73"/>
      <c r="WCS116" s="73"/>
      <c r="WCT116" s="73"/>
      <c r="WCU116" s="73"/>
      <c r="WCV116" s="73"/>
      <c r="WCW116" s="73"/>
      <c r="WCX116" s="73"/>
      <c r="WCY116" s="73"/>
      <c r="WCZ116" s="73"/>
      <c r="WDA116" s="73"/>
      <c r="WDB116" s="73"/>
      <c r="WDC116" s="73"/>
      <c r="WDD116" s="73"/>
      <c r="WDE116" s="73"/>
      <c r="WDF116" s="73"/>
      <c r="WDG116" s="73"/>
      <c r="WDH116" s="73"/>
      <c r="WDI116" s="73"/>
      <c r="WDJ116" s="73"/>
      <c r="WDK116" s="73"/>
      <c r="WDL116" s="73"/>
      <c r="WDM116" s="73"/>
      <c r="WDN116" s="73"/>
      <c r="WDO116" s="73"/>
      <c r="WDP116" s="73"/>
      <c r="WDQ116" s="73"/>
      <c r="WDR116" s="73"/>
      <c r="WDS116" s="73"/>
      <c r="WDT116" s="73"/>
      <c r="WDU116" s="73"/>
      <c r="WDV116" s="73"/>
      <c r="WDW116" s="73"/>
      <c r="WDX116" s="73"/>
      <c r="WDY116" s="73"/>
      <c r="WDZ116" s="73"/>
      <c r="WEA116" s="73"/>
      <c r="WEB116" s="73"/>
      <c r="WEC116" s="73"/>
      <c r="WED116" s="73"/>
      <c r="WEE116" s="73"/>
      <c r="WEF116" s="73"/>
      <c r="WEG116" s="73"/>
      <c r="WEH116" s="73"/>
      <c r="WEI116" s="73"/>
      <c r="WEJ116" s="73"/>
      <c r="WEK116" s="73"/>
      <c r="WEL116" s="73"/>
      <c r="WEM116" s="73"/>
      <c r="WEN116" s="73"/>
      <c r="WEO116" s="73"/>
      <c r="WEP116" s="73"/>
      <c r="WEQ116" s="73"/>
      <c r="WER116" s="73"/>
      <c r="WES116" s="73"/>
      <c r="WET116" s="73"/>
      <c r="WEU116" s="73"/>
      <c r="WEV116" s="73"/>
      <c r="WEW116" s="73"/>
      <c r="WEX116" s="73"/>
      <c r="WEY116" s="73"/>
      <c r="WEZ116" s="73"/>
      <c r="WFA116" s="73"/>
      <c r="WFB116" s="73"/>
      <c r="WFC116" s="73"/>
      <c r="WFD116" s="73"/>
      <c r="WFE116" s="73"/>
      <c r="WFF116" s="73"/>
      <c r="WFG116" s="73"/>
      <c r="WFH116" s="73"/>
      <c r="WFI116" s="73"/>
      <c r="WFJ116" s="73"/>
      <c r="WFK116" s="73"/>
      <c r="WFL116" s="73"/>
      <c r="WFM116" s="73"/>
      <c r="WFN116" s="73"/>
      <c r="WFO116" s="73"/>
      <c r="WFP116" s="73"/>
      <c r="WFQ116" s="73"/>
      <c r="WFR116" s="73"/>
      <c r="WFS116" s="73"/>
      <c r="WFT116" s="73"/>
      <c r="WFU116" s="73"/>
      <c r="WFV116" s="73"/>
      <c r="WFW116" s="73"/>
      <c r="WFX116" s="73"/>
      <c r="WFY116" s="73"/>
      <c r="WFZ116" s="73"/>
      <c r="WGA116" s="73"/>
      <c r="WGB116" s="73"/>
      <c r="WGC116" s="73"/>
      <c r="WGD116" s="73"/>
      <c r="WGE116" s="73"/>
      <c r="WGF116" s="73"/>
      <c r="WGG116" s="73"/>
      <c r="WGH116" s="73"/>
      <c r="WGI116" s="73"/>
      <c r="WGJ116" s="73"/>
      <c r="WGK116" s="73"/>
      <c r="WGL116" s="73"/>
      <c r="WGM116" s="73"/>
      <c r="WGN116" s="73"/>
      <c r="WGO116" s="73"/>
      <c r="WGP116" s="73"/>
      <c r="WGQ116" s="73"/>
      <c r="WGR116" s="73"/>
      <c r="WGS116" s="73"/>
      <c r="WGT116" s="73"/>
      <c r="WGU116" s="73"/>
      <c r="WGV116" s="73"/>
      <c r="WGW116" s="73"/>
      <c r="WGX116" s="73"/>
      <c r="WGY116" s="73"/>
      <c r="WGZ116" s="73"/>
      <c r="WHA116" s="73"/>
      <c r="WHB116" s="73"/>
      <c r="WHC116" s="73"/>
      <c r="WHD116" s="73"/>
      <c r="WHE116" s="73"/>
      <c r="WHF116" s="73"/>
      <c r="WHG116" s="73"/>
      <c r="WHH116" s="73"/>
      <c r="WHI116" s="73"/>
      <c r="WHJ116" s="73"/>
      <c r="WHK116" s="73"/>
      <c r="WHL116" s="73"/>
      <c r="WHM116" s="73"/>
      <c r="WHN116" s="73"/>
      <c r="WHO116" s="73"/>
      <c r="WHP116" s="73"/>
      <c r="WHQ116" s="73"/>
      <c r="WHR116" s="73"/>
      <c r="WHS116" s="73"/>
      <c r="WHT116" s="73"/>
      <c r="WHU116" s="73"/>
      <c r="WHV116" s="73"/>
      <c r="WHW116" s="73"/>
      <c r="WHX116" s="73"/>
      <c r="WHY116" s="73"/>
      <c r="WHZ116" s="73"/>
      <c r="WIA116" s="73"/>
      <c r="WIB116" s="73"/>
      <c r="WIC116" s="73"/>
      <c r="WID116" s="73"/>
      <c r="WIE116" s="73"/>
      <c r="WIF116" s="73"/>
      <c r="WIG116" s="73"/>
      <c r="WIH116" s="73"/>
      <c r="WII116" s="73"/>
      <c r="WIJ116" s="73"/>
      <c r="WIK116" s="73"/>
      <c r="WIL116" s="73"/>
      <c r="WIM116" s="73"/>
      <c r="WIN116" s="73"/>
      <c r="WIO116" s="73"/>
      <c r="WIP116" s="73"/>
      <c r="WIQ116" s="73"/>
      <c r="WIR116" s="73"/>
      <c r="WIS116" s="73"/>
      <c r="WIT116" s="73"/>
      <c r="WIU116" s="73"/>
      <c r="WIV116" s="73"/>
      <c r="WIW116" s="73"/>
      <c r="WIX116" s="73"/>
      <c r="WIY116" s="73"/>
      <c r="WIZ116" s="73"/>
      <c r="WJA116" s="73"/>
      <c r="WJB116" s="73"/>
      <c r="WJC116" s="73"/>
      <c r="WJD116" s="73"/>
      <c r="WJE116" s="73"/>
      <c r="WJF116" s="73"/>
      <c r="WJG116" s="73"/>
      <c r="WJH116" s="73"/>
      <c r="WJI116" s="73"/>
      <c r="WJJ116" s="73"/>
      <c r="WJK116" s="73"/>
      <c r="WJL116" s="73"/>
      <c r="WJM116" s="73"/>
      <c r="WJN116" s="73"/>
      <c r="WJO116" s="73"/>
      <c r="WJP116" s="73"/>
      <c r="WJQ116" s="73"/>
      <c r="WJR116" s="73"/>
      <c r="WJS116" s="73"/>
      <c r="WJT116" s="73"/>
      <c r="WJU116" s="73"/>
      <c r="WJV116" s="73"/>
      <c r="WJW116" s="73"/>
      <c r="WJX116" s="73"/>
      <c r="WJY116" s="73"/>
      <c r="WJZ116" s="73"/>
      <c r="WKA116" s="73"/>
      <c r="WKB116" s="73"/>
      <c r="WKC116" s="73"/>
      <c r="WKD116" s="73"/>
      <c r="WKE116" s="73"/>
      <c r="WKF116" s="73"/>
      <c r="WKG116" s="73"/>
      <c r="WKH116" s="73"/>
      <c r="WKI116" s="73"/>
      <c r="WKJ116" s="73"/>
      <c r="WKK116" s="73"/>
      <c r="WKL116" s="73"/>
      <c r="WKM116" s="73"/>
      <c r="WKN116" s="73"/>
      <c r="WKO116" s="73"/>
      <c r="WKP116" s="73"/>
      <c r="WKQ116" s="73"/>
      <c r="WKR116" s="73"/>
      <c r="WKS116" s="73"/>
      <c r="WKT116" s="73"/>
      <c r="WKU116" s="73"/>
      <c r="WKV116" s="73"/>
      <c r="WKW116" s="73"/>
      <c r="WKX116" s="73"/>
      <c r="WKY116" s="73"/>
      <c r="WKZ116" s="73"/>
      <c r="WLA116" s="73"/>
      <c r="WLB116" s="73"/>
      <c r="WLC116" s="73"/>
      <c r="WLD116" s="73"/>
      <c r="WLE116" s="73"/>
      <c r="WLF116" s="73"/>
      <c r="WLG116" s="73"/>
      <c r="WLH116" s="73"/>
      <c r="WLI116" s="73"/>
      <c r="WLJ116" s="73"/>
      <c r="WLK116" s="73"/>
      <c r="WLL116" s="73"/>
      <c r="WLM116" s="73"/>
      <c r="WLN116" s="73"/>
      <c r="WLO116" s="73"/>
      <c r="WLP116" s="73"/>
      <c r="WLQ116" s="73"/>
      <c r="WLR116" s="73"/>
      <c r="WLS116" s="73"/>
      <c r="WLT116" s="73"/>
      <c r="WLU116" s="73"/>
      <c r="WLV116" s="73"/>
      <c r="WLW116" s="73"/>
      <c r="WLX116" s="73"/>
      <c r="WLY116" s="73"/>
      <c r="WLZ116" s="73"/>
      <c r="WMA116" s="73"/>
      <c r="WMB116" s="73"/>
      <c r="WMC116" s="73"/>
      <c r="WMD116" s="73"/>
      <c r="WME116" s="73"/>
      <c r="WMF116" s="73"/>
      <c r="WMG116" s="73"/>
      <c r="WMH116" s="73"/>
      <c r="WMI116" s="73"/>
      <c r="WMJ116" s="73"/>
      <c r="WMK116" s="73"/>
      <c r="WML116" s="73"/>
      <c r="WMM116" s="73"/>
      <c r="WMN116" s="73"/>
      <c r="WMO116" s="73"/>
      <c r="WMP116" s="73"/>
      <c r="WMQ116" s="73"/>
      <c r="WMR116" s="73"/>
      <c r="WMS116" s="73"/>
      <c r="WMT116" s="73"/>
      <c r="WMU116" s="73"/>
      <c r="WMV116" s="73"/>
      <c r="WMW116" s="73"/>
      <c r="WMX116" s="73"/>
      <c r="WMY116" s="73"/>
      <c r="WMZ116" s="73"/>
      <c r="WNA116" s="73"/>
      <c r="WNB116" s="73"/>
      <c r="WNC116" s="73"/>
      <c r="WND116" s="73"/>
      <c r="WNE116" s="73"/>
      <c r="WNF116" s="73"/>
      <c r="WNG116" s="73"/>
      <c r="WNH116" s="73"/>
      <c r="WNI116" s="73"/>
      <c r="WNJ116" s="73"/>
      <c r="WNK116" s="73"/>
      <c r="WNL116" s="73"/>
      <c r="WNM116" s="73"/>
      <c r="WNN116" s="73"/>
      <c r="WNO116" s="73"/>
      <c r="WNP116" s="73"/>
      <c r="WNQ116" s="73"/>
      <c r="WNR116" s="73"/>
      <c r="WNS116" s="73"/>
      <c r="WNT116" s="73"/>
      <c r="WNU116" s="73"/>
      <c r="WNV116" s="73"/>
      <c r="WNW116" s="73"/>
      <c r="WNX116" s="73"/>
      <c r="WNY116" s="73"/>
      <c r="WNZ116" s="73"/>
      <c r="WOA116" s="73"/>
      <c r="WOB116" s="73"/>
      <c r="WOC116" s="73"/>
      <c r="WOD116" s="73"/>
      <c r="WOE116" s="73"/>
      <c r="WOF116" s="73"/>
      <c r="WOG116" s="73"/>
      <c r="WOH116" s="73"/>
      <c r="WOI116" s="73"/>
      <c r="WOJ116" s="73"/>
      <c r="WOK116" s="73"/>
      <c r="WOL116" s="73"/>
      <c r="WOM116" s="73"/>
      <c r="WON116" s="73"/>
      <c r="WOO116" s="73"/>
      <c r="WOP116" s="73"/>
      <c r="WOQ116" s="73"/>
      <c r="WOR116" s="73"/>
      <c r="WOS116" s="73"/>
      <c r="WOT116" s="73"/>
      <c r="WOU116" s="73"/>
      <c r="WOV116" s="73"/>
      <c r="WOW116" s="73"/>
      <c r="WOX116" s="73"/>
      <c r="WOY116" s="73"/>
      <c r="WOZ116" s="73"/>
      <c r="WPA116" s="73"/>
      <c r="WPB116" s="73"/>
      <c r="WPC116" s="73"/>
      <c r="WPD116" s="73"/>
      <c r="WPE116" s="73"/>
      <c r="WPF116" s="73"/>
      <c r="WPG116" s="73"/>
      <c r="WPH116" s="73"/>
      <c r="WPI116" s="73"/>
      <c r="WPJ116" s="73"/>
      <c r="WPK116" s="73"/>
      <c r="WPL116" s="73"/>
      <c r="WPM116" s="73"/>
      <c r="WPN116" s="73"/>
      <c r="WPO116" s="73"/>
      <c r="WPP116" s="73"/>
      <c r="WPQ116" s="73"/>
      <c r="WPR116" s="73"/>
      <c r="WPS116" s="73"/>
      <c r="WPT116" s="73"/>
      <c r="WPU116" s="73"/>
      <c r="WPV116" s="73"/>
      <c r="WPW116" s="73"/>
      <c r="WPX116" s="73"/>
      <c r="WPY116" s="73"/>
      <c r="WPZ116" s="73"/>
      <c r="WQA116" s="73"/>
      <c r="WQB116" s="73"/>
      <c r="WQC116" s="73"/>
      <c r="WQD116" s="73"/>
      <c r="WQE116" s="73"/>
      <c r="WQF116" s="73"/>
      <c r="WQG116" s="73"/>
      <c r="WQH116" s="73"/>
      <c r="WQI116" s="73"/>
      <c r="WQJ116" s="73"/>
      <c r="WQK116" s="73"/>
      <c r="WQL116" s="73"/>
      <c r="WQM116" s="73"/>
      <c r="WQN116" s="73"/>
      <c r="WQO116" s="73"/>
      <c r="WQP116" s="73"/>
      <c r="WQQ116" s="73"/>
      <c r="WQR116" s="73"/>
      <c r="WQS116" s="73"/>
      <c r="WQT116" s="73"/>
      <c r="WQU116" s="73"/>
      <c r="WQV116" s="73"/>
      <c r="WQW116" s="73"/>
      <c r="WQX116" s="73"/>
      <c r="WQY116" s="73"/>
      <c r="WQZ116" s="73"/>
      <c r="WRA116" s="73"/>
      <c r="WRB116" s="73"/>
      <c r="WRC116" s="73"/>
      <c r="WRD116" s="73"/>
      <c r="WRE116" s="73"/>
      <c r="WRF116" s="73"/>
      <c r="WRG116" s="73"/>
      <c r="WRH116" s="73"/>
      <c r="WRI116" s="73"/>
      <c r="WRJ116" s="73"/>
      <c r="WRK116" s="73"/>
      <c r="WRL116" s="73"/>
      <c r="WRM116" s="73"/>
      <c r="WRN116" s="73"/>
      <c r="WRO116" s="73"/>
      <c r="WRP116" s="73"/>
      <c r="WRQ116" s="73"/>
      <c r="WRR116" s="73"/>
      <c r="WRS116" s="73"/>
      <c r="WRT116" s="73"/>
      <c r="WRU116" s="73"/>
      <c r="WRV116" s="73"/>
      <c r="WRW116" s="73"/>
      <c r="WRX116" s="73"/>
      <c r="WRY116" s="73"/>
      <c r="WRZ116" s="73"/>
      <c r="WSA116" s="73"/>
      <c r="WSB116" s="73"/>
      <c r="WSC116" s="73"/>
      <c r="WSD116" s="73"/>
      <c r="WSE116" s="73"/>
      <c r="WSF116" s="73"/>
      <c r="WSG116" s="73"/>
      <c r="WSH116" s="73"/>
      <c r="WSI116" s="73"/>
      <c r="WSJ116" s="73"/>
      <c r="WSK116" s="73"/>
      <c r="WSL116" s="73"/>
      <c r="WSM116" s="73"/>
      <c r="WSN116" s="73"/>
      <c r="WSO116" s="73"/>
      <c r="WSP116" s="73"/>
      <c r="WSQ116" s="73"/>
      <c r="WSR116" s="73"/>
      <c r="WSS116" s="73"/>
      <c r="WST116" s="73"/>
      <c r="WSU116" s="73"/>
      <c r="WSV116" s="73"/>
      <c r="WSW116" s="73"/>
      <c r="WSX116" s="73"/>
      <c r="WSY116" s="73"/>
      <c r="WSZ116" s="73"/>
      <c r="WTA116" s="73"/>
      <c r="WTB116" s="73"/>
      <c r="WTC116" s="73"/>
      <c r="WTD116" s="73"/>
      <c r="WTE116" s="73"/>
      <c r="WTF116" s="73"/>
      <c r="WTG116" s="73"/>
      <c r="WTH116" s="73"/>
      <c r="WTI116" s="73"/>
      <c r="WTJ116" s="73"/>
      <c r="WTK116" s="73"/>
      <c r="WTL116" s="73"/>
      <c r="WTM116" s="73"/>
      <c r="WTN116" s="73"/>
      <c r="WTO116" s="73"/>
      <c r="WTP116" s="73"/>
      <c r="WTQ116" s="73"/>
      <c r="WTR116" s="73"/>
      <c r="WTS116" s="73"/>
      <c r="WTT116" s="73"/>
      <c r="WTU116" s="73"/>
      <c r="WTV116" s="73"/>
      <c r="WTW116" s="73"/>
      <c r="WTX116" s="73"/>
      <c r="WTY116" s="73"/>
      <c r="WTZ116" s="73"/>
      <c r="WUA116" s="73"/>
      <c r="WUB116" s="73"/>
      <c r="WUC116" s="73"/>
      <c r="WUD116" s="73"/>
      <c r="WUE116" s="73"/>
      <c r="WUF116" s="73"/>
      <c r="WUG116" s="73"/>
      <c r="WUH116" s="73"/>
      <c r="WUI116" s="73"/>
      <c r="WUJ116" s="73"/>
      <c r="WUK116" s="73"/>
      <c r="WUL116" s="73"/>
      <c r="WUM116" s="73"/>
      <c r="WUN116" s="73"/>
      <c r="WUO116" s="73"/>
      <c r="WUP116" s="73"/>
      <c r="WUQ116" s="73"/>
      <c r="WUR116" s="73"/>
      <c r="WUS116" s="73"/>
      <c r="WUT116" s="73"/>
      <c r="WUU116" s="73"/>
      <c r="WUV116" s="73"/>
      <c r="WUW116" s="73"/>
      <c r="WUX116" s="73"/>
      <c r="WUY116" s="73"/>
      <c r="WUZ116" s="73"/>
      <c r="WVA116" s="73"/>
      <c r="WVB116" s="73"/>
      <c r="WVC116" s="73"/>
      <c r="WVD116" s="73"/>
      <c r="WVE116" s="73"/>
      <c r="WVF116" s="73"/>
      <c r="WVG116" s="73"/>
      <c r="WVH116" s="73"/>
      <c r="WVI116" s="73"/>
      <c r="WVJ116" s="73"/>
      <c r="WVK116" s="73"/>
      <c r="WVL116" s="73"/>
      <c r="WVM116" s="73"/>
      <c r="WVN116" s="73"/>
      <c r="WVO116" s="73"/>
      <c r="WVP116" s="73"/>
      <c r="WVQ116" s="73"/>
      <c r="WVR116" s="73"/>
      <c r="WVS116" s="73"/>
      <c r="WVT116" s="73"/>
      <c r="WVU116" s="73"/>
      <c r="WVV116" s="73"/>
      <c r="WVW116" s="73"/>
      <c r="WVX116" s="73"/>
      <c r="WVY116" s="73"/>
      <c r="WVZ116" s="73"/>
      <c r="WWA116" s="73"/>
      <c r="WWB116" s="73"/>
      <c r="WWC116" s="73"/>
      <c r="WWD116" s="73"/>
      <c r="WWE116" s="73"/>
      <c r="WWF116" s="73"/>
      <c r="WWG116" s="73"/>
      <c r="WWH116" s="73"/>
      <c r="WWI116" s="73"/>
      <c r="WWJ116" s="73"/>
      <c r="WWK116" s="73"/>
      <c r="WWL116" s="73"/>
      <c r="WWM116" s="73"/>
      <c r="WWN116" s="73"/>
      <c r="WWO116" s="73"/>
      <c r="WWP116" s="73"/>
      <c r="WWQ116" s="73"/>
      <c r="WWR116" s="73"/>
      <c r="WWS116" s="73"/>
      <c r="WWT116" s="73"/>
      <c r="WWU116" s="73"/>
      <c r="WWV116" s="73"/>
      <c r="WWW116" s="73"/>
      <c r="WWX116" s="73"/>
      <c r="WWY116" s="73"/>
      <c r="WWZ116" s="73"/>
      <c r="WXA116" s="73"/>
      <c r="WXB116" s="73"/>
      <c r="WXC116" s="73"/>
      <c r="WXD116" s="73"/>
      <c r="WXE116" s="73"/>
      <c r="WXF116" s="73"/>
      <c r="WXG116" s="73"/>
      <c r="WXH116" s="73"/>
      <c r="WXI116" s="73"/>
      <c r="WXJ116" s="73"/>
      <c r="WXK116" s="73"/>
      <c r="WXL116" s="73"/>
      <c r="WXM116" s="73"/>
      <c r="WXN116" s="73"/>
      <c r="WXO116" s="73"/>
      <c r="WXP116" s="73"/>
      <c r="WXQ116" s="73"/>
      <c r="WXR116" s="73"/>
      <c r="WXS116" s="73"/>
      <c r="WXT116" s="73"/>
      <c r="WXU116" s="73"/>
      <c r="WXV116" s="73"/>
      <c r="WXW116" s="73"/>
      <c r="WXX116" s="73"/>
      <c r="WXY116" s="73"/>
      <c r="WXZ116" s="73"/>
      <c r="WYA116" s="73"/>
      <c r="WYB116" s="73"/>
      <c r="WYC116" s="73"/>
      <c r="WYD116" s="73"/>
      <c r="WYE116" s="73"/>
      <c r="WYF116" s="73"/>
      <c r="WYG116" s="73"/>
      <c r="WYH116" s="73"/>
      <c r="WYI116" s="73"/>
      <c r="WYJ116" s="73"/>
      <c r="WYK116" s="73"/>
      <c r="WYL116" s="73"/>
      <c r="WYM116" s="73"/>
      <c r="WYN116" s="73"/>
      <c r="WYO116" s="73"/>
      <c r="WYP116" s="73"/>
      <c r="WYQ116" s="73"/>
      <c r="WYR116" s="73"/>
      <c r="WYS116" s="73"/>
      <c r="WYT116" s="73"/>
      <c r="WYU116" s="73"/>
      <c r="WYV116" s="73"/>
      <c r="WYW116" s="73"/>
      <c r="WYX116" s="73"/>
      <c r="WYY116" s="73"/>
      <c r="WYZ116" s="73"/>
      <c r="WZA116" s="73"/>
      <c r="WZB116" s="73"/>
      <c r="WZC116" s="73"/>
      <c r="WZD116" s="73"/>
      <c r="WZE116" s="73"/>
      <c r="WZF116" s="73"/>
      <c r="WZG116" s="73"/>
      <c r="WZH116" s="73"/>
      <c r="WZI116" s="73"/>
      <c r="WZJ116" s="73"/>
      <c r="WZK116" s="73"/>
      <c r="WZL116" s="73"/>
      <c r="WZM116" s="73"/>
      <c r="WZN116" s="73"/>
      <c r="WZO116" s="73"/>
      <c r="WZP116" s="73"/>
      <c r="WZQ116" s="73"/>
      <c r="WZR116" s="73"/>
      <c r="WZS116" s="73"/>
      <c r="WZT116" s="73"/>
      <c r="WZU116" s="73"/>
      <c r="WZV116" s="73"/>
      <c r="WZW116" s="73"/>
      <c r="WZX116" s="73"/>
      <c r="WZY116" s="73"/>
      <c r="WZZ116" s="73"/>
      <c r="XAA116" s="73"/>
      <c r="XAB116" s="73"/>
      <c r="XAC116" s="73"/>
      <c r="XAD116" s="73"/>
      <c r="XAE116" s="73"/>
      <c r="XAF116" s="73"/>
      <c r="XAG116" s="73"/>
      <c r="XAH116" s="73"/>
      <c r="XAI116" s="73"/>
      <c r="XAJ116" s="73"/>
      <c r="XAK116" s="73"/>
      <c r="XAL116" s="73"/>
      <c r="XAM116" s="73"/>
      <c r="XAN116" s="73"/>
      <c r="XAO116" s="73"/>
      <c r="XAP116" s="73"/>
      <c r="XAQ116" s="73"/>
      <c r="XAR116" s="73"/>
      <c r="XAS116" s="73"/>
      <c r="XAT116" s="73"/>
      <c r="XAU116" s="73"/>
      <c r="XAV116" s="73"/>
      <c r="XAW116" s="73"/>
      <c r="XAX116" s="73"/>
      <c r="XAY116" s="73"/>
      <c r="XAZ116" s="73"/>
      <c r="XBA116" s="73"/>
      <c r="XBB116" s="73"/>
      <c r="XBC116" s="73"/>
      <c r="XBD116" s="73"/>
      <c r="XBE116" s="73"/>
      <c r="XBF116" s="73"/>
      <c r="XBG116" s="73"/>
      <c r="XBH116" s="73"/>
      <c r="XBI116" s="73"/>
      <c r="XBJ116" s="73"/>
      <c r="XBK116" s="73"/>
      <c r="XBL116" s="73"/>
      <c r="XBM116" s="73"/>
      <c r="XBN116" s="73"/>
      <c r="XBO116" s="73"/>
      <c r="XBP116" s="73"/>
      <c r="XBQ116" s="73"/>
      <c r="XBR116" s="73"/>
      <c r="XBS116" s="73"/>
      <c r="XBT116" s="73"/>
      <c r="XBU116" s="73"/>
      <c r="XBV116" s="73"/>
      <c r="XBW116" s="73"/>
      <c r="XBX116" s="73"/>
      <c r="XBY116" s="73"/>
      <c r="XBZ116" s="73"/>
      <c r="XCA116" s="73"/>
      <c r="XCB116" s="73"/>
      <c r="XCC116" s="73"/>
      <c r="XCD116" s="73"/>
      <c r="XCE116" s="73"/>
      <c r="XCF116" s="73"/>
      <c r="XCG116" s="73"/>
      <c r="XCH116" s="73"/>
      <c r="XCI116" s="73"/>
      <c r="XCJ116" s="73"/>
      <c r="XCK116" s="73"/>
      <c r="XCL116" s="73"/>
      <c r="XCM116" s="73"/>
      <c r="XCN116" s="73"/>
      <c r="XCO116" s="73"/>
      <c r="XCP116" s="73"/>
      <c r="XCQ116" s="73"/>
      <c r="XCR116" s="73"/>
      <c r="XCS116" s="73"/>
      <c r="XCT116" s="73"/>
      <c r="XCU116" s="73"/>
      <c r="XCV116" s="73"/>
      <c r="XCW116" s="73"/>
      <c r="XCX116" s="73"/>
      <c r="XCY116" s="73"/>
      <c r="XCZ116" s="73"/>
      <c r="XDA116" s="73"/>
      <c r="XDB116" s="73"/>
      <c r="XDC116" s="73"/>
      <c r="XDD116" s="73"/>
      <c r="XDE116" s="73"/>
      <c r="XDF116" s="73"/>
      <c r="XDG116" s="73"/>
      <c r="XDH116" s="73"/>
      <c r="XDI116" s="73"/>
      <c r="XDJ116" s="73"/>
      <c r="XDK116" s="73"/>
      <c r="XDL116" s="73"/>
      <c r="XDM116" s="73"/>
      <c r="XDN116" s="73"/>
      <c r="XDO116" s="73"/>
      <c r="XDP116" s="73"/>
      <c r="XDQ116" s="73"/>
      <c r="XDR116" s="73"/>
      <c r="XDS116" s="73"/>
      <c r="XDT116" s="73"/>
      <c r="XDU116" s="73"/>
      <c r="XDV116" s="73"/>
      <c r="XDW116" s="73"/>
      <c r="XDX116" s="73"/>
      <c r="XDY116" s="73"/>
      <c r="XDZ116" s="73"/>
      <c r="XEA116" s="73"/>
      <c r="XEB116" s="73"/>
      <c r="XEC116" s="73"/>
      <c r="XED116" s="73"/>
      <c r="XEE116" s="73"/>
      <c r="XEF116" s="73"/>
      <c r="XEG116" s="73"/>
      <c r="XEH116" s="73"/>
      <c r="XEI116" s="73"/>
      <c r="XEJ116" s="73"/>
      <c r="XEK116" s="73"/>
      <c r="XEL116" s="73"/>
      <c r="XEM116" s="73"/>
      <c r="XEN116" s="73"/>
      <c r="XEO116" s="73"/>
      <c r="XEP116" s="73"/>
    </row>
    <row r="117" spans="1:16370" s="72" customFormat="1" ht="13.5" customHeight="1" x14ac:dyDescent="0.3">
      <c r="A117" s="72" t="e">
        <f>VLOOKUP(C117,'[1]青岛4 (2)'!$C:$D,2,0)</f>
        <v>#N/A</v>
      </c>
      <c r="B117" s="100" t="s">
        <v>1754</v>
      </c>
      <c r="C117" s="101">
        <v>10880030004</v>
      </c>
      <c r="D117" s="105">
        <v>110001307229</v>
      </c>
      <c r="E117" s="102">
        <v>110001307229</v>
      </c>
      <c r="F117" s="100" t="s">
        <v>254</v>
      </c>
      <c r="G117" s="100">
        <v>1000</v>
      </c>
      <c r="H117" s="103">
        <v>1000</v>
      </c>
      <c r="I117" s="104" t="str">
        <f>VLOOKUP(C117,'[2]IE model  海尔产品'!$A$1:$D$65536,4,0)</f>
        <v>1*5</v>
      </c>
      <c r="J117" s="104" cm="1">
        <f t="array" ref="J117">INDEX($A$2:$AF$2,MIN(IF(M117:AF117&lt;&gt;0,COLUMN(M117:AF117))))</f>
        <v>46146</v>
      </c>
      <c r="K117" s="100">
        <v>1400</v>
      </c>
      <c r="L117" s="100"/>
      <c r="M117" s="115"/>
      <c r="N117" s="113"/>
      <c r="O117" s="115">
        <v>1000</v>
      </c>
      <c r="P117" s="137"/>
      <c r="Q117" s="115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15">
        <f t="shared" si="49"/>
        <v>1000</v>
      </c>
      <c r="AH117" s="124">
        <f t="shared" si="50"/>
        <v>0</v>
      </c>
      <c r="AI117" s="130"/>
      <c r="AJ117" s="73"/>
      <c r="AK117" s="73"/>
      <c r="AL117" s="73"/>
      <c r="AM117" s="72" t="e">
        <f>_xlfn.XLOOKUP(C117,'[4]4-30'!$F:$F,'[4]4-30'!$S:$S)</f>
        <v>#N/A</v>
      </c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  <c r="ED117" s="73"/>
      <c r="EE117" s="73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73"/>
      <c r="EQ117" s="73"/>
      <c r="ER117" s="73"/>
      <c r="ES117" s="73"/>
      <c r="ET117" s="73"/>
      <c r="EU117" s="73"/>
      <c r="EV117" s="73"/>
      <c r="EW117" s="73"/>
      <c r="EX117" s="73"/>
      <c r="EY117" s="73"/>
      <c r="EZ117" s="73"/>
      <c r="FA117" s="73"/>
      <c r="FB117" s="73"/>
      <c r="FC117" s="73"/>
      <c r="FD117" s="73"/>
      <c r="FE117" s="73"/>
      <c r="FF117" s="73"/>
      <c r="FG117" s="73"/>
      <c r="FH117" s="73"/>
      <c r="FI117" s="73"/>
      <c r="FJ117" s="73"/>
      <c r="FK117" s="73"/>
      <c r="FL117" s="73"/>
      <c r="FM117" s="73"/>
      <c r="FN117" s="73"/>
      <c r="FO117" s="73"/>
      <c r="FP117" s="73"/>
      <c r="FQ117" s="73"/>
      <c r="FR117" s="73"/>
      <c r="FS117" s="73"/>
      <c r="FT117" s="73"/>
      <c r="FU117" s="73"/>
      <c r="FV117" s="73"/>
      <c r="FW117" s="73"/>
      <c r="FX117" s="73"/>
      <c r="FY117" s="73"/>
      <c r="FZ117" s="73"/>
      <c r="GA117" s="73"/>
      <c r="GB117" s="73"/>
      <c r="GC117" s="73"/>
      <c r="GD117" s="73"/>
      <c r="GE117" s="73"/>
      <c r="GF117" s="73"/>
      <c r="GG117" s="73"/>
      <c r="GH117" s="73"/>
      <c r="GI117" s="73"/>
      <c r="GJ117" s="73"/>
      <c r="GK117" s="73"/>
      <c r="GL117" s="73"/>
      <c r="GM117" s="73"/>
      <c r="GN117" s="73"/>
      <c r="GO117" s="73"/>
      <c r="GP117" s="73"/>
      <c r="GQ117" s="73"/>
      <c r="GR117" s="73"/>
      <c r="GS117" s="73"/>
      <c r="GT117" s="73"/>
      <c r="GU117" s="73"/>
      <c r="GV117" s="73"/>
      <c r="GW117" s="73"/>
      <c r="GX117" s="73"/>
      <c r="GY117" s="73"/>
      <c r="GZ117" s="73"/>
      <c r="HA117" s="73"/>
      <c r="HB117" s="73"/>
      <c r="HC117" s="73"/>
      <c r="HD117" s="73"/>
      <c r="HE117" s="73"/>
      <c r="HF117" s="73"/>
      <c r="HG117" s="73"/>
      <c r="HH117" s="73"/>
      <c r="HI117" s="73"/>
      <c r="HJ117" s="73"/>
      <c r="HK117" s="73"/>
      <c r="HL117" s="73"/>
      <c r="HM117" s="73"/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  <c r="IB117" s="73"/>
      <c r="IC117" s="73"/>
      <c r="ID117" s="73"/>
      <c r="IE117" s="73"/>
      <c r="IF117" s="73"/>
      <c r="IG117" s="73"/>
      <c r="IH117" s="73"/>
      <c r="II117" s="73"/>
      <c r="IJ117" s="73"/>
      <c r="IK117" s="73"/>
      <c r="IL117" s="73"/>
      <c r="IM117" s="73"/>
      <c r="IN117" s="73"/>
      <c r="IO117" s="73"/>
      <c r="IP117" s="73"/>
      <c r="IQ117" s="73"/>
      <c r="IR117" s="73"/>
      <c r="IS117" s="73"/>
      <c r="IT117" s="73"/>
      <c r="IU117" s="73"/>
      <c r="IV117" s="73"/>
      <c r="IW117" s="73"/>
      <c r="IX117" s="73"/>
      <c r="IY117" s="73"/>
      <c r="IZ117" s="73"/>
      <c r="JA117" s="73"/>
      <c r="JB117" s="73"/>
      <c r="JC117" s="73"/>
      <c r="JD117" s="73"/>
      <c r="JE117" s="73"/>
      <c r="JF117" s="73"/>
      <c r="JG117" s="73"/>
      <c r="JH117" s="73"/>
      <c r="JI117" s="73"/>
      <c r="JJ117" s="73"/>
      <c r="JK117" s="73"/>
      <c r="JL117" s="73"/>
      <c r="JM117" s="73"/>
      <c r="JN117" s="73"/>
      <c r="JO117" s="73"/>
      <c r="JP117" s="73"/>
      <c r="JQ117" s="73"/>
      <c r="JR117" s="73"/>
      <c r="JS117" s="73"/>
      <c r="JT117" s="73"/>
      <c r="JU117" s="73"/>
      <c r="JV117" s="73"/>
      <c r="JW117" s="73"/>
      <c r="JX117" s="73"/>
      <c r="JY117" s="73"/>
      <c r="JZ117" s="73"/>
      <c r="KA117" s="73"/>
      <c r="KB117" s="73"/>
      <c r="KC117" s="73"/>
      <c r="KD117" s="73"/>
      <c r="KE117" s="73"/>
      <c r="KF117" s="73"/>
      <c r="KG117" s="73"/>
      <c r="KH117" s="73"/>
      <c r="KI117" s="73"/>
      <c r="KJ117" s="73"/>
      <c r="KK117" s="73"/>
      <c r="KL117" s="73"/>
      <c r="KM117" s="73"/>
      <c r="KN117" s="73"/>
      <c r="KO117" s="73"/>
      <c r="KP117" s="73"/>
      <c r="KQ117" s="73"/>
      <c r="KR117" s="73"/>
      <c r="KS117" s="73"/>
      <c r="KT117" s="73"/>
      <c r="KU117" s="73"/>
      <c r="KV117" s="73"/>
      <c r="KW117" s="73"/>
      <c r="KX117" s="73"/>
      <c r="KY117" s="73"/>
      <c r="KZ117" s="73"/>
      <c r="LA117" s="73"/>
      <c r="LB117" s="73"/>
      <c r="LC117" s="73"/>
      <c r="LD117" s="73"/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  <c r="MH117" s="73"/>
      <c r="MI117" s="73"/>
      <c r="MJ117" s="73"/>
      <c r="MK117" s="73"/>
      <c r="ML117" s="73"/>
      <c r="MM117" s="73"/>
      <c r="MN117" s="73"/>
      <c r="MO117" s="73"/>
      <c r="MP117" s="73"/>
      <c r="MQ117" s="73"/>
      <c r="MR117" s="73"/>
      <c r="MS117" s="73"/>
      <c r="MT117" s="73"/>
      <c r="MU117" s="73"/>
      <c r="MV117" s="73"/>
      <c r="MW117" s="73"/>
      <c r="MX117" s="73"/>
      <c r="MY117" s="73"/>
      <c r="MZ117" s="73"/>
      <c r="NA117" s="73"/>
      <c r="NB117" s="73"/>
      <c r="NC117" s="73"/>
      <c r="ND117" s="73"/>
      <c r="NE117" s="73"/>
      <c r="NF117" s="73"/>
      <c r="NG117" s="73"/>
      <c r="NH117" s="73"/>
      <c r="NI117" s="73"/>
      <c r="NJ117" s="73"/>
      <c r="NK117" s="73"/>
      <c r="NL117" s="73"/>
      <c r="NM117" s="73"/>
      <c r="NN117" s="73"/>
      <c r="NO117" s="73"/>
      <c r="NP117" s="73"/>
      <c r="NQ117" s="73"/>
      <c r="NR117" s="73"/>
      <c r="NS117" s="73"/>
      <c r="NT117" s="73"/>
      <c r="NU117" s="73"/>
      <c r="NV117" s="73"/>
      <c r="NW117" s="73"/>
      <c r="NX117" s="73"/>
      <c r="NY117" s="73"/>
      <c r="NZ117" s="73"/>
      <c r="OA117" s="73"/>
      <c r="OB117" s="73"/>
      <c r="OC117" s="73"/>
      <c r="OD117" s="73"/>
      <c r="OE117" s="73"/>
      <c r="OF117" s="73"/>
      <c r="OG117" s="73"/>
      <c r="OH117" s="73"/>
      <c r="OI117" s="73"/>
      <c r="OJ117" s="73"/>
      <c r="OK117" s="73"/>
      <c r="OL117" s="73"/>
      <c r="OM117" s="73"/>
      <c r="ON117" s="73"/>
      <c r="OO117" s="73"/>
      <c r="OP117" s="73"/>
      <c r="OQ117" s="73"/>
      <c r="OR117" s="73"/>
      <c r="OS117" s="73"/>
      <c r="OT117" s="73"/>
      <c r="OU117" s="73"/>
      <c r="OV117" s="73"/>
      <c r="OW117" s="73"/>
      <c r="OX117" s="73"/>
      <c r="OY117" s="73"/>
      <c r="OZ117" s="73"/>
      <c r="PA117" s="73"/>
      <c r="PB117" s="73"/>
      <c r="PC117" s="73"/>
      <c r="PD117" s="73"/>
      <c r="PE117" s="73"/>
      <c r="PF117" s="73"/>
      <c r="PG117" s="73"/>
      <c r="PH117" s="73"/>
      <c r="PI117" s="73"/>
      <c r="PJ117" s="73"/>
      <c r="PK117" s="73"/>
      <c r="PL117" s="73"/>
      <c r="PM117" s="73"/>
      <c r="PN117" s="73"/>
      <c r="PO117" s="73"/>
      <c r="PP117" s="73"/>
      <c r="PQ117" s="73"/>
      <c r="PR117" s="73"/>
      <c r="PS117" s="73"/>
      <c r="PT117" s="73"/>
      <c r="PU117" s="73"/>
      <c r="PV117" s="73"/>
      <c r="PW117" s="73"/>
      <c r="PX117" s="73"/>
      <c r="PY117" s="73"/>
      <c r="PZ117" s="73"/>
      <c r="QA117" s="73"/>
      <c r="QB117" s="73"/>
      <c r="QC117" s="73"/>
      <c r="QD117" s="73"/>
      <c r="QE117" s="73"/>
      <c r="QF117" s="73"/>
      <c r="QG117" s="73"/>
      <c r="QH117" s="73"/>
      <c r="QI117" s="73"/>
      <c r="QJ117" s="73"/>
      <c r="QK117" s="73"/>
      <c r="QL117" s="73"/>
      <c r="QM117" s="73"/>
      <c r="QN117" s="73"/>
      <c r="QO117" s="73"/>
      <c r="QP117" s="73"/>
      <c r="QQ117" s="73"/>
      <c r="QR117" s="73"/>
      <c r="QS117" s="73"/>
      <c r="QT117" s="73"/>
      <c r="QU117" s="73"/>
      <c r="QV117" s="73"/>
      <c r="QW117" s="73"/>
      <c r="QX117" s="73"/>
      <c r="QY117" s="73"/>
      <c r="QZ117" s="73"/>
      <c r="RA117" s="73"/>
      <c r="RB117" s="73"/>
      <c r="RC117" s="73"/>
      <c r="RD117" s="73"/>
      <c r="RE117" s="73"/>
      <c r="RF117" s="73"/>
      <c r="RG117" s="73"/>
      <c r="RH117" s="73"/>
      <c r="RI117" s="73"/>
      <c r="RJ117" s="73"/>
      <c r="RK117" s="73"/>
      <c r="RL117" s="73"/>
      <c r="RM117" s="73"/>
      <c r="RN117" s="73"/>
      <c r="RO117" s="73"/>
      <c r="RP117" s="73"/>
      <c r="RQ117" s="73"/>
      <c r="RR117" s="73"/>
      <c r="RS117" s="73"/>
      <c r="RT117" s="73"/>
      <c r="RU117" s="73"/>
      <c r="RV117" s="73"/>
      <c r="RW117" s="73"/>
      <c r="RX117" s="73"/>
      <c r="RY117" s="73"/>
      <c r="RZ117" s="73"/>
      <c r="SA117" s="73"/>
      <c r="SB117" s="73"/>
      <c r="SC117" s="73"/>
      <c r="SD117" s="73"/>
      <c r="SE117" s="73"/>
      <c r="SF117" s="73"/>
      <c r="SG117" s="73"/>
      <c r="SH117" s="73"/>
      <c r="SI117" s="73"/>
      <c r="SJ117" s="73"/>
      <c r="SK117" s="73"/>
      <c r="SL117" s="73"/>
      <c r="SM117" s="73"/>
      <c r="SN117" s="73"/>
      <c r="SO117" s="73"/>
      <c r="SP117" s="73"/>
      <c r="SQ117" s="73"/>
      <c r="SR117" s="73"/>
      <c r="SS117" s="73"/>
      <c r="ST117" s="73"/>
      <c r="SU117" s="73"/>
      <c r="SV117" s="73"/>
      <c r="SW117" s="73"/>
      <c r="SX117" s="73"/>
      <c r="SY117" s="73"/>
      <c r="SZ117" s="73"/>
      <c r="TA117" s="73"/>
      <c r="TB117" s="73"/>
      <c r="TC117" s="73"/>
      <c r="TD117" s="73"/>
      <c r="TE117" s="73"/>
      <c r="TF117" s="73"/>
      <c r="TG117" s="73"/>
      <c r="TH117" s="73"/>
      <c r="TI117" s="73"/>
      <c r="TJ117" s="73"/>
      <c r="TK117" s="73"/>
      <c r="TL117" s="73"/>
      <c r="TM117" s="73"/>
      <c r="TN117" s="73"/>
      <c r="TO117" s="73"/>
      <c r="TP117" s="73"/>
      <c r="TQ117" s="73"/>
      <c r="TR117" s="73"/>
      <c r="TS117" s="73"/>
      <c r="TT117" s="73"/>
      <c r="TU117" s="73"/>
      <c r="TV117" s="73"/>
      <c r="TW117" s="73"/>
      <c r="TX117" s="73"/>
      <c r="TY117" s="73"/>
      <c r="TZ117" s="73"/>
      <c r="UA117" s="73"/>
      <c r="UB117" s="73"/>
      <c r="UC117" s="73"/>
      <c r="UD117" s="73"/>
      <c r="UE117" s="73"/>
      <c r="UF117" s="73"/>
      <c r="UG117" s="73"/>
      <c r="UH117" s="73"/>
      <c r="UI117" s="73"/>
      <c r="UJ117" s="73"/>
      <c r="UK117" s="73"/>
      <c r="UL117" s="73"/>
      <c r="UM117" s="73"/>
      <c r="UN117" s="73"/>
      <c r="UO117" s="73"/>
      <c r="UP117" s="73"/>
      <c r="UQ117" s="73"/>
      <c r="UR117" s="73"/>
      <c r="US117" s="73"/>
      <c r="UT117" s="73"/>
      <c r="UU117" s="73"/>
      <c r="UV117" s="73"/>
      <c r="UW117" s="73"/>
      <c r="UX117" s="73"/>
      <c r="UY117" s="73"/>
      <c r="UZ117" s="73"/>
      <c r="VA117" s="73"/>
      <c r="VB117" s="73"/>
      <c r="VC117" s="73"/>
      <c r="VD117" s="73"/>
      <c r="VE117" s="73"/>
      <c r="VF117" s="73"/>
      <c r="VG117" s="73"/>
      <c r="VH117" s="73"/>
      <c r="VI117" s="73"/>
      <c r="VJ117" s="73"/>
      <c r="VK117" s="73"/>
      <c r="VL117" s="73"/>
      <c r="VM117" s="73"/>
      <c r="VN117" s="73"/>
      <c r="VO117" s="73"/>
      <c r="VP117" s="73"/>
      <c r="VQ117" s="73"/>
      <c r="VR117" s="73"/>
      <c r="VS117" s="73"/>
      <c r="VT117" s="73"/>
      <c r="VU117" s="73"/>
      <c r="VV117" s="73"/>
      <c r="VW117" s="73"/>
      <c r="VX117" s="73"/>
      <c r="VY117" s="73"/>
      <c r="VZ117" s="73"/>
      <c r="WA117" s="73"/>
      <c r="WB117" s="73"/>
      <c r="WC117" s="73"/>
      <c r="WD117" s="73"/>
      <c r="WE117" s="73"/>
      <c r="WF117" s="73"/>
      <c r="WG117" s="73"/>
      <c r="WH117" s="73"/>
      <c r="WI117" s="73"/>
      <c r="WJ117" s="73"/>
      <c r="WK117" s="73"/>
      <c r="WL117" s="73"/>
      <c r="WM117" s="73"/>
      <c r="WN117" s="73"/>
      <c r="WO117" s="73"/>
      <c r="WP117" s="73"/>
      <c r="WQ117" s="73"/>
      <c r="WR117" s="73"/>
      <c r="WS117" s="73"/>
      <c r="WT117" s="73"/>
      <c r="WU117" s="73"/>
      <c r="WV117" s="73"/>
      <c r="WW117" s="73"/>
      <c r="WX117" s="73"/>
      <c r="WY117" s="73"/>
      <c r="WZ117" s="73"/>
      <c r="XA117" s="73"/>
      <c r="XB117" s="73"/>
      <c r="XC117" s="73"/>
      <c r="XD117" s="73"/>
      <c r="XE117" s="73"/>
      <c r="XF117" s="73"/>
      <c r="XG117" s="73"/>
      <c r="XH117" s="73"/>
      <c r="XI117" s="73"/>
      <c r="XJ117" s="73"/>
      <c r="XK117" s="73"/>
      <c r="XL117" s="73"/>
      <c r="XM117" s="73"/>
      <c r="XN117" s="73"/>
      <c r="XO117" s="73"/>
      <c r="XP117" s="73"/>
      <c r="XQ117" s="73"/>
      <c r="XR117" s="73"/>
      <c r="XS117" s="73"/>
      <c r="XT117" s="73"/>
      <c r="XU117" s="73"/>
      <c r="XV117" s="73"/>
      <c r="XW117" s="73"/>
      <c r="XX117" s="73"/>
      <c r="XY117" s="73"/>
      <c r="XZ117" s="73"/>
      <c r="YA117" s="73"/>
      <c r="YB117" s="73"/>
      <c r="YC117" s="73"/>
      <c r="YD117" s="73"/>
      <c r="YE117" s="73"/>
      <c r="YF117" s="73"/>
      <c r="YG117" s="73"/>
      <c r="YH117" s="73"/>
      <c r="YI117" s="73"/>
      <c r="YJ117" s="73"/>
      <c r="YK117" s="73"/>
      <c r="YL117" s="73"/>
      <c r="YM117" s="73"/>
      <c r="YN117" s="73"/>
      <c r="YO117" s="73"/>
      <c r="YP117" s="73"/>
      <c r="YQ117" s="73"/>
      <c r="YR117" s="73"/>
      <c r="YS117" s="73"/>
      <c r="YT117" s="73"/>
      <c r="YU117" s="73"/>
      <c r="YV117" s="73"/>
      <c r="YW117" s="73"/>
      <c r="YX117" s="73"/>
      <c r="YY117" s="73"/>
      <c r="YZ117" s="73"/>
      <c r="ZA117" s="73"/>
      <c r="ZB117" s="73"/>
      <c r="ZC117" s="73"/>
      <c r="ZD117" s="73"/>
      <c r="ZE117" s="73"/>
      <c r="ZF117" s="73"/>
      <c r="ZG117" s="73"/>
      <c r="ZH117" s="73"/>
      <c r="ZI117" s="73"/>
      <c r="ZJ117" s="73"/>
      <c r="ZK117" s="73"/>
      <c r="ZL117" s="73"/>
      <c r="ZM117" s="73"/>
      <c r="ZN117" s="73"/>
      <c r="ZO117" s="73"/>
      <c r="ZP117" s="73"/>
      <c r="ZQ117" s="73"/>
      <c r="ZR117" s="73"/>
      <c r="ZS117" s="73"/>
      <c r="ZT117" s="73"/>
      <c r="ZU117" s="73"/>
      <c r="ZV117" s="73"/>
      <c r="ZW117" s="73"/>
      <c r="ZX117" s="73"/>
      <c r="ZY117" s="73"/>
      <c r="ZZ117" s="73"/>
      <c r="AAA117" s="73"/>
      <c r="AAB117" s="73"/>
      <c r="AAC117" s="73"/>
      <c r="AAD117" s="73"/>
      <c r="AAE117" s="73"/>
      <c r="AAF117" s="73"/>
      <c r="AAG117" s="73"/>
      <c r="AAH117" s="73"/>
      <c r="AAI117" s="73"/>
      <c r="AAJ117" s="73"/>
      <c r="AAK117" s="73"/>
      <c r="AAL117" s="73"/>
      <c r="AAM117" s="73"/>
      <c r="AAN117" s="73"/>
      <c r="AAO117" s="73"/>
      <c r="AAP117" s="73"/>
      <c r="AAQ117" s="73"/>
      <c r="AAR117" s="73"/>
      <c r="AAS117" s="73"/>
      <c r="AAT117" s="73"/>
      <c r="AAU117" s="73"/>
      <c r="AAV117" s="73"/>
      <c r="AAW117" s="73"/>
      <c r="AAX117" s="73"/>
      <c r="AAY117" s="73"/>
      <c r="AAZ117" s="73"/>
      <c r="ABA117" s="73"/>
      <c r="ABB117" s="73"/>
      <c r="ABC117" s="73"/>
      <c r="ABD117" s="73"/>
      <c r="ABE117" s="73"/>
      <c r="ABF117" s="73"/>
      <c r="ABG117" s="73"/>
      <c r="ABH117" s="73"/>
      <c r="ABI117" s="73"/>
      <c r="ABJ117" s="73"/>
      <c r="ABK117" s="73"/>
      <c r="ABL117" s="73"/>
      <c r="ABM117" s="73"/>
      <c r="ABN117" s="73"/>
      <c r="ABO117" s="73"/>
      <c r="ABP117" s="73"/>
      <c r="ABQ117" s="73"/>
      <c r="ABR117" s="73"/>
      <c r="ABS117" s="73"/>
      <c r="ABT117" s="73"/>
      <c r="ABU117" s="73"/>
      <c r="ABV117" s="73"/>
      <c r="ABW117" s="73"/>
      <c r="ABX117" s="73"/>
      <c r="ABY117" s="73"/>
      <c r="ABZ117" s="73"/>
      <c r="ACA117" s="73"/>
      <c r="ACB117" s="73"/>
      <c r="ACC117" s="73"/>
      <c r="ACD117" s="73"/>
      <c r="ACE117" s="73"/>
      <c r="ACF117" s="73"/>
      <c r="ACG117" s="73"/>
      <c r="ACH117" s="73"/>
      <c r="ACI117" s="73"/>
      <c r="ACJ117" s="73"/>
      <c r="ACK117" s="73"/>
      <c r="ACL117" s="73"/>
      <c r="ACM117" s="73"/>
      <c r="ACN117" s="73"/>
      <c r="ACO117" s="73"/>
      <c r="ACP117" s="73"/>
      <c r="ACQ117" s="73"/>
      <c r="ACR117" s="73"/>
      <c r="ACS117" s="73"/>
      <c r="ACT117" s="73"/>
      <c r="ACU117" s="73"/>
      <c r="ACV117" s="73"/>
      <c r="ACW117" s="73"/>
      <c r="ACX117" s="73"/>
      <c r="ACY117" s="73"/>
      <c r="ACZ117" s="73"/>
      <c r="ADA117" s="73"/>
      <c r="ADB117" s="73"/>
      <c r="ADC117" s="73"/>
      <c r="ADD117" s="73"/>
      <c r="ADE117" s="73"/>
      <c r="ADF117" s="73"/>
      <c r="ADG117" s="73"/>
      <c r="ADH117" s="73"/>
      <c r="ADI117" s="73"/>
      <c r="ADJ117" s="73"/>
      <c r="ADK117" s="73"/>
      <c r="ADL117" s="73"/>
      <c r="ADM117" s="73"/>
      <c r="ADN117" s="73"/>
      <c r="ADO117" s="73"/>
      <c r="ADP117" s="73"/>
      <c r="ADQ117" s="73"/>
      <c r="ADR117" s="73"/>
      <c r="ADS117" s="73"/>
      <c r="ADT117" s="73"/>
      <c r="ADU117" s="73"/>
      <c r="ADV117" s="73"/>
      <c r="ADW117" s="73"/>
      <c r="ADX117" s="73"/>
      <c r="ADY117" s="73"/>
      <c r="ADZ117" s="73"/>
      <c r="AEA117" s="73"/>
      <c r="AEB117" s="73"/>
      <c r="AEC117" s="73"/>
      <c r="AED117" s="73"/>
      <c r="AEE117" s="73"/>
      <c r="AEF117" s="73"/>
      <c r="AEG117" s="73"/>
      <c r="AEH117" s="73"/>
      <c r="AEI117" s="73"/>
      <c r="AEJ117" s="73"/>
      <c r="AEK117" s="73"/>
      <c r="AEL117" s="73"/>
      <c r="AEM117" s="73"/>
      <c r="AEN117" s="73"/>
      <c r="AEO117" s="73"/>
      <c r="AEP117" s="73"/>
      <c r="AEQ117" s="73"/>
      <c r="AER117" s="73"/>
      <c r="AES117" s="73"/>
      <c r="AET117" s="73"/>
      <c r="AEU117" s="73"/>
      <c r="AEV117" s="73"/>
      <c r="AEW117" s="73"/>
      <c r="AEX117" s="73"/>
      <c r="AEY117" s="73"/>
      <c r="AEZ117" s="73"/>
      <c r="AFA117" s="73"/>
      <c r="AFB117" s="73"/>
      <c r="AFC117" s="73"/>
      <c r="AFD117" s="73"/>
      <c r="AFE117" s="73"/>
      <c r="AFF117" s="73"/>
      <c r="AFG117" s="73"/>
      <c r="AFH117" s="73"/>
      <c r="AFI117" s="73"/>
      <c r="AFJ117" s="73"/>
      <c r="AFK117" s="73"/>
      <c r="AFL117" s="73"/>
      <c r="AFM117" s="73"/>
      <c r="AFN117" s="73"/>
      <c r="AFO117" s="73"/>
      <c r="AFP117" s="73"/>
      <c r="AFQ117" s="73"/>
      <c r="AFR117" s="73"/>
      <c r="AFS117" s="73"/>
      <c r="AFT117" s="73"/>
      <c r="AFU117" s="73"/>
      <c r="AFV117" s="73"/>
      <c r="AFW117" s="73"/>
      <c r="AFX117" s="73"/>
      <c r="AFY117" s="73"/>
      <c r="AFZ117" s="73"/>
      <c r="AGA117" s="73"/>
      <c r="AGB117" s="73"/>
      <c r="AGC117" s="73"/>
      <c r="AGD117" s="73"/>
      <c r="AGE117" s="73"/>
      <c r="AGF117" s="73"/>
      <c r="AGG117" s="73"/>
      <c r="AGH117" s="73"/>
      <c r="AGI117" s="73"/>
      <c r="AGJ117" s="73"/>
      <c r="AGK117" s="73"/>
      <c r="AGL117" s="73"/>
      <c r="AGM117" s="73"/>
      <c r="AGN117" s="73"/>
      <c r="AGO117" s="73"/>
      <c r="AGP117" s="73"/>
      <c r="AGQ117" s="73"/>
      <c r="AGR117" s="73"/>
      <c r="AGS117" s="73"/>
      <c r="AGT117" s="73"/>
      <c r="AGU117" s="73"/>
      <c r="AGV117" s="73"/>
      <c r="AGW117" s="73"/>
      <c r="AGX117" s="73"/>
      <c r="AGY117" s="73"/>
      <c r="AGZ117" s="73"/>
      <c r="AHA117" s="73"/>
      <c r="AHB117" s="73"/>
      <c r="AHC117" s="73"/>
      <c r="AHD117" s="73"/>
      <c r="AHE117" s="73"/>
      <c r="AHF117" s="73"/>
      <c r="AHG117" s="73"/>
      <c r="AHH117" s="73"/>
      <c r="AHI117" s="73"/>
      <c r="AHJ117" s="73"/>
      <c r="AHK117" s="73"/>
      <c r="AHL117" s="73"/>
      <c r="AHM117" s="73"/>
      <c r="AHN117" s="73"/>
      <c r="AHO117" s="73"/>
      <c r="AHP117" s="73"/>
      <c r="AHQ117" s="73"/>
      <c r="AHR117" s="73"/>
      <c r="AHS117" s="73"/>
      <c r="AHT117" s="73"/>
      <c r="AHU117" s="73"/>
      <c r="AHV117" s="73"/>
      <c r="AHW117" s="73"/>
      <c r="AHX117" s="73"/>
      <c r="AHY117" s="73"/>
      <c r="AHZ117" s="73"/>
      <c r="AIA117" s="73"/>
      <c r="AIB117" s="73"/>
      <c r="AIC117" s="73"/>
      <c r="AID117" s="73"/>
      <c r="AIE117" s="73"/>
      <c r="AIF117" s="73"/>
      <c r="AIG117" s="73"/>
      <c r="AIH117" s="73"/>
      <c r="AII117" s="73"/>
      <c r="AIJ117" s="73"/>
      <c r="AIK117" s="73"/>
      <c r="AIL117" s="73"/>
      <c r="AIM117" s="73"/>
      <c r="AIN117" s="73"/>
      <c r="AIO117" s="73"/>
      <c r="AIP117" s="73"/>
      <c r="AIQ117" s="73"/>
      <c r="AIR117" s="73"/>
      <c r="AIS117" s="73"/>
      <c r="AIT117" s="73"/>
      <c r="AIU117" s="73"/>
      <c r="AIV117" s="73"/>
      <c r="AIW117" s="73"/>
      <c r="AIX117" s="73"/>
      <c r="AIY117" s="73"/>
      <c r="AIZ117" s="73"/>
      <c r="AJA117" s="73"/>
      <c r="AJB117" s="73"/>
      <c r="AJC117" s="73"/>
      <c r="AJD117" s="73"/>
      <c r="AJE117" s="73"/>
      <c r="AJF117" s="73"/>
      <c r="AJG117" s="73"/>
      <c r="AJH117" s="73"/>
      <c r="AJI117" s="73"/>
      <c r="AJJ117" s="73"/>
      <c r="AJK117" s="73"/>
      <c r="AJL117" s="73"/>
      <c r="AJM117" s="73"/>
      <c r="AJN117" s="73"/>
      <c r="AJO117" s="73"/>
      <c r="AJP117" s="73"/>
      <c r="AJQ117" s="73"/>
      <c r="AJR117" s="73"/>
      <c r="AJS117" s="73"/>
      <c r="AJT117" s="73"/>
      <c r="AJU117" s="73"/>
      <c r="AJV117" s="73"/>
      <c r="AJW117" s="73"/>
      <c r="AJX117" s="73"/>
      <c r="AJY117" s="73"/>
      <c r="AJZ117" s="73"/>
      <c r="AKA117" s="73"/>
      <c r="AKB117" s="73"/>
      <c r="AKC117" s="73"/>
      <c r="AKD117" s="73"/>
      <c r="AKE117" s="73"/>
      <c r="AKF117" s="73"/>
      <c r="AKG117" s="73"/>
      <c r="AKH117" s="73"/>
      <c r="AKI117" s="73"/>
      <c r="AKJ117" s="73"/>
      <c r="AKK117" s="73"/>
      <c r="AKL117" s="73"/>
      <c r="AKM117" s="73"/>
      <c r="AKN117" s="73"/>
      <c r="AKO117" s="73"/>
      <c r="AKP117" s="73"/>
      <c r="AKQ117" s="73"/>
      <c r="AKR117" s="73"/>
      <c r="AKS117" s="73"/>
      <c r="AKT117" s="73"/>
      <c r="AKU117" s="73"/>
      <c r="AKV117" s="73"/>
      <c r="AKW117" s="73"/>
      <c r="AKX117" s="73"/>
      <c r="AKY117" s="73"/>
      <c r="AKZ117" s="73"/>
      <c r="ALA117" s="73"/>
      <c r="ALB117" s="73"/>
      <c r="ALC117" s="73"/>
      <c r="ALD117" s="73"/>
      <c r="ALE117" s="73"/>
      <c r="ALF117" s="73"/>
      <c r="ALG117" s="73"/>
      <c r="ALH117" s="73"/>
      <c r="ALI117" s="73"/>
      <c r="ALJ117" s="73"/>
      <c r="ALK117" s="73"/>
      <c r="ALL117" s="73"/>
      <c r="ALM117" s="73"/>
      <c r="ALN117" s="73"/>
      <c r="ALO117" s="73"/>
      <c r="ALP117" s="73"/>
      <c r="ALQ117" s="73"/>
      <c r="ALR117" s="73"/>
      <c r="ALS117" s="73"/>
      <c r="ALT117" s="73"/>
      <c r="ALU117" s="73"/>
      <c r="ALV117" s="73"/>
      <c r="ALW117" s="73"/>
      <c r="ALX117" s="73"/>
      <c r="ALY117" s="73"/>
      <c r="ALZ117" s="73"/>
      <c r="AMA117" s="73"/>
      <c r="AMB117" s="73"/>
      <c r="AMC117" s="73"/>
      <c r="AMD117" s="73"/>
      <c r="AME117" s="73"/>
      <c r="AMF117" s="73"/>
      <c r="AMG117" s="73"/>
      <c r="AMH117" s="73"/>
      <c r="AMI117" s="73"/>
      <c r="AMJ117" s="73"/>
      <c r="AMK117" s="73"/>
      <c r="AML117" s="73"/>
      <c r="AMM117" s="73"/>
      <c r="AMN117" s="73"/>
      <c r="AMO117" s="73"/>
      <c r="AMP117" s="73"/>
      <c r="AMQ117" s="73"/>
      <c r="AMR117" s="73"/>
      <c r="AMS117" s="73"/>
      <c r="AMT117" s="73"/>
      <c r="AMU117" s="73"/>
      <c r="AMV117" s="73"/>
      <c r="AMW117" s="73"/>
      <c r="AMX117" s="73"/>
      <c r="AMY117" s="73"/>
      <c r="AMZ117" s="73"/>
      <c r="ANA117" s="73"/>
      <c r="ANB117" s="73"/>
      <c r="ANC117" s="73"/>
      <c r="AND117" s="73"/>
      <c r="ANE117" s="73"/>
      <c r="ANF117" s="73"/>
      <c r="ANG117" s="73"/>
      <c r="ANH117" s="73"/>
      <c r="ANI117" s="73"/>
      <c r="ANJ117" s="73"/>
      <c r="ANK117" s="73"/>
      <c r="ANL117" s="73"/>
      <c r="ANM117" s="73"/>
      <c r="ANN117" s="73"/>
      <c r="ANO117" s="73"/>
      <c r="ANP117" s="73"/>
      <c r="ANQ117" s="73"/>
      <c r="ANR117" s="73"/>
      <c r="ANS117" s="73"/>
      <c r="ANT117" s="73"/>
      <c r="ANU117" s="73"/>
      <c r="ANV117" s="73"/>
      <c r="ANW117" s="73"/>
      <c r="ANX117" s="73"/>
      <c r="ANY117" s="73"/>
      <c r="ANZ117" s="73"/>
      <c r="AOA117" s="73"/>
      <c r="AOB117" s="73"/>
      <c r="AOC117" s="73"/>
      <c r="AOD117" s="73"/>
      <c r="AOE117" s="73"/>
      <c r="AOF117" s="73"/>
      <c r="AOG117" s="73"/>
      <c r="AOH117" s="73"/>
      <c r="AOI117" s="73"/>
      <c r="AOJ117" s="73"/>
      <c r="AOK117" s="73"/>
      <c r="AOL117" s="73"/>
      <c r="AOM117" s="73"/>
      <c r="AON117" s="73"/>
      <c r="AOO117" s="73"/>
      <c r="AOP117" s="73"/>
      <c r="AOQ117" s="73"/>
      <c r="AOR117" s="73"/>
      <c r="AOS117" s="73"/>
      <c r="AOT117" s="73"/>
      <c r="AOU117" s="73"/>
      <c r="AOV117" s="73"/>
      <c r="AOW117" s="73"/>
      <c r="AOX117" s="73"/>
      <c r="AOY117" s="73"/>
      <c r="AOZ117" s="73"/>
      <c r="APA117" s="73"/>
      <c r="APB117" s="73"/>
      <c r="APC117" s="73"/>
      <c r="APD117" s="73"/>
      <c r="APE117" s="73"/>
      <c r="APF117" s="73"/>
      <c r="APG117" s="73"/>
      <c r="APH117" s="73"/>
      <c r="API117" s="73"/>
      <c r="APJ117" s="73"/>
      <c r="APK117" s="73"/>
      <c r="APL117" s="73"/>
      <c r="APM117" s="73"/>
      <c r="APN117" s="73"/>
      <c r="APO117" s="73"/>
      <c r="APP117" s="73"/>
      <c r="APQ117" s="73"/>
      <c r="APR117" s="73"/>
      <c r="APS117" s="73"/>
      <c r="APT117" s="73"/>
      <c r="APU117" s="73"/>
      <c r="APV117" s="73"/>
      <c r="APW117" s="73"/>
      <c r="APX117" s="73"/>
      <c r="APY117" s="73"/>
      <c r="APZ117" s="73"/>
      <c r="AQA117" s="73"/>
      <c r="AQB117" s="73"/>
      <c r="AQC117" s="73"/>
      <c r="AQD117" s="73"/>
      <c r="AQE117" s="73"/>
      <c r="AQF117" s="73"/>
      <c r="AQG117" s="73"/>
      <c r="AQH117" s="73"/>
      <c r="AQI117" s="73"/>
      <c r="AQJ117" s="73"/>
      <c r="AQK117" s="73"/>
      <c r="AQL117" s="73"/>
      <c r="AQM117" s="73"/>
      <c r="AQN117" s="73"/>
      <c r="AQO117" s="73"/>
      <c r="AQP117" s="73"/>
      <c r="AQQ117" s="73"/>
      <c r="AQR117" s="73"/>
      <c r="AQS117" s="73"/>
      <c r="AQT117" s="73"/>
      <c r="AQU117" s="73"/>
      <c r="AQV117" s="73"/>
      <c r="AQW117" s="73"/>
      <c r="AQX117" s="73"/>
      <c r="AQY117" s="73"/>
      <c r="AQZ117" s="73"/>
      <c r="ARA117" s="73"/>
      <c r="ARB117" s="73"/>
      <c r="ARC117" s="73"/>
      <c r="ARD117" s="73"/>
      <c r="ARE117" s="73"/>
      <c r="ARF117" s="73"/>
      <c r="ARG117" s="73"/>
      <c r="ARH117" s="73"/>
      <c r="ARI117" s="73"/>
      <c r="ARJ117" s="73"/>
      <c r="ARK117" s="73"/>
      <c r="ARL117" s="73"/>
      <c r="ARM117" s="73"/>
      <c r="ARN117" s="73"/>
      <c r="ARO117" s="73"/>
      <c r="ARP117" s="73"/>
      <c r="ARQ117" s="73"/>
      <c r="ARR117" s="73"/>
      <c r="ARS117" s="73"/>
      <c r="ART117" s="73"/>
      <c r="ARU117" s="73"/>
      <c r="ARV117" s="73"/>
      <c r="ARW117" s="73"/>
      <c r="ARX117" s="73"/>
      <c r="ARY117" s="73"/>
      <c r="ARZ117" s="73"/>
      <c r="ASA117" s="73"/>
      <c r="ASB117" s="73"/>
      <c r="ASC117" s="73"/>
      <c r="ASD117" s="73"/>
      <c r="ASE117" s="73"/>
      <c r="ASF117" s="73"/>
      <c r="ASG117" s="73"/>
      <c r="ASH117" s="73"/>
      <c r="ASI117" s="73"/>
      <c r="ASJ117" s="73"/>
      <c r="ASK117" s="73"/>
      <c r="ASL117" s="73"/>
      <c r="ASM117" s="73"/>
      <c r="ASN117" s="73"/>
      <c r="ASO117" s="73"/>
      <c r="ASP117" s="73"/>
      <c r="ASQ117" s="73"/>
      <c r="ASR117" s="73"/>
      <c r="ASS117" s="73"/>
      <c r="AST117" s="73"/>
      <c r="ASU117" s="73"/>
      <c r="ASV117" s="73"/>
      <c r="ASW117" s="73"/>
      <c r="ASX117" s="73"/>
      <c r="ASY117" s="73"/>
      <c r="ASZ117" s="73"/>
      <c r="ATA117" s="73"/>
      <c r="ATB117" s="73"/>
      <c r="ATC117" s="73"/>
      <c r="ATD117" s="73"/>
      <c r="ATE117" s="73"/>
      <c r="ATF117" s="73"/>
      <c r="ATG117" s="73"/>
      <c r="ATH117" s="73"/>
      <c r="ATI117" s="73"/>
      <c r="ATJ117" s="73"/>
      <c r="ATK117" s="73"/>
      <c r="ATL117" s="73"/>
      <c r="ATM117" s="73"/>
      <c r="ATN117" s="73"/>
      <c r="ATO117" s="73"/>
      <c r="ATP117" s="73"/>
      <c r="ATQ117" s="73"/>
      <c r="ATR117" s="73"/>
      <c r="ATS117" s="73"/>
      <c r="ATT117" s="73"/>
      <c r="ATU117" s="73"/>
      <c r="ATV117" s="73"/>
      <c r="ATW117" s="73"/>
      <c r="ATX117" s="73"/>
      <c r="ATY117" s="73"/>
      <c r="ATZ117" s="73"/>
      <c r="AUA117" s="73"/>
      <c r="AUB117" s="73"/>
      <c r="AUC117" s="73"/>
      <c r="AUD117" s="73"/>
      <c r="AUE117" s="73"/>
      <c r="AUF117" s="73"/>
      <c r="AUG117" s="73"/>
      <c r="AUH117" s="73"/>
      <c r="AUI117" s="73"/>
      <c r="AUJ117" s="73"/>
      <c r="AUK117" s="73"/>
      <c r="AUL117" s="73"/>
      <c r="AUM117" s="73"/>
      <c r="AUN117" s="73"/>
      <c r="AUO117" s="73"/>
      <c r="AUP117" s="73"/>
      <c r="AUQ117" s="73"/>
      <c r="AUR117" s="73"/>
      <c r="AUS117" s="73"/>
      <c r="AUT117" s="73"/>
      <c r="AUU117" s="73"/>
      <c r="AUV117" s="73"/>
      <c r="AUW117" s="73"/>
      <c r="AUX117" s="73"/>
      <c r="AUY117" s="73"/>
      <c r="AUZ117" s="73"/>
      <c r="AVA117" s="73"/>
      <c r="AVB117" s="73"/>
      <c r="AVC117" s="73"/>
      <c r="AVD117" s="73"/>
      <c r="AVE117" s="73"/>
      <c r="AVF117" s="73"/>
      <c r="AVG117" s="73"/>
      <c r="AVH117" s="73"/>
      <c r="AVI117" s="73"/>
      <c r="AVJ117" s="73"/>
      <c r="AVK117" s="73"/>
      <c r="AVL117" s="73"/>
      <c r="AVM117" s="73"/>
      <c r="AVN117" s="73"/>
      <c r="AVO117" s="73"/>
      <c r="AVP117" s="73"/>
      <c r="AVQ117" s="73"/>
      <c r="AVR117" s="73"/>
      <c r="AVS117" s="73"/>
      <c r="AVT117" s="73"/>
      <c r="AVU117" s="73"/>
      <c r="AVV117" s="73"/>
      <c r="AVW117" s="73"/>
      <c r="AVX117" s="73"/>
      <c r="AVY117" s="73"/>
      <c r="AVZ117" s="73"/>
      <c r="AWA117" s="73"/>
      <c r="AWB117" s="73"/>
      <c r="AWC117" s="73"/>
      <c r="AWD117" s="73"/>
      <c r="AWE117" s="73"/>
      <c r="AWF117" s="73"/>
      <c r="AWG117" s="73"/>
      <c r="AWH117" s="73"/>
      <c r="AWI117" s="73"/>
      <c r="AWJ117" s="73"/>
      <c r="AWK117" s="73"/>
      <c r="AWL117" s="73"/>
      <c r="AWM117" s="73"/>
      <c r="AWN117" s="73"/>
      <c r="AWO117" s="73"/>
      <c r="AWP117" s="73"/>
      <c r="AWQ117" s="73"/>
      <c r="AWR117" s="73"/>
      <c r="AWS117" s="73"/>
      <c r="AWT117" s="73"/>
      <c r="AWU117" s="73"/>
      <c r="AWV117" s="73"/>
      <c r="AWW117" s="73"/>
      <c r="AWX117" s="73"/>
      <c r="AWY117" s="73"/>
      <c r="AWZ117" s="73"/>
      <c r="AXA117" s="73"/>
      <c r="AXB117" s="73"/>
      <c r="AXC117" s="73"/>
      <c r="AXD117" s="73"/>
      <c r="AXE117" s="73"/>
      <c r="AXF117" s="73"/>
      <c r="AXG117" s="73"/>
      <c r="AXH117" s="73"/>
      <c r="AXI117" s="73"/>
      <c r="AXJ117" s="73"/>
      <c r="AXK117" s="73"/>
      <c r="AXL117" s="73"/>
      <c r="AXM117" s="73"/>
      <c r="AXN117" s="73"/>
      <c r="AXO117" s="73"/>
      <c r="AXP117" s="73"/>
      <c r="AXQ117" s="73"/>
      <c r="AXR117" s="73"/>
      <c r="AXS117" s="73"/>
      <c r="AXT117" s="73"/>
      <c r="AXU117" s="73"/>
      <c r="AXV117" s="73"/>
      <c r="AXW117" s="73"/>
      <c r="AXX117" s="73"/>
      <c r="AXY117" s="73"/>
      <c r="AXZ117" s="73"/>
      <c r="AYA117" s="73"/>
      <c r="AYB117" s="73"/>
      <c r="AYC117" s="73"/>
      <c r="AYD117" s="73"/>
      <c r="AYE117" s="73"/>
      <c r="AYF117" s="73"/>
      <c r="AYG117" s="73"/>
      <c r="AYH117" s="73"/>
      <c r="AYI117" s="73"/>
      <c r="AYJ117" s="73"/>
      <c r="AYK117" s="73"/>
      <c r="AYL117" s="73"/>
      <c r="AYM117" s="73"/>
      <c r="AYN117" s="73"/>
      <c r="AYO117" s="73"/>
      <c r="AYP117" s="73"/>
      <c r="AYQ117" s="73"/>
      <c r="AYR117" s="73"/>
      <c r="AYS117" s="73"/>
      <c r="AYT117" s="73"/>
      <c r="AYU117" s="73"/>
      <c r="AYV117" s="73"/>
      <c r="AYW117" s="73"/>
      <c r="AYX117" s="73"/>
      <c r="AYY117" s="73"/>
      <c r="AYZ117" s="73"/>
      <c r="AZA117" s="73"/>
      <c r="AZB117" s="73"/>
      <c r="AZC117" s="73"/>
      <c r="AZD117" s="73"/>
      <c r="AZE117" s="73"/>
      <c r="AZF117" s="73"/>
      <c r="AZG117" s="73"/>
      <c r="AZH117" s="73"/>
      <c r="AZI117" s="73"/>
      <c r="AZJ117" s="73"/>
      <c r="AZK117" s="73"/>
      <c r="AZL117" s="73"/>
      <c r="AZM117" s="73"/>
      <c r="AZN117" s="73"/>
      <c r="AZO117" s="73"/>
      <c r="AZP117" s="73"/>
      <c r="AZQ117" s="73"/>
      <c r="AZR117" s="73"/>
      <c r="AZS117" s="73"/>
      <c r="AZT117" s="73"/>
      <c r="AZU117" s="73"/>
      <c r="AZV117" s="73"/>
      <c r="AZW117" s="73"/>
      <c r="AZX117" s="73"/>
      <c r="AZY117" s="73"/>
      <c r="AZZ117" s="73"/>
      <c r="BAA117" s="73"/>
      <c r="BAB117" s="73"/>
      <c r="BAC117" s="73"/>
      <c r="BAD117" s="73"/>
      <c r="BAE117" s="73"/>
      <c r="BAF117" s="73"/>
      <c r="BAG117" s="73"/>
      <c r="BAH117" s="73"/>
      <c r="BAI117" s="73"/>
      <c r="BAJ117" s="73"/>
      <c r="BAK117" s="73"/>
      <c r="BAL117" s="73"/>
      <c r="BAM117" s="73"/>
      <c r="BAN117" s="73"/>
      <c r="BAO117" s="73"/>
      <c r="BAP117" s="73"/>
      <c r="BAQ117" s="73"/>
      <c r="BAR117" s="73"/>
      <c r="BAS117" s="73"/>
      <c r="BAT117" s="73"/>
      <c r="BAU117" s="73"/>
      <c r="BAV117" s="73"/>
      <c r="BAW117" s="73"/>
      <c r="BAX117" s="73"/>
      <c r="BAY117" s="73"/>
      <c r="BAZ117" s="73"/>
      <c r="BBA117" s="73"/>
      <c r="BBB117" s="73"/>
      <c r="BBC117" s="73"/>
      <c r="BBD117" s="73"/>
      <c r="BBE117" s="73"/>
      <c r="BBF117" s="73"/>
      <c r="BBG117" s="73"/>
      <c r="BBH117" s="73"/>
      <c r="BBI117" s="73"/>
      <c r="BBJ117" s="73"/>
      <c r="BBK117" s="73"/>
      <c r="BBL117" s="73"/>
      <c r="BBM117" s="73"/>
      <c r="BBN117" s="73"/>
      <c r="BBO117" s="73"/>
      <c r="BBP117" s="73"/>
      <c r="BBQ117" s="73"/>
      <c r="BBR117" s="73"/>
      <c r="BBS117" s="73"/>
      <c r="BBT117" s="73"/>
      <c r="BBU117" s="73"/>
      <c r="BBV117" s="73"/>
      <c r="BBW117" s="73"/>
      <c r="BBX117" s="73"/>
      <c r="BBY117" s="73"/>
      <c r="BBZ117" s="73"/>
      <c r="BCA117" s="73"/>
      <c r="BCB117" s="73"/>
      <c r="BCC117" s="73"/>
      <c r="BCD117" s="73"/>
      <c r="BCE117" s="73"/>
      <c r="BCF117" s="73"/>
      <c r="BCG117" s="73"/>
      <c r="BCH117" s="73"/>
      <c r="BCI117" s="73"/>
      <c r="BCJ117" s="73"/>
      <c r="BCK117" s="73"/>
      <c r="BCL117" s="73"/>
      <c r="BCM117" s="73"/>
      <c r="BCN117" s="73"/>
      <c r="BCO117" s="73"/>
      <c r="BCP117" s="73"/>
      <c r="BCQ117" s="73"/>
      <c r="BCR117" s="73"/>
      <c r="BCS117" s="73"/>
      <c r="BCT117" s="73"/>
      <c r="BCU117" s="73"/>
      <c r="BCV117" s="73"/>
      <c r="BCW117" s="73"/>
      <c r="BCX117" s="73"/>
      <c r="BCY117" s="73"/>
      <c r="BCZ117" s="73"/>
      <c r="BDA117" s="73"/>
      <c r="BDB117" s="73"/>
      <c r="BDC117" s="73"/>
      <c r="BDD117" s="73"/>
      <c r="BDE117" s="73"/>
      <c r="BDF117" s="73"/>
      <c r="BDG117" s="73"/>
      <c r="BDH117" s="73"/>
      <c r="BDI117" s="73"/>
      <c r="BDJ117" s="73"/>
      <c r="BDK117" s="73"/>
      <c r="BDL117" s="73"/>
      <c r="BDM117" s="73"/>
      <c r="BDN117" s="73"/>
      <c r="BDO117" s="73"/>
      <c r="BDP117" s="73"/>
      <c r="BDQ117" s="73"/>
      <c r="BDR117" s="73"/>
      <c r="BDS117" s="73"/>
      <c r="BDT117" s="73"/>
      <c r="BDU117" s="73"/>
      <c r="BDV117" s="73"/>
      <c r="BDW117" s="73"/>
      <c r="BDX117" s="73"/>
      <c r="BDY117" s="73"/>
      <c r="BDZ117" s="73"/>
      <c r="BEA117" s="73"/>
      <c r="BEB117" s="73"/>
      <c r="BEC117" s="73"/>
      <c r="BED117" s="73"/>
      <c r="BEE117" s="73"/>
      <c r="BEF117" s="73"/>
      <c r="BEG117" s="73"/>
      <c r="BEH117" s="73"/>
      <c r="BEI117" s="73"/>
      <c r="BEJ117" s="73"/>
      <c r="BEK117" s="73"/>
      <c r="BEL117" s="73"/>
      <c r="BEM117" s="73"/>
      <c r="BEN117" s="73"/>
      <c r="BEO117" s="73"/>
      <c r="BEP117" s="73"/>
      <c r="BEQ117" s="73"/>
      <c r="BER117" s="73"/>
      <c r="BES117" s="73"/>
      <c r="BET117" s="73"/>
      <c r="BEU117" s="73"/>
      <c r="BEV117" s="73"/>
      <c r="BEW117" s="73"/>
      <c r="BEX117" s="73"/>
      <c r="BEY117" s="73"/>
      <c r="BEZ117" s="73"/>
      <c r="BFA117" s="73"/>
      <c r="BFB117" s="73"/>
      <c r="BFC117" s="73"/>
      <c r="BFD117" s="73"/>
      <c r="BFE117" s="73"/>
      <c r="BFF117" s="73"/>
      <c r="BFG117" s="73"/>
      <c r="BFH117" s="73"/>
      <c r="BFI117" s="73"/>
      <c r="BFJ117" s="73"/>
      <c r="BFK117" s="73"/>
      <c r="BFL117" s="73"/>
      <c r="BFM117" s="73"/>
      <c r="BFN117" s="73"/>
      <c r="BFO117" s="73"/>
      <c r="BFP117" s="73"/>
      <c r="BFQ117" s="73"/>
      <c r="BFR117" s="73"/>
      <c r="BFS117" s="73"/>
      <c r="BFT117" s="73"/>
      <c r="BFU117" s="73"/>
      <c r="BFV117" s="73"/>
      <c r="BFW117" s="73"/>
      <c r="BFX117" s="73"/>
      <c r="BFY117" s="73"/>
      <c r="BFZ117" s="73"/>
      <c r="BGA117" s="73"/>
      <c r="BGB117" s="73"/>
      <c r="BGC117" s="73"/>
      <c r="BGD117" s="73"/>
      <c r="BGE117" s="73"/>
      <c r="BGF117" s="73"/>
      <c r="BGG117" s="73"/>
      <c r="BGH117" s="73"/>
      <c r="BGI117" s="73"/>
      <c r="BGJ117" s="73"/>
      <c r="BGK117" s="73"/>
      <c r="BGL117" s="73"/>
      <c r="BGM117" s="73"/>
      <c r="BGN117" s="73"/>
      <c r="BGO117" s="73"/>
      <c r="BGP117" s="73"/>
      <c r="BGQ117" s="73"/>
      <c r="BGR117" s="73"/>
      <c r="BGS117" s="73"/>
      <c r="BGT117" s="73"/>
      <c r="BGU117" s="73"/>
      <c r="BGV117" s="73"/>
      <c r="BGW117" s="73"/>
      <c r="BGX117" s="73"/>
      <c r="BGY117" s="73"/>
      <c r="BGZ117" s="73"/>
      <c r="BHA117" s="73"/>
      <c r="BHB117" s="73"/>
      <c r="BHC117" s="73"/>
      <c r="BHD117" s="73"/>
      <c r="BHE117" s="73"/>
      <c r="BHF117" s="73"/>
      <c r="BHG117" s="73"/>
      <c r="BHH117" s="73"/>
      <c r="BHI117" s="73"/>
      <c r="BHJ117" s="73"/>
      <c r="BHK117" s="73"/>
      <c r="BHL117" s="73"/>
      <c r="BHM117" s="73"/>
      <c r="BHN117" s="73"/>
      <c r="BHO117" s="73"/>
      <c r="BHP117" s="73"/>
      <c r="BHQ117" s="73"/>
      <c r="BHR117" s="73"/>
      <c r="BHS117" s="73"/>
      <c r="BHT117" s="73"/>
      <c r="BHU117" s="73"/>
      <c r="BHV117" s="73"/>
      <c r="BHW117" s="73"/>
      <c r="BHX117" s="73"/>
      <c r="BHY117" s="73"/>
      <c r="BHZ117" s="73"/>
      <c r="BIA117" s="73"/>
      <c r="BIB117" s="73"/>
      <c r="BIC117" s="73"/>
      <c r="BID117" s="73"/>
      <c r="BIE117" s="73"/>
      <c r="BIF117" s="73"/>
      <c r="BIG117" s="73"/>
      <c r="BIH117" s="73"/>
      <c r="BII117" s="73"/>
      <c r="BIJ117" s="73"/>
      <c r="BIK117" s="73"/>
      <c r="BIL117" s="73"/>
      <c r="BIM117" s="73"/>
      <c r="BIN117" s="73"/>
      <c r="BIO117" s="73"/>
      <c r="BIP117" s="73"/>
      <c r="BIQ117" s="73"/>
      <c r="BIR117" s="73"/>
      <c r="BIS117" s="73"/>
      <c r="BIT117" s="73"/>
      <c r="BIU117" s="73"/>
      <c r="BIV117" s="73"/>
      <c r="BIW117" s="73"/>
      <c r="BIX117" s="73"/>
      <c r="BIY117" s="73"/>
      <c r="BIZ117" s="73"/>
      <c r="BJA117" s="73"/>
      <c r="BJB117" s="73"/>
      <c r="BJC117" s="73"/>
      <c r="BJD117" s="73"/>
      <c r="BJE117" s="73"/>
      <c r="BJF117" s="73"/>
      <c r="BJG117" s="73"/>
      <c r="BJH117" s="73"/>
      <c r="BJI117" s="73"/>
      <c r="BJJ117" s="73"/>
      <c r="BJK117" s="73"/>
      <c r="BJL117" s="73"/>
      <c r="BJM117" s="73"/>
      <c r="BJN117" s="73"/>
      <c r="BJO117" s="73"/>
      <c r="BJP117" s="73"/>
      <c r="BJQ117" s="73"/>
      <c r="BJR117" s="73"/>
      <c r="BJS117" s="73"/>
      <c r="BJT117" s="73"/>
      <c r="BJU117" s="73"/>
      <c r="BJV117" s="73"/>
      <c r="BJW117" s="73"/>
      <c r="BJX117" s="73"/>
      <c r="BJY117" s="73"/>
      <c r="BJZ117" s="73"/>
      <c r="BKA117" s="73"/>
      <c r="BKB117" s="73"/>
      <c r="BKC117" s="73"/>
      <c r="BKD117" s="73"/>
      <c r="BKE117" s="73"/>
      <c r="BKF117" s="73"/>
      <c r="BKG117" s="73"/>
      <c r="BKH117" s="73"/>
      <c r="BKI117" s="73"/>
      <c r="BKJ117" s="73"/>
      <c r="BKK117" s="73"/>
      <c r="BKL117" s="73"/>
      <c r="BKM117" s="73"/>
      <c r="BKN117" s="73"/>
      <c r="BKO117" s="73"/>
      <c r="BKP117" s="73"/>
      <c r="BKQ117" s="73"/>
      <c r="BKR117" s="73"/>
      <c r="BKS117" s="73"/>
      <c r="BKT117" s="73"/>
      <c r="BKU117" s="73"/>
      <c r="BKV117" s="73"/>
      <c r="BKW117" s="73"/>
      <c r="BKX117" s="73"/>
      <c r="BKY117" s="73"/>
      <c r="BKZ117" s="73"/>
      <c r="BLA117" s="73"/>
      <c r="BLB117" s="73"/>
      <c r="BLC117" s="73"/>
      <c r="BLD117" s="73"/>
      <c r="BLE117" s="73"/>
      <c r="BLF117" s="73"/>
      <c r="BLG117" s="73"/>
      <c r="BLH117" s="73"/>
      <c r="BLI117" s="73"/>
      <c r="BLJ117" s="73"/>
      <c r="BLK117" s="73"/>
      <c r="BLL117" s="73"/>
      <c r="BLM117" s="73"/>
      <c r="BLN117" s="73"/>
      <c r="BLO117" s="73"/>
      <c r="BLP117" s="73"/>
      <c r="BLQ117" s="73"/>
      <c r="BLR117" s="73"/>
      <c r="BLS117" s="73"/>
      <c r="BLT117" s="73"/>
      <c r="BLU117" s="73"/>
      <c r="BLV117" s="73"/>
      <c r="BLW117" s="73"/>
      <c r="BLX117" s="73"/>
      <c r="BLY117" s="73"/>
      <c r="BLZ117" s="73"/>
      <c r="BMA117" s="73"/>
      <c r="BMB117" s="73"/>
      <c r="BMC117" s="73"/>
      <c r="BMD117" s="73"/>
      <c r="BME117" s="73"/>
      <c r="BMF117" s="73"/>
      <c r="BMG117" s="73"/>
      <c r="BMH117" s="73"/>
      <c r="BMI117" s="73"/>
      <c r="BMJ117" s="73"/>
      <c r="BMK117" s="73"/>
      <c r="BML117" s="73"/>
      <c r="BMM117" s="73"/>
      <c r="BMN117" s="73"/>
      <c r="BMO117" s="73"/>
      <c r="BMP117" s="73"/>
      <c r="BMQ117" s="73"/>
      <c r="BMR117" s="73"/>
      <c r="BMS117" s="73"/>
      <c r="BMT117" s="73"/>
      <c r="BMU117" s="73"/>
      <c r="BMV117" s="73"/>
      <c r="BMW117" s="73"/>
      <c r="BMX117" s="73"/>
      <c r="BMY117" s="73"/>
      <c r="BMZ117" s="73"/>
      <c r="BNA117" s="73"/>
      <c r="BNB117" s="73"/>
      <c r="BNC117" s="73"/>
      <c r="BND117" s="73"/>
      <c r="BNE117" s="73"/>
      <c r="BNF117" s="73"/>
      <c r="BNG117" s="73"/>
      <c r="BNH117" s="73"/>
      <c r="BNI117" s="73"/>
      <c r="BNJ117" s="73"/>
      <c r="BNK117" s="73"/>
      <c r="BNL117" s="73"/>
      <c r="BNM117" s="73"/>
      <c r="BNN117" s="73"/>
      <c r="BNO117" s="73"/>
      <c r="BNP117" s="73"/>
      <c r="BNQ117" s="73"/>
      <c r="BNR117" s="73"/>
      <c r="BNS117" s="73"/>
      <c r="BNT117" s="73"/>
      <c r="BNU117" s="73"/>
      <c r="BNV117" s="73"/>
      <c r="BNW117" s="73"/>
      <c r="BNX117" s="73"/>
      <c r="BNY117" s="73"/>
      <c r="BNZ117" s="73"/>
      <c r="BOA117" s="73"/>
      <c r="BOB117" s="73"/>
      <c r="BOC117" s="73"/>
      <c r="BOD117" s="73"/>
      <c r="BOE117" s="73"/>
      <c r="BOF117" s="73"/>
      <c r="BOG117" s="73"/>
      <c r="BOH117" s="73"/>
      <c r="BOI117" s="73"/>
      <c r="BOJ117" s="73"/>
      <c r="BOK117" s="73"/>
      <c r="BOL117" s="73"/>
      <c r="BOM117" s="73"/>
      <c r="BON117" s="73"/>
      <c r="BOO117" s="73"/>
      <c r="BOP117" s="73"/>
      <c r="BOQ117" s="73"/>
      <c r="BOR117" s="73"/>
      <c r="BOS117" s="73"/>
      <c r="BOT117" s="73"/>
      <c r="BOU117" s="73"/>
      <c r="BOV117" s="73"/>
      <c r="BOW117" s="73"/>
      <c r="BOX117" s="73"/>
      <c r="BOY117" s="73"/>
      <c r="BOZ117" s="73"/>
      <c r="BPA117" s="73"/>
      <c r="BPB117" s="73"/>
      <c r="BPC117" s="73"/>
      <c r="BPD117" s="73"/>
      <c r="BPE117" s="73"/>
      <c r="BPF117" s="73"/>
      <c r="BPG117" s="73"/>
      <c r="BPH117" s="73"/>
      <c r="BPI117" s="73"/>
      <c r="BPJ117" s="73"/>
      <c r="BPK117" s="73"/>
      <c r="BPL117" s="73"/>
      <c r="BPM117" s="73"/>
      <c r="BPN117" s="73"/>
      <c r="BPO117" s="73"/>
      <c r="BPP117" s="73"/>
      <c r="BPQ117" s="73"/>
      <c r="BPR117" s="73"/>
      <c r="BPS117" s="73"/>
      <c r="BPT117" s="73"/>
      <c r="BPU117" s="73"/>
      <c r="BPV117" s="73"/>
      <c r="BPW117" s="73"/>
      <c r="BPX117" s="73"/>
      <c r="BPY117" s="73"/>
      <c r="BPZ117" s="73"/>
      <c r="BQA117" s="73"/>
      <c r="BQB117" s="73"/>
      <c r="BQC117" s="73"/>
      <c r="BQD117" s="73"/>
      <c r="BQE117" s="73"/>
      <c r="BQF117" s="73"/>
      <c r="BQG117" s="73"/>
      <c r="BQH117" s="73"/>
      <c r="BQI117" s="73"/>
      <c r="BQJ117" s="73"/>
      <c r="BQK117" s="73"/>
      <c r="BQL117" s="73"/>
      <c r="BQM117" s="73"/>
      <c r="BQN117" s="73"/>
      <c r="BQO117" s="73"/>
      <c r="BQP117" s="73"/>
      <c r="BQQ117" s="73"/>
      <c r="BQR117" s="73"/>
      <c r="BQS117" s="73"/>
      <c r="BQT117" s="73"/>
      <c r="BQU117" s="73"/>
      <c r="BQV117" s="73"/>
      <c r="BQW117" s="73"/>
      <c r="BQX117" s="73"/>
      <c r="BQY117" s="73"/>
      <c r="BQZ117" s="73"/>
      <c r="BRA117" s="73"/>
      <c r="BRB117" s="73"/>
      <c r="BRC117" s="73"/>
      <c r="BRD117" s="73"/>
      <c r="BRE117" s="73"/>
      <c r="BRF117" s="73"/>
      <c r="BRG117" s="73"/>
      <c r="BRH117" s="73"/>
      <c r="BRI117" s="73"/>
      <c r="BRJ117" s="73"/>
      <c r="BRK117" s="73"/>
      <c r="BRL117" s="73"/>
      <c r="BRM117" s="73"/>
      <c r="BRN117" s="73"/>
      <c r="BRO117" s="73"/>
      <c r="BRP117" s="73"/>
      <c r="BRQ117" s="73"/>
      <c r="BRR117" s="73"/>
      <c r="BRS117" s="73"/>
      <c r="BRT117" s="73"/>
      <c r="BRU117" s="73"/>
      <c r="BRV117" s="73"/>
      <c r="BRW117" s="73"/>
      <c r="BRX117" s="73"/>
      <c r="BRY117" s="73"/>
      <c r="BRZ117" s="73"/>
      <c r="BSA117" s="73"/>
      <c r="BSB117" s="73"/>
      <c r="BSC117" s="73"/>
      <c r="BSD117" s="73"/>
      <c r="BSE117" s="73"/>
      <c r="BSF117" s="73"/>
      <c r="BSG117" s="73"/>
      <c r="BSH117" s="73"/>
      <c r="BSI117" s="73"/>
      <c r="BSJ117" s="73"/>
      <c r="BSK117" s="73"/>
      <c r="BSL117" s="73"/>
      <c r="BSM117" s="73"/>
      <c r="BSN117" s="73"/>
      <c r="BSO117" s="73"/>
      <c r="BSP117" s="73"/>
      <c r="BSQ117" s="73"/>
      <c r="BSR117" s="73"/>
      <c r="BSS117" s="73"/>
      <c r="BST117" s="73"/>
      <c r="BSU117" s="73"/>
      <c r="BSV117" s="73"/>
      <c r="BSW117" s="73"/>
      <c r="BSX117" s="73"/>
      <c r="BSY117" s="73"/>
      <c r="BSZ117" s="73"/>
      <c r="BTA117" s="73"/>
      <c r="BTB117" s="73"/>
      <c r="BTC117" s="73"/>
      <c r="BTD117" s="73"/>
      <c r="BTE117" s="73"/>
      <c r="BTF117" s="73"/>
      <c r="BTG117" s="73"/>
      <c r="BTH117" s="73"/>
      <c r="BTI117" s="73"/>
      <c r="BTJ117" s="73"/>
      <c r="BTK117" s="73"/>
      <c r="BTL117" s="73"/>
      <c r="BTM117" s="73"/>
      <c r="BTN117" s="73"/>
      <c r="BTO117" s="73"/>
      <c r="BTP117" s="73"/>
      <c r="BTQ117" s="73"/>
      <c r="BTR117" s="73"/>
      <c r="BTS117" s="73"/>
      <c r="BTT117" s="73"/>
      <c r="BTU117" s="73"/>
      <c r="BTV117" s="73"/>
      <c r="BTW117" s="73"/>
      <c r="BTX117" s="73"/>
      <c r="BTY117" s="73"/>
      <c r="BTZ117" s="73"/>
      <c r="BUA117" s="73"/>
      <c r="BUB117" s="73"/>
      <c r="BUC117" s="73"/>
      <c r="BUD117" s="73"/>
      <c r="BUE117" s="73"/>
      <c r="BUF117" s="73"/>
      <c r="BUG117" s="73"/>
      <c r="BUH117" s="73"/>
      <c r="BUI117" s="73"/>
      <c r="BUJ117" s="73"/>
      <c r="BUK117" s="73"/>
      <c r="BUL117" s="73"/>
      <c r="BUM117" s="73"/>
      <c r="BUN117" s="73"/>
      <c r="BUO117" s="73"/>
      <c r="BUP117" s="73"/>
      <c r="BUQ117" s="73"/>
      <c r="BUR117" s="73"/>
      <c r="BUS117" s="73"/>
      <c r="BUT117" s="73"/>
      <c r="BUU117" s="73"/>
      <c r="BUV117" s="73"/>
      <c r="BUW117" s="73"/>
      <c r="BUX117" s="73"/>
      <c r="BUY117" s="73"/>
      <c r="BUZ117" s="73"/>
      <c r="BVA117" s="73"/>
      <c r="BVB117" s="73"/>
      <c r="BVC117" s="73"/>
      <c r="BVD117" s="73"/>
      <c r="BVE117" s="73"/>
      <c r="BVF117" s="73"/>
      <c r="BVG117" s="73"/>
      <c r="BVH117" s="73"/>
      <c r="BVI117" s="73"/>
      <c r="BVJ117" s="73"/>
      <c r="BVK117" s="73"/>
      <c r="BVL117" s="73"/>
      <c r="BVM117" s="73"/>
      <c r="BVN117" s="73"/>
      <c r="BVO117" s="73"/>
      <c r="BVP117" s="73"/>
      <c r="BVQ117" s="73"/>
      <c r="BVR117" s="73"/>
      <c r="BVS117" s="73"/>
      <c r="BVT117" s="73"/>
      <c r="BVU117" s="73"/>
      <c r="BVV117" s="73"/>
      <c r="BVW117" s="73"/>
      <c r="BVX117" s="73"/>
      <c r="BVY117" s="73"/>
      <c r="BVZ117" s="73"/>
      <c r="BWA117" s="73"/>
      <c r="BWB117" s="73"/>
      <c r="BWC117" s="73"/>
      <c r="BWD117" s="73"/>
      <c r="BWE117" s="73"/>
      <c r="BWF117" s="73"/>
      <c r="BWG117" s="73"/>
      <c r="BWH117" s="73"/>
      <c r="BWI117" s="73"/>
      <c r="BWJ117" s="73"/>
      <c r="BWK117" s="73"/>
      <c r="BWL117" s="73"/>
      <c r="BWM117" s="73"/>
      <c r="BWN117" s="73"/>
      <c r="BWO117" s="73"/>
      <c r="BWP117" s="73"/>
      <c r="BWQ117" s="73"/>
      <c r="BWR117" s="73"/>
      <c r="BWS117" s="73"/>
      <c r="BWT117" s="73"/>
      <c r="BWU117" s="73"/>
      <c r="BWV117" s="73"/>
      <c r="BWW117" s="73"/>
      <c r="BWX117" s="73"/>
      <c r="BWY117" s="73"/>
      <c r="BWZ117" s="73"/>
      <c r="BXA117" s="73"/>
      <c r="BXB117" s="73"/>
      <c r="BXC117" s="73"/>
      <c r="BXD117" s="73"/>
      <c r="BXE117" s="73"/>
      <c r="BXF117" s="73"/>
      <c r="BXG117" s="73"/>
      <c r="BXH117" s="73"/>
      <c r="BXI117" s="73"/>
      <c r="BXJ117" s="73"/>
      <c r="BXK117" s="73"/>
      <c r="BXL117" s="73"/>
      <c r="BXM117" s="73"/>
      <c r="BXN117" s="73"/>
      <c r="BXO117" s="73"/>
      <c r="BXP117" s="73"/>
      <c r="BXQ117" s="73"/>
      <c r="BXR117" s="73"/>
      <c r="BXS117" s="73"/>
      <c r="BXT117" s="73"/>
      <c r="BXU117" s="73"/>
      <c r="BXV117" s="73"/>
      <c r="BXW117" s="73"/>
      <c r="BXX117" s="73"/>
      <c r="BXY117" s="73"/>
      <c r="BXZ117" s="73"/>
      <c r="BYA117" s="73"/>
      <c r="BYB117" s="73"/>
      <c r="BYC117" s="73"/>
      <c r="BYD117" s="73"/>
      <c r="BYE117" s="73"/>
      <c r="BYF117" s="73"/>
      <c r="BYG117" s="73"/>
      <c r="BYH117" s="73"/>
      <c r="BYI117" s="73"/>
      <c r="BYJ117" s="73"/>
      <c r="BYK117" s="73"/>
      <c r="BYL117" s="73"/>
      <c r="BYM117" s="73"/>
      <c r="BYN117" s="73"/>
      <c r="BYO117" s="73"/>
      <c r="BYP117" s="73"/>
      <c r="BYQ117" s="73"/>
      <c r="BYR117" s="73"/>
      <c r="BYS117" s="73"/>
      <c r="BYT117" s="73"/>
      <c r="BYU117" s="73"/>
      <c r="BYV117" s="73"/>
      <c r="BYW117" s="73"/>
      <c r="BYX117" s="73"/>
      <c r="BYY117" s="73"/>
      <c r="BYZ117" s="73"/>
      <c r="BZA117" s="73"/>
      <c r="BZB117" s="73"/>
      <c r="BZC117" s="73"/>
      <c r="BZD117" s="73"/>
      <c r="BZE117" s="73"/>
      <c r="BZF117" s="73"/>
      <c r="BZG117" s="73"/>
      <c r="BZH117" s="73"/>
      <c r="BZI117" s="73"/>
      <c r="BZJ117" s="73"/>
      <c r="BZK117" s="73"/>
      <c r="BZL117" s="73"/>
      <c r="BZM117" s="73"/>
      <c r="BZN117" s="73"/>
      <c r="BZO117" s="73"/>
      <c r="BZP117" s="73"/>
      <c r="BZQ117" s="73"/>
      <c r="BZR117" s="73"/>
      <c r="BZS117" s="73"/>
      <c r="BZT117" s="73"/>
      <c r="BZU117" s="73"/>
      <c r="BZV117" s="73"/>
      <c r="BZW117" s="73"/>
      <c r="BZX117" s="73"/>
      <c r="BZY117" s="73"/>
      <c r="BZZ117" s="73"/>
      <c r="CAA117" s="73"/>
      <c r="CAB117" s="73"/>
      <c r="CAC117" s="73"/>
      <c r="CAD117" s="73"/>
      <c r="CAE117" s="73"/>
      <c r="CAF117" s="73"/>
      <c r="CAG117" s="73"/>
      <c r="CAH117" s="73"/>
      <c r="CAI117" s="73"/>
      <c r="CAJ117" s="73"/>
      <c r="CAK117" s="73"/>
      <c r="CAL117" s="73"/>
      <c r="CAM117" s="73"/>
      <c r="CAN117" s="73"/>
      <c r="CAO117" s="73"/>
      <c r="CAP117" s="73"/>
      <c r="CAQ117" s="73"/>
      <c r="CAR117" s="73"/>
      <c r="CAS117" s="73"/>
      <c r="CAT117" s="73"/>
      <c r="CAU117" s="73"/>
      <c r="CAV117" s="73"/>
      <c r="CAW117" s="73"/>
      <c r="CAX117" s="73"/>
      <c r="CAY117" s="73"/>
      <c r="CAZ117" s="73"/>
      <c r="CBA117" s="73"/>
      <c r="CBB117" s="73"/>
      <c r="CBC117" s="73"/>
      <c r="CBD117" s="73"/>
      <c r="CBE117" s="73"/>
      <c r="CBF117" s="73"/>
      <c r="CBG117" s="73"/>
      <c r="CBH117" s="73"/>
      <c r="CBI117" s="73"/>
      <c r="CBJ117" s="73"/>
      <c r="CBK117" s="73"/>
      <c r="CBL117" s="73"/>
      <c r="CBM117" s="73"/>
      <c r="CBN117" s="73"/>
      <c r="CBO117" s="73"/>
      <c r="CBP117" s="73"/>
      <c r="CBQ117" s="73"/>
      <c r="CBR117" s="73"/>
      <c r="CBS117" s="73"/>
      <c r="CBT117" s="73"/>
      <c r="CBU117" s="73"/>
      <c r="CBV117" s="73"/>
      <c r="CBW117" s="73"/>
      <c r="CBX117" s="73"/>
      <c r="CBY117" s="73"/>
      <c r="CBZ117" s="73"/>
      <c r="CCA117" s="73"/>
      <c r="CCB117" s="73"/>
      <c r="CCC117" s="73"/>
      <c r="CCD117" s="73"/>
      <c r="CCE117" s="73"/>
      <c r="CCF117" s="73"/>
      <c r="CCG117" s="73"/>
      <c r="CCH117" s="73"/>
      <c r="CCI117" s="73"/>
      <c r="CCJ117" s="73"/>
      <c r="CCK117" s="73"/>
      <c r="CCL117" s="73"/>
      <c r="CCM117" s="73"/>
      <c r="CCN117" s="73"/>
      <c r="CCO117" s="73"/>
      <c r="CCP117" s="73"/>
      <c r="CCQ117" s="73"/>
      <c r="CCR117" s="73"/>
      <c r="CCS117" s="73"/>
      <c r="CCT117" s="73"/>
      <c r="CCU117" s="73"/>
      <c r="CCV117" s="73"/>
      <c r="CCW117" s="73"/>
      <c r="CCX117" s="73"/>
      <c r="CCY117" s="73"/>
      <c r="CCZ117" s="73"/>
      <c r="CDA117" s="73"/>
      <c r="CDB117" s="73"/>
      <c r="CDC117" s="73"/>
      <c r="CDD117" s="73"/>
      <c r="CDE117" s="73"/>
      <c r="CDF117" s="73"/>
      <c r="CDG117" s="73"/>
      <c r="CDH117" s="73"/>
      <c r="CDI117" s="73"/>
      <c r="CDJ117" s="73"/>
      <c r="CDK117" s="73"/>
      <c r="CDL117" s="73"/>
      <c r="CDM117" s="73"/>
      <c r="CDN117" s="73"/>
      <c r="CDO117" s="73"/>
      <c r="CDP117" s="73"/>
      <c r="CDQ117" s="73"/>
      <c r="CDR117" s="73"/>
      <c r="CDS117" s="73"/>
      <c r="CDT117" s="73"/>
      <c r="CDU117" s="73"/>
      <c r="CDV117" s="73"/>
      <c r="CDW117" s="73"/>
      <c r="CDX117" s="73"/>
      <c r="CDY117" s="73"/>
      <c r="CDZ117" s="73"/>
      <c r="CEA117" s="73"/>
      <c r="CEB117" s="73"/>
      <c r="CEC117" s="73"/>
      <c r="CED117" s="73"/>
      <c r="CEE117" s="73"/>
      <c r="CEF117" s="73"/>
      <c r="CEG117" s="73"/>
      <c r="CEH117" s="73"/>
      <c r="CEI117" s="73"/>
      <c r="CEJ117" s="73"/>
      <c r="CEK117" s="73"/>
      <c r="CEL117" s="73"/>
      <c r="CEM117" s="73"/>
      <c r="CEN117" s="73"/>
      <c r="CEO117" s="73"/>
      <c r="CEP117" s="73"/>
      <c r="CEQ117" s="73"/>
      <c r="CER117" s="73"/>
      <c r="CES117" s="73"/>
      <c r="CET117" s="73"/>
      <c r="CEU117" s="73"/>
      <c r="CEV117" s="73"/>
      <c r="CEW117" s="73"/>
      <c r="CEX117" s="73"/>
      <c r="CEY117" s="73"/>
      <c r="CEZ117" s="73"/>
      <c r="CFA117" s="73"/>
      <c r="CFB117" s="73"/>
      <c r="CFC117" s="73"/>
      <c r="CFD117" s="73"/>
      <c r="CFE117" s="73"/>
      <c r="CFF117" s="73"/>
      <c r="CFG117" s="73"/>
      <c r="CFH117" s="73"/>
      <c r="CFI117" s="73"/>
      <c r="CFJ117" s="73"/>
      <c r="CFK117" s="73"/>
      <c r="CFL117" s="73"/>
      <c r="CFM117" s="73"/>
      <c r="CFN117" s="73"/>
      <c r="CFO117" s="73"/>
      <c r="CFP117" s="73"/>
      <c r="CFQ117" s="73"/>
      <c r="CFR117" s="73"/>
      <c r="CFS117" s="73"/>
      <c r="CFT117" s="73"/>
      <c r="CFU117" s="73"/>
      <c r="CFV117" s="73"/>
      <c r="CFW117" s="73"/>
      <c r="CFX117" s="73"/>
      <c r="CFY117" s="73"/>
      <c r="CFZ117" s="73"/>
      <c r="CGA117" s="73"/>
      <c r="CGB117" s="73"/>
      <c r="CGC117" s="73"/>
      <c r="CGD117" s="73"/>
      <c r="CGE117" s="73"/>
      <c r="CGF117" s="73"/>
      <c r="CGG117" s="73"/>
      <c r="CGH117" s="73"/>
      <c r="CGI117" s="73"/>
      <c r="CGJ117" s="73"/>
      <c r="CGK117" s="73"/>
      <c r="CGL117" s="73"/>
      <c r="CGM117" s="73"/>
      <c r="CGN117" s="73"/>
      <c r="CGO117" s="73"/>
      <c r="CGP117" s="73"/>
      <c r="CGQ117" s="73"/>
      <c r="CGR117" s="73"/>
      <c r="CGS117" s="73"/>
      <c r="CGT117" s="73"/>
      <c r="CGU117" s="73"/>
      <c r="CGV117" s="73"/>
      <c r="CGW117" s="73"/>
      <c r="CGX117" s="73"/>
      <c r="CGY117" s="73"/>
      <c r="CGZ117" s="73"/>
      <c r="CHA117" s="73"/>
      <c r="CHB117" s="73"/>
      <c r="CHC117" s="73"/>
      <c r="CHD117" s="73"/>
      <c r="CHE117" s="73"/>
      <c r="CHF117" s="73"/>
      <c r="CHG117" s="73"/>
      <c r="CHH117" s="73"/>
      <c r="CHI117" s="73"/>
      <c r="CHJ117" s="73"/>
      <c r="CHK117" s="73"/>
      <c r="CHL117" s="73"/>
      <c r="CHM117" s="73"/>
      <c r="CHN117" s="73"/>
      <c r="CHO117" s="73"/>
      <c r="CHP117" s="73"/>
      <c r="CHQ117" s="73"/>
      <c r="CHR117" s="73"/>
      <c r="CHS117" s="73"/>
      <c r="CHT117" s="73"/>
      <c r="CHU117" s="73"/>
      <c r="CHV117" s="73"/>
      <c r="CHW117" s="73"/>
      <c r="CHX117" s="73"/>
      <c r="CHY117" s="73"/>
      <c r="CHZ117" s="73"/>
      <c r="CIA117" s="73"/>
      <c r="CIB117" s="73"/>
      <c r="CIC117" s="73"/>
      <c r="CID117" s="73"/>
      <c r="CIE117" s="73"/>
      <c r="CIF117" s="73"/>
      <c r="CIG117" s="73"/>
      <c r="CIH117" s="73"/>
      <c r="CII117" s="73"/>
      <c r="CIJ117" s="73"/>
      <c r="CIK117" s="73"/>
      <c r="CIL117" s="73"/>
      <c r="CIM117" s="73"/>
      <c r="CIN117" s="73"/>
      <c r="CIO117" s="73"/>
      <c r="CIP117" s="73"/>
      <c r="CIQ117" s="73"/>
      <c r="CIR117" s="73"/>
      <c r="CIS117" s="73"/>
      <c r="CIT117" s="73"/>
      <c r="CIU117" s="73"/>
      <c r="CIV117" s="73"/>
      <c r="CIW117" s="73"/>
      <c r="CIX117" s="73"/>
      <c r="CIY117" s="73"/>
      <c r="CIZ117" s="73"/>
      <c r="CJA117" s="73"/>
      <c r="CJB117" s="73"/>
      <c r="CJC117" s="73"/>
      <c r="CJD117" s="73"/>
      <c r="CJE117" s="73"/>
      <c r="CJF117" s="73"/>
      <c r="CJG117" s="73"/>
      <c r="CJH117" s="73"/>
      <c r="CJI117" s="73"/>
      <c r="CJJ117" s="73"/>
      <c r="CJK117" s="73"/>
      <c r="CJL117" s="73"/>
      <c r="CJM117" s="73"/>
      <c r="CJN117" s="73"/>
      <c r="CJO117" s="73"/>
      <c r="CJP117" s="73"/>
      <c r="CJQ117" s="73"/>
      <c r="CJR117" s="73"/>
      <c r="CJS117" s="73"/>
      <c r="CJT117" s="73"/>
      <c r="CJU117" s="73"/>
      <c r="CJV117" s="73"/>
      <c r="CJW117" s="73"/>
      <c r="CJX117" s="73"/>
      <c r="CJY117" s="73"/>
      <c r="CJZ117" s="73"/>
      <c r="CKA117" s="73"/>
      <c r="CKB117" s="73"/>
      <c r="CKC117" s="73"/>
      <c r="CKD117" s="73"/>
      <c r="CKE117" s="73"/>
      <c r="CKF117" s="73"/>
      <c r="CKG117" s="73"/>
      <c r="CKH117" s="73"/>
      <c r="CKI117" s="73"/>
      <c r="CKJ117" s="73"/>
      <c r="CKK117" s="73"/>
      <c r="CKL117" s="73"/>
      <c r="CKM117" s="73"/>
      <c r="CKN117" s="73"/>
      <c r="CKO117" s="73"/>
      <c r="CKP117" s="73"/>
      <c r="CKQ117" s="73"/>
      <c r="CKR117" s="73"/>
      <c r="CKS117" s="73"/>
      <c r="CKT117" s="73"/>
      <c r="CKU117" s="73"/>
      <c r="CKV117" s="73"/>
      <c r="CKW117" s="73"/>
      <c r="CKX117" s="73"/>
      <c r="CKY117" s="73"/>
      <c r="CKZ117" s="73"/>
      <c r="CLA117" s="73"/>
      <c r="CLB117" s="73"/>
      <c r="CLC117" s="73"/>
      <c r="CLD117" s="73"/>
      <c r="CLE117" s="73"/>
      <c r="CLF117" s="73"/>
      <c r="CLG117" s="73"/>
      <c r="CLH117" s="73"/>
      <c r="CLI117" s="73"/>
      <c r="CLJ117" s="73"/>
      <c r="CLK117" s="73"/>
      <c r="CLL117" s="73"/>
      <c r="CLM117" s="73"/>
      <c r="CLN117" s="73"/>
      <c r="CLO117" s="73"/>
      <c r="CLP117" s="73"/>
      <c r="CLQ117" s="73"/>
      <c r="CLR117" s="73"/>
      <c r="CLS117" s="73"/>
      <c r="CLT117" s="73"/>
      <c r="CLU117" s="73"/>
      <c r="CLV117" s="73"/>
      <c r="CLW117" s="73"/>
      <c r="CLX117" s="73"/>
      <c r="CLY117" s="73"/>
      <c r="CLZ117" s="73"/>
      <c r="CMA117" s="73"/>
      <c r="CMB117" s="73"/>
      <c r="CMC117" s="73"/>
      <c r="CMD117" s="73"/>
      <c r="CME117" s="73"/>
      <c r="CMF117" s="73"/>
      <c r="CMG117" s="73"/>
      <c r="CMH117" s="73"/>
      <c r="CMI117" s="73"/>
      <c r="CMJ117" s="73"/>
      <c r="CMK117" s="73"/>
      <c r="CML117" s="73"/>
      <c r="CMM117" s="73"/>
      <c r="CMN117" s="73"/>
      <c r="CMO117" s="73"/>
      <c r="CMP117" s="73"/>
      <c r="CMQ117" s="73"/>
      <c r="CMR117" s="73"/>
      <c r="CMS117" s="73"/>
      <c r="CMT117" s="73"/>
      <c r="CMU117" s="73"/>
      <c r="CMV117" s="73"/>
      <c r="CMW117" s="73"/>
      <c r="CMX117" s="73"/>
      <c r="CMY117" s="73"/>
      <c r="CMZ117" s="73"/>
      <c r="CNA117" s="73"/>
      <c r="CNB117" s="73"/>
      <c r="CNC117" s="73"/>
      <c r="CND117" s="73"/>
      <c r="CNE117" s="73"/>
      <c r="CNF117" s="73"/>
      <c r="CNG117" s="73"/>
      <c r="CNH117" s="73"/>
      <c r="CNI117" s="73"/>
      <c r="CNJ117" s="73"/>
      <c r="CNK117" s="73"/>
      <c r="CNL117" s="73"/>
      <c r="CNM117" s="73"/>
      <c r="CNN117" s="73"/>
      <c r="CNO117" s="73"/>
      <c r="CNP117" s="73"/>
      <c r="CNQ117" s="73"/>
      <c r="CNR117" s="73"/>
      <c r="CNS117" s="73"/>
      <c r="CNT117" s="73"/>
      <c r="CNU117" s="73"/>
      <c r="CNV117" s="73"/>
      <c r="CNW117" s="73"/>
      <c r="CNX117" s="73"/>
      <c r="CNY117" s="73"/>
      <c r="CNZ117" s="73"/>
      <c r="COA117" s="73"/>
      <c r="COB117" s="73"/>
      <c r="COC117" s="73"/>
      <c r="COD117" s="73"/>
      <c r="COE117" s="73"/>
      <c r="COF117" s="73"/>
      <c r="COG117" s="73"/>
      <c r="COH117" s="73"/>
      <c r="COI117" s="73"/>
      <c r="COJ117" s="73"/>
      <c r="COK117" s="73"/>
      <c r="COL117" s="73"/>
      <c r="COM117" s="73"/>
      <c r="CON117" s="73"/>
      <c r="COO117" s="73"/>
      <c r="COP117" s="73"/>
      <c r="COQ117" s="73"/>
      <c r="COR117" s="73"/>
      <c r="COS117" s="73"/>
      <c r="COT117" s="73"/>
      <c r="COU117" s="73"/>
      <c r="COV117" s="73"/>
      <c r="COW117" s="73"/>
      <c r="COX117" s="73"/>
      <c r="COY117" s="73"/>
      <c r="COZ117" s="73"/>
      <c r="CPA117" s="73"/>
      <c r="CPB117" s="73"/>
      <c r="CPC117" s="73"/>
      <c r="CPD117" s="73"/>
      <c r="CPE117" s="73"/>
      <c r="CPF117" s="73"/>
      <c r="CPG117" s="73"/>
      <c r="CPH117" s="73"/>
      <c r="CPI117" s="73"/>
      <c r="CPJ117" s="73"/>
      <c r="CPK117" s="73"/>
      <c r="CPL117" s="73"/>
      <c r="CPM117" s="73"/>
      <c r="CPN117" s="73"/>
      <c r="CPO117" s="73"/>
      <c r="CPP117" s="73"/>
      <c r="CPQ117" s="73"/>
      <c r="CPR117" s="73"/>
      <c r="CPS117" s="73"/>
      <c r="CPT117" s="73"/>
      <c r="CPU117" s="73"/>
      <c r="CPV117" s="73"/>
      <c r="CPW117" s="73"/>
      <c r="CPX117" s="73"/>
      <c r="CPY117" s="73"/>
      <c r="CPZ117" s="73"/>
      <c r="CQA117" s="73"/>
      <c r="CQB117" s="73"/>
      <c r="CQC117" s="73"/>
      <c r="CQD117" s="73"/>
      <c r="CQE117" s="73"/>
      <c r="CQF117" s="73"/>
      <c r="CQG117" s="73"/>
      <c r="CQH117" s="73"/>
      <c r="CQI117" s="73"/>
      <c r="CQJ117" s="73"/>
      <c r="CQK117" s="73"/>
      <c r="CQL117" s="73"/>
      <c r="CQM117" s="73"/>
      <c r="CQN117" s="73"/>
      <c r="CQO117" s="73"/>
      <c r="CQP117" s="73"/>
      <c r="CQQ117" s="73"/>
      <c r="CQR117" s="73"/>
      <c r="CQS117" s="73"/>
      <c r="CQT117" s="73"/>
      <c r="CQU117" s="73"/>
      <c r="CQV117" s="73"/>
      <c r="CQW117" s="73"/>
      <c r="CQX117" s="73"/>
      <c r="CQY117" s="73"/>
      <c r="CQZ117" s="73"/>
      <c r="CRA117" s="73"/>
      <c r="CRB117" s="73"/>
      <c r="CRC117" s="73"/>
      <c r="CRD117" s="73"/>
      <c r="CRE117" s="73"/>
      <c r="CRF117" s="73"/>
      <c r="CRG117" s="73"/>
      <c r="CRH117" s="73"/>
      <c r="CRI117" s="73"/>
      <c r="CRJ117" s="73"/>
      <c r="CRK117" s="73"/>
      <c r="CRL117" s="73"/>
      <c r="CRM117" s="73"/>
      <c r="CRN117" s="73"/>
      <c r="CRO117" s="73"/>
      <c r="CRP117" s="73"/>
      <c r="CRQ117" s="73"/>
      <c r="CRR117" s="73"/>
      <c r="CRS117" s="73"/>
      <c r="CRT117" s="73"/>
      <c r="CRU117" s="73"/>
      <c r="CRV117" s="73"/>
      <c r="CRW117" s="73"/>
      <c r="CRX117" s="73"/>
      <c r="CRY117" s="73"/>
      <c r="CRZ117" s="73"/>
      <c r="CSA117" s="73"/>
      <c r="CSB117" s="73"/>
      <c r="CSC117" s="73"/>
      <c r="CSD117" s="73"/>
      <c r="CSE117" s="73"/>
      <c r="CSF117" s="73"/>
      <c r="CSG117" s="73"/>
      <c r="CSH117" s="73"/>
      <c r="CSI117" s="73"/>
      <c r="CSJ117" s="73"/>
      <c r="CSK117" s="73"/>
      <c r="CSL117" s="73"/>
      <c r="CSM117" s="73"/>
      <c r="CSN117" s="73"/>
      <c r="CSO117" s="73"/>
      <c r="CSP117" s="73"/>
      <c r="CSQ117" s="73"/>
      <c r="CSR117" s="73"/>
      <c r="CSS117" s="73"/>
      <c r="CST117" s="73"/>
      <c r="CSU117" s="73"/>
      <c r="CSV117" s="73"/>
      <c r="CSW117" s="73"/>
      <c r="CSX117" s="73"/>
      <c r="CSY117" s="73"/>
      <c r="CSZ117" s="73"/>
      <c r="CTA117" s="73"/>
      <c r="CTB117" s="73"/>
      <c r="CTC117" s="73"/>
      <c r="CTD117" s="73"/>
      <c r="CTE117" s="73"/>
      <c r="CTF117" s="73"/>
      <c r="CTG117" s="73"/>
      <c r="CTH117" s="73"/>
      <c r="CTI117" s="73"/>
      <c r="CTJ117" s="73"/>
      <c r="CTK117" s="73"/>
      <c r="CTL117" s="73"/>
      <c r="CTM117" s="73"/>
      <c r="CTN117" s="73"/>
      <c r="CTO117" s="73"/>
      <c r="CTP117" s="73"/>
      <c r="CTQ117" s="73"/>
      <c r="CTR117" s="73"/>
      <c r="CTS117" s="73"/>
      <c r="CTT117" s="73"/>
      <c r="CTU117" s="73"/>
      <c r="CTV117" s="73"/>
      <c r="CTW117" s="73"/>
      <c r="CTX117" s="73"/>
      <c r="CTY117" s="73"/>
      <c r="CTZ117" s="73"/>
      <c r="CUA117" s="73"/>
      <c r="CUB117" s="73"/>
      <c r="CUC117" s="73"/>
      <c r="CUD117" s="73"/>
      <c r="CUE117" s="73"/>
      <c r="CUF117" s="73"/>
      <c r="CUG117" s="73"/>
      <c r="CUH117" s="73"/>
      <c r="CUI117" s="73"/>
      <c r="CUJ117" s="73"/>
      <c r="CUK117" s="73"/>
      <c r="CUL117" s="73"/>
      <c r="CUM117" s="73"/>
      <c r="CUN117" s="73"/>
      <c r="CUO117" s="73"/>
      <c r="CUP117" s="73"/>
      <c r="CUQ117" s="73"/>
      <c r="CUR117" s="73"/>
      <c r="CUS117" s="73"/>
      <c r="CUT117" s="73"/>
      <c r="CUU117" s="73"/>
      <c r="CUV117" s="73"/>
      <c r="CUW117" s="73"/>
      <c r="CUX117" s="73"/>
      <c r="CUY117" s="73"/>
      <c r="CUZ117" s="73"/>
      <c r="CVA117" s="73"/>
      <c r="CVB117" s="73"/>
      <c r="CVC117" s="73"/>
      <c r="CVD117" s="73"/>
      <c r="CVE117" s="73"/>
      <c r="CVF117" s="73"/>
      <c r="CVG117" s="73"/>
      <c r="CVH117" s="73"/>
      <c r="CVI117" s="73"/>
      <c r="CVJ117" s="73"/>
      <c r="CVK117" s="73"/>
      <c r="CVL117" s="73"/>
      <c r="CVM117" s="73"/>
      <c r="CVN117" s="73"/>
      <c r="CVO117" s="73"/>
      <c r="CVP117" s="73"/>
      <c r="CVQ117" s="73"/>
      <c r="CVR117" s="73"/>
      <c r="CVS117" s="73"/>
      <c r="CVT117" s="73"/>
      <c r="CVU117" s="73"/>
      <c r="CVV117" s="73"/>
      <c r="CVW117" s="73"/>
      <c r="CVX117" s="73"/>
      <c r="CVY117" s="73"/>
      <c r="CVZ117" s="73"/>
      <c r="CWA117" s="73"/>
      <c r="CWB117" s="73"/>
      <c r="CWC117" s="73"/>
      <c r="CWD117" s="73"/>
      <c r="CWE117" s="73"/>
      <c r="CWF117" s="73"/>
      <c r="CWG117" s="73"/>
      <c r="CWH117" s="73"/>
      <c r="CWI117" s="73"/>
      <c r="CWJ117" s="73"/>
      <c r="CWK117" s="73"/>
      <c r="CWL117" s="73"/>
      <c r="CWM117" s="73"/>
      <c r="CWN117" s="73"/>
      <c r="CWO117" s="73"/>
      <c r="CWP117" s="73"/>
      <c r="CWQ117" s="73"/>
      <c r="CWR117" s="73"/>
      <c r="CWS117" s="73"/>
      <c r="CWT117" s="73"/>
      <c r="CWU117" s="73"/>
      <c r="CWV117" s="73"/>
      <c r="CWW117" s="73"/>
      <c r="CWX117" s="73"/>
      <c r="CWY117" s="73"/>
      <c r="CWZ117" s="73"/>
      <c r="CXA117" s="73"/>
      <c r="CXB117" s="73"/>
      <c r="CXC117" s="73"/>
      <c r="CXD117" s="73"/>
      <c r="CXE117" s="73"/>
      <c r="CXF117" s="73"/>
      <c r="CXG117" s="73"/>
      <c r="CXH117" s="73"/>
      <c r="CXI117" s="73"/>
      <c r="CXJ117" s="73"/>
      <c r="CXK117" s="73"/>
      <c r="CXL117" s="73"/>
      <c r="CXM117" s="73"/>
      <c r="CXN117" s="73"/>
      <c r="CXO117" s="73"/>
      <c r="CXP117" s="73"/>
      <c r="CXQ117" s="73"/>
      <c r="CXR117" s="73"/>
      <c r="CXS117" s="73"/>
      <c r="CXT117" s="73"/>
      <c r="CXU117" s="73"/>
      <c r="CXV117" s="73"/>
      <c r="CXW117" s="73"/>
      <c r="CXX117" s="73"/>
      <c r="CXY117" s="73"/>
      <c r="CXZ117" s="73"/>
      <c r="CYA117" s="73"/>
      <c r="CYB117" s="73"/>
      <c r="CYC117" s="73"/>
      <c r="CYD117" s="73"/>
      <c r="CYE117" s="73"/>
      <c r="CYF117" s="73"/>
      <c r="CYG117" s="73"/>
      <c r="CYH117" s="73"/>
      <c r="CYI117" s="73"/>
      <c r="CYJ117" s="73"/>
      <c r="CYK117" s="73"/>
      <c r="CYL117" s="73"/>
      <c r="CYM117" s="73"/>
      <c r="CYN117" s="73"/>
      <c r="CYO117" s="73"/>
      <c r="CYP117" s="73"/>
      <c r="CYQ117" s="73"/>
      <c r="CYR117" s="73"/>
      <c r="CYS117" s="73"/>
      <c r="CYT117" s="73"/>
      <c r="CYU117" s="73"/>
      <c r="CYV117" s="73"/>
      <c r="CYW117" s="73"/>
      <c r="CYX117" s="73"/>
      <c r="CYY117" s="73"/>
      <c r="CYZ117" s="73"/>
      <c r="CZA117" s="73"/>
      <c r="CZB117" s="73"/>
      <c r="CZC117" s="73"/>
      <c r="CZD117" s="73"/>
      <c r="CZE117" s="73"/>
      <c r="CZF117" s="73"/>
      <c r="CZG117" s="73"/>
      <c r="CZH117" s="73"/>
      <c r="CZI117" s="73"/>
      <c r="CZJ117" s="73"/>
      <c r="CZK117" s="73"/>
      <c r="CZL117" s="73"/>
      <c r="CZM117" s="73"/>
      <c r="CZN117" s="73"/>
      <c r="CZO117" s="73"/>
      <c r="CZP117" s="73"/>
      <c r="CZQ117" s="73"/>
      <c r="CZR117" s="73"/>
      <c r="CZS117" s="73"/>
      <c r="CZT117" s="73"/>
      <c r="CZU117" s="73"/>
      <c r="CZV117" s="73"/>
      <c r="CZW117" s="73"/>
      <c r="CZX117" s="73"/>
      <c r="CZY117" s="73"/>
      <c r="CZZ117" s="73"/>
      <c r="DAA117" s="73"/>
      <c r="DAB117" s="73"/>
      <c r="DAC117" s="73"/>
      <c r="DAD117" s="73"/>
      <c r="DAE117" s="73"/>
      <c r="DAF117" s="73"/>
      <c r="DAG117" s="73"/>
      <c r="DAH117" s="73"/>
      <c r="DAI117" s="73"/>
      <c r="DAJ117" s="73"/>
      <c r="DAK117" s="73"/>
      <c r="DAL117" s="73"/>
      <c r="DAM117" s="73"/>
      <c r="DAN117" s="73"/>
      <c r="DAO117" s="73"/>
      <c r="DAP117" s="73"/>
      <c r="DAQ117" s="73"/>
      <c r="DAR117" s="73"/>
      <c r="DAS117" s="73"/>
      <c r="DAT117" s="73"/>
      <c r="DAU117" s="73"/>
      <c r="DAV117" s="73"/>
      <c r="DAW117" s="73"/>
      <c r="DAX117" s="73"/>
      <c r="DAY117" s="73"/>
      <c r="DAZ117" s="73"/>
      <c r="DBA117" s="73"/>
      <c r="DBB117" s="73"/>
      <c r="DBC117" s="73"/>
      <c r="DBD117" s="73"/>
      <c r="DBE117" s="73"/>
      <c r="DBF117" s="73"/>
      <c r="DBG117" s="73"/>
      <c r="DBH117" s="73"/>
      <c r="DBI117" s="73"/>
      <c r="DBJ117" s="73"/>
      <c r="DBK117" s="73"/>
      <c r="DBL117" s="73"/>
      <c r="DBM117" s="73"/>
      <c r="DBN117" s="73"/>
      <c r="DBO117" s="73"/>
      <c r="DBP117" s="73"/>
      <c r="DBQ117" s="73"/>
      <c r="DBR117" s="73"/>
      <c r="DBS117" s="73"/>
      <c r="DBT117" s="73"/>
      <c r="DBU117" s="73"/>
      <c r="DBV117" s="73"/>
      <c r="DBW117" s="73"/>
      <c r="DBX117" s="73"/>
      <c r="DBY117" s="73"/>
      <c r="DBZ117" s="73"/>
      <c r="DCA117" s="73"/>
      <c r="DCB117" s="73"/>
      <c r="DCC117" s="73"/>
      <c r="DCD117" s="73"/>
      <c r="DCE117" s="73"/>
      <c r="DCF117" s="73"/>
      <c r="DCG117" s="73"/>
      <c r="DCH117" s="73"/>
      <c r="DCI117" s="73"/>
      <c r="DCJ117" s="73"/>
      <c r="DCK117" s="73"/>
      <c r="DCL117" s="73"/>
      <c r="DCM117" s="73"/>
      <c r="DCN117" s="73"/>
      <c r="DCO117" s="73"/>
      <c r="DCP117" s="73"/>
      <c r="DCQ117" s="73"/>
      <c r="DCR117" s="73"/>
      <c r="DCS117" s="73"/>
      <c r="DCT117" s="73"/>
      <c r="DCU117" s="73"/>
      <c r="DCV117" s="73"/>
      <c r="DCW117" s="73"/>
      <c r="DCX117" s="73"/>
      <c r="DCY117" s="73"/>
      <c r="DCZ117" s="73"/>
      <c r="DDA117" s="73"/>
      <c r="DDB117" s="73"/>
      <c r="DDC117" s="73"/>
      <c r="DDD117" s="73"/>
      <c r="DDE117" s="73"/>
      <c r="DDF117" s="73"/>
      <c r="DDG117" s="73"/>
      <c r="DDH117" s="73"/>
      <c r="DDI117" s="73"/>
      <c r="DDJ117" s="73"/>
      <c r="DDK117" s="73"/>
      <c r="DDL117" s="73"/>
      <c r="DDM117" s="73"/>
      <c r="DDN117" s="73"/>
      <c r="DDO117" s="73"/>
      <c r="DDP117" s="73"/>
      <c r="DDQ117" s="73"/>
      <c r="DDR117" s="73"/>
      <c r="DDS117" s="73"/>
      <c r="DDT117" s="73"/>
      <c r="DDU117" s="73"/>
      <c r="DDV117" s="73"/>
      <c r="DDW117" s="73"/>
      <c r="DDX117" s="73"/>
      <c r="DDY117" s="73"/>
      <c r="DDZ117" s="73"/>
      <c r="DEA117" s="73"/>
      <c r="DEB117" s="73"/>
      <c r="DEC117" s="73"/>
      <c r="DED117" s="73"/>
      <c r="DEE117" s="73"/>
      <c r="DEF117" s="73"/>
      <c r="DEG117" s="73"/>
      <c r="DEH117" s="73"/>
      <c r="DEI117" s="73"/>
      <c r="DEJ117" s="73"/>
      <c r="DEK117" s="73"/>
      <c r="DEL117" s="73"/>
      <c r="DEM117" s="73"/>
      <c r="DEN117" s="73"/>
      <c r="DEO117" s="73"/>
      <c r="DEP117" s="73"/>
      <c r="DEQ117" s="73"/>
      <c r="DER117" s="73"/>
      <c r="DES117" s="73"/>
      <c r="DET117" s="73"/>
      <c r="DEU117" s="73"/>
      <c r="DEV117" s="73"/>
      <c r="DEW117" s="73"/>
      <c r="DEX117" s="73"/>
      <c r="DEY117" s="73"/>
      <c r="DEZ117" s="73"/>
      <c r="DFA117" s="73"/>
      <c r="DFB117" s="73"/>
      <c r="DFC117" s="73"/>
      <c r="DFD117" s="73"/>
      <c r="DFE117" s="73"/>
      <c r="DFF117" s="73"/>
      <c r="DFG117" s="73"/>
      <c r="DFH117" s="73"/>
      <c r="DFI117" s="73"/>
      <c r="DFJ117" s="73"/>
      <c r="DFK117" s="73"/>
      <c r="DFL117" s="73"/>
      <c r="DFM117" s="73"/>
      <c r="DFN117" s="73"/>
      <c r="DFO117" s="73"/>
      <c r="DFP117" s="73"/>
      <c r="DFQ117" s="73"/>
      <c r="DFR117" s="73"/>
      <c r="DFS117" s="73"/>
      <c r="DFT117" s="73"/>
      <c r="DFU117" s="73"/>
      <c r="DFV117" s="73"/>
      <c r="DFW117" s="73"/>
      <c r="DFX117" s="73"/>
      <c r="DFY117" s="73"/>
      <c r="DFZ117" s="73"/>
      <c r="DGA117" s="73"/>
      <c r="DGB117" s="73"/>
      <c r="DGC117" s="73"/>
      <c r="DGD117" s="73"/>
      <c r="DGE117" s="73"/>
      <c r="DGF117" s="73"/>
      <c r="DGG117" s="73"/>
      <c r="DGH117" s="73"/>
      <c r="DGI117" s="73"/>
      <c r="DGJ117" s="73"/>
      <c r="DGK117" s="73"/>
      <c r="DGL117" s="73"/>
      <c r="DGM117" s="73"/>
      <c r="DGN117" s="73"/>
      <c r="DGO117" s="73"/>
      <c r="DGP117" s="73"/>
      <c r="DGQ117" s="73"/>
      <c r="DGR117" s="73"/>
      <c r="DGS117" s="73"/>
      <c r="DGT117" s="73"/>
      <c r="DGU117" s="73"/>
      <c r="DGV117" s="73"/>
      <c r="DGW117" s="73"/>
      <c r="DGX117" s="73"/>
      <c r="DGY117" s="73"/>
      <c r="DGZ117" s="73"/>
      <c r="DHA117" s="73"/>
      <c r="DHB117" s="73"/>
      <c r="DHC117" s="73"/>
      <c r="DHD117" s="73"/>
      <c r="DHE117" s="73"/>
      <c r="DHF117" s="73"/>
      <c r="DHG117" s="73"/>
      <c r="DHH117" s="73"/>
      <c r="DHI117" s="73"/>
      <c r="DHJ117" s="73"/>
      <c r="DHK117" s="73"/>
      <c r="DHL117" s="73"/>
      <c r="DHM117" s="73"/>
      <c r="DHN117" s="73"/>
      <c r="DHO117" s="73"/>
      <c r="DHP117" s="73"/>
      <c r="DHQ117" s="73"/>
      <c r="DHR117" s="73"/>
      <c r="DHS117" s="73"/>
      <c r="DHT117" s="73"/>
      <c r="DHU117" s="73"/>
      <c r="DHV117" s="73"/>
      <c r="DHW117" s="73"/>
      <c r="DHX117" s="73"/>
      <c r="DHY117" s="73"/>
      <c r="DHZ117" s="73"/>
      <c r="DIA117" s="73"/>
      <c r="DIB117" s="73"/>
      <c r="DIC117" s="73"/>
      <c r="DID117" s="73"/>
      <c r="DIE117" s="73"/>
      <c r="DIF117" s="73"/>
      <c r="DIG117" s="73"/>
      <c r="DIH117" s="73"/>
      <c r="DII117" s="73"/>
      <c r="DIJ117" s="73"/>
      <c r="DIK117" s="73"/>
      <c r="DIL117" s="73"/>
      <c r="DIM117" s="73"/>
      <c r="DIN117" s="73"/>
      <c r="DIO117" s="73"/>
      <c r="DIP117" s="73"/>
      <c r="DIQ117" s="73"/>
      <c r="DIR117" s="73"/>
      <c r="DIS117" s="73"/>
      <c r="DIT117" s="73"/>
      <c r="DIU117" s="73"/>
      <c r="DIV117" s="73"/>
      <c r="DIW117" s="73"/>
      <c r="DIX117" s="73"/>
      <c r="DIY117" s="73"/>
      <c r="DIZ117" s="73"/>
      <c r="DJA117" s="73"/>
      <c r="DJB117" s="73"/>
      <c r="DJC117" s="73"/>
      <c r="DJD117" s="73"/>
      <c r="DJE117" s="73"/>
      <c r="DJF117" s="73"/>
      <c r="DJG117" s="73"/>
      <c r="DJH117" s="73"/>
      <c r="DJI117" s="73"/>
      <c r="DJJ117" s="73"/>
      <c r="DJK117" s="73"/>
      <c r="DJL117" s="73"/>
      <c r="DJM117" s="73"/>
      <c r="DJN117" s="73"/>
      <c r="DJO117" s="73"/>
      <c r="DJP117" s="73"/>
      <c r="DJQ117" s="73"/>
      <c r="DJR117" s="73"/>
      <c r="DJS117" s="73"/>
      <c r="DJT117" s="73"/>
      <c r="DJU117" s="73"/>
      <c r="DJV117" s="73"/>
      <c r="DJW117" s="73"/>
      <c r="DJX117" s="73"/>
      <c r="DJY117" s="73"/>
      <c r="DJZ117" s="73"/>
      <c r="DKA117" s="73"/>
      <c r="DKB117" s="73"/>
      <c r="DKC117" s="73"/>
      <c r="DKD117" s="73"/>
      <c r="DKE117" s="73"/>
      <c r="DKF117" s="73"/>
      <c r="DKG117" s="73"/>
      <c r="DKH117" s="73"/>
      <c r="DKI117" s="73"/>
      <c r="DKJ117" s="73"/>
      <c r="DKK117" s="73"/>
      <c r="DKL117" s="73"/>
      <c r="DKM117" s="73"/>
      <c r="DKN117" s="73"/>
      <c r="DKO117" s="73"/>
      <c r="DKP117" s="73"/>
      <c r="DKQ117" s="73"/>
      <c r="DKR117" s="73"/>
      <c r="DKS117" s="73"/>
      <c r="DKT117" s="73"/>
      <c r="DKU117" s="73"/>
      <c r="DKV117" s="73"/>
      <c r="DKW117" s="73"/>
      <c r="DKX117" s="73"/>
      <c r="DKY117" s="73"/>
      <c r="DKZ117" s="73"/>
      <c r="DLA117" s="73"/>
      <c r="DLB117" s="73"/>
      <c r="DLC117" s="73"/>
      <c r="DLD117" s="73"/>
      <c r="DLE117" s="73"/>
      <c r="DLF117" s="73"/>
      <c r="DLG117" s="73"/>
      <c r="DLH117" s="73"/>
      <c r="DLI117" s="73"/>
      <c r="DLJ117" s="73"/>
      <c r="DLK117" s="73"/>
      <c r="DLL117" s="73"/>
      <c r="DLM117" s="73"/>
      <c r="DLN117" s="73"/>
      <c r="DLO117" s="73"/>
      <c r="DLP117" s="73"/>
      <c r="DLQ117" s="73"/>
      <c r="DLR117" s="73"/>
      <c r="DLS117" s="73"/>
      <c r="DLT117" s="73"/>
      <c r="DLU117" s="73"/>
      <c r="DLV117" s="73"/>
      <c r="DLW117" s="73"/>
      <c r="DLX117" s="73"/>
      <c r="DLY117" s="73"/>
      <c r="DLZ117" s="73"/>
      <c r="DMA117" s="73"/>
      <c r="DMB117" s="73"/>
      <c r="DMC117" s="73"/>
      <c r="DMD117" s="73"/>
      <c r="DME117" s="73"/>
      <c r="DMF117" s="73"/>
      <c r="DMG117" s="73"/>
      <c r="DMH117" s="73"/>
      <c r="DMI117" s="73"/>
      <c r="DMJ117" s="73"/>
      <c r="DMK117" s="73"/>
      <c r="DML117" s="73"/>
      <c r="DMM117" s="73"/>
      <c r="DMN117" s="73"/>
      <c r="DMO117" s="73"/>
      <c r="DMP117" s="73"/>
      <c r="DMQ117" s="73"/>
      <c r="DMR117" s="73"/>
      <c r="DMS117" s="73"/>
      <c r="DMT117" s="73"/>
      <c r="DMU117" s="73"/>
      <c r="DMV117" s="73"/>
      <c r="DMW117" s="73"/>
      <c r="DMX117" s="73"/>
      <c r="DMY117" s="73"/>
      <c r="DMZ117" s="73"/>
      <c r="DNA117" s="73"/>
      <c r="DNB117" s="73"/>
      <c r="DNC117" s="73"/>
      <c r="DND117" s="73"/>
      <c r="DNE117" s="73"/>
      <c r="DNF117" s="73"/>
      <c r="DNG117" s="73"/>
      <c r="DNH117" s="73"/>
      <c r="DNI117" s="73"/>
      <c r="DNJ117" s="73"/>
      <c r="DNK117" s="73"/>
      <c r="DNL117" s="73"/>
      <c r="DNM117" s="73"/>
      <c r="DNN117" s="73"/>
      <c r="DNO117" s="73"/>
      <c r="DNP117" s="73"/>
      <c r="DNQ117" s="73"/>
      <c r="DNR117" s="73"/>
      <c r="DNS117" s="73"/>
      <c r="DNT117" s="73"/>
      <c r="DNU117" s="73"/>
      <c r="DNV117" s="73"/>
      <c r="DNW117" s="73"/>
      <c r="DNX117" s="73"/>
      <c r="DNY117" s="73"/>
      <c r="DNZ117" s="73"/>
      <c r="DOA117" s="73"/>
      <c r="DOB117" s="73"/>
      <c r="DOC117" s="73"/>
      <c r="DOD117" s="73"/>
      <c r="DOE117" s="73"/>
      <c r="DOF117" s="73"/>
      <c r="DOG117" s="73"/>
      <c r="DOH117" s="73"/>
      <c r="DOI117" s="73"/>
      <c r="DOJ117" s="73"/>
      <c r="DOK117" s="73"/>
      <c r="DOL117" s="73"/>
      <c r="DOM117" s="73"/>
      <c r="DON117" s="73"/>
      <c r="DOO117" s="73"/>
      <c r="DOP117" s="73"/>
      <c r="DOQ117" s="73"/>
      <c r="DOR117" s="73"/>
      <c r="DOS117" s="73"/>
      <c r="DOT117" s="73"/>
      <c r="DOU117" s="73"/>
      <c r="DOV117" s="73"/>
      <c r="DOW117" s="73"/>
      <c r="DOX117" s="73"/>
      <c r="DOY117" s="73"/>
      <c r="DOZ117" s="73"/>
      <c r="DPA117" s="73"/>
      <c r="DPB117" s="73"/>
      <c r="DPC117" s="73"/>
      <c r="DPD117" s="73"/>
      <c r="DPE117" s="73"/>
      <c r="DPF117" s="73"/>
      <c r="DPG117" s="73"/>
      <c r="DPH117" s="73"/>
      <c r="DPI117" s="73"/>
      <c r="DPJ117" s="73"/>
      <c r="DPK117" s="73"/>
      <c r="DPL117" s="73"/>
      <c r="DPM117" s="73"/>
      <c r="DPN117" s="73"/>
      <c r="DPO117" s="73"/>
      <c r="DPP117" s="73"/>
      <c r="DPQ117" s="73"/>
      <c r="DPR117" s="73"/>
      <c r="DPS117" s="73"/>
      <c r="DPT117" s="73"/>
      <c r="DPU117" s="73"/>
      <c r="DPV117" s="73"/>
      <c r="DPW117" s="73"/>
      <c r="DPX117" s="73"/>
      <c r="DPY117" s="73"/>
      <c r="DPZ117" s="73"/>
      <c r="DQA117" s="73"/>
      <c r="DQB117" s="73"/>
      <c r="DQC117" s="73"/>
      <c r="DQD117" s="73"/>
      <c r="DQE117" s="73"/>
      <c r="DQF117" s="73"/>
      <c r="DQG117" s="73"/>
      <c r="DQH117" s="73"/>
      <c r="DQI117" s="73"/>
      <c r="DQJ117" s="73"/>
      <c r="DQK117" s="73"/>
      <c r="DQL117" s="73"/>
      <c r="DQM117" s="73"/>
      <c r="DQN117" s="73"/>
      <c r="DQO117" s="73"/>
      <c r="DQP117" s="73"/>
      <c r="DQQ117" s="73"/>
      <c r="DQR117" s="73"/>
      <c r="DQS117" s="73"/>
      <c r="DQT117" s="73"/>
      <c r="DQU117" s="73"/>
      <c r="DQV117" s="73"/>
      <c r="DQW117" s="73"/>
      <c r="DQX117" s="73"/>
      <c r="DQY117" s="73"/>
      <c r="DQZ117" s="73"/>
      <c r="DRA117" s="73"/>
      <c r="DRB117" s="73"/>
      <c r="DRC117" s="73"/>
      <c r="DRD117" s="73"/>
      <c r="DRE117" s="73"/>
      <c r="DRF117" s="73"/>
      <c r="DRG117" s="73"/>
      <c r="DRH117" s="73"/>
      <c r="DRI117" s="73"/>
      <c r="DRJ117" s="73"/>
      <c r="DRK117" s="73"/>
      <c r="DRL117" s="73"/>
      <c r="DRM117" s="73"/>
      <c r="DRN117" s="73"/>
      <c r="DRO117" s="73"/>
      <c r="DRP117" s="73"/>
      <c r="DRQ117" s="73"/>
      <c r="DRR117" s="73"/>
      <c r="DRS117" s="73"/>
      <c r="DRT117" s="73"/>
      <c r="DRU117" s="73"/>
      <c r="DRV117" s="73"/>
      <c r="DRW117" s="73"/>
      <c r="DRX117" s="73"/>
      <c r="DRY117" s="73"/>
      <c r="DRZ117" s="73"/>
      <c r="DSA117" s="73"/>
      <c r="DSB117" s="73"/>
      <c r="DSC117" s="73"/>
      <c r="DSD117" s="73"/>
      <c r="DSE117" s="73"/>
      <c r="DSF117" s="73"/>
      <c r="DSG117" s="73"/>
      <c r="DSH117" s="73"/>
      <c r="DSI117" s="73"/>
      <c r="DSJ117" s="73"/>
      <c r="DSK117" s="73"/>
      <c r="DSL117" s="73"/>
      <c r="DSM117" s="73"/>
      <c r="DSN117" s="73"/>
      <c r="DSO117" s="73"/>
      <c r="DSP117" s="73"/>
      <c r="DSQ117" s="73"/>
      <c r="DSR117" s="73"/>
      <c r="DSS117" s="73"/>
      <c r="DST117" s="73"/>
      <c r="DSU117" s="73"/>
      <c r="DSV117" s="73"/>
      <c r="DSW117" s="73"/>
      <c r="DSX117" s="73"/>
      <c r="DSY117" s="73"/>
      <c r="DSZ117" s="73"/>
      <c r="DTA117" s="73"/>
      <c r="DTB117" s="73"/>
      <c r="DTC117" s="73"/>
      <c r="DTD117" s="73"/>
      <c r="DTE117" s="73"/>
      <c r="DTF117" s="73"/>
      <c r="DTG117" s="73"/>
      <c r="DTH117" s="73"/>
      <c r="DTI117" s="73"/>
      <c r="DTJ117" s="73"/>
      <c r="DTK117" s="73"/>
      <c r="DTL117" s="73"/>
      <c r="DTM117" s="73"/>
      <c r="DTN117" s="73"/>
      <c r="DTO117" s="73"/>
      <c r="DTP117" s="73"/>
      <c r="DTQ117" s="73"/>
      <c r="DTR117" s="73"/>
      <c r="DTS117" s="73"/>
      <c r="DTT117" s="73"/>
      <c r="DTU117" s="73"/>
      <c r="DTV117" s="73"/>
      <c r="DTW117" s="73"/>
      <c r="DTX117" s="73"/>
      <c r="DTY117" s="73"/>
      <c r="DTZ117" s="73"/>
      <c r="DUA117" s="73"/>
      <c r="DUB117" s="73"/>
      <c r="DUC117" s="73"/>
      <c r="DUD117" s="73"/>
      <c r="DUE117" s="73"/>
      <c r="DUF117" s="73"/>
      <c r="DUG117" s="73"/>
      <c r="DUH117" s="73"/>
      <c r="DUI117" s="73"/>
      <c r="DUJ117" s="73"/>
      <c r="DUK117" s="73"/>
      <c r="DUL117" s="73"/>
      <c r="DUM117" s="73"/>
      <c r="DUN117" s="73"/>
      <c r="DUO117" s="73"/>
      <c r="DUP117" s="73"/>
      <c r="DUQ117" s="73"/>
      <c r="DUR117" s="73"/>
      <c r="DUS117" s="73"/>
      <c r="DUT117" s="73"/>
      <c r="DUU117" s="73"/>
      <c r="DUV117" s="73"/>
      <c r="DUW117" s="73"/>
      <c r="DUX117" s="73"/>
      <c r="DUY117" s="73"/>
      <c r="DUZ117" s="73"/>
      <c r="DVA117" s="73"/>
      <c r="DVB117" s="73"/>
      <c r="DVC117" s="73"/>
      <c r="DVD117" s="73"/>
      <c r="DVE117" s="73"/>
      <c r="DVF117" s="73"/>
      <c r="DVG117" s="73"/>
      <c r="DVH117" s="73"/>
      <c r="DVI117" s="73"/>
      <c r="DVJ117" s="73"/>
      <c r="DVK117" s="73"/>
      <c r="DVL117" s="73"/>
      <c r="DVM117" s="73"/>
      <c r="DVN117" s="73"/>
      <c r="DVO117" s="73"/>
      <c r="DVP117" s="73"/>
      <c r="DVQ117" s="73"/>
      <c r="DVR117" s="73"/>
      <c r="DVS117" s="73"/>
      <c r="DVT117" s="73"/>
      <c r="DVU117" s="73"/>
      <c r="DVV117" s="73"/>
      <c r="DVW117" s="73"/>
      <c r="DVX117" s="73"/>
      <c r="DVY117" s="73"/>
      <c r="DVZ117" s="73"/>
      <c r="DWA117" s="73"/>
      <c r="DWB117" s="73"/>
      <c r="DWC117" s="73"/>
      <c r="DWD117" s="73"/>
      <c r="DWE117" s="73"/>
      <c r="DWF117" s="73"/>
      <c r="DWG117" s="73"/>
      <c r="DWH117" s="73"/>
      <c r="DWI117" s="73"/>
      <c r="DWJ117" s="73"/>
      <c r="DWK117" s="73"/>
      <c r="DWL117" s="73"/>
      <c r="DWM117" s="73"/>
      <c r="DWN117" s="73"/>
      <c r="DWO117" s="73"/>
      <c r="DWP117" s="73"/>
      <c r="DWQ117" s="73"/>
      <c r="DWR117" s="73"/>
      <c r="DWS117" s="73"/>
      <c r="DWT117" s="73"/>
      <c r="DWU117" s="73"/>
      <c r="DWV117" s="73"/>
      <c r="DWW117" s="73"/>
      <c r="DWX117" s="73"/>
      <c r="DWY117" s="73"/>
      <c r="DWZ117" s="73"/>
      <c r="DXA117" s="73"/>
      <c r="DXB117" s="73"/>
      <c r="DXC117" s="73"/>
      <c r="DXD117" s="73"/>
      <c r="DXE117" s="73"/>
      <c r="DXF117" s="73"/>
      <c r="DXG117" s="73"/>
      <c r="DXH117" s="73"/>
      <c r="DXI117" s="73"/>
      <c r="DXJ117" s="73"/>
      <c r="DXK117" s="73"/>
      <c r="DXL117" s="73"/>
      <c r="DXM117" s="73"/>
      <c r="DXN117" s="73"/>
      <c r="DXO117" s="73"/>
      <c r="DXP117" s="73"/>
      <c r="DXQ117" s="73"/>
      <c r="DXR117" s="73"/>
      <c r="DXS117" s="73"/>
      <c r="DXT117" s="73"/>
      <c r="DXU117" s="73"/>
      <c r="DXV117" s="73"/>
      <c r="DXW117" s="73"/>
      <c r="DXX117" s="73"/>
      <c r="DXY117" s="73"/>
      <c r="DXZ117" s="73"/>
      <c r="DYA117" s="73"/>
      <c r="DYB117" s="73"/>
      <c r="DYC117" s="73"/>
      <c r="DYD117" s="73"/>
      <c r="DYE117" s="73"/>
      <c r="DYF117" s="73"/>
      <c r="DYG117" s="73"/>
      <c r="DYH117" s="73"/>
      <c r="DYI117" s="73"/>
      <c r="DYJ117" s="73"/>
      <c r="DYK117" s="73"/>
      <c r="DYL117" s="73"/>
      <c r="DYM117" s="73"/>
      <c r="DYN117" s="73"/>
      <c r="DYO117" s="73"/>
      <c r="DYP117" s="73"/>
      <c r="DYQ117" s="73"/>
      <c r="DYR117" s="73"/>
      <c r="DYS117" s="73"/>
      <c r="DYT117" s="73"/>
      <c r="DYU117" s="73"/>
      <c r="DYV117" s="73"/>
      <c r="DYW117" s="73"/>
      <c r="DYX117" s="73"/>
      <c r="DYY117" s="73"/>
      <c r="DYZ117" s="73"/>
      <c r="DZA117" s="73"/>
      <c r="DZB117" s="73"/>
      <c r="DZC117" s="73"/>
      <c r="DZD117" s="73"/>
      <c r="DZE117" s="73"/>
      <c r="DZF117" s="73"/>
      <c r="DZG117" s="73"/>
      <c r="DZH117" s="73"/>
      <c r="DZI117" s="73"/>
      <c r="DZJ117" s="73"/>
      <c r="DZK117" s="73"/>
      <c r="DZL117" s="73"/>
      <c r="DZM117" s="73"/>
      <c r="DZN117" s="73"/>
      <c r="DZO117" s="73"/>
      <c r="DZP117" s="73"/>
      <c r="DZQ117" s="73"/>
      <c r="DZR117" s="73"/>
      <c r="DZS117" s="73"/>
      <c r="DZT117" s="73"/>
      <c r="DZU117" s="73"/>
      <c r="DZV117" s="73"/>
      <c r="DZW117" s="73"/>
      <c r="DZX117" s="73"/>
      <c r="DZY117" s="73"/>
      <c r="DZZ117" s="73"/>
      <c r="EAA117" s="73"/>
      <c r="EAB117" s="73"/>
      <c r="EAC117" s="73"/>
      <c r="EAD117" s="73"/>
      <c r="EAE117" s="73"/>
      <c r="EAF117" s="73"/>
      <c r="EAG117" s="73"/>
      <c r="EAH117" s="73"/>
      <c r="EAI117" s="73"/>
      <c r="EAJ117" s="73"/>
      <c r="EAK117" s="73"/>
      <c r="EAL117" s="73"/>
      <c r="EAM117" s="73"/>
      <c r="EAN117" s="73"/>
      <c r="EAO117" s="73"/>
      <c r="EAP117" s="73"/>
      <c r="EAQ117" s="73"/>
      <c r="EAR117" s="73"/>
      <c r="EAS117" s="73"/>
      <c r="EAT117" s="73"/>
      <c r="EAU117" s="73"/>
      <c r="EAV117" s="73"/>
      <c r="EAW117" s="73"/>
      <c r="EAX117" s="73"/>
      <c r="EAY117" s="73"/>
      <c r="EAZ117" s="73"/>
      <c r="EBA117" s="73"/>
      <c r="EBB117" s="73"/>
      <c r="EBC117" s="73"/>
      <c r="EBD117" s="73"/>
      <c r="EBE117" s="73"/>
      <c r="EBF117" s="73"/>
      <c r="EBG117" s="73"/>
      <c r="EBH117" s="73"/>
      <c r="EBI117" s="73"/>
      <c r="EBJ117" s="73"/>
      <c r="EBK117" s="73"/>
      <c r="EBL117" s="73"/>
      <c r="EBM117" s="73"/>
      <c r="EBN117" s="73"/>
      <c r="EBO117" s="73"/>
      <c r="EBP117" s="73"/>
      <c r="EBQ117" s="73"/>
      <c r="EBR117" s="73"/>
      <c r="EBS117" s="73"/>
      <c r="EBT117" s="73"/>
      <c r="EBU117" s="73"/>
      <c r="EBV117" s="73"/>
      <c r="EBW117" s="73"/>
      <c r="EBX117" s="73"/>
      <c r="EBY117" s="73"/>
      <c r="EBZ117" s="73"/>
      <c r="ECA117" s="73"/>
      <c r="ECB117" s="73"/>
      <c r="ECC117" s="73"/>
      <c r="ECD117" s="73"/>
      <c r="ECE117" s="73"/>
      <c r="ECF117" s="73"/>
      <c r="ECG117" s="73"/>
      <c r="ECH117" s="73"/>
      <c r="ECI117" s="73"/>
      <c r="ECJ117" s="73"/>
      <c r="ECK117" s="73"/>
      <c r="ECL117" s="73"/>
      <c r="ECM117" s="73"/>
      <c r="ECN117" s="73"/>
      <c r="ECO117" s="73"/>
      <c r="ECP117" s="73"/>
      <c r="ECQ117" s="73"/>
      <c r="ECR117" s="73"/>
      <c r="ECS117" s="73"/>
      <c r="ECT117" s="73"/>
      <c r="ECU117" s="73"/>
      <c r="ECV117" s="73"/>
      <c r="ECW117" s="73"/>
      <c r="ECX117" s="73"/>
      <c r="ECY117" s="73"/>
      <c r="ECZ117" s="73"/>
      <c r="EDA117" s="73"/>
      <c r="EDB117" s="73"/>
      <c r="EDC117" s="73"/>
      <c r="EDD117" s="73"/>
      <c r="EDE117" s="73"/>
      <c r="EDF117" s="73"/>
      <c r="EDG117" s="73"/>
      <c r="EDH117" s="73"/>
      <c r="EDI117" s="73"/>
      <c r="EDJ117" s="73"/>
      <c r="EDK117" s="73"/>
      <c r="EDL117" s="73"/>
      <c r="EDM117" s="73"/>
      <c r="EDN117" s="73"/>
      <c r="EDO117" s="73"/>
      <c r="EDP117" s="73"/>
      <c r="EDQ117" s="73"/>
      <c r="EDR117" s="73"/>
      <c r="EDS117" s="73"/>
      <c r="EDT117" s="73"/>
      <c r="EDU117" s="73"/>
      <c r="EDV117" s="73"/>
      <c r="EDW117" s="73"/>
      <c r="EDX117" s="73"/>
      <c r="EDY117" s="73"/>
      <c r="EDZ117" s="73"/>
      <c r="EEA117" s="73"/>
      <c r="EEB117" s="73"/>
      <c r="EEC117" s="73"/>
      <c r="EED117" s="73"/>
      <c r="EEE117" s="73"/>
      <c r="EEF117" s="73"/>
      <c r="EEG117" s="73"/>
      <c r="EEH117" s="73"/>
      <c r="EEI117" s="73"/>
      <c r="EEJ117" s="73"/>
      <c r="EEK117" s="73"/>
      <c r="EEL117" s="73"/>
      <c r="EEM117" s="73"/>
      <c r="EEN117" s="73"/>
      <c r="EEO117" s="73"/>
      <c r="EEP117" s="73"/>
      <c r="EEQ117" s="73"/>
      <c r="EER117" s="73"/>
      <c r="EES117" s="73"/>
      <c r="EET117" s="73"/>
      <c r="EEU117" s="73"/>
      <c r="EEV117" s="73"/>
      <c r="EEW117" s="73"/>
      <c r="EEX117" s="73"/>
      <c r="EEY117" s="73"/>
      <c r="EEZ117" s="73"/>
      <c r="EFA117" s="73"/>
      <c r="EFB117" s="73"/>
      <c r="EFC117" s="73"/>
      <c r="EFD117" s="73"/>
      <c r="EFE117" s="73"/>
      <c r="EFF117" s="73"/>
      <c r="EFG117" s="73"/>
      <c r="EFH117" s="73"/>
      <c r="EFI117" s="73"/>
      <c r="EFJ117" s="73"/>
      <c r="EFK117" s="73"/>
      <c r="EFL117" s="73"/>
      <c r="EFM117" s="73"/>
      <c r="EFN117" s="73"/>
      <c r="EFO117" s="73"/>
      <c r="EFP117" s="73"/>
      <c r="EFQ117" s="73"/>
      <c r="EFR117" s="73"/>
      <c r="EFS117" s="73"/>
      <c r="EFT117" s="73"/>
      <c r="EFU117" s="73"/>
      <c r="EFV117" s="73"/>
      <c r="EFW117" s="73"/>
      <c r="EFX117" s="73"/>
      <c r="EFY117" s="73"/>
      <c r="EFZ117" s="73"/>
      <c r="EGA117" s="73"/>
      <c r="EGB117" s="73"/>
      <c r="EGC117" s="73"/>
      <c r="EGD117" s="73"/>
      <c r="EGE117" s="73"/>
      <c r="EGF117" s="73"/>
      <c r="EGG117" s="73"/>
      <c r="EGH117" s="73"/>
      <c r="EGI117" s="73"/>
      <c r="EGJ117" s="73"/>
      <c r="EGK117" s="73"/>
      <c r="EGL117" s="73"/>
      <c r="EGM117" s="73"/>
      <c r="EGN117" s="73"/>
      <c r="EGO117" s="73"/>
      <c r="EGP117" s="73"/>
      <c r="EGQ117" s="73"/>
      <c r="EGR117" s="73"/>
      <c r="EGS117" s="73"/>
      <c r="EGT117" s="73"/>
      <c r="EGU117" s="73"/>
      <c r="EGV117" s="73"/>
      <c r="EGW117" s="73"/>
      <c r="EGX117" s="73"/>
      <c r="EGY117" s="73"/>
      <c r="EGZ117" s="73"/>
      <c r="EHA117" s="73"/>
      <c r="EHB117" s="73"/>
      <c r="EHC117" s="73"/>
      <c r="EHD117" s="73"/>
      <c r="EHE117" s="73"/>
      <c r="EHF117" s="73"/>
      <c r="EHG117" s="73"/>
      <c r="EHH117" s="73"/>
      <c r="EHI117" s="73"/>
      <c r="EHJ117" s="73"/>
      <c r="EHK117" s="73"/>
      <c r="EHL117" s="73"/>
      <c r="EHM117" s="73"/>
      <c r="EHN117" s="73"/>
      <c r="EHO117" s="73"/>
      <c r="EHP117" s="73"/>
      <c r="EHQ117" s="73"/>
      <c r="EHR117" s="73"/>
      <c r="EHS117" s="73"/>
      <c r="EHT117" s="73"/>
      <c r="EHU117" s="73"/>
      <c r="EHV117" s="73"/>
      <c r="EHW117" s="73"/>
      <c r="EHX117" s="73"/>
      <c r="EHY117" s="73"/>
      <c r="EHZ117" s="73"/>
      <c r="EIA117" s="73"/>
      <c r="EIB117" s="73"/>
      <c r="EIC117" s="73"/>
      <c r="EID117" s="73"/>
      <c r="EIE117" s="73"/>
      <c r="EIF117" s="73"/>
      <c r="EIG117" s="73"/>
      <c r="EIH117" s="73"/>
      <c r="EII117" s="73"/>
      <c r="EIJ117" s="73"/>
      <c r="EIK117" s="73"/>
      <c r="EIL117" s="73"/>
      <c r="EIM117" s="73"/>
      <c r="EIN117" s="73"/>
      <c r="EIO117" s="73"/>
      <c r="EIP117" s="73"/>
      <c r="EIQ117" s="73"/>
      <c r="EIR117" s="73"/>
      <c r="EIS117" s="73"/>
      <c r="EIT117" s="73"/>
      <c r="EIU117" s="73"/>
      <c r="EIV117" s="73"/>
      <c r="EIW117" s="73"/>
      <c r="EIX117" s="73"/>
      <c r="EIY117" s="73"/>
      <c r="EIZ117" s="73"/>
      <c r="EJA117" s="73"/>
      <c r="EJB117" s="73"/>
      <c r="EJC117" s="73"/>
      <c r="EJD117" s="73"/>
      <c r="EJE117" s="73"/>
      <c r="EJF117" s="73"/>
      <c r="EJG117" s="73"/>
      <c r="EJH117" s="73"/>
      <c r="EJI117" s="73"/>
      <c r="EJJ117" s="73"/>
      <c r="EJK117" s="73"/>
      <c r="EJL117" s="73"/>
      <c r="EJM117" s="73"/>
      <c r="EJN117" s="73"/>
      <c r="EJO117" s="73"/>
      <c r="EJP117" s="73"/>
      <c r="EJQ117" s="73"/>
      <c r="EJR117" s="73"/>
      <c r="EJS117" s="73"/>
      <c r="EJT117" s="73"/>
      <c r="EJU117" s="73"/>
      <c r="EJV117" s="73"/>
      <c r="EJW117" s="73"/>
      <c r="EJX117" s="73"/>
      <c r="EJY117" s="73"/>
      <c r="EJZ117" s="73"/>
      <c r="EKA117" s="73"/>
      <c r="EKB117" s="73"/>
      <c r="EKC117" s="73"/>
      <c r="EKD117" s="73"/>
      <c r="EKE117" s="73"/>
      <c r="EKF117" s="73"/>
      <c r="EKG117" s="73"/>
      <c r="EKH117" s="73"/>
      <c r="EKI117" s="73"/>
      <c r="EKJ117" s="73"/>
      <c r="EKK117" s="73"/>
      <c r="EKL117" s="73"/>
      <c r="EKM117" s="73"/>
      <c r="EKN117" s="73"/>
      <c r="EKO117" s="73"/>
      <c r="EKP117" s="73"/>
      <c r="EKQ117" s="73"/>
      <c r="EKR117" s="73"/>
      <c r="EKS117" s="73"/>
      <c r="EKT117" s="73"/>
      <c r="EKU117" s="73"/>
      <c r="EKV117" s="73"/>
      <c r="EKW117" s="73"/>
      <c r="EKX117" s="73"/>
      <c r="EKY117" s="73"/>
      <c r="EKZ117" s="73"/>
      <c r="ELA117" s="73"/>
      <c r="ELB117" s="73"/>
      <c r="ELC117" s="73"/>
      <c r="ELD117" s="73"/>
      <c r="ELE117" s="73"/>
      <c r="ELF117" s="73"/>
      <c r="ELG117" s="73"/>
      <c r="ELH117" s="73"/>
      <c r="ELI117" s="73"/>
      <c r="ELJ117" s="73"/>
      <c r="ELK117" s="73"/>
      <c r="ELL117" s="73"/>
      <c r="ELM117" s="73"/>
      <c r="ELN117" s="73"/>
      <c r="ELO117" s="73"/>
      <c r="ELP117" s="73"/>
      <c r="ELQ117" s="73"/>
      <c r="ELR117" s="73"/>
      <c r="ELS117" s="73"/>
      <c r="ELT117" s="73"/>
      <c r="ELU117" s="73"/>
      <c r="ELV117" s="73"/>
      <c r="ELW117" s="73"/>
      <c r="ELX117" s="73"/>
      <c r="ELY117" s="73"/>
      <c r="ELZ117" s="73"/>
      <c r="EMA117" s="73"/>
      <c r="EMB117" s="73"/>
      <c r="EMC117" s="73"/>
      <c r="EMD117" s="73"/>
      <c r="EME117" s="73"/>
      <c r="EMF117" s="73"/>
      <c r="EMG117" s="73"/>
      <c r="EMH117" s="73"/>
      <c r="EMI117" s="73"/>
      <c r="EMJ117" s="73"/>
      <c r="EMK117" s="73"/>
      <c r="EML117" s="73"/>
      <c r="EMM117" s="73"/>
      <c r="EMN117" s="73"/>
      <c r="EMO117" s="73"/>
      <c r="EMP117" s="73"/>
      <c r="EMQ117" s="73"/>
      <c r="EMR117" s="73"/>
      <c r="EMS117" s="73"/>
      <c r="EMT117" s="73"/>
      <c r="EMU117" s="73"/>
      <c r="EMV117" s="73"/>
      <c r="EMW117" s="73"/>
      <c r="EMX117" s="73"/>
      <c r="EMY117" s="73"/>
      <c r="EMZ117" s="73"/>
      <c r="ENA117" s="73"/>
      <c r="ENB117" s="73"/>
      <c r="ENC117" s="73"/>
      <c r="END117" s="73"/>
      <c r="ENE117" s="73"/>
      <c r="ENF117" s="73"/>
      <c r="ENG117" s="73"/>
      <c r="ENH117" s="73"/>
      <c r="ENI117" s="73"/>
      <c r="ENJ117" s="73"/>
      <c r="ENK117" s="73"/>
      <c r="ENL117" s="73"/>
      <c r="ENM117" s="73"/>
      <c r="ENN117" s="73"/>
      <c r="ENO117" s="73"/>
      <c r="ENP117" s="73"/>
      <c r="ENQ117" s="73"/>
      <c r="ENR117" s="73"/>
      <c r="ENS117" s="73"/>
      <c r="ENT117" s="73"/>
      <c r="ENU117" s="73"/>
      <c r="ENV117" s="73"/>
      <c r="ENW117" s="73"/>
      <c r="ENX117" s="73"/>
      <c r="ENY117" s="73"/>
      <c r="ENZ117" s="73"/>
      <c r="EOA117" s="73"/>
      <c r="EOB117" s="73"/>
      <c r="EOC117" s="73"/>
      <c r="EOD117" s="73"/>
      <c r="EOE117" s="73"/>
      <c r="EOF117" s="73"/>
      <c r="EOG117" s="73"/>
      <c r="EOH117" s="73"/>
      <c r="EOI117" s="73"/>
      <c r="EOJ117" s="73"/>
      <c r="EOK117" s="73"/>
      <c r="EOL117" s="73"/>
      <c r="EOM117" s="73"/>
      <c r="EON117" s="73"/>
      <c r="EOO117" s="73"/>
      <c r="EOP117" s="73"/>
      <c r="EOQ117" s="73"/>
      <c r="EOR117" s="73"/>
      <c r="EOS117" s="73"/>
      <c r="EOT117" s="73"/>
      <c r="EOU117" s="73"/>
      <c r="EOV117" s="73"/>
      <c r="EOW117" s="73"/>
      <c r="EOX117" s="73"/>
      <c r="EOY117" s="73"/>
      <c r="EOZ117" s="73"/>
      <c r="EPA117" s="73"/>
      <c r="EPB117" s="73"/>
      <c r="EPC117" s="73"/>
      <c r="EPD117" s="73"/>
      <c r="EPE117" s="73"/>
      <c r="EPF117" s="73"/>
      <c r="EPG117" s="73"/>
      <c r="EPH117" s="73"/>
      <c r="EPI117" s="73"/>
      <c r="EPJ117" s="73"/>
      <c r="EPK117" s="73"/>
      <c r="EPL117" s="73"/>
      <c r="EPM117" s="73"/>
      <c r="EPN117" s="73"/>
      <c r="EPO117" s="73"/>
      <c r="EPP117" s="73"/>
      <c r="EPQ117" s="73"/>
      <c r="EPR117" s="73"/>
      <c r="EPS117" s="73"/>
      <c r="EPT117" s="73"/>
      <c r="EPU117" s="73"/>
      <c r="EPV117" s="73"/>
      <c r="EPW117" s="73"/>
      <c r="EPX117" s="73"/>
      <c r="EPY117" s="73"/>
      <c r="EPZ117" s="73"/>
      <c r="EQA117" s="73"/>
      <c r="EQB117" s="73"/>
      <c r="EQC117" s="73"/>
      <c r="EQD117" s="73"/>
      <c r="EQE117" s="73"/>
      <c r="EQF117" s="73"/>
      <c r="EQG117" s="73"/>
      <c r="EQH117" s="73"/>
      <c r="EQI117" s="73"/>
      <c r="EQJ117" s="73"/>
      <c r="EQK117" s="73"/>
      <c r="EQL117" s="73"/>
      <c r="EQM117" s="73"/>
      <c r="EQN117" s="73"/>
      <c r="EQO117" s="73"/>
      <c r="EQP117" s="73"/>
      <c r="EQQ117" s="73"/>
      <c r="EQR117" s="73"/>
      <c r="EQS117" s="73"/>
      <c r="EQT117" s="73"/>
      <c r="EQU117" s="73"/>
      <c r="EQV117" s="73"/>
      <c r="EQW117" s="73"/>
      <c r="EQX117" s="73"/>
      <c r="EQY117" s="73"/>
      <c r="EQZ117" s="73"/>
      <c r="ERA117" s="73"/>
      <c r="ERB117" s="73"/>
      <c r="ERC117" s="73"/>
      <c r="ERD117" s="73"/>
      <c r="ERE117" s="73"/>
      <c r="ERF117" s="73"/>
      <c r="ERG117" s="73"/>
      <c r="ERH117" s="73"/>
      <c r="ERI117" s="73"/>
      <c r="ERJ117" s="73"/>
      <c r="ERK117" s="73"/>
      <c r="ERL117" s="73"/>
      <c r="ERM117" s="73"/>
      <c r="ERN117" s="73"/>
      <c r="ERO117" s="73"/>
      <c r="ERP117" s="73"/>
      <c r="ERQ117" s="73"/>
      <c r="ERR117" s="73"/>
      <c r="ERS117" s="73"/>
      <c r="ERT117" s="73"/>
      <c r="ERU117" s="73"/>
      <c r="ERV117" s="73"/>
      <c r="ERW117" s="73"/>
      <c r="ERX117" s="73"/>
      <c r="ERY117" s="73"/>
      <c r="ERZ117" s="73"/>
      <c r="ESA117" s="73"/>
      <c r="ESB117" s="73"/>
      <c r="ESC117" s="73"/>
      <c r="ESD117" s="73"/>
      <c r="ESE117" s="73"/>
      <c r="ESF117" s="73"/>
      <c r="ESG117" s="73"/>
      <c r="ESH117" s="73"/>
      <c r="ESI117" s="73"/>
      <c r="ESJ117" s="73"/>
      <c r="ESK117" s="73"/>
      <c r="ESL117" s="73"/>
      <c r="ESM117" s="73"/>
      <c r="ESN117" s="73"/>
      <c r="ESO117" s="73"/>
      <c r="ESP117" s="73"/>
      <c r="ESQ117" s="73"/>
      <c r="ESR117" s="73"/>
      <c r="ESS117" s="73"/>
      <c r="EST117" s="73"/>
      <c r="ESU117" s="73"/>
      <c r="ESV117" s="73"/>
      <c r="ESW117" s="73"/>
      <c r="ESX117" s="73"/>
      <c r="ESY117" s="73"/>
      <c r="ESZ117" s="73"/>
      <c r="ETA117" s="73"/>
      <c r="ETB117" s="73"/>
      <c r="ETC117" s="73"/>
      <c r="ETD117" s="73"/>
      <c r="ETE117" s="73"/>
      <c r="ETF117" s="73"/>
      <c r="ETG117" s="73"/>
      <c r="ETH117" s="73"/>
      <c r="ETI117" s="73"/>
      <c r="ETJ117" s="73"/>
      <c r="ETK117" s="73"/>
      <c r="ETL117" s="73"/>
      <c r="ETM117" s="73"/>
      <c r="ETN117" s="73"/>
      <c r="ETO117" s="73"/>
      <c r="ETP117" s="73"/>
      <c r="ETQ117" s="73"/>
      <c r="ETR117" s="73"/>
      <c r="ETS117" s="73"/>
      <c r="ETT117" s="73"/>
      <c r="ETU117" s="73"/>
      <c r="ETV117" s="73"/>
      <c r="ETW117" s="73"/>
      <c r="ETX117" s="73"/>
      <c r="ETY117" s="73"/>
      <c r="ETZ117" s="73"/>
      <c r="EUA117" s="73"/>
      <c r="EUB117" s="73"/>
      <c r="EUC117" s="73"/>
      <c r="EUD117" s="73"/>
      <c r="EUE117" s="73"/>
      <c r="EUF117" s="73"/>
      <c r="EUG117" s="73"/>
      <c r="EUH117" s="73"/>
      <c r="EUI117" s="73"/>
      <c r="EUJ117" s="73"/>
      <c r="EUK117" s="73"/>
      <c r="EUL117" s="73"/>
      <c r="EUM117" s="73"/>
      <c r="EUN117" s="73"/>
      <c r="EUO117" s="73"/>
      <c r="EUP117" s="73"/>
      <c r="EUQ117" s="73"/>
      <c r="EUR117" s="73"/>
      <c r="EUS117" s="73"/>
      <c r="EUT117" s="73"/>
      <c r="EUU117" s="73"/>
      <c r="EUV117" s="73"/>
      <c r="EUW117" s="73"/>
      <c r="EUX117" s="73"/>
      <c r="EUY117" s="73"/>
      <c r="EUZ117" s="73"/>
      <c r="EVA117" s="73"/>
      <c r="EVB117" s="73"/>
      <c r="EVC117" s="73"/>
      <c r="EVD117" s="73"/>
      <c r="EVE117" s="73"/>
      <c r="EVF117" s="73"/>
      <c r="EVG117" s="73"/>
      <c r="EVH117" s="73"/>
      <c r="EVI117" s="73"/>
      <c r="EVJ117" s="73"/>
      <c r="EVK117" s="73"/>
      <c r="EVL117" s="73"/>
      <c r="EVM117" s="73"/>
      <c r="EVN117" s="73"/>
      <c r="EVO117" s="73"/>
      <c r="EVP117" s="73"/>
      <c r="EVQ117" s="73"/>
      <c r="EVR117" s="73"/>
      <c r="EVS117" s="73"/>
      <c r="EVT117" s="73"/>
      <c r="EVU117" s="73"/>
      <c r="EVV117" s="73"/>
      <c r="EVW117" s="73"/>
      <c r="EVX117" s="73"/>
      <c r="EVY117" s="73"/>
      <c r="EVZ117" s="73"/>
      <c r="EWA117" s="73"/>
      <c r="EWB117" s="73"/>
      <c r="EWC117" s="73"/>
      <c r="EWD117" s="73"/>
      <c r="EWE117" s="73"/>
      <c r="EWF117" s="73"/>
      <c r="EWG117" s="73"/>
      <c r="EWH117" s="73"/>
      <c r="EWI117" s="73"/>
      <c r="EWJ117" s="73"/>
      <c r="EWK117" s="73"/>
      <c r="EWL117" s="73"/>
      <c r="EWM117" s="73"/>
      <c r="EWN117" s="73"/>
      <c r="EWO117" s="73"/>
      <c r="EWP117" s="73"/>
      <c r="EWQ117" s="73"/>
      <c r="EWR117" s="73"/>
      <c r="EWS117" s="73"/>
      <c r="EWT117" s="73"/>
      <c r="EWU117" s="73"/>
      <c r="EWV117" s="73"/>
      <c r="EWW117" s="73"/>
      <c r="EWX117" s="73"/>
      <c r="EWY117" s="73"/>
      <c r="EWZ117" s="73"/>
      <c r="EXA117" s="73"/>
      <c r="EXB117" s="73"/>
      <c r="EXC117" s="73"/>
      <c r="EXD117" s="73"/>
      <c r="EXE117" s="73"/>
      <c r="EXF117" s="73"/>
      <c r="EXG117" s="73"/>
      <c r="EXH117" s="73"/>
      <c r="EXI117" s="73"/>
      <c r="EXJ117" s="73"/>
      <c r="EXK117" s="73"/>
      <c r="EXL117" s="73"/>
      <c r="EXM117" s="73"/>
      <c r="EXN117" s="73"/>
      <c r="EXO117" s="73"/>
      <c r="EXP117" s="73"/>
      <c r="EXQ117" s="73"/>
      <c r="EXR117" s="73"/>
      <c r="EXS117" s="73"/>
      <c r="EXT117" s="73"/>
      <c r="EXU117" s="73"/>
      <c r="EXV117" s="73"/>
      <c r="EXW117" s="73"/>
      <c r="EXX117" s="73"/>
      <c r="EXY117" s="73"/>
      <c r="EXZ117" s="73"/>
      <c r="EYA117" s="73"/>
      <c r="EYB117" s="73"/>
      <c r="EYC117" s="73"/>
      <c r="EYD117" s="73"/>
      <c r="EYE117" s="73"/>
      <c r="EYF117" s="73"/>
      <c r="EYG117" s="73"/>
      <c r="EYH117" s="73"/>
      <c r="EYI117" s="73"/>
      <c r="EYJ117" s="73"/>
      <c r="EYK117" s="73"/>
      <c r="EYL117" s="73"/>
      <c r="EYM117" s="73"/>
      <c r="EYN117" s="73"/>
      <c r="EYO117" s="73"/>
      <c r="EYP117" s="73"/>
      <c r="EYQ117" s="73"/>
      <c r="EYR117" s="73"/>
      <c r="EYS117" s="73"/>
      <c r="EYT117" s="73"/>
      <c r="EYU117" s="73"/>
      <c r="EYV117" s="73"/>
      <c r="EYW117" s="73"/>
      <c r="EYX117" s="73"/>
      <c r="EYY117" s="73"/>
      <c r="EYZ117" s="73"/>
      <c r="EZA117" s="73"/>
      <c r="EZB117" s="73"/>
      <c r="EZC117" s="73"/>
      <c r="EZD117" s="73"/>
      <c r="EZE117" s="73"/>
      <c r="EZF117" s="73"/>
      <c r="EZG117" s="73"/>
      <c r="EZH117" s="73"/>
      <c r="EZI117" s="73"/>
      <c r="EZJ117" s="73"/>
      <c r="EZK117" s="73"/>
      <c r="EZL117" s="73"/>
      <c r="EZM117" s="73"/>
      <c r="EZN117" s="73"/>
      <c r="EZO117" s="73"/>
      <c r="EZP117" s="73"/>
      <c r="EZQ117" s="73"/>
      <c r="EZR117" s="73"/>
      <c r="EZS117" s="73"/>
      <c r="EZT117" s="73"/>
      <c r="EZU117" s="73"/>
      <c r="EZV117" s="73"/>
      <c r="EZW117" s="73"/>
      <c r="EZX117" s="73"/>
      <c r="EZY117" s="73"/>
      <c r="EZZ117" s="73"/>
      <c r="FAA117" s="73"/>
      <c r="FAB117" s="73"/>
      <c r="FAC117" s="73"/>
      <c r="FAD117" s="73"/>
      <c r="FAE117" s="73"/>
      <c r="FAF117" s="73"/>
      <c r="FAG117" s="73"/>
      <c r="FAH117" s="73"/>
      <c r="FAI117" s="73"/>
      <c r="FAJ117" s="73"/>
      <c r="FAK117" s="73"/>
      <c r="FAL117" s="73"/>
      <c r="FAM117" s="73"/>
      <c r="FAN117" s="73"/>
      <c r="FAO117" s="73"/>
      <c r="FAP117" s="73"/>
      <c r="FAQ117" s="73"/>
      <c r="FAR117" s="73"/>
      <c r="FAS117" s="73"/>
      <c r="FAT117" s="73"/>
      <c r="FAU117" s="73"/>
      <c r="FAV117" s="73"/>
      <c r="FAW117" s="73"/>
      <c r="FAX117" s="73"/>
      <c r="FAY117" s="73"/>
      <c r="FAZ117" s="73"/>
      <c r="FBA117" s="73"/>
      <c r="FBB117" s="73"/>
      <c r="FBC117" s="73"/>
      <c r="FBD117" s="73"/>
      <c r="FBE117" s="73"/>
      <c r="FBF117" s="73"/>
      <c r="FBG117" s="73"/>
      <c r="FBH117" s="73"/>
      <c r="FBI117" s="73"/>
      <c r="FBJ117" s="73"/>
      <c r="FBK117" s="73"/>
      <c r="FBL117" s="73"/>
      <c r="FBM117" s="73"/>
      <c r="FBN117" s="73"/>
      <c r="FBO117" s="73"/>
      <c r="FBP117" s="73"/>
      <c r="FBQ117" s="73"/>
      <c r="FBR117" s="73"/>
      <c r="FBS117" s="73"/>
      <c r="FBT117" s="73"/>
      <c r="FBU117" s="73"/>
      <c r="FBV117" s="73"/>
      <c r="FBW117" s="73"/>
      <c r="FBX117" s="73"/>
      <c r="FBY117" s="73"/>
      <c r="FBZ117" s="73"/>
      <c r="FCA117" s="73"/>
      <c r="FCB117" s="73"/>
      <c r="FCC117" s="73"/>
      <c r="FCD117" s="73"/>
      <c r="FCE117" s="73"/>
      <c r="FCF117" s="73"/>
      <c r="FCG117" s="73"/>
      <c r="FCH117" s="73"/>
      <c r="FCI117" s="73"/>
      <c r="FCJ117" s="73"/>
      <c r="FCK117" s="73"/>
      <c r="FCL117" s="73"/>
      <c r="FCM117" s="73"/>
      <c r="FCN117" s="73"/>
      <c r="FCO117" s="73"/>
      <c r="FCP117" s="73"/>
      <c r="FCQ117" s="73"/>
      <c r="FCR117" s="73"/>
      <c r="FCS117" s="73"/>
      <c r="FCT117" s="73"/>
      <c r="FCU117" s="73"/>
      <c r="FCV117" s="73"/>
      <c r="FCW117" s="73"/>
      <c r="FCX117" s="73"/>
      <c r="FCY117" s="73"/>
      <c r="FCZ117" s="73"/>
      <c r="FDA117" s="73"/>
      <c r="FDB117" s="73"/>
      <c r="FDC117" s="73"/>
      <c r="FDD117" s="73"/>
      <c r="FDE117" s="73"/>
      <c r="FDF117" s="73"/>
      <c r="FDG117" s="73"/>
      <c r="FDH117" s="73"/>
      <c r="FDI117" s="73"/>
      <c r="FDJ117" s="73"/>
      <c r="FDK117" s="73"/>
      <c r="FDL117" s="73"/>
      <c r="FDM117" s="73"/>
      <c r="FDN117" s="73"/>
      <c r="FDO117" s="73"/>
      <c r="FDP117" s="73"/>
      <c r="FDQ117" s="73"/>
      <c r="FDR117" s="73"/>
      <c r="FDS117" s="73"/>
      <c r="FDT117" s="73"/>
      <c r="FDU117" s="73"/>
      <c r="FDV117" s="73"/>
      <c r="FDW117" s="73"/>
      <c r="FDX117" s="73"/>
      <c r="FDY117" s="73"/>
      <c r="FDZ117" s="73"/>
      <c r="FEA117" s="73"/>
      <c r="FEB117" s="73"/>
      <c r="FEC117" s="73"/>
      <c r="FED117" s="73"/>
      <c r="FEE117" s="73"/>
      <c r="FEF117" s="73"/>
      <c r="FEG117" s="73"/>
      <c r="FEH117" s="73"/>
      <c r="FEI117" s="73"/>
      <c r="FEJ117" s="73"/>
      <c r="FEK117" s="73"/>
      <c r="FEL117" s="73"/>
      <c r="FEM117" s="73"/>
      <c r="FEN117" s="73"/>
      <c r="FEO117" s="73"/>
      <c r="FEP117" s="73"/>
      <c r="FEQ117" s="73"/>
      <c r="FER117" s="73"/>
      <c r="FES117" s="73"/>
      <c r="FET117" s="73"/>
      <c r="FEU117" s="73"/>
      <c r="FEV117" s="73"/>
      <c r="FEW117" s="73"/>
      <c r="FEX117" s="73"/>
      <c r="FEY117" s="73"/>
      <c r="FEZ117" s="73"/>
      <c r="FFA117" s="73"/>
      <c r="FFB117" s="73"/>
      <c r="FFC117" s="73"/>
      <c r="FFD117" s="73"/>
      <c r="FFE117" s="73"/>
      <c r="FFF117" s="73"/>
      <c r="FFG117" s="73"/>
      <c r="FFH117" s="73"/>
      <c r="FFI117" s="73"/>
      <c r="FFJ117" s="73"/>
      <c r="FFK117" s="73"/>
      <c r="FFL117" s="73"/>
      <c r="FFM117" s="73"/>
      <c r="FFN117" s="73"/>
      <c r="FFO117" s="73"/>
      <c r="FFP117" s="73"/>
      <c r="FFQ117" s="73"/>
      <c r="FFR117" s="73"/>
      <c r="FFS117" s="73"/>
      <c r="FFT117" s="73"/>
      <c r="FFU117" s="73"/>
      <c r="FFV117" s="73"/>
      <c r="FFW117" s="73"/>
      <c r="FFX117" s="73"/>
      <c r="FFY117" s="73"/>
      <c r="FFZ117" s="73"/>
      <c r="FGA117" s="73"/>
      <c r="FGB117" s="73"/>
      <c r="FGC117" s="73"/>
      <c r="FGD117" s="73"/>
      <c r="FGE117" s="73"/>
      <c r="FGF117" s="73"/>
      <c r="FGG117" s="73"/>
      <c r="FGH117" s="73"/>
      <c r="FGI117" s="73"/>
      <c r="FGJ117" s="73"/>
      <c r="FGK117" s="73"/>
      <c r="FGL117" s="73"/>
      <c r="FGM117" s="73"/>
      <c r="FGN117" s="73"/>
      <c r="FGO117" s="73"/>
      <c r="FGP117" s="73"/>
      <c r="FGQ117" s="73"/>
      <c r="FGR117" s="73"/>
      <c r="FGS117" s="73"/>
      <c r="FGT117" s="73"/>
      <c r="FGU117" s="73"/>
      <c r="FGV117" s="73"/>
      <c r="FGW117" s="73"/>
      <c r="FGX117" s="73"/>
      <c r="FGY117" s="73"/>
      <c r="FGZ117" s="73"/>
      <c r="FHA117" s="73"/>
      <c r="FHB117" s="73"/>
      <c r="FHC117" s="73"/>
      <c r="FHD117" s="73"/>
      <c r="FHE117" s="73"/>
      <c r="FHF117" s="73"/>
      <c r="FHG117" s="73"/>
      <c r="FHH117" s="73"/>
      <c r="FHI117" s="73"/>
      <c r="FHJ117" s="73"/>
      <c r="FHK117" s="73"/>
      <c r="FHL117" s="73"/>
      <c r="FHM117" s="73"/>
      <c r="FHN117" s="73"/>
      <c r="FHO117" s="73"/>
      <c r="FHP117" s="73"/>
      <c r="FHQ117" s="73"/>
      <c r="FHR117" s="73"/>
      <c r="FHS117" s="73"/>
      <c r="FHT117" s="73"/>
      <c r="FHU117" s="73"/>
      <c r="FHV117" s="73"/>
      <c r="FHW117" s="73"/>
      <c r="FHX117" s="73"/>
      <c r="FHY117" s="73"/>
      <c r="FHZ117" s="73"/>
      <c r="FIA117" s="73"/>
      <c r="FIB117" s="73"/>
      <c r="FIC117" s="73"/>
      <c r="FID117" s="73"/>
      <c r="FIE117" s="73"/>
      <c r="FIF117" s="73"/>
      <c r="FIG117" s="73"/>
      <c r="FIH117" s="73"/>
      <c r="FII117" s="73"/>
      <c r="FIJ117" s="73"/>
      <c r="FIK117" s="73"/>
      <c r="FIL117" s="73"/>
      <c r="FIM117" s="73"/>
      <c r="FIN117" s="73"/>
      <c r="FIO117" s="73"/>
      <c r="FIP117" s="73"/>
      <c r="FIQ117" s="73"/>
      <c r="FIR117" s="73"/>
      <c r="FIS117" s="73"/>
      <c r="FIT117" s="73"/>
      <c r="FIU117" s="73"/>
      <c r="FIV117" s="73"/>
      <c r="FIW117" s="73"/>
      <c r="FIX117" s="73"/>
      <c r="FIY117" s="73"/>
      <c r="FIZ117" s="73"/>
      <c r="FJA117" s="73"/>
      <c r="FJB117" s="73"/>
      <c r="FJC117" s="73"/>
      <c r="FJD117" s="73"/>
      <c r="FJE117" s="73"/>
      <c r="FJF117" s="73"/>
      <c r="FJG117" s="73"/>
      <c r="FJH117" s="73"/>
      <c r="FJI117" s="73"/>
      <c r="FJJ117" s="73"/>
      <c r="FJK117" s="73"/>
      <c r="FJL117" s="73"/>
      <c r="FJM117" s="73"/>
      <c r="FJN117" s="73"/>
      <c r="FJO117" s="73"/>
      <c r="FJP117" s="73"/>
      <c r="FJQ117" s="73"/>
      <c r="FJR117" s="73"/>
      <c r="FJS117" s="73"/>
      <c r="FJT117" s="73"/>
      <c r="FJU117" s="73"/>
      <c r="FJV117" s="73"/>
      <c r="FJW117" s="73"/>
      <c r="FJX117" s="73"/>
      <c r="FJY117" s="73"/>
      <c r="FJZ117" s="73"/>
      <c r="FKA117" s="73"/>
      <c r="FKB117" s="73"/>
      <c r="FKC117" s="73"/>
      <c r="FKD117" s="73"/>
      <c r="FKE117" s="73"/>
      <c r="FKF117" s="73"/>
      <c r="FKG117" s="73"/>
      <c r="FKH117" s="73"/>
      <c r="FKI117" s="73"/>
      <c r="FKJ117" s="73"/>
      <c r="FKK117" s="73"/>
      <c r="FKL117" s="73"/>
      <c r="FKM117" s="73"/>
      <c r="FKN117" s="73"/>
      <c r="FKO117" s="73"/>
      <c r="FKP117" s="73"/>
      <c r="FKQ117" s="73"/>
      <c r="FKR117" s="73"/>
      <c r="FKS117" s="73"/>
      <c r="FKT117" s="73"/>
      <c r="FKU117" s="73"/>
      <c r="FKV117" s="73"/>
      <c r="FKW117" s="73"/>
      <c r="FKX117" s="73"/>
      <c r="FKY117" s="73"/>
      <c r="FKZ117" s="73"/>
      <c r="FLA117" s="73"/>
      <c r="FLB117" s="73"/>
      <c r="FLC117" s="73"/>
      <c r="FLD117" s="73"/>
      <c r="FLE117" s="73"/>
      <c r="FLF117" s="73"/>
      <c r="FLG117" s="73"/>
      <c r="FLH117" s="73"/>
      <c r="FLI117" s="73"/>
      <c r="FLJ117" s="73"/>
      <c r="FLK117" s="73"/>
      <c r="FLL117" s="73"/>
      <c r="FLM117" s="73"/>
      <c r="FLN117" s="73"/>
      <c r="FLO117" s="73"/>
      <c r="FLP117" s="73"/>
      <c r="FLQ117" s="73"/>
      <c r="FLR117" s="73"/>
      <c r="FLS117" s="73"/>
      <c r="FLT117" s="73"/>
      <c r="FLU117" s="73"/>
      <c r="FLV117" s="73"/>
      <c r="FLW117" s="73"/>
      <c r="FLX117" s="73"/>
      <c r="FLY117" s="73"/>
      <c r="FLZ117" s="73"/>
      <c r="FMA117" s="73"/>
      <c r="FMB117" s="73"/>
      <c r="FMC117" s="73"/>
      <c r="FMD117" s="73"/>
      <c r="FME117" s="73"/>
      <c r="FMF117" s="73"/>
      <c r="FMG117" s="73"/>
      <c r="FMH117" s="73"/>
      <c r="FMI117" s="73"/>
      <c r="FMJ117" s="73"/>
      <c r="FMK117" s="73"/>
      <c r="FML117" s="73"/>
      <c r="FMM117" s="73"/>
      <c r="FMN117" s="73"/>
      <c r="FMO117" s="73"/>
      <c r="FMP117" s="73"/>
      <c r="FMQ117" s="73"/>
      <c r="FMR117" s="73"/>
      <c r="FMS117" s="73"/>
      <c r="FMT117" s="73"/>
      <c r="FMU117" s="73"/>
      <c r="FMV117" s="73"/>
      <c r="FMW117" s="73"/>
      <c r="FMX117" s="73"/>
      <c r="FMY117" s="73"/>
      <c r="FMZ117" s="73"/>
      <c r="FNA117" s="73"/>
      <c r="FNB117" s="73"/>
      <c r="FNC117" s="73"/>
      <c r="FND117" s="73"/>
      <c r="FNE117" s="73"/>
      <c r="FNF117" s="73"/>
      <c r="FNG117" s="73"/>
      <c r="FNH117" s="73"/>
      <c r="FNI117" s="73"/>
      <c r="FNJ117" s="73"/>
      <c r="FNK117" s="73"/>
      <c r="FNL117" s="73"/>
      <c r="FNM117" s="73"/>
      <c r="FNN117" s="73"/>
      <c r="FNO117" s="73"/>
      <c r="FNP117" s="73"/>
      <c r="FNQ117" s="73"/>
      <c r="FNR117" s="73"/>
      <c r="FNS117" s="73"/>
      <c r="FNT117" s="73"/>
      <c r="FNU117" s="73"/>
      <c r="FNV117" s="73"/>
      <c r="FNW117" s="73"/>
      <c r="FNX117" s="73"/>
      <c r="FNY117" s="73"/>
      <c r="FNZ117" s="73"/>
      <c r="FOA117" s="73"/>
      <c r="FOB117" s="73"/>
      <c r="FOC117" s="73"/>
      <c r="FOD117" s="73"/>
      <c r="FOE117" s="73"/>
      <c r="FOF117" s="73"/>
      <c r="FOG117" s="73"/>
      <c r="FOH117" s="73"/>
      <c r="FOI117" s="73"/>
      <c r="FOJ117" s="73"/>
      <c r="FOK117" s="73"/>
      <c r="FOL117" s="73"/>
      <c r="FOM117" s="73"/>
      <c r="FON117" s="73"/>
      <c r="FOO117" s="73"/>
      <c r="FOP117" s="73"/>
      <c r="FOQ117" s="73"/>
      <c r="FOR117" s="73"/>
      <c r="FOS117" s="73"/>
      <c r="FOT117" s="73"/>
      <c r="FOU117" s="73"/>
      <c r="FOV117" s="73"/>
      <c r="FOW117" s="73"/>
      <c r="FOX117" s="73"/>
      <c r="FOY117" s="73"/>
      <c r="FOZ117" s="73"/>
      <c r="FPA117" s="73"/>
      <c r="FPB117" s="73"/>
      <c r="FPC117" s="73"/>
      <c r="FPD117" s="73"/>
      <c r="FPE117" s="73"/>
      <c r="FPF117" s="73"/>
      <c r="FPG117" s="73"/>
      <c r="FPH117" s="73"/>
      <c r="FPI117" s="73"/>
      <c r="FPJ117" s="73"/>
      <c r="FPK117" s="73"/>
      <c r="FPL117" s="73"/>
      <c r="FPM117" s="73"/>
      <c r="FPN117" s="73"/>
      <c r="FPO117" s="73"/>
      <c r="FPP117" s="73"/>
      <c r="FPQ117" s="73"/>
      <c r="FPR117" s="73"/>
      <c r="FPS117" s="73"/>
      <c r="FPT117" s="73"/>
      <c r="FPU117" s="73"/>
      <c r="FPV117" s="73"/>
      <c r="FPW117" s="73"/>
      <c r="FPX117" s="73"/>
      <c r="FPY117" s="73"/>
      <c r="FPZ117" s="73"/>
      <c r="FQA117" s="73"/>
      <c r="FQB117" s="73"/>
      <c r="FQC117" s="73"/>
      <c r="FQD117" s="73"/>
      <c r="FQE117" s="73"/>
      <c r="FQF117" s="73"/>
      <c r="FQG117" s="73"/>
      <c r="FQH117" s="73"/>
      <c r="FQI117" s="73"/>
      <c r="FQJ117" s="73"/>
      <c r="FQK117" s="73"/>
      <c r="FQL117" s="73"/>
      <c r="FQM117" s="73"/>
      <c r="FQN117" s="73"/>
      <c r="FQO117" s="73"/>
      <c r="FQP117" s="73"/>
      <c r="FQQ117" s="73"/>
      <c r="FQR117" s="73"/>
      <c r="FQS117" s="73"/>
      <c r="FQT117" s="73"/>
      <c r="FQU117" s="73"/>
      <c r="FQV117" s="73"/>
      <c r="FQW117" s="73"/>
      <c r="FQX117" s="73"/>
      <c r="FQY117" s="73"/>
      <c r="FQZ117" s="73"/>
      <c r="FRA117" s="73"/>
      <c r="FRB117" s="73"/>
      <c r="FRC117" s="73"/>
      <c r="FRD117" s="73"/>
      <c r="FRE117" s="73"/>
      <c r="FRF117" s="73"/>
      <c r="FRG117" s="73"/>
      <c r="FRH117" s="73"/>
      <c r="FRI117" s="73"/>
      <c r="FRJ117" s="73"/>
      <c r="FRK117" s="73"/>
      <c r="FRL117" s="73"/>
      <c r="FRM117" s="73"/>
      <c r="FRN117" s="73"/>
      <c r="FRO117" s="73"/>
      <c r="FRP117" s="73"/>
      <c r="FRQ117" s="73"/>
      <c r="FRR117" s="73"/>
      <c r="FRS117" s="73"/>
      <c r="FRT117" s="73"/>
      <c r="FRU117" s="73"/>
      <c r="FRV117" s="73"/>
      <c r="FRW117" s="73"/>
      <c r="FRX117" s="73"/>
      <c r="FRY117" s="73"/>
      <c r="FRZ117" s="73"/>
      <c r="FSA117" s="73"/>
      <c r="FSB117" s="73"/>
      <c r="FSC117" s="73"/>
      <c r="FSD117" s="73"/>
      <c r="FSE117" s="73"/>
      <c r="FSF117" s="73"/>
      <c r="FSG117" s="73"/>
      <c r="FSH117" s="73"/>
      <c r="FSI117" s="73"/>
      <c r="FSJ117" s="73"/>
      <c r="FSK117" s="73"/>
      <c r="FSL117" s="73"/>
      <c r="FSM117" s="73"/>
      <c r="FSN117" s="73"/>
      <c r="FSO117" s="73"/>
      <c r="FSP117" s="73"/>
      <c r="FSQ117" s="73"/>
      <c r="FSR117" s="73"/>
      <c r="FSS117" s="73"/>
      <c r="FST117" s="73"/>
      <c r="FSU117" s="73"/>
      <c r="FSV117" s="73"/>
      <c r="FSW117" s="73"/>
      <c r="FSX117" s="73"/>
      <c r="FSY117" s="73"/>
      <c r="FSZ117" s="73"/>
      <c r="FTA117" s="73"/>
      <c r="FTB117" s="73"/>
      <c r="FTC117" s="73"/>
      <c r="FTD117" s="73"/>
      <c r="FTE117" s="73"/>
      <c r="FTF117" s="73"/>
      <c r="FTG117" s="73"/>
      <c r="FTH117" s="73"/>
      <c r="FTI117" s="73"/>
      <c r="FTJ117" s="73"/>
      <c r="FTK117" s="73"/>
      <c r="FTL117" s="73"/>
      <c r="FTM117" s="73"/>
      <c r="FTN117" s="73"/>
      <c r="FTO117" s="73"/>
      <c r="FTP117" s="73"/>
      <c r="FTQ117" s="73"/>
      <c r="FTR117" s="73"/>
      <c r="FTS117" s="73"/>
      <c r="FTT117" s="73"/>
      <c r="FTU117" s="73"/>
      <c r="FTV117" s="73"/>
      <c r="FTW117" s="73"/>
      <c r="FTX117" s="73"/>
      <c r="FTY117" s="73"/>
      <c r="FTZ117" s="73"/>
      <c r="FUA117" s="73"/>
      <c r="FUB117" s="73"/>
      <c r="FUC117" s="73"/>
      <c r="FUD117" s="73"/>
      <c r="FUE117" s="73"/>
      <c r="FUF117" s="73"/>
      <c r="FUG117" s="73"/>
      <c r="FUH117" s="73"/>
      <c r="FUI117" s="73"/>
      <c r="FUJ117" s="73"/>
      <c r="FUK117" s="73"/>
      <c r="FUL117" s="73"/>
      <c r="FUM117" s="73"/>
      <c r="FUN117" s="73"/>
      <c r="FUO117" s="73"/>
      <c r="FUP117" s="73"/>
      <c r="FUQ117" s="73"/>
      <c r="FUR117" s="73"/>
      <c r="FUS117" s="73"/>
      <c r="FUT117" s="73"/>
      <c r="FUU117" s="73"/>
      <c r="FUV117" s="73"/>
      <c r="FUW117" s="73"/>
      <c r="FUX117" s="73"/>
      <c r="FUY117" s="73"/>
      <c r="FUZ117" s="73"/>
      <c r="FVA117" s="73"/>
      <c r="FVB117" s="73"/>
      <c r="FVC117" s="73"/>
      <c r="FVD117" s="73"/>
      <c r="FVE117" s="73"/>
      <c r="FVF117" s="73"/>
      <c r="FVG117" s="73"/>
      <c r="FVH117" s="73"/>
      <c r="FVI117" s="73"/>
      <c r="FVJ117" s="73"/>
      <c r="FVK117" s="73"/>
      <c r="FVL117" s="73"/>
      <c r="FVM117" s="73"/>
      <c r="FVN117" s="73"/>
      <c r="FVO117" s="73"/>
      <c r="FVP117" s="73"/>
      <c r="FVQ117" s="73"/>
      <c r="FVR117" s="73"/>
      <c r="FVS117" s="73"/>
      <c r="FVT117" s="73"/>
      <c r="FVU117" s="73"/>
      <c r="FVV117" s="73"/>
      <c r="FVW117" s="73"/>
      <c r="FVX117" s="73"/>
      <c r="FVY117" s="73"/>
      <c r="FVZ117" s="73"/>
      <c r="FWA117" s="73"/>
      <c r="FWB117" s="73"/>
      <c r="FWC117" s="73"/>
      <c r="FWD117" s="73"/>
      <c r="FWE117" s="73"/>
      <c r="FWF117" s="73"/>
      <c r="FWG117" s="73"/>
      <c r="FWH117" s="73"/>
      <c r="FWI117" s="73"/>
      <c r="FWJ117" s="73"/>
      <c r="FWK117" s="73"/>
      <c r="FWL117" s="73"/>
      <c r="FWM117" s="73"/>
      <c r="FWN117" s="73"/>
      <c r="FWO117" s="73"/>
      <c r="FWP117" s="73"/>
      <c r="FWQ117" s="73"/>
      <c r="FWR117" s="73"/>
      <c r="FWS117" s="73"/>
      <c r="FWT117" s="73"/>
      <c r="FWU117" s="73"/>
      <c r="FWV117" s="73"/>
      <c r="FWW117" s="73"/>
      <c r="FWX117" s="73"/>
      <c r="FWY117" s="73"/>
      <c r="FWZ117" s="73"/>
      <c r="FXA117" s="73"/>
      <c r="FXB117" s="73"/>
      <c r="FXC117" s="73"/>
      <c r="FXD117" s="73"/>
      <c r="FXE117" s="73"/>
      <c r="FXF117" s="73"/>
      <c r="FXG117" s="73"/>
      <c r="FXH117" s="73"/>
      <c r="FXI117" s="73"/>
      <c r="FXJ117" s="73"/>
      <c r="FXK117" s="73"/>
      <c r="FXL117" s="73"/>
      <c r="FXM117" s="73"/>
      <c r="FXN117" s="73"/>
      <c r="FXO117" s="73"/>
      <c r="FXP117" s="73"/>
      <c r="FXQ117" s="73"/>
      <c r="FXR117" s="73"/>
      <c r="FXS117" s="73"/>
      <c r="FXT117" s="73"/>
      <c r="FXU117" s="73"/>
      <c r="FXV117" s="73"/>
      <c r="FXW117" s="73"/>
      <c r="FXX117" s="73"/>
      <c r="FXY117" s="73"/>
      <c r="FXZ117" s="73"/>
      <c r="FYA117" s="73"/>
      <c r="FYB117" s="73"/>
      <c r="FYC117" s="73"/>
      <c r="FYD117" s="73"/>
      <c r="FYE117" s="73"/>
      <c r="FYF117" s="73"/>
      <c r="FYG117" s="73"/>
      <c r="FYH117" s="73"/>
      <c r="FYI117" s="73"/>
      <c r="FYJ117" s="73"/>
      <c r="FYK117" s="73"/>
      <c r="FYL117" s="73"/>
      <c r="FYM117" s="73"/>
      <c r="FYN117" s="73"/>
      <c r="FYO117" s="73"/>
      <c r="FYP117" s="73"/>
      <c r="FYQ117" s="73"/>
      <c r="FYR117" s="73"/>
      <c r="FYS117" s="73"/>
      <c r="FYT117" s="73"/>
      <c r="FYU117" s="73"/>
      <c r="FYV117" s="73"/>
      <c r="FYW117" s="73"/>
      <c r="FYX117" s="73"/>
      <c r="FYY117" s="73"/>
      <c r="FYZ117" s="73"/>
      <c r="FZA117" s="73"/>
      <c r="FZB117" s="73"/>
      <c r="FZC117" s="73"/>
      <c r="FZD117" s="73"/>
      <c r="FZE117" s="73"/>
      <c r="FZF117" s="73"/>
      <c r="FZG117" s="73"/>
      <c r="FZH117" s="73"/>
      <c r="FZI117" s="73"/>
      <c r="FZJ117" s="73"/>
      <c r="FZK117" s="73"/>
      <c r="FZL117" s="73"/>
      <c r="FZM117" s="73"/>
      <c r="FZN117" s="73"/>
      <c r="FZO117" s="73"/>
      <c r="FZP117" s="73"/>
      <c r="FZQ117" s="73"/>
      <c r="FZR117" s="73"/>
      <c r="FZS117" s="73"/>
      <c r="FZT117" s="73"/>
      <c r="FZU117" s="73"/>
      <c r="FZV117" s="73"/>
      <c r="FZW117" s="73"/>
      <c r="FZX117" s="73"/>
      <c r="FZY117" s="73"/>
      <c r="FZZ117" s="73"/>
      <c r="GAA117" s="73"/>
      <c r="GAB117" s="73"/>
      <c r="GAC117" s="73"/>
      <c r="GAD117" s="73"/>
      <c r="GAE117" s="73"/>
      <c r="GAF117" s="73"/>
      <c r="GAG117" s="73"/>
      <c r="GAH117" s="73"/>
      <c r="GAI117" s="73"/>
      <c r="GAJ117" s="73"/>
      <c r="GAK117" s="73"/>
      <c r="GAL117" s="73"/>
      <c r="GAM117" s="73"/>
      <c r="GAN117" s="73"/>
      <c r="GAO117" s="73"/>
      <c r="GAP117" s="73"/>
      <c r="GAQ117" s="73"/>
      <c r="GAR117" s="73"/>
      <c r="GAS117" s="73"/>
      <c r="GAT117" s="73"/>
      <c r="GAU117" s="73"/>
      <c r="GAV117" s="73"/>
      <c r="GAW117" s="73"/>
      <c r="GAX117" s="73"/>
      <c r="GAY117" s="73"/>
      <c r="GAZ117" s="73"/>
      <c r="GBA117" s="73"/>
      <c r="GBB117" s="73"/>
      <c r="GBC117" s="73"/>
      <c r="GBD117" s="73"/>
      <c r="GBE117" s="73"/>
      <c r="GBF117" s="73"/>
      <c r="GBG117" s="73"/>
      <c r="GBH117" s="73"/>
      <c r="GBI117" s="73"/>
      <c r="GBJ117" s="73"/>
      <c r="GBK117" s="73"/>
      <c r="GBL117" s="73"/>
      <c r="GBM117" s="73"/>
      <c r="GBN117" s="73"/>
      <c r="GBO117" s="73"/>
      <c r="GBP117" s="73"/>
      <c r="GBQ117" s="73"/>
      <c r="GBR117" s="73"/>
      <c r="GBS117" s="73"/>
      <c r="GBT117" s="73"/>
      <c r="GBU117" s="73"/>
      <c r="GBV117" s="73"/>
      <c r="GBW117" s="73"/>
      <c r="GBX117" s="73"/>
      <c r="GBY117" s="73"/>
      <c r="GBZ117" s="73"/>
      <c r="GCA117" s="73"/>
      <c r="GCB117" s="73"/>
      <c r="GCC117" s="73"/>
      <c r="GCD117" s="73"/>
      <c r="GCE117" s="73"/>
      <c r="GCF117" s="73"/>
      <c r="GCG117" s="73"/>
      <c r="GCH117" s="73"/>
      <c r="GCI117" s="73"/>
      <c r="GCJ117" s="73"/>
      <c r="GCK117" s="73"/>
      <c r="GCL117" s="73"/>
      <c r="GCM117" s="73"/>
      <c r="GCN117" s="73"/>
      <c r="GCO117" s="73"/>
      <c r="GCP117" s="73"/>
      <c r="GCQ117" s="73"/>
      <c r="GCR117" s="73"/>
      <c r="GCS117" s="73"/>
      <c r="GCT117" s="73"/>
      <c r="GCU117" s="73"/>
      <c r="GCV117" s="73"/>
      <c r="GCW117" s="73"/>
      <c r="GCX117" s="73"/>
      <c r="GCY117" s="73"/>
      <c r="GCZ117" s="73"/>
      <c r="GDA117" s="73"/>
      <c r="GDB117" s="73"/>
      <c r="GDC117" s="73"/>
      <c r="GDD117" s="73"/>
      <c r="GDE117" s="73"/>
      <c r="GDF117" s="73"/>
      <c r="GDG117" s="73"/>
      <c r="GDH117" s="73"/>
      <c r="GDI117" s="73"/>
      <c r="GDJ117" s="73"/>
      <c r="GDK117" s="73"/>
      <c r="GDL117" s="73"/>
      <c r="GDM117" s="73"/>
      <c r="GDN117" s="73"/>
      <c r="GDO117" s="73"/>
      <c r="GDP117" s="73"/>
      <c r="GDQ117" s="73"/>
      <c r="GDR117" s="73"/>
      <c r="GDS117" s="73"/>
      <c r="GDT117" s="73"/>
      <c r="GDU117" s="73"/>
      <c r="GDV117" s="73"/>
      <c r="GDW117" s="73"/>
      <c r="GDX117" s="73"/>
      <c r="GDY117" s="73"/>
      <c r="GDZ117" s="73"/>
      <c r="GEA117" s="73"/>
      <c r="GEB117" s="73"/>
      <c r="GEC117" s="73"/>
      <c r="GED117" s="73"/>
      <c r="GEE117" s="73"/>
      <c r="GEF117" s="73"/>
      <c r="GEG117" s="73"/>
      <c r="GEH117" s="73"/>
      <c r="GEI117" s="73"/>
      <c r="GEJ117" s="73"/>
      <c r="GEK117" s="73"/>
      <c r="GEL117" s="73"/>
      <c r="GEM117" s="73"/>
      <c r="GEN117" s="73"/>
      <c r="GEO117" s="73"/>
      <c r="GEP117" s="73"/>
      <c r="GEQ117" s="73"/>
      <c r="GER117" s="73"/>
      <c r="GES117" s="73"/>
      <c r="GET117" s="73"/>
      <c r="GEU117" s="73"/>
      <c r="GEV117" s="73"/>
      <c r="GEW117" s="73"/>
      <c r="GEX117" s="73"/>
      <c r="GEY117" s="73"/>
      <c r="GEZ117" s="73"/>
      <c r="GFA117" s="73"/>
      <c r="GFB117" s="73"/>
      <c r="GFC117" s="73"/>
      <c r="GFD117" s="73"/>
      <c r="GFE117" s="73"/>
      <c r="GFF117" s="73"/>
      <c r="GFG117" s="73"/>
      <c r="GFH117" s="73"/>
      <c r="GFI117" s="73"/>
      <c r="GFJ117" s="73"/>
      <c r="GFK117" s="73"/>
      <c r="GFL117" s="73"/>
      <c r="GFM117" s="73"/>
      <c r="GFN117" s="73"/>
      <c r="GFO117" s="73"/>
      <c r="GFP117" s="73"/>
      <c r="GFQ117" s="73"/>
      <c r="GFR117" s="73"/>
      <c r="GFS117" s="73"/>
      <c r="GFT117" s="73"/>
      <c r="GFU117" s="73"/>
      <c r="GFV117" s="73"/>
      <c r="GFW117" s="73"/>
      <c r="GFX117" s="73"/>
      <c r="GFY117" s="73"/>
      <c r="GFZ117" s="73"/>
      <c r="GGA117" s="73"/>
      <c r="GGB117" s="73"/>
      <c r="GGC117" s="73"/>
      <c r="GGD117" s="73"/>
      <c r="GGE117" s="73"/>
      <c r="GGF117" s="73"/>
      <c r="GGG117" s="73"/>
      <c r="GGH117" s="73"/>
      <c r="GGI117" s="73"/>
      <c r="GGJ117" s="73"/>
      <c r="GGK117" s="73"/>
      <c r="GGL117" s="73"/>
      <c r="GGM117" s="73"/>
      <c r="GGN117" s="73"/>
      <c r="GGO117" s="73"/>
      <c r="GGP117" s="73"/>
      <c r="GGQ117" s="73"/>
      <c r="GGR117" s="73"/>
      <c r="GGS117" s="73"/>
      <c r="GGT117" s="73"/>
      <c r="GGU117" s="73"/>
      <c r="GGV117" s="73"/>
      <c r="GGW117" s="73"/>
      <c r="GGX117" s="73"/>
      <c r="GGY117" s="73"/>
      <c r="GGZ117" s="73"/>
      <c r="GHA117" s="73"/>
      <c r="GHB117" s="73"/>
      <c r="GHC117" s="73"/>
      <c r="GHD117" s="73"/>
      <c r="GHE117" s="73"/>
      <c r="GHF117" s="73"/>
      <c r="GHG117" s="73"/>
      <c r="GHH117" s="73"/>
      <c r="GHI117" s="73"/>
      <c r="GHJ117" s="73"/>
      <c r="GHK117" s="73"/>
      <c r="GHL117" s="73"/>
      <c r="GHM117" s="73"/>
      <c r="GHN117" s="73"/>
      <c r="GHO117" s="73"/>
      <c r="GHP117" s="73"/>
      <c r="GHQ117" s="73"/>
      <c r="GHR117" s="73"/>
      <c r="GHS117" s="73"/>
      <c r="GHT117" s="73"/>
      <c r="GHU117" s="73"/>
      <c r="GHV117" s="73"/>
      <c r="GHW117" s="73"/>
      <c r="GHX117" s="73"/>
      <c r="GHY117" s="73"/>
      <c r="GHZ117" s="73"/>
      <c r="GIA117" s="73"/>
      <c r="GIB117" s="73"/>
      <c r="GIC117" s="73"/>
      <c r="GID117" s="73"/>
      <c r="GIE117" s="73"/>
      <c r="GIF117" s="73"/>
      <c r="GIG117" s="73"/>
      <c r="GIH117" s="73"/>
      <c r="GII117" s="73"/>
      <c r="GIJ117" s="73"/>
      <c r="GIK117" s="73"/>
      <c r="GIL117" s="73"/>
      <c r="GIM117" s="73"/>
      <c r="GIN117" s="73"/>
      <c r="GIO117" s="73"/>
      <c r="GIP117" s="73"/>
      <c r="GIQ117" s="73"/>
      <c r="GIR117" s="73"/>
      <c r="GIS117" s="73"/>
      <c r="GIT117" s="73"/>
      <c r="GIU117" s="73"/>
      <c r="GIV117" s="73"/>
      <c r="GIW117" s="73"/>
      <c r="GIX117" s="73"/>
      <c r="GIY117" s="73"/>
      <c r="GIZ117" s="73"/>
      <c r="GJA117" s="73"/>
      <c r="GJB117" s="73"/>
      <c r="GJC117" s="73"/>
      <c r="GJD117" s="73"/>
      <c r="GJE117" s="73"/>
      <c r="GJF117" s="73"/>
      <c r="GJG117" s="73"/>
      <c r="GJH117" s="73"/>
      <c r="GJI117" s="73"/>
      <c r="GJJ117" s="73"/>
      <c r="GJK117" s="73"/>
      <c r="GJL117" s="73"/>
      <c r="GJM117" s="73"/>
      <c r="GJN117" s="73"/>
      <c r="GJO117" s="73"/>
      <c r="GJP117" s="73"/>
      <c r="GJQ117" s="73"/>
      <c r="GJR117" s="73"/>
      <c r="GJS117" s="73"/>
      <c r="GJT117" s="73"/>
      <c r="GJU117" s="73"/>
      <c r="GJV117" s="73"/>
      <c r="GJW117" s="73"/>
      <c r="GJX117" s="73"/>
      <c r="GJY117" s="73"/>
      <c r="GJZ117" s="73"/>
      <c r="GKA117" s="73"/>
      <c r="GKB117" s="73"/>
      <c r="GKC117" s="73"/>
      <c r="GKD117" s="73"/>
      <c r="GKE117" s="73"/>
      <c r="GKF117" s="73"/>
      <c r="GKG117" s="73"/>
      <c r="GKH117" s="73"/>
      <c r="GKI117" s="73"/>
      <c r="GKJ117" s="73"/>
      <c r="GKK117" s="73"/>
      <c r="GKL117" s="73"/>
      <c r="GKM117" s="73"/>
      <c r="GKN117" s="73"/>
      <c r="GKO117" s="73"/>
      <c r="GKP117" s="73"/>
      <c r="GKQ117" s="73"/>
      <c r="GKR117" s="73"/>
      <c r="GKS117" s="73"/>
      <c r="GKT117" s="73"/>
      <c r="GKU117" s="73"/>
      <c r="GKV117" s="73"/>
      <c r="GKW117" s="73"/>
      <c r="GKX117" s="73"/>
      <c r="GKY117" s="73"/>
      <c r="GKZ117" s="73"/>
      <c r="GLA117" s="73"/>
      <c r="GLB117" s="73"/>
      <c r="GLC117" s="73"/>
      <c r="GLD117" s="73"/>
      <c r="GLE117" s="73"/>
      <c r="GLF117" s="73"/>
      <c r="GLG117" s="73"/>
      <c r="GLH117" s="73"/>
      <c r="GLI117" s="73"/>
      <c r="GLJ117" s="73"/>
      <c r="GLK117" s="73"/>
      <c r="GLL117" s="73"/>
      <c r="GLM117" s="73"/>
      <c r="GLN117" s="73"/>
      <c r="GLO117" s="73"/>
      <c r="GLP117" s="73"/>
      <c r="GLQ117" s="73"/>
      <c r="GLR117" s="73"/>
      <c r="GLS117" s="73"/>
      <c r="GLT117" s="73"/>
      <c r="GLU117" s="73"/>
      <c r="GLV117" s="73"/>
      <c r="GLW117" s="73"/>
      <c r="GLX117" s="73"/>
      <c r="GLY117" s="73"/>
      <c r="GLZ117" s="73"/>
      <c r="GMA117" s="73"/>
      <c r="GMB117" s="73"/>
      <c r="GMC117" s="73"/>
      <c r="GMD117" s="73"/>
      <c r="GME117" s="73"/>
      <c r="GMF117" s="73"/>
      <c r="GMG117" s="73"/>
      <c r="GMH117" s="73"/>
      <c r="GMI117" s="73"/>
      <c r="GMJ117" s="73"/>
      <c r="GMK117" s="73"/>
      <c r="GML117" s="73"/>
      <c r="GMM117" s="73"/>
      <c r="GMN117" s="73"/>
      <c r="GMO117" s="73"/>
      <c r="GMP117" s="73"/>
      <c r="GMQ117" s="73"/>
      <c r="GMR117" s="73"/>
      <c r="GMS117" s="73"/>
      <c r="GMT117" s="73"/>
      <c r="GMU117" s="73"/>
      <c r="GMV117" s="73"/>
      <c r="GMW117" s="73"/>
      <c r="GMX117" s="73"/>
      <c r="GMY117" s="73"/>
      <c r="GMZ117" s="73"/>
      <c r="GNA117" s="73"/>
      <c r="GNB117" s="73"/>
      <c r="GNC117" s="73"/>
      <c r="GND117" s="73"/>
      <c r="GNE117" s="73"/>
      <c r="GNF117" s="73"/>
      <c r="GNG117" s="73"/>
      <c r="GNH117" s="73"/>
      <c r="GNI117" s="73"/>
      <c r="GNJ117" s="73"/>
      <c r="GNK117" s="73"/>
      <c r="GNL117" s="73"/>
      <c r="GNM117" s="73"/>
      <c r="GNN117" s="73"/>
      <c r="GNO117" s="73"/>
      <c r="GNP117" s="73"/>
      <c r="GNQ117" s="73"/>
      <c r="GNR117" s="73"/>
      <c r="GNS117" s="73"/>
      <c r="GNT117" s="73"/>
      <c r="GNU117" s="73"/>
      <c r="GNV117" s="73"/>
      <c r="GNW117" s="73"/>
      <c r="GNX117" s="73"/>
      <c r="GNY117" s="73"/>
      <c r="GNZ117" s="73"/>
      <c r="GOA117" s="73"/>
      <c r="GOB117" s="73"/>
      <c r="GOC117" s="73"/>
      <c r="GOD117" s="73"/>
      <c r="GOE117" s="73"/>
      <c r="GOF117" s="73"/>
      <c r="GOG117" s="73"/>
      <c r="GOH117" s="73"/>
      <c r="GOI117" s="73"/>
      <c r="GOJ117" s="73"/>
      <c r="GOK117" s="73"/>
      <c r="GOL117" s="73"/>
      <c r="GOM117" s="73"/>
      <c r="GON117" s="73"/>
      <c r="GOO117" s="73"/>
      <c r="GOP117" s="73"/>
      <c r="GOQ117" s="73"/>
      <c r="GOR117" s="73"/>
      <c r="GOS117" s="73"/>
      <c r="GOT117" s="73"/>
      <c r="GOU117" s="73"/>
      <c r="GOV117" s="73"/>
      <c r="GOW117" s="73"/>
      <c r="GOX117" s="73"/>
      <c r="GOY117" s="73"/>
      <c r="GOZ117" s="73"/>
      <c r="GPA117" s="73"/>
      <c r="GPB117" s="73"/>
      <c r="GPC117" s="73"/>
      <c r="GPD117" s="73"/>
      <c r="GPE117" s="73"/>
      <c r="GPF117" s="73"/>
      <c r="GPG117" s="73"/>
      <c r="GPH117" s="73"/>
      <c r="GPI117" s="73"/>
      <c r="GPJ117" s="73"/>
      <c r="GPK117" s="73"/>
      <c r="GPL117" s="73"/>
      <c r="GPM117" s="73"/>
      <c r="GPN117" s="73"/>
      <c r="GPO117" s="73"/>
      <c r="GPP117" s="73"/>
      <c r="GPQ117" s="73"/>
      <c r="GPR117" s="73"/>
      <c r="GPS117" s="73"/>
      <c r="GPT117" s="73"/>
      <c r="GPU117" s="73"/>
      <c r="GPV117" s="73"/>
      <c r="GPW117" s="73"/>
      <c r="GPX117" s="73"/>
      <c r="GPY117" s="73"/>
      <c r="GPZ117" s="73"/>
      <c r="GQA117" s="73"/>
      <c r="GQB117" s="73"/>
      <c r="GQC117" s="73"/>
      <c r="GQD117" s="73"/>
      <c r="GQE117" s="73"/>
      <c r="GQF117" s="73"/>
      <c r="GQG117" s="73"/>
      <c r="GQH117" s="73"/>
      <c r="GQI117" s="73"/>
      <c r="GQJ117" s="73"/>
      <c r="GQK117" s="73"/>
      <c r="GQL117" s="73"/>
      <c r="GQM117" s="73"/>
      <c r="GQN117" s="73"/>
      <c r="GQO117" s="73"/>
      <c r="GQP117" s="73"/>
      <c r="GQQ117" s="73"/>
      <c r="GQR117" s="73"/>
      <c r="GQS117" s="73"/>
      <c r="GQT117" s="73"/>
      <c r="GQU117" s="73"/>
      <c r="GQV117" s="73"/>
      <c r="GQW117" s="73"/>
      <c r="GQX117" s="73"/>
      <c r="GQY117" s="73"/>
      <c r="GQZ117" s="73"/>
      <c r="GRA117" s="73"/>
      <c r="GRB117" s="73"/>
      <c r="GRC117" s="73"/>
      <c r="GRD117" s="73"/>
      <c r="GRE117" s="73"/>
      <c r="GRF117" s="73"/>
      <c r="GRG117" s="73"/>
      <c r="GRH117" s="73"/>
      <c r="GRI117" s="73"/>
      <c r="GRJ117" s="73"/>
      <c r="GRK117" s="73"/>
      <c r="GRL117" s="73"/>
      <c r="GRM117" s="73"/>
      <c r="GRN117" s="73"/>
      <c r="GRO117" s="73"/>
      <c r="GRP117" s="73"/>
      <c r="GRQ117" s="73"/>
      <c r="GRR117" s="73"/>
      <c r="GRS117" s="73"/>
      <c r="GRT117" s="73"/>
      <c r="GRU117" s="73"/>
      <c r="GRV117" s="73"/>
      <c r="GRW117" s="73"/>
      <c r="GRX117" s="73"/>
      <c r="GRY117" s="73"/>
      <c r="GRZ117" s="73"/>
      <c r="GSA117" s="73"/>
      <c r="GSB117" s="73"/>
      <c r="GSC117" s="73"/>
      <c r="GSD117" s="73"/>
      <c r="GSE117" s="73"/>
      <c r="GSF117" s="73"/>
      <c r="GSG117" s="73"/>
      <c r="GSH117" s="73"/>
      <c r="GSI117" s="73"/>
      <c r="GSJ117" s="73"/>
      <c r="GSK117" s="73"/>
      <c r="GSL117" s="73"/>
      <c r="GSM117" s="73"/>
      <c r="GSN117" s="73"/>
      <c r="GSO117" s="73"/>
      <c r="GSP117" s="73"/>
      <c r="GSQ117" s="73"/>
      <c r="GSR117" s="73"/>
      <c r="GSS117" s="73"/>
      <c r="GST117" s="73"/>
      <c r="GSU117" s="73"/>
      <c r="GSV117" s="73"/>
      <c r="GSW117" s="73"/>
      <c r="GSX117" s="73"/>
      <c r="GSY117" s="73"/>
      <c r="GSZ117" s="73"/>
      <c r="GTA117" s="73"/>
      <c r="GTB117" s="73"/>
      <c r="GTC117" s="73"/>
      <c r="GTD117" s="73"/>
      <c r="GTE117" s="73"/>
      <c r="GTF117" s="73"/>
      <c r="GTG117" s="73"/>
      <c r="GTH117" s="73"/>
      <c r="GTI117" s="73"/>
      <c r="GTJ117" s="73"/>
      <c r="GTK117" s="73"/>
      <c r="GTL117" s="73"/>
      <c r="GTM117" s="73"/>
      <c r="GTN117" s="73"/>
      <c r="GTO117" s="73"/>
      <c r="GTP117" s="73"/>
      <c r="GTQ117" s="73"/>
      <c r="GTR117" s="73"/>
      <c r="GTS117" s="73"/>
      <c r="GTT117" s="73"/>
      <c r="GTU117" s="73"/>
      <c r="GTV117" s="73"/>
      <c r="GTW117" s="73"/>
      <c r="GTX117" s="73"/>
      <c r="GTY117" s="73"/>
      <c r="GTZ117" s="73"/>
      <c r="GUA117" s="73"/>
      <c r="GUB117" s="73"/>
      <c r="GUC117" s="73"/>
      <c r="GUD117" s="73"/>
      <c r="GUE117" s="73"/>
      <c r="GUF117" s="73"/>
      <c r="GUG117" s="73"/>
      <c r="GUH117" s="73"/>
      <c r="GUI117" s="73"/>
      <c r="GUJ117" s="73"/>
      <c r="GUK117" s="73"/>
      <c r="GUL117" s="73"/>
      <c r="GUM117" s="73"/>
      <c r="GUN117" s="73"/>
      <c r="GUO117" s="73"/>
      <c r="GUP117" s="73"/>
      <c r="GUQ117" s="73"/>
      <c r="GUR117" s="73"/>
      <c r="GUS117" s="73"/>
      <c r="GUT117" s="73"/>
      <c r="GUU117" s="73"/>
      <c r="GUV117" s="73"/>
      <c r="GUW117" s="73"/>
      <c r="GUX117" s="73"/>
      <c r="GUY117" s="73"/>
      <c r="GUZ117" s="73"/>
      <c r="GVA117" s="73"/>
      <c r="GVB117" s="73"/>
      <c r="GVC117" s="73"/>
      <c r="GVD117" s="73"/>
      <c r="GVE117" s="73"/>
      <c r="GVF117" s="73"/>
      <c r="GVG117" s="73"/>
      <c r="GVH117" s="73"/>
      <c r="GVI117" s="73"/>
      <c r="GVJ117" s="73"/>
      <c r="GVK117" s="73"/>
      <c r="GVL117" s="73"/>
      <c r="GVM117" s="73"/>
      <c r="GVN117" s="73"/>
      <c r="GVO117" s="73"/>
      <c r="GVP117" s="73"/>
      <c r="GVQ117" s="73"/>
      <c r="GVR117" s="73"/>
      <c r="GVS117" s="73"/>
      <c r="GVT117" s="73"/>
      <c r="GVU117" s="73"/>
      <c r="GVV117" s="73"/>
      <c r="GVW117" s="73"/>
      <c r="GVX117" s="73"/>
      <c r="GVY117" s="73"/>
      <c r="GVZ117" s="73"/>
      <c r="GWA117" s="73"/>
      <c r="GWB117" s="73"/>
      <c r="GWC117" s="73"/>
      <c r="GWD117" s="73"/>
      <c r="GWE117" s="73"/>
      <c r="GWF117" s="73"/>
      <c r="GWG117" s="73"/>
      <c r="GWH117" s="73"/>
      <c r="GWI117" s="73"/>
      <c r="GWJ117" s="73"/>
      <c r="GWK117" s="73"/>
      <c r="GWL117" s="73"/>
      <c r="GWM117" s="73"/>
      <c r="GWN117" s="73"/>
      <c r="GWO117" s="73"/>
      <c r="GWP117" s="73"/>
      <c r="GWQ117" s="73"/>
      <c r="GWR117" s="73"/>
      <c r="GWS117" s="73"/>
      <c r="GWT117" s="73"/>
      <c r="GWU117" s="73"/>
      <c r="GWV117" s="73"/>
      <c r="GWW117" s="73"/>
      <c r="GWX117" s="73"/>
      <c r="GWY117" s="73"/>
      <c r="GWZ117" s="73"/>
      <c r="GXA117" s="73"/>
      <c r="GXB117" s="73"/>
      <c r="GXC117" s="73"/>
      <c r="GXD117" s="73"/>
      <c r="GXE117" s="73"/>
      <c r="GXF117" s="73"/>
      <c r="GXG117" s="73"/>
      <c r="GXH117" s="73"/>
      <c r="GXI117" s="73"/>
      <c r="GXJ117" s="73"/>
      <c r="GXK117" s="73"/>
      <c r="GXL117" s="73"/>
      <c r="GXM117" s="73"/>
      <c r="GXN117" s="73"/>
      <c r="GXO117" s="73"/>
      <c r="GXP117" s="73"/>
      <c r="GXQ117" s="73"/>
      <c r="GXR117" s="73"/>
      <c r="GXS117" s="73"/>
      <c r="GXT117" s="73"/>
      <c r="GXU117" s="73"/>
      <c r="GXV117" s="73"/>
      <c r="GXW117" s="73"/>
      <c r="GXX117" s="73"/>
      <c r="GXY117" s="73"/>
      <c r="GXZ117" s="73"/>
      <c r="GYA117" s="73"/>
      <c r="GYB117" s="73"/>
      <c r="GYC117" s="73"/>
      <c r="GYD117" s="73"/>
      <c r="GYE117" s="73"/>
      <c r="GYF117" s="73"/>
      <c r="GYG117" s="73"/>
      <c r="GYH117" s="73"/>
      <c r="GYI117" s="73"/>
      <c r="GYJ117" s="73"/>
      <c r="GYK117" s="73"/>
      <c r="GYL117" s="73"/>
      <c r="GYM117" s="73"/>
      <c r="GYN117" s="73"/>
      <c r="GYO117" s="73"/>
      <c r="GYP117" s="73"/>
      <c r="GYQ117" s="73"/>
      <c r="GYR117" s="73"/>
      <c r="GYS117" s="73"/>
      <c r="GYT117" s="73"/>
      <c r="GYU117" s="73"/>
      <c r="GYV117" s="73"/>
      <c r="GYW117" s="73"/>
      <c r="GYX117" s="73"/>
      <c r="GYY117" s="73"/>
      <c r="GYZ117" s="73"/>
      <c r="GZA117" s="73"/>
      <c r="GZB117" s="73"/>
      <c r="GZC117" s="73"/>
      <c r="GZD117" s="73"/>
      <c r="GZE117" s="73"/>
      <c r="GZF117" s="73"/>
      <c r="GZG117" s="73"/>
      <c r="GZH117" s="73"/>
      <c r="GZI117" s="73"/>
      <c r="GZJ117" s="73"/>
      <c r="GZK117" s="73"/>
      <c r="GZL117" s="73"/>
      <c r="GZM117" s="73"/>
      <c r="GZN117" s="73"/>
      <c r="GZO117" s="73"/>
      <c r="GZP117" s="73"/>
      <c r="GZQ117" s="73"/>
      <c r="GZR117" s="73"/>
      <c r="GZS117" s="73"/>
      <c r="GZT117" s="73"/>
      <c r="GZU117" s="73"/>
      <c r="GZV117" s="73"/>
      <c r="GZW117" s="73"/>
      <c r="GZX117" s="73"/>
      <c r="GZY117" s="73"/>
      <c r="GZZ117" s="73"/>
      <c r="HAA117" s="73"/>
      <c r="HAB117" s="73"/>
      <c r="HAC117" s="73"/>
      <c r="HAD117" s="73"/>
      <c r="HAE117" s="73"/>
      <c r="HAF117" s="73"/>
      <c r="HAG117" s="73"/>
      <c r="HAH117" s="73"/>
      <c r="HAI117" s="73"/>
      <c r="HAJ117" s="73"/>
      <c r="HAK117" s="73"/>
      <c r="HAL117" s="73"/>
      <c r="HAM117" s="73"/>
      <c r="HAN117" s="73"/>
      <c r="HAO117" s="73"/>
      <c r="HAP117" s="73"/>
      <c r="HAQ117" s="73"/>
      <c r="HAR117" s="73"/>
      <c r="HAS117" s="73"/>
      <c r="HAT117" s="73"/>
      <c r="HAU117" s="73"/>
      <c r="HAV117" s="73"/>
      <c r="HAW117" s="73"/>
      <c r="HAX117" s="73"/>
      <c r="HAY117" s="73"/>
      <c r="HAZ117" s="73"/>
      <c r="HBA117" s="73"/>
      <c r="HBB117" s="73"/>
      <c r="HBC117" s="73"/>
      <c r="HBD117" s="73"/>
      <c r="HBE117" s="73"/>
      <c r="HBF117" s="73"/>
      <c r="HBG117" s="73"/>
      <c r="HBH117" s="73"/>
      <c r="HBI117" s="73"/>
      <c r="HBJ117" s="73"/>
      <c r="HBK117" s="73"/>
      <c r="HBL117" s="73"/>
      <c r="HBM117" s="73"/>
      <c r="HBN117" s="73"/>
      <c r="HBO117" s="73"/>
      <c r="HBP117" s="73"/>
      <c r="HBQ117" s="73"/>
      <c r="HBR117" s="73"/>
      <c r="HBS117" s="73"/>
      <c r="HBT117" s="73"/>
      <c r="HBU117" s="73"/>
      <c r="HBV117" s="73"/>
      <c r="HBW117" s="73"/>
      <c r="HBX117" s="73"/>
      <c r="HBY117" s="73"/>
      <c r="HBZ117" s="73"/>
      <c r="HCA117" s="73"/>
      <c r="HCB117" s="73"/>
      <c r="HCC117" s="73"/>
      <c r="HCD117" s="73"/>
      <c r="HCE117" s="73"/>
      <c r="HCF117" s="73"/>
      <c r="HCG117" s="73"/>
      <c r="HCH117" s="73"/>
      <c r="HCI117" s="73"/>
      <c r="HCJ117" s="73"/>
      <c r="HCK117" s="73"/>
      <c r="HCL117" s="73"/>
      <c r="HCM117" s="73"/>
      <c r="HCN117" s="73"/>
      <c r="HCO117" s="73"/>
      <c r="HCP117" s="73"/>
      <c r="HCQ117" s="73"/>
      <c r="HCR117" s="73"/>
      <c r="HCS117" s="73"/>
      <c r="HCT117" s="73"/>
      <c r="HCU117" s="73"/>
      <c r="HCV117" s="73"/>
      <c r="HCW117" s="73"/>
      <c r="HCX117" s="73"/>
      <c r="HCY117" s="73"/>
      <c r="HCZ117" s="73"/>
      <c r="HDA117" s="73"/>
      <c r="HDB117" s="73"/>
      <c r="HDC117" s="73"/>
      <c r="HDD117" s="73"/>
      <c r="HDE117" s="73"/>
      <c r="HDF117" s="73"/>
      <c r="HDG117" s="73"/>
      <c r="HDH117" s="73"/>
      <c r="HDI117" s="73"/>
      <c r="HDJ117" s="73"/>
      <c r="HDK117" s="73"/>
      <c r="HDL117" s="73"/>
      <c r="HDM117" s="73"/>
      <c r="HDN117" s="73"/>
      <c r="HDO117" s="73"/>
      <c r="HDP117" s="73"/>
      <c r="HDQ117" s="73"/>
      <c r="HDR117" s="73"/>
      <c r="HDS117" s="73"/>
      <c r="HDT117" s="73"/>
      <c r="HDU117" s="73"/>
      <c r="HDV117" s="73"/>
      <c r="HDW117" s="73"/>
      <c r="HDX117" s="73"/>
      <c r="HDY117" s="73"/>
      <c r="HDZ117" s="73"/>
      <c r="HEA117" s="73"/>
      <c r="HEB117" s="73"/>
      <c r="HEC117" s="73"/>
      <c r="HED117" s="73"/>
      <c r="HEE117" s="73"/>
      <c r="HEF117" s="73"/>
      <c r="HEG117" s="73"/>
      <c r="HEH117" s="73"/>
      <c r="HEI117" s="73"/>
      <c r="HEJ117" s="73"/>
      <c r="HEK117" s="73"/>
      <c r="HEL117" s="73"/>
      <c r="HEM117" s="73"/>
      <c r="HEN117" s="73"/>
      <c r="HEO117" s="73"/>
      <c r="HEP117" s="73"/>
      <c r="HEQ117" s="73"/>
      <c r="HER117" s="73"/>
      <c r="HES117" s="73"/>
      <c r="HET117" s="73"/>
      <c r="HEU117" s="73"/>
      <c r="HEV117" s="73"/>
      <c r="HEW117" s="73"/>
      <c r="HEX117" s="73"/>
      <c r="HEY117" s="73"/>
      <c r="HEZ117" s="73"/>
      <c r="HFA117" s="73"/>
      <c r="HFB117" s="73"/>
      <c r="HFC117" s="73"/>
      <c r="HFD117" s="73"/>
      <c r="HFE117" s="73"/>
      <c r="HFF117" s="73"/>
      <c r="HFG117" s="73"/>
      <c r="HFH117" s="73"/>
      <c r="HFI117" s="73"/>
      <c r="HFJ117" s="73"/>
      <c r="HFK117" s="73"/>
      <c r="HFL117" s="73"/>
      <c r="HFM117" s="73"/>
      <c r="HFN117" s="73"/>
      <c r="HFO117" s="73"/>
      <c r="HFP117" s="73"/>
      <c r="HFQ117" s="73"/>
      <c r="HFR117" s="73"/>
      <c r="HFS117" s="73"/>
      <c r="HFT117" s="73"/>
      <c r="HFU117" s="73"/>
      <c r="HFV117" s="73"/>
      <c r="HFW117" s="73"/>
      <c r="HFX117" s="73"/>
      <c r="HFY117" s="73"/>
      <c r="HFZ117" s="73"/>
      <c r="HGA117" s="73"/>
      <c r="HGB117" s="73"/>
      <c r="HGC117" s="73"/>
      <c r="HGD117" s="73"/>
      <c r="HGE117" s="73"/>
      <c r="HGF117" s="73"/>
      <c r="HGG117" s="73"/>
      <c r="HGH117" s="73"/>
      <c r="HGI117" s="73"/>
      <c r="HGJ117" s="73"/>
      <c r="HGK117" s="73"/>
      <c r="HGL117" s="73"/>
      <c r="HGM117" s="73"/>
      <c r="HGN117" s="73"/>
      <c r="HGO117" s="73"/>
      <c r="HGP117" s="73"/>
      <c r="HGQ117" s="73"/>
      <c r="HGR117" s="73"/>
      <c r="HGS117" s="73"/>
      <c r="HGT117" s="73"/>
      <c r="HGU117" s="73"/>
      <c r="HGV117" s="73"/>
      <c r="HGW117" s="73"/>
      <c r="HGX117" s="73"/>
      <c r="HGY117" s="73"/>
      <c r="HGZ117" s="73"/>
      <c r="HHA117" s="73"/>
      <c r="HHB117" s="73"/>
      <c r="HHC117" s="73"/>
      <c r="HHD117" s="73"/>
      <c r="HHE117" s="73"/>
      <c r="HHF117" s="73"/>
      <c r="HHG117" s="73"/>
      <c r="HHH117" s="73"/>
      <c r="HHI117" s="73"/>
      <c r="HHJ117" s="73"/>
      <c r="HHK117" s="73"/>
      <c r="HHL117" s="73"/>
      <c r="HHM117" s="73"/>
      <c r="HHN117" s="73"/>
      <c r="HHO117" s="73"/>
      <c r="HHP117" s="73"/>
      <c r="HHQ117" s="73"/>
      <c r="HHR117" s="73"/>
      <c r="HHS117" s="73"/>
      <c r="HHT117" s="73"/>
      <c r="HHU117" s="73"/>
      <c r="HHV117" s="73"/>
      <c r="HHW117" s="73"/>
      <c r="HHX117" s="73"/>
      <c r="HHY117" s="73"/>
      <c r="HHZ117" s="73"/>
      <c r="HIA117" s="73"/>
      <c r="HIB117" s="73"/>
      <c r="HIC117" s="73"/>
      <c r="HID117" s="73"/>
      <c r="HIE117" s="73"/>
      <c r="HIF117" s="73"/>
      <c r="HIG117" s="73"/>
      <c r="HIH117" s="73"/>
      <c r="HII117" s="73"/>
      <c r="HIJ117" s="73"/>
      <c r="HIK117" s="73"/>
      <c r="HIL117" s="73"/>
      <c r="HIM117" s="73"/>
      <c r="HIN117" s="73"/>
      <c r="HIO117" s="73"/>
      <c r="HIP117" s="73"/>
      <c r="HIQ117" s="73"/>
      <c r="HIR117" s="73"/>
      <c r="HIS117" s="73"/>
      <c r="HIT117" s="73"/>
      <c r="HIU117" s="73"/>
      <c r="HIV117" s="73"/>
      <c r="HIW117" s="73"/>
      <c r="HIX117" s="73"/>
      <c r="HIY117" s="73"/>
      <c r="HIZ117" s="73"/>
      <c r="HJA117" s="73"/>
      <c r="HJB117" s="73"/>
      <c r="HJC117" s="73"/>
      <c r="HJD117" s="73"/>
      <c r="HJE117" s="73"/>
      <c r="HJF117" s="73"/>
      <c r="HJG117" s="73"/>
      <c r="HJH117" s="73"/>
      <c r="HJI117" s="73"/>
      <c r="HJJ117" s="73"/>
      <c r="HJK117" s="73"/>
      <c r="HJL117" s="73"/>
      <c r="HJM117" s="73"/>
      <c r="HJN117" s="73"/>
      <c r="HJO117" s="73"/>
      <c r="HJP117" s="73"/>
      <c r="HJQ117" s="73"/>
      <c r="HJR117" s="73"/>
      <c r="HJS117" s="73"/>
      <c r="HJT117" s="73"/>
      <c r="HJU117" s="73"/>
      <c r="HJV117" s="73"/>
      <c r="HJW117" s="73"/>
      <c r="HJX117" s="73"/>
      <c r="HJY117" s="73"/>
      <c r="HJZ117" s="73"/>
      <c r="HKA117" s="73"/>
      <c r="HKB117" s="73"/>
      <c r="HKC117" s="73"/>
      <c r="HKD117" s="73"/>
      <c r="HKE117" s="73"/>
      <c r="HKF117" s="73"/>
      <c r="HKG117" s="73"/>
      <c r="HKH117" s="73"/>
      <c r="HKI117" s="73"/>
      <c r="HKJ117" s="73"/>
      <c r="HKK117" s="73"/>
      <c r="HKL117" s="73"/>
      <c r="HKM117" s="73"/>
      <c r="HKN117" s="73"/>
      <c r="HKO117" s="73"/>
      <c r="HKP117" s="73"/>
      <c r="HKQ117" s="73"/>
      <c r="HKR117" s="73"/>
      <c r="HKS117" s="73"/>
      <c r="HKT117" s="73"/>
      <c r="HKU117" s="73"/>
      <c r="HKV117" s="73"/>
      <c r="HKW117" s="73"/>
      <c r="HKX117" s="73"/>
      <c r="HKY117" s="73"/>
      <c r="HKZ117" s="73"/>
      <c r="HLA117" s="73"/>
      <c r="HLB117" s="73"/>
      <c r="HLC117" s="73"/>
      <c r="HLD117" s="73"/>
      <c r="HLE117" s="73"/>
      <c r="HLF117" s="73"/>
      <c r="HLG117" s="73"/>
      <c r="HLH117" s="73"/>
      <c r="HLI117" s="73"/>
      <c r="HLJ117" s="73"/>
      <c r="HLK117" s="73"/>
      <c r="HLL117" s="73"/>
      <c r="HLM117" s="73"/>
      <c r="HLN117" s="73"/>
      <c r="HLO117" s="73"/>
      <c r="HLP117" s="73"/>
      <c r="HLQ117" s="73"/>
      <c r="HLR117" s="73"/>
      <c r="HLS117" s="73"/>
      <c r="HLT117" s="73"/>
      <c r="HLU117" s="73"/>
      <c r="HLV117" s="73"/>
      <c r="HLW117" s="73"/>
      <c r="HLX117" s="73"/>
      <c r="HLY117" s="73"/>
      <c r="HLZ117" s="73"/>
      <c r="HMA117" s="73"/>
      <c r="HMB117" s="73"/>
      <c r="HMC117" s="73"/>
      <c r="HMD117" s="73"/>
      <c r="HME117" s="73"/>
      <c r="HMF117" s="73"/>
      <c r="HMG117" s="73"/>
      <c r="HMH117" s="73"/>
      <c r="HMI117" s="73"/>
      <c r="HMJ117" s="73"/>
      <c r="HMK117" s="73"/>
      <c r="HML117" s="73"/>
      <c r="HMM117" s="73"/>
      <c r="HMN117" s="73"/>
      <c r="HMO117" s="73"/>
      <c r="HMP117" s="73"/>
      <c r="HMQ117" s="73"/>
      <c r="HMR117" s="73"/>
      <c r="HMS117" s="73"/>
      <c r="HMT117" s="73"/>
      <c r="HMU117" s="73"/>
      <c r="HMV117" s="73"/>
      <c r="HMW117" s="73"/>
      <c r="HMX117" s="73"/>
      <c r="HMY117" s="73"/>
      <c r="HMZ117" s="73"/>
      <c r="HNA117" s="73"/>
      <c r="HNB117" s="73"/>
      <c r="HNC117" s="73"/>
      <c r="HND117" s="73"/>
      <c r="HNE117" s="73"/>
      <c r="HNF117" s="73"/>
      <c r="HNG117" s="73"/>
      <c r="HNH117" s="73"/>
      <c r="HNI117" s="73"/>
      <c r="HNJ117" s="73"/>
      <c r="HNK117" s="73"/>
      <c r="HNL117" s="73"/>
      <c r="HNM117" s="73"/>
      <c r="HNN117" s="73"/>
      <c r="HNO117" s="73"/>
      <c r="HNP117" s="73"/>
      <c r="HNQ117" s="73"/>
      <c r="HNR117" s="73"/>
      <c r="HNS117" s="73"/>
      <c r="HNT117" s="73"/>
      <c r="HNU117" s="73"/>
      <c r="HNV117" s="73"/>
      <c r="HNW117" s="73"/>
      <c r="HNX117" s="73"/>
      <c r="HNY117" s="73"/>
      <c r="HNZ117" s="73"/>
      <c r="HOA117" s="73"/>
      <c r="HOB117" s="73"/>
      <c r="HOC117" s="73"/>
      <c r="HOD117" s="73"/>
      <c r="HOE117" s="73"/>
      <c r="HOF117" s="73"/>
      <c r="HOG117" s="73"/>
      <c r="HOH117" s="73"/>
      <c r="HOI117" s="73"/>
      <c r="HOJ117" s="73"/>
      <c r="HOK117" s="73"/>
      <c r="HOL117" s="73"/>
      <c r="HOM117" s="73"/>
      <c r="HON117" s="73"/>
      <c r="HOO117" s="73"/>
      <c r="HOP117" s="73"/>
      <c r="HOQ117" s="73"/>
      <c r="HOR117" s="73"/>
      <c r="HOS117" s="73"/>
      <c r="HOT117" s="73"/>
      <c r="HOU117" s="73"/>
      <c r="HOV117" s="73"/>
      <c r="HOW117" s="73"/>
      <c r="HOX117" s="73"/>
      <c r="HOY117" s="73"/>
      <c r="HOZ117" s="73"/>
      <c r="HPA117" s="73"/>
      <c r="HPB117" s="73"/>
      <c r="HPC117" s="73"/>
      <c r="HPD117" s="73"/>
      <c r="HPE117" s="73"/>
      <c r="HPF117" s="73"/>
      <c r="HPG117" s="73"/>
      <c r="HPH117" s="73"/>
      <c r="HPI117" s="73"/>
      <c r="HPJ117" s="73"/>
      <c r="HPK117" s="73"/>
      <c r="HPL117" s="73"/>
      <c r="HPM117" s="73"/>
      <c r="HPN117" s="73"/>
      <c r="HPO117" s="73"/>
      <c r="HPP117" s="73"/>
      <c r="HPQ117" s="73"/>
      <c r="HPR117" s="73"/>
      <c r="HPS117" s="73"/>
      <c r="HPT117" s="73"/>
      <c r="HPU117" s="73"/>
      <c r="HPV117" s="73"/>
      <c r="HPW117" s="73"/>
      <c r="HPX117" s="73"/>
      <c r="HPY117" s="73"/>
      <c r="HPZ117" s="73"/>
      <c r="HQA117" s="73"/>
      <c r="HQB117" s="73"/>
      <c r="HQC117" s="73"/>
      <c r="HQD117" s="73"/>
      <c r="HQE117" s="73"/>
      <c r="HQF117" s="73"/>
      <c r="HQG117" s="73"/>
      <c r="HQH117" s="73"/>
      <c r="HQI117" s="73"/>
      <c r="HQJ117" s="73"/>
      <c r="HQK117" s="73"/>
      <c r="HQL117" s="73"/>
      <c r="HQM117" s="73"/>
      <c r="HQN117" s="73"/>
      <c r="HQO117" s="73"/>
      <c r="HQP117" s="73"/>
      <c r="HQQ117" s="73"/>
      <c r="HQR117" s="73"/>
      <c r="HQS117" s="73"/>
      <c r="HQT117" s="73"/>
      <c r="HQU117" s="73"/>
      <c r="HQV117" s="73"/>
      <c r="HQW117" s="73"/>
      <c r="HQX117" s="73"/>
      <c r="HQY117" s="73"/>
      <c r="HQZ117" s="73"/>
      <c r="HRA117" s="73"/>
      <c r="HRB117" s="73"/>
      <c r="HRC117" s="73"/>
      <c r="HRD117" s="73"/>
      <c r="HRE117" s="73"/>
      <c r="HRF117" s="73"/>
      <c r="HRG117" s="73"/>
      <c r="HRH117" s="73"/>
      <c r="HRI117" s="73"/>
      <c r="HRJ117" s="73"/>
      <c r="HRK117" s="73"/>
      <c r="HRL117" s="73"/>
      <c r="HRM117" s="73"/>
      <c r="HRN117" s="73"/>
      <c r="HRO117" s="73"/>
      <c r="HRP117" s="73"/>
      <c r="HRQ117" s="73"/>
      <c r="HRR117" s="73"/>
      <c r="HRS117" s="73"/>
      <c r="HRT117" s="73"/>
      <c r="HRU117" s="73"/>
      <c r="HRV117" s="73"/>
      <c r="HRW117" s="73"/>
      <c r="HRX117" s="73"/>
      <c r="HRY117" s="73"/>
      <c r="HRZ117" s="73"/>
      <c r="HSA117" s="73"/>
      <c r="HSB117" s="73"/>
      <c r="HSC117" s="73"/>
      <c r="HSD117" s="73"/>
      <c r="HSE117" s="73"/>
      <c r="HSF117" s="73"/>
      <c r="HSG117" s="73"/>
      <c r="HSH117" s="73"/>
      <c r="HSI117" s="73"/>
      <c r="HSJ117" s="73"/>
      <c r="HSK117" s="73"/>
      <c r="HSL117" s="73"/>
      <c r="HSM117" s="73"/>
      <c r="HSN117" s="73"/>
      <c r="HSO117" s="73"/>
      <c r="HSP117" s="73"/>
      <c r="HSQ117" s="73"/>
      <c r="HSR117" s="73"/>
      <c r="HSS117" s="73"/>
      <c r="HST117" s="73"/>
      <c r="HSU117" s="73"/>
      <c r="HSV117" s="73"/>
      <c r="HSW117" s="73"/>
      <c r="HSX117" s="73"/>
      <c r="HSY117" s="73"/>
      <c r="HSZ117" s="73"/>
      <c r="HTA117" s="73"/>
      <c r="HTB117" s="73"/>
      <c r="HTC117" s="73"/>
      <c r="HTD117" s="73"/>
      <c r="HTE117" s="73"/>
      <c r="HTF117" s="73"/>
      <c r="HTG117" s="73"/>
      <c r="HTH117" s="73"/>
      <c r="HTI117" s="73"/>
      <c r="HTJ117" s="73"/>
      <c r="HTK117" s="73"/>
      <c r="HTL117" s="73"/>
      <c r="HTM117" s="73"/>
      <c r="HTN117" s="73"/>
      <c r="HTO117" s="73"/>
      <c r="HTP117" s="73"/>
      <c r="HTQ117" s="73"/>
      <c r="HTR117" s="73"/>
      <c r="HTS117" s="73"/>
      <c r="HTT117" s="73"/>
      <c r="HTU117" s="73"/>
      <c r="HTV117" s="73"/>
      <c r="HTW117" s="73"/>
      <c r="HTX117" s="73"/>
      <c r="HTY117" s="73"/>
      <c r="HTZ117" s="73"/>
      <c r="HUA117" s="73"/>
      <c r="HUB117" s="73"/>
      <c r="HUC117" s="73"/>
      <c r="HUD117" s="73"/>
      <c r="HUE117" s="73"/>
      <c r="HUF117" s="73"/>
      <c r="HUG117" s="73"/>
      <c r="HUH117" s="73"/>
      <c r="HUI117" s="73"/>
      <c r="HUJ117" s="73"/>
      <c r="HUK117" s="73"/>
      <c r="HUL117" s="73"/>
      <c r="HUM117" s="73"/>
      <c r="HUN117" s="73"/>
      <c r="HUO117" s="73"/>
      <c r="HUP117" s="73"/>
      <c r="HUQ117" s="73"/>
      <c r="HUR117" s="73"/>
      <c r="HUS117" s="73"/>
      <c r="HUT117" s="73"/>
      <c r="HUU117" s="73"/>
      <c r="HUV117" s="73"/>
      <c r="HUW117" s="73"/>
      <c r="HUX117" s="73"/>
      <c r="HUY117" s="73"/>
      <c r="HUZ117" s="73"/>
      <c r="HVA117" s="73"/>
      <c r="HVB117" s="73"/>
      <c r="HVC117" s="73"/>
      <c r="HVD117" s="73"/>
      <c r="HVE117" s="73"/>
      <c r="HVF117" s="73"/>
      <c r="HVG117" s="73"/>
      <c r="HVH117" s="73"/>
      <c r="HVI117" s="73"/>
      <c r="HVJ117" s="73"/>
      <c r="HVK117" s="73"/>
      <c r="HVL117" s="73"/>
      <c r="HVM117" s="73"/>
      <c r="HVN117" s="73"/>
      <c r="HVO117" s="73"/>
      <c r="HVP117" s="73"/>
      <c r="HVQ117" s="73"/>
      <c r="HVR117" s="73"/>
      <c r="HVS117" s="73"/>
      <c r="HVT117" s="73"/>
      <c r="HVU117" s="73"/>
      <c r="HVV117" s="73"/>
      <c r="HVW117" s="73"/>
      <c r="HVX117" s="73"/>
      <c r="HVY117" s="73"/>
      <c r="HVZ117" s="73"/>
      <c r="HWA117" s="73"/>
      <c r="HWB117" s="73"/>
      <c r="HWC117" s="73"/>
      <c r="HWD117" s="73"/>
      <c r="HWE117" s="73"/>
      <c r="HWF117" s="73"/>
      <c r="HWG117" s="73"/>
      <c r="HWH117" s="73"/>
      <c r="HWI117" s="73"/>
      <c r="HWJ117" s="73"/>
      <c r="HWK117" s="73"/>
      <c r="HWL117" s="73"/>
      <c r="HWM117" s="73"/>
      <c r="HWN117" s="73"/>
      <c r="HWO117" s="73"/>
      <c r="HWP117" s="73"/>
      <c r="HWQ117" s="73"/>
      <c r="HWR117" s="73"/>
      <c r="HWS117" s="73"/>
      <c r="HWT117" s="73"/>
      <c r="HWU117" s="73"/>
      <c r="HWV117" s="73"/>
      <c r="HWW117" s="73"/>
      <c r="HWX117" s="73"/>
      <c r="HWY117" s="73"/>
      <c r="HWZ117" s="73"/>
      <c r="HXA117" s="73"/>
      <c r="HXB117" s="73"/>
      <c r="HXC117" s="73"/>
      <c r="HXD117" s="73"/>
      <c r="HXE117" s="73"/>
      <c r="HXF117" s="73"/>
      <c r="HXG117" s="73"/>
      <c r="HXH117" s="73"/>
      <c r="HXI117" s="73"/>
      <c r="HXJ117" s="73"/>
      <c r="HXK117" s="73"/>
      <c r="HXL117" s="73"/>
      <c r="HXM117" s="73"/>
      <c r="HXN117" s="73"/>
      <c r="HXO117" s="73"/>
      <c r="HXP117" s="73"/>
      <c r="HXQ117" s="73"/>
      <c r="HXR117" s="73"/>
      <c r="HXS117" s="73"/>
      <c r="HXT117" s="73"/>
      <c r="HXU117" s="73"/>
      <c r="HXV117" s="73"/>
      <c r="HXW117" s="73"/>
      <c r="HXX117" s="73"/>
      <c r="HXY117" s="73"/>
      <c r="HXZ117" s="73"/>
      <c r="HYA117" s="73"/>
      <c r="HYB117" s="73"/>
      <c r="HYC117" s="73"/>
      <c r="HYD117" s="73"/>
      <c r="HYE117" s="73"/>
      <c r="HYF117" s="73"/>
      <c r="HYG117" s="73"/>
      <c r="HYH117" s="73"/>
      <c r="HYI117" s="73"/>
      <c r="HYJ117" s="73"/>
      <c r="HYK117" s="73"/>
      <c r="HYL117" s="73"/>
      <c r="HYM117" s="73"/>
      <c r="HYN117" s="73"/>
      <c r="HYO117" s="73"/>
      <c r="HYP117" s="73"/>
      <c r="HYQ117" s="73"/>
      <c r="HYR117" s="73"/>
      <c r="HYS117" s="73"/>
      <c r="HYT117" s="73"/>
      <c r="HYU117" s="73"/>
      <c r="HYV117" s="73"/>
      <c r="HYW117" s="73"/>
      <c r="HYX117" s="73"/>
      <c r="HYY117" s="73"/>
      <c r="HYZ117" s="73"/>
      <c r="HZA117" s="73"/>
      <c r="HZB117" s="73"/>
      <c r="HZC117" s="73"/>
      <c r="HZD117" s="73"/>
      <c r="HZE117" s="73"/>
      <c r="HZF117" s="73"/>
      <c r="HZG117" s="73"/>
      <c r="HZH117" s="73"/>
      <c r="HZI117" s="73"/>
      <c r="HZJ117" s="73"/>
      <c r="HZK117" s="73"/>
      <c r="HZL117" s="73"/>
      <c r="HZM117" s="73"/>
      <c r="HZN117" s="73"/>
      <c r="HZO117" s="73"/>
      <c r="HZP117" s="73"/>
      <c r="HZQ117" s="73"/>
      <c r="HZR117" s="73"/>
      <c r="HZS117" s="73"/>
      <c r="HZT117" s="73"/>
      <c r="HZU117" s="73"/>
      <c r="HZV117" s="73"/>
      <c r="HZW117" s="73"/>
      <c r="HZX117" s="73"/>
      <c r="HZY117" s="73"/>
      <c r="HZZ117" s="73"/>
      <c r="IAA117" s="73"/>
      <c r="IAB117" s="73"/>
      <c r="IAC117" s="73"/>
      <c r="IAD117" s="73"/>
      <c r="IAE117" s="73"/>
      <c r="IAF117" s="73"/>
      <c r="IAG117" s="73"/>
      <c r="IAH117" s="73"/>
      <c r="IAI117" s="73"/>
      <c r="IAJ117" s="73"/>
      <c r="IAK117" s="73"/>
      <c r="IAL117" s="73"/>
      <c r="IAM117" s="73"/>
      <c r="IAN117" s="73"/>
      <c r="IAO117" s="73"/>
      <c r="IAP117" s="73"/>
      <c r="IAQ117" s="73"/>
      <c r="IAR117" s="73"/>
      <c r="IAS117" s="73"/>
      <c r="IAT117" s="73"/>
      <c r="IAU117" s="73"/>
      <c r="IAV117" s="73"/>
      <c r="IAW117" s="73"/>
      <c r="IAX117" s="73"/>
      <c r="IAY117" s="73"/>
      <c r="IAZ117" s="73"/>
      <c r="IBA117" s="73"/>
      <c r="IBB117" s="73"/>
      <c r="IBC117" s="73"/>
      <c r="IBD117" s="73"/>
      <c r="IBE117" s="73"/>
      <c r="IBF117" s="73"/>
      <c r="IBG117" s="73"/>
      <c r="IBH117" s="73"/>
      <c r="IBI117" s="73"/>
      <c r="IBJ117" s="73"/>
      <c r="IBK117" s="73"/>
      <c r="IBL117" s="73"/>
      <c r="IBM117" s="73"/>
      <c r="IBN117" s="73"/>
      <c r="IBO117" s="73"/>
      <c r="IBP117" s="73"/>
      <c r="IBQ117" s="73"/>
      <c r="IBR117" s="73"/>
      <c r="IBS117" s="73"/>
      <c r="IBT117" s="73"/>
      <c r="IBU117" s="73"/>
      <c r="IBV117" s="73"/>
      <c r="IBW117" s="73"/>
      <c r="IBX117" s="73"/>
      <c r="IBY117" s="73"/>
      <c r="IBZ117" s="73"/>
      <c r="ICA117" s="73"/>
      <c r="ICB117" s="73"/>
      <c r="ICC117" s="73"/>
      <c r="ICD117" s="73"/>
      <c r="ICE117" s="73"/>
      <c r="ICF117" s="73"/>
      <c r="ICG117" s="73"/>
      <c r="ICH117" s="73"/>
      <c r="ICI117" s="73"/>
      <c r="ICJ117" s="73"/>
      <c r="ICK117" s="73"/>
      <c r="ICL117" s="73"/>
      <c r="ICM117" s="73"/>
      <c r="ICN117" s="73"/>
      <c r="ICO117" s="73"/>
      <c r="ICP117" s="73"/>
      <c r="ICQ117" s="73"/>
      <c r="ICR117" s="73"/>
      <c r="ICS117" s="73"/>
      <c r="ICT117" s="73"/>
      <c r="ICU117" s="73"/>
      <c r="ICV117" s="73"/>
      <c r="ICW117" s="73"/>
      <c r="ICX117" s="73"/>
      <c r="ICY117" s="73"/>
      <c r="ICZ117" s="73"/>
      <c r="IDA117" s="73"/>
      <c r="IDB117" s="73"/>
      <c r="IDC117" s="73"/>
      <c r="IDD117" s="73"/>
      <c r="IDE117" s="73"/>
      <c r="IDF117" s="73"/>
      <c r="IDG117" s="73"/>
      <c r="IDH117" s="73"/>
      <c r="IDI117" s="73"/>
      <c r="IDJ117" s="73"/>
      <c r="IDK117" s="73"/>
      <c r="IDL117" s="73"/>
      <c r="IDM117" s="73"/>
      <c r="IDN117" s="73"/>
      <c r="IDO117" s="73"/>
      <c r="IDP117" s="73"/>
      <c r="IDQ117" s="73"/>
      <c r="IDR117" s="73"/>
      <c r="IDS117" s="73"/>
      <c r="IDT117" s="73"/>
      <c r="IDU117" s="73"/>
      <c r="IDV117" s="73"/>
      <c r="IDW117" s="73"/>
      <c r="IDX117" s="73"/>
      <c r="IDY117" s="73"/>
      <c r="IDZ117" s="73"/>
      <c r="IEA117" s="73"/>
      <c r="IEB117" s="73"/>
      <c r="IEC117" s="73"/>
      <c r="IED117" s="73"/>
      <c r="IEE117" s="73"/>
      <c r="IEF117" s="73"/>
      <c r="IEG117" s="73"/>
      <c r="IEH117" s="73"/>
      <c r="IEI117" s="73"/>
      <c r="IEJ117" s="73"/>
      <c r="IEK117" s="73"/>
      <c r="IEL117" s="73"/>
      <c r="IEM117" s="73"/>
      <c r="IEN117" s="73"/>
      <c r="IEO117" s="73"/>
      <c r="IEP117" s="73"/>
      <c r="IEQ117" s="73"/>
      <c r="IER117" s="73"/>
      <c r="IES117" s="73"/>
      <c r="IET117" s="73"/>
      <c r="IEU117" s="73"/>
      <c r="IEV117" s="73"/>
      <c r="IEW117" s="73"/>
      <c r="IEX117" s="73"/>
      <c r="IEY117" s="73"/>
      <c r="IEZ117" s="73"/>
      <c r="IFA117" s="73"/>
      <c r="IFB117" s="73"/>
      <c r="IFC117" s="73"/>
      <c r="IFD117" s="73"/>
      <c r="IFE117" s="73"/>
      <c r="IFF117" s="73"/>
      <c r="IFG117" s="73"/>
      <c r="IFH117" s="73"/>
      <c r="IFI117" s="73"/>
      <c r="IFJ117" s="73"/>
      <c r="IFK117" s="73"/>
      <c r="IFL117" s="73"/>
      <c r="IFM117" s="73"/>
      <c r="IFN117" s="73"/>
      <c r="IFO117" s="73"/>
      <c r="IFP117" s="73"/>
      <c r="IFQ117" s="73"/>
      <c r="IFR117" s="73"/>
      <c r="IFS117" s="73"/>
      <c r="IFT117" s="73"/>
      <c r="IFU117" s="73"/>
      <c r="IFV117" s="73"/>
      <c r="IFW117" s="73"/>
      <c r="IFX117" s="73"/>
      <c r="IFY117" s="73"/>
      <c r="IFZ117" s="73"/>
      <c r="IGA117" s="73"/>
      <c r="IGB117" s="73"/>
      <c r="IGC117" s="73"/>
      <c r="IGD117" s="73"/>
      <c r="IGE117" s="73"/>
      <c r="IGF117" s="73"/>
      <c r="IGG117" s="73"/>
      <c r="IGH117" s="73"/>
      <c r="IGI117" s="73"/>
      <c r="IGJ117" s="73"/>
      <c r="IGK117" s="73"/>
      <c r="IGL117" s="73"/>
      <c r="IGM117" s="73"/>
      <c r="IGN117" s="73"/>
      <c r="IGO117" s="73"/>
      <c r="IGP117" s="73"/>
      <c r="IGQ117" s="73"/>
      <c r="IGR117" s="73"/>
      <c r="IGS117" s="73"/>
      <c r="IGT117" s="73"/>
      <c r="IGU117" s="73"/>
      <c r="IGV117" s="73"/>
      <c r="IGW117" s="73"/>
      <c r="IGX117" s="73"/>
      <c r="IGY117" s="73"/>
      <c r="IGZ117" s="73"/>
      <c r="IHA117" s="73"/>
      <c r="IHB117" s="73"/>
      <c r="IHC117" s="73"/>
      <c r="IHD117" s="73"/>
      <c r="IHE117" s="73"/>
      <c r="IHF117" s="73"/>
      <c r="IHG117" s="73"/>
      <c r="IHH117" s="73"/>
      <c r="IHI117" s="73"/>
      <c r="IHJ117" s="73"/>
      <c r="IHK117" s="73"/>
      <c r="IHL117" s="73"/>
      <c r="IHM117" s="73"/>
      <c r="IHN117" s="73"/>
      <c r="IHO117" s="73"/>
      <c r="IHP117" s="73"/>
      <c r="IHQ117" s="73"/>
      <c r="IHR117" s="73"/>
      <c r="IHS117" s="73"/>
      <c r="IHT117" s="73"/>
      <c r="IHU117" s="73"/>
      <c r="IHV117" s="73"/>
      <c r="IHW117" s="73"/>
      <c r="IHX117" s="73"/>
      <c r="IHY117" s="73"/>
      <c r="IHZ117" s="73"/>
      <c r="IIA117" s="73"/>
      <c r="IIB117" s="73"/>
      <c r="IIC117" s="73"/>
      <c r="IID117" s="73"/>
      <c r="IIE117" s="73"/>
      <c r="IIF117" s="73"/>
      <c r="IIG117" s="73"/>
      <c r="IIH117" s="73"/>
      <c r="III117" s="73"/>
      <c r="IIJ117" s="73"/>
      <c r="IIK117" s="73"/>
      <c r="IIL117" s="73"/>
      <c r="IIM117" s="73"/>
      <c r="IIN117" s="73"/>
      <c r="IIO117" s="73"/>
      <c r="IIP117" s="73"/>
      <c r="IIQ117" s="73"/>
      <c r="IIR117" s="73"/>
      <c r="IIS117" s="73"/>
      <c r="IIT117" s="73"/>
      <c r="IIU117" s="73"/>
      <c r="IIV117" s="73"/>
      <c r="IIW117" s="73"/>
      <c r="IIX117" s="73"/>
      <c r="IIY117" s="73"/>
      <c r="IIZ117" s="73"/>
      <c r="IJA117" s="73"/>
      <c r="IJB117" s="73"/>
      <c r="IJC117" s="73"/>
      <c r="IJD117" s="73"/>
      <c r="IJE117" s="73"/>
      <c r="IJF117" s="73"/>
      <c r="IJG117" s="73"/>
      <c r="IJH117" s="73"/>
      <c r="IJI117" s="73"/>
      <c r="IJJ117" s="73"/>
      <c r="IJK117" s="73"/>
      <c r="IJL117" s="73"/>
      <c r="IJM117" s="73"/>
      <c r="IJN117" s="73"/>
      <c r="IJO117" s="73"/>
      <c r="IJP117" s="73"/>
      <c r="IJQ117" s="73"/>
      <c r="IJR117" s="73"/>
      <c r="IJS117" s="73"/>
      <c r="IJT117" s="73"/>
      <c r="IJU117" s="73"/>
      <c r="IJV117" s="73"/>
      <c r="IJW117" s="73"/>
      <c r="IJX117" s="73"/>
      <c r="IJY117" s="73"/>
      <c r="IJZ117" s="73"/>
      <c r="IKA117" s="73"/>
      <c r="IKB117" s="73"/>
      <c r="IKC117" s="73"/>
      <c r="IKD117" s="73"/>
      <c r="IKE117" s="73"/>
      <c r="IKF117" s="73"/>
      <c r="IKG117" s="73"/>
      <c r="IKH117" s="73"/>
      <c r="IKI117" s="73"/>
      <c r="IKJ117" s="73"/>
      <c r="IKK117" s="73"/>
      <c r="IKL117" s="73"/>
      <c r="IKM117" s="73"/>
      <c r="IKN117" s="73"/>
      <c r="IKO117" s="73"/>
      <c r="IKP117" s="73"/>
      <c r="IKQ117" s="73"/>
      <c r="IKR117" s="73"/>
      <c r="IKS117" s="73"/>
      <c r="IKT117" s="73"/>
      <c r="IKU117" s="73"/>
      <c r="IKV117" s="73"/>
      <c r="IKW117" s="73"/>
      <c r="IKX117" s="73"/>
      <c r="IKY117" s="73"/>
      <c r="IKZ117" s="73"/>
      <c r="ILA117" s="73"/>
      <c r="ILB117" s="73"/>
      <c r="ILC117" s="73"/>
      <c r="ILD117" s="73"/>
      <c r="ILE117" s="73"/>
      <c r="ILF117" s="73"/>
      <c r="ILG117" s="73"/>
      <c r="ILH117" s="73"/>
      <c r="ILI117" s="73"/>
      <c r="ILJ117" s="73"/>
      <c r="ILK117" s="73"/>
      <c r="ILL117" s="73"/>
      <c r="ILM117" s="73"/>
      <c r="ILN117" s="73"/>
      <c r="ILO117" s="73"/>
      <c r="ILP117" s="73"/>
      <c r="ILQ117" s="73"/>
      <c r="ILR117" s="73"/>
      <c r="ILS117" s="73"/>
      <c r="ILT117" s="73"/>
      <c r="ILU117" s="73"/>
      <c r="ILV117" s="73"/>
      <c r="ILW117" s="73"/>
      <c r="ILX117" s="73"/>
      <c r="ILY117" s="73"/>
      <c r="ILZ117" s="73"/>
      <c r="IMA117" s="73"/>
      <c r="IMB117" s="73"/>
      <c r="IMC117" s="73"/>
      <c r="IMD117" s="73"/>
      <c r="IME117" s="73"/>
      <c r="IMF117" s="73"/>
      <c r="IMG117" s="73"/>
      <c r="IMH117" s="73"/>
      <c r="IMI117" s="73"/>
      <c r="IMJ117" s="73"/>
      <c r="IMK117" s="73"/>
      <c r="IML117" s="73"/>
      <c r="IMM117" s="73"/>
      <c r="IMN117" s="73"/>
      <c r="IMO117" s="73"/>
      <c r="IMP117" s="73"/>
      <c r="IMQ117" s="73"/>
      <c r="IMR117" s="73"/>
      <c r="IMS117" s="73"/>
      <c r="IMT117" s="73"/>
      <c r="IMU117" s="73"/>
      <c r="IMV117" s="73"/>
      <c r="IMW117" s="73"/>
      <c r="IMX117" s="73"/>
      <c r="IMY117" s="73"/>
      <c r="IMZ117" s="73"/>
      <c r="INA117" s="73"/>
      <c r="INB117" s="73"/>
      <c r="INC117" s="73"/>
      <c r="IND117" s="73"/>
      <c r="INE117" s="73"/>
      <c r="INF117" s="73"/>
      <c r="ING117" s="73"/>
      <c r="INH117" s="73"/>
      <c r="INI117" s="73"/>
      <c r="INJ117" s="73"/>
      <c r="INK117" s="73"/>
      <c r="INL117" s="73"/>
      <c r="INM117" s="73"/>
      <c r="INN117" s="73"/>
      <c r="INO117" s="73"/>
      <c r="INP117" s="73"/>
      <c r="INQ117" s="73"/>
      <c r="INR117" s="73"/>
      <c r="INS117" s="73"/>
      <c r="INT117" s="73"/>
      <c r="INU117" s="73"/>
      <c r="INV117" s="73"/>
      <c r="INW117" s="73"/>
      <c r="INX117" s="73"/>
      <c r="INY117" s="73"/>
      <c r="INZ117" s="73"/>
      <c r="IOA117" s="73"/>
      <c r="IOB117" s="73"/>
      <c r="IOC117" s="73"/>
      <c r="IOD117" s="73"/>
      <c r="IOE117" s="73"/>
      <c r="IOF117" s="73"/>
      <c r="IOG117" s="73"/>
      <c r="IOH117" s="73"/>
      <c r="IOI117" s="73"/>
      <c r="IOJ117" s="73"/>
      <c r="IOK117" s="73"/>
      <c r="IOL117" s="73"/>
      <c r="IOM117" s="73"/>
      <c r="ION117" s="73"/>
      <c r="IOO117" s="73"/>
      <c r="IOP117" s="73"/>
      <c r="IOQ117" s="73"/>
      <c r="IOR117" s="73"/>
      <c r="IOS117" s="73"/>
      <c r="IOT117" s="73"/>
      <c r="IOU117" s="73"/>
      <c r="IOV117" s="73"/>
      <c r="IOW117" s="73"/>
      <c r="IOX117" s="73"/>
      <c r="IOY117" s="73"/>
      <c r="IOZ117" s="73"/>
      <c r="IPA117" s="73"/>
      <c r="IPB117" s="73"/>
      <c r="IPC117" s="73"/>
      <c r="IPD117" s="73"/>
      <c r="IPE117" s="73"/>
      <c r="IPF117" s="73"/>
      <c r="IPG117" s="73"/>
      <c r="IPH117" s="73"/>
      <c r="IPI117" s="73"/>
      <c r="IPJ117" s="73"/>
      <c r="IPK117" s="73"/>
      <c r="IPL117" s="73"/>
      <c r="IPM117" s="73"/>
      <c r="IPN117" s="73"/>
      <c r="IPO117" s="73"/>
      <c r="IPP117" s="73"/>
      <c r="IPQ117" s="73"/>
      <c r="IPR117" s="73"/>
      <c r="IPS117" s="73"/>
      <c r="IPT117" s="73"/>
      <c r="IPU117" s="73"/>
      <c r="IPV117" s="73"/>
      <c r="IPW117" s="73"/>
      <c r="IPX117" s="73"/>
      <c r="IPY117" s="73"/>
      <c r="IPZ117" s="73"/>
      <c r="IQA117" s="73"/>
      <c r="IQB117" s="73"/>
      <c r="IQC117" s="73"/>
      <c r="IQD117" s="73"/>
      <c r="IQE117" s="73"/>
      <c r="IQF117" s="73"/>
      <c r="IQG117" s="73"/>
      <c r="IQH117" s="73"/>
      <c r="IQI117" s="73"/>
      <c r="IQJ117" s="73"/>
      <c r="IQK117" s="73"/>
      <c r="IQL117" s="73"/>
      <c r="IQM117" s="73"/>
      <c r="IQN117" s="73"/>
      <c r="IQO117" s="73"/>
      <c r="IQP117" s="73"/>
      <c r="IQQ117" s="73"/>
      <c r="IQR117" s="73"/>
      <c r="IQS117" s="73"/>
      <c r="IQT117" s="73"/>
      <c r="IQU117" s="73"/>
      <c r="IQV117" s="73"/>
      <c r="IQW117" s="73"/>
      <c r="IQX117" s="73"/>
      <c r="IQY117" s="73"/>
      <c r="IQZ117" s="73"/>
      <c r="IRA117" s="73"/>
      <c r="IRB117" s="73"/>
      <c r="IRC117" s="73"/>
      <c r="IRD117" s="73"/>
      <c r="IRE117" s="73"/>
      <c r="IRF117" s="73"/>
      <c r="IRG117" s="73"/>
      <c r="IRH117" s="73"/>
      <c r="IRI117" s="73"/>
      <c r="IRJ117" s="73"/>
      <c r="IRK117" s="73"/>
      <c r="IRL117" s="73"/>
      <c r="IRM117" s="73"/>
      <c r="IRN117" s="73"/>
      <c r="IRO117" s="73"/>
      <c r="IRP117" s="73"/>
      <c r="IRQ117" s="73"/>
      <c r="IRR117" s="73"/>
      <c r="IRS117" s="73"/>
      <c r="IRT117" s="73"/>
      <c r="IRU117" s="73"/>
      <c r="IRV117" s="73"/>
      <c r="IRW117" s="73"/>
      <c r="IRX117" s="73"/>
      <c r="IRY117" s="73"/>
      <c r="IRZ117" s="73"/>
      <c r="ISA117" s="73"/>
      <c r="ISB117" s="73"/>
      <c r="ISC117" s="73"/>
      <c r="ISD117" s="73"/>
      <c r="ISE117" s="73"/>
      <c r="ISF117" s="73"/>
      <c r="ISG117" s="73"/>
      <c r="ISH117" s="73"/>
      <c r="ISI117" s="73"/>
      <c r="ISJ117" s="73"/>
      <c r="ISK117" s="73"/>
      <c r="ISL117" s="73"/>
      <c r="ISM117" s="73"/>
      <c r="ISN117" s="73"/>
      <c r="ISO117" s="73"/>
      <c r="ISP117" s="73"/>
      <c r="ISQ117" s="73"/>
      <c r="ISR117" s="73"/>
      <c r="ISS117" s="73"/>
      <c r="IST117" s="73"/>
      <c r="ISU117" s="73"/>
      <c r="ISV117" s="73"/>
      <c r="ISW117" s="73"/>
      <c r="ISX117" s="73"/>
      <c r="ISY117" s="73"/>
      <c r="ISZ117" s="73"/>
      <c r="ITA117" s="73"/>
      <c r="ITB117" s="73"/>
      <c r="ITC117" s="73"/>
      <c r="ITD117" s="73"/>
      <c r="ITE117" s="73"/>
      <c r="ITF117" s="73"/>
      <c r="ITG117" s="73"/>
      <c r="ITH117" s="73"/>
      <c r="ITI117" s="73"/>
      <c r="ITJ117" s="73"/>
      <c r="ITK117" s="73"/>
      <c r="ITL117" s="73"/>
      <c r="ITM117" s="73"/>
      <c r="ITN117" s="73"/>
      <c r="ITO117" s="73"/>
      <c r="ITP117" s="73"/>
      <c r="ITQ117" s="73"/>
      <c r="ITR117" s="73"/>
      <c r="ITS117" s="73"/>
      <c r="ITT117" s="73"/>
      <c r="ITU117" s="73"/>
      <c r="ITV117" s="73"/>
      <c r="ITW117" s="73"/>
      <c r="ITX117" s="73"/>
      <c r="ITY117" s="73"/>
      <c r="ITZ117" s="73"/>
      <c r="IUA117" s="73"/>
      <c r="IUB117" s="73"/>
      <c r="IUC117" s="73"/>
      <c r="IUD117" s="73"/>
      <c r="IUE117" s="73"/>
      <c r="IUF117" s="73"/>
      <c r="IUG117" s="73"/>
      <c r="IUH117" s="73"/>
      <c r="IUI117" s="73"/>
      <c r="IUJ117" s="73"/>
      <c r="IUK117" s="73"/>
      <c r="IUL117" s="73"/>
      <c r="IUM117" s="73"/>
      <c r="IUN117" s="73"/>
      <c r="IUO117" s="73"/>
      <c r="IUP117" s="73"/>
      <c r="IUQ117" s="73"/>
      <c r="IUR117" s="73"/>
      <c r="IUS117" s="73"/>
      <c r="IUT117" s="73"/>
      <c r="IUU117" s="73"/>
      <c r="IUV117" s="73"/>
      <c r="IUW117" s="73"/>
      <c r="IUX117" s="73"/>
      <c r="IUY117" s="73"/>
      <c r="IUZ117" s="73"/>
      <c r="IVA117" s="73"/>
      <c r="IVB117" s="73"/>
      <c r="IVC117" s="73"/>
      <c r="IVD117" s="73"/>
      <c r="IVE117" s="73"/>
      <c r="IVF117" s="73"/>
      <c r="IVG117" s="73"/>
      <c r="IVH117" s="73"/>
      <c r="IVI117" s="73"/>
      <c r="IVJ117" s="73"/>
      <c r="IVK117" s="73"/>
      <c r="IVL117" s="73"/>
      <c r="IVM117" s="73"/>
      <c r="IVN117" s="73"/>
      <c r="IVO117" s="73"/>
      <c r="IVP117" s="73"/>
      <c r="IVQ117" s="73"/>
      <c r="IVR117" s="73"/>
      <c r="IVS117" s="73"/>
      <c r="IVT117" s="73"/>
      <c r="IVU117" s="73"/>
      <c r="IVV117" s="73"/>
      <c r="IVW117" s="73"/>
      <c r="IVX117" s="73"/>
      <c r="IVY117" s="73"/>
      <c r="IVZ117" s="73"/>
      <c r="IWA117" s="73"/>
      <c r="IWB117" s="73"/>
      <c r="IWC117" s="73"/>
      <c r="IWD117" s="73"/>
      <c r="IWE117" s="73"/>
      <c r="IWF117" s="73"/>
      <c r="IWG117" s="73"/>
      <c r="IWH117" s="73"/>
      <c r="IWI117" s="73"/>
      <c r="IWJ117" s="73"/>
      <c r="IWK117" s="73"/>
      <c r="IWL117" s="73"/>
      <c r="IWM117" s="73"/>
      <c r="IWN117" s="73"/>
      <c r="IWO117" s="73"/>
      <c r="IWP117" s="73"/>
      <c r="IWQ117" s="73"/>
      <c r="IWR117" s="73"/>
      <c r="IWS117" s="73"/>
      <c r="IWT117" s="73"/>
      <c r="IWU117" s="73"/>
      <c r="IWV117" s="73"/>
      <c r="IWW117" s="73"/>
      <c r="IWX117" s="73"/>
      <c r="IWY117" s="73"/>
      <c r="IWZ117" s="73"/>
      <c r="IXA117" s="73"/>
      <c r="IXB117" s="73"/>
      <c r="IXC117" s="73"/>
      <c r="IXD117" s="73"/>
      <c r="IXE117" s="73"/>
      <c r="IXF117" s="73"/>
      <c r="IXG117" s="73"/>
      <c r="IXH117" s="73"/>
      <c r="IXI117" s="73"/>
      <c r="IXJ117" s="73"/>
      <c r="IXK117" s="73"/>
      <c r="IXL117" s="73"/>
      <c r="IXM117" s="73"/>
      <c r="IXN117" s="73"/>
      <c r="IXO117" s="73"/>
      <c r="IXP117" s="73"/>
      <c r="IXQ117" s="73"/>
      <c r="IXR117" s="73"/>
      <c r="IXS117" s="73"/>
      <c r="IXT117" s="73"/>
      <c r="IXU117" s="73"/>
      <c r="IXV117" s="73"/>
      <c r="IXW117" s="73"/>
      <c r="IXX117" s="73"/>
      <c r="IXY117" s="73"/>
      <c r="IXZ117" s="73"/>
      <c r="IYA117" s="73"/>
      <c r="IYB117" s="73"/>
      <c r="IYC117" s="73"/>
      <c r="IYD117" s="73"/>
      <c r="IYE117" s="73"/>
      <c r="IYF117" s="73"/>
      <c r="IYG117" s="73"/>
      <c r="IYH117" s="73"/>
      <c r="IYI117" s="73"/>
      <c r="IYJ117" s="73"/>
      <c r="IYK117" s="73"/>
      <c r="IYL117" s="73"/>
      <c r="IYM117" s="73"/>
      <c r="IYN117" s="73"/>
      <c r="IYO117" s="73"/>
      <c r="IYP117" s="73"/>
      <c r="IYQ117" s="73"/>
      <c r="IYR117" s="73"/>
      <c r="IYS117" s="73"/>
      <c r="IYT117" s="73"/>
      <c r="IYU117" s="73"/>
      <c r="IYV117" s="73"/>
      <c r="IYW117" s="73"/>
      <c r="IYX117" s="73"/>
      <c r="IYY117" s="73"/>
      <c r="IYZ117" s="73"/>
      <c r="IZA117" s="73"/>
      <c r="IZB117" s="73"/>
      <c r="IZC117" s="73"/>
      <c r="IZD117" s="73"/>
      <c r="IZE117" s="73"/>
      <c r="IZF117" s="73"/>
      <c r="IZG117" s="73"/>
      <c r="IZH117" s="73"/>
      <c r="IZI117" s="73"/>
      <c r="IZJ117" s="73"/>
      <c r="IZK117" s="73"/>
      <c r="IZL117" s="73"/>
      <c r="IZM117" s="73"/>
      <c r="IZN117" s="73"/>
      <c r="IZO117" s="73"/>
      <c r="IZP117" s="73"/>
      <c r="IZQ117" s="73"/>
      <c r="IZR117" s="73"/>
      <c r="IZS117" s="73"/>
      <c r="IZT117" s="73"/>
      <c r="IZU117" s="73"/>
      <c r="IZV117" s="73"/>
      <c r="IZW117" s="73"/>
      <c r="IZX117" s="73"/>
      <c r="IZY117" s="73"/>
      <c r="IZZ117" s="73"/>
      <c r="JAA117" s="73"/>
      <c r="JAB117" s="73"/>
      <c r="JAC117" s="73"/>
      <c r="JAD117" s="73"/>
      <c r="JAE117" s="73"/>
      <c r="JAF117" s="73"/>
      <c r="JAG117" s="73"/>
      <c r="JAH117" s="73"/>
      <c r="JAI117" s="73"/>
      <c r="JAJ117" s="73"/>
      <c r="JAK117" s="73"/>
      <c r="JAL117" s="73"/>
      <c r="JAM117" s="73"/>
      <c r="JAN117" s="73"/>
      <c r="JAO117" s="73"/>
      <c r="JAP117" s="73"/>
      <c r="JAQ117" s="73"/>
      <c r="JAR117" s="73"/>
      <c r="JAS117" s="73"/>
      <c r="JAT117" s="73"/>
      <c r="JAU117" s="73"/>
      <c r="JAV117" s="73"/>
      <c r="JAW117" s="73"/>
      <c r="JAX117" s="73"/>
      <c r="JAY117" s="73"/>
      <c r="JAZ117" s="73"/>
      <c r="JBA117" s="73"/>
      <c r="JBB117" s="73"/>
      <c r="JBC117" s="73"/>
      <c r="JBD117" s="73"/>
      <c r="JBE117" s="73"/>
      <c r="JBF117" s="73"/>
      <c r="JBG117" s="73"/>
      <c r="JBH117" s="73"/>
      <c r="JBI117" s="73"/>
      <c r="JBJ117" s="73"/>
      <c r="JBK117" s="73"/>
      <c r="JBL117" s="73"/>
      <c r="JBM117" s="73"/>
      <c r="JBN117" s="73"/>
      <c r="JBO117" s="73"/>
      <c r="JBP117" s="73"/>
      <c r="JBQ117" s="73"/>
      <c r="JBR117" s="73"/>
      <c r="JBS117" s="73"/>
      <c r="JBT117" s="73"/>
      <c r="JBU117" s="73"/>
      <c r="JBV117" s="73"/>
      <c r="JBW117" s="73"/>
      <c r="JBX117" s="73"/>
      <c r="JBY117" s="73"/>
      <c r="JBZ117" s="73"/>
      <c r="JCA117" s="73"/>
      <c r="JCB117" s="73"/>
      <c r="JCC117" s="73"/>
      <c r="JCD117" s="73"/>
      <c r="JCE117" s="73"/>
      <c r="JCF117" s="73"/>
      <c r="JCG117" s="73"/>
      <c r="JCH117" s="73"/>
      <c r="JCI117" s="73"/>
      <c r="JCJ117" s="73"/>
      <c r="JCK117" s="73"/>
      <c r="JCL117" s="73"/>
      <c r="JCM117" s="73"/>
      <c r="JCN117" s="73"/>
      <c r="JCO117" s="73"/>
      <c r="JCP117" s="73"/>
      <c r="JCQ117" s="73"/>
      <c r="JCR117" s="73"/>
      <c r="JCS117" s="73"/>
      <c r="JCT117" s="73"/>
      <c r="JCU117" s="73"/>
      <c r="JCV117" s="73"/>
      <c r="JCW117" s="73"/>
      <c r="JCX117" s="73"/>
      <c r="JCY117" s="73"/>
      <c r="JCZ117" s="73"/>
      <c r="JDA117" s="73"/>
      <c r="JDB117" s="73"/>
      <c r="JDC117" s="73"/>
      <c r="JDD117" s="73"/>
      <c r="JDE117" s="73"/>
      <c r="JDF117" s="73"/>
      <c r="JDG117" s="73"/>
      <c r="JDH117" s="73"/>
      <c r="JDI117" s="73"/>
      <c r="JDJ117" s="73"/>
      <c r="JDK117" s="73"/>
      <c r="JDL117" s="73"/>
      <c r="JDM117" s="73"/>
      <c r="JDN117" s="73"/>
      <c r="JDO117" s="73"/>
      <c r="JDP117" s="73"/>
      <c r="JDQ117" s="73"/>
      <c r="JDR117" s="73"/>
      <c r="JDS117" s="73"/>
      <c r="JDT117" s="73"/>
      <c r="JDU117" s="73"/>
      <c r="JDV117" s="73"/>
      <c r="JDW117" s="73"/>
      <c r="JDX117" s="73"/>
      <c r="JDY117" s="73"/>
      <c r="JDZ117" s="73"/>
      <c r="JEA117" s="73"/>
      <c r="JEB117" s="73"/>
      <c r="JEC117" s="73"/>
      <c r="JED117" s="73"/>
      <c r="JEE117" s="73"/>
      <c r="JEF117" s="73"/>
      <c r="JEG117" s="73"/>
      <c r="JEH117" s="73"/>
      <c r="JEI117" s="73"/>
      <c r="JEJ117" s="73"/>
      <c r="JEK117" s="73"/>
      <c r="JEL117" s="73"/>
      <c r="JEM117" s="73"/>
      <c r="JEN117" s="73"/>
      <c r="JEO117" s="73"/>
      <c r="JEP117" s="73"/>
      <c r="JEQ117" s="73"/>
      <c r="JER117" s="73"/>
      <c r="JES117" s="73"/>
      <c r="JET117" s="73"/>
      <c r="JEU117" s="73"/>
      <c r="JEV117" s="73"/>
      <c r="JEW117" s="73"/>
      <c r="JEX117" s="73"/>
      <c r="JEY117" s="73"/>
      <c r="JEZ117" s="73"/>
      <c r="JFA117" s="73"/>
      <c r="JFB117" s="73"/>
      <c r="JFC117" s="73"/>
      <c r="JFD117" s="73"/>
      <c r="JFE117" s="73"/>
      <c r="JFF117" s="73"/>
      <c r="JFG117" s="73"/>
      <c r="JFH117" s="73"/>
      <c r="JFI117" s="73"/>
      <c r="JFJ117" s="73"/>
      <c r="JFK117" s="73"/>
      <c r="JFL117" s="73"/>
      <c r="JFM117" s="73"/>
      <c r="JFN117" s="73"/>
      <c r="JFO117" s="73"/>
      <c r="JFP117" s="73"/>
      <c r="JFQ117" s="73"/>
      <c r="JFR117" s="73"/>
      <c r="JFS117" s="73"/>
      <c r="JFT117" s="73"/>
      <c r="JFU117" s="73"/>
      <c r="JFV117" s="73"/>
      <c r="JFW117" s="73"/>
      <c r="JFX117" s="73"/>
      <c r="JFY117" s="73"/>
      <c r="JFZ117" s="73"/>
      <c r="JGA117" s="73"/>
      <c r="JGB117" s="73"/>
      <c r="JGC117" s="73"/>
      <c r="JGD117" s="73"/>
      <c r="JGE117" s="73"/>
      <c r="JGF117" s="73"/>
      <c r="JGG117" s="73"/>
      <c r="JGH117" s="73"/>
      <c r="JGI117" s="73"/>
      <c r="JGJ117" s="73"/>
      <c r="JGK117" s="73"/>
      <c r="JGL117" s="73"/>
      <c r="JGM117" s="73"/>
      <c r="JGN117" s="73"/>
      <c r="JGO117" s="73"/>
      <c r="JGP117" s="73"/>
      <c r="JGQ117" s="73"/>
      <c r="JGR117" s="73"/>
      <c r="JGS117" s="73"/>
      <c r="JGT117" s="73"/>
      <c r="JGU117" s="73"/>
      <c r="JGV117" s="73"/>
      <c r="JGW117" s="73"/>
      <c r="JGX117" s="73"/>
      <c r="JGY117" s="73"/>
      <c r="JGZ117" s="73"/>
      <c r="JHA117" s="73"/>
      <c r="JHB117" s="73"/>
      <c r="JHC117" s="73"/>
      <c r="JHD117" s="73"/>
      <c r="JHE117" s="73"/>
      <c r="JHF117" s="73"/>
      <c r="JHG117" s="73"/>
      <c r="JHH117" s="73"/>
      <c r="JHI117" s="73"/>
      <c r="JHJ117" s="73"/>
      <c r="JHK117" s="73"/>
      <c r="JHL117" s="73"/>
      <c r="JHM117" s="73"/>
      <c r="JHN117" s="73"/>
      <c r="JHO117" s="73"/>
      <c r="JHP117" s="73"/>
      <c r="JHQ117" s="73"/>
      <c r="JHR117" s="73"/>
      <c r="JHS117" s="73"/>
      <c r="JHT117" s="73"/>
      <c r="JHU117" s="73"/>
      <c r="JHV117" s="73"/>
      <c r="JHW117" s="73"/>
      <c r="JHX117" s="73"/>
      <c r="JHY117" s="73"/>
      <c r="JHZ117" s="73"/>
      <c r="JIA117" s="73"/>
      <c r="JIB117" s="73"/>
      <c r="JIC117" s="73"/>
      <c r="JID117" s="73"/>
      <c r="JIE117" s="73"/>
      <c r="JIF117" s="73"/>
      <c r="JIG117" s="73"/>
      <c r="JIH117" s="73"/>
      <c r="JII117" s="73"/>
      <c r="JIJ117" s="73"/>
      <c r="JIK117" s="73"/>
      <c r="JIL117" s="73"/>
      <c r="JIM117" s="73"/>
      <c r="JIN117" s="73"/>
      <c r="JIO117" s="73"/>
      <c r="JIP117" s="73"/>
      <c r="JIQ117" s="73"/>
      <c r="JIR117" s="73"/>
      <c r="JIS117" s="73"/>
      <c r="JIT117" s="73"/>
      <c r="JIU117" s="73"/>
      <c r="JIV117" s="73"/>
      <c r="JIW117" s="73"/>
      <c r="JIX117" s="73"/>
      <c r="JIY117" s="73"/>
      <c r="JIZ117" s="73"/>
      <c r="JJA117" s="73"/>
      <c r="JJB117" s="73"/>
      <c r="JJC117" s="73"/>
      <c r="JJD117" s="73"/>
      <c r="JJE117" s="73"/>
      <c r="JJF117" s="73"/>
      <c r="JJG117" s="73"/>
      <c r="JJH117" s="73"/>
      <c r="JJI117" s="73"/>
      <c r="JJJ117" s="73"/>
      <c r="JJK117" s="73"/>
      <c r="JJL117" s="73"/>
      <c r="JJM117" s="73"/>
      <c r="JJN117" s="73"/>
      <c r="JJO117" s="73"/>
      <c r="JJP117" s="73"/>
      <c r="JJQ117" s="73"/>
      <c r="JJR117" s="73"/>
      <c r="JJS117" s="73"/>
      <c r="JJT117" s="73"/>
      <c r="JJU117" s="73"/>
      <c r="JJV117" s="73"/>
      <c r="JJW117" s="73"/>
      <c r="JJX117" s="73"/>
      <c r="JJY117" s="73"/>
      <c r="JJZ117" s="73"/>
      <c r="JKA117" s="73"/>
      <c r="JKB117" s="73"/>
      <c r="JKC117" s="73"/>
      <c r="JKD117" s="73"/>
      <c r="JKE117" s="73"/>
      <c r="JKF117" s="73"/>
      <c r="JKG117" s="73"/>
      <c r="JKH117" s="73"/>
      <c r="JKI117" s="73"/>
      <c r="JKJ117" s="73"/>
      <c r="JKK117" s="73"/>
      <c r="JKL117" s="73"/>
      <c r="JKM117" s="73"/>
      <c r="JKN117" s="73"/>
      <c r="JKO117" s="73"/>
      <c r="JKP117" s="73"/>
      <c r="JKQ117" s="73"/>
      <c r="JKR117" s="73"/>
      <c r="JKS117" s="73"/>
      <c r="JKT117" s="73"/>
      <c r="JKU117" s="73"/>
      <c r="JKV117" s="73"/>
      <c r="JKW117" s="73"/>
      <c r="JKX117" s="73"/>
      <c r="JKY117" s="73"/>
      <c r="JKZ117" s="73"/>
      <c r="JLA117" s="73"/>
      <c r="JLB117" s="73"/>
      <c r="JLC117" s="73"/>
      <c r="JLD117" s="73"/>
      <c r="JLE117" s="73"/>
      <c r="JLF117" s="73"/>
      <c r="JLG117" s="73"/>
      <c r="JLH117" s="73"/>
      <c r="JLI117" s="73"/>
      <c r="JLJ117" s="73"/>
      <c r="JLK117" s="73"/>
      <c r="JLL117" s="73"/>
      <c r="JLM117" s="73"/>
      <c r="JLN117" s="73"/>
      <c r="JLO117" s="73"/>
      <c r="JLP117" s="73"/>
      <c r="JLQ117" s="73"/>
      <c r="JLR117" s="73"/>
      <c r="JLS117" s="73"/>
      <c r="JLT117" s="73"/>
      <c r="JLU117" s="73"/>
      <c r="JLV117" s="73"/>
      <c r="JLW117" s="73"/>
      <c r="JLX117" s="73"/>
      <c r="JLY117" s="73"/>
      <c r="JLZ117" s="73"/>
      <c r="JMA117" s="73"/>
      <c r="JMB117" s="73"/>
      <c r="JMC117" s="73"/>
      <c r="JMD117" s="73"/>
      <c r="JME117" s="73"/>
      <c r="JMF117" s="73"/>
      <c r="JMG117" s="73"/>
      <c r="JMH117" s="73"/>
      <c r="JMI117" s="73"/>
      <c r="JMJ117" s="73"/>
      <c r="JMK117" s="73"/>
      <c r="JML117" s="73"/>
      <c r="JMM117" s="73"/>
      <c r="JMN117" s="73"/>
      <c r="JMO117" s="73"/>
      <c r="JMP117" s="73"/>
      <c r="JMQ117" s="73"/>
      <c r="JMR117" s="73"/>
      <c r="JMS117" s="73"/>
      <c r="JMT117" s="73"/>
      <c r="JMU117" s="73"/>
      <c r="JMV117" s="73"/>
      <c r="JMW117" s="73"/>
      <c r="JMX117" s="73"/>
      <c r="JMY117" s="73"/>
      <c r="JMZ117" s="73"/>
      <c r="JNA117" s="73"/>
      <c r="JNB117" s="73"/>
      <c r="JNC117" s="73"/>
      <c r="JND117" s="73"/>
      <c r="JNE117" s="73"/>
      <c r="JNF117" s="73"/>
      <c r="JNG117" s="73"/>
      <c r="JNH117" s="73"/>
      <c r="JNI117" s="73"/>
      <c r="JNJ117" s="73"/>
      <c r="JNK117" s="73"/>
      <c r="JNL117" s="73"/>
      <c r="JNM117" s="73"/>
      <c r="JNN117" s="73"/>
      <c r="JNO117" s="73"/>
      <c r="JNP117" s="73"/>
      <c r="JNQ117" s="73"/>
      <c r="JNR117" s="73"/>
      <c r="JNS117" s="73"/>
      <c r="JNT117" s="73"/>
      <c r="JNU117" s="73"/>
      <c r="JNV117" s="73"/>
      <c r="JNW117" s="73"/>
      <c r="JNX117" s="73"/>
      <c r="JNY117" s="73"/>
      <c r="JNZ117" s="73"/>
      <c r="JOA117" s="73"/>
      <c r="JOB117" s="73"/>
      <c r="JOC117" s="73"/>
      <c r="JOD117" s="73"/>
      <c r="JOE117" s="73"/>
      <c r="JOF117" s="73"/>
      <c r="JOG117" s="73"/>
      <c r="JOH117" s="73"/>
      <c r="JOI117" s="73"/>
      <c r="JOJ117" s="73"/>
      <c r="JOK117" s="73"/>
      <c r="JOL117" s="73"/>
      <c r="JOM117" s="73"/>
      <c r="JON117" s="73"/>
      <c r="JOO117" s="73"/>
      <c r="JOP117" s="73"/>
      <c r="JOQ117" s="73"/>
      <c r="JOR117" s="73"/>
      <c r="JOS117" s="73"/>
      <c r="JOT117" s="73"/>
      <c r="JOU117" s="73"/>
      <c r="JOV117" s="73"/>
      <c r="JOW117" s="73"/>
      <c r="JOX117" s="73"/>
      <c r="JOY117" s="73"/>
      <c r="JOZ117" s="73"/>
      <c r="JPA117" s="73"/>
      <c r="JPB117" s="73"/>
      <c r="JPC117" s="73"/>
      <c r="JPD117" s="73"/>
      <c r="JPE117" s="73"/>
      <c r="JPF117" s="73"/>
      <c r="JPG117" s="73"/>
      <c r="JPH117" s="73"/>
      <c r="JPI117" s="73"/>
      <c r="JPJ117" s="73"/>
      <c r="JPK117" s="73"/>
      <c r="JPL117" s="73"/>
      <c r="JPM117" s="73"/>
      <c r="JPN117" s="73"/>
      <c r="JPO117" s="73"/>
      <c r="JPP117" s="73"/>
      <c r="JPQ117" s="73"/>
      <c r="JPR117" s="73"/>
      <c r="JPS117" s="73"/>
      <c r="JPT117" s="73"/>
      <c r="JPU117" s="73"/>
      <c r="JPV117" s="73"/>
      <c r="JPW117" s="73"/>
      <c r="JPX117" s="73"/>
      <c r="JPY117" s="73"/>
      <c r="JPZ117" s="73"/>
      <c r="JQA117" s="73"/>
      <c r="JQB117" s="73"/>
      <c r="JQC117" s="73"/>
      <c r="JQD117" s="73"/>
      <c r="JQE117" s="73"/>
      <c r="JQF117" s="73"/>
      <c r="JQG117" s="73"/>
      <c r="JQH117" s="73"/>
      <c r="JQI117" s="73"/>
      <c r="JQJ117" s="73"/>
      <c r="JQK117" s="73"/>
      <c r="JQL117" s="73"/>
      <c r="JQM117" s="73"/>
      <c r="JQN117" s="73"/>
      <c r="JQO117" s="73"/>
      <c r="JQP117" s="73"/>
      <c r="JQQ117" s="73"/>
      <c r="JQR117" s="73"/>
      <c r="JQS117" s="73"/>
      <c r="JQT117" s="73"/>
      <c r="JQU117" s="73"/>
      <c r="JQV117" s="73"/>
      <c r="JQW117" s="73"/>
      <c r="JQX117" s="73"/>
      <c r="JQY117" s="73"/>
      <c r="JQZ117" s="73"/>
      <c r="JRA117" s="73"/>
      <c r="JRB117" s="73"/>
      <c r="JRC117" s="73"/>
      <c r="JRD117" s="73"/>
      <c r="JRE117" s="73"/>
      <c r="JRF117" s="73"/>
      <c r="JRG117" s="73"/>
      <c r="JRH117" s="73"/>
      <c r="JRI117" s="73"/>
      <c r="JRJ117" s="73"/>
      <c r="JRK117" s="73"/>
      <c r="JRL117" s="73"/>
      <c r="JRM117" s="73"/>
      <c r="JRN117" s="73"/>
      <c r="JRO117" s="73"/>
      <c r="JRP117" s="73"/>
      <c r="JRQ117" s="73"/>
      <c r="JRR117" s="73"/>
      <c r="JRS117" s="73"/>
      <c r="JRT117" s="73"/>
      <c r="JRU117" s="73"/>
      <c r="JRV117" s="73"/>
      <c r="JRW117" s="73"/>
      <c r="JRX117" s="73"/>
      <c r="JRY117" s="73"/>
      <c r="JRZ117" s="73"/>
      <c r="JSA117" s="73"/>
      <c r="JSB117" s="73"/>
      <c r="JSC117" s="73"/>
      <c r="JSD117" s="73"/>
      <c r="JSE117" s="73"/>
      <c r="JSF117" s="73"/>
      <c r="JSG117" s="73"/>
      <c r="JSH117" s="73"/>
      <c r="JSI117" s="73"/>
      <c r="JSJ117" s="73"/>
      <c r="JSK117" s="73"/>
      <c r="JSL117" s="73"/>
      <c r="JSM117" s="73"/>
      <c r="JSN117" s="73"/>
      <c r="JSO117" s="73"/>
      <c r="JSP117" s="73"/>
      <c r="JSQ117" s="73"/>
      <c r="JSR117" s="73"/>
      <c r="JSS117" s="73"/>
      <c r="JST117" s="73"/>
      <c r="JSU117" s="73"/>
      <c r="JSV117" s="73"/>
      <c r="JSW117" s="73"/>
      <c r="JSX117" s="73"/>
      <c r="JSY117" s="73"/>
      <c r="JSZ117" s="73"/>
      <c r="JTA117" s="73"/>
      <c r="JTB117" s="73"/>
      <c r="JTC117" s="73"/>
      <c r="JTD117" s="73"/>
      <c r="JTE117" s="73"/>
      <c r="JTF117" s="73"/>
      <c r="JTG117" s="73"/>
      <c r="JTH117" s="73"/>
      <c r="JTI117" s="73"/>
      <c r="JTJ117" s="73"/>
      <c r="JTK117" s="73"/>
      <c r="JTL117" s="73"/>
      <c r="JTM117" s="73"/>
      <c r="JTN117" s="73"/>
      <c r="JTO117" s="73"/>
      <c r="JTP117" s="73"/>
      <c r="JTQ117" s="73"/>
      <c r="JTR117" s="73"/>
      <c r="JTS117" s="73"/>
      <c r="JTT117" s="73"/>
      <c r="JTU117" s="73"/>
      <c r="JTV117" s="73"/>
      <c r="JTW117" s="73"/>
      <c r="JTX117" s="73"/>
      <c r="JTY117" s="73"/>
      <c r="JTZ117" s="73"/>
      <c r="JUA117" s="73"/>
      <c r="JUB117" s="73"/>
      <c r="JUC117" s="73"/>
      <c r="JUD117" s="73"/>
      <c r="JUE117" s="73"/>
      <c r="JUF117" s="73"/>
      <c r="JUG117" s="73"/>
      <c r="JUH117" s="73"/>
      <c r="JUI117" s="73"/>
      <c r="JUJ117" s="73"/>
      <c r="JUK117" s="73"/>
      <c r="JUL117" s="73"/>
      <c r="JUM117" s="73"/>
      <c r="JUN117" s="73"/>
      <c r="JUO117" s="73"/>
      <c r="JUP117" s="73"/>
      <c r="JUQ117" s="73"/>
      <c r="JUR117" s="73"/>
      <c r="JUS117" s="73"/>
      <c r="JUT117" s="73"/>
      <c r="JUU117" s="73"/>
      <c r="JUV117" s="73"/>
      <c r="JUW117" s="73"/>
      <c r="JUX117" s="73"/>
      <c r="JUY117" s="73"/>
      <c r="JUZ117" s="73"/>
      <c r="JVA117" s="73"/>
      <c r="JVB117" s="73"/>
      <c r="JVC117" s="73"/>
      <c r="JVD117" s="73"/>
      <c r="JVE117" s="73"/>
      <c r="JVF117" s="73"/>
      <c r="JVG117" s="73"/>
      <c r="JVH117" s="73"/>
      <c r="JVI117" s="73"/>
      <c r="JVJ117" s="73"/>
      <c r="JVK117" s="73"/>
      <c r="JVL117" s="73"/>
      <c r="JVM117" s="73"/>
      <c r="JVN117" s="73"/>
      <c r="JVO117" s="73"/>
      <c r="JVP117" s="73"/>
      <c r="JVQ117" s="73"/>
      <c r="JVR117" s="73"/>
      <c r="JVS117" s="73"/>
      <c r="JVT117" s="73"/>
      <c r="JVU117" s="73"/>
      <c r="JVV117" s="73"/>
      <c r="JVW117" s="73"/>
      <c r="JVX117" s="73"/>
      <c r="JVY117" s="73"/>
      <c r="JVZ117" s="73"/>
      <c r="JWA117" s="73"/>
      <c r="JWB117" s="73"/>
      <c r="JWC117" s="73"/>
      <c r="JWD117" s="73"/>
      <c r="JWE117" s="73"/>
      <c r="JWF117" s="73"/>
      <c r="JWG117" s="73"/>
      <c r="JWH117" s="73"/>
      <c r="JWI117" s="73"/>
      <c r="JWJ117" s="73"/>
      <c r="JWK117" s="73"/>
      <c r="JWL117" s="73"/>
      <c r="JWM117" s="73"/>
      <c r="JWN117" s="73"/>
      <c r="JWO117" s="73"/>
      <c r="JWP117" s="73"/>
      <c r="JWQ117" s="73"/>
      <c r="JWR117" s="73"/>
      <c r="JWS117" s="73"/>
      <c r="JWT117" s="73"/>
      <c r="JWU117" s="73"/>
      <c r="JWV117" s="73"/>
      <c r="JWW117" s="73"/>
      <c r="JWX117" s="73"/>
      <c r="JWY117" s="73"/>
      <c r="JWZ117" s="73"/>
      <c r="JXA117" s="73"/>
      <c r="JXB117" s="73"/>
      <c r="JXC117" s="73"/>
      <c r="JXD117" s="73"/>
      <c r="JXE117" s="73"/>
      <c r="JXF117" s="73"/>
      <c r="JXG117" s="73"/>
      <c r="JXH117" s="73"/>
      <c r="JXI117" s="73"/>
      <c r="JXJ117" s="73"/>
      <c r="JXK117" s="73"/>
      <c r="JXL117" s="73"/>
      <c r="JXM117" s="73"/>
      <c r="JXN117" s="73"/>
      <c r="JXO117" s="73"/>
      <c r="JXP117" s="73"/>
      <c r="JXQ117" s="73"/>
      <c r="JXR117" s="73"/>
      <c r="JXS117" s="73"/>
      <c r="JXT117" s="73"/>
      <c r="JXU117" s="73"/>
      <c r="JXV117" s="73"/>
      <c r="JXW117" s="73"/>
      <c r="JXX117" s="73"/>
      <c r="JXY117" s="73"/>
      <c r="JXZ117" s="73"/>
      <c r="JYA117" s="73"/>
      <c r="JYB117" s="73"/>
      <c r="JYC117" s="73"/>
      <c r="JYD117" s="73"/>
      <c r="JYE117" s="73"/>
      <c r="JYF117" s="73"/>
      <c r="JYG117" s="73"/>
      <c r="JYH117" s="73"/>
      <c r="JYI117" s="73"/>
      <c r="JYJ117" s="73"/>
      <c r="JYK117" s="73"/>
      <c r="JYL117" s="73"/>
      <c r="JYM117" s="73"/>
      <c r="JYN117" s="73"/>
      <c r="JYO117" s="73"/>
      <c r="JYP117" s="73"/>
      <c r="JYQ117" s="73"/>
      <c r="JYR117" s="73"/>
      <c r="JYS117" s="73"/>
      <c r="JYT117" s="73"/>
      <c r="JYU117" s="73"/>
      <c r="JYV117" s="73"/>
      <c r="JYW117" s="73"/>
      <c r="JYX117" s="73"/>
      <c r="JYY117" s="73"/>
      <c r="JYZ117" s="73"/>
      <c r="JZA117" s="73"/>
      <c r="JZB117" s="73"/>
      <c r="JZC117" s="73"/>
      <c r="JZD117" s="73"/>
      <c r="JZE117" s="73"/>
      <c r="JZF117" s="73"/>
      <c r="JZG117" s="73"/>
      <c r="JZH117" s="73"/>
      <c r="JZI117" s="73"/>
      <c r="JZJ117" s="73"/>
      <c r="JZK117" s="73"/>
      <c r="JZL117" s="73"/>
      <c r="JZM117" s="73"/>
      <c r="JZN117" s="73"/>
      <c r="JZO117" s="73"/>
      <c r="JZP117" s="73"/>
      <c r="JZQ117" s="73"/>
      <c r="JZR117" s="73"/>
      <c r="JZS117" s="73"/>
      <c r="JZT117" s="73"/>
      <c r="JZU117" s="73"/>
      <c r="JZV117" s="73"/>
      <c r="JZW117" s="73"/>
      <c r="JZX117" s="73"/>
      <c r="JZY117" s="73"/>
      <c r="JZZ117" s="73"/>
      <c r="KAA117" s="73"/>
      <c r="KAB117" s="73"/>
      <c r="KAC117" s="73"/>
      <c r="KAD117" s="73"/>
      <c r="KAE117" s="73"/>
      <c r="KAF117" s="73"/>
      <c r="KAG117" s="73"/>
      <c r="KAH117" s="73"/>
      <c r="KAI117" s="73"/>
      <c r="KAJ117" s="73"/>
      <c r="KAK117" s="73"/>
      <c r="KAL117" s="73"/>
      <c r="KAM117" s="73"/>
      <c r="KAN117" s="73"/>
      <c r="KAO117" s="73"/>
      <c r="KAP117" s="73"/>
      <c r="KAQ117" s="73"/>
      <c r="KAR117" s="73"/>
      <c r="KAS117" s="73"/>
      <c r="KAT117" s="73"/>
      <c r="KAU117" s="73"/>
      <c r="KAV117" s="73"/>
      <c r="KAW117" s="73"/>
      <c r="KAX117" s="73"/>
      <c r="KAY117" s="73"/>
      <c r="KAZ117" s="73"/>
      <c r="KBA117" s="73"/>
      <c r="KBB117" s="73"/>
      <c r="KBC117" s="73"/>
      <c r="KBD117" s="73"/>
      <c r="KBE117" s="73"/>
      <c r="KBF117" s="73"/>
      <c r="KBG117" s="73"/>
      <c r="KBH117" s="73"/>
      <c r="KBI117" s="73"/>
      <c r="KBJ117" s="73"/>
      <c r="KBK117" s="73"/>
      <c r="KBL117" s="73"/>
      <c r="KBM117" s="73"/>
      <c r="KBN117" s="73"/>
      <c r="KBO117" s="73"/>
      <c r="KBP117" s="73"/>
      <c r="KBQ117" s="73"/>
      <c r="KBR117" s="73"/>
      <c r="KBS117" s="73"/>
      <c r="KBT117" s="73"/>
      <c r="KBU117" s="73"/>
      <c r="KBV117" s="73"/>
      <c r="KBW117" s="73"/>
      <c r="KBX117" s="73"/>
      <c r="KBY117" s="73"/>
      <c r="KBZ117" s="73"/>
      <c r="KCA117" s="73"/>
      <c r="KCB117" s="73"/>
      <c r="KCC117" s="73"/>
      <c r="KCD117" s="73"/>
      <c r="KCE117" s="73"/>
      <c r="KCF117" s="73"/>
      <c r="KCG117" s="73"/>
      <c r="KCH117" s="73"/>
      <c r="KCI117" s="73"/>
      <c r="KCJ117" s="73"/>
      <c r="KCK117" s="73"/>
      <c r="KCL117" s="73"/>
      <c r="KCM117" s="73"/>
      <c r="KCN117" s="73"/>
      <c r="KCO117" s="73"/>
      <c r="KCP117" s="73"/>
      <c r="KCQ117" s="73"/>
      <c r="KCR117" s="73"/>
      <c r="KCS117" s="73"/>
      <c r="KCT117" s="73"/>
      <c r="KCU117" s="73"/>
      <c r="KCV117" s="73"/>
      <c r="KCW117" s="73"/>
      <c r="KCX117" s="73"/>
      <c r="KCY117" s="73"/>
      <c r="KCZ117" s="73"/>
      <c r="KDA117" s="73"/>
      <c r="KDB117" s="73"/>
      <c r="KDC117" s="73"/>
      <c r="KDD117" s="73"/>
      <c r="KDE117" s="73"/>
      <c r="KDF117" s="73"/>
      <c r="KDG117" s="73"/>
      <c r="KDH117" s="73"/>
      <c r="KDI117" s="73"/>
      <c r="KDJ117" s="73"/>
      <c r="KDK117" s="73"/>
      <c r="KDL117" s="73"/>
      <c r="KDM117" s="73"/>
      <c r="KDN117" s="73"/>
      <c r="KDO117" s="73"/>
      <c r="KDP117" s="73"/>
      <c r="KDQ117" s="73"/>
      <c r="KDR117" s="73"/>
      <c r="KDS117" s="73"/>
      <c r="KDT117" s="73"/>
      <c r="KDU117" s="73"/>
      <c r="KDV117" s="73"/>
      <c r="KDW117" s="73"/>
      <c r="KDX117" s="73"/>
      <c r="KDY117" s="73"/>
      <c r="KDZ117" s="73"/>
      <c r="KEA117" s="73"/>
      <c r="KEB117" s="73"/>
      <c r="KEC117" s="73"/>
      <c r="KED117" s="73"/>
      <c r="KEE117" s="73"/>
      <c r="KEF117" s="73"/>
      <c r="KEG117" s="73"/>
      <c r="KEH117" s="73"/>
      <c r="KEI117" s="73"/>
      <c r="KEJ117" s="73"/>
      <c r="KEK117" s="73"/>
      <c r="KEL117" s="73"/>
      <c r="KEM117" s="73"/>
      <c r="KEN117" s="73"/>
      <c r="KEO117" s="73"/>
      <c r="KEP117" s="73"/>
      <c r="KEQ117" s="73"/>
      <c r="KER117" s="73"/>
      <c r="KES117" s="73"/>
      <c r="KET117" s="73"/>
      <c r="KEU117" s="73"/>
      <c r="KEV117" s="73"/>
      <c r="KEW117" s="73"/>
      <c r="KEX117" s="73"/>
      <c r="KEY117" s="73"/>
      <c r="KEZ117" s="73"/>
      <c r="KFA117" s="73"/>
      <c r="KFB117" s="73"/>
      <c r="KFC117" s="73"/>
      <c r="KFD117" s="73"/>
      <c r="KFE117" s="73"/>
      <c r="KFF117" s="73"/>
      <c r="KFG117" s="73"/>
      <c r="KFH117" s="73"/>
      <c r="KFI117" s="73"/>
      <c r="KFJ117" s="73"/>
      <c r="KFK117" s="73"/>
      <c r="KFL117" s="73"/>
      <c r="KFM117" s="73"/>
      <c r="KFN117" s="73"/>
      <c r="KFO117" s="73"/>
      <c r="KFP117" s="73"/>
      <c r="KFQ117" s="73"/>
      <c r="KFR117" s="73"/>
      <c r="KFS117" s="73"/>
      <c r="KFT117" s="73"/>
      <c r="KFU117" s="73"/>
      <c r="KFV117" s="73"/>
      <c r="KFW117" s="73"/>
      <c r="KFX117" s="73"/>
      <c r="KFY117" s="73"/>
      <c r="KFZ117" s="73"/>
      <c r="KGA117" s="73"/>
      <c r="KGB117" s="73"/>
      <c r="KGC117" s="73"/>
      <c r="KGD117" s="73"/>
      <c r="KGE117" s="73"/>
      <c r="KGF117" s="73"/>
      <c r="KGG117" s="73"/>
      <c r="KGH117" s="73"/>
      <c r="KGI117" s="73"/>
      <c r="KGJ117" s="73"/>
      <c r="KGK117" s="73"/>
      <c r="KGL117" s="73"/>
      <c r="KGM117" s="73"/>
      <c r="KGN117" s="73"/>
      <c r="KGO117" s="73"/>
      <c r="KGP117" s="73"/>
      <c r="KGQ117" s="73"/>
      <c r="KGR117" s="73"/>
      <c r="KGS117" s="73"/>
      <c r="KGT117" s="73"/>
      <c r="KGU117" s="73"/>
      <c r="KGV117" s="73"/>
      <c r="KGW117" s="73"/>
      <c r="KGX117" s="73"/>
      <c r="KGY117" s="73"/>
      <c r="KGZ117" s="73"/>
      <c r="KHA117" s="73"/>
      <c r="KHB117" s="73"/>
      <c r="KHC117" s="73"/>
      <c r="KHD117" s="73"/>
      <c r="KHE117" s="73"/>
      <c r="KHF117" s="73"/>
      <c r="KHG117" s="73"/>
      <c r="KHH117" s="73"/>
      <c r="KHI117" s="73"/>
      <c r="KHJ117" s="73"/>
      <c r="KHK117" s="73"/>
      <c r="KHL117" s="73"/>
      <c r="KHM117" s="73"/>
      <c r="KHN117" s="73"/>
      <c r="KHO117" s="73"/>
      <c r="KHP117" s="73"/>
      <c r="KHQ117" s="73"/>
      <c r="KHR117" s="73"/>
      <c r="KHS117" s="73"/>
      <c r="KHT117" s="73"/>
      <c r="KHU117" s="73"/>
      <c r="KHV117" s="73"/>
      <c r="KHW117" s="73"/>
      <c r="KHX117" s="73"/>
      <c r="KHY117" s="73"/>
      <c r="KHZ117" s="73"/>
      <c r="KIA117" s="73"/>
      <c r="KIB117" s="73"/>
      <c r="KIC117" s="73"/>
      <c r="KID117" s="73"/>
      <c r="KIE117" s="73"/>
      <c r="KIF117" s="73"/>
      <c r="KIG117" s="73"/>
      <c r="KIH117" s="73"/>
      <c r="KII117" s="73"/>
      <c r="KIJ117" s="73"/>
      <c r="KIK117" s="73"/>
      <c r="KIL117" s="73"/>
      <c r="KIM117" s="73"/>
      <c r="KIN117" s="73"/>
      <c r="KIO117" s="73"/>
      <c r="KIP117" s="73"/>
      <c r="KIQ117" s="73"/>
      <c r="KIR117" s="73"/>
      <c r="KIS117" s="73"/>
      <c r="KIT117" s="73"/>
      <c r="KIU117" s="73"/>
      <c r="KIV117" s="73"/>
      <c r="KIW117" s="73"/>
      <c r="KIX117" s="73"/>
      <c r="KIY117" s="73"/>
      <c r="KIZ117" s="73"/>
      <c r="KJA117" s="73"/>
      <c r="KJB117" s="73"/>
      <c r="KJC117" s="73"/>
      <c r="KJD117" s="73"/>
      <c r="KJE117" s="73"/>
      <c r="KJF117" s="73"/>
      <c r="KJG117" s="73"/>
      <c r="KJH117" s="73"/>
      <c r="KJI117" s="73"/>
      <c r="KJJ117" s="73"/>
      <c r="KJK117" s="73"/>
      <c r="KJL117" s="73"/>
      <c r="KJM117" s="73"/>
      <c r="KJN117" s="73"/>
      <c r="KJO117" s="73"/>
      <c r="KJP117" s="73"/>
      <c r="KJQ117" s="73"/>
      <c r="KJR117" s="73"/>
      <c r="KJS117" s="73"/>
      <c r="KJT117" s="73"/>
      <c r="KJU117" s="73"/>
      <c r="KJV117" s="73"/>
      <c r="KJW117" s="73"/>
      <c r="KJX117" s="73"/>
      <c r="KJY117" s="73"/>
      <c r="KJZ117" s="73"/>
      <c r="KKA117" s="73"/>
      <c r="KKB117" s="73"/>
      <c r="KKC117" s="73"/>
      <c r="KKD117" s="73"/>
      <c r="KKE117" s="73"/>
      <c r="KKF117" s="73"/>
      <c r="KKG117" s="73"/>
      <c r="KKH117" s="73"/>
      <c r="KKI117" s="73"/>
      <c r="KKJ117" s="73"/>
      <c r="KKK117" s="73"/>
      <c r="KKL117" s="73"/>
      <c r="KKM117" s="73"/>
      <c r="KKN117" s="73"/>
      <c r="KKO117" s="73"/>
      <c r="KKP117" s="73"/>
      <c r="KKQ117" s="73"/>
      <c r="KKR117" s="73"/>
      <c r="KKS117" s="73"/>
      <c r="KKT117" s="73"/>
      <c r="KKU117" s="73"/>
      <c r="KKV117" s="73"/>
      <c r="KKW117" s="73"/>
      <c r="KKX117" s="73"/>
      <c r="KKY117" s="73"/>
      <c r="KKZ117" s="73"/>
      <c r="KLA117" s="73"/>
      <c r="KLB117" s="73"/>
      <c r="KLC117" s="73"/>
      <c r="KLD117" s="73"/>
      <c r="KLE117" s="73"/>
      <c r="KLF117" s="73"/>
      <c r="KLG117" s="73"/>
      <c r="KLH117" s="73"/>
      <c r="KLI117" s="73"/>
      <c r="KLJ117" s="73"/>
      <c r="KLK117" s="73"/>
      <c r="KLL117" s="73"/>
      <c r="KLM117" s="73"/>
      <c r="KLN117" s="73"/>
      <c r="KLO117" s="73"/>
      <c r="KLP117" s="73"/>
      <c r="KLQ117" s="73"/>
      <c r="KLR117" s="73"/>
      <c r="KLS117" s="73"/>
      <c r="KLT117" s="73"/>
      <c r="KLU117" s="73"/>
      <c r="KLV117" s="73"/>
      <c r="KLW117" s="73"/>
      <c r="KLX117" s="73"/>
      <c r="KLY117" s="73"/>
      <c r="KLZ117" s="73"/>
      <c r="KMA117" s="73"/>
      <c r="KMB117" s="73"/>
      <c r="KMC117" s="73"/>
      <c r="KMD117" s="73"/>
      <c r="KME117" s="73"/>
      <c r="KMF117" s="73"/>
      <c r="KMG117" s="73"/>
      <c r="KMH117" s="73"/>
      <c r="KMI117" s="73"/>
      <c r="KMJ117" s="73"/>
      <c r="KMK117" s="73"/>
      <c r="KML117" s="73"/>
      <c r="KMM117" s="73"/>
      <c r="KMN117" s="73"/>
      <c r="KMO117" s="73"/>
      <c r="KMP117" s="73"/>
      <c r="KMQ117" s="73"/>
      <c r="KMR117" s="73"/>
      <c r="KMS117" s="73"/>
      <c r="KMT117" s="73"/>
      <c r="KMU117" s="73"/>
      <c r="KMV117" s="73"/>
      <c r="KMW117" s="73"/>
      <c r="KMX117" s="73"/>
      <c r="KMY117" s="73"/>
      <c r="KMZ117" s="73"/>
      <c r="KNA117" s="73"/>
      <c r="KNB117" s="73"/>
      <c r="KNC117" s="73"/>
      <c r="KND117" s="73"/>
      <c r="KNE117" s="73"/>
      <c r="KNF117" s="73"/>
      <c r="KNG117" s="73"/>
      <c r="KNH117" s="73"/>
      <c r="KNI117" s="73"/>
      <c r="KNJ117" s="73"/>
      <c r="KNK117" s="73"/>
      <c r="KNL117" s="73"/>
      <c r="KNM117" s="73"/>
      <c r="KNN117" s="73"/>
      <c r="KNO117" s="73"/>
      <c r="KNP117" s="73"/>
      <c r="KNQ117" s="73"/>
      <c r="KNR117" s="73"/>
      <c r="KNS117" s="73"/>
      <c r="KNT117" s="73"/>
      <c r="KNU117" s="73"/>
      <c r="KNV117" s="73"/>
      <c r="KNW117" s="73"/>
      <c r="KNX117" s="73"/>
      <c r="KNY117" s="73"/>
      <c r="KNZ117" s="73"/>
      <c r="KOA117" s="73"/>
      <c r="KOB117" s="73"/>
      <c r="KOC117" s="73"/>
      <c r="KOD117" s="73"/>
      <c r="KOE117" s="73"/>
      <c r="KOF117" s="73"/>
      <c r="KOG117" s="73"/>
      <c r="KOH117" s="73"/>
      <c r="KOI117" s="73"/>
      <c r="KOJ117" s="73"/>
      <c r="KOK117" s="73"/>
      <c r="KOL117" s="73"/>
      <c r="KOM117" s="73"/>
      <c r="KON117" s="73"/>
      <c r="KOO117" s="73"/>
      <c r="KOP117" s="73"/>
      <c r="KOQ117" s="73"/>
      <c r="KOR117" s="73"/>
      <c r="KOS117" s="73"/>
      <c r="KOT117" s="73"/>
      <c r="KOU117" s="73"/>
      <c r="KOV117" s="73"/>
      <c r="KOW117" s="73"/>
      <c r="KOX117" s="73"/>
      <c r="KOY117" s="73"/>
      <c r="KOZ117" s="73"/>
      <c r="KPA117" s="73"/>
      <c r="KPB117" s="73"/>
      <c r="KPC117" s="73"/>
      <c r="KPD117" s="73"/>
      <c r="KPE117" s="73"/>
      <c r="KPF117" s="73"/>
      <c r="KPG117" s="73"/>
      <c r="KPH117" s="73"/>
      <c r="KPI117" s="73"/>
      <c r="KPJ117" s="73"/>
      <c r="KPK117" s="73"/>
      <c r="KPL117" s="73"/>
      <c r="KPM117" s="73"/>
      <c r="KPN117" s="73"/>
      <c r="KPO117" s="73"/>
      <c r="KPP117" s="73"/>
      <c r="KPQ117" s="73"/>
      <c r="KPR117" s="73"/>
      <c r="KPS117" s="73"/>
      <c r="KPT117" s="73"/>
      <c r="KPU117" s="73"/>
      <c r="KPV117" s="73"/>
      <c r="KPW117" s="73"/>
      <c r="KPX117" s="73"/>
      <c r="KPY117" s="73"/>
      <c r="KPZ117" s="73"/>
      <c r="KQA117" s="73"/>
      <c r="KQB117" s="73"/>
      <c r="KQC117" s="73"/>
      <c r="KQD117" s="73"/>
      <c r="KQE117" s="73"/>
      <c r="KQF117" s="73"/>
      <c r="KQG117" s="73"/>
      <c r="KQH117" s="73"/>
      <c r="KQI117" s="73"/>
      <c r="KQJ117" s="73"/>
      <c r="KQK117" s="73"/>
      <c r="KQL117" s="73"/>
      <c r="KQM117" s="73"/>
      <c r="KQN117" s="73"/>
      <c r="KQO117" s="73"/>
      <c r="KQP117" s="73"/>
      <c r="KQQ117" s="73"/>
      <c r="KQR117" s="73"/>
      <c r="KQS117" s="73"/>
      <c r="KQT117" s="73"/>
      <c r="KQU117" s="73"/>
      <c r="KQV117" s="73"/>
      <c r="KQW117" s="73"/>
      <c r="KQX117" s="73"/>
      <c r="KQY117" s="73"/>
      <c r="KQZ117" s="73"/>
      <c r="KRA117" s="73"/>
      <c r="KRB117" s="73"/>
      <c r="KRC117" s="73"/>
      <c r="KRD117" s="73"/>
      <c r="KRE117" s="73"/>
      <c r="KRF117" s="73"/>
      <c r="KRG117" s="73"/>
      <c r="KRH117" s="73"/>
      <c r="KRI117" s="73"/>
      <c r="KRJ117" s="73"/>
      <c r="KRK117" s="73"/>
      <c r="KRL117" s="73"/>
      <c r="KRM117" s="73"/>
      <c r="KRN117" s="73"/>
      <c r="KRO117" s="73"/>
      <c r="KRP117" s="73"/>
      <c r="KRQ117" s="73"/>
      <c r="KRR117" s="73"/>
      <c r="KRS117" s="73"/>
      <c r="KRT117" s="73"/>
      <c r="KRU117" s="73"/>
      <c r="KRV117" s="73"/>
      <c r="KRW117" s="73"/>
      <c r="KRX117" s="73"/>
      <c r="KRY117" s="73"/>
      <c r="KRZ117" s="73"/>
      <c r="KSA117" s="73"/>
      <c r="KSB117" s="73"/>
      <c r="KSC117" s="73"/>
      <c r="KSD117" s="73"/>
      <c r="KSE117" s="73"/>
      <c r="KSF117" s="73"/>
      <c r="KSG117" s="73"/>
      <c r="KSH117" s="73"/>
      <c r="KSI117" s="73"/>
      <c r="KSJ117" s="73"/>
      <c r="KSK117" s="73"/>
      <c r="KSL117" s="73"/>
      <c r="KSM117" s="73"/>
      <c r="KSN117" s="73"/>
      <c r="KSO117" s="73"/>
      <c r="KSP117" s="73"/>
      <c r="KSQ117" s="73"/>
      <c r="KSR117" s="73"/>
      <c r="KSS117" s="73"/>
      <c r="KST117" s="73"/>
      <c r="KSU117" s="73"/>
      <c r="KSV117" s="73"/>
      <c r="KSW117" s="73"/>
      <c r="KSX117" s="73"/>
      <c r="KSY117" s="73"/>
      <c r="KSZ117" s="73"/>
      <c r="KTA117" s="73"/>
      <c r="KTB117" s="73"/>
      <c r="KTC117" s="73"/>
      <c r="KTD117" s="73"/>
      <c r="KTE117" s="73"/>
      <c r="KTF117" s="73"/>
      <c r="KTG117" s="73"/>
      <c r="KTH117" s="73"/>
      <c r="KTI117" s="73"/>
      <c r="KTJ117" s="73"/>
      <c r="KTK117" s="73"/>
      <c r="KTL117" s="73"/>
      <c r="KTM117" s="73"/>
      <c r="KTN117" s="73"/>
      <c r="KTO117" s="73"/>
      <c r="KTP117" s="73"/>
      <c r="KTQ117" s="73"/>
      <c r="KTR117" s="73"/>
      <c r="KTS117" s="73"/>
      <c r="KTT117" s="73"/>
      <c r="KTU117" s="73"/>
      <c r="KTV117" s="73"/>
      <c r="KTW117" s="73"/>
      <c r="KTX117" s="73"/>
      <c r="KTY117" s="73"/>
      <c r="KTZ117" s="73"/>
      <c r="KUA117" s="73"/>
      <c r="KUB117" s="73"/>
      <c r="KUC117" s="73"/>
      <c r="KUD117" s="73"/>
      <c r="KUE117" s="73"/>
      <c r="KUF117" s="73"/>
      <c r="KUG117" s="73"/>
      <c r="KUH117" s="73"/>
      <c r="KUI117" s="73"/>
      <c r="KUJ117" s="73"/>
      <c r="KUK117" s="73"/>
      <c r="KUL117" s="73"/>
      <c r="KUM117" s="73"/>
      <c r="KUN117" s="73"/>
      <c r="KUO117" s="73"/>
      <c r="KUP117" s="73"/>
      <c r="KUQ117" s="73"/>
      <c r="KUR117" s="73"/>
      <c r="KUS117" s="73"/>
      <c r="KUT117" s="73"/>
      <c r="KUU117" s="73"/>
      <c r="KUV117" s="73"/>
      <c r="KUW117" s="73"/>
      <c r="KUX117" s="73"/>
      <c r="KUY117" s="73"/>
      <c r="KUZ117" s="73"/>
      <c r="KVA117" s="73"/>
      <c r="KVB117" s="73"/>
      <c r="KVC117" s="73"/>
      <c r="KVD117" s="73"/>
      <c r="KVE117" s="73"/>
      <c r="KVF117" s="73"/>
      <c r="KVG117" s="73"/>
      <c r="KVH117" s="73"/>
      <c r="KVI117" s="73"/>
      <c r="KVJ117" s="73"/>
      <c r="KVK117" s="73"/>
      <c r="KVL117" s="73"/>
      <c r="KVM117" s="73"/>
      <c r="KVN117" s="73"/>
      <c r="KVO117" s="73"/>
      <c r="KVP117" s="73"/>
      <c r="KVQ117" s="73"/>
      <c r="KVR117" s="73"/>
      <c r="KVS117" s="73"/>
      <c r="KVT117" s="73"/>
      <c r="KVU117" s="73"/>
      <c r="KVV117" s="73"/>
      <c r="KVW117" s="73"/>
      <c r="KVX117" s="73"/>
      <c r="KVY117" s="73"/>
      <c r="KVZ117" s="73"/>
      <c r="KWA117" s="73"/>
      <c r="KWB117" s="73"/>
      <c r="KWC117" s="73"/>
      <c r="KWD117" s="73"/>
      <c r="KWE117" s="73"/>
      <c r="KWF117" s="73"/>
      <c r="KWG117" s="73"/>
      <c r="KWH117" s="73"/>
      <c r="KWI117" s="73"/>
      <c r="KWJ117" s="73"/>
      <c r="KWK117" s="73"/>
      <c r="KWL117" s="73"/>
      <c r="KWM117" s="73"/>
      <c r="KWN117" s="73"/>
      <c r="KWO117" s="73"/>
      <c r="KWP117" s="73"/>
      <c r="KWQ117" s="73"/>
      <c r="KWR117" s="73"/>
      <c r="KWS117" s="73"/>
      <c r="KWT117" s="73"/>
      <c r="KWU117" s="73"/>
      <c r="KWV117" s="73"/>
      <c r="KWW117" s="73"/>
      <c r="KWX117" s="73"/>
      <c r="KWY117" s="73"/>
      <c r="KWZ117" s="73"/>
      <c r="KXA117" s="73"/>
      <c r="KXB117" s="73"/>
      <c r="KXC117" s="73"/>
      <c r="KXD117" s="73"/>
      <c r="KXE117" s="73"/>
      <c r="KXF117" s="73"/>
      <c r="KXG117" s="73"/>
      <c r="KXH117" s="73"/>
      <c r="KXI117" s="73"/>
      <c r="KXJ117" s="73"/>
      <c r="KXK117" s="73"/>
      <c r="KXL117" s="73"/>
      <c r="KXM117" s="73"/>
      <c r="KXN117" s="73"/>
      <c r="KXO117" s="73"/>
      <c r="KXP117" s="73"/>
      <c r="KXQ117" s="73"/>
      <c r="KXR117" s="73"/>
      <c r="KXS117" s="73"/>
      <c r="KXT117" s="73"/>
      <c r="KXU117" s="73"/>
      <c r="KXV117" s="73"/>
      <c r="KXW117" s="73"/>
      <c r="KXX117" s="73"/>
      <c r="KXY117" s="73"/>
      <c r="KXZ117" s="73"/>
      <c r="KYA117" s="73"/>
      <c r="KYB117" s="73"/>
      <c r="KYC117" s="73"/>
      <c r="KYD117" s="73"/>
      <c r="KYE117" s="73"/>
      <c r="KYF117" s="73"/>
      <c r="KYG117" s="73"/>
      <c r="KYH117" s="73"/>
      <c r="KYI117" s="73"/>
      <c r="KYJ117" s="73"/>
      <c r="KYK117" s="73"/>
      <c r="KYL117" s="73"/>
      <c r="KYM117" s="73"/>
      <c r="KYN117" s="73"/>
      <c r="KYO117" s="73"/>
      <c r="KYP117" s="73"/>
      <c r="KYQ117" s="73"/>
      <c r="KYR117" s="73"/>
      <c r="KYS117" s="73"/>
      <c r="KYT117" s="73"/>
      <c r="KYU117" s="73"/>
      <c r="KYV117" s="73"/>
      <c r="KYW117" s="73"/>
      <c r="KYX117" s="73"/>
      <c r="KYY117" s="73"/>
      <c r="KYZ117" s="73"/>
      <c r="KZA117" s="73"/>
      <c r="KZB117" s="73"/>
      <c r="KZC117" s="73"/>
      <c r="KZD117" s="73"/>
      <c r="KZE117" s="73"/>
      <c r="KZF117" s="73"/>
      <c r="KZG117" s="73"/>
      <c r="KZH117" s="73"/>
      <c r="KZI117" s="73"/>
      <c r="KZJ117" s="73"/>
      <c r="KZK117" s="73"/>
      <c r="KZL117" s="73"/>
      <c r="KZM117" s="73"/>
      <c r="KZN117" s="73"/>
      <c r="KZO117" s="73"/>
      <c r="KZP117" s="73"/>
      <c r="KZQ117" s="73"/>
      <c r="KZR117" s="73"/>
      <c r="KZS117" s="73"/>
      <c r="KZT117" s="73"/>
      <c r="KZU117" s="73"/>
      <c r="KZV117" s="73"/>
      <c r="KZW117" s="73"/>
      <c r="KZX117" s="73"/>
      <c r="KZY117" s="73"/>
      <c r="KZZ117" s="73"/>
      <c r="LAA117" s="73"/>
      <c r="LAB117" s="73"/>
      <c r="LAC117" s="73"/>
      <c r="LAD117" s="73"/>
      <c r="LAE117" s="73"/>
      <c r="LAF117" s="73"/>
      <c r="LAG117" s="73"/>
      <c r="LAH117" s="73"/>
      <c r="LAI117" s="73"/>
      <c r="LAJ117" s="73"/>
      <c r="LAK117" s="73"/>
      <c r="LAL117" s="73"/>
      <c r="LAM117" s="73"/>
      <c r="LAN117" s="73"/>
      <c r="LAO117" s="73"/>
      <c r="LAP117" s="73"/>
      <c r="LAQ117" s="73"/>
      <c r="LAR117" s="73"/>
      <c r="LAS117" s="73"/>
      <c r="LAT117" s="73"/>
      <c r="LAU117" s="73"/>
      <c r="LAV117" s="73"/>
      <c r="LAW117" s="73"/>
      <c r="LAX117" s="73"/>
      <c r="LAY117" s="73"/>
      <c r="LAZ117" s="73"/>
      <c r="LBA117" s="73"/>
      <c r="LBB117" s="73"/>
      <c r="LBC117" s="73"/>
      <c r="LBD117" s="73"/>
      <c r="LBE117" s="73"/>
      <c r="LBF117" s="73"/>
      <c r="LBG117" s="73"/>
      <c r="LBH117" s="73"/>
      <c r="LBI117" s="73"/>
      <c r="LBJ117" s="73"/>
      <c r="LBK117" s="73"/>
      <c r="LBL117" s="73"/>
      <c r="LBM117" s="73"/>
      <c r="LBN117" s="73"/>
      <c r="LBO117" s="73"/>
      <c r="LBP117" s="73"/>
      <c r="LBQ117" s="73"/>
      <c r="LBR117" s="73"/>
      <c r="LBS117" s="73"/>
      <c r="LBT117" s="73"/>
      <c r="LBU117" s="73"/>
      <c r="LBV117" s="73"/>
      <c r="LBW117" s="73"/>
      <c r="LBX117" s="73"/>
      <c r="LBY117" s="73"/>
      <c r="LBZ117" s="73"/>
      <c r="LCA117" s="73"/>
      <c r="LCB117" s="73"/>
      <c r="LCC117" s="73"/>
      <c r="LCD117" s="73"/>
      <c r="LCE117" s="73"/>
      <c r="LCF117" s="73"/>
      <c r="LCG117" s="73"/>
      <c r="LCH117" s="73"/>
      <c r="LCI117" s="73"/>
      <c r="LCJ117" s="73"/>
      <c r="LCK117" s="73"/>
      <c r="LCL117" s="73"/>
      <c r="LCM117" s="73"/>
      <c r="LCN117" s="73"/>
      <c r="LCO117" s="73"/>
      <c r="LCP117" s="73"/>
      <c r="LCQ117" s="73"/>
      <c r="LCR117" s="73"/>
      <c r="LCS117" s="73"/>
      <c r="LCT117" s="73"/>
      <c r="LCU117" s="73"/>
      <c r="LCV117" s="73"/>
      <c r="LCW117" s="73"/>
      <c r="LCX117" s="73"/>
      <c r="LCY117" s="73"/>
      <c r="LCZ117" s="73"/>
      <c r="LDA117" s="73"/>
      <c r="LDB117" s="73"/>
      <c r="LDC117" s="73"/>
      <c r="LDD117" s="73"/>
      <c r="LDE117" s="73"/>
      <c r="LDF117" s="73"/>
      <c r="LDG117" s="73"/>
      <c r="LDH117" s="73"/>
      <c r="LDI117" s="73"/>
      <c r="LDJ117" s="73"/>
      <c r="LDK117" s="73"/>
      <c r="LDL117" s="73"/>
      <c r="LDM117" s="73"/>
      <c r="LDN117" s="73"/>
      <c r="LDO117" s="73"/>
      <c r="LDP117" s="73"/>
      <c r="LDQ117" s="73"/>
      <c r="LDR117" s="73"/>
      <c r="LDS117" s="73"/>
      <c r="LDT117" s="73"/>
      <c r="LDU117" s="73"/>
      <c r="LDV117" s="73"/>
      <c r="LDW117" s="73"/>
      <c r="LDX117" s="73"/>
      <c r="LDY117" s="73"/>
      <c r="LDZ117" s="73"/>
      <c r="LEA117" s="73"/>
      <c r="LEB117" s="73"/>
      <c r="LEC117" s="73"/>
      <c r="LED117" s="73"/>
      <c r="LEE117" s="73"/>
      <c r="LEF117" s="73"/>
      <c r="LEG117" s="73"/>
      <c r="LEH117" s="73"/>
      <c r="LEI117" s="73"/>
      <c r="LEJ117" s="73"/>
      <c r="LEK117" s="73"/>
      <c r="LEL117" s="73"/>
      <c r="LEM117" s="73"/>
      <c r="LEN117" s="73"/>
      <c r="LEO117" s="73"/>
      <c r="LEP117" s="73"/>
      <c r="LEQ117" s="73"/>
      <c r="LER117" s="73"/>
      <c r="LES117" s="73"/>
      <c r="LET117" s="73"/>
      <c r="LEU117" s="73"/>
      <c r="LEV117" s="73"/>
      <c r="LEW117" s="73"/>
      <c r="LEX117" s="73"/>
      <c r="LEY117" s="73"/>
      <c r="LEZ117" s="73"/>
      <c r="LFA117" s="73"/>
      <c r="LFB117" s="73"/>
      <c r="LFC117" s="73"/>
      <c r="LFD117" s="73"/>
      <c r="LFE117" s="73"/>
      <c r="LFF117" s="73"/>
      <c r="LFG117" s="73"/>
      <c r="LFH117" s="73"/>
      <c r="LFI117" s="73"/>
      <c r="LFJ117" s="73"/>
      <c r="LFK117" s="73"/>
      <c r="LFL117" s="73"/>
      <c r="LFM117" s="73"/>
      <c r="LFN117" s="73"/>
      <c r="LFO117" s="73"/>
      <c r="LFP117" s="73"/>
      <c r="LFQ117" s="73"/>
      <c r="LFR117" s="73"/>
      <c r="LFS117" s="73"/>
      <c r="LFT117" s="73"/>
      <c r="LFU117" s="73"/>
      <c r="LFV117" s="73"/>
      <c r="LFW117" s="73"/>
      <c r="LFX117" s="73"/>
      <c r="LFY117" s="73"/>
      <c r="LFZ117" s="73"/>
      <c r="LGA117" s="73"/>
      <c r="LGB117" s="73"/>
      <c r="LGC117" s="73"/>
      <c r="LGD117" s="73"/>
      <c r="LGE117" s="73"/>
      <c r="LGF117" s="73"/>
      <c r="LGG117" s="73"/>
      <c r="LGH117" s="73"/>
      <c r="LGI117" s="73"/>
      <c r="LGJ117" s="73"/>
      <c r="LGK117" s="73"/>
      <c r="LGL117" s="73"/>
      <c r="LGM117" s="73"/>
      <c r="LGN117" s="73"/>
      <c r="LGO117" s="73"/>
      <c r="LGP117" s="73"/>
      <c r="LGQ117" s="73"/>
      <c r="LGR117" s="73"/>
      <c r="LGS117" s="73"/>
      <c r="LGT117" s="73"/>
      <c r="LGU117" s="73"/>
      <c r="LGV117" s="73"/>
      <c r="LGW117" s="73"/>
      <c r="LGX117" s="73"/>
      <c r="LGY117" s="73"/>
      <c r="LGZ117" s="73"/>
      <c r="LHA117" s="73"/>
      <c r="LHB117" s="73"/>
      <c r="LHC117" s="73"/>
      <c r="LHD117" s="73"/>
      <c r="LHE117" s="73"/>
      <c r="LHF117" s="73"/>
      <c r="LHG117" s="73"/>
      <c r="LHH117" s="73"/>
      <c r="LHI117" s="73"/>
      <c r="LHJ117" s="73"/>
      <c r="LHK117" s="73"/>
      <c r="LHL117" s="73"/>
      <c r="LHM117" s="73"/>
      <c r="LHN117" s="73"/>
      <c r="LHO117" s="73"/>
      <c r="LHP117" s="73"/>
      <c r="LHQ117" s="73"/>
      <c r="LHR117" s="73"/>
      <c r="LHS117" s="73"/>
      <c r="LHT117" s="73"/>
      <c r="LHU117" s="73"/>
      <c r="LHV117" s="73"/>
      <c r="LHW117" s="73"/>
      <c r="LHX117" s="73"/>
      <c r="LHY117" s="73"/>
      <c r="LHZ117" s="73"/>
      <c r="LIA117" s="73"/>
      <c r="LIB117" s="73"/>
      <c r="LIC117" s="73"/>
      <c r="LID117" s="73"/>
      <c r="LIE117" s="73"/>
      <c r="LIF117" s="73"/>
      <c r="LIG117" s="73"/>
      <c r="LIH117" s="73"/>
      <c r="LII117" s="73"/>
      <c r="LIJ117" s="73"/>
      <c r="LIK117" s="73"/>
      <c r="LIL117" s="73"/>
      <c r="LIM117" s="73"/>
      <c r="LIN117" s="73"/>
      <c r="LIO117" s="73"/>
      <c r="LIP117" s="73"/>
      <c r="LIQ117" s="73"/>
      <c r="LIR117" s="73"/>
      <c r="LIS117" s="73"/>
      <c r="LIT117" s="73"/>
      <c r="LIU117" s="73"/>
      <c r="LIV117" s="73"/>
      <c r="LIW117" s="73"/>
      <c r="LIX117" s="73"/>
      <c r="LIY117" s="73"/>
      <c r="LIZ117" s="73"/>
      <c r="LJA117" s="73"/>
      <c r="LJB117" s="73"/>
      <c r="LJC117" s="73"/>
      <c r="LJD117" s="73"/>
      <c r="LJE117" s="73"/>
      <c r="LJF117" s="73"/>
      <c r="LJG117" s="73"/>
      <c r="LJH117" s="73"/>
      <c r="LJI117" s="73"/>
      <c r="LJJ117" s="73"/>
      <c r="LJK117" s="73"/>
      <c r="LJL117" s="73"/>
      <c r="LJM117" s="73"/>
      <c r="LJN117" s="73"/>
      <c r="LJO117" s="73"/>
      <c r="LJP117" s="73"/>
      <c r="LJQ117" s="73"/>
      <c r="LJR117" s="73"/>
      <c r="LJS117" s="73"/>
      <c r="LJT117" s="73"/>
      <c r="LJU117" s="73"/>
      <c r="LJV117" s="73"/>
      <c r="LJW117" s="73"/>
      <c r="LJX117" s="73"/>
      <c r="LJY117" s="73"/>
      <c r="LJZ117" s="73"/>
      <c r="LKA117" s="73"/>
      <c r="LKB117" s="73"/>
      <c r="LKC117" s="73"/>
      <c r="LKD117" s="73"/>
      <c r="LKE117" s="73"/>
      <c r="LKF117" s="73"/>
      <c r="LKG117" s="73"/>
      <c r="LKH117" s="73"/>
      <c r="LKI117" s="73"/>
      <c r="LKJ117" s="73"/>
      <c r="LKK117" s="73"/>
      <c r="LKL117" s="73"/>
      <c r="LKM117" s="73"/>
      <c r="LKN117" s="73"/>
      <c r="LKO117" s="73"/>
      <c r="LKP117" s="73"/>
      <c r="LKQ117" s="73"/>
      <c r="LKR117" s="73"/>
      <c r="LKS117" s="73"/>
      <c r="LKT117" s="73"/>
      <c r="LKU117" s="73"/>
      <c r="LKV117" s="73"/>
      <c r="LKW117" s="73"/>
      <c r="LKX117" s="73"/>
      <c r="LKY117" s="73"/>
      <c r="LKZ117" s="73"/>
      <c r="LLA117" s="73"/>
      <c r="LLB117" s="73"/>
      <c r="LLC117" s="73"/>
      <c r="LLD117" s="73"/>
      <c r="LLE117" s="73"/>
      <c r="LLF117" s="73"/>
      <c r="LLG117" s="73"/>
      <c r="LLH117" s="73"/>
      <c r="LLI117" s="73"/>
      <c r="LLJ117" s="73"/>
      <c r="LLK117" s="73"/>
      <c r="LLL117" s="73"/>
      <c r="LLM117" s="73"/>
      <c r="LLN117" s="73"/>
      <c r="LLO117" s="73"/>
      <c r="LLP117" s="73"/>
      <c r="LLQ117" s="73"/>
      <c r="LLR117" s="73"/>
      <c r="LLS117" s="73"/>
      <c r="LLT117" s="73"/>
      <c r="LLU117" s="73"/>
      <c r="LLV117" s="73"/>
      <c r="LLW117" s="73"/>
      <c r="LLX117" s="73"/>
      <c r="LLY117" s="73"/>
      <c r="LLZ117" s="73"/>
      <c r="LMA117" s="73"/>
      <c r="LMB117" s="73"/>
      <c r="LMC117" s="73"/>
      <c r="LMD117" s="73"/>
      <c r="LME117" s="73"/>
      <c r="LMF117" s="73"/>
      <c r="LMG117" s="73"/>
      <c r="LMH117" s="73"/>
      <c r="LMI117" s="73"/>
      <c r="LMJ117" s="73"/>
      <c r="LMK117" s="73"/>
      <c r="LML117" s="73"/>
      <c r="LMM117" s="73"/>
      <c r="LMN117" s="73"/>
      <c r="LMO117" s="73"/>
      <c r="LMP117" s="73"/>
      <c r="LMQ117" s="73"/>
      <c r="LMR117" s="73"/>
      <c r="LMS117" s="73"/>
      <c r="LMT117" s="73"/>
      <c r="LMU117" s="73"/>
      <c r="LMV117" s="73"/>
      <c r="LMW117" s="73"/>
      <c r="LMX117" s="73"/>
      <c r="LMY117" s="73"/>
      <c r="LMZ117" s="73"/>
      <c r="LNA117" s="73"/>
      <c r="LNB117" s="73"/>
      <c r="LNC117" s="73"/>
      <c r="LND117" s="73"/>
      <c r="LNE117" s="73"/>
      <c r="LNF117" s="73"/>
      <c r="LNG117" s="73"/>
      <c r="LNH117" s="73"/>
      <c r="LNI117" s="73"/>
      <c r="LNJ117" s="73"/>
      <c r="LNK117" s="73"/>
      <c r="LNL117" s="73"/>
      <c r="LNM117" s="73"/>
      <c r="LNN117" s="73"/>
      <c r="LNO117" s="73"/>
      <c r="LNP117" s="73"/>
      <c r="LNQ117" s="73"/>
      <c r="LNR117" s="73"/>
      <c r="LNS117" s="73"/>
      <c r="LNT117" s="73"/>
      <c r="LNU117" s="73"/>
      <c r="LNV117" s="73"/>
      <c r="LNW117" s="73"/>
      <c r="LNX117" s="73"/>
      <c r="LNY117" s="73"/>
      <c r="LNZ117" s="73"/>
      <c r="LOA117" s="73"/>
      <c r="LOB117" s="73"/>
      <c r="LOC117" s="73"/>
      <c r="LOD117" s="73"/>
      <c r="LOE117" s="73"/>
      <c r="LOF117" s="73"/>
      <c r="LOG117" s="73"/>
      <c r="LOH117" s="73"/>
      <c r="LOI117" s="73"/>
      <c r="LOJ117" s="73"/>
      <c r="LOK117" s="73"/>
      <c r="LOL117" s="73"/>
      <c r="LOM117" s="73"/>
      <c r="LON117" s="73"/>
      <c r="LOO117" s="73"/>
      <c r="LOP117" s="73"/>
      <c r="LOQ117" s="73"/>
      <c r="LOR117" s="73"/>
      <c r="LOS117" s="73"/>
      <c r="LOT117" s="73"/>
      <c r="LOU117" s="73"/>
      <c r="LOV117" s="73"/>
      <c r="LOW117" s="73"/>
      <c r="LOX117" s="73"/>
      <c r="LOY117" s="73"/>
      <c r="LOZ117" s="73"/>
      <c r="LPA117" s="73"/>
      <c r="LPB117" s="73"/>
      <c r="LPC117" s="73"/>
      <c r="LPD117" s="73"/>
      <c r="LPE117" s="73"/>
      <c r="LPF117" s="73"/>
      <c r="LPG117" s="73"/>
      <c r="LPH117" s="73"/>
      <c r="LPI117" s="73"/>
      <c r="LPJ117" s="73"/>
      <c r="LPK117" s="73"/>
      <c r="LPL117" s="73"/>
      <c r="LPM117" s="73"/>
      <c r="LPN117" s="73"/>
      <c r="LPO117" s="73"/>
      <c r="LPP117" s="73"/>
      <c r="LPQ117" s="73"/>
      <c r="LPR117" s="73"/>
      <c r="LPS117" s="73"/>
      <c r="LPT117" s="73"/>
      <c r="LPU117" s="73"/>
      <c r="LPV117" s="73"/>
      <c r="LPW117" s="73"/>
      <c r="LPX117" s="73"/>
      <c r="LPY117" s="73"/>
      <c r="LPZ117" s="73"/>
      <c r="LQA117" s="73"/>
      <c r="LQB117" s="73"/>
      <c r="LQC117" s="73"/>
      <c r="LQD117" s="73"/>
      <c r="LQE117" s="73"/>
      <c r="LQF117" s="73"/>
      <c r="LQG117" s="73"/>
      <c r="LQH117" s="73"/>
      <c r="LQI117" s="73"/>
      <c r="LQJ117" s="73"/>
      <c r="LQK117" s="73"/>
      <c r="LQL117" s="73"/>
      <c r="LQM117" s="73"/>
      <c r="LQN117" s="73"/>
      <c r="LQO117" s="73"/>
      <c r="LQP117" s="73"/>
      <c r="LQQ117" s="73"/>
      <c r="LQR117" s="73"/>
      <c r="LQS117" s="73"/>
      <c r="LQT117" s="73"/>
      <c r="LQU117" s="73"/>
      <c r="LQV117" s="73"/>
      <c r="LQW117" s="73"/>
      <c r="LQX117" s="73"/>
      <c r="LQY117" s="73"/>
      <c r="LQZ117" s="73"/>
      <c r="LRA117" s="73"/>
      <c r="LRB117" s="73"/>
      <c r="LRC117" s="73"/>
      <c r="LRD117" s="73"/>
      <c r="LRE117" s="73"/>
      <c r="LRF117" s="73"/>
      <c r="LRG117" s="73"/>
      <c r="LRH117" s="73"/>
      <c r="LRI117" s="73"/>
      <c r="LRJ117" s="73"/>
      <c r="LRK117" s="73"/>
      <c r="LRL117" s="73"/>
      <c r="LRM117" s="73"/>
      <c r="LRN117" s="73"/>
      <c r="LRO117" s="73"/>
      <c r="LRP117" s="73"/>
      <c r="LRQ117" s="73"/>
      <c r="LRR117" s="73"/>
      <c r="LRS117" s="73"/>
      <c r="LRT117" s="73"/>
      <c r="LRU117" s="73"/>
      <c r="LRV117" s="73"/>
      <c r="LRW117" s="73"/>
      <c r="LRX117" s="73"/>
      <c r="LRY117" s="73"/>
      <c r="LRZ117" s="73"/>
      <c r="LSA117" s="73"/>
      <c r="LSB117" s="73"/>
      <c r="LSC117" s="73"/>
      <c r="LSD117" s="73"/>
      <c r="LSE117" s="73"/>
      <c r="LSF117" s="73"/>
      <c r="LSG117" s="73"/>
      <c r="LSH117" s="73"/>
      <c r="LSI117" s="73"/>
      <c r="LSJ117" s="73"/>
      <c r="LSK117" s="73"/>
      <c r="LSL117" s="73"/>
      <c r="LSM117" s="73"/>
      <c r="LSN117" s="73"/>
      <c r="LSO117" s="73"/>
      <c r="LSP117" s="73"/>
      <c r="LSQ117" s="73"/>
      <c r="LSR117" s="73"/>
      <c r="LSS117" s="73"/>
      <c r="LST117" s="73"/>
      <c r="LSU117" s="73"/>
      <c r="LSV117" s="73"/>
      <c r="LSW117" s="73"/>
      <c r="LSX117" s="73"/>
      <c r="LSY117" s="73"/>
      <c r="LSZ117" s="73"/>
      <c r="LTA117" s="73"/>
      <c r="LTB117" s="73"/>
      <c r="LTC117" s="73"/>
      <c r="LTD117" s="73"/>
      <c r="LTE117" s="73"/>
      <c r="LTF117" s="73"/>
      <c r="LTG117" s="73"/>
      <c r="LTH117" s="73"/>
      <c r="LTI117" s="73"/>
      <c r="LTJ117" s="73"/>
      <c r="LTK117" s="73"/>
      <c r="LTL117" s="73"/>
      <c r="LTM117" s="73"/>
      <c r="LTN117" s="73"/>
      <c r="LTO117" s="73"/>
      <c r="LTP117" s="73"/>
      <c r="LTQ117" s="73"/>
      <c r="LTR117" s="73"/>
      <c r="LTS117" s="73"/>
      <c r="LTT117" s="73"/>
      <c r="LTU117" s="73"/>
      <c r="LTV117" s="73"/>
      <c r="LTW117" s="73"/>
      <c r="LTX117" s="73"/>
      <c r="LTY117" s="73"/>
      <c r="LTZ117" s="73"/>
      <c r="LUA117" s="73"/>
      <c r="LUB117" s="73"/>
      <c r="LUC117" s="73"/>
      <c r="LUD117" s="73"/>
      <c r="LUE117" s="73"/>
      <c r="LUF117" s="73"/>
      <c r="LUG117" s="73"/>
      <c r="LUH117" s="73"/>
      <c r="LUI117" s="73"/>
      <c r="LUJ117" s="73"/>
      <c r="LUK117" s="73"/>
      <c r="LUL117" s="73"/>
      <c r="LUM117" s="73"/>
      <c r="LUN117" s="73"/>
      <c r="LUO117" s="73"/>
      <c r="LUP117" s="73"/>
      <c r="LUQ117" s="73"/>
      <c r="LUR117" s="73"/>
      <c r="LUS117" s="73"/>
      <c r="LUT117" s="73"/>
      <c r="LUU117" s="73"/>
      <c r="LUV117" s="73"/>
      <c r="LUW117" s="73"/>
      <c r="LUX117" s="73"/>
      <c r="LUY117" s="73"/>
      <c r="LUZ117" s="73"/>
      <c r="LVA117" s="73"/>
      <c r="LVB117" s="73"/>
      <c r="LVC117" s="73"/>
      <c r="LVD117" s="73"/>
      <c r="LVE117" s="73"/>
      <c r="LVF117" s="73"/>
      <c r="LVG117" s="73"/>
      <c r="LVH117" s="73"/>
      <c r="LVI117" s="73"/>
      <c r="LVJ117" s="73"/>
      <c r="LVK117" s="73"/>
      <c r="LVL117" s="73"/>
      <c r="LVM117" s="73"/>
      <c r="LVN117" s="73"/>
      <c r="LVO117" s="73"/>
      <c r="LVP117" s="73"/>
      <c r="LVQ117" s="73"/>
      <c r="LVR117" s="73"/>
      <c r="LVS117" s="73"/>
      <c r="LVT117" s="73"/>
      <c r="LVU117" s="73"/>
      <c r="LVV117" s="73"/>
      <c r="LVW117" s="73"/>
      <c r="LVX117" s="73"/>
      <c r="LVY117" s="73"/>
      <c r="LVZ117" s="73"/>
      <c r="LWA117" s="73"/>
      <c r="LWB117" s="73"/>
      <c r="LWC117" s="73"/>
      <c r="LWD117" s="73"/>
      <c r="LWE117" s="73"/>
      <c r="LWF117" s="73"/>
      <c r="LWG117" s="73"/>
      <c r="LWH117" s="73"/>
      <c r="LWI117" s="73"/>
      <c r="LWJ117" s="73"/>
      <c r="LWK117" s="73"/>
      <c r="LWL117" s="73"/>
      <c r="LWM117" s="73"/>
      <c r="LWN117" s="73"/>
      <c r="LWO117" s="73"/>
      <c r="LWP117" s="73"/>
      <c r="LWQ117" s="73"/>
      <c r="LWR117" s="73"/>
      <c r="LWS117" s="73"/>
      <c r="LWT117" s="73"/>
      <c r="LWU117" s="73"/>
      <c r="LWV117" s="73"/>
      <c r="LWW117" s="73"/>
      <c r="LWX117" s="73"/>
      <c r="LWY117" s="73"/>
      <c r="LWZ117" s="73"/>
      <c r="LXA117" s="73"/>
      <c r="LXB117" s="73"/>
      <c r="LXC117" s="73"/>
      <c r="LXD117" s="73"/>
      <c r="LXE117" s="73"/>
      <c r="LXF117" s="73"/>
      <c r="LXG117" s="73"/>
      <c r="LXH117" s="73"/>
      <c r="LXI117" s="73"/>
      <c r="LXJ117" s="73"/>
      <c r="LXK117" s="73"/>
      <c r="LXL117" s="73"/>
      <c r="LXM117" s="73"/>
      <c r="LXN117" s="73"/>
      <c r="LXO117" s="73"/>
      <c r="LXP117" s="73"/>
      <c r="LXQ117" s="73"/>
      <c r="LXR117" s="73"/>
      <c r="LXS117" s="73"/>
      <c r="LXT117" s="73"/>
      <c r="LXU117" s="73"/>
      <c r="LXV117" s="73"/>
      <c r="LXW117" s="73"/>
      <c r="LXX117" s="73"/>
      <c r="LXY117" s="73"/>
      <c r="LXZ117" s="73"/>
      <c r="LYA117" s="73"/>
      <c r="LYB117" s="73"/>
      <c r="LYC117" s="73"/>
      <c r="LYD117" s="73"/>
      <c r="LYE117" s="73"/>
      <c r="LYF117" s="73"/>
      <c r="LYG117" s="73"/>
      <c r="LYH117" s="73"/>
      <c r="LYI117" s="73"/>
      <c r="LYJ117" s="73"/>
      <c r="LYK117" s="73"/>
      <c r="LYL117" s="73"/>
      <c r="LYM117" s="73"/>
      <c r="LYN117" s="73"/>
      <c r="LYO117" s="73"/>
      <c r="LYP117" s="73"/>
      <c r="LYQ117" s="73"/>
      <c r="LYR117" s="73"/>
      <c r="LYS117" s="73"/>
      <c r="LYT117" s="73"/>
      <c r="LYU117" s="73"/>
      <c r="LYV117" s="73"/>
      <c r="LYW117" s="73"/>
      <c r="LYX117" s="73"/>
      <c r="LYY117" s="73"/>
      <c r="LYZ117" s="73"/>
      <c r="LZA117" s="73"/>
      <c r="LZB117" s="73"/>
      <c r="LZC117" s="73"/>
      <c r="LZD117" s="73"/>
      <c r="LZE117" s="73"/>
      <c r="LZF117" s="73"/>
      <c r="LZG117" s="73"/>
      <c r="LZH117" s="73"/>
      <c r="LZI117" s="73"/>
      <c r="LZJ117" s="73"/>
      <c r="LZK117" s="73"/>
      <c r="LZL117" s="73"/>
      <c r="LZM117" s="73"/>
      <c r="LZN117" s="73"/>
      <c r="LZO117" s="73"/>
      <c r="LZP117" s="73"/>
      <c r="LZQ117" s="73"/>
      <c r="LZR117" s="73"/>
      <c r="LZS117" s="73"/>
      <c r="LZT117" s="73"/>
      <c r="LZU117" s="73"/>
      <c r="LZV117" s="73"/>
      <c r="LZW117" s="73"/>
      <c r="LZX117" s="73"/>
      <c r="LZY117" s="73"/>
      <c r="LZZ117" s="73"/>
      <c r="MAA117" s="73"/>
      <c r="MAB117" s="73"/>
      <c r="MAC117" s="73"/>
      <c r="MAD117" s="73"/>
      <c r="MAE117" s="73"/>
      <c r="MAF117" s="73"/>
      <c r="MAG117" s="73"/>
      <c r="MAH117" s="73"/>
      <c r="MAI117" s="73"/>
      <c r="MAJ117" s="73"/>
      <c r="MAK117" s="73"/>
      <c r="MAL117" s="73"/>
      <c r="MAM117" s="73"/>
      <c r="MAN117" s="73"/>
      <c r="MAO117" s="73"/>
      <c r="MAP117" s="73"/>
      <c r="MAQ117" s="73"/>
      <c r="MAR117" s="73"/>
      <c r="MAS117" s="73"/>
      <c r="MAT117" s="73"/>
      <c r="MAU117" s="73"/>
      <c r="MAV117" s="73"/>
      <c r="MAW117" s="73"/>
      <c r="MAX117" s="73"/>
      <c r="MAY117" s="73"/>
      <c r="MAZ117" s="73"/>
      <c r="MBA117" s="73"/>
      <c r="MBB117" s="73"/>
      <c r="MBC117" s="73"/>
      <c r="MBD117" s="73"/>
      <c r="MBE117" s="73"/>
      <c r="MBF117" s="73"/>
      <c r="MBG117" s="73"/>
      <c r="MBH117" s="73"/>
      <c r="MBI117" s="73"/>
      <c r="MBJ117" s="73"/>
      <c r="MBK117" s="73"/>
      <c r="MBL117" s="73"/>
      <c r="MBM117" s="73"/>
      <c r="MBN117" s="73"/>
      <c r="MBO117" s="73"/>
      <c r="MBP117" s="73"/>
      <c r="MBQ117" s="73"/>
      <c r="MBR117" s="73"/>
      <c r="MBS117" s="73"/>
      <c r="MBT117" s="73"/>
      <c r="MBU117" s="73"/>
      <c r="MBV117" s="73"/>
      <c r="MBW117" s="73"/>
      <c r="MBX117" s="73"/>
      <c r="MBY117" s="73"/>
      <c r="MBZ117" s="73"/>
      <c r="MCA117" s="73"/>
      <c r="MCB117" s="73"/>
      <c r="MCC117" s="73"/>
      <c r="MCD117" s="73"/>
      <c r="MCE117" s="73"/>
      <c r="MCF117" s="73"/>
      <c r="MCG117" s="73"/>
      <c r="MCH117" s="73"/>
      <c r="MCI117" s="73"/>
      <c r="MCJ117" s="73"/>
      <c r="MCK117" s="73"/>
      <c r="MCL117" s="73"/>
      <c r="MCM117" s="73"/>
      <c r="MCN117" s="73"/>
      <c r="MCO117" s="73"/>
      <c r="MCP117" s="73"/>
      <c r="MCQ117" s="73"/>
      <c r="MCR117" s="73"/>
      <c r="MCS117" s="73"/>
      <c r="MCT117" s="73"/>
      <c r="MCU117" s="73"/>
      <c r="MCV117" s="73"/>
      <c r="MCW117" s="73"/>
      <c r="MCX117" s="73"/>
      <c r="MCY117" s="73"/>
      <c r="MCZ117" s="73"/>
      <c r="MDA117" s="73"/>
      <c r="MDB117" s="73"/>
      <c r="MDC117" s="73"/>
      <c r="MDD117" s="73"/>
      <c r="MDE117" s="73"/>
      <c r="MDF117" s="73"/>
      <c r="MDG117" s="73"/>
      <c r="MDH117" s="73"/>
      <c r="MDI117" s="73"/>
      <c r="MDJ117" s="73"/>
      <c r="MDK117" s="73"/>
      <c r="MDL117" s="73"/>
      <c r="MDM117" s="73"/>
      <c r="MDN117" s="73"/>
      <c r="MDO117" s="73"/>
      <c r="MDP117" s="73"/>
      <c r="MDQ117" s="73"/>
      <c r="MDR117" s="73"/>
      <c r="MDS117" s="73"/>
      <c r="MDT117" s="73"/>
      <c r="MDU117" s="73"/>
      <c r="MDV117" s="73"/>
      <c r="MDW117" s="73"/>
      <c r="MDX117" s="73"/>
      <c r="MDY117" s="73"/>
      <c r="MDZ117" s="73"/>
      <c r="MEA117" s="73"/>
      <c r="MEB117" s="73"/>
      <c r="MEC117" s="73"/>
      <c r="MED117" s="73"/>
      <c r="MEE117" s="73"/>
      <c r="MEF117" s="73"/>
      <c r="MEG117" s="73"/>
      <c r="MEH117" s="73"/>
      <c r="MEI117" s="73"/>
      <c r="MEJ117" s="73"/>
      <c r="MEK117" s="73"/>
      <c r="MEL117" s="73"/>
      <c r="MEM117" s="73"/>
      <c r="MEN117" s="73"/>
      <c r="MEO117" s="73"/>
      <c r="MEP117" s="73"/>
      <c r="MEQ117" s="73"/>
      <c r="MER117" s="73"/>
      <c r="MES117" s="73"/>
      <c r="MET117" s="73"/>
      <c r="MEU117" s="73"/>
      <c r="MEV117" s="73"/>
      <c r="MEW117" s="73"/>
      <c r="MEX117" s="73"/>
      <c r="MEY117" s="73"/>
      <c r="MEZ117" s="73"/>
      <c r="MFA117" s="73"/>
      <c r="MFB117" s="73"/>
      <c r="MFC117" s="73"/>
      <c r="MFD117" s="73"/>
      <c r="MFE117" s="73"/>
      <c r="MFF117" s="73"/>
      <c r="MFG117" s="73"/>
      <c r="MFH117" s="73"/>
      <c r="MFI117" s="73"/>
      <c r="MFJ117" s="73"/>
      <c r="MFK117" s="73"/>
      <c r="MFL117" s="73"/>
      <c r="MFM117" s="73"/>
      <c r="MFN117" s="73"/>
      <c r="MFO117" s="73"/>
      <c r="MFP117" s="73"/>
      <c r="MFQ117" s="73"/>
      <c r="MFR117" s="73"/>
      <c r="MFS117" s="73"/>
      <c r="MFT117" s="73"/>
      <c r="MFU117" s="73"/>
      <c r="MFV117" s="73"/>
      <c r="MFW117" s="73"/>
      <c r="MFX117" s="73"/>
      <c r="MFY117" s="73"/>
      <c r="MFZ117" s="73"/>
      <c r="MGA117" s="73"/>
      <c r="MGB117" s="73"/>
      <c r="MGC117" s="73"/>
      <c r="MGD117" s="73"/>
      <c r="MGE117" s="73"/>
      <c r="MGF117" s="73"/>
      <c r="MGG117" s="73"/>
      <c r="MGH117" s="73"/>
      <c r="MGI117" s="73"/>
      <c r="MGJ117" s="73"/>
      <c r="MGK117" s="73"/>
      <c r="MGL117" s="73"/>
      <c r="MGM117" s="73"/>
      <c r="MGN117" s="73"/>
      <c r="MGO117" s="73"/>
      <c r="MGP117" s="73"/>
      <c r="MGQ117" s="73"/>
      <c r="MGR117" s="73"/>
      <c r="MGS117" s="73"/>
      <c r="MGT117" s="73"/>
      <c r="MGU117" s="73"/>
      <c r="MGV117" s="73"/>
      <c r="MGW117" s="73"/>
      <c r="MGX117" s="73"/>
      <c r="MGY117" s="73"/>
      <c r="MGZ117" s="73"/>
      <c r="MHA117" s="73"/>
      <c r="MHB117" s="73"/>
      <c r="MHC117" s="73"/>
      <c r="MHD117" s="73"/>
      <c r="MHE117" s="73"/>
      <c r="MHF117" s="73"/>
      <c r="MHG117" s="73"/>
      <c r="MHH117" s="73"/>
      <c r="MHI117" s="73"/>
      <c r="MHJ117" s="73"/>
      <c r="MHK117" s="73"/>
      <c r="MHL117" s="73"/>
      <c r="MHM117" s="73"/>
      <c r="MHN117" s="73"/>
      <c r="MHO117" s="73"/>
      <c r="MHP117" s="73"/>
      <c r="MHQ117" s="73"/>
      <c r="MHR117" s="73"/>
      <c r="MHS117" s="73"/>
      <c r="MHT117" s="73"/>
      <c r="MHU117" s="73"/>
      <c r="MHV117" s="73"/>
      <c r="MHW117" s="73"/>
      <c r="MHX117" s="73"/>
      <c r="MHY117" s="73"/>
      <c r="MHZ117" s="73"/>
      <c r="MIA117" s="73"/>
      <c r="MIB117" s="73"/>
      <c r="MIC117" s="73"/>
      <c r="MID117" s="73"/>
      <c r="MIE117" s="73"/>
      <c r="MIF117" s="73"/>
      <c r="MIG117" s="73"/>
      <c r="MIH117" s="73"/>
      <c r="MII117" s="73"/>
      <c r="MIJ117" s="73"/>
      <c r="MIK117" s="73"/>
      <c r="MIL117" s="73"/>
      <c r="MIM117" s="73"/>
      <c r="MIN117" s="73"/>
      <c r="MIO117" s="73"/>
      <c r="MIP117" s="73"/>
      <c r="MIQ117" s="73"/>
      <c r="MIR117" s="73"/>
      <c r="MIS117" s="73"/>
      <c r="MIT117" s="73"/>
      <c r="MIU117" s="73"/>
      <c r="MIV117" s="73"/>
      <c r="MIW117" s="73"/>
      <c r="MIX117" s="73"/>
      <c r="MIY117" s="73"/>
      <c r="MIZ117" s="73"/>
      <c r="MJA117" s="73"/>
      <c r="MJB117" s="73"/>
      <c r="MJC117" s="73"/>
      <c r="MJD117" s="73"/>
      <c r="MJE117" s="73"/>
      <c r="MJF117" s="73"/>
      <c r="MJG117" s="73"/>
      <c r="MJH117" s="73"/>
      <c r="MJI117" s="73"/>
      <c r="MJJ117" s="73"/>
      <c r="MJK117" s="73"/>
      <c r="MJL117" s="73"/>
      <c r="MJM117" s="73"/>
      <c r="MJN117" s="73"/>
      <c r="MJO117" s="73"/>
      <c r="MJP117" s="73"/>
      <c r="MJQ117" s="73"/>
      <c r="MJR117" s="73"/>
      <c r="MJS117" s="73"/>
      <c r="MJT117" s="73"/>
      <c r="MJU117" s="73"/>
      <c r="MJV117" s="73"/>
      <c r="MJW117" s="73"/>
      <c r="MJX117" s="73"/>
      <c r="MJY117" s="73"/>
      <c r="MJZ117" s="73"/>
      <c r="MKA117" s="73"/>
      <c r="MKB117" s="73"/>
      <c r="MKC117" s="73"/>
      <c r="MKD117" s="73"/>
      <c r="MKE117" s="73"/>
      <c r="MKF117" s="73"/>
      <c r="MKG117" s="73"/>
      <c r="MKH117" s="73"/>
      <c r="MKI117" s="73"/>
      <c r="MKJ117" s="73"/>
      <c r="MKK117" s="73"/>
      <c r="MKL117" s="73"/>
      <c r="MKM117" s="73"/>
      <c r="MKN117" s="73"/>
      <c r="MKO117" s="73"/>
      <c r="MKP117" s="73"/>
      <c r="MKQ117" s="73"/>
      <c r="MKR117" s="73"/>
      <c r="MKS117" s="73"/>
      <c r="MKT117" s="73"/>
      <c r="MKU117" s="73"/>
      <c r="MKV117" s="73"/>
      <c r="MKW117" s="73"/>
      <c r="MKX117" s="73"/>
      <c r="MKY117" s="73"/>
      <c r="MKZ117" s="73"/>
      <c r="MLA117" s="73"/>
      <c r="MLB117" s="73"/>
      <c r="MLC117" s="73"/>
      <c r="MLD117" s="73"/>
      <c r="MLE117" s="73"/>
      <c r="MLF117" s="73"/>
      <c r="MLG117" s="73"/>
      <c r="MLH117" s="73"/>
      <c r="MLI117" s="73"/>
      <c r="MLJ117" s="73"/>
      <c r="MLK117" s="73"/>
      <c r="MLL117" s="73"/>
      <c r="MLM117" s="73"/>
      <c r="MLN117" s="73"/>
      <c r="MLO117" s="73"/>
      <c r="MLP117" s="73"/>
      <c r="MLQ117" s="73"/>
      <c r="MLR117" s="73"/>
      <c r="MLS117" s="73"/>
      <c r="MLT117" s="73"/>
      <c r="MLU117" s="73"/>
      <c r="MLV117" s="73"/>
      <c r="MLW117" s="73"/>
      <c r="MLX117" s="73"/>
      <c r="MLY117" s="73"/>
      <c r="MLZ117" s="73"/>
      <c r="MMA117" s="73"/>
      <c r="MMB117" s="73"/>
      <c r="MMC117" s="73"/>
      <c r="MMD117" s="73"/>
      <c r="MME117" s="73"/>
      <c r="MMF117" s="73"/>
      <c r="MMG117" s="73"/>
      <c r="MMH117" s="73"/>
      <c r="MMI117" s="73"/>
      <c r="MMJ117" s="73"/>
      <c r="MMK117" s="73"/>
      <c r="MML117" s="73"/>
      <c r="MMM117" s="73"/>
      <c r="MMN117" s="73"/>
      <c r="MMO117" s="73"/>
      <c r="MMP117" s="73"/>
      <c r="MMQ117" s="73"/>
      <c r="MMR117" s="73"/>
      <c r="MMS117" s="73"/>
      <c r="MMT117" s="73"/>
      <c r="MMU117" s="73"/>
      <c r="MMV117" s="73"/>
      <c r="MMW117" s="73"/>
      <c r="MMX117" s="73"/>
      <c r="MMY117" s="73"/>
      <c r="MMZ117" s="73"/>
      <c r="MNA117" s="73"/>
      <c r="MNB117" s="73"/>
      <c r="MNC117" s="73"/>
      <c r="MND117" s="73"/>
      <c r="MNE117" s="73"/>
      <c r="MNF117" s="73"/>
      <c r="MNG117" s="73"/>
      <c r="MNH117" s="73"/>
      <c r="MNI117" s="73"/>
      <c r="MNJ117" s="73"/>
      <c r="MNK117" s="73"/>
      <c r="MNL117" s="73"/>
      <c r="MNM117" s="73"/>
      <c r="MNN117" s="73"/>
      <c r="MNO117" s="73"/>
      <c r="MNP117" s="73"/>
      <c r="MNQ117" s="73"/>
      <c r="MNR117" s="73"/>
      <c r="MNS117" s="73"/>
      <c r="MNT117" s="73"/>
      <c r="MNU117" s="73"/>
      <c r="MNV117" s="73"/>
      <c r="MNW117" s="73"/>
      <c r="MNX117" s="73"/>
      <c r="MNY117" s="73"/>
      <c r="MNZ117" s="73"/>
      <c r="MOA117" s="73"/>
      <c r="MOB117" s="73"/>
      <c r="MOC117" s="73"/>
      <c r="MOD117" s="73"/>
      <c r="MOE117" s="73"/>
      <c r="MOF117" s="73"/>
      <c r="MOG117" s="73"/>
      <c r="MOH117" s="73"/>
      <c r="MOI117" s="73"/>
      <c r="MOJ117" s="73"/>
      <c r="MOK117" s="73"/>
      <c r="MOL117" s="73"/>
      <c r="MOM117" s="73"/>
      <c r="MON117" s="73"/>
      <c r="MOO117" s="73"/>
      <c r="MOP117" s="73"/>
      <c r="MOQ117" s="73"/>
      <c r="MOR117" s="73"/>
      <c r="MOS117" s="73"/>
      <c r="MOT117" s="73"/>
      <c r="MOU117" s="73"/>
      <c r="MOV117" s="73"/>
      <c r="MOW117" s="73"/>
      <c r="MOX117" s="73"/>
      <c r="MOY117" s="73"/>
      <c r="MOZ117" s="73"/>
      <c r="MPA117" s="73"/>
      <c r="MPB117" s="73"/>
      <c r="MPC117" s="73"/>
      <c r="MPD117" s="73"/>
      <c r="MPE117" s="73"/>
      <c r="MPF117" s="73"/>
      <c r="MPG117" s="73"/>
      <c r="MPH117" s="73"/>
      <c r="MPI117" s="73"/>
      <c r="MPJ117" s="73"/>
      <c r="MPK117" s="73"/>
      <c r="MPL117" s="73"/>
      <c r="MPM117" s="73"/>
      <c r="MPN117" s="73"/>
      <c r="MPO117" s="73"/>
      <c r="MPP117" s="73"/>
      <c r="MPQ117" s="73"/>
      <c r="MPR117" s="73"/>
      <c r="MPS117" s="73"/>
      <c r="MPT117" s="73"/>
      <c r="MPU117" s="73"/>
      <c r="MPV117" s="73"/>
      <c r="MPW117" s="73"/>
      <c r="MPX117" s="73"/>
      <c r="MPY117" s="73"/>
      <c r="MPZ117" s="73"/>
      <c r="MQA117" s="73"/>
      <c r="MQB117" s="73"/>
      <c r="MQC117" s="73"/>
      <c r="MQD117" s="73"/>
      <c r="MQE117" s="73"/>
      <c r="MQF117" s="73"/>
      <c r="MQG117" s="73"/>
      <c r="MQH117" s="73"/>
      <c r="MQI117" s="73"/>
      <c r="MQJ117" s="73"/>
      <c r="MQK117" s="73"/>
      <c r="MQL117" s="73"/>
      <c r="MQM117" s="73"/>
      <c r="MQN117" s="73"/>
      <c r="MQO117" s="73"/>
      <c r="MQP117" s="73"/>
      <c r="MQQ117" s="73"/>
      <c r="MQR117" s="73"/>
      <c r="MQS117" s="73"/>
      <c r="MQT117" s="73"/>
      <c r="MQU117" s="73"/>
      <c r="MQV117" s="73"/>
      <c r="MQW117" s="73"/>
      <c r="MQX117" s="73"/>
      <c r="MQY117" s="73"/>
      <c r="MQZ117" s="73"/>
      <c r="MRA117" s="73"/>
      <c r="MRB117" s="73"/>
      <c r="MRC117" s="73"/>
      <c r="MRD117" s="73"/>
      <c r="MRE117" s="73"/>
      <c r="MRF117" s="73"/>
      <c r="MRG117" s="73"/>
      <c r="MRH117" s="73"/>
      <c r="MRI117" s="73"/>
      <c r="MRJ117" s="73"/>
      <c r="MRK117" s="73"/>
      <c r="MRL117" s="73"/>
      <c r="MRM117" s="73"/>
      <c r="MRN117" s="73"/>
      <c r="MRO117" s="73"/>
      <c r="MRP117" s="73"/>
      <c r="MRQ117" s="73"/>
      <c r="MRR117" s="73"/>
      <c r="MRS117" s="73"/>
      <c r="MRT117" s="73"/>
      <c r="MRU117" s="73"/>
      <c r="MRV117" s="73"/>
      <c r="MRW117" s="73"/>
      <c r="MRX117" s="73"/>
      <c r="MRY117" s="73"/>
      <c r="MRZ117" s="73"/>
      <c r="MSA117" s="73"/>
      <c r="MSB117" s="73"/>
      <c r="MSC117" s="73"/>
      <c r="MSD117" s="73"/>
      <c r="MSE117" s="73"/>
      <c r="MSF117" s="73"/>
      <c r="MSG117" s="73"/>
      <c r="MSH117" s="73"/>
      <c r="MSI117" s="73"/>
      <c r="MSJ117" s="73"/>
      <c r="MSK117" s="73"/>
      <c r="MSL117" s="73"/>
      <c r="MSM117" s="73"/>
      <c r="MSN117" s="73"/>
      <c r="MSO117" s="73"/>
      <c r="MSP117" s="73"/>
      <c r="MSQ117" s="73"/>
      <c r="MSR117" s="73"/>
      <c r="MSS117" s="73"/>
      <c r="MST117" s="73"/>
      <c r="MSU117" s="73"/>
      <c r="MSV117" s="73"/>
      <c r="MSW117" s="73"/>
      <c r="MSX117" s="73"/>
      <c r="MSY117" s="73"/>
      <c r="MSZ117" s="73"/>
      <c r="MTA117" s="73"/>
      <c r="MTB117" s="73"/>
      <c r="MTC117" s="73"/>
      <c r="MTD117" s="73"/>
      <c r="MTE117" s="73"/>
      <c r="MTF117" s="73"/>
      <c r="MTG117" s="73"/>
      <c r="MTH117" s="73"/>
      <c r="MTI117" s="73"/>
      <c r="MTJ117" s="73"/>
      <c r="MTK117" s="73"/>
      <c r="MTL117" s="73"/>
      <c r="MTM117" s="73"/>
      <c r="MTN117" s="73"/>
      <c r="MTO117" s="73"/>
      <c r="MTP117" s="73"/>
      <c r="MTQ117" s="73"/>
      <c r="MTR117" s="73"/>
      <c r="MTS117" s="73"/>
      <c r="MTT117" s="73"/>
      <c r="MTU117" s="73"/>
      <c r="MTV117" s="73"/>
      <c r="MTW117" s="73"/>
      <c r="MTX117" s="73"/>
      <c r="MTY117" s="73"/>
      <c r="MTZ117" s="73"/>
      <c r="MUA117" s="73"/>
      <c r="MUB117" s="73"/>
      <c r="MUC117" s="73"/>
      <c r="MUD117" s="73"/>
      <c r="MUE117" s="73"/>
      <c r="MUF117" s="73"/>
      <c r="MUG117" s="73"/>
      <c r="MUH117" s="73"/>
      <c r="MUI117" s="73"/>
      <c r="MUJ117" s="73"/>
      <c r="MUK117" s="73"/>
      <c r="MUL117" s="73"/>
      <c r="MUM117" s="73"/>
      <c r="MUN117" s="73"/>
      <c r="MUO117" s="73"/>
      <c r="MUP117" s="73"/>
      <c r="MUQ117" s="73"/>
      <c r="MUR117" s="73"/>
      <c r="MUS117" s="73"/>
      <c r="MUT117" s="73"/>
      <c r="MUU117" s="73"/>
      <c r="MUV117" s="73"/>
      <c r="MUW117" s="73"/>
      <c r="MUX117" s="73"/>
      <c r="MUY117" s="73"/>
      <c r="MUZ117" s="73"/>
      <c r="MVA117" s="73"/>
      <c r="MVB117" s="73"/>
      <c r="MVC117" s="73"/>
      <c r="MVD117" s="73"/>
      <c r="MVE117" s="73"/>
      <c r="MVF117" s="73"/>
      <c r="MVG117" s="73"/>
      <c r="MVH117" s="73"/>
      <c r="MVI117" s="73"/>
      <c r="MVJ117" s="73"/>
      <c r="MVK117" s="73"/>
      <c r="MVL117" s="73"/>
      <c r="MVM117" s="73"/>
      <c r="MVN117" s="73"/>
      <c r="MVO117" s="73"/>
      <c r="MVP117" s="73"/>
      <c r="MVQ117" s="73"/>
      <c r="MVR117" s="73"/>
      <c r="MVS117" s="73"/>
      <c r="MVT117" s="73"/>
      <c r="MVU117" s="73"/>
      <c r="MVV117" s="73"/>
      <c r="MVW117" s="73"/>
      <c r="MVX117" s="73"/>
      <c r="MVY117" s="73"/>
      <c r="MVZ117" s="73"/>
      <c r="MWA117" s="73"/>
      <c r="MWB117" s="73"/>
      <c r="MWC117" s="73"/>
      <c r="MWD117" s="73"/>
      <c r="MWE117" s="73"/>
      <c r="MWF117" s="73"/>
      <c r="MWG117" s="73"/>
      <c r="MWH117" s="73"/>
      <c r="MWI117" s="73"/>
      <c r="MWJ117" s="73"/>
      <c r="MWK117" s="73"/>
      <c r="MWL117" s="73"/>
      <c r="MWM117" s="73"/>
      <c r="MWN117" s="73"/>
      <c r="MWO117" s="73"/>
      <c r="MWP117" s="73"/>
      <c r="MWQ117" s="73"/>
      <c r="MWR117" s="73"/>
      <c r="MWS117" s="73"/>
      <c r="MWT117" s="73"/>
      <c r="MWU117" s="73"/>
      <c r="MWV117" s="73"/>
      <c r="MWW117" s="73"/>
      <c r="MWX117" s="73"/>
      <c r="MWY117" s="73"/>
      <c r="MWZ117" s="73"/>
      <c r="MXA117" s="73"/>
      <c r="MXB117" s="73"/>
      <c r="MXC117" s="73"/>
      <c r="MXD117" s="73"/>
      <c r="MXE117" s="73"/>
      <c r="MXF117" s="73"/>
      <c r="MXG117" s="73"/>
      <c r="MXH117" s="73"/>
      <c r="MXI117" s="73"/>
      <c r="MXJ117" s="73"/>
      <c r="MXK117" s="73"/>
      <c r="MXL117" s="73"/>
      <c r="MXM117" s="73"/>
      <c r="MXN117" s="73"/>
      <c r="MXO117" s="73"/>
      <c r="MXP117" s="73"/>
      <c r="MXQ117" s="73"/>
      <c r="MXR117" s="73"/>
      <c r="MXS117" s="73"/>
      <c r="MXT117" s="73"/>
      <c r="MXU117" s="73"/>
      <c r="MXV117" s="73"/>
      <c r="MXW117" s="73"/>
      <c r="MXX117" s="73"/>
      <c r="MXY117" s="73"/>
      <c r="MXZ117" s="73"/>
      <c r="MYA117" s="73"/>
      <c r="MYB117" s="73"/>
      <c r="MYC117" s="73"/>
      <c r="MYD117" s="73"/>
      <c r="MYE117" s="73"/>
      <c r="MYF117" s="73"/>
      <c r="MYG117" s="73"/>
      <c r="MYH117" s="73"/>
      <c r="MYI117" s="73"/>
      <c r="MYJ117" s="73"/>
      <c r="MYK117" s="73"/>
      <c r="MYL117" s="73"/>
      <c r="MYM117" s="73"/>
      <c r="MYN117" s="73"/>
      <c r="MYO117" s="73"/>
      <c r="MYP117" s="73"/>
      <c r="MYQ117" s="73"/>
      <c r="MYR117" s="73"/>
      <c r="MYS117" s="73"/>
      <c r="MYT117" s="73"/>
      <c r="MYU117" s="73"/>
      <c r="MYV117" s="73"/>
      <c r="MYW117" s="73"/>
      <c r="MYX117" s="73"/>
      <c r="MYY117" s="73"/>
      <c r="MYZ117" s="73"/>
      <c r="MZA117" s="73"/>
      <c r="MZB117" s="73"/>
      <c r="MZC117" s="73"/>
      <c r="MZD117" s="73"/>
      <c r="MZE117" s="73"/>
      <c r="MZF117" s="73"/>
      <c r="MZG117" s="73"/>
      <c r="MZH117" s="73"/>
      <c r="MZI117" s="73"/>
      <c r="MZJ117" s="73"/>
      <c r="MZK117" s="73"/>
      <c r="MZL117" s="73"/>
      <c r="MZM117" s="73"/>
      <c r="MZN117" s="73"/>
      <c r="MZO117" s="73"/>
      <c r="MZP117" s="73"/>
      <c r="MZQ117" s="73"/>
      <c r="MZR117" s="73"/>
      <c r="MZS117" s="73"/>
      <c r="MZT117" s="73"/>
      <c r="MZU117" s="73"/>
      <c r="MZV117" s="73"/>
      <c r="MZW117" s="73"/>
      <c r="MZX117" s="73"/>
      <c r="MZY117" s="73"/>
      <c r="MZZ117" s="73"/>
      <c r="NAA117" s="73"/>
      <c r="NAB117" s="73"/>
      <c r="NAC117" s="73"/>
      <c r="NAD117" s="73"/>
      <c r="NAE117" s="73"/>
      <c r="NAF117" s="73"/>
      <c r="NAG117" s="73"/>
      <c r="NAH117" s="73"/>
      <c r="NAI117" s="73"/>
      <c r="NAJ117" s="73"/>
      <c r="NAK117" s="73"/>
      <c r="NAL117" s="73"/>
      <c r="NAM117" s="73"/>
      <c r="NAN117" s="73"/>
      <c r="NAO117" s="73"/>
      <c r="NAP117" s="73"/>
      <c r="NAQ117" s="73"/>
      <c r="NAR117" s="73"/>
      <c r="NAS117" s="73"/>
      <c r="NAT117" s="73"/>
      <c r="NAU117" s="73"/>
      <c r="NAV117" s="73"/>
      <c r="NAW117" s="73"/>
      <c r="NAX117" s="73"/>
      <c r="NAY117" s="73"/>
      <c r="NAZ117" s="73"/>
      <c r="NBA117" s="73"/>
      <c r="NBB117" s="73"/>
      <c r="NBC117" s="73"/>
      <c r="NBD117" s="73"/>
      <c r="NBE117" s="73"/>
      <c r="NBF117" s="73"/>
      <c r="NBG117" s="73"/>
      <c r="NBH117" s="73"/>
      <c r="NBI117" s="73"/>
      <c r="NBJ117" s="73"/>
      <c r="NBK117" s="73"/>
      <c r="NBL117" s="73"/>
      <c r="NBM117" s="73"/>
      <c r="NBN117" s="73"/>
      <c r="NBO117" s="73"/>
      <c r="NBP117" s="73"/>
      <c r="NBQ117" s="73"/>
      <c r="NBR117" s="73"/>
      <c r="NBS117" s="73"/>
      <c r="NBT117" s="73"/>
      <c r="NBU117" s="73"/>
      <c r="NBV117" s="73"/>
      <c r="NBW117" s="73"/>
      <c r="NBX117" s="73"/>
      <c r="NBY117" s="73"/>
      <c r="NBZ117" s="73"/>
      <c r="NCA117" s="73"/>
      <c r="NCB117" s="73"/>
      <c r="NCC117" s="73"/>
      <c r="NCD117" s="73"/>
      <c r="NCE117" s="73"/>
      <c r="NCF117" s="73"/>
      <c r="NCG117" s="73"/>
      <c r="NCH117" s="73"/>
      <c r="NCI117" s="73"/>
      <c r="NCJ117" s="73"/>
      <c r="NCK117" s="73"/>
      <c r="NCL117" s="73"/>
      <c r="NCM117" s="73"/>
      <c r="NCN117" s="73"/>
      <c r="NCO117" s="73"/>
      <c r="NCP117" s="73"/>
      <c r="NCQ117" s="73"/>
      <c r="NCR117" s="73"/>
      <c r="NCS117" s="73"/>
      <c r="NCT117" s="73"/>
      <c r="NCU117" s="73"/>
      <c r="NCV117" s="73"/>
      <c r="NCW117" s="73"/>
      <c r="NCX117" s="73"/>
      <c r="NCY117" s="73"/>
      <c r="NCZ117" s="73"/>
      <c r="NDA117" s="73"/>
      <c r="NDB117" s="73"/>
      <c r="NDC117" s="73"/>
      <c r="NDD117" s="73"/>
      <c r="NDE117" s="73"/>
      <c r="NDF117" s="73"/>
      <c r="NDG117" s="73"/>
      <c r="NDH117" s="73"/>
      <c r="NDI117" s="73"/>
      <c r="NDJ117" s="73"/>
      <c r="NDK117" s="73"/>
      <c r="NDL117" s="73"/>
      <c r="NDM117" s="73"/>
      <c r="NDN117" s="73"/>
      <c r="NDO117" s="73"/>
      <c r="NDP117" s="73"/>
      <c r="NDQ117" s="73"/>
      <c r="NDR117" s="73"/>
      <c r="NDS117" s="73"/>
      <c r="NDT117" s="73"/>
      <c r="NDU117" s="73"/>
      <c r="NDV117" s="73"/>
      <c r="NDW117" s="73"/>
      <c r="NDX117" s="73"/>
      <c r="NDY117" s="73"/>
      <c r="NDZ117" s="73"/>
      <c r="NEA117" s="73"/>
      <c r="NEB117" s="73"/>
      <c r="NEC117" s="73"/>
      <c r="NED117" s="73"/>
      <c r="NEE117" s="73"/>
      <c r="NEF117" s="73"/>
      <c r="NEG117" s="73"/>
      <c r="NEH117" s="73"/>
      <c r="NEI117" s="73"/>
      <c r="NEJ117" s="73"/>
      <c r="NEK117" s="73"/>
      <c r="NEL117" s="73"/>
      <c r="NEM117" s="73"/>
      <c r="NEN117" s="73"/>
      <c r="NEO117" s="73"/>
      <c r="NEP117" s="73"/>
      <c r="NEQ117" s="73"/>
      <c r="NER117" s="73"/>
      <c r="NES117" s="73"/>
      <c r="NET117" s="73"/>
      <c r="NEU117" s="73"/>
      <c r="NEV117" s="73"/>
      <c r="NEW117" s="73"/>
      <c r="NEX117" s="73"/>
      <c r="NEY117" s="73"/>
      <c r="NEZ117" s="73"/>
      <c r="NFA117" s="73"/>
      <c r="NFB117" s="73"/>
      <c r="NFC117" s="73"/>
      <c r="NFD117" s="73"/>
      <c r="NFE117" s="73"/>
      <c r="NFF117" s="73"/>
      <c r="NFG117" s="73"/>
      <c r="NFH117" s="73"/>
      <c r="NFI117" s="73"/>
      <c r="NFJ117" s="73"/>
      <c r="NFK117" s="73"/>
      <c r="NFL117" s="73"/>
      <c r="NFM117" s="73"/>
      <c r="NFN117" s="73"/>
      <c r="NFO117" s="73"/>
      <c r="NFP117" s="73"/>
      <c r="NFQ117" s="73"/>
      <c r="NFR117" s="73"/>
      <c r="NFS117" s="73"/>
      <c r="NFT117" s="73"/>
      <c r="NFU117" s="73"/>
      <c r="NFV117" s="73"/>
      <c r="NFW117" s="73"/>
      <c r="NFX117" s="73"/>
      <c r="NFY117" s="73"/>
      <c r="NFZ117" s="73"/>
      <c r="NGA117" s="73"/>
      <c r="NGB117" s="73"/>
      <c r="NGC117" s="73"/>
      <c r="NGD117" s="73"/>
      <c r="NGE117" s="73"/>
      <c r="NGF117" s="73"/>
      <c r="NGG117" s="73"/>
      <c r="NGH117" s="73"/>
      <c r="NGI117" s="73"/>
      <c r="NGJ117" s="73"/>
      <c r="NGK117" s="73"/>
      <c r="NGL117" s="73"/>
      <c r="NGM117" s="73"/>
      <c r="NGN117" s="73"/>
      <c r="NGO117" s="73"/>
      <c r="NGP117" s="73"/>
      <c r="NGQ117" s="73"/>
      <c r="NGR117" s="73"/>
      <c r="NGS117" s="73"/>
      <c r="NGT117" s="73"/>
      <c r="NGU117" s="73"/>
      <c r="NGV117" s="73"/>
      <c r="NGW117" s="73"/>
      <c r="NGX117" s="73"/>
      <c r="NGY117" s="73"/>
      <c r="NGZ117" s="73"/>
      <c r="NHA117" s="73"/>
      <c r="NHB117" s="73"/>
      <c r="NHC117" s="73"/>
      <c r="NHD117" s="73"/>
      <c r="NHE117" s="73"/>
      <c r="NHF117" s="73"/>
      <c r="NHG117" s="73"/>
      <c r="NHH117" s="73"/>
      <c r="NHI117" s="73"/>
      <c r="NHJ117" s="73"/>
      <c r="NHK117" s="73"/>
      <c r="NHL117" s="73"/>
      <c r="NHM117" s="73"/>
      <c r="NHN117" s="73"/>
      <c r="NHO117" s="73"/>
      <c r="NHP117" s="73"/>
      <c r="NHQ117" s="73"/>
      <c r="NHR117" s="73"/>
      <c r="NHS117" s="73"/>
      <c r="NHT117" s="73"/>
      <c r="NHU117" s="73"/>
      <c r="NHV117" s="73"/>
      <c r="NHW117" s="73"/>
      <c r="NHX117" s="73"/>
      <c r="NHY117" s="73"/>
      <c r="NHZ117" s="73"/>
      <c r="NIA117" s="73"/>
      <c r="NIB117" s="73"/>
      <c r="NIC117" s="73"/>
      <c r="NID117" s="73"/>
      <c r="NIE117" s="73"/>
      <c r="NIF117" s="73"/>
      <c r="NIG117" s="73"/>
      <c r="NIH117" s="73"/>
      <c r="NII117" s="73"/>
      <c r="NIJ117" s="73"/>
      <c r="NIK117" s="73"/>
      <c r="NIL117" s="73"/>
      <c r="NIM117" s="73"/>
      <c r="NIN117" s="73"/>
      <c r="NIO117" s="73"/>
      <c r="NIP117" s="73"/>
      <c r="NIQ117" s="73"/>
      <c r="NIR117" s="73"/>
      <c r="NIS117" s="73"/>
      <c r="NIT117" s="73"/>
      <c r="NIU117" s="73"/>
      <c r="NIV117" s="73"/>
      <c r="NIW117" s="73"/>
      <c r="NIX117" s="73"/>
      <c r="NIY117" s="73"/>
      <c r="NIZ117" s="73"/>
      <c r="NJA117" s="73"/>
      <c r="NJB117" s="73"/>
      <c r="NJC117" s="73"/>
      <c r="NJD117" s="73"/>
      <c r="NJE117" s="73"/>
      <c r="NJF117" s="73"/>
      <c r="NJG117" s="73"/>
      <c r="NJH117" s="73"/>
      <c r="NJI117" s="73"/>
      <c r="NJJ117" s="73"/>
      <c r="NJK117" s="73"/>
      <c r="NJL117" s="73"/>
      <c r="NJM117" s="73"/>
      <c r="NJN117" s="73"/>
      <c r="NJO117" s="73"/>
      <c r="NJP117" s="73"/>
      <c r="NJQ117" s="73"/>
      <c r="NJR117" s="73"/>
      <c r="NJS117" s="73"/>
      <c r="NJT117" s="73"/>
      <c r="NJU117" s="73"/>
      <c r="NJV117" s="73"/>
      <c r="NJW117" s="73"/>
      <c r="NJX117" s="73"/>
      <c r="NJY117" s="73"/>
      <c r="NJZ117" s="73"/>
      <c r="NKA117" s="73"/>
      <c r="NKB117" s="73"/>
      <c r="NKC117" s="73"/>
      <c r="NKD117" s="73"/>
      <c r="NKE117" s="73"/>
      <c r="NKF117" s="73"/>
      <c r="NKG117" s="73"/>
      <c r="NKH117" s="73"/>
      <c r="NKI117" s="73"/>
      <c r="NKJ117" s="73"/>
      <c r="NKK117" s="73"/>
      <c r="NKL117" s="73"/>
      <c r="NKM117" s="73"/>
      <c r="NKN117" s="73"/>
      <c r="NKO117" s="73"/>
      <c r="NKP117" s="73"/>
      <c r="NKQ117" s="73"/>
      <c r="NKR117" s="73"/>
      <c r="NKS117" s="73"/>
      <c r="NKT117" s="73"/>
      <c r="NKU117" s="73"/>
      <c r="NKV117" s="73"/>
      <c r="NKW117" s="73"/>
      <c r="NKX117" s="73"/>
      <c r="NKY117" s="73"/>
      <c r="NKZ117" s="73"/>
      <c r="NLA117" s="73"/>
      <c r="NLB117" s="73"/>
      <c r="NLC117" s="73"/>
      <c r="NLD117" s="73"/>
      <c r="NLE117" s="73"/>
      <c r="NLF117" s="73"/>
      <c r="NLG117" s="73"/>
      <c r="NLH117" s="73"/>
      <c r="NLI117" s="73"/>
      <c r="NLJ117" s="73"/>
      <c r="NLK117" s="73"/>
      <c r="NLL117" s="73"/>
      <c r="NLM117" s="73"/>
      <c r="NLN117" s="73"/>
      <c r="NLO117" s="73"/>
      <c r="NLP117" s="73"/>
      <c r="NLQ117" s="73"/>
      <c r="NLR117" s="73"/>
      <c r="NLS117" s="73"/>
      <c r="NLT117" s="73"/>
      <c r="NLU117" s="73"/>
      <c r="NLV117" s="73"/>
      <c r="NLW117" s="73"/>
      <c r="NLX117" s="73"/>
      <c r="NLY117" s="73"/>
      <c r="NLZ117" s="73"/>
      <c r="NMA117" s="73"/>
      <c r="NMB117" s="73"/>
      <c r="NMC117" s="73"/>
      <c r="NMD117" s="73"/>
      <c r="NME117" s="73"/>
      <c r="NMF117" s="73"/>
      <c r="NMG117" s="73"/>
      <c r="NMH117" s="73"/>
      <c r="NMI117" s="73"/>
      <c r="NMJ117" s="73"/>
      <c r="NMK117" s="73"/>
      <c r="NML117" s="73"/>
      <c r="NMM117" s="73"/>
      <c r="NMN117" s="73"/>
      <c r="NMO117" s="73"/>
      <c r="NMP117" s="73"/>
      <c r="NMQ117" s="73"/>
      <c r="NMR117" s="73"/>
      <c r="NMS117" s="73"/>
      <c r="NMT117" s="73"/>
      <c r="NMU117" s="73"/>
      <c r="NMV117" s="73"/>
      <c r="NMW117" s="73"/>
      <c r="NMX117" s="73"/>
      <c r="NMY117" s="73"/>
      <c r="NMZ117" s="73"/>
      <c r="NNA117" s="73"/>
      <c r="NNB117" s="73"/>
      <c r="NNC117" s="73"/>
      <c r="NND117" s="73"/>
      <c r="NNE117" s="73"/>
      <c r="NNF117" s="73"/>
      <c r="NNG117" s="73"/>
      <c r="NNH117" s="73"/>
      <c r="NNI117" s="73"/>
      <c r="NNJ117" s="73"/>
      <c r="NNK117" s="73"/>
      <c r="NNL117" s="73"/>
      <c r="NNM117" s="73"/>
      <c r="NNN117" s="73"/>
      <c r="NNO117" s="73"/>
      <c r="NNP117" s="73"/>
      <c r="NNQ117" s="73"/>
      <c r="NNR117" s="73"/>
      <c r="NNS117" s="73"/>
      <c r="NNT117" s="73"/>
      <c r="NNU117" s="73"/>
      <c r="NNV117" s="73"/>
      <c r="NNW117" s="73"/>
      <c r="NNX117" s="73"/>
      <c r="NNY117" s="73"/>
      <c r="NNZ117" s="73"/>
      <c r="NOA117" s="73"/>
      <c r="NOB117" s="73"/>
      <c r="NOC117" s="73"/>
      <c r="NOD117" s="73"/>
      <c r="NOE117" s="73"/>
      <c r="NOF117" s="73"/>
      <c r="NOG117" s="73"/>
      <c r="NOH117" s="73"/>
      <c r="NOI117" s="73"/>
      <c r="NOJ117" s="73"/>
      <c r="NOK117" s="73"/>
      <c r="NOL117" s="73"/>
      <c r="NOM117" s="73"/>
      <c r="NON117" s="73"/>
      <c r="NOO117" s="73"/>
      <c r="NOP117" s="73"/>
      <c r="NOQ117" s="73"/>
      <c r="NOR117" s="73"/>
      <c r="NOS117" s="73"/>
      <c r="NOT117" s="73"/>
      <c r="NOU117" s="73"/>
      <c r="NOV117" s="73"/>
      <c r="NOW117" s="73"/>
      <c r="NOX117" s="73"/>
      <c r="NOY117" s="73"/>
      <c r="NOZ117" s="73"/>
      <c r="NPA117" s="73"/>
      <c r="NPB117" s="73"/>
      <c r="NPC117" s="73"/>
      <c r="NPD117" s="73"/>
      <c r="NPE117" s="73"/>
      <c r="NPF117" s="73"/>
      <c r="NPG117" s="73"/>
      <c r="NPH117" s="73"/>
      <c r="NPI117" s="73"/>
      <c r="NPJ117" s="73"/>
      <c r="NPK117" s="73"/>
      <c r="NPL117" s="73"/>
      <c r="NPM117" s="73"/>
      <c r="NPN117" s="73"/>
      <c r="NPO117" s="73"/>
      <c r="NPP117" s="73"/>
      <c r="NPQ117" s="73"/>
      <c r="NPR117" s="73"/>
      <c r="NPS117" s="73"/>
      <c r="NPT117" s="73"/>
      <c r="NPU117" s="73"/>
      <c r="NPV117" s="73"/>
      <c r="NPW117" s="73"/>
      <c r="NPX117" s="73"/>
      <c r="NPY117" s="73"/>
      <c r="NPZ117" s="73"/>
      <c r="NQA117" s="73"/>
      <c r="NQB117" s="73"/>
      <c r="NQC117" s="73"/>
      <c r="NQD117" s="73"/>
      <c r="NQE117" s="73"/>
      <c r="NQF117" s="73"/>
      <c r="NQG117" s="73"/>
      <c r="NQH117" s="73"/>
      <c r="NQI117" s="73"/>
      <c r="NQJ117" s="73"/>
      <c r="NQK117" s="73"/>
      <c r="NQL117" s="73"/>
      <c r="NQM117" s="73"/>
      <c r="NQN117" s="73"/>
      <c r="NQO117" s="73"/>
      <c r="NQP117" s="73"/>
      <c r="NQQ117" s="73"/>
      <c r="NQR117" s="73"/>
      <c r="NQS117" s="73"/>
      <c r="NQT117" s="73"/>
      <c r="NQU117" s="73"/>
      <c r="NQV117" s="73"/>
      <c r="NQW117" s="73"/>
      <c r="NQX117" s="73"/>
      <c r="NQY117" s="73"/>
      <c r="NQZ117" s="73"/>
      <c r="NRA117" s="73"/>
      <c r="NRB117" s="73"/>
      <c r="NRC117" s="73"/>
      <c r="NRD117" s="73"/>
      <c r="NRE117" s="73"/>
      <c r="NRF117" s="73"/>
      <c r="NRG117" s="73"/>
      <c r="NRH117" s="73"/>
      <c r="NRI117" s="73"/>
      <c r="NRJ117" s="73"/>
      <c r="NRK117" s="73"/>
      <c r="NRL117" s="73"/>
      <c r="NRM117" s="73"/>
      <c r="NRN117" s="73"/>
      <c r="NRO117" s="73"/>
      <c r="NRP117" s="73"/>
      <c r="NRQ117" s="73"/>
      <c r="NRR117" s="73"/>
      <c r="NRS117" s="73"/>
      <c r="NRT117" s="73"/>
      <c r="NRU117" s="73"/>
      <c r="NRV117" s="73"/>
      <c r="NRW117" s="73"/>
      <c r="NRX117" s="73"/>
      <c r="NRY117" s="73"/>
      <c r="NRZ117" s="73"/>
      <c r="NSA117" s="73"/>
      <c r="NSB117" s="73"/>
      <c r="NSC117" s="73"/>
      <c r="NSD117" s="73"/>
      <c r="NSE117" s="73"/>
      <c r="NSF117" s="73"/>
      <c r="NSG117" s="73"/>
      <c r="NSH117" s="73"/>
      <c r="NSI117" s="73"/>
      <c r="NSJ117" s="73"/>
      <c r="NSK117" s="73"/>
      <c r="NSL117" s="73"/>
      <c r="NSM117" s="73"/>
      <c r="NSN117" s="73"/>
      <c r="NSO117" s="73"/>
      <c r="NSP117" s="73"/>
      <c r="NSQ117" s="73"/>
      <c r="NSR117" s="73"/>
      <c r="NSS117" s="73"/>
      <c r="NST117" s="73"/>
      <c r="NSU117" s="73"/>
      <c r="NSV117" s="73"/>
      <c r="NSW117" s="73"/>
      <c r="NSX117" s="73"/>
      <c r="NSY117" s="73"/>
      <c r="NSZ117" s="73"/>
      <c r="NTA117" s="73"/>
      <c r="NTB117" s="73"/>
      <c r="NTC117" s="73"/>
      <c r="NTD117" s="73"/>
      <c r="NTE117" s="73"/>
      <c r="NTF117" s="73"/>
      <c r="NTG117" s="73"/>
      <c r="NTH117" s="73"/>
      <c r="NTI117" s="73"/>
      <c r="NTJ117" s="73"/>
      <c r="NTK117" s="73"/>
      <c r="NTL117" s="73"/>
      <c r="NTM117" s="73"/>
      <c r="NTN117" s="73"/>
      <c r="NTO117" s="73"/>
      <c r="NTP117" s="73"/>
      <c r="NTQ117" s="73"/>
      <c r="NTR117" s="73"/>
      <c r="NTS117" s="73"/>
      <c r="NTT117" s="73"/>
      <c r="NTU117" s="73"/>
      <c r="NTV117" s="73"/>
      <c r="NTW117" s="73"/>
      <c r="NTX117" s="73"/>
      <c r="NTY117" s="73"/>
      <c r="NTZ117" s="73"/>
      <c r="NUA117" s="73"/>
      <c r="NUB117" s="73"/>
      <c r="NUC117" s="73"/>
      <c r="NUD117" s="73"/>
      <c r="NUE117" s="73"/>
      <c r="NUF117" s="73"/>
      <c r="NUG117" s="73"/>
      <c r="NUH117" s="73"/>
      <c r="NUI117" s="73"/>
      <c r="NUJ117" s="73"/>
      <c r="NUK117" s="73"/>
      <c r="NUL117" s="73"/>
      <c r="NUM117" s="73"/>
      <c r="NUN117" s="73"/>
      <c r="NUO117" s="73"/>
      <c r="NUP117" s="73"/>
      <c r="NUQ117" s="73"/>
      <c r="NUR117" s="73"/>
      <c r="NUS117" s="73"/>
      <c r="NUT117" s="73"/>
      <c r="NUU117" s="73"/>
      <c r="NUV117" s="73"/>
      <c r="NUW117" s="73"/>
      <c r="NUX117" s="73"/>
      <c r="NUY117" s="73"/>
      <c r="NUZ117" s="73"/>
      <c r="NVA117" s="73"/>
      <c r="NVB117" s="73"/>
      <c r="NVC117" s="73"/>
      <c r="NVD117" s="73"/>
      <c r="NVE117" s="73"/>
      <c r="NVF117" s="73"/>
      <c r="NVG117" s="73"/>
      <c r="NVH117" s="73"/>
      <c r="NVI117" s="73"/>
      <c r="NVJ117" s="73"/>
      <c r="NVK117" s="73"/>
      <c r="NVL117" s="73"/>
      <c r="NVM117" s="73"/>
      <c r="NVN117" s="73"/>
      <c r="NVO117" s="73"/>
      <c r="NVP117" s="73"/>
      <c r="NVQ117" s="73"/>
      <c r="NVR117" s="73"/>
      <c r="NVS117" s="73"/>
      <c r="NVT117" s="73"/>
      <c r="NVU117" s="73"/>
      <c r="NVV117" s="73"/>
      <c r="NVW117" s="73"/>
      <c r="NVX117" s="73"/>
      <c r="NVY117" s="73"/>
      <c r="NVZ117" s="73"/>
      <c r="NWA117" s="73"/>
      <c r="NWB117" s="73"/>
      <c r="NWC117" s="73"/>
      <c r="NWD117" s="73"/>
      <c r="NWE117" s="73"/>
      <c r="NWF117" s="73"/>
      <c r="NWG117" s="73"/>
      <c r="NWH117" s="73"/>
      <c r="NWI117" s="73"/>
      <c r="NWJ117" s="73"/>
      <c r="NWK117" s="73"/>
      <c r="NWL117" s="73"/>
      <c r="NWM117" s="73"/>
      <c r="NWN117" s="73"/>
      <c r="NWO117" s="73"/>
      <c r="NWP117" s="73"/>
      <c r="NWQ117" s="73"/>
      <c r="NWR117" s="73"/>
      <c r="NWS117" s="73"/>
      <c r="NWT117" s="73"/>
      <c r="NWU117" s="73"/>
      <c r="NWV117" s="73"/>
      <c r="NWW117" s="73"/>
      <c r="NWX117" s="73"/>
      <c r="NWY117" s="73"/>
      <c r="NWZ117" s="73"/>
      <c r="NXA117" s="73"/>
      <c r="NXB117" s="73"/>
      <c r="NXC117" s="73"/>
      <c r="NXD117" s="73"/>
      <c r="NXE117" s="73"/>
      <c r="NXF117" s="73"/>
      <c r="NXG117" s="73"/>
      <c r="NXH117" s="73"/>
      <c r="NXI117" s="73"/>
      <c r="NXJ117" s="73"/>
      <c r="NXK117" s="73"/>
      <c r="NXL117" s="73"/>
      <c r="NXM117" s="73"/>
      <c r="NXN117" s="73"/>
      <c r="NXO117" s="73"/>
      <c r="NXP117" s="73"/>
      <c r="NXQ117" s="73"/>
      <c r="NXR117" s="73"/>
      <c r="NXS117" s="73"/>
      <c r="NXT117" s="73"/>
      <c r="NXU117" s="73"/>
      <c r="NXV117" s="73"/>
      <c r="NXW117" s="73"/>
      <c r="NXX117" s="73"/>
      <c r="NXY117" s="73"/>
      <c r="NXZ117" s="73"/>
      <c r="NYA117" s="73"/>
      <c r="NYB117" s="73"/>
      <c r="NYC117" s="73"/>
      <c r="NYD117" s="73"/>
      <c r="NYE117" s="73"/>
      <c r="NYF117" s="73"/>
      <c r="NYG117" s="73"/>
      <c r="NYH117" s="73"/>
      <c r="NYI117" s="73"/>
      <c r="NYJ117" s="73"/>
      <c r="NYK117" s="73"/>
      <c r="NYL117" s="73"/>
      <c r="NYM117" s="73"/>
      <c r="NYN117" s="73"/>
      <c r="NYO117" s="73"/>
      <c r="NYP117" s="73"/>
      <c r="NYQ117" s="73"/>
      <c r="NYR117" s="73"/>
      <c r="NYS117" s="73"/>
      <c r="NYT117" s="73"/>
      <c r="NYU117" s="73"/>
      <c r="NYV117" s="73"/>
      <c r="NYW117" s="73"/>
      <c r="NYX117" s="73"/>
      <c r="NYY117" s="73"/>
      <c r="NYZ117" s="73"/>
      <c r="NZA117" s="73"/>
      <c r="NZB117" s="73"/>
      <c r="NZC117" s="73"/>
      <c r="NZD117" s="73"/>
      <c r="NZE117" s="73"/>
      <c r="NZF117" s="73"/>
      <c r="NZG117" s="73"/>
      <c r="NZH117" s="73"/>
      <c r="NZI117" s="73"/>
      <c r="NZJ117" s="73"/>
      <c r="NZK117" s="73"/>
      <c r="NZL117" s="73"/>
      <c r="NZM117" s="73"/>
      <c r="NZN117" s="73"/>
      <c r="NZO117" s="73"/>
      <c r="NZP117" s="73"/>
      <c r="NZQ117" s="73"/>
      <c r="NZR117" s="73"/>
      <c r="NZS117" s="73"/>
      <c r="NZT117" s="73"/>
      <c r="NZU117" s="73"/>
      <c r="NZV117" s="73"/>
      <c r="NZW117" s="73"/>
      <c r="NZX117" s="73"/>
      <c r="NZY117" s="73"/>
      <c r="NZZ117" s="73"/>
      <c r="OAA117" s="73"/>
      <c r="OAB117" s="73"/>
      <c r="OAC117" s="73"/>
      <c r="OAD117" s="73"/>
      <c r="OAE117" s="73"/>
      <c r="OAF117" s="73"/>
      <c r="OAG117" s="73"/>
      <c r="OAH117" s="73"/>
      <c r="OAI117" s="73"/>
      <c r="OAJ117" s="73"/>
      <c r="OAK117" s="73"/>
      <c r="OAL117" s="73"/>
      <c r="OAM117" s="73"/>
      <c r="OAN117" s="73"/>
      <c r="OAO117" s="73"/>
      <c r="OAP117" s="73"/>
      <c r="OAQ117" s="73"/>
      <c r="OAR117" s="73"/>
      <c r="OAS117" s="73"/>
      <c r="OAT117" s="73"/>
      <c r="OAU117" s="73"/>
      <c r="OAV117" s="73"/>
      <c r="OAW117" s="73"/>
      <c r="OAX117" s="73"/>
      <c r="OAY117" s="73"/>
      <c r="OAZ117" s="73"/>
      <c r="OBA117" s="73"/>
      <c r="OBB117" s="73"/>
      <c r="OBC117" s="73"/>
      <c r="OBD117" s="73"/>
      <c r="OBE117" s="73"/>
      <c r="OBF117" s="73"/>
      <c r="OBG117" s="73"/>
      <c r="OBH117" s="73"/>
      <c r="OBI117" s="73"/>
      <c r="OBJ117" s="73"/>
      <c r="OBK117" s="73"/>
      <c r="OBL117" s="73"/>
      <c r="OBM117" s="73"/>
      <c r="OBN117" s="73"/>
      <c r="OBO117" s="73"/>
      <c r="OBP117" s="73"/>
      <c r="OBQ117" s="73"/>
      <c r="OBR117" s="73"/>
      <c r="OBS117" s="73"/>
      <c r="OBT117" s="73"/>
      <c r="OBU117" s="73"/>
      <c r="OBV117" s="73"/>
      <c r="OBW117" s="73"/>
      <c r="OBX117" s="73"/>
      <c r="OBY117" s="73"/>
      <c r="OBZ117" s="73"/>
      <c r="OCA117" s="73"/>
      <c r="OCB117" s="73"/>
      <c r="OCC117" s="73"/>
      <c r="OCD117" s="73"/>
      <c r="OCE117" s="73"/>
      <c r="OCF117" s="73"/>
      <c r="OCG117" s="73"/>
      <c r="OCH117" s="73"/>
      <c r="OCI117" s="73"/>
      <c r="OCJ117" s="73"/>
      <c r="OCK117" s="73"/>
      <c r="OCL117" s="73"/>
      <c r="OCM117" s="73"/>
      <c r="OCN117" s="73"/>
      <c r="OCO117" s="73"/>
      <c r="OCP117" s="73"/>
      <c r="OCQ117" s="73"/>
      <c r="OCR117" s="73"/>
      <c r="OCS117" s="73"/>
      <c r="OCT117" s="73"/>
      <c r="OCU117" s="73"/>
      <c r="OCV117" s="73"/>
      <c r="OCW117" s="73"/>
      <c r="OCX117" s="73"/>
      <c r="OCY117" s="73"/>
      <c r="OCZ117" s="73"/>
      <c r="ODA117" s="73"/>
      <c r="ODB117" s="73"/>
      <c r="ODC117" s="73"/>
      <c r="ODD117" s="73"/>
      <c r="ODE117" s="73"/>
      <c r="ODF117" s="73"/>
      <c r="ODG117" s="73"/>
      <c r="ODH117" s="73"/>
      <c r="ODI117" s="73"/>
      <c r="ODJ117" s="73"/>
      <c r="ODK117" s="73"/>
      <c r="ODL117" s="73"/>
      <c r="ODM117" s="73"/>
      <c r="ODN117" s="73"/>
      <c r="ODO117" s="73"/>
      <c r="ODP117" s="73"/>
      <c r="ODQ117" s="73"/>
      <c r="ODR117" s="73"/>
      <c r="ODS117" s="73"/>
      <c r="ODT117" s="73"/>
      <c r="ODU117" s="73"/>
      <c r="ODV117" s="73"/>
      <c r="ODW117" s="73"/>
      <c r="ODX117" s="73"/>
      <c r="ODY117" s="73"/>
      <c r="ODZ117" s="73"/>
      <c r="OEA117" s="73"/>
      <c r="OEB117" s="73"/>
      <c r="OEC117" s="73"/>
      <c r="OED117" s="73"/>
      <c r="OEE117" s="73"/>
      <c r="OEF117" s="73"/>
      <c r="OEG117" s="73"/>
      <c r="OEH117" s="73"/>
      <c r="OEI117" s="73"/>
      <c r="OEJ117" s="73"/>
      <c r="OEK117" s="73"/>
      <c r="OEL117" s="73"/>
      <c r="OEM117" s="73"/>
      <c r="OEN117" s="73"/>
      <c r="OEO117" s="73"/>
      <c r="OEP117" s="73"/>
      <c r="OEQ117" s="73"/>
      <c r="OER117" s="73"/>
      <c r="OES117" s="73"/>
      <c r="OET117" s="73"/>
      <c r="OEU117" s="73"/>
      <c r="OEV117" s="73"/>
      <c r="OEW117" s="73"/>
      <c r="OEX117" s="73"/>
      <c r="OEY117" s="73"/>
      <c r="OEZ117" s="73"/>
      <c r="OFA117" s="73"/>
      <c r="OFB117" s="73"/>
      <c r="OFC117" s="73"/>
      <c r="OFD117" s="73"/>
      <c r="OFE117" s="73"/>
      <c r="OFF117" s="73"/>
      <c r="OFG117" s="73"/>
      <c r="OFH117" s="73"/>
      <c r="OFI117" s="73"/>
      <c r="OFJ117" s="73"/>
      <c r="OFK117" s="73"/>
      <c r="OFL117" s="73"/>
      <c r="OFM117" s="73"/>
      <c r="OFN117" s="73"/>
      <c r="OFO117" s="73"/>
      <c r="OFP117" s="73"/>
      <c r="OFQ117" s="73"/>
      <c r="OFR117" s="73"/>
      <c r="OFS117" s="73"/>
      <c r="OFT117" s="73"/>
      <c r="OFU117" s="73"/>
      <c r="OFV117" s="73"/>
      <c r="OFW117" s="73"/>
      <c r="OFX117" s="73"/>
      <c r="OFY117" s="73"/>
      <c r="OFZ117" s="73"/>
      <c r="OGA117" s="73"/>
      <c r="OGB117" s="73"/>
      <c r="OGC117" s="73"/>
      <c r="OGD117" s="73"/>
      <c r="OGE117" s="73"/>
      <c r="OGF117" s="73"/>
      <c r="OGG117" s="73"/>
      <c r="OGH117" s="73"/>
      <c r="OGI117" s="73"/>
      <c r="OGJ117" s="73"/>
      <c r="OGK117" s="73"/>
      <c r="OGL117" s="73"/>
      <c r="OGM117" s="73"/>
      <c r="OGN117" s="73"/>
      <c r="OGO117" s="73"/>
      <c r="OGP117" s="73"/>
      <c r="OGQ117" s="73"/>
      <c r="OGR117" s="73"/>
      <c r="OGS117" s="73"/>
      <c r="OGT117" s="73"/>
      <c r="OGU117" s="73"/>
      <c r="OGV117" s="73"/>
      <c r="OGW117" s="73"/>
      <c r="OGX117" s="73"/>
      <c r="OGY117" s="73"/>
      <c r="OGZ117" s="73"/>
      <c r="OHA117" s="73"/>
      <c r="OHB117" s="73"/>
      <c r="OHC117" s="73"/>
      <c r="OHD117" s="73"/>
      <c r="OHE117" s="73"/>
      <c r="OHF117" s="73"/>
      <c r="OHG117" s="73"/>
      <c r="OHH117" s="73"/>
      <c r="OHI117" s="73"/>
      <c r="OHJ117" s="73"/>
      <c r="OHK117" s="73"/>
      <c r="OHL117" s="73"/>
      <c r="OHM117" s="73"/>
      <c r="OHN117" s="73"/>
      <c r="OHO117" s="73"/>
      <c r="OHP117" s="73"/>
      <c r="OHQ117" s="73"/>
      <c r="OHR117" s="73"/>
      <c r="OHS117" s="73"/>
      <c r="OHT117" s="73"/>
      <c r="OHU117" s="73"/>
      <c r="OHV117" s="73"/>
      <c r="OHW117" s="73"/>
      <c r="OHX117" s="73"/>
      <c r="OHY117" s="73"/>
      <c r="OHZ117" s="73"/>
      <c r="OIA117" s="73"/>
      <c r="OIB117" s="73"/>
      <c r="OIC117" s="73"/>
      <c r="OID117" s="73"/>
      <c r="OIE117" s="73"/>
      <c r="OIF117" s="73"/>
      <c r="OIG117" s="73"/>
      <c r="OIH117" s="73"/>
      <c r="OII117" s="73"/>
      <c r="OIJ117" s="73"/>
      <c r="OIK117" s="73"/>
      <c r="OIL117" s="73"/>
      <c r="OIM117" s="73"/>
      <c r="OIN117" s="73"/>
      <c r="OIO117" s="73"/>
      <c r="OIP117" s="73"/>
      <c r="OIQ117" s="73"/>
      <c r="OIR117" s="73"/>
      <c r="OIS117" s="73"/>
      <c r="OIT117" s="73"/>
      <c r="OIU117" s="73"/>
      <c r="OIV117" s="73"/>
      <c r="OIW117" s="73"/>
      <c r="OIX117" s="73"/>
      <c r="OIY117" s="73"/>
      <c r="OIZ117" s="73"/>
      <c r="OJA117" s="73"/>
      <c r="OJB117" s="73"/>
      <c r="OJC117" s="73"/>
      <c r="OJD117" s="73"/>
      <c r="OJE117" s="73"/>
      <c r="OJF117" s="73"/>
      <c r="OJG117" s="73"/>
      <c r="OJH117" s="73"/>
      <c r="OJI117" s="73"/>
      <c r="OJJ117" s="73"/>
      <c r="OJK117" s="73"/>
      <c r="OJL117" s="73"/>
      <c r="OJM117" s="73"/>
      <c r="OJN117" s="73"/>
      <c r="OJO117" s="73"/>
      <c r="OJP117" s="73"/>
      <c r="OJQ117" s="73"/>
      <c r="OJR117" s="73"/>
      <c r="OJS117" s="73"/>
      <c r="OJT117" s="73"/>
      <c r="OJU117" s="73"/>
      <c r="OJV117" s="73"/>
      <c r="OJW117" s="73"/>
      <c r="OJX117" s="73"/>
      <c r="OJY117" s="73"/>
      <c r="OJZ117" s="73"/>
      <c r="OKA117" s="73"/>
      <c r="OKB117" s="73"/>
      <c r="OKC117" s="73"/>
      <c r="OKD117" s="73"/>
      <c r="OKE117" s="73"/>
      <c r="OKF117" s="73"/>
      <c r="OKG117" s="73"/>
      <c r="OKH117" s="73"/>
      <c r="OKI117" s="73"/>
      <c r="OKJ117" s="73"/>
      <c r="OKK117" s="73"/>
      <c r="OKL117" s="73"/>
      <c r="OKM117" s="73"/>
      <c r="OKN117" s="73"/>
      <c r="OKO117" s="73"/>
      <c r="OKP117" s="73"/>
      <c r="OKQ117" s="73"/>
      <c r="OKR117" s="73"/>
      <c r="OKS117" s="73"/>
      <c r="OKT117" s="73"/>
      <c r="OKU117" s="73"/>
      <c r="OKV117" s="73"/>
      <c r="OKW117" s="73"/>
      <c r="OKX117" s="73"/>
      <c r="OKY117" s="73"/>
      <c r="OKZ117" s="73"/>
      <c r="OLA117" s="73"/>
      <c r="OLB117" s="73"/>
      <c r="OLC117" s="73"/>
      <c r="OLD117" s="73"/>
      <c r="OLE117" s="73"/>
      <c r="OLF117" s="73"/>
      <c r="OLG117" s="73"/>
      <c r="OLH117" s="73"/>
      <c r="OLI117" s="73"/>
      <c r="OLJ117" s="73"/>
      <c r="OLK117" s="73"/>
      <c r="OLL117" s="73"/>
      <c r="OLM117" s="73"/>
      <c r="OLN117" s="73"/>
      <c r="OLO117" s="73"/>
      <c r="OLP117" s="73"/>
      <c r="OLQ117" s="73"/>
      <c r="OLR117" s="73"/>
      <c r="OLS117" s="73"/>
      <c r="OLT117" s="73"/>
      <c r="OLU117" s="73"/>
      <c r="OLV117" s="73"/>
      <c r="OLW117" s="73"/>
      <c r="OLX117" s="73"/>
      <c r="OLY117" s="73"/>
      <c r="OLZ117" s="73"/>
      <c r="OMA117" s="73"/>
      <c r="OMB117" s="73"/>
      <c r="OMC117" s="73"/>
      <c r="OMD117" s="73"/>
      <c r="OME117" s="73"/>
      <c r="OMF117" s="73"/>
      <c r="OMG117" s="73"/>
      <c r="OMH117" s="73"/>
      <c r="OMI117" s="73"/>
      <c r="OMJ117" s="73"/>
      <c r="OMK117" s="73"/>
      <c r="OML117" s="73"/>
      <c r="OMM117" s="73"/>
      <c r="OMN117" s="73"/>
      <c r="OMO117" s="73"/>
      <c r="OMP117" s="73"/>
      <c r="OMQ117" s="73"/>
      <c r="OMR117" s="73"/>
      <c r="OMS117" s="73"/>
      <c r="OMT117" s="73"/>
      <c r="OMU117" s="73"/>
      <c r="OMV117" s="73"/>
      <c r="OMW117" s="73"/>
      <c r="OMX117" s="73"/>
      <c r="OMY117" s="73"/>
      <c r="OMZ117" s="73"/>
      <c r="ONA117" s="73"/>
      <c r="ONB117" s="73"/>
      <c r="ONC117" s="73"/>
      <c r="OND117" s="73"/>
      <c r="ONE117" s="73"/>
      <c r="ONF117" s="73"/>
      <c r="ONG117" s="73"/>
      <c r="ONH117" s="73"/>
      <c r="ONI117" s="73"/>
      <c r="ONJ117" s="73"/>
      <c r="ONK117" s="73"/>
      <c r="ONL117" s="73"/>
      <c r="ONM117" s="73"/>
      <c r="ONN117" s="73"/>
      <c r="ONO117" s="73"/>
      <c r="ONP117" s="73"/>
      <c r="ONQ117" s="73"/>
      <c r="ONR117" s="73"/>
      <c r="ONS117" s="73"/>
      <c r="ONT117" s="73"/>
      <c r="ONU117" s="73"/>
      <c r="ONV117" s="73"/>
      <c r="ONW117" s="73"/>
      <c r="ONX117" s="73"/>
      <c r="ONY117" s="73"/>
      <c r="ONZ117" s="73"/>
      <c r="OOA117" s="73"/>
      <c r="OOB117" s="73"/>
      <c r="OOC117" s="73"/>
      <c r="OOD117" s="73"/>
      <c r="OOE117" s="73"/>
      <c r="OOF117" s="73"/>
      <c r="OOG117" s="73"/>
      <c r="OOH117" s="73"/>
      <c r="OOI117" s="73"/>
      <c r="OOJ117" s="73"/>
      <c r="OOK117" s="73"/>
      <c r="OOL117" s="73"/>
      <c r="OOM117" s="73"/>
      <c r="OON117" s="73"/>
      <c r="OOO117" s="73"/>
      <c r="OOP117" s="73"/>
      <c r="OOQ117" s="73"/>
      <c r="OOR117" s="73"/>
      <c r="OOS117" s="73"/>
      <c r="OOT117" s="73"/>
      <c r="OOU117" s="73"/>
      <c r="OOV117" s="73"/>
      <c r="OOW117" s="73"/>
      <c r="OOX117" s="73"/>
      <c r="OOY117" s="73"/>
      <c r="OOZ117" s="73"/>
      <c r="OPA117" s="73"/>
      <c r="OPB117" s="73"/>
      <c r="OPC117" s="73"/>
      <c r="OPD117" s="73"/>
      <c r="OPE117" s="73"/>
      <c r="OPF117" s="73"/>
      <c r="OPG117" s="73"/>
      <c r="OPH117" s="73"/>
      <c r="OPI117" s="73"/>
      <c r="OPJ117" s="73"/>
      <c r="OPK117" s="73"/>
      <c r="OPL117" s="73"/>
      <c r="OPM117" s="73"/>
      <c r="OPN117" s="73"/>
      <c r="OPO117" s="73"/>
      <c r="OPP117" s="73"/>
      <c r="OPQ117" s="73"/>
      <c r="OPR117" s="73"/>
      <c r="OPS117" s="73"/>
      <c r="OPT117" s="73"/>
      <c r="OPU117" s="73"/>
      <c r="OPV117" s="73"/>
      <c r="OPW117" s="73"/>
      <c r="OPX117" s="73"/>
      <c r="OPY117" s="73"/>
      <c r="OPZ117" s="73"/>
      <c r="OQA117" s="73"/>
      <c r="OQB117" s="73"/>
      <c r="OQC117" s="73"/>
      <c r="OQD117" s="73"/>
      <c r="OQE117" s="73"/>
      <c r="OQF117" s="73"/>
      <c r="OQG117" s="73"/>
      <c r="OQH117" s="73"/>
      <c r="OQI117" s="73"/>
      <c r="OQJ117" s="73"/>
      <c r="OQK117" s="73"/>
      <c r="OQL117" s="73"/>
      <c r="OQM117" s="73"/>
      <c r="OQN117" s="73"/>
      <c r="OQO117" s="73"/>
      <c r="OQP117" s="73"/>
      <c r="OQQ117" s="73"/>
      <c r="OQR117" s="73"/>
      <c r="OQS117" s="73"/>
      <c r="OQT117" s="73"/>
      <c r="OQU117" s="73"/>
      <c r="OQV117" s="73"/>
      <c r="OQW117" s="73"/>
      <c r="OQX117" s="73"/>
      <c r="OQY117" s="73"/>
      <c r="OQZ117" s="73"/>
      <c r="ORA117" s="73"/>
      <c r="ORB117" s="73"/>
      <c r="ORC117" s="73"/>
      <c r="ORD117" s="73"/>
      <c r="ORE117" s="73"/>
      <c r="ORF117" s="73"/>
      <c r="ORG117" s="73"/>
      <c r="ORH117" s="73"/>
      <c r="ORI117" s="73"/>
      <c r="ORJ117" s="73"/>
      <c r="ORK117" s="73"/>
      <c r="ORL117" s="73"/>
      <c r="ORM117" s="73"/>
      <c r="ORN117" s="73"/>
      <c r="ORO117" s="73"/>
      <c r="ORP117" s="73"/>
      <c r="ORQ117" s="73"/>
      <c r="ORR117" s="73"/>
      <c r="ORS117" s="73"/>
      <c r="ORT117" s="73"/>
      <c r="ORU117" s="73"/>
      <c r="ORV117" s="73"/>
      <c r="ORW117" s="73"/>
      <c r="ORX117" s="73"/>
      <c r="ORY117" s="73"/>
      <c r="ORZ117" s="73"/>
      <c r="OSA117" s="73"/>
      <c r="OSB117" s="73"/>
      <c r="OSC117" s="73"/>
      <c r="OSD117" s="73"/>
      <c r="OSE117" s="73"/>
      <c r="OSF117" s="73"/>
      <c r="OSG117" s="73"/>
      <c r="OSH117" s="73"/>
      <c r="OSI117" s="73"/>
      <c r="OSJ117" s="73"/>
      <c r="OSK117" s="73"/>
      <c r="OSL117" s="73"/>
      <c r="OSM117" s="73"/>
      <c r="OSN117" s="73"/>
      <c r="OSO117" s="73"/>
      <c r="OSP117" s="73"/>
      <c r="OSQ117" s="73"/>
      <c r="OSR117" s="73"/>
      <c r="OSS117" s="73"/>
      <c r="OST117" s="73"/>
      <c r="OSU117" s="73"/>
      <c r="OSV117" s="73"/>
      <c r="OSW117" s="73"/>
      <c r="OSX117" s="73"/>
      <c r="OSY117" s="73"/>
      <c r="OSZ117" s="73"/>
      <c r="OTA117" s="73"/>
      <c r="OTB117" s="73"/>
      <c r="OTC117" s="73"/>
      <c r="OTD117" s="73"/>
      <c r="OTE117" s="73"/>
      <c r="OTF117" s="73"/>
      <c r="OTG117" s="73"/>
      <c r="OTH117" s="73"/>
      <c r="OTI117" s="73"/>
      <c r="OTJ117" s="73"/>
      <c r="OTK117" s="73"/>
      <c r="OTL117" s="73"/>
      <c r="OTM117" s="73"/>
      <c r="OTN117" s="73"/>
      <c r="OTO117" s="73"/>
      <c r="OTP117" s="73"/>
      <c r="OTQ117" s="73"/>
      <c r="OTR117" s="73"/>
      <c r="OTS117" s="73"/>
      <c r="OTT117" s="73"/>
      <c r="OTU117" s="73"/>
      <c r="OTV117" s="73"/>
      <c r="OTW117" s="73"/>
      <c r="OTX117" s="73"/>
      <c r="OTY117" s="73"/>
      <c r="OTZ117" s="73"/>
      <c r="OUA117" s="73"/>
      <c r="OUB117" s="73"/>
      <c r="OUC117" s="73"/>
      <c r="OUD117" s="73"/>
      <c r="OUE117" s="73"/>
      <c r="OUF117" s="73"/>
      <c r="OUG117" s="73"/>
      <c r="OUH117" s="73"/>
      <c r="OUI117" s="73"/>
      <c r="OUJ117" s="73"/>
      <c r="OUK117" s="73"/>
      <c r="OUL117" s="73"/>
      <c r="OUM117" s="73"/>
      <c r="OUN117" s="73"/>
      <c r="OUO117" s="73"/>
      <c r="OUP117" s="73"/>
      <c r="OUQ117" s="73"/>
      <c r="OUR117" s="73"/>
      <c r="OUS117" s="73"/>
      <c r="OUT117" s="73"/>
      <c r="OUU117" s="73"/>
      <c r="OUV117" s="73"/>
      <c r="OUW117" s="73"/>
      <c r="OUX117" s="73"/>
      <c r="OUY117" s="73"/>
      <c r="OUZ117" s="73"/>
      <c r="OVA117" s="73"/>
      <c r="OVB117" s="73"/>
      <c r="OVC117" s="73"/>
      <c r="OVD117" s="73"/>
      <c r="OVE117" s="73"/>
      <c r="OVF117" s="73"/>
      <c r="OVG117" s="73"/>
      <c r="OVH117" s="73"/>
      <c r="OVI117" s="73"/>
      <c r="OVJ117" s="73"/>
      <c r="OVK117" s="73"/>
      <c r="OVL117" s="73"/>
      <c r="OVM117" s="73"/>
      <c r="OVN117" s="73"/>
      <c r="OVO117" s="73"/>
      <c r="OVP117" s="73"/>
      <c r="OVQ117" s="73"/>
      <c r="OVR117" s="73"/>
      <c r="OVS117" s="73"/>
      <c r="OVT117" s="73"/>
      <c r="OVU117" s="73"/>
      <c r="OVV117" s="73"/>
      <c r="OVW117" s="73"/>
      <c r="OVX117" s="73"/>
      <c r="OVY117" s="73"/>
      <c r="OVZ117" s="73"/>
      <c r="OWA117" s="73"/>
      <c r="OWB117" s="73"/>
      <c r="OWC117" s="73"/>
      <c r="OWD117" s="73"/>
      <c r="OWE117" s="73"/>
      <c r="OWF117" s="73"/>
      <c r="OWG117" s="73"/>
      <c r="OWH117" s="73"/>
      <c r="OWI117" s="73"/>
      <c r="OWJ117" s="73"/>
      <c r="OWK117" s="73"/>
      <c r="OWL117" s="73"/>
      <c r="OWM117" s="73"/>
      <c r="OWN117" s="73"/>
      <c r="OWO117" s="73"/>
      <c r="OWP117" s="73"/>
      <c r="OWQ117" s="73"/>
      <c r="OWR117" s="73"/>
      <c r="OWS117" s="73"/>
      <c r="OWT117" s="73"/>
      <c r="OWU117" s="73"/>
      <c r="OWV117" s="73"/>
      <c r="OWW117" s="73"/>
      <c r="OWX117" s="73"/>
      <c r="OWY117" s="73"/>
      <c r="OWZ117" s="73"/>
      <c r="OXA117" s="73"/>
      <c r="OXB117" s="73"/>
      <c r="OXC117" s="73"/>
      <c r="OXD117" s="73"/>
      <c r="OXE117" s="73"/>
      <c r="OXF117" s="73"/>
      <c r="OXG117" s="73"/>
      <c r="OXH117" s="73"/>
      <c r="OXI117" s="73"/>
      <c r="OXJ117" s="73"/>
      <c r="OXK117" s="73"/>
      <c r="OXL117" s="73"/>
      <c r="OXM117" s="73"/>
      <c r="OXN117" s="73"/>
      <c r="OXO117" s="73"/>
      <c r="OXP117" s="73"/>
      <c r="OXQ117" s="73"/>
      <c r="OXR117" s="73"/>
      <c r="OXS117" s="73"/>
      <c r="OXT117" s="73"/>
      <c r="OXU117" s="73"/>
      <c r="OXV117" s="73"/>
      <c r="OXW117" s="73"/>
      <c r="OXX117" s="73"/>
      <c r="OXY117" s="73"/>
      <c r="OXZ117" s="73"/>
      <c r="OYA117" s="73"/>
      <c r="OYB117" s="73"/>
      <c r="OYC117" s="73"/>
      <c r="OYD117" s="73"/>
      <c r="OYE117" s="73"/>
      <c r="OYF117" s="73"/>
      <c r="OYG117" s="73"/>
      <c r="OYH117" s="73"/>
      <c r="OYI117" s="73"/>
      <c r="OYJ117" s="73"/>
      <c r="OYK117" s="73"/>
      <c r="OYL117" s="73"/>
      <c r="OYM117" s="73"/>
      <c r="OYN117" s="73"/>
      <c r="OYO117" s="73"/>
      <c r="OYP117" s="73"/>
      <c r="OYQ117" s="73"/>
      <c r="OYR117" s="73"/>
      <c r="OYS117" s="73"/>
      <c r="OYT117" s="73"/>
      <c r="OYU117" s="73"/>
      <c r="OYV117" s="73"/>
      <c r="OYW117" s="73"/>
      <c r="OYX117" s="73"/>
      <c r="OYY117" s="73"/>
      <c r="OYZ117" s="73"/>
      <c r="OZA117" s="73"/>
      <c r="OZB117" s="73"/>
      <c r="OZC117" s="73"/>
      <c r="OZD117" s="73"/>
      <c r="OZE117" s="73"/>
      <c r="OZF117" s="73"/>
      <c r="OZG117" s="73"/>
      <c r="OZH117" s="73"/>
      <c r="OZI117" s="73"/>
      <c r="OZJ117" s="73"/>
      <c r="OZK117" s="73"/>
      <c r="OZL117" s="73"/>
      <c r="OZM117" s="73"/>
      <c r="OZN117" s="73"/>
      <c r="OZO117" s="73"/>
      <c r="OZP117" s="73"/>
      <c r="OZQ117" s="73"/>
      <c r="OZR117" s="73"/>
      <c r="OZS117" s="73"/>
      <c r="OZT117" s="73"/>
      <c r="OZU117" s="73"/>
      <c r="OZV117" s="73"/>
      <c r="OZW117" s="73"/>
      <c r="OZX117" s="73"/>
      <c r="OZY117" s="73"/>
      <c r="OZZ117" s="73"/>
      <c r="PAA117" s="73"/>
      <c r="PAB117" s="73"/>
      <c r="PAC117" s="73"/>
      <c r="PAD117" s="73"/>
      <c r="PAE117" s="73"/>
      <c r="PAF117" s="73"/>
      <c r="PAG117" s="73"/>
      <c r="PAH117" s="73"/>
      <c r="PAI117" s="73"/>
      <c r="PAJ117" s="73"/>
      <c r="PAK117" s="73"/>
      <c r="PAL117" s="73"/>
      <c r="PAM117" s="73"/>
      <c r="PAN117" s="73"/>
      <c r="PAO117" s="73"/>
      <c r="PAP117" s="73"/>
      <c r="PAQ117" s="73"/>
      <c r="PAR117" s="73"/>
      <c r="PAS117" s="73"/>
      <c r="PAT117" s="73"/>
      <c r="PAU117" s="73"/>
      <c r="PAV117" s="73"/>
      <c r="PAW117" s="73"/>
      <c r="PAX117" s="73"/>
      <c r="PAY117" s="73"/>
      <c r="PAZ117" s="73"/>
      <c r="PBA117" s="73"/>
      <c r="PBB117" s="73"/>
      <c r="PBC117" s="73"/>
      <c r="PBD117" s="73"/>
      <c r="PBE117" s="73"/>
      <c r="PBF117" s="73"/>
      <c r="PBG117" s="73"/>
      <c r="PBH117" s="73"/>
      <c r="PBI117" s="73"/>
      <c r="PBJ117" s="73"/>
      <c r="PBK117" s="73"/>
      <c r="PBL117" s="73"/>
      <c r="PBM117" s="73"/>
      <c r="PBN117" s="73"/>
      <c r="PBO117" s="73"/>
      <c r="PBP117" s="73"/>
      <c r="PBQ117" s="73"/>
      <c r="PBR117" s="73"/>
      <c r="PBS117" s="73"/>
      <c r="PBT117" s="73"/>
      <c r="PBU117" s="73"/>
      <c r="PBV117" s="73"/>
      <c r="PBW117" s="73"/>
      <c r="PBX117" s="73"/>
      <c r="PBY117" s="73"/>
      <c r="PBZ117" s="73"/>
      <c r="PCA117" s="73"/>
      <c r="PCB117" s="73"/>
      <c r="PCC117" s="73"/>
      <c r="PCD117" s="73"/>
      <c r="PCE117" s="73"/>
      <c r="PCF117" s="73"/>
      <c r="PCG117" s="73"/>
      <c r="PCH117" s="73"/>
      <c r="PCI117" s="73"/>
      <c r="PCJ117" s="73"/>
      <c r="PCK117" s="73"/>
      <c r="PCL117" s="73"/>
      <c r="PCM117" s="73"/>
      <c r="PCN117" s="73"/>
      <c r="PCO117" s="73"/>
      <c r="PCP117" s="73"/>
      <c r="PCQ117" s="73"/>
      <c r="PCR117" s="73"/>
      <c r="PCS117" s="73"/>
      <c r="PCT117" s="73"/>
      <c r="PCU117" s="73"/>
      <c r="PCV117" s="73"/>
      <c r="PCW117" s="73"/>
      <c r="PCX117" s="73"/>
      <c r="PCY117" s="73"/>
      <c r="PCZ117" s="73"/>
      <c r="PDA117" s="73"/>
      <c r="PDB117" s="73"/>
      <c r="PDC117" s="73"/>
      <c r="PDD117" s="73"/>
      <c r="PDE117" s="73"/>
      <c r="PDF117" s="73"/>
      <c r="PDG117" s="73"/>
      <c r="PDH117" s="73"/>
      <c r="PDI117" s="73"/>
      <c r="PDJ117" s="73"/>
      <c r="PDK117" s="73"/>
      <c r="PDL117" s="73"/>
      <c r="PDM117" s="73"/>
      <c r="PDN117" s="73"/>
      <c r="PDO117" s="73"/>
      <c r="PDP117" s="73"/>
      <c r="PDQ117" s="73"/>
      <c r="PDR117" s="73"/>
      <c r="PDS117" s="73"/>
      <c r="PDT117" s="73"/>
      <c r="PDU117" s="73"/>
      <c r="PDV117" s="73"/>
      <c r="PDW117" s="73"/>
      <c r="PDX117" s="73"/>
      <c r="PDY117" s="73"/>
      <c r="PDZ117" s="73"/>
      <c r="PEA117" s="73"/>
      <c r="PEB117" s="73"/>
      <c r="PEC117" s="73"/>
      <c r="PED117" s="73"/>
      <c r="PEE117" s="73"/>
      <c r="PEF117" s="73"/>
      <c r="PEG117" s="73"/>
      <c r="PEH117" s="73"/>
      <c r="PEI117" s="73"/>
      <c r="PEJ117" s="73"/>
      <c r="PEK117" s="73"/>
      <c r="PEL117" s="73"/>
      <c r="PEM117" s="73"/>
      <c r="PEN117" s="73"/>
      <c r="PEO117" s="73"/>
      <c r="PEP117" s="73"/>
      <c r="PEQ117" s="73"/>
      <c r="PER117" s="73"/>
      <c r="PES117" s="73"/>
      <c r="PET117" s="73"/>
      <c r="PEU117" s="73"/>
      <c r="PEV117" s="73"/>
      <c r="PEW117" s="73"/>
      <c r="PEX117" s="73"/>
      <c r="PEY117" s="73"/>
      <c r="PEZ117" s="73"/>
      <c r="PFA117" s="73"/>
      <c r="PFB117" s="73"/>
      <c r="PFC117" s="73"/>
      <c r="PFD117" s="73"/>
      <c r="PFE117" s="73"/>
      <c r="PFF117" s="73"/>
      <c r="PFG117" s="73"/>
      <c r="PFH117" s="73"/>
      <c r="PFI117" s="73"/>
      <c r="PFJ117" s="73"/>
      <c r="PFK117" s="73"/>
      <c r="PFL117" s="73"/>
      <c r="PFM117" s="73"/>
      <c r="PFN117" s="73"/>
      <c r="PFO117" s="73"/>
      <c r="PFP117" s="73"/>
      <c r="PFQ117" s="73"/>
      <c r="PFR117" s="73"/>
      <c r="PFS117" s="73"/>
      <c r="PFT117" s="73"/>
      <c r="PFU117" s="73"/>
      <c r="PFV117" s="73"/>
      <c r="PFW117" s="73"/>
      <c r="PFX117" s="73"/>
      <c r="PFY117" s="73"/>
      <c r="PFZ117" s="73"/>
      <c r="PGA117" s="73"/>
      <c r="PGB117" s="73"/>
      <c r="PGC117" s="73"/>
      <c r="PGD117" s="73"/>
      <c r="PGE117" s="73"/>
      <c r="PGF117" s="73"/>
      <c r="PGG117" s="73"/>
      <c r="PGH117" s="73"/>
      <c r="PGI117" s="73"/>
      <c r="PGJ117" s="73"/>
      <c r="PGK117" s="73"/>
      <c r="PGL117" s="73"/>
      <c r="PGM117" s="73"/>
      <c r="PGN117" s="73"/>
      <c r="PGO117" s="73"/>
      <c r="PGP117" s="73"/>
      <c r="PGQ117" s="73"/>
      <c r="PGR117" s="73"/>
      <c r="PGS117" s="73"/>
      <c r="PGT117" s="73"/>
      <c r="PGU117" s="73"/>
      <c r="PGV117" s="73"/>
      <c r="PGW117" s="73"/>
      <c r="PGX117" s="73"/>
      <c r="PGY117" s="73"/>
      <c r="PGZ117" s="73"/>
      <c r="PHA117" s="73"/>
      <c r="PHB117" s="73"/>
      <c r="PHC117" s="73"/>
      <c r="PHD117" s="73"/>
      <c r="PHE117" s="73"/>
      <c r="PHF117" s="73"/>
      <c r="PHG117" s="73"/>
      <c r="PHH117" s="73"/>
      <c r="PHI117" s="73"/>
      <c r="PHJ117" s="73"/>
      <c r="PHK117" s="73"/>
      <c r="PHL117" s="73"/>
      <c r="PHM117" s="73"/>
      <c r="PHN117" s="73"/>
      <c r="PHO117" s="73"/>
      <c r="PHP117" s="73"/>
      <c r="PHQ117" s="73"/>
      <c r="PHR117" s="73"/>
      <c r="PHS117" s="73"/>
      <c r="PHT117" s="73"/>
      <c r="PHU117" s="73"/>
      <c r="PHV117" s="73"/>
      <c r="PHW117" s="73"/>
      <c r="PHX117" s="73"/>
      <c r="PHY117" s="73"/>
      <c r="PHZ117" s="73"/>
      <c r="PIA117" s="73"/>
      <c r="PIB117" s="73"/>
      <c r="PIC117" s="73"/>
      <c r="PID117" s="73"/>
      <c r="PIE117" s="73"/>
      <c r="PIF117" s="73"/>
      <c r="PIG117" s="73"/>
      <c r="PIH117" s="73"/>
      <c r="PII117" s="73"/>
      <c r="PIJ117" s="73"/>
      <c r="PIK117" s="73"/>
      <c r="PIL117" s="73"/>
      <c r="PIM117" s="73"/>
      <c r="PIN117" s="73"/>
      <c r="PIO117" s="73"/>
      <c r="PIP117" s="73"/>
      <c r="PIQ117" s="73"/>
      <c r="PIR117" s="73"/>
      <c r="PIS117" s="73"/>
      <c r="PIT117" s="73"/>
      <c r="PIU117" s="73"/>
      <c r="PIV117" s="73"/>
      <c r="PIW117" s="73"/>
      <c r="PIX117" s="73"/>
      <c r="PIY117" s="73"/>
      <c r="PIZ117" s="73"/>
      <c r="PJA117" s="73"/>
      <c r="PJB117" s="73"/>
      <c r="PJC117" s="73"/>
      <c r="PJD117" s="73"/>
      <c r="PJE117" s="73"/>
      <c r="PJF117" s="73"/>
      <c r="PJG117" s="73"/>
      <c r="PJH117" s="73"/>
      <c r="PJI117" s="73"/>
      <c r="PJJ117" s="73"/>
      <c r="PJK117" s="73"/>
      <c r="PJL117" s="73"/>
      <c r="PJM117" s="73"/>
      <c r="PJN117" s="73"/>
      <c r="PJO117" s="73"/>
      <c r="PJP117" s="73"/>
      <c r="PJQ117" s="73"/>
      <c r="PJR117" s="73"/>
      <c r="PJS117" s="73"/>
      <c r="PJT117" s="73"/>
      <c r="PJU117" s="73"/>
      <c r="PJV117" s="73"/>
      <c r="PJW117" s="73"/>
      <c r="PJX117" s="73"/>
      <c r="PJY117" s="73"/>
      <c r="PJZ117" s="73"/>
      <c r="PKA117" s="73"/>
      <c r="PKB117" s="73"/>
      <c r="PKC117" s="73"/>
      <c r="PKD117" s="73"/>
      <c r="PKE117" s="73"/>
      <c r="PKF117" s="73"/>
      <c r="PKG117" s="73"/>
      <c r="PKH117" s="73"/>
      <c r="PKI117" s="73"/>
      <c r="PKJ117" s="73"/>
      <c r="PKK117" s="73"/>
      <c r="PKL117" s="73"/>
      <c r="PKM117" s="73"/>
      <c r="PKN117" s="73"/>
      <c r="PKO117" s="73"/>
      <c r="PKP117" s="73"/>
      <c r="PKQ117" s="73"/>
      <c r="PKR117" s="73"/>
      <c r="PKS117" s="73"/>
      <c r="PKT117" s="73"/>
      <c r="PKU117" s="73"/>
      <c r="PKV117" s="73"/>
      <c r="PKW117" s="73"/>
      <c r="PKX117" s="73"/>
      <c r="PKY117" s="73"/>
      <c r="PKZ117" s="73"/>
      <c r="PLA117" s="73"/>
      <c r="PLB117" s="73"/>
      <c r="PLC117" s="73"/>
      <c r="PLD117" s="73"/>
      <c r="PLE117" s="73"/>
      <c r="PLF117" s="73"/>
      <c r="PLG117" s="73"/>
      <c r="PLH117" s="73"/>
      <c r="PLI117" s="73"/>
      <c r="PLJ117" s="73"/>
      <c r="PLK117" s="73"/>
      <c r="PLL117" s="73"/>
      <c r="PLM117" s="73"/>
      <c r="PLN117" s="73"/>
      <c r="PLO117" s="73"/>
      <c r="PLP117" s="73"/>
      <c r="PLQ117" s="73"/>
      <c r="PLR117" s="73"/>
      <c r="PLS117" s="73"/>
      <c r="PLT117" s="73"/>
      <c r="PLU117" s="73"/>
      <c r="PLV117" s="73"/>
      <c r="PLW117" s="73"/>
      <c r="PLX117" s="73"/>
      <c r="PLY117" s="73"/>
      <c r="PLZ117" s="73"/>
      <c r="PMA117" s="73"/>
      <c r="PMB117" s="73"/>
      <c r="PMC117" s="73"/>
      <c r="PMD117" s="73"/>
      <c r="PME117" s="73"/>
      <c r="PMF117" s="73"/>
      <c r="PMG117" s="73"/>
      <c r="PMH117" s="73"/>
      <c r="PMI117" s="73"/>
      <c r="PMJ117" s="73"/>
      <c r="PMK117" s="73"/>
      <c r="PML117" s="73"/>
      <c r="PMM117" s="73"/>
      <c r="PMN117" s="73"/>
      <c r="PMO117" s="73"/>
      <c r="PMP117" s="73"/>
      <c r="PMQ117" s="73"/>
      <c r="PMR117" s="73"/>
      <c r="PMS117" s="73"/>
      <c r="PMT117" s="73"/>
      <c r="PMU117" s="73"/>
      <c r="PMV117" s="73"/>
      <c r="PMW117" s="73"/>
      <c r="PMX117" s="73"/>
      <c r="PMY117" s="73"/>
      <c r="PMZ117" s="73"/>
      <c r="PNA117" s="73"/>
      <c r="PNB117" s="73"/>
      <c r="PNC117" s="73"/>
      <c r="PND117" s="73"/>
      <c r="PNE117" s="73"/>
      <c r="PNF117" s="73"/>
      <c r="PNG117" s="73"/>
      <c r="PNH117" s="73"/>
      <c r="PNI117" s="73"/>
      <c r="PNJ117" s="73"/>
      <c r="PNK117" s="73"/>
      <c r="PNL117" s="73"/>
      <c r="PNM117" s="73"/>
      <c r="PNN117" s="73"/>
      <c r="PNO117" s="73"/>
      <c r="PNP117" s="73"/>
      <c r="PNQ117" s="73"/>
      <c r="PNR117" s="73"/>
      <c r="PNS117" s="73"/>
      <c r="PNT117" s="73"/>
      <c r="PNU117" s="73"/>
      <c r="PNV117" s="73"/>
      <c r="PNW117" s="73"/>
      <c r="PNX117" s="73"/>
      <c r="PNY117" s="73"/>
      <c r="PNZ117" s="73"/>
      <c r="POA117" s="73"/>
      <c r="POB117" s="73"/>
      <c r="POC117" s="73"/>
      <c r="POD117" s="73"/>
      <c r="POE117" s="73"/>
      <c r="POF117" s="73"/>
      <c r="POG117" s="73"/>
      <c r="POH117" s="73"/>
      <c r="POI117" s="73"/>
      <c r="POJ117" s="73"/>
      <c r="POK117" s="73"/>
      <c r="POL117" s="73"/>
      <c r="POM117" s="73"/>
      <c r="PON117" s="73"/>
      <c r="POO117" s="73"/>
      <c r="POP117" s="73"/>
      <c r="POQ117" s="73"/>
      <c r="POR117" s="73"/>
      <c r="POS117" s="73"/>
      <c r="POT117" s="73"/>
      <c r="POU117" s="73"/>
      <c r="POV117" s="73"/>
      <c r="POW117" s="73"/>
      <c r="POX117" s="73"/>
      <c r="POY117" s="73"/>
      <c r="POZ117" s="73"/>
      <c r="PPA117" s="73"/>
      <c r="PPB117" s="73"/>
      <c r="PPC117" s="73"/>
      <c r="PPD117" s="73"/>
      <c r="PPE117" s="73"/>
      <c r="PPF117" s="73"/>
      <c r="PPG117" s="73"/>
      <c r="PPH117" s="73"/>
      <c r="PPI117" s="73"/>
      <c r="PPJ117" s="73"/>
      <c r="PPK117" s="73"/>
      <c r="PPL117" s="73"/>
      <c r="PPM117" s="73"/>
      <c r="PPN117" s="73"/>
      <c r="PPO117" s="73"/>
      <c r="PPP117" s="73"/>
      <c r="PPQ117" s="73"/>
      <c r="PPR117" s="73"/>
      <c r="PPS117" s="73"/>
      <c r="PPT117" s="73"/>
      <c r="PPU117" s="73"/>
      <c r="PPV117" s="73"/>
      <c r="PPW117" s="73"/>
      <c r="PPX117" s="73"/>
      <c r="PPY117" s="73"/>
      <c r="PPZ117" s="73"/>
      <c r="PQA117" s="73"/>
      <c r="PQB117" s="73"/>
      <c r="PQC117" s="73"/>
      <c r="PQD117" s="73"/>
      <c r="PQE117" s="73"/>
      <c r="PQF117" s="73"/>
      <c r="PQG117" s="73"/>
      <c r="PQH117" s="73"/>
      <c r="PQI117" s="73"/>
      <c r="PQJ117" s="73"/>
      <c r="PQK117" s="73"/>
      <c r="PQL117" s="73"/>
      <c r="PQM117" s="73"/>
      <c r="PQN117" s="73"/>
      <c r="PQO117" s="73"/>
      <c r="PQP117" s="73"/>
      <c r="PQQ117" s="73"/>
      <c r="PQR117" s="73"/>
      <c r="PQS117" s="73"/>
      <c r="PQT117" s="73"/>
      <c r="PQU117" s="73"/>
      <c r="PQV117" s="73"/>
      <c r="PQW117" s="73"/>
      <c r="PQX117" s="73"/>
      <c r="PQY117" s="73"/>
      <c r="PQZ117" s="73"/>
      <c r="PRA117" s="73"/>
      <c r="PRB117" s="73"/>
      <c r="PRC117" s="73"/>
      <c r="PRD117" s="73"/>
      <c r="PRE117" s="73"/>
      <c r="PRF117" s="73"/>
      <c r="PRG117" s="73"/>
      <c r="PRH117" s="73"/>
      <c r="PRI117" s="73"/>
      <c r="PRJ117" s="73"/>
      <c r="PRK117" s="73"/>
      <c r="PRL117" s="73"/>
      <c r="PRM117" s="73"/>
      <c r="PRN117" s="73"/>
      <c r="PRO117" s="73"/>
      <c r="PRP117" s="73"/>
      <c r="PRQ117" s="73"/>
      <c r="PRR117" s="73"/>
      <c r="PRS117" s="73"/>
      <c r="PRT117" s="73"/>
      <c r="PRU117" s="73"/>
      <c r="PRV117" s="73"/>
      <c r="PRW117" s="73"/>
      <c r="PRX117" s="73"/>
      <c r="PRY117" s="73"/>
      <c r="PRZ117" s="73"/>
      <c r="PSA117" s="73"/>
      <c r="PSB117" s="73"/>
      <c r="PSC117" s="73"/>
      <c r="PSD117" s="73"/>
      <c r="PSE117" s="73"/>
      <c r="PSF117" s="73"/>
      <c r="PSG117" s="73"/>
      <c r="PSH117" s="73"/>
      <c r="PSI117" s="73"/>
      <c r="PSJ117" s="73"/>
      <c r="PSK117" s="73"/>
      <c r="PSL117" s="73"/>
      <c r="PSM117" s="73"/>
      <c r="PSN117" s="73"/>
      <c r="PSO117" s="73"/>
      <c r="PSP117" s="73"/>
      <c r="PSQ117" s="73"/>
      <c r="PSR117" s="73"/>
      <c r="PSS117" s="73"/>
      <c r="PST117" s="73"/>
      <c r="PSU117" s="73"/>
      <c r="PSV117" s="73"/>
      <c r="PSW117" s="73"/>
      <c r="PSX117" s="73"/>
      <c r="PSY117" s="73"/>
      <c r="PSZ117" s="73"/>
      <c r="PTA117" s="73"/>
      <c r="PTB117" s="73"/>
      <c r="PTC117" s="73"/>
      <c r="PTD117" s="73"/>
      <c r="PTE117" s="73"/>
      <c r="PTF117" s="73"/>
      <c r="PTG117" s="73"/>
      <c r="PTH117" s="73"/>
      <c r="PTI117" s="73"/>
      <c r="PTJ117" s="73"/>
      <c r="PTK117" s="73"/>
      <c r="PTL117" s="73"/>
      <c r="PTM117" s="73"/>
      <c r="PTN117" s="73"/>
      <c r="PTO117" s="73"/>
      <c r="PTP117" s="73"/>
      <c r="PTQ117" s="73"/>
      <c r="PTR117" s="73"/>
      <c r="PTS117" s="73"/>
      <c r="PTT117" s="73"/>
      <c r="PTU117" s="73"/>
      <c r="PTV117" s="73"/>
      <c r="PTW117" s="73"/>
      <c r="PTX117" s="73"/>
      <c r="PTY117" s="73"/>
      <c r="PTZ117" s="73"/>
      <c r="PUA117" s="73"/>
      <c r="PUB117" s="73"/>
      <c r="PUC117" s="73"/>
      <c r="PUD117" s="73"/>
      <c r="PUE117" s="73"/>
      <c r="PUF117" s="73"/>
      <c r="PUG117" s="73"/>
      <c r="PUH117" s="73"/>
      <c r="PUI117" s="73"/>
      <c r="PUJ117" s="73"/>
      <c r="PUK117" s="73"/>
      <c r="PUL117" s="73"/>
      <c r="PUM117" s="73"/>
      <c r="PUN117" s="73"/>
      <c r="PUO117" s="73"/>
      <c r="PUP117" s="73"/>
      <c r="PUQ117" s="73"/>
      <c r="PUR117" s="73"/>
      <c r="PUS117" s="73"/>
      <c r="PUT117" s="73"/>
      <c r="PUU117" s="73"/>
      <c r="PUV117" s="73"/>
      <c r="PUW117" s="73"/>
      <c r="PUX117" s="73"/>
      <c r="PUY117" s="73"/>
      <c r="PUZ117" s="73"/>
      <c r="PVA117" s="73"/>
      <c r="PVB117" s="73"/>
      <c r="PVC117" s="73"/>
      <c r="PVD117" s="73"/>
      <c r="PVE117" s="73"/>
      <c r="PVF117" s="73"/>
      <c r="PVG117" s="73"/>
      <c r="PVH117" s="73"/>
      <c r="PVI117" s="73"/>
      <c r="PVJ117" s="73"/>
      <c r="PVK117" s="73"/>
      <c r="PVL117" s="73"/>
      <c r="PVM117" s="73"/>
      <c r="PVN117" s="73"/>
      <c r="PVO117" s="73"/>
      <c r="PVP117" s="73"/>
      <c r="PVQ117" s="73"/>
      <c r="PVR117" s="73"/>
      <c r="PVS117" s="73"/>
      <c r="PVT117" s="73"/>
      <c r="PVU117" s="73"/>
      <c r="PVV117" s="73"/>
      <c r="PVW117" s="73"/>
      <c r="PVX117" s="73"/>
      <c r="PVY117" s="73"/>
      <c r="PVZ117" s="73"/>
      <c r="PWA117" s="73"/>
      <c r="PWB117" s="73"/>
      <c r="PWC117" s="73"/>
      <c r="PWD117" s="73"/>
      <c r="PWE117" s="73"/>
      <c r="PWF117" s="73"/>
      <c r="PWG117" s="73"/>
      <c r="PWH117" s="73"/>
      <c r="PWI117" s="73"/>
      <c r="PWJ117" s="73"/>
      <c r="PWK117" s="73"/>
      <c r="PWL117" s="73"/>
      <c r="PWM117" s="73"/>
      <c r="PWN117" s="73"/>
      <c r="PWO117" s="73"/>
      <c r="PWP117" s="73"/>
      <c r="PWQ117" s="73"/>
      <c r="PWR117" s="73"/>
      <c r="PWS117" s="73"/>
      <c r="PWT117" s="73"/>
      <c r="PWU117" s="73"/>
      <c r="PWV117" s="73"/>
      <c r="PWW117" s="73"/>
      <c r="PWX117" s="73"/>
      <c r="PWY117" s="73"/>
      <c r="PWZ117" s="73"/>
      <c r="PXA117" s="73"/>
      <c r="PXB117" s="73"/>
      <c r="PXC117" s="73"/>
      <c r="PXD117" s="73"/>
      <c r="PXE117" s="73"/>
      <c r="PXF117" s="73"/>
      <c r="PXG117" s="73"/>
      <c r="PXH117" s="73"/>
      <c r="PXI117" s="73"/>
      <c r="PXJ117" s="73"/>
      <c r="PXK117" s="73"/>
      <c r="PXL117" s="73"/>
      <c r="PXM117" s="73"/>
      <c r="PXN117" s="73"/>
      <c r="PXO117" s="73"/>
      <c r="PXP117" s="73"/>
      <c r="PXQ117" s="73"/>
      <c r="PXR117" s="73"/>
      <c r="PXS117" s="73"/>
      <c r="PXT117" s="73"/>
      <c r="PXU117" s="73"/>
      <c r="PXV117" s="73"/>
      <c r="PXW117" s="73"/>
      <c r="PXX117" s="73"/>
      <c r="PXY117" s="73"/>
      <c r="PXZ117" s="73"/>
      <c r="PYA117" s="73"/>
      <c r="PYB117" s="73"/>
      <c r="PYC117" s="73"/>
      <c r="PYD117" s="73"/>
      <c r="PYE117" s="73"/>
      <c r="PYF117" s="73"/>
      <c r="PYG117" s="73"/>
      <c r="PYH117" s="73"/>
      <c r="PYI117" s="73"/>
      <c r="PYJ117" s="73"/>
      <c r="PYK117" s="73"/>
      <c r="PYL117" s="73"/>
      <c r="PYM117" s="73"/>
      <c r="PYN117" s="73"/>
      <c r="PYO117" s="73"/>
      <c r="PYP117" s="73"/>
      <c r="PYQ117" s="73"/>
      <c r="PYR117" s="73"/>
      <c r="PYS117" s="73"/>
      <c r="PYT117" s="73"/>
      <c r="PYU117" s="73"/>
      <c r="PYV117" s="73"/>
      <c r="PYW117" s="73"/>
      <c r="PYX117" s="73"/>
      <c r="PYY117" s="73"/>
      <c r="PYZ117" s="73"/>
      <c r="PZA117" s="73"/>
      <c r="PZB117" s="73"/>
      <c r="PZC117" s="73"/>
      <c r="PZD117" s="73"/>
      <c r="PZE117" s="73"/>
      <c r="PZF117" s="73"/>
      <c r="PZG117" s="73"/>
      <c r="PZH117" s="73"/>
      <c r="PZI117" s="73"/>
      <c r="PZJ117" s="73"/>
      <c r="PZK117" s="73"/>
      <c r="PZL117" s="73"/>
      <c r="PZM117" s="73"/>
      <c r="PZN117" s="73"/>
      <c r="PZO117" s="73"/>
      <c r="PZP117" s="73"/>
      <c r="PZQ117" s="73"/>
      <c r="PZR117" s="73"/>
      <c r="PZS117" s="73"/>
      <c r="PZT117" s="73"/>
      <c r="PZU117" s="73"/>
      <c r="PZV117" s="73"/>
      <c r="PZW117" s="73"/>
      <c r="PZX117" s="73"/>
      <c r="PZY117" s="73"/>
      <c r="PZZ117" s="73"/>
      <c r="QAA117" s="73"/>
      <c r="QAB117" s="73"/>
      <c r="QAC117" s="73"/>
      <c r="QAD117" s="73"/>
      <c r="QAE117" s="73"/>
      <c r="QAF117" s="73"/>
      <c r="QAG117" s="73"/>
      <c r="QAH117" s="73"/>
      <c r="QAI117" s="73"/>
      <c r="QAJ117" s="73"/>
      <c r="QAK117" s="73"/>
      <c r="QAL117" s="73"/>
      <c r="QAM117" s="73"/>
      <c r="QAN117" s="73"/>
      <c r="QAO117" s="73"/>
      <c r="QAP117" s="73"/>
      <c r="QAQ117" s="73"/>
      <c r="QAR117" s="73"/>
      <c r="QAS117" s="73"/>
      <c r="QAT117" s="73"/>
      <c r="QAU117" s="73"/>
      <c r="QAV117" s="73"/>
      <c r="QAW117" s="73"/>
      <c r="QAX117" s="73"/>
      <c r="QAY117" s="73"/>
      <c r="QAZ117" s="73"/>
      <c r="QBA117" s="73"/>
      <c r="QBB117" s="73"/>
      <c r="QBC117" s="73"/>
      <c r="QBD117" s="73"/>
      <c r="QBE117" s="73"/>
      <c r="QBF117" s="73"/>
      <c r="QBG117" s="73"/>
      <c r="QBH117" s="73"/>
      <c r="QBI117" s="73"/>
      <c r="QBJ117" s="73"/>
      <c r="QBK117" s="73"/>
      <c r="QBL117" s="73"/>
      <c r="QBM117" s="73"/>
      <c r="QBN117" s="73"/>
      <c r="QBO117" s="73"/>
      <c r="QBP117" s="73"/>
      <c r="QBQ117" s="73"/>
      <c r="QBR117" s="73"/>
      <c r="QBS117" s="73"/>
      <c r="QBT117" s="73"/>
      <c r="QBU117" s="73"/>
      <c r="QBV117" s="73"/>
      <c r="QBW117" s="73"/>
      <c r="QBX117" s="73"/>
      <c r="QBY117" s="73"/>
      <c r="QBZ117" s="73"/>
      <c r="QCA117" s="73"/>
      <c r="QCB117" s="73"/>
      <c r="QCC117" s="73"/>
      <c r="QCD117" s="73"/>
      <c r="QCE117" s="73"/>
      <c r="QCF117" s="73"/>
      <c r="QCG117" s="73"/>
      <c r="QCH117" s="73"/>
      <c r="QCI117" s="73"/>
      <c r="QCJ117" s="73"/>
      <c r="QCK117" s="73"/>
      <c r="QCL117" s="73"/>
      <c r="QCM117" s="73"/>
      <c r="QCN117" s="73"/>
      <c r="QCO117" s="73"/>
      <c r="QCP117" s="73"/>
      <c r="QCQ117" s="73"/>
      <c r="QCR117" s="73"/>
      <c r="QCS117" s="73"/>
      <c r="QCT117" s="73"/>
      <c r="QCU117" s="73"/>
      <c r="QCV117" s="73"/>
      <c r="QCW117" s="73"/>
      <c r="QCX117" s="73"/>
      <c r="QCY117" s="73"/>
      <c r="QCZ117" s="73"/>
      <c r="QDA117" s="73"/>
      <c r="QDB117" s="73"/>
      <c r="QDC117" s="73"/>
      <c r="QDD117" s="73"/>
      <c r="QDE117" s="73"/>
      <c r="QDF117" s="73"/>
      <c r="QDG117" s="73"/>
      <c r="QDH117" s="73"/>
      <c r="QDI117" s="73"/>
      <c r="QDJ117" s="73"/>
      <c r="QDK117" s="73"/>
      <c r="QDL117" s="73"/>
      <c r="QDM117" s="73"/>
      <c r="QDN117" s="73"/>
      <c r="QDO117" s="73"/>
      <c r="QDP117" s="73"/>
      <c r="QDQ117" s="73"/>
      <c r="QDR117" s="73"/>
      <c r="QDS117" s="73"/>
      <c r="QDT117" s="73"/>
      <c r="QDU117" s="73"/>
      <c r="QDV117" s="73"/>
      <c r="QDW117" s="73"/>
      <c r="QDX117" s="73"/>
      <c r="QDY117" s="73"/>
      <c r="QDZ117" s="73"/>
      <c r="QEA117" s="73"/>
      <c r="QEB117" s="73"/>
      <c r="QEC117" s="73"/>
      <c r="QED117" s="73"/>
      <c r="QEE117" s="73"/>
      <c r="QEF117" s="73"/>
      <c r="QEG117" s="73"/>
      <c r="QEH117" s="73"/>
      <c r="QEI117" s="73"/>
      <c r="QEJ117" s="73"/>
      <c r="QEK117" s="73"/>
      <c r="QEL117" s="73"/>
      <c r="QEM117" s="73"/>
      <c r="QEN117" s="73"/>
      <c r="QEO117" s="73"/>
      <c r="QEP117" s="73"/>
      <c r="QEQ117" s="73"/>
      <c r="QER117" s="73"/>
      <c r="QES117" s="73"/>
      <c r="QET117" s="73"/>
      <c r="QEU117" s="73"/>
      <c r="QEV117" s="73"/>
      <c r="QEW117" s="73"/>
      <c r="QEX117" s="73"/>
      <c r="QEY117" s="73"/>
      <c r="QEZ117" s="73"/>
      <c r="QFA117" s="73"/>
      <c r="QFB117" s="73"/>
      <c r="QFC117" s="73"/>
      <c r="QFD117" s="73"/>
      <c r="QFE117" s="73"/>
      <c r="QFF117" s="73"/>
      <c r="QFG117" s="73"/>
      <c r="QFH117" s="73"/>
      <c r="QFI117" s="73"/>
      <c r="QFJ117" s="73"/>
      <c r="QFK117" s="73"/>
      <c r="QFL117" s="73"/>
      <c r="QFM117" s="73"/>
      <c r="QFN117" s="73"/>
      <c r="QFO117" s="73"/>
      <c r="QFP117" s="73"/>
      <c r="QFQ117" s="73"/>
      <c r="QFR117" s="73"/>
      <c r="QFS117" s="73"/>
      <c r="QFT117" s="73"/>
      <c r="QFU117" s="73"/>
      <c r="QFV117" s="73"/>
      <c r="QFW117" s="73"/>
      <c r="QFX117" s="73"/>
      <c r="QFY117" s="73"/>
      <c r="QFZ117" s="73"/>
      <c r="QGA117" s="73"/>
      <c r="QGB117" s="73"/>
      <c r="QGC117" s="73"/>
      <c r="QGD117" s="73"/>
      <c r="QGE117" s="73"/>
      <c r="QGF117" s="73"/>
      <c r="QGG117" s="73"/>
      <c r="QGH117" s="73"/>
      <c r="QGI117" s="73"/>
      <c r="QGJ117" s="73"/>
      <c r="QGK117" s="73"/>
      <c r="QGL117" s="73"/>
      <c r="QGM117" s="73"/>
      <c r="QGN117" s="73"/>
      <c r="QGO117" s="73"/>
      <c r="QGP117" s="73"/>
      <c r="QGQ117" s="73"/>
      <c r="QGR117" s="73"/>
      <c r="QGS117" s="73"/>
      <c r="QGT117" s="73"/>
      <c r="QGU117" s="73"/>
      <c r="QGV117" s="73"/>
      <c r="QGW117" s="73"/>
      <c r="QGX117" s="73"/>
      <c r="QGY117" s="73"/>
      <c r="QGZ117" s="73"/>
      <c r="QHA117" s="73"/>
      <c r="QHB117" s="73"/>
      <c r="QHC117" s="73"/>
      <c r="QHD117" s="73"/>
      <c r="QHE117" s="73"/>
      <c r="QHF117" s="73"/>
      <c r="QHG117" s="73"/>
      <c r="QHH117" s="73"/>
      <c r="QHI117" s="73"/>
      <c r="QHJ117" s="73"/>
      <c r="QHK117" s="73"/>
      <c r="QHL117" s="73"/>
      <c r="QHM117" s="73"/>
      <c r="QHN117" s="73"/>
      <c r="QHO117" s="73"/>
      <c r="QHP117" s="73"/>
      <c r="QHQ117" s="73"/>
      <c r="QHR117" s="73"/>
      <c r="QHS117" s="73"/>
      <c r="QHT117" s="73"/>
      <c r="QHU117" s="73"/>
      <c r="QHV117" s="73"/>
      <c r="QHW117" s="73"/>
      <c r="QHX117" s="73"/>
      <c r="QHY117" s="73"/>
      <c r="QHZ117" s="73"/>
      <c r="QIA117" s="73"/>
      <c r="QIB117" s="73"/>
      <c r="QIC117" s="73"/>
      <c r="QID117" s="73"/>
      <c r="QIE117" s="73"/>
      <c r="QIF117" s="73"/>
      <c r="QIG117" s="73"/>
      <c r="QIH117" s="73"/>
      <c r="QII117" s="73"/>
      <c r="QIJ117" s="73"/>
      <c r="QIK117" s="73"/>
      <c r="QIL117" s="73"/>
      <c r="QIM117" s="73"/>
      <c r="QIN117" s="73"/>
      <c r="QIO117" s="73"/>
      <c r="QIP117" s="73"/>
      <c r="QIQ117" s="73"/>
      <c r="QIR117" s="73"/>
      <c r="QIS117" s="73"/>
      <c r="QIT117" s="73"/>
      <c r="QIU117" s="73"/>
      <c r="QIV117" s="73"/>
      <c r="QIW117" s="73"/>
      <c r="QIX117" s="73"/>
      <c r="QIY117" s="73"/>
      <c r="QIZ117" s="73"/>
      <c r="QJA117" s="73"/>
      <c r="QJB117" s="73"/>
      <c r="QJC117" s="73"/>
      <c r="QJD117" s="73"/>
      <c r="QJE117" s="73"/>
      <c r="QJF117" s="73"/>
      <c r="QJG117" s="73"/>
      <c r="QJH117" s="73"/>
      <c r="QJI117" s="73"/>
      <c r="QJJ117" s="73"/>
      <c r="QJK117" s="73"/>
      <c r="QJL117" s="73"/>
      <c r="QJM117" s="73"/>
      <c r="QJN117" s="73"/>
      <c r="QJO117" s="73"/>
      <c r="QJP117" s="73"/>
      <c r="QJQ117" s="73"/>
      <c r="QJR117" s="73"/>
      <c r="QJS117" s="73"/>
      <c r="QJT117" s="73"/>
      <c r="QJU117" s="73"/>
      <c r="QJV117" s="73"/>
      <c r="QJW117" s="73"/>
      <c r="QJX117" s="73"/>
      <c r="QJY117" s="73"/>
      <c r="QJZ117" s="73"/>
      <c r="QKA117" s="73"/>
      <c r="QKB117" s="73"/>
      <c r="QKC117" s="73"/>
      <c r="QKD117" s="73"/>
      <c r="QKE117" s="73"/>
      <c r="QKF117" s="73"/>
      <c r="QKG117" s="73"/>
      <c r="QKH117" s="73"/>
      <c r="QKI117" s="73"/>
      <c r="QKJ117" s="73"/>
      <c r="QKK117" s="73"/>
      <c r="QKL117" s="73"/>
      <c r="QKM117" s="73"/>
      <c r="QKN117" s="73"/>
      <c r="QKO117" s="73"/>
      <c r="QKP117" s="73"/>
      <c r="QKQ117" s="73"/>
      <c r="QKR117" s="73"/>
      <c r="QKS117" s="73"/>
      <c r="QKT117" s="73"/>
      <c r="QKU117" s="73"/>
      <c r="QKV117" s="73"/>
      <c r="QKW117" s="73"/>
      <c r="QKX117" s="73"/>
      <c r="QKY117" s="73"/>
      <c r="QKZ117" s="73"/>
      <c r="QLA117" s="73"/>
      <c r="QLB117" s="73"/>
      <c r="QLC117" s="73"/>
      <c r="QLD117" s="73"/>
      <c r="QLE117" s="73"/>
      <c r="QLF117" s="73"/>
      <c r="QLG117" s="73"/>
      <c r="QLH117" s="73"/>
      <c r="QLI117" s="73"/>
      <c r="QLJ117" s="73"/>
      <c r="QLK117" s="73"/>
      <c r="QLL117" s="73"/>
      <c r="QLM117" s="73"/>
      <c r="QLN117" s="73"/>
      <c r="QLO117" s="73"/>
      <c r="QLP117" s="73"/>
      <c r="QLQ117" s="73"/>
      <c r="QLR117" s="73"/>
      <c r="QLS117" s="73"/>
      <c r="QLT117" s="73"/>
      <c r="QLU117" s="73"/>
      <c r="QLV117" s="73"/>
      <c r="QLW117" s="73"/>
      <c r="QLX117" s="73"/>
      <c r="QLY117" s="73"/>
      <c r="QLZ117" s="73"/>
      <c r="QMA117" s="73"/>
      <c r="QMB117" s="73"/>
      <c r="QMC117" s="73"/>
      <c r="QMD117" s="73"/>
      <c r="QME117" s="73"/>
      <c r="QMF117" s="73"/>
      <c r="QMG117" s="73"/>
      <c r="QMH117" s="73"/>
      <c r="QMI117" s="73"/>
      <c r="QMJ117" s="73"/>
      <c r="QMK117" s="73"/>
      <c r="QML117" s="73"/>
      <c r="QMM117" s="73"/>
      <c r="QMN117" s="73"/>
      <c r="QMO117" s="73"/>
      <c r="QMP117" s="73"/>
      <c r="QMQ117" s="73"/>
      <c r="QMR117" s="73"/>
      <c r="QMS117" s="73"/>
      <c r="QMT117" s="73"/>
      <c r="QMU117" s="73"/>
      <c r="QMV117" s="73"/>
      <c r="QMW117" s="73"/>
      <c r="QMX117" s="73"/>
      <c r="QMY117" s="73"/>
      <c r="QMZ117" s="73"/>
      <c r="QNA117" s="73"/>
      <c r="QNB117" s="73"/>
      <c r="QNC117" s="73"/>
      <c r="QND117" s="73"/>
      <c r="QNE117" s="73"/>
      <c r="QNF117" s="73"/>
      <c r="QNG117" s="73"/>
      <c r="QNH117" s="73"/>
      <c r="QNI117" s="73"/>
      <c r="QNJ117" s="73"/>
      <c r="QNK117" s="73"/>
      <c r="QNL117" s="73"/>
      <c r="QNM117" s="73"/>
      <c r="QNN117" s="73"/>
      <c r="QNO117" s="73"/>
      <c r="QNP117" s="73"/>
      <c r="QNQ117" s="73"/>
      <c r="QNR117" s="73"/>
      <c r="QNS117" s="73"/>
      <c r="QNT117" s="73"/>
      <c r="QNU117" s="73"/>
      <c r="QNV117" s="73"/>
      <c r="QNW117" s="73"/>
      <c r="QNX117" s="73"/>
      <c r="QNY117" s="73"/>
      <c r="QNZ117" s="73"/>
      <c r="QOA117" s="73"/>
      <c r="QOB117" s="73"/>
      <c r="QOC117" s="73"/>
      <c r="QOD117" s="73"/>
      <c r="QOE117" s="73"/>
      <c r="QOF117" s="73"/>
      <c r="QOG117" s="73"/>
      <c r="QOH117" s="73"/>
      <c r="QOI117" s="73"/>
      <c r="QOJ117" s="73"/>
      <c r="QOK117" s="73"/>
      <c r="QOL117" s="73"/>
      <c r="QOM117" s="73"/>
      <c r="QON117" s="73"/>
      <c r="QOO117" s="73"/>
      <c r="QOP117" s="73"/>
      <c r="QOQ117" s="73"/>
      <c r="QOR117" s="73"/>
      <c r="QOS117" s="73"/>
      <c r="QOT117" s="73"/>
      <c r="QOU117" s="73"/>
      <c r="QOV117" s="73"/>
      <c r="QOW117" s="73"/>
      <c r="QOX117" s="73"/>
      <c r="QOY117" s="73"/>
      <c r="QOZ117" s="73"/>
      <c r="QPA117" s="73"/>
      <c r="QPB117" s="73"/>
      <c r="QPC117" s="73"/>
      <c r="QPD117" s="73"/>
      <c r="QPE117" s="73"/>
      <c r="QPF117" s="73"/>
      <c r="QPG117" s="73"/>
      <c r="QPH117" s="73"/>
      <c r="QPI117" s="73"/>
      <c r="QPJ117" s="73"/>
      <c r="QPK117" s="73"/>
      <c r="QPL117" s="73"/>
      <c r="QPM117" s="73"/>
      <c r="QPN117" s="73"/>
      <c r="QPO117" s="73"/>
      <c r="QPP117" s="73"/>
      <c r="QPQ117" s="73"/>
      <c r="QPR117" s="73"/>
      <c r="QPS117" s="73"/>
      <c r="QPT117" s="73"/>
      <c r="QPU117" s="73"/>
      <c r="QPV117" s="73"/>
      <c r="QPW117" s="73"/>
      <c r="QPX117" s="73"/>
      <c r="QPY117" s="73"/>
      <c r="QPZ117" s="73"/>
      <c r="QQA117" s="73"/>
      <c r="QQB117" s="73"/>
      <c r="QQC117" s="73"/>
      <c r="QQD117" s="73"/>
      <c r="QQE117" s="73"/>
      <c r="QQF117" s="73"/>
      <c r="QQG117" s="73"/>
      <c r="QQH117" s="73"/>
      <c r="QQI117" s="73"/>
      <c r="QQJ117" s="73"/>
      <c r="QQK117" s="73"/>
      <c r="QQL117" s="73"/>
      <c r="QQM117" s="73"/>
      <c r="QQN117" s="73"/>
      <c r="QQO117" s="73"/>
      <c r="QQP117" s="73"/>
      <c r="QQQ117" s="73"/>
      <c r="QQR117" s="73"/>
      <c r="QQS117" s="73"/>
      <c r="QQT117" s="73"/>
      <c r="QQU117" s="73"/>
      <c r="QQV117" s="73"/>
      <c r="QQW117" s="73"/>
      <c r="QQX117" s="73"/>
      <c r="QQY117" s="73"/>
      <c r="QQZ117" s="73"/>
      <c r="QRA117" s="73"/>
      <c r="QRB117" s="73"/>
      <c r="QRC117" s="73"/>
      <c r="QRD117" s="73"/>
      <c r="QRE117" s="73"/>
      <c r="QRF117" s="73"/>
      <c r="QRG117" s="73"/>
      <c r="QRH117" s="73"/>
      <c r="QRI117" s="73"/>
      <c r="QRJ117" s="73"/>
      <c r="QRK117" s="73"/>
      <c r="QRL117" s="73"/>
      <c r="QRM117" s="73"/>
      <c r="QRN117" s="73"/>
      <c r="QRO117" s="73"/>
      <c r="QRP117" s="73"/>
      <c r="QRQ117" s="73"/>
      <c r="QRR117" s="73"/>
      <c r="QRS117" s="73"/>
      <c r="QRT117" s="73"/>
      <c r="QRU117" s="73"/>
      <c r="QRV117" s="73"/>
      <c r="QRW117" s="73"/>
      <c r="QRX117" s="73"/>
      <c r="QRY117" s="73"/>
      <c r="QRZ117" s="73"/>
      <c r="QSA117" s="73"/>
      <c r="QSB117" s="73"/>
      <c r="QSC117" s="73"/>
      <c r="QSD117" s="73"/>
      <c r="QSE117" s="73"/>
      <c r="QSF117" s="73"/>
      <c r="QSG117" s="73"/>
      <c r="QSH117" s="73"/>
      <c r="QSI117" s="73"/>
      <c r="QSJ117" s="73"/>
      <c r="QSK117" s="73"/>
      <c r="QSL117" s="73"/>
      <c r="QSM117" s="73"/>
      <c r="QSN117" s="73"/>
      <c r="QSO117" s="73"/>
      <c r="QSP117" s="73"/>
      <c r="QSQ117" s="73"/>
      <c r="QSR117" s="73"/>
      <c r="QSS117" s="73"/>
      <c r="QST117" s="73"/>
      <c r="QSU117" s="73"/>
      <c r="QSV117" s="73"/>
      <c r="QSW117" s="73"/>
      <c r="QSX117" s="73"/>
      <c r="QSY117" s="73"/>
      <c r="QSZ117" s="73"/>
      <c r="QTA117" s="73"/>
      <c r="QTB117" s="73"/>
      <c r="QTC117" s="73"/>
      <c r="QTD117" s="73"/>
      <c r="QTE117" s="73"/>
      <c r="QTF117" s="73"/>
      <c r="QTG117" s="73"/>
      <c r="QTH117" s="73"/>
      <c r="QTI117" s="73"/>
      <c r="QTJ117" s="73"/>
      <c r="QTK117" s="73"/>
      <c r="QTL117" s="73"/>
      <c r="QTM117" s="73"/>
      <c r="QTN117" s="73"/>
      <c r="QTO117" s="73"/>
      <c r="QTP117" s="73"/>
      <c r="QTQ117" s="73"/>
      <c r="QTR117" s="73"/>
      <c r="QTS117" s="73"/>
      <c r="QTT117" s="73"/>
      <c r="QTU117" s="73"/>
      <c r="QTV117" s="73"/>
      <c r="QTW117" s="73"/>
      <c r="QTX117" s="73"/>
      <c r="QTY117" s="73"/>
      <c r="QTZ117" s="73"/>
      <c r="QUA117" s="73"/>
      <c r="QUB117" s="73"/>
      <c r="QUC117" s="73"/>
      <c r="QUD117" s="73"/>
      <c r="QUE117" s="73"/>
      <c r="QUF117" s="73"/>
      <c r="QUG117" s="73"/>
      <c r="QUH117" s="73"/>
      <c r="QUI117" s="73"/>
      <c r="QUJ117" s="73"/>
      <c r="QUK117" s="73"/>
      <c r="QUL117" s="73"/>
      <c r="QUM117" s="73"/>
      <c r="QUN117" s="73"/>
      <c r="QUO117" s="73"/>
      <c r="QUP117" s="73"/>
      <c r="QUQ117" s="73"/>
      <c r="QUR117" s="73"/>
      <c r="QUS117" s="73"/>
      <c r="QUT117" s="73"/>
      <c r="QUU117" s="73"/>
      <c r="QUV117" s="73"/>
      <c r="QUW117" s="73"/>
      <c r="QUX117" s="73"/>
      <c r="QUY117" s="73"/>
      <c r="QUZ117" s="73"/>
      <c r="QVA117" s="73"/>
      <c r="QVB117" s="73"/>
      <c r="QVC117" s="73"/>
      <c r="QVD117" s="73"/>
      <c r="QVE117" s="73"/>
      <c r="QVF117" s="73"/>
      <c r="QVG117" s="73"/>
      <c r="QVH117" s="73"/>
      <c r="QVI117" s="73"/>
      <c r="QVJ117" s="73"/>
      <c r="QVK117" s="73"/>
      <c r="QVL117" s="73"/>
      <c r="QVM117" s="73"/>
      <c r="QVN117" s="73"/>
      <c r="QVO117" s="73"/>
      <c r="QVP117" s="73"/>
      <c r="QVQ117" s="73"/>
      <c r="QVR117" s="73"/>
      <c r="QVS117" s="73"/>
      <c r="QVT117" s="73"/>
      <c r="QVU117" s="73"/>
      <c r="QVV117" s="73"/>
      <c r="QVW117" s="73"/>
      <c r="QVX117" s="73"/>
      <c r="QVY117" s="73"/>
      <c r="QVZ117" s="73"/>
      <c r="QWA117" s="73"/>
      <c r="QWB117" s="73"/>
      <c r="QWC117" s="73"/>
      <c r="QWD117" s="73"/>
      <c r="QWE117" s="73"/>
      <c r="QWF117" s="73"/>
      <c r="QWG117" s="73"/>
      <c r="QWH117" s="73"/>
      <c r="QWI117" s="73"/>
      <c r="QWJ117" s="73"/>
      <c r="QWK117" s="73"/>
      <c r="QWL117" s="73"/>
      <c r="QWM117" s="73"/>
      <c r="QWN117" s="73"/>
      <c r="QWO117" s="73"/>
      <c r="QWP117" s="73"/>
      <c r="QWQ117" s="73"/>
      <c r="QWR117" s="73"/>
      <c r="QWS117" s="73"/>
      <c r="QWT117" s="73"/>
      <c r="QWU117" s="73"/>
      <c r="QWV117" s="73"/>
      <c r="QWW117" s="73"/>
      <c r="QWX117" s="73"/>
      <c r="QWY117" s="73"/>
      <c r="QWZ117" s="73"/>
      <c r="QXA117" s="73"/>
      <c r="QXB117" s="73"/>
      <c r="QXC117" s="73"/>
      <c r="QXD117" s="73"/>
      <c r="QXE117" s="73"/>
      <c r="QXF117" s="73"/>
      <c r="QXG117" s="73"/>
      <c r="QXH117" s="73"/>
      <c r="QXI117" s="73"/>
      <c r="QXJ117" s="73"/>
      <c r="QXK117" s="73"/>
      <c r="QXL117" s="73"/>
      <c r="QXM117" s="73"/>
      <c r="QXN117" s="73"/>
      <c r="QXO117" s="73"/>
      <c r="QXP117" s="73"/>
      <c r="QXQ117" s="73"/>
      <c r="QXR117" s="73"/>
      <c r="QXS117" s="73"/>
      <c r="QXT117" s="73"/>
      <c r="QXU117" s="73"/>
      <c r="QXV117" s="73"/>
      <c r="QXW117" s="73"/>
      <c r="QXX117" s="73"/>
      <c r="QXY117" s="73"/>
      <c r="QXZ117" s="73"/>
      <c r="QYA117" s="73"/>
      <c r="QYB117" s="73"/>
      <c r="QYC117" s="73"/>
      <c r="QYD117" s="73"/>
      <c r="QYE117" s="73"/>
      <c r="QYF117" s="73"/>
      <c r="QYG117" s="73"/>
      <c r="QYH117" s="73"/>
      <c r="QYI117" s="73"/>
      <c r="QYJ117" s="73"/>
      <c r="QYK117" s="73"/>
      <c r="QYL117" s="73"/>
      <c r="QYM117" s="73"/>
      <c r="QYN117" s="73"/>
      <c r="QYO117" s="73"/>
      <c r="QYP117" s="73"/>
      <c r="QYQ117" s="73"/>
      <c r="QYR117" s="73"/>
      <c r="QYS117" s="73"/>
      <c r="QYT117" s="73"/>
      <c r="QYU117" s="73"/>
      <c r="QYV117" s="73"/>
      <c r="QYW117" s="73"/>
      <c r="QYX117" s="73"/>
      <c r="QYY117" s="73"/>
      <c r="QYZ117" s="73"/>
      <c r="QZA117" s="73"/>
      <c r="QZB117" s="73"/>
      <c r="QZC117" s="73"/>
      <c r="QZD117" s="73"/>
      <c r="QZE117" s="73"/>
      <c r="QZF117" s="73"/>
      <c r="QZG117" s="73"/>
      <c r="QZH117" s="73"/>
      <c r="QZI117" s="73"/>
      <c r="QZJ117" s="73"/>
      <c r="QZK117" s="73"/>
      <c r="QZL117" s="73"/>
      <c r="QZM117" s="73"/>
      <c r="QZN117" s="73"/>
      <c r="QZO117" s="73"/>
      <c r="QZP117" s="73"/>
      <c r="QZQ117" s="73"/>
      <c r="QZR117" s="73"/>
      <c r="QZS117" s="73"/>
      <c r="QZT117" s="73"/>
      <c r="QZU117" s="73"/>
      <c r="QZV117" s="73"/>
      <c r="QZW117" s="73"/>
      <c r="QZX117" s="73"/>
      <c r="QZY117" s="73"/>
      <c r="QZZ117" s="73"/>
      <c r="RAA117" s="73"/>
      <c r="RAB117" s="73"/>
      <c r="RAC117" s="73"/>
      <c r="RAD117" s="73"/>
      <c r="RAE117" s="73"/>
      <c r="RAF117" s="73"/>
      <c r="RAG117" s="73"/>
      <c r="RAH117" s="73"/>
      <c r="RAI117" s="73"/>
      <c r="RAJ117" s="73"/>
      <c r="RAK117" s="73"/>
      <c r="RAL117" s="73"/>
      <c r="RAM117" s="73"/>
      <c r="RAN117" s="73"/>
      <c r="RAO117" s="73"/>
      <c r="RAP117" s="73"/>
      <c r="RAQ117" s="73"/>
      <c r="RAR117" s="73"/>
      <c r="RAS117" s="73"/>
      <c r="RAT117" s="73"/>
      <c r="RAU117" s="73"/>
      <c r="RAV117" s="73"/>
      <c r="RAW117" s="73"/>
      <c r="RAX117" s="73"/>
      <c r="RAY117" s="73"/>
      <c r="RAZ117" s="73"/>
      <c r="RBA117" s="73"/>
      <c r="RBB117" s="73"/>
      <c r="RBC117" s="73"/>
      <c r="RBD117" s="73"/>
      <c r="RBE117" s="73"/>
      <c r="RBF117" s="73"/>
      <c r="RBG117" s="73"/>
      <c r="RBH117" s="73"/>
      <c r="RBI117" s="73"/>
      <c r="RBJ117" s="73"/>
      <c r="RBK117" s="73"/>
      <c r="RBL117" s="73"/>
      <c r="RBM117" s="73"/>
      <c r="RBN117" s="73"/>
      <c r="RBO117" s="73"/>
      <c r="RBP117" s="73"/>
      <c r="RBQ117" s="73"/>
      <c r="RBR117" s="73"/>
      <c r="RBS117" s="73"/>
      <c r="RBT117" s="73"/>
      <c r="RBU117" s="73"/>
      <c r="RBV117" s="73"/>
      <c r="RBW117" s="73"/>
      <c r="RBX117" s="73"/>
      <c r="RBY117" s="73"/>
      <c r="RBZ117" s="73"/>
      <c r="RCA117" s="73"/>
      <c r="RCB117" s="73"/>
      <c r="RCC117" s="73"/>
      <c r="RCD117" s="73"/>
      <c r="RCE117" s="73"/>
      <c r="RCF117" s="73"/>
      <c r="RCG117" s="73"/>
      <c r="RCH117" s="73"/>
      <c r="RCI117" s="73"/>
      <c r="RCJ117" s="73"/>
      <c r="RCK117" s="73"/>
      <c r="RCL117" s="73"/>
      <c r="RCM117" s="73"/>
      <c r="RCN117" s="73"/>
      <c r="RCO117" s="73"/>
      <c r="RCP117" s="73"/>
      <c r="RCQ117" s="73"/>
      <c r="RCR117" s="73"/>
      <c r="RCS117" s="73"/>
      <c r="RCT117" s="73"/>
      <c r="RCU117" s="73"/>
      <c r="RCV117" s="73"/>
      <c r="RCW117" s="73"/>
      <c r="RCX117" s="73"/>
      <c r="RCY117" s="73"/>
      <c r="RCZ117" s="73"/>
      <c r="RDA117" s="73"/>
      <c r="RDB117" s="73"/>
      <c r="RDC117" s="73"/>
      <c r="RDD117" s="73"/>
      <c r="RDE117" s="73"/>
      <c r="RDF117" s="73"/>
      <c r="RDG117" s="73"/>
      <c r="RDH117" s="73"/>
      <c r="RDI117" s="73"/>
      <c r="RDJ117" s="73"/>
      <c r="RDK117" s="73"/>
      <c r="RDL117" s="73"/>
      <c r="RDM117" s="73"/>
      <c r="RDN117" s="73"/>
      <c r="RDO117" s="73"/>
      <c r="RDP117" s="73"/>
      <c r="RDQ117" s="73"/>
      <c r="RDR117" s="73"/>
      <c r="RDS117" s="73"/>
      <c r="RDT117" s="73"/>
      <c r="RDU117" s="73"/>
      <c r="RDV117" s="73"/>
      <c r="RDW117" s="73"/>
      <c r="RDX117" s="73"/>
      <c r="RDY117" s="73"/>
      <c r="RDZ117" s="73"/>
      <c r="REA117" s="73"/>
      <c r="REB117" s="73"/>
      <c r="REC117" s="73"/>
      <c r="RED117" s="73"/>
      <c r="REE117" s="73"/>
      <c r="REF117" s="73"/>
      <c r="REG117" s="73"/>
      <c r="REH117" s="73"/>
      <c r="REI117" s="73"/>
      <c r="REJ117" s="73"/>
      <c r="REK117" s="73"/>
      <c r="REL117" s="73"/>
      <c r="REM117" s="73"/>
      <c r="REN117" s="73"/>
      <c r="REO117" s="73"/>
      <c r="REP117" s="73"/>
      <c r="REQ117" s="73"/>
      <c r="RER117" s="73"/>
      <c r="RES117" s="73"/>
      <c r="RET117" s="73"/>
      <c r="REU117" s="73"/>
      <c r="REV117" s="73"/>
      <c r="REW117" s="73"/>
      <c r="REX117" s="73"/>
      <c r="REY117" s="73"/>
      <c r="REZ117" s="73"/>
      <c r="RFA117" s="73"/>
      <c r="RFB117" s="73"/>
      <c r="RFC117" s="73"/>
      <c r="RFD117" s="73"/>
      <c r="RFE117" s="73"/>
      <c r="RFF117" s="73"/>
      <c r="RFG117" s="73"/>
      <c r="RFH117" s="73"/>
      <c r="RFI117" s="73"/>
      <c r="RFJ117" s="73"/>
      <c r="RFK117" s="73"/>
      <c r="RFL117" s="73"/>
      <c r="RFM117" s="73"/>
      <c r="RFN117" s="73"/>
      <c r="RFO117" s="73"/>
      <c r="RFP117" s="73"/>
      <c r="RFQ117" s="73"/>
      <c r="RFR117" s="73"/>
      <c r="RFS117" s="73"/>
      <c r="RFT117" s="73"/>
      <c r="RFU117" s="73"/>
      <c r="RFV117" s="73"/>
      <c r="RFW117" s="73"/>
      <c r="RFX117" s="73"/>
      <c r="RFY117" s="73"/>
      <c r="RFZ117" s="73"/>
      <c r="RGA117" s="73"/>
      <c r="RGB117" s="73"/>
      <c r="RGC117" s="73"/>
      <c r="RGD117" s="73"/>
      <c r="RGE117" s="73"/>
      <c r="RGF117" s="73"/>
      <c r="RGG117" s="73"/>
      <c r="RGH117" s="73"/>
      <c r="RGI117" s="73"/>
      <c r="RGJ117" s="73"/>
      <c r="RGK117" s="73"/>
      <c r="RGL117" s="73"/>
      <c r="RGM117" s="73"/>
      <c r="RGN117" s="73"/>
      <c r="RGO117" s="73"/>
      <c r="RGP117" s="73"/>
      <c r="RGQ117" s="73"/>
      <c r="RGR117" s="73"/>
      <c r="RGS117" s="73"/>
      <c r="RGT117" s="73"/>
      <c r="RGU117" s="73"/>
      <c r="RGV117" s="73"/>
      <c r="RGW117" s="73"/>
      <c r="RGX117" s="73"/>
      <c r="RGY117" s="73"/>
      <c r="RGZ117" s="73"/>
      <c r="RHA117" s="73"/>
      <c r="RHB117" s="73"/>
      <c r="RHC117" s="73"/>
      <c r="RHD117" s="73"/>
      <c r="RHE117" s="73"/>
      <c r="RHF117" s="73"/>
      <c r="RHG117" s="73"/>
      <c r="RHH117" s="73"/>
      <c r="RHI117" s="73"/>
      <c r="RHJ117" s="73"/>
      <c r="RHK117" s="73"/>
      <c r="RHL117" s="73"/>
      <c r="RHM117" s="73"/>
      <c r="RHN117" s="73"/>
      <c r="RHO117" s="73"/>
      <c r="RHP117" s="73"/>
      <c r="RHQ117" s="73"/>
      <c r="RHR117" s="73"/>
      <c r="RHS117" s="73"/>
      <c r="RHT117" s="73"/>
      <c r="RHU117" s="73"/>
      <c r="RHV117" s="73"/>
      <c r="RHW117" s="73"/>
      <c r="RHX117" s="73"/>
      <c r="RHY117" s="73"/>
      <c r="RHZ117" s="73"/>
      <c r="RIA117" s="73"/>
      <c r="RIB117" s="73"/>
      <c r="RIC117" s="73"/>
      <c r="RID117" s="73"/>
      <c r="RIE117" s="73"/>
      <c r="RIF117" s="73"/>
      <c r="RIG117" s="73"/>
      <c r="RIH117" s="73"/>
      <c r="RII117" s="73"/>
      <c r="RIJ117" s="73"/>
      <c r="RIK117" s="73"/>
      <c r="RIL117" s="73"/>
      <c r="RIM117" s="73"/>
      <c r="RIN117" s="73"/>
      <c r="RIO117" s="73"/>
      <c r="RIP117" s="73"/>
      <c r="RIQ117" s="73"/>
      <c r="RIR117" s="73"/>
      <c r="RIS117" s="73"/>
      <c r="RIT117" s="73"/>
      <c r="RIU117" s="73"/>
      <c r="RIV117" s="73"/>
      <c r="RIW117" s="73"/>
      <c r="RIX117" s="73"/>
      <c r="RIY117" s="73"/>
      <c r="RIZ117" s="73"/>
      <c r="RJA117" s="73"/>
      <c r="RJB117" s="73"/>
      <c r="RJC117" s="73"/>
      <c r="RJD117" s="73"/>
      <c r="RJE117" s="73"/>
      <c r="RJF117" s="73"/>
      <c r="RJG117" s="73"/>
      <c r="RJH117" s="73"/>
      <c r="RJI117" s="73"/>
      <c r="RJJ117" s="73"/>
      <c r="RJK117" s="73"/>
      <c r="RJL117" s="73"/>
      <c r="RJM117" s="73"/>
      <c r="RJN117" s="73"/>
      <c r="RJO117" s="73"/>
      <c r="RJP117" s="73"/>
      <c r="RJQ117" s="73"/>
      <c r="RJR117" s="73"/>
      <c r="RJS117" s="73"/>
      <c r="RJT117" s="73"/>
      <c r="RJU117" s="73"/>
      <c r="RJV117" s="73"/>
      <c r="RJW117" s="73"/>
      <c r="RJX117" s="73"/>
      <c r="RJY117" s="73"/>
      <c r="RJZ117" s="73"/>
      <c r="RKA117" s="73"/>
      <c r="RKB117" s="73"/>
      <c r="RKC117" s="73"/>
      <c r="RKD117" s="73"/>
      <c r="RKE117" s="73"/>
      <c r="RKF117" s="73"/>
      <c r="RKG117" s="73"/>
      <c r="RKH117" s="73"/>
      <c r="RKI117" s="73"/>
      <c r="RKJ117" s="73"/>
      <c r="RKK117" s="73"/>
      <c r="RKL117" s="73"/>
      <c r="RKM117" s="73"/>
      <c r="RKN117" s="73"/>
      <c r="RKO117" s="73"/>
      <c r="RKP117" s="73"/>
      <c r="RKQ117" s="73"/>
      <c r="RKR117" s="73"/>
      <c r="RKS117" s="73"/>
      <c r="RKT117" s="73"/>
      <c r="RKU117" s="73"/>
      <c r="RKV117" s="73"/>
      <c r="RKW117" s="73"/>
      <c r="RKX117" s="73"/>
      <c r="RKY117" s="73"/>
      <c r="RKZ117" s="73"/>
      <c r="RLA117" s="73"/>
      <c r="RLB117" s="73"/>
      <c r="RLC117" s="73"/>
      <c r="RLD117" s="73"/>
      <c r="RLE117" s="73"/>
      <c r="RLF117" s="73"/>
      <c r="RLG117" s="73"/>
      <c r="RLH117" s="73"/>
      <c r="RLI117" s="73"/>
      <c r="RLJ117" s="73"/>
      <c r="RLK117" s="73"/>
      <c r="RLL117" s="73"/>
      <c r="RLM117" s="73"/>
      <c r="RLN117" s="73"/>
      <c r="RLO117" s="73"/>
      <c r="RLP117" s="73"/>
      <c r="RLQ117" s="73"/>
      <c r="RLR117" s="73"/>
      <c r="RLS117" s="73"/>
      <c r="RLT117" s="73"/>
      <c r="RLU117" s="73"/>
      <c r="RLV117" s="73"/>
      <c r="RLW117" s="73"/>
      <c r="RLX117" s="73"/>
      <c r="RLY117" s="73"/>
      <c r="RLZ117" s="73"/>
      <c r="RMA117" s="73"/>
      <c r="RMB117" s="73"/>
      <c r="RMC117" s="73"/>
      <c r="RMD117" s="73"/>
      <c r="RME117" s="73"/>
      <c r="RMF117" s="73"/>
      <c r="RMG117" s="73"/>
      <c r="RMH117" s="73"/>
      <c r="RMI117" s="73"/>
      <c r="RMJ117" s="73"/>
      <c r="RMK117" s="73"/>
      <c r="RML117" s="73"/>
      <c r="RMM117" s="73"/>
      <c r="RMN117" s="73"/>
      <c r="RMO117" s="73"/>
      <c r="RMP117" s="73"/>
      <c r="RMQ117" s="73"/>
      <c r="RMR117" s="73"/>
      <c r="RMS117" s="73"/>
      <c r="RMT117" s="73"/>
      <c r="RMU117" s="73"/>
      <c r="RMV117" s="73"/>
      <c r="RMW117" s="73"/>
      <c r="RMX117" s="73"/>
      <c r="RMY117" s="73"/>
      <c r="RMZ117" s="73"/>
      <c r="RNA117" s="73"/>
      <c r="RNB117" s="73"/>
      <c r="RNC117" s="73"/>
      <c r="RND117" s="73"/>
      <c r="RNE117" s="73"/>
      <c r="RNF117" s="73"/>
      <c r="RNG117" s="73"/>
      <c r="RNH117" s="73"/>
      <c r="RNI117" s="73"/>
      <c r="RNJ117" s="73"/>
      <c r="RNK117" s="73"/>
      <c r="RNL117" s="73"/>
      <c r="RNM117" s="73"/>
      <c r="RNN117" s="73"/>
      <c r="RNO117" s="73"/>
      <c r="RNP117" s="73"/>
      <c r="RNQ117" s="73"/>
      <c r="RNR117" s="73"/>
      <c r="RNS117" s="73"/>
      <c r="RNT117" s="73"/>
      <c r="RNU117" s="73"/>
      <c r="RNV117" s="73"/>
      <c r="RNW117" s="73"/>
      <c r="RNX117" s="73"/>
      <c r="RNY117" s="73"/>
      <c r="RNZ117" s="73"/>
      <c r="ROA117" s="73"/>
      <c r="ROB117" s="73"/>
      <c r="ROC117" s="73"/>
      <c r="ROD117" s="73"/>
      <c r="ROE117" s="73"/>
      <c r="ROF117" s="73"/>
      <c r="ROG117" s="73"/>
      <c r="ROH117" s="73"/>
      <c r="ROI117" s="73"/>
      <c r="ROJ117" s="73"/>
      <c r="ROK117" s="73"/>
      <c r="ROL117" s="73"/>
      <c r="ROM117" s="73"/>
      <c r="RON117" s="73"/>
      <c r="ROO117" s="73"/>
      <c r="ROP117" s="73"/>
      <c r="ROQ117" s="73"/>
      <c r="ROR117" s="73"/>
      <c r="ROS117" s="73"/>
      <c r="ROT117" s="73"/>
      <c r="ROU117" s="73"/>
      <c r="ROV117" s="73"/>
      <c r="ROW117" s="73"/>
      <c r="ROX117" s="73"/>
      <c r="ROY117" s="73"/>
      <c r="ROZ117" s="73"/>
      <c r="RPA117" s="73"/>
      <c r="RPB117" s="73"/>
      <c r="RPC117" s="73"/>
      <c r="RPD117" s="73"/>
      <c r="RPE117" s="73"/>
      <c r="RPF117" s="73"/>
      <c r="RPG117" s="73"/>
      <c r="RPH117" s="73"/>
      <c r="RPI117" s="73"/>
      <c r="RPJ117" s="73"/>
      <c r="RPK117" s="73"/>
      <c r="RPL117" s="73"/>
      <c r="RPM117" s="73"/>
      <c r="RPN117" s="73"/>
      <c r="RPO117" s="73"/>
      <c r="RPP117" s="73"/>
      <c r="RPQ117" s="73"/>
      <c r="RPR117" s="73"/>
      <c r="RPS117" s="73"/>
      <c r="RPT117" s="73"/>
      <c r="RPU117" s="73"/>
      <c r="RPV117" s="73"/>
      <c r="RPW117" s="73"/>
      <c r="RPX117" s="73"/>
      <c r="RPY117" s="73"/>
      <c r="RPZ117" s="73"/>
      <c r="RQA117" s="73"/>
      <c r="RQB117" s="73"/>
      <c r="RQC117" s="73"/>
      <c r="RQD117" s="73"/>
      <c r="RQE117" s="73"/>
      <c r="RQF117" s="73"/>
      <c r="RQG117" s="73"/>
      <c r="RQH117" s="73"/>
      <c r="RQI117" s="73"/>
      <c r="RQJ117" s="73"/>
      <c r="RQK117" s="73"/>
      <c r="RQL117" s="73"/>
      <c r="RQM117" s="73"/>
      <c r="RQN117" s="73"/>
      <c r="RQO117" s="73"/>
      <c r="RQP117" s="73"/>
      <c r="RQQ117" s="73"/>
      <c r="RQR117" s="73"/>
      <c r="RQS117" s="73"/>
      <c r="RQT117" s="73"/>
      <c r="RQU117" s="73"/>
      <c r="RQV117" s="73"/>
      <c r="RQW117" s="73"/>
      <c r="RQX117" s="73"/>
      <c r="RQY117" s="73"/>
      <c r="RQZ117" s="73"/>
      <c r="RRA117" s="73"/>
      <c r="RRB117" s="73"/>
      <c r="RRC117" s="73"/>
      <c r="RRD117" s="73"/>
      <c r="RRE117" s="73"/>
      <c r="RRF117" s="73"/>
      <c r="RRG117" s="73"/>
      <c r="RRH117" s="73"/>
      <c r="RRI117" s="73"/>
      <c r="RRJ117" s="73"/>
      <c r="RRK117" s="73"/>
      <c r="RRL117" s="73"/>
      <c r="RRM117" s="73"/>
      <c r="RRN117" s="73"/>
      <c r="RRO117" s="73"/>
      <c r="RRP117" s="73"/>
      <c r="RRQ117" s="73"/>
      <c r="RRR117" s="73"/>
      <c r="RRS117" s="73"/>
      <c r="RRT117" s="73"/>
      <c r="RRU117" s="73"/>
      <c r="RRV117" s="73"/>
      <c r="RRW117" s="73"/>
      <c r="RRX117" s="73"/>
      <c r="RRY117" s="73"/>
      <c r="RRZ117" s="73"/>
      <c r="RSA117" s="73"/>
      <c r="RSB117" s="73"/>
      <c r="RSC117" s="73"/>
      <c r="RSD117" s="73"/>
      <c r="RSE117" s="73"/>
      <c r="RSF117" s="73"/>
      <c r="RSG117" s="73"/>
      <c r="RSH117" s="73"/>
      <c r="RSI117" s="73"/>
      <c r="RSJ117" s="73"/>
      <c r="RSK117" s="73"/>
      <c r="RSL117" s="73"/>
      <c r="RSM117" s="73"/>
      <c r="RSN117" s="73"/>
      <c r="RSO117" s="73"/>
      <c r="RSP117" s="73"/>
      <c r="RSQ117" s="73"/>
      <c r="RSR117" s="73"/>
      <c r="RSS117" s="73"/>
      <c r="RST117" s="73"/>
      <c r="RSU117" s="73"/>
      <c r="RSV117" s="73"/>
      <c r="RSW117" s="73"/>
      <c r="RSX117" s="73"/>
      <c r="RSY117" s="73"/>
      <c r="RSZ117" s="73"/>
      <c r="RTA117" s="73"/>
      <c r="RTB117" s="73"/>
      <c r="RTC117" s="73"/>
      <c r="RTD117" s="73"/>
      <c r="RTE117" s="73"/>
      <c r="RTF117" s="73"/>
      <c r="RTG117" s="73"/>
      <c r="RTH117" s="73"/>
      <c r="RTI117" s="73"/>
      <c r="RTJ117" s="73"/>
      <c r="RTK117" s="73"/>
      <c r="RTL117" s="73"/>
      <c r="RTM117" s="73"/>
      <c r="RTN117" s="73"/>
      <c r="RTO117" s="73"/>
      <c r="RTP117" s="73"/>
      <c r="RTQ117" s="73"/>
      <c r="RTR117" s="73"/>
      <c r="RTS117" s="73"/>
      <c r="RTT117" s="73"/>
      <c r="RTU117" s="73"/>
      <c r="RTV117" s="73"/>
      <c r="RTW117" s="73"/>
      <c r="RTX117" s="73"/>
      <c r="RTY117" s="73"/>
      <c r="RTZ117" s="73"/>
      <c r="RUA117" s="73"/>
      <c r="RUB117" s="73"/>
      <c r="RUC117" s="73"/>
      <c r="RUD117" s="73"/>
      <c r="RUE117" s="73"/>
      <c r="RUF117" s="73"/>
      <c r="RUG117" s="73"/>
      <c r="RUH117" s="73"/>
      <c r="RUI117" s="73"/>
      <c r="RUJ117" s="73"/>
      <c r="RUK117" s="73"/>
      <c r="RUL117" s="73"/>
      <c r="RUM117" s="73"/>
      <c r="RUN117" s="73"/>
      <c r="RUO117" s="73"/>
      <c r="RUP117" s="73"/>
      <c r="RUQ117" s="73"/>
      <c r="RUR117" s="73"/>
      <c r="RUS117" s="73"/>
      <c r="RUT117" s="73"/>
      <c r="RUU117" s="73"/>
      <c r="RUV117" s="73"/>
      <c r="RUW117" s="73"/>
      <c r="RUX117" s="73"/>
      <c r="RUY117" s="73"/>
      <c r="RUZ117" s="73"/>
      <c r="RVA117" s="73"/>
      <c r="RVB117" s="73"/>
      <c r="RVC117" s="73"/>
      <c r="RVD117" s="73"/>
      <c r="RVE117" s="73"/>
      <c r="RVF117" s="73"/>
      <c r="RVG117" s="73"/>
      <c r="RVH117" s="73"/>
      <c r="RVI117" s="73"/>
      <c r="RVJ117" s="73"/>
      <c r="RVK117" s="73"/>
      <c r="RVL117" s="73"/>
      <c r="RVM117" s="73"/>
      <c r="RVN117" s="73"/>
      <c r="RVO117" s="73"/>
      <c r="RVP117" s="73"/>
      <c r="RVQ117" s="73"/>
      <c r="RVR117" s="73"/>
      <c r="RVS117" s="73"/>
      <c r="RVT117" s="73"/>
      <c r="RVU117" s="73"/>
      <c r="RVV117" s="73"/>
      <c r="RVW117" s="73"/>
      <c r="RVX117" s="73"/>
      <c r="RVY117" s="73"/>
      <c r="RVZ117" s="73"/>
      <c r="RWA117" s="73"/>
      <c r="RWB117" s="73"/>
      <c r="RWC117" s="73"/>
      <c r="RWD117" s="73"/>
      <c r="RWE117" s="73"/>
      <c r="RWF117" s="73"/>
      <c r="RWG117" s="73"/>
      <c r="RWH117" s="73"/>
      <c r="RWI117" s="73"/>
      <c r="RWJ117" s="73"/>
      <c r="RWK117" s="73"/>
      <c r="RWL117" s="73"/>
      <c r="RWM117" s="73"/>
      <c r="RWN117" s="73"/>
      <c r="RWO117" s="73"/>
      <c r="RWP117" s="73"/>
      <c r="RWQ117" s="73"/>
      <c r="RWR117" s="73"/>
      <c r="RWS117" s="73"/>
      <c r="RWT117" s="73"/>
      <c r="RWU117" s="73"/>
      <c r="RWV117" s="73"/>
      <c r="RWW117" s="73"/>
      <c r="RWX117" s="73"/>
      <c r="RWY117" s="73"/>
      <c r="RWZ117" s="73"/>
      <c r="RXA117" s="73"/>
      <c r="RXB117" s="73"/>
      <c r="RXC117" s="73"/>
      <c r="RXD117" s="73"/>
      <c r="RXE117" s="73"/>
      <c r="RXF117" s="73"/>
      <c r="RXG117" s="73"/>
      <c r="RXH117" s="73"/>
      <c r="RXI117" s="73"/>
      <c r="RXJ117" s="73"/>
      <c r="RXK117" s="73"/>
      <c r="RXL117" s="73"/>
      <c r="RXM117" s="73"/>
      <c r="RXN117" s="73"/>
      <c r="RXO117" s="73"/>
      <c r="RXP117" s="73"/>
      <c r="RXQ117" s="73"/>
      <c r="RXR117" s="73"/>
      <c r="RXS117" s="73"/>
      <c r="RXT117" s="73"/>
      <c r="RXU117" s="73"/>
      <c r="RXV117" s="73"/>
      <c r="RXW117" s="73"/>
      <c r="RXX117" s="73"/>
      <c r="RXY117" s="73"/>
      <c r="RXZ117" s="73"/>
      <c r="RYA117" s="73"/>
      <c r="RYB117" s="73"/>
      <c r="RYC117" s="73"/>
      <c r="RYD117" s="73"/>
      <c r="RYE117" s="73"/>
      <c r="RYF117" s="73"/>
      <c r="RYG117" s="73"/>
      <c r="RYH117" s="73"/>
      <c r="RYI117" s="73"/>
      <c r="RYJ117" s="73"/>
      <c r="RYK117" s="73"/>
      <c r="RYL117" s="73"/>
      <c r="RYM117" s="73"/>
      <c r="RYN117" s="73"/>
      <c r="RYO117" s="73"/>
      <c r="RYP117" s="73"/>
      <c r="RYQ117" s="73"/>
      <c r="RYR117" s="73"/>
      <c r="RYS117" s="73"/>
      <c r="RYT117" s="73"/>
      <c r="RYU117" s="73"/>
      <c r="RYV117" s="73"/>
      <c r="RYW117" s="73"/>
      <c r="RYX117" s="73"/>
      <c r="RYY117" s="73"/>
      <c r="RYZ117" s="73"/>
      <c r="RZA117" s="73"/>
      <c r="RZB117" s="73"/>
      <c r="RZC117" s="73"/>
      <c r="RZD117" s="73"/>
      <c r="RZE117" s="73"/>
      <c r="RZF117" s="73"/>
      <c r="RZG117" s="73"/>
      <c r="RZH117" s="73"/>
      <c r="RZI117" s="73"/>
      <c r="RZJ117" s="73"/>
      <c r="RZK117" s="73"/>
      <c r="RZL117" s="73"/>
      <c r="RZM117" s="73"/>
      <c r="RZN117" s="73"/>
      <c r="RZO117" s="73"/>
      <c r="RZP117" s="73"/>
      <c r="RZQ117" s="73"/>
      <c r="RZR117" s="73"/>
      <c r="RZS117" s="73"/>
      <c r="RZT117" s="73"/>
      <c r="RZU117" s="73"/>
      <c r="RZV117" s="73"/>
      <c r="RZW117" s="73"/>
      <c r="RZX117" s="73"/>
      <c r="RZY117" s="73"/>
      <c r="RZZ117" s="73"/>
      <c r="SAA117" s="73"/>
      <c r="SAB117" s="73"/>
      <c r="SAC117" s="73"/>
      <c r="SAD117" s="73"/>
      <c r="SAE117" s="73"/>
      <c r="SAF117" s="73"/>
      <c r="SAG117" s="73"/>
      <c r="SAH117" s="73"/>
      <c r="SAI117" s="73"/>
      <c r="SAJ117" s="73"/>
      <c r="SAK117" s="73"/>
      <c r="SAL117" s="73"/>
      <c r="SAM117" s="73"/>
      <c r="SAN117" s="73"/>
      <c r="SAO117" s="73"/>
      <c r="SAP117" s="73"/>
      <c r="SAQ117" s="73"/>
      <c r="SAR117" s="73"/>
      <c r="SAS117" s="73"/>
      <c r="SAT117" s="73"/>
      <c r="SAU117" s="73"/>
      <c r="SAV117" s="73"/>
      <c r="SAW117" s="73"/>
      <c r="SAX117" s="73"/>
      <c r="SAY117" s="73"/>
      <c r="SAZ117" s="73"/>
      <c r="SBA117" s="73"/>
      <c r="SBB117" s="73"/>
      <c r="SBC117" s="73"/>
      <c r="SBD117" s="73"/>
      <c r="SBE117" s="73"/>
      <c r="SBF117" s="73"/>
      <c r="SBG117" s="73"/>
      <c r="SBH117" s="73"/>
      <c r="SBI117" s="73"/>
      <c r="SBJ117" s="73"/>
      <c r="SBK117" s="73"/>
      <c r="SBL117" s="73"/>
      <c r="SBM117" s="73"/>
      <c r="SBN117" s="73"/>
      <c r="SBO117" s="73"/>
      <c r="SBP117" s="73"/>
      <c r="SBQ117" s="73"/>
      <c r="SBR117" s="73"/>
      <c r="SBS117" s="73"/>
      <c r="SBT117" s="73"/>
      <c r="SBU117" s="73"/>
      <c r="SBV117" s="73"/>
      <c r="SBW117" s="73"/>
      <c r="SBX117" s="73"/>
      <c r="SBY117" s="73"/>
      <c r="SBZ117" s="73"/>
      <c r="SCA117" s="73"/>
      <c r="SCB117" s="73"/>
      <c r="SCC117" s="73"/>
      <c r="SCD117" s="73"/>
      <c r="SCE117" s="73"/>
      <c r="SCF117" s="73"/>
      <c r="SCG117" s="73"/>
      <c r="SCH117" s="73"/>
      <c r="SCI117" s="73"/>
      <c r="SCJ117" s="73"/>
      <c r="SCK117" s="73"/>
      <c r="SCL117" s="73"/>
      <c r="SCM117" s="73"/>
      <c r="SCN117" s="73"/>
      <c r="SCO117" s="73"/>
      <c r="SCP117" s="73"/>
      <c r="SCQ117" s="73"/>
      <c r="SCR117" s="73"/>
      <c r="SCS117" s="73"/>
      <c r="SCT117" s="73"/>
      <c r="SCU117" s="73"/>
      <c r="SCV117" s="73"/>
      <c r="SCW117" s="73"/>
      <c r="SCX117" s="73"/>
      <c r="SCY117" s="73"/>
      <c r="SCZ117" s="73"/>
      <c r="SDA117" s="73"/>
      <c r="SDB117" s="73"/>
      <c r="SDC117" s="73"/>
      <c r="SDD117" s="73"/>
      <c r="SDE117" s="73"/>
      <c r="SDF117" s="73"/>
      <c r="SDG117" s="73"/>
      <c r="SDH117" s="73"/>
      <c r="SDI117" s="73"/>
      <c r="SDJ117" s="73"/>
      <c r="SDK117" s="73"/>
      <c r="SDL117" s="73"/>
      <c r="SDM117" s="73"/>
      <c r="SDN117" s="73"/>
      <c r="SDO117" s="73"/>
      <c r="SDP117" s="73"/>
      <c r="SDQ117" s="73"/>
      <c r="SDR117" s="73"/>
      <c r="SDS117" s="73"/>
      <c r="SDT117" s="73"/>
      <c r="SDU117" s="73"/>
      <c r="SDV117" s="73"/>
      <c r="SDW117" s="73"/>
      <c r="SDX117" s="73"/>
      <c r="SDY117" s="73"/>
      <c r="SDZ117" s="73"/>
      <c r="SEA117" s="73"/>
      <c r="SEB117" s="73"/>
      <c r="SEC117" s="73"/>
      <c r="SED117" s="73"/>
      <c r="SEE117" s="73"/>
      <c r="SEF117" s="73"/>
      <c r="SEG117" s="73"/>
      <c r="SEH117" s="73"/>
      <c r="SEI117" s="73"/>
      <c r="SEJ117" s="73"/>
      <c r="SEK117" s="73"/>
      <c r="SEL117" s="73"/>
      <c r="SEM117" s="73"/>
      <c r="SEN117" s="73"/>
      <c r="SEO117" s="73"/>
      <c r="SEP117" s="73"/>
      <c r="SEQ117" s="73"/>
      <c r="SER117" s="73"/>
      <c r="SES117" s="73"/>
      <c r="SET117" s="73"/>
      <c r="SEU117" s="73"/>
      <c r="SEV117" s="73"/>
      <c r="SEW117" s="73"/>
      <c r="SEX117" s="73"/>
      <c r="SEY117" s="73"/>
      <c r="SEZ117" s="73"/>
      <c r="SFA117" s="73"/>
      <c r="SFB117" s="73"/>
      <c r="SFC117" s="73"/>
      <c r="SFD117" s="73"/>
      <c r="SFE117" s="73"/>
      <c r="SFF117" s="73"/>
      <c r="SFG117" s="73"/>
      <c r="SFH117" s="73"/>
      <c r="SFI117" s="73"/>
      <c r="SFJ117" s="73"/>
      <c r="SFK117" s="73"/>
      <c r="SFL117" s="73"/>
      <c r="SFM117" s="73"/>
      <c r="SFN117" s="73"/>
      <c r="SFO117" s="73"/>
      <c r="SFP117" s="73"/>
      <c r="SFQ117" s="73"/>
      <c r="SFR117" s="73"/>
      <c r="SFS117" s="73"/>
      <c r="SFT117" s="73"/>
      <c r="SFU117" s="73"/>
      <c r="SFV117" s="73"/>
      <c r="SFW117" s="73"/>
      <c r="SFX117" s="73"/>
      <c r="SFY117" s="73"/>
      <c r="SFZ117" s="73"/>
      <c r="SGA117" s="73"/>
      <c r="SGB117" s="73"/>
      <c r="SGC117" s="73"/>
      <c r="SGD117" s="73"/>
      <c r="SGE117" s="73"/>
      <c r="SGF117" s="73"/>
      <c r="SGG117" s="73"/>
      <c r="SGH117" s="73"/>
      <c r="SGI117" s="73"/>
      <c r="SGJ117" s="73"/>
      <c r="SGK117" s="73"/>
      <c r="SGL117" s="73"/>
      <c r="SGM117" s="73"/>
      <c r="SGN117" s="73"/>
      <c r="SGO117" s="73"/>
      <c r="SGP117" s="73"/>
      <c r="SGQ117" s="73"/>
      <c r="SGR117" s="73"/>
      <c r="SGS117" s="73"/>
      <c r="SGT117" s="73"/>
      <c r="SGU117" s="73"/>
      <c r="SGV117" s="73"/>
      <c r="SGW117" s="73"/>
      <c r="SGX117" s="73"/>
      <c r="SGY117" s="73"/>
      <c r="SGZ117" s="73"/>
      <c r="SHA117" s="73"/>
      <c r="SHB117" s="73"/>
      <c r="SHC117" s="73"/>
      <c r="SHD117" s="73"/>
      <c r="SHE117" s="73"/>
      <c r="SHF117" s="73"/>
      <c r="SHG117" s="73"/>
      <c r="SHH117" s="73"/>
      <c r="SHI117" s="73"/>
      <c r="SHJ117" s="73"/>
      <c r="SHK117" s="73"/>
      <c r="SHL117" s="73"/>
      <c r="SHM117" s="73"/>
      <c r="SHN117" s="73"/>
      <c r="SHO117" s="73"/>
      <c r="SHP117" s="73"/>
      <c r="SHQ117" s="73"/>
      <c r="SHR117" s="73"/>
      <c r="SHS117" s="73"/>
      <c r="SHT117" s="73"/>
      <c r="SHU117" s="73"/>
      <c r="SHV117" s="73"/>
      <c r="SHW117" s="73"/>
      <c r="SHX117" s="73"/>
      <c r="SHY117" s="73"/>
      <c r="SHZ117" s="73"/>
      <c r="SIA117" s="73"/>
      <c r="SIB117" s="73"/>
      <c r="SIC117" s="73"/>
      <c r="SID117" s="73"/>
      <c r="SIE117" s="73"/>
      <c r="SIF117" s="73"/>
      <c r="SIG117" s="73"/>
      <c r="SIH117" s="73"/>
      <c r="SII117" s="73"/>
      <c r="SIJ117" s="73"/>
      <c r="SIK117" s="73"/>
      <c r="SIL117" s="73"/>
      <c r="SIM117" s="73"/>
      <c r="SIN117" s="73"/>
      <c r="SIO117" s="73"/>
      <c r="SIP117" s="73"/>
      <c r="SIQ117" s="73"/>
      <c r="SIR117" s="73"/>
      <c r="SIS117" s="73"/>
      <c r="SIT117" s="73"/>
      <c r="SIU117" s="73"/>
      <c r="SIV117" s="73"/>
      <c r="SIW117" s="73"/>
      <c r="SIX117" s="73"/>
      <c r="SIY117" s="73"/>
      <c r="SIZ117" s="73"/>
      <c r="SJA117" s="73"/>
      <c r="SJB117" s="73"/>
      <c r="SJC117" s="73"/>
      <c r="SJD117" s="73"/>
      <c r="SJE117" s="73"/>
      <c r="SJF117" s="73"/>
      <c r="SJG117" s="73"/>
      <c r="SJH117" s="73"/>
      <c r="SJI117" s="73"/>
      <c r="SJJ117" s="73"/>
      <c r="SJK117" s="73"/>
      <c r="SJL117" s="73"/>
      <c r="SJM117" s="73"/>
      <c r="SJN117" s="73"/>
      <c r="SJO117" s="73"/>
      <c r="SJP117" s="73"/>
      <c r="SJQ117" s="73"/>
      <c r="SJR117" s="73"/>
      <c r="SJS117" s="73"/>
      <c r="SJT117" s="73"/>
      <c r="SJU117" s="73"/>
      <c r="SJV117" s="73"/>
      <c r="SJW117" s="73"/>
      <c r="SJX117" s="73"/>
      <c r="SJY117" s="73"/>
      <c r="SJZ117" s="73"/>
      <c r="SKA117" s="73"/>
      <c r="SKB117" s="73"/>
      <c r="SKC117" s="73"/>
      <c r="SKD117" s="73"/>
      <c r="SKE117" s="73"/>
      <c r="SKF117" s="73"/>
      <c r="SKG117" s="73"/>
      <c r="SKH117" s="73"/>
      <c r="SKI117" s="73"/>
      <c r="SKJ117" s="73"/>
      <c r="SKK117" s="73"/>
      <c r="SKL117" s="73"/>
      <c r="SKM117" s="73"/>
      <c r="SKN117" s="73"/>
      <c r="SKO117" s="73"/>
      <c r="SKP117" s="73"/>
      <c r="SKQ117" s="73"/>
      <c r="SKR117" s="73"/>
      <c r="SKS117" s="73"/>
      <c r="SKT117" s="73"/>
      <c r="SKU117" s="73"/>
      <c r="SKV117" s="73"/>
      <c r="SKW117" s="73"/>
      <c r="SKX117" s="73"/>
      <c r="SKY117" s="73"/>
      <c r="SKZ117" s="73"/>
      <c r="SLA117" s="73"/>
      <c r="SLB117" s="73"/>
      <c r="SLC117" s="73"/>
      <c r="SLD117" s="73"/>
      <c r="SLE117" s="73"/>
      <c r="SLF117" s="73"/>
      <c r="SLG117" s="73"/>
      <c r="SLH117" s="73"/>
      <c r="SLI117" s="73"/>
      <c r="SLJ117" s="73"/>
      <c r="SLK117" s="73"/>
      <c r="SLL117" s="73"/>
      <c r="SLM117" s="73"/>
      <c r="SLN117" s="73"/>
      <c r="SLO117" s="73"/>
      <c r="SLP117" s="73"/>
      <c r="SLQ117" s="73"/>
      <c r="SLR117" s="73"/>
      <c r="SLS117" s="73"/>
      <c r="SLT117" s="73"/>
      <c r="SLU117" s="73"/>
      <c r="SLV117" s="73"/>
      <c r="SLW117" s="73"/>
      <c r="SLX117" s="73"/>
      <c r="SLY117" s="73"/>
      <c r="SLZ117" s="73"/>
      <c r="SMA117" s="73"/>
      <c r="SMB117" s="73"/>
      <c r="SMC117" s="73"/>
      <c r="SMD117" s="73"/>
      <c r="SME117" s="73"/>
      <c r="SMF117" s="73"/>
      <c r="SMG117" s="73"/>
      <c r="SMH117" s="73"/>
      <c r="SMI117" s="73"/>
      <c r="SMJ117" s="73"/>
      <c r="SMK117" s="73"/>
      <c r="SML117" s="73"/>
      <c r="SMM117" s="73"/>
      <c r="SMN117" s="73"/>
      <c r="SMO117" s="73"/>
      <c r="SMP117" s="73"/>
      <c r="SMQ117" s="73"/>
      <c r="SMR117" s="73"/>
      <c r="SMS117" s="73"/>
      <c r="SMT117" s="73"/>
      <c r="SMU117" s="73"/>
      <c r="SMV117" s="73"/>
      <c r="SMW117" s="73"/>
      <c r="SMX117" s="73"/>
      <c r="SMY117" s="73"/>
      <c r="SMZ117" s="73"/>
      <c r="SNA117" s="73"/>
      <c r="SNB117" s="73"/>
      <c r="SNC117" s="73"/>
      <c r="SND117" s="73"/>
      <c r="SNE117" s="73"/>
      <c r="SNF117" s="73"/>
      <c r="SNG117" s="73"/>
      <c r="SNH117" s="73"/>
      <c r="SNI117" s="73"/>
      <c r="SNJ117" s="73"/>
      <c r="SNK117" s="73"/>
      <c r="SNL117" s="73"/>
      <c r="SNM117" s="73"/>
      <c r="SNN117" s="73"/>
      <c r="SNO117" s="73"/>
      <c r="SNP117" s="73"/>
      <c r="SNQ117" s="73"/>
      <c r="SNR117" s="73"/>
      <c r="SNS117" s="73"/>
      <c r="SNT117" s="73"/>
      <c r="SNU117" s="73"/>
      <c r="SNV117" s="73"/>
      <c r="SNW117" s="73"/>
      <c r="SNX117" s="73"/>
      <c r="SNY117" s="73"/>
      <c r="SNZ117" s="73"/>
      <c r="SOA117" s="73"/>
      <c r="SOB117" s="73"/>
      <c r="SOC117" s="73"/>
      <c r="SOD117" s="73"/>
      <c r="SOE117" s="73"/>
      <c r="SOF117" s="73"/>
      <c r="SOG117" s="73"/>
      <c r="SOH117" s="73"/>
      <c r="SOI117" s="73"/>
      <c r="SOJ117" s="73"/>
      <c r="SOK117" s="73"/>
      <c r="SOL117" s="73"/>
      <c r="SOM117" s="73"/>
      <c r="SON117" s="73"/>
      <c r="SOO117" s="73"/>
      <c r="SOP117" s="73"/>
      <c r="SOQ117" s="73"/>
      <c r="SOR117" s="73"/>
      <c r="SOS117" s="73"/>
      <c r="SOT117" s="73"/>
      <c r="SOU117" s="73"/>
      <c r="SOV117" s="73"/>
      <c r="SOW117" s="73"/>
      <c r="SOX117" s="73"/>
      <c r="SOY117" s="73"/>
      <c r="SOZ117" s="73"/>
      <c r="SPA117" s="73"/>
      <c r="SPB117" s="73"/>
      <c r="SPC117" s="73"/>
      <c r="SPD117" s="73"/>
      <c r="SPE117" s="73"/>
      <c r="SPF117" s="73"/>
      <c r="SPG117" s="73"/>
      <c r="SPH117" s="73"/>
      <c r="SPI117" s="73"/>
      <c r="SPJ117" s="73"/>
      <c r="SPK117" s="73"/>
      <c r="SPL117" s="73"/>
      <c r="SPM117" s="73"/>
      <c r="SPN117" s="73"/>
      <c r="SPO117" s="73"/>
      <c r="SPP117" s="73"/>
      <c r="SPQ117" s="73"/>
      <c r="SPR117" s="73"/>
      <c r="SPS117" s="73"/>
      <c r="SPT117" s="73"/>
      <c r="SPU117" s="73"/>
      <c r="SPV117" s="73"/>
      <c r="SPW117" s="73"/>
      <c r="SPX117" s="73"/>
      <c r="SPY117" s="73"/>
      <c r="SPZ117" s="73"/>
      <c r="SQA117" s="73"/>
      <c r="SQB117" s="73"/>
      <c r="SQC117" s="73"/>
      <c r="SQD117" s="73"/>
      <c r="SQE117" s="73"/>
      <c r="SQF117" s="73"/>
      <c r="SQG117" s="73"/>
      <c r="SQH117" s="73"/>
      <c r="SQI117" s="73"/>
      <c r="SQJ117" s="73"/>
      <c r="SQK117" s="73"/>
      <c r="SQL117" s="73"/>
      <c r="SQM117" s="73"/>
      <c r="SQN117" s="73"/>
      <c r="SQO117" s="73"/>
      <c r="SQP117" s="73"/>
      <c r="SQQ117" s="73"/>
      <c r="SQR117" s="73"/>
      <c r="SQS117" s="73"/>
      <c r="SQT117" s="73"/>
      <c r="SQU117" s="73"/>
      <c r="SQV117" s="73"/>
      <c r="SQW117" s="73"/>
      <c r="SQX117" s="73"/>
      <c r="SQY117" s="73"/>
      <c r="SQZ117" s="73"/>
      <c r="SRA117" s="73"/>
      <c r="SRB117" s="73"/>
      <c r="SRC117" s="73"/>
      <c r="SRD117" s="73"/>
      <c r="SRE117" s="73"/>
      <c r="SRF117" s="73"/>
      <c r="SRG117" s="73"/>
      <c r="SRH117" s="73"/>
      <c r="SRI117" s="73"/>
      <c r="SRJ117" s="73"/>
      <c r="SRK117" s="73"/>
      <c r="SRL117" s="73"/>
      <c r="SRM117" s="73"/>
      <c r="SRN117" s="73"/>
      <c r="SRO117" s="73"/>
      <c r="SRP117" s="73"/>
      <c r="SRQ117" s="73"/>
      <c r="SRR117" s="73"/>
      <c r="SRS117" s="73"/>
      <c r="SRT117" s="73"/>
      <c r="SRU117" s="73"/>
      <c r="SRV117" s="73"/>
      <c r="SRW117" s="73"/>
      <c r="SRX117" s="73"/>
      <c r="SRY117" s="73"/>
      <c r="SRZ117" s="73"/>
      <c r="SSA117" s="73"/>
      <c r="SSB117" s="73"/>
      <c r="SSC117" s="73"/>
      <c r="SSD117" s="73"/>
      <c r="SSE117" s="73"/>
      <c r="SSF117" s="73"/>
      <c r="SSG117" s="73"/>
      <c r="SSH117" s="73"/>
      <c r="SSI117" s="73"/>
      <c r="SSJ117" s="73"/>
      <c r="SSK117" s="73"/>
      <c r="SSL117" s="73"/>
      <c r="SSM117" s="73"/>
      <c r="SSN117" s="73"/>
      <c r="SSO117" s="73"/>
      <c r="SSP117" s="73"/>
      <c r="SSQ117" s="73"/>
      <c r="SSR117" s="73"/>
      <c r="SSS117" s="73"/>
      <c r="SST117" s="73"/>
      <c r="SSU117" s="73"/>
      <c r="SSV117" s="73"/>
      <c r="SSW117" s="73"/>
      <c r="SSX117" s="73"/>
      <c r="SSY117" s="73"/>
      <c r="SSZ117" s="73"/>
      <c r="STA117" s="73"/>
      <c r="STB117" s="73"/>
      <c r="STC117" s="73"/>
      <c r="STD117" s="73"/>
      <c r="STE117" s="73"/>
      <c r="STF117" s="73"/>
      <c r="STG117" s="73"/>
      <c r="STH117" s="73"/>
      <c r="STI117" s="73"/>
      <c r="STJ117" s="73"/>
      <c r="STK117" s="73"/>
      <c r="STL117" s="73"/>
      <c r="STM117" s="73"/>
      <c r="STN117" s="73"/>
      <c r="STO117" s="73"/>
      <c r="STP117" s="73"/>
      <c r="STQ117" s="73"/>
      <c r="STR117" s="73"/>
      <c r="STS117" s="73"/>
      <c r="STT117" s="73"/>
      <c r="STU117" s="73"/>
      <c r="STV117" s="73"/>
      <c r="STW117" s="73"/>
      <c r="STX117" s="73"/>
      <c r="STY117" s="73"/>
      <c r="STZ117" s="73"/>
      <c r="SUA117" s="73"/>
      <c r="SUB117" s="73"/>
      <c r="SUC117" s="73"/>
      <c r="SUD117" s="73"/>
      <c r="SUE117" s="73"/>
      <c r="SUF117" s="73"/>
      <c r="SUG117" s="73"/>
      <c r="SUH117" s="73"/>
      <c r="SUI117" s="73"/>
      <c r="SUJ117" s="73"/>
      <c r="SUK117" s="73"/>
      <c r="SUL117" s="73"/>
      <c r="SUM117" s="73"/>
      <c r="SUN117" s="73"/>
      <c r="SUO117" s="73"/>
      <c r="SUP117" s="73"/>
      <c r="SUQ117" s="73"/>
      <c r="SUR117" s="73"/>
      <c r="SUS117" s="73"/>
      <c r="SUT117" s="73"/>
      <c r="SUU117" s="73"/>
      <c r="SUV117" s="73"/>
      <c r="SUW117" s="73"/>
      <c r="SUX117" s="73"/>
      <c r="SUY117" s="73"/>
      <c r="SUZ117" s="73"/>
      <c r="SVA117" s="73"/>
      <c r="SVB117" s="73"/>
      <c r="SVC117" s="73"/>
      <c r="SVD117" s="73"/>
      <c r="SVE117" s="73"/>
      <c r="SVF117" s="73"/>
      <c r="SVG117" s="73"/>
      <c r="SVH117" s="73"/>
      <c r="SVI117" s="73"/>
      <c r="SVJ117" s="73"/>
      <c r="SVK117" s="73"/>
      <c r="SVL117" s="73"/>
      <c r="SVM117" s="73"/>
      <c r="SVN117" s="73"/>
      <c r="SVO117" s="73"/>
      <c r="SVP117" s="73"/>
      <c r="SVQ117" s="73"/>
      <c r="SVR117" s="73"/>
      <c r="SVS117" s="73"/>
      <c r="SVT117" s="73"/>
      <c r="SVU117" s="73"/>
      <c r="SVV117" s="73"/>
      <c r="SVW117" s="73"/>
      <c r="SVX117" s="73"/>
      <c r="SVY117" s="73"/>
      <c r="SVZ117" s="73"/>
      <c r="SWA117" s="73"/>
      <c r="SWB117" s="73"/>
      <c r="SWC117" s="73"/>
      <c r="SWD117" s="73"/>
      <c r="SWE117" s="73"/>
      <c r="SWF117" s="73"/>
      <c r="SWG117" s="73"/>
      <c r="SWH117" s="73"/>
      <c r="SWI117" s="73"/>
      <c r="SWJ117" s="73"/>
      <c r="SWK117" s="73"/>
      <c r="SWL117" s="73"/>
      <c r="SWM117" s="73"/>
      <c r="SWN117" s="73"/>
      <c r="SWO117" s="73"/>
      <c r="SWP117" s="73"/>
      <c r="SWQ117" s="73"/>
      <c r="SWR117" s="73"/>
      <c r="SWS117" s="73"/>
      <c r="SWT117" s="73"/>
      <c r="SWU117" s="73"/>
      <c r="SWV117" s="73"/>
      <c r="SWW117" s="73"/>
      <c r="SWX117" s="73"/>
      <c r="SWY117" s="73"/>
      <c r="SWZ117" s="73"/>
      <c r="SXA117" s="73"/>
      <c r="SXB117" s="73"/>
      <c r="SXC117" s="73"/>
      <c r="SXD117" s="73"/>
      <c r="SXE117" s="73"/>
      <c r="SXF117" s="73"/>
      <c r="SXG117" s="73"/>
      <c r="SXH117" s="73"/>
      <c r="SXI117" s="73"/>
      <c r="SXJ117" s="73"/>
      <c r="SXK117" s="73"/>
      <c r="SXL117" s="73"/>
      <c r="SXM117" s="73"/>
      <c r="SXN117" s="73"/>
      <c r="SXO117" s="73"/>
      <c r="SXP117" s="73"/>
      <c r="SXQ117" s="73"/>
      <c r="SXR117" s="73"/>
      <c r="SXS117" s="73"/>
      <c r="SXT117" s="73"/>
      <c r="SXU117" s="73"/>
      <c r="SXV117" s="73"/>
      <c r="SXW117" s="73"/>
      <c r="SXX117" s="73"/>
      <c r="SXY117" s="73"/>
      <c r="SXZ117" s="73"/>
      <c r="SYA117" s="73"/>
      <c r="SYB117" s="73"/>
      <c r="SYC117" s="73"/>
      <c r="SYD117" s="73"/>
      <c r="SYE117" s="73"/>
      <c r="SYF117" s="73"/>
      <c r="SYG117" s="73"/>
      <c r="SYH117" s="73"/>
      <c r="SYI117" s="73"/>
      <c r="SYJ117" s="73"/>
      <c r="SYK117" s="73"/>
      <c r="SYL117" s="73"/>
      <c r="SYM117" s="73"/>
      <c r="SYN117" s="73"/>
      <c r="SYO117" s="73"/>
      <c r="SYP117" s="73"/>
      <c r="SYQ117" s="73"/>
      <c r="SYR117" s="73"/>
      <c r="SYS117" s="73"/>
      <c r="SYT117" s="73"/>
      <c r="SYU117" s="73"/>
      <c r="SYV117" s="73"/>
      <c r="SYW117" s="73"/>
      <c r="SYX117" s="73"/>
      <c r="SYY117" s="73"/>
      <c r="SYZ117" s="73"/>
      <c r="SZA117" s="73"/>
      <c r="SZB117" s="73"/>
      <c r="SZC117" s="73"/>
      <c r="SZD117" s="73"/>
      <c r="SZE117" s="73"/>
      <c r="SZF117" s="73"/>
      <c r="SZG117" s="73"/>
      <c r="SZH117" s="73"/>
      <c r="SZI117" s="73"/>
      <c r="SZJ117" s="73"/>
      <c r="SZK117" s="73"/>
      <c r="SZL117" s="73"/>
      <c r="SZM117" s="73"/>
      <c r="SZN117" s="73"/>
      <c r="SZO117" s="73"/>
      <c r="SZP117" s="73"/>
      <c r="SZQ117" s="73"/>
      <c r="SZR117" s="73"/>
      <c r="SZS117" s="73"/>
      <c r="SZT117" s="73"/>
      <c r="SZU117" s="73"/>
      <c r="SZV117" s="73"/>
      <c r="SZW117" s="73"/>
      <c r="SZX117" s="73"/>
      <c r="SZY117" s="73"/>
      <c r="SZZ117" s="73"/>
      <c r="TAA117" s="73"/>
      <c r="TAB117" s="73"/>
      <c r="TAC117" s="73"/>
      <c r="TAD117" s="73"/>
      <c r="TAE117" s="73"/>
      <c r="TAF117" s="73"/>
      <c r="TAG117" s="73"/>
      <c r="TAH117" s="73"/>
      <c r="TAI117" s="73"/>
      <c r="TAJ117" s="73"/>
      <c r="TAK117" s="73"/>
      <c r="TAL117" s="73"/>
      <c r="TAM117" s="73"/>
      <c r="TAN117" s="73"/>
      <c r="TAO117" s="73"/>
      <c r="TAP117" s="73"/>
      <c r="TAQ117" s="73"/>
      <c r="TAR117" s="73"/>
      <c r="TAS117" s="73"/>
      <c r="TAT117" s="73"/>
      <c r="TAU117" s="73"/>
      <c r="TAV117" s="73"/>
      <c r="TAW117" s="73"/>
      <c r="TAX117" s="73"/>
      <c r="TAY117" s="73"/>
      <c r="TAZ117" s="73"/>
      <c r="TBA117" s="73"/>
      <c r="TBB117" s="73"/>
      <c r="TBC117" s="73"/>
      <c r="TBD117" s="73"/>
      <c r="TBE117" s="73"/>
      <c r="TBF117" s="73"/>
      <c r="TBG117" s="73"/>
      <c r="TBH117" s="73"/>
      <c r="TBI117" s="73"/>
      <c r="TBJ117" s="73"/>
      <c r="TBK117" s="73"/>
      <c r="TBL117" s="73"/>
      <c r="TBM117" s="73"/>
      <c r="TBN117" s="73"/>
      <c r="TBO117" s="73"/>
      <c r="TBP117" s="73"/>
      <c r="TBQ117" s="73"/>
      <c r="TBR117" s="73"/>
      <c r="TBS117" s="73"/>
      <c r="TBT117" s="73"/>
      <c r="TBU117" s="73"/>
      <c r="TBV117" s="73"/>
      <c r="TBW117" s="73"/>
      <c r="TBX117" s="73"/>
      <c r="TBY117" s="73"/>
      <c r="TBZ117" s="73"/>
      <c r="TCA117" s="73"/>
      <c r="TCB117" s="73"/>
      <c r="TCC117" s="73"/>
      <c r="TCD117" s="73"/>
      <c r="TCE117" s="73"/>
      <c r="TCF117" s="73"/>
      <c r="TCG117" s="73"/>
      <c r="TCH117" s="73"/>
      <c r="TCI117" s="73"/>
      <c r="TCJ117" s="73"/>
      <c r="TCK117" s="73"/>
      <c r="TCL117" s="73"/>
      <c r="TCM117" s="73"/>
      <c r="TCN117" s="73"/>
      <c r="TCO117" s="73"/>
      <c r="TCP117" s="73"/>
      <c r="TCQ117" s="73"/>
      <c r="TCR117" s="73"/>
      <c r="TCS117" s="73"/>
      <c r="TCT117" s="73"/>
      <c r="TCU117" s="73"/>
      <c r="TCV117" s="73"/>
      <c r="TCW117" s="73"/>
      <c r="TCX117" s="73"/>
      <c r="TCY117" s="73"/>
      <c r="TCZ117" s="73"/>
      <c r="TDA117" s="73"/>
      <c r="TDB117" s="73"/>
      <c r="TDC117" s="73"/>
      <c r="TDD117" s="73"/>
      <c r="TDE117" s="73"/>
      <c r="TDF117" s="73"/>
      <c r="TDG117" s="73"/>
      <c r="TDH117" s="73"/>
      <c r="TDI117" s="73"/>
      <c r="TDJ117" s="73"/>
      <c r="TDK117" s="73"/>
      <c r="TDL117" s="73"/>
      <c r="TDM117" s="73"/>
      <c r="TDN117" s="73"/>
      <c r="TDO117" s="73"/>
      <c r="TDP117" s="73"/>
      <c r="TDQ117" s="73"/>
      <c r="TDR117" s="73"/>
      <c r="TDS117" s="73"/>
      <c r="TDT117" s="73"/>
      <c r="TDU117" s="73"/>
      <c r="TDV117" s="73"/>
      <c r="TDW117" s="73"/>
      <c r="TDX117" s="73"/>
      <c r="TDY117" s="73"/>
      <c r="TDZ117" s="73"/>
      <c r="TEA117" s="73"/>
      <c r="TEB117" s="73"/>
      <c r="TEC117" s="73"/>
      <c r="TED117" s="73"/>
      <c r="TEE117" s="73"/>
      <c r="TEF117" s="73"/>
      <c r="TEG117" s="73"/>
      <c r="TEH117" s="73"/>
      <c r="TEI117" s="73"/>
      <c r="TEJ117" s="73"/>
      <c r="TEK117" s="73"/>
      <c r="TEL117" s="73"/>
      <c r="TEM117" s="73"/>
      <c r="TEN117" s="73"/>
      <c r="TEO117" s="73"/>
      <c r="TEP117" s="73"/>
      <c r="TEQ117" s="73"/>
      <c r="TER117" s="73"/>
      <c r="TES117" s="73"/>
      <c r="TET117" s="73"/>
      <c r="TEU117" s="73"/>
      <c r="TEV117" s="73"/>
      <c r="TEW117" s="73"/>
      <c r="TEX117" s="73"/>
      <c r="TEY117" s="73"/>
      <c r="TEZ117" s="73"/>
      <c r="TFA117" s="73"/>
      <c r="TFB117" s="73"/>
      <c r="TFC117" s="73"/>
      <c r="TFD117" s="73"/>
      <c r="TFE117" s="73"/>
      <c r="TFF117" s="73"/>
      <c r="TFG117" s="73"/>
      <c r="TFH117" s="73"/>
      <c r="TFI117" s="73"/>
      <c r="TFJ117" s="73"/>
      <c r="TFK117" s="73"/>
      <c r="TFL117" s="73"/>
      <c r="TFM117" s="73"/>
      <c r="TFN117" s="73"/>
      <c r="TFO117" s="73"/>
      <c r="TFP117" s="73"/>
      <c r="TFQ117" s="73"/>
      <c r="TFR117" s="73"/>
      <c r="TFS117" s="73"/>
      <c r="TFT117" s="73"/>
      <c r="TFU117" s="73"/>
      <c r="TFV117" s="73"/>
      <c r="TFW117" s="73"/>
      <c r="TFX117" s="73"/>
      <c r="TFY117" s="73"/>
      <c r="TFZ117" s="73"/>
      <c r="TGA117" s="73"/>
      <c r="TGB117" s="73"/>
      <c r="TGC117" s="73"/>
      <c r="TGD117" s="73"/>
      <c r="TGE117" s="73"/>
      <c r="TGF117" s="73"/>
      <c r="TGG117" s="73"/>
      <c r="TGH117" s="73"/>
      <c r="TGI117" s="73"/>
      <c r="TGJ117" s="73"/>
      <c r="TGK117" s="73"/>
      <c r="TGL117" s="73"/>
      <c r="TGM117" s="73"/>
      <c r="TGN117" s="73"/>
      <c r="TGO117" s="73"/>
      <c r="TGP117" s="73"/>
      <c r="TGQ117" s="73"/>
      <c r="TGR117" s="73"/>
      <c r="TGS117" s="73"/>
      <c r="TGT117" s="73"/>
      <c r="TGU117" s="73"/>
      <c r="TGV117" s="73"/>
      <c r="TGW117" s="73"/>
      <c r="TGX117" s="73"/>
      <c r="TGY117" s="73"/>
      <c r="TGZ117" s="73"/>
      <c r="THA117" s="73"/>
      <c r="THB117" s="73"/>
      <c r="THC117" s="73"/>
      <c r="THD117" s="73"/>
      <c r="THE117" s="73"/>
      <c r="THF117" s="73"/>
      <c r="THG117" s="73"/>
      <c r="THH117" s="73"/>
      <c r="THI117" s="73"/>
      <c r="THJ117" s="73"/>
      <c r="THK117" s="73"/>
      <c r="THL117" s="73"/>
      <c r="THM117" s="73"/>
      <c r="THN117" s="73"/>
      <c r="THO117" s="73"/>
      <c r="THP117" s="73"/>
      <c r="THQ117" s="73"/>
      <c r="THR117" s="73"/>
      <c r="THS117" s="73"/>
      <c r="THT117" s="73"/>
      <c r="THU117" s="73"/>
      <c r="THV117" s="73"/>
      <c r="THW117" s="73"/>
      <c r="THX117" s="73"/>
      <c r="THY117" s="73"/>
      <c r="THZ117" s="73"/>
      <c r="TIA117" s="73"/>
      <c r="TIB117" s="73"/>
      <c r="TIC117" s="73"/>
      <c r="TID117" s="73"/>
      <c r="TIE117" s="73"/>
      <c r="TIF117" s="73"/>
      <c r="TIG117" s="73"/>
      <c r="TIH117" s="73"/>
      <c r="TII117" s="73"/>
      <c r="TIJ117" s="73"/>
      <c r="TIK117" s="73"/>
      <c r="TIL117" s="73"/>
      <c r="TIM117" s="73"/>
      <c r="TIN117" s="73"/>
      <c r="TIO117" s="73"/>
      <c r="TIP117" s="73"/>
      <c r="TIQ117" s="73"/>
      <c r="TIR117" s="73"/>
      <c r="TIS117" s="73"/>
      <c r="TIT117" s="73"/>
      <c r="TIU117" s="73"/>
      <c r="TIV117" s="73"/>
      <c r="TIW117" s="73"/>
      <c r="TIX117" s="73"/>
      <c r="TIY117" s="73"/>
      <c r="TIZ117" s="73"/>
      <c r="TJA117" s="73"/>
      <c r="TJB117" s="73"/>
      <c r="TJC117" s="73"/>
      <c r="TJD117" s="73"/>
      <c r="TJE117" s="73"/>
      <c r="TJF117" s="73"/>
      <c r="TJG117" s="73"/>
      <c r="TJH117" s="73"/>
      <c r="TJI117" s="73"/>
      <c r="TJJ117" s="73"/>
      <c r="TJK117" s="73"/>
      <c r="TJL117" s="73"/>
      <c r="TJM117" s="73"/>
      <c r="TJN117" s="73"/>
      <c r="TJO117" s="73"/>
      <c r="TJP117" s="73"/>
      <c r="TJQ117" s="73"/>
      <c r="TJR117" s="73"/>
      <c r="TJS117" s="73"/>
      <c r="TJT117" s="73"/>
      <c r="TJU117" s="73"/>
      <c r="TJV117" s="73"/>
      <c r="TJW117" s="73"/>
      <c r="TJX117" s="73"/>
      <c r="TJY117" s="73"/>
      <c r="TJZ117" s="73"/>
      <c r="TKA117" s="73"/>
      <c r="TKB117" s="73"/>
      <c r="TKC117" s="73"/>
      <c r="TKD117" s="73"/>
      <c r="TKE117" s="73"/>
      <c r="TKF117" s="73"/>
      <c r="TKG117" s="73"/>
      <c r="TKH117" s="73"/>
      <c r="TKI117" s="73"/>
      <c r="TKJ117" s="73"/>
      <c r="TKK117" s="73"/>
      <c r="TKL117" s="73"/>
      <c r="TKM117" s="73"/>
      <c r="TKN117" s="73"/>
      <c r="TKO117" s="73"/>
      <c r="TKP117" s="73"/>
      <c r="TKQ117" s="73"/>
      <c r="TKR117" s="73"/>
      <c r="TKS117" s="73"/>
      <c r="TKT117" s="73"/>
      <c r="TKU117" s="73"/>
      <c r="TKV117" s="73"/>
      <c r="TKW117" s="73"/>
      <c r="TKX117" s="73"/>
      <c r="TKY117" s="73"/>
      <c r="TKZ117" s="73"/>
      <c r="TLA117" s="73"/>
      <c r="TLB117" s="73"/>
      <c r="TLC117" s="73"/>
      <c r="TLD117" s="73"/>
      <c r="TLE117" s="73"/>
      <c r="TLF117" s="73"/>
      <c r="TLG117" s="73"/>
      <c r="TLH117" s="73"/>
      <c r="TLI117" s="73"/>
      <c r="TLJ117" s="73"/>
      <c r="TLK117" s="73"/>
      <c r="TLL117" s="73"/>
      <c r="TLM117" s="73"/>
      <c r="TLN117" s="73"/>
      <c r="TLO117" s="73"/>
      <c r="TLP117" s="73"/>
      <c r="TLQ117" s="73"/>
      <c r="TLR117" s="73"/>
      <c r="TLS117" s="73"/>
      <c r="TLT117" s="73"/>
      <c r="TLU117" s="73"/>
      <c r="TLV117" s="73"/>
      <c r="TLW117" s="73"/>
      <c r="TLX117" s="73"/>
      <c r="TLY117" s="73"/>
      <c r="TLZ117" s="73"/>
      <c r="TMA117" s="73"/>
      <c r="TMB117" s="73"/>
      <c r="TMC117" s="73"/>
      <c r="TMD117" s="73"/>
      <c r="TME117" s="73"/>
      <c r="TMF117" s="73"/>
      <c r="TMG117" s="73"/>
      <c r="TMH117" s="73"/>
      <c r="TMI117" s="73"/>
      <c r="TMJ117" s="73"/>
      <c r="TMK117" s="73"/>
      <c r="TML117" s="73"/>
      <c r="TMM117" s="73"/>
      <c r="TMN117" s="73"/>
      <c r="TMO117" s="73"/>
      <c r="TMP117" s="73"/>
      <c r="TMQ117" s="73"/>
      <c r="TMR117" s="73"/>
      <c r="TMS117" s="73"/>
      <c r="TMT117" s="73"/>
      <c r="TMU117" s="73"/>
      <c r="TMV117" s="73"/>
      <c r="TMW117" s="73"/>
      <c r="TMX117" s="73"/>
      <c r="TMY117" s="73"/>
      <c r="TMZ117" s="73"/>
      <c r="TNA117" s="73"/>
      <c r="TNB117" s="73"/>
      <c r="TNC117" s="73"/>
      <c r="TND117" s="73"/>
      <c r="TNE117" s="73"/>
      <c r="TNF117" s="73"/>
      <c r="TNG117" s="73"/>
      <c r="TNH117" s="73"/>
      <c r="TNI117" s="73"/>
      <c r="TNJ117" s="73"/>
      <c r="TNK117" s="73"/>
      <c r="TNL117" s="73"/>
      <c r="TNM117" s="73"/>
      <c r="TNN117" s="73"/>
      <c r="TNO117" s="73"/>
      <c r="TNP117" s="73"/>
      <c r="TNQ117" s="73"/>
      <c r="TNR117" s="73"/>
      <c r="TNS117" s="73"/>
      <c r="TNT117" s="73"/>
      <c r="TNU117" s="73"/>
      <c r="TNV117" s="73"/>
      <c r="TNW117" s="73"/>
      <c r="TNX117" s="73"/>
      <c r="TNY117" s="73"/>
      <c r="TNZ117" s="73"/>
      <c r="TOA117" s="73"/>
      <c r="TOB117" s="73"/>
      <c r="TOC117" s="73"/>
      <c r="TOD117" s="73"/>
      <c r="TOE117" s="73"/>
      <c r="TOF117" s="73"/>
      <c r="TOG117" s="73"/>
      <c r="TOH117" s="73"/>
      <c r="TOI117" s="73"/>
      <c r="TOJ117" s="73"/>
      <c r="TOK117" s="73"/>
      <c r="TOL117" s="73"/>
      <c r="TOM117" s="73"/>
      <c r="TON117" s="73"/>
      <c r="TOO117" s="73"/>
      <c r="TOP117" s="73"/>
      <c r="TOQ117" s="73"/>
      <c r="TOR117" s="73"/>
      <c r="TOS117" s="73"/>
      <c r="TOT117" s="73"/>
      <c r="TOU117" s="73"/>
      <c r="TOV117" s="73"/>
      <c r="TOW117" s="73"/>
      <c r="TOX117" s="73"/>
      <c r="TOY117" s="73"/>
      <c r="TOZ117" s="73"/>
      <c r="TPA117" s="73"/>
      <c r="TPB117" s="73"/>
      <c r="TPC117" s="73"/>
      <c r="TPD117" s="73"/>
      <c r="TPE117" s="73"/>
      <c r="TPF117" s="73"/>
      <c r="TPG117" s="73"/>
      <c r="TPH117" s="73"/>
      <c r="TPI117" s="73"/>
      <c r="TPJ117" s="73"/>
      <c r="TPK117" s="73"/>
      <c r="TPL117" s="73"/>
      <c r="TPM117" s="73"/>
      <c r="TPN117" s="73"/>
      <c r="TPO117" s="73"/>
      <c r="TPP117" s="73"/>
      <c r="TPQ117" s="73"/>
      <c r="TPR117" s="73"/>
      <c r="TPS117" s="73"/>
      <c r="TPT117" s="73"/>
      <c r="TPU117" s="73"/>
      <c r="TPV117" s="73"/>
      <c r="TPW117" s="73"/>
      <c r="TPX117" s="73"/>
      <c r="TPY117" s="73"/>
      <c r="TPZ117" s="73"/>
      <c r="TQA117" s="73"/>
      <c r="TQB117" s="73"/>
      <c r="TQC117" s="73"/>
      <c r="TQD117" s="73"/>
      <c r="TQE117" s="73"/>
      <c r="TQF117" s="73"/>
      <c r="TQG117" s="73"/>
      <c r="TQH117" s="73"/>
      <c r="TQI117" s="73"/>
      <c r="TQJ117" s="73"/>
      <c r="TQK117" s="73"/>
      <c r="TQL117" s="73"/>
      <c r="TQM117" s="73"/>
      <c r="TQN117" s="73"/>
      <c r="TQO117" s="73"/>
      <c r="TQP117" s="73"/>
      <c r="TQQ117" s="73"/>
      <c r="TQR117" s="73"/>
      <c r="TQS117" s="73"/>
      <c r="TQT117" s="73"/>
      <c r="TQU117" s="73"/>
      <c r="TQV117" s="73"/>
      <c r="TQW117" s="73"/>
      <c r="TQX117" s="73"/>
      <c r="TQY117" s="73"/>
      <c r="TQZ117" s="73"/>
      <c r="TRA117" s="73"/>
      <c r="TRB117" s="73"/>
      <c r="TRC117" s="73"/>
      <c r="TRD117" s="73"/>
      <c r="TRE117" s="73"/>
      <c r="TRF117" s="73"/>
      <c r="TRG117" s="73"/>
      <c r="TRH117" s="73"/>
      <c r="TRI117" s="73"/>
      <c r="TRJ117" s="73"/>
      <c r="TRK117" s="73"/>
      <c r="TRL117" s="73"/>
      <c r="TRM117" s="73"/>
      <c r="TRN117" s="73"/>
      <c r="TRO117" s="73"/>
      <c r="TRP117" s="73"/>
      <c r="TRQ117" s="73"/>
      <c r="TRR117" s="73"/>
      <c r="TRS117" s="73"/>
      <c r="TRT117" s="73"/>
      <c r="TRU117" s="73"/>
      <c r="TRV117" s="73"/>
      <c r="TRW117" s="73"/>
      <c r="TRX117" s="73"/>
      <c r="TRY117" s="73"/>
      <c r="TRZ117" s="73"/>
      <c r="TSA117" s="73"/>
      <c r="TSB117" s="73"/>
      <c r="TSC117" s="73"/>
      <c r="TSD117" s="73"/>
      <c r="TSE117" s="73"/>
      <c r="TSF117" s="73"/>
      <c r="TSG117" s="73"/>
      <c r="TSH117" s="73"/>
      <c r="TSI117" s="73"/>
      <c r="TSJ117" s="73"/>
      <c r="TSK117" s="73"/>
      <c r="TSL117" s="73"/>
      <c r="TSM117" s="73"/>
      <c r="TSN117" s="73"/>
      <c r="TSO117" s="73"/>
      <c r="TSP117" s="73"/>
      <c r="TSQ117" s="73"/>
      <c r="TSR117" s="73"/>
      <c r="TSS117" s="73"/>
      <c r="TST117" s="73"/>
      <c r="TSU117" s="73"/>
      <c r="TSV117" s="73"/>
      <c r="TSW117" s="73"/>
      <c r="TSX117" s="73"/>
      <c r="TSY117" s="73"/>
      <c r="TSZ117" s="73"/>
      <c r="TTA117" s="73"/>
      <c r="TTB117" s="73"/>
      <c r="TTC117" s="73"/>
      <c r="TTD117" s="73"/>
      <c r="TTE117" s="73"/>
      <c r="TTF117" s="73"/>
      <c r="TTG117" s="73"/>
      <c r="TTH117" s="73"/>
      <c r="TTI117" s="73"/>
      <c r="TTJ117" s="73"/>
      <c r="TTK117" s="73"/>
      <c r="TTL117" s="73"/>
      <c r="TTM117" s="73"/>
      <c r="TTN117" s="73"/>
      <c r="TTO117" s="73"/>
      <c r="TTP117" s="73"/>
      <c r="TTQ117" s="73"/>
      <c r="TTR117" s="73"/>
      <c r="TTS117" s="73"/>
      <c r="TTT117" s="73"/>
      <c r="TTU117" s="73"/>
      <c r="TTV117" s="73"/>
      <c r="TTW117" s="73"/>
      <c r="TTX117" s="73"/>
      <c r="TTY117" s="73"/>
      <c r="TTZ117" s="73"/>
      <c r="TUA117" s="73"/>
      <c r="TUB117" s="73"/>
      <c r="TUC117" s="73"/>
      <c r="TUD117" s="73"/>
      <c r="TUE117" s="73"/>
      <c r="TUF117" s="73"/>
      <c r="TUG117" s="73"/>
      <c r="TUH117" s="73"/>
      <c r="TUI117" s="73"/>
      <c r="TUJ117" s="73"/>
      <c r="TUK117" s="73"/>
      <c r="TUL117" s="73"/>
      <c r="TUM117" s="73"/>
      <c r="TUN117" s="73"/>
      <c r="TUO117" s="73"/>
      <c r="TUP117" s="73"/>
      <c r="TUQ117" s="73"/>
      <c r="TUR117" s="73"/>
      <c r="TUS117" s="73"/>
      <c r="TUT117" s="73"/>
      <c r="TUU117" s="73"/>
      <c r="TUV117" s="73"/>
      <c r="TUW117" s="73"/>
      <c r="TUX117" s="73"/>
      <c r="TUY117" s="73"/>
      <c r="TUZ117" s="73"/>
      <c r="TVA117" s="73"/>
      <c r="TVB117" s="73"/>
      <c r="TVC117" s="73"/>
      <c r="TVD117" s="73"/>
      <c r="TVE117" s="73"/>
      <c r="TVF117" s="73"/>
      <c r="TVG117" s="73"/>
      <c r="TVH117" s="73"/>
      <c r="TVI117" s="73"/>
      <c r="TVJ117" s="73"/>
      <c r="TVK117" s="73"/>
      <c r="TVL117" s="73"/>
      <c r="TVM117" s="73"/>
      <c r="TVN117" s="73"/>
      <c r="TVO117" s="73"/>
      <c r="TVP117" s="73"/>
      <c r="TVQ117" s="73"/>
      <c r="TVR117" s="73"/>
      <c r="TVS117" s="73"/>
      <c r="TVT117" s="73"/>
      <c r="TVU117" s="73"/>
      <c r="TVV117" s="73"/>
      <c r="TVW117" s="73"/>
      <c r="TVX117" s="73"/>
      <c r="TVY117" s="73"/>
      <c r="TVZ117" s="73"/>
      <c r="TWA117" s="73"/>
      <c r="TWB117" s="73"/>
      <c r="TWC117" s="73"/>
      <c r="TWD117" s="73"/>
      <c r="TWE117" s="73"/>
      <c r="TWF117" s="73"/>
      <c r="TWG117" s="73"/>
      <c r="TWH117" s="73"/>
      <c r="TWI117" s="73"/>
      <c r="TWJ117" s="73"/>
      <c r="TWK117" s="73"/>
      <c r="TWL117" s="73"/>
      <c r="TWM117" s="73"/>
      <c r="TWN117" s="73"/>
      <c r="TWO117" s="73"/>
      <c r="TWP117" s="73"/>
      <c r="TWQ117" s="73"/>
      <c r="TWR117" s="73"/>
      <c r="TWS117" s="73"/>
      <c r="TWT117" s="73"/>
      <c r="TWU117" s="73"/>
      <c r="TWV117" s="73"/>
      <c r="TWW117" s="73"/>
      <c r="TWX117" s="73"/>
      <c r="TWY117" s="73"/>
      <c r="TWZ117" s="73"/>
      <c r="TXA117" s="73"/>
      <c r="TXB117" s="73"/>
      <c r="TXC117" s="73"/>
      <c r="TXD117" s="73"/>
      <c r="TXE117" s="73"/>
      <c r="TXF117" s="73"/>
      <c r="TXG117" s="73"/>
      <c r="TXH117" s="73"/>
      <c r="TXI117" s="73"/>
      <c r="TXJ117" s="73"/>
      <c r="TXK117" s="73"/>
      <c r="TXL117" s="73"/>
      <c r="TXM117" s="73"/>
      <c r="TXN117" s="73"/>
      <c r="TXO117" s="73"/>
      <c r="TXP117" s="73"/>
      <c r="TXQ117" s="73"/>
      <c r="TXR117" s="73"/>
      <c r="TXS117" s="73"/>
      <c r="TXT117" s="73"/>
      <c r="TXU117" s="73"/>
      <c r="TXV117" s="73"/>
      <c r="TXW117" s="73"/>
      <c r="TXX117" s="73"/>
      <c r="TXY117" s="73"/>
      <c r="TXZ117" s="73"/>
      <c r="TYA117" s="73"/>
      <c r="TYB117" s="73"/>
      <c r="TYC117" s="73"/>
      <c r="TYD117" s="73"/>
      <c r="TYE117" s="73"/>
      <c r="TYF117" s="73"/>
      <c r="TYG117" s="73"/>
      <c r="TYH117" s="73"/>
      <c r="TYI117" s="73"/>
      <c r="TYJ117" s="73"/>
      <c r="TYK117" s="73"/>
      <c r="TYL117" s="73"/>
      <c r="TYM117" s="73"/>
      <c r="TYN117" s="73"/>
      <c r="TYO117" s="73"/>
      <c r="TYP117" s="73"/>
      <c r="TYQ117" s="73"/>
      <c r="TYR117" s="73"/>
      <c r="TYS117" s="73"/>
      <c r="TYT117" s="73"/>
      <c r="TYU117" s="73"/>
      <c r="TYV117" s="73"/>
      <c r="TYW117" s="73"/>
      <c r="TYX117" s="73"/>
      <c r="TYY117" s="73"/>
      <c r="TYZ117" s="73"/>
      <c r="TZA117" s="73"/>
      <c r="TZB117" s="73"/>
      <c r="TZC117" s="73"/>
      <c r="TZD117" s="73"/>
      <c r="TZE117" s="73"/>
      <c r="TZF117" s="73"/>
      <c r="TZG117" s="73"/>
      <c r="TZH117" s="73"/>
      <c r="TZI117" s="73"/>
      <c r="TZJ117" s="73"/>
      <c r="TZK117" s="73"/>
      <c r="TZL117" s="73"/>
      <c r="TZM117" s="73"/>
      <c r="TZN117" s="73"/>
      <c r="TZO117" s="73"/>
      <c r="TZP117" s="73"/>
      <c r="TZQ117" s="73"/>
      <c r="TZR117" s="73"/>
      <c r="TZS117" s="73"/>
      <c r="TZT117" s="73"/>
      <c r="TZU117" s="73"/>
      <c r="TZV117" s="73"/>
      <c r="TZW117" s="73"/>
      <c r="TZX117" s="73"/>
      <c r="TZY117" s="73"/>
      <c r="TZZ117" s="73"/>
      <c r="UAA117" s="73"/>
      <c r="UAB117" s="73"/>
      <c r="UAC117" s="73"/>
      <c r="UAD117" s="73"/>
      <c r="UAE117" s="73"/>
      <c r="UAF117" s="73"/>
      <c r="UAG117" s="73"/>
      <c r="UAH117" s="73"/>
      <c r="UAI117" s="73"/>
      <c r="UAJ117" s="73"/>
      <c r="UAK117" s="73"/>
      <c r="UAL117" s="73"/>
      <c r="UAM117" s="73"/>
      <c r="UAN117" s="73"/>
      <c r="UAO117" s="73"/>
      <c r="UAP117" s="73"/>
      <c r="UAQ117" s="73"/>
      <c r="UAR117" s="73"/>
      <c r="UAS117" s="73"/>
      <c r="UAT117" s="73"/>
      <c r="UAU117" s="73"/>
      <c r="UAV117" s="73"/>
      <c r="UAW117" s="73"/>
      <c r="UAX117" s="73"/>
      <c r="UAY117" s="73"/>
      <c r="UAZ117" s="73"/>
      <c r="UBA117" s="73"/>
      <c r="UBB117" s="73"/>
      <c r="UBC117" s="73"/>
      <c r="UBD117" s="73"/>
      <c r="UBE117" s="73"/>
      <c r="UBF117" s="73"/>
      <c r="UBG117" s="73"/>
      <c r="UBH117" s="73"/>
      <c r="UBI117" s="73"/>
      <c r="UBJ117" s="73"/>
      <c r="UBK117" s="73"/>
      <c r="UBL117" s="73"/>
      <c r="UBM117" s="73"/>
      <c r="UBN117" s="73"/>
      <c r="UBO117" s="73"/>
      <c r="UBP117" s="73"/>
      <c r="UBQ117" s="73"/>
      <c r="UBR117" s="73"/>
      <c r="UBS117" s="73"/>
      <c r="UBT117" s="73"/>
      <c r="UBU117" s="73"/>
      <c r="UBV117" s="73"/>
      <c r="UBW117" s="73"/>
      <c r="UBX117" s="73"/>
      <c r="UBY117" s="73"/>
      <c r="UBZ117" s="73"/>
      <c r="UCA117" s="73"/>
      <c r="UCB117" s="73"/>
      <c r="UCC117" s="73"/>
      <c r="UCD117" s="73"/>
      <c r="UCE117" s="73"/>
      <c r="UCF117" s="73"/>
      <c r="UCG117" s="73"/>
      <c r="UCH117" s="73"/>
      <c r="UCI117" s="73"/>
      <c r="UCJ117" s="73"/>
      <c r="UCK117" s="73"/>
      <c r="UCL117" s="73"/>
      <c r="UCM117" s="73"/>
      <c r="UCN117" s="73"/>
      <c r="UCO117" s="73"/>
      <c r="UCP117" s="73"/>
      <c r="UCQ117" s="73"/>
      <c r="UCR117" s="73"/>
      <c r="UCS117" s="73"/>
      <c r="UCT117" s="73"/>
      <c r="UCU117" s="73"/>
      <c r="UCV117" s="73"/>
      <c r="UCW117" s="73"/>
      <c r="UCX117" s="73"/>
      <c r="UCY117" s="73"/>
      <c r="UCZ117" s="73"/>
      <c r="UDA117" s="73"/>
      <c r="UDB117" s="73"/>
      <c r="UDC117" s="73"/>
      <c r="UDD117" s="73"/>
      <c r="UDE117" s="73"/>
      <c r="UDF117" s="73"/>
      <c r="UDG117" s="73"/>
      <c r="UDH117" s="73"/>
      <c r="UDI117" s="73"/>
      <c r="UDJ117" s="73"/>
      <c r="UDK117" s="73"/>
      <c r="UDL117" s="73"/>
      <c r="UDM117" s="73"/>
      <c r="UDN117" s="73"/>
      <c r="UDO117" s="73"/>
      <c r="UDP117" s="73"/>
      <c r="UDQ117" s="73"/>
      <c r="UDR117" s="73"/>
      <c r="UDS117" s="73"/>
      <c r="UDT117" s="73"/>
      <c r="UDU117" s="73"/>
      <c r="UDV117" s="73"/>
      <c r="UDW117" s="73"/>
      <c r="UDX117" s="73"/>
      <c r="UDY117" s="73"/>
      <c r="UDZ117" s="73"/>
      <c r="UEA117" s="73"/>
      <c r="UEB117" s="73"/>
      <c r="UEC117" s="73"/>
      <c r="UED117" s="73"/>
      <c r="UEE117" s="73"/>
      <c r="UEF117" s="73"/>
      <c r="UEG117" s="73"/>
      <c r="UEH117" s="73"/>
      <c r="UEI117" s="73"/>
      <c r="UEJ117" s="73"/>
      <c r="UEK117" s="73"/>
      <c r="UEL117" s="73"/>
      <c r="UEM117" s="73"/>
      <c r="UEN117" s="73"/>
      <c r="UEO117" s="73"/>
      <c r="UEP117" s="73"/>
      <c r="UEQ117" s="73"/>
      <c r="UER117" s="73"/>
      <c r="UES117" s="73"/>
      <c r="UET117" s="73"/>
      <c r="UEU117" s="73"/>
      <c r="UEV117" s="73"/>
      <c r="UEW117" s="73"/>
      <c r="UEX117" s="73"/>
      <c r="UEY117" s="73"/>
      <c r="UEZ117" s="73"/>
      <c r="UFA117" s="73"/>
      <c r="UFB117" s="73"/>
      <c r="UFC117" s="73"/>
      <c r="UFD117" s="73"/>
      <c r="UFE117" s="73"/>
      <c r="UFF117" s="73"/>
      <c r="UFG117" s="73"/>
      <c r="UFH117" s="73"/>
      <c r="UFI117" s="73"/>
      <c r="UFJ117" s="73"/>
      <c r="UFK117" s="73"/>
      <c r="UFL117" s="73"/>
      <c r="UFM117" s="73"/>
      <c r="UFN117" s="73"/>
      <c r="UFO117" s="73"/>
      <c r="UFP117" s="73"/>
      <c r="UFQ117" s="73"/>
      <c r="UFR117" s="73"/>
      <c r="UFS117" s="73"/>
      <c r="UFT117" s="73"/>
      <c r="UFU117" s="73"/>
      <c r="UFV117" s="73"/>
      <c r="UFW117" s="73"/>
      <c r="UFX117" s="73"/>
      <c r="UFY117" s="73"/>
      <c r="UFZ117" s="73"/>
      <c r="UGA117" s="73"/>
      <c r="UGB117" s="73"/>
      <c r="UGC117" s="73"/>
      <c r="UGD117" s="73"/>
      <c r="UGE117" s="73"/>
      <c r="UGF117" s="73"/>
      <c r="UGG117" s="73"/>
      <c r="UGH117" s="73"/>
      <c r="UGI117" s="73"/>
      <c r="UGJ117" s="73"/>
      <c r="UGK117" s="73"/>
      <c r="UGL117" s="73"/>
      <c r="UGM117" s="73"/>
      <c r="UGN117" s="73"/>
      <c r="UGO117" s="73"/>
      <c r="UGP117" s="73"/>
      <c r="UGQ117" s="73"/>
      <c r="UGR117" s="73"/>
      <c r="UGS117" s="73"/>
      <c r="UGT117" s="73"/>
      <c r="UGU117" s="73"/>
      <c r="UGV117" s="73"/>
      <c r="UGW117" s="73"/>
      <c r="UGX117" s="73"/>
      <c r="UGY117" s="73"/>
      <c r="UGZ117" s="73"/>
      <c r="UHA117" s="73"/>
      <c r="UHB117" s="73"/>
      <c r="UHC117" s="73"/>
      <c r="UHD117" s="73"/>
      <c r="UHE117" s="73"/>
      <c r="UHF117" s="73"/>
      <c r="UHG117" s="73"/>
      <c r="UHH117" s="73"/>
      <c r="UHI117" s="73"/>
      <c r="UHJ117" s="73"/>
      <c r="UHK117" s="73"/>
      <c r="UHL117" s="73"/>
      <c r="UHM117" s="73"/>
      <c r="UHN117" s="73"/>
      <c r="UHO117" s="73"/>
      <c r="UHP117" s="73"/>
      <c r="UHQ117" s="73"/>
      <c r="UHR117" s="73"/>
      <c r="UHS117" s="73"/>
      <c r="UHT117" s="73"/>
      <c r="UHU117" s="73"/>
      <c r="UHV117" s="73"/>
      <c r="UHW117" s="73"/>
      <c r="UHX117" s="73"/>
      <c r="UHY117" s="73"/>
      <c r="UHZ117" s="73"/>
      <c r="UIA117" s="73"/>
      <c r="UIB117" s="73"/>
      <c r="UIC117" s="73"/>
      <c r="UID117" s="73"/>
      <c r="UIE117" s="73"/>
      <c r="UIF117" s="73"/>
      <c r="UIG117" s="73"/>
      <c r="UIH117" s="73"/>
      <c r="UII117" s="73"/>
      <c r="UIJ117" s="73"/>
      <c r="UIK117" s="73"/>
      <c r="UIL117" s="73"/>
      <c r="UIM117" s="73"/>
      <c r="UIN117" s="73"/>
      <c r="UIO117" s="73"/>
      <c r="UIP117" s="73"/>
      <c r="UIQ117" s="73"/>
      <c r="UIR117" s="73"/>
      <c r="UIS117" s="73"/>
      <c r="UIT117" s="73"/>
      <c r="UIU117" s="73"/>
      <c r="UIV117" s="73"/>
      <c r="UIW117" s="73"/>
      <c r="UIX117" s="73"/>
      <c r="UIY117" s="73"/>
      <c r="UIZ117" s="73"/>
      <c r="UJA117" s="73"/>
      <c r="UJB117" s="73"/>
      <c r="UJC117" s="73"/>
      <c r="UJD117" s="73"/>
      <c r="UJE117" s="73"/>
      <c r="UJF117" s="73"/>
      <c r="UJG117" s="73"/>
      <c r="UJH117" s="73"/>
      <c r="UJI117" s="73"/>
      <c r="UJJ117" s="73"/>
      <c r="UJK117" s="73"/>
      <c r="UJL117" s="73"/>
      <c r="UJM117" s="73"/>
      <c r="UJN117" s="73"/>
      <c r="UJO117" s="73"/>
      <c r="UJP117" s="73"/>
      <c r="UJQ117" s="73"/>
      <c r="UJR117" s="73"/>
      <c r="UJS117" s="73"/>
      <c r="UJT117" s="73"/>
      <c r="UJU117" s="73"/>
      <c r="UJV117" s="73"/>
      <c r="UJW117" s="73"/>
      <c r="UJX117" s="73"/>
      <c r="UJY117" s="73"/>
      <c r="UJZ117" s="73"/>
      <c r="UKA117" s="73"/>
      <c r="UKB117" s="73"/>
      <c r="UKC117" s="73"/>
      <c r="UKD117" s="73"/>
      <c r="UKE117" s="73"/>
      <c r="UKF117" s="73"/>
      <c r="UKG117" s="73"/>
      <c r="UKH117" s="73"/>
      <c r="UKI117" s="73"/>
      <c r="UKJ117" s="73"/>
      <c r="UKK117" s="73"/>
      <c r="UKL117" s="73"/>
      <c r="UKM117" s="73"/>
      <c r="UKN117" s="73"/>
      <c r="UKO117" s="73"/>
      <c r="UKP117" s="73"/>
      <c r="UKQ117" s="73"/>
      <c r="UKR117" s="73"/>
      <c r="UKS117" s="73"/>
      <c r="UKT117" s="73"/>
      <c r="UKU117" s="73"/>
      <c r="UKV117" s="73"/>
      <c r="UKW117" s="73"/>
      <c r="UKX117" s="73"/>
      <c r="UKY117" s="73"/>
      <c r="UKZ117" s="73"/>
      <c r="ULA117" s="73"/>
      <c r="ULB117" s="73"/>
      <c r="ULC117" s="73"/>
      <c r="ULD117" s="73"/>
      <c r="ULE117" s="73"/>
      <c r="ULF117" s="73"/>
      <c r="ULG117" s="73"/>
      <c r="ULH117" s="73"/>
      <c r="ULI117" s="73"/>
      <c r="ULJ117" s="73"/>
      <c r="ULK117" s="73"/>
      <c r="ULL117" s="73"/>
      <c r="ULM117" s="73"/>
      <c r="ULN117" s="73"/>
      <c r="ULO117" s="73"/>
      <c r="ULP117" s="73"/>
      <c r="ULQ117" s="73"/>
      <c r="ULR117" s="73"/>
      <c r="ULS117" s="73"/>
      <c r="ULT117" s="73"/>
      <c r="ULU117" s="73"/>
      <c r="ULV117" s="73"/>
      <c r="ULW117" s="73"/>
      <c r="ULX117" s="73"/>
      <c r="ULY117" s="73"/>
      <c r="ULZ117" s="73"/>
      <c r="UMA117" s="73"/>
      <c r="UMB117" s="73"/>
      <c r="UMC117" s="73"/>
      <c r="UMD117" s="73"/>
      <c r="UME117" s="73"/>
      <c r="UMF117" s="73"/>
      <c r="UMG117" s="73"/>
      <c r="UMH117" s="73"/>
      <c r="UMI117" s="73"/>
      <c r="UMJ117" s="73"/>
      <c r="UMK117" s="73"/>
      <c r="UML117" s="73"/>
      <c r="UMM117" s="73"/>
      <c r="UMN117" s="73"/>
      <c r="UMO117" s="73"/>
      <c r="UMP117" s="73"/>
      <c r="UMQ117" s="73"/>
      <c r="UMR117" s="73"/>
      <c r="UMS117" s="73"/>
      <c r="UMT117" s="73"/>
      <c r="UMU117" s="73"/>
      <c r="UMV117" s="73"/>
      <c r="UMW117" s="73"/>
      <c r="UMX117" s="73"/>
      <c r="UMY117" s="73"/>
      <c r="UMZ117" s="73"/>
      <c r="UNA117" s="73"/>
      <c r="UNB117" s="73"/>
      <c r="UNC117" s="73"/>
      <c r="UND117" s="73"/>
      <c r="UNE117" s="73"/>
      <c r="UNF117" s="73"/>
      <c r="UNG117" s="73"/>
      <c r="UNH117" s="73"/>
      <c r="UNI117" s="73"/>
      <c r="UNJ117" s="73"/>
      <c r="UNK117" s="73"/>
      <c r="UNL117" s="73"/>
      <c r="UNM117" s="73"/>
      <c r="UNN117" s="73"/>
      <c r="UNO117" s="73"/>
      <c r="UNP117" s="73"/>
      <c r="UNQ117" s="73"/>
      <c r="UNR117" s="73"/>
      <c r="UNS117" s="73"/>
      <c r="UNT117" s="73"/>
      <c r="UNU117" s="73"/>
      <c r="UNV117" s="73"/>
      <c r="UNW117" s="73"/>
      <c r="UNX117" s="73"/>
      <c r="UNY117" s="73"/>
      <c r="UNZ117" s="73"/>
      <c r="UOA117" s="73"/>
      <c r="UOB117" s="73"/>
      <c r="UOC117" s="73"/>
      <c r="UOD117" s="73"/>
      <c r="UOE117" s="73"/>
      <c r="UOF117" s="73"/>
      <c r="UOG117" s="73"/>
      <c r="UOH117" s="73"/>
      <c r="UOI117" s="73"/>
      <c r="UOJ117" s="73"/>
      <c r="UOK117" s="73"/>
      <c r="UOL117" s="73"/>
      <c r="UOM117" s="73"/>
      <c r="UON117" s="73"/>
      <c r="UOO117" s="73"/>
      <c r="UOP117" s="73"/>
      <c r="UOQ117" s="73"/>
      <c r="UOR117" s="73"/>
      <c r="UOS117" s="73"/>
      <c r="UOT117" s="73"/>
      <c r="UOU117" s="73"/>
      <c r="UOV117" s="73"/>
      <c r="UOW117" s="73"/>
      <c r="UOX117" s="73"/>
      <c r="UOY117" s="73"/>
      <c r="UOZ117" s="73"/>
      <c r="UPA117" s="73"/>
      <c r="UPB117" s="73"/>
      <c r="UPC117" s="73"/>
      <c r="UPD117" s="73"/>
      <c r="UPE117" s="73"/>
      <c r="UPF117" s="73"/>
      <c r="UPG117" s="73"/>
      <c r="UPH117" s="73"/>
      <c r="UPI117" s="73"/>
      <c r="UPJ117" s="73"/>
      <c r="UPK117" s="73"/>
      <c r="UPL117" s="73"/>
      <c r="UPM117" s="73"/>
      <c r="UPN117" s="73"/>
      <c r="UPO117" s="73"/>
      <c r="UPP117" s="73"/>
      <c r="UPQ117" s="73"/>
      <c r="UPR117" s="73"/>
      <c r="UPS117" s="73"/>
      <c r="UPT117" s="73"/>
      <c r="UPU117" s="73"/>
      <c r="UPV117" s="73"/>
      <c r="UPW117" s="73"/>
      <c r="UPX117" s="73"/>
      <c r="UPY117" s="73"/>
      <c r="UPZ117" s="73"/>
      <c r="UQA117" s="73"/>
      <c r="UQB117" s="73"/>
      <c r="UQC117" s="73"/>
      <c r="UQD117" s="73"/>
      <c r="UQE117" s="73"/>
      <c r="UQF117" s="73"/>
      <c r="UQG117" s="73"/>
      <c r="UQH117" s="73"/>
      <c r="UQI117" s="73"/>
      <c r="UQJ117" s="73"/>
      <c r="UQK117" s="73"/>
      <c r="UQL117" s="73"/>
      <c r="UQM117" s="73"/>
      <c r="UQN117" s="73"/>
      <c r="UQO117" s="73"/>
      <c r="UQP117" s="73"/>
      <c r="UQQ117" s="73"/>
      <c r="UQR117" s="73"/>
      <c r="UQS117" s="73"/>
      <c r="UQT117" s="73"/>
      <c r="UQU117" s="73"/>
      <c r="UQV117" s="73"/>
      <c r="UQW117" s="73"/>
      <c r="UQX117" s="73"/>
      <c r="UQY117" s="73"/>
      <c r="UQZ117" s="73"/>
      <c r="URA117" s="73"/>
      <c r="URB117" s="73"/>
      <c r="URC117" s="73"/>
      <c r="URD117" s="73"/>
      <c r="URE117" s="73"/>
      <c r="URF117" s="73"/>
      <c r="URG117" s="73"/>
      <c r="URH117" s="73"/>
      <c r="URI117" s="73"/>
      <c r="URJ117" s="73"/>
      <c r="URK117" s="73"/>
      <c r="URL117" s="73"/>
      <c r="URM117" s="73"/>
      <c r="URN117" s="73"/>
      <c r="URO117" s="73"/>
      <c r="URP117" s="73"/>
      <c r="URQ117" s="73"/>
      <c r="URR117" s="73"/>
      <c r="URS117" s="73"/>
      <c r="URT117" s="73"/>
      <c r="URU117" s="73"/>
      <c r="URV117" s="73"/>
      <c r="URW117" s="73"/>
      <c r="URX117" s="73"/>
      <c r="URY117" s="73"/>
      <c r="URZ117" s="73"/>
      <c r="USA117" s="73"/>
      <c r="USB117" s="73"/>
      <c r="USC117" s="73"/>
      <c r="USD117" s="73"/>
      <c r="USE117" s="73"/>
      <c r="USF117" s="73"/>
      <c r="USG117" s="73"/>
      <c r="USH117" s="73"/>
      <c r="USI117" s="73"/>
      <c r="USJ117" s="73"/>
      <c r="USK117" s="73"/>
      <c r="USL117" s="73"/>
      <c r="USM117" s="73"/>
      <c r="USN117" s="73"/>
      <c r="USO117" s="73"/>
      <c r="USP117" s="73"/>
      <c r="USQ117" s="73"/>
      <c r="USR117" s="73"/>
      <c r="USS117" s="73"/>
      <c r="UST117" s="73"/>
      <c r="USU117" s="73"/>
      <c r="USV117" s="73"/>
      <c r="USW117" s="73"/>
      <c r="USX117" s="73"/>
      <c r="USY117" s="73"/>
      <c r="USZ117" s="73"/>
      <c r="UTA117" s="73"/>
      <c r="UTB117" s="73"/>
      <c r="UTC117" s="73"/>
      <c r="UTD117" s="73"/>
      <c r="UTE117" s="73"/>
      <c r="UTF117" s="73"/>
      <c r="UTG117" s="73"/>
      <c r="UTH117" s="73"/>
      <c r="UTI117" s="73"/>
      <c r="UTJ117" s="73"/>
      <c r="UTK117" s="73"/>
      <c r="UTL117" s="73"/>
      <c r="UTM117" s="73"/>
      <c r="UTN117" s="73"/>
      <c r="UTO117" s="73"/>
      <c r="UTP117" s="73"/>
      <c r="UTQ117" s="73"/>
      <c r="UTR117" s="73"/>
      <c r="UTS117" s="73"/>
      <c r="UTT117" s="73"/>
      <c r="UTU117" s="73"/>
      <c r="UTV117" s="73"/>
      <c r="UTW117" s="73"/>
      <c r="UTX117" s="73"/>
      <c r="UTY117" s="73"/>
      <c r="UTZ117" s="73"/>
      <c r="UUA117" s="73"/>
      <c r="UUB117" s="73"/>
      <c r="UUC117" s="73"/>
      <c r="UUD117" s="73"/>
      <c r="UUE117" s="73"/>
      <c r="UUF117" s="73"/>
      <c r="UUG117" s="73"/>
      <c r="UUH117" s="73"/>
      <c r="UUI117" s="73"/>
      <c r="UUJ117" s="73"/>
      <c r="UUK117" s="73"/>
      <c r="UUL117" s="73"/>
      <c r="UUM117" s="73"/>
      <c r="UUN117" s="73"/>
      <c r="UUO117" s="73"/>
      <c r="UUP117" s="73"/>
      <c r="UUQ117" s="73"/>
      <c r="UUR117" s="73"/>
      <c r="UUS117" s="73"/>
      <c r="UUT117" s="73"/>
      <c r="UUU117" s="73"/>
      <c r="UUV117" s="73"/>
      <c r="UUW117" s="73"/>
      <c r="UUX117" s="73"/>
      <c r="UUY117" s="73"/>
      <c r="UUZ117" s="73"/>
      <c r="UVA117" s="73"/>
      <c r="UVB117" s="73"/>
      <c r="UVC117" s="73"/>
      <c r="UVD117" s="73"/>
      <c r="UVE117" s="73"/>
      <c r="UVF117" s="73"/>
      <c r="UVG117" s="73"/>
      <c r="UVH117" s="73"/>
      <c r="UVI117" s="73"/>
      <c r="UVJ117" s="73"/>
      <c r="UVK117" s="73"/>
      <c r="UVL117" s="73"/>
      <c r="UVM117" s="73"/>
      <c r="UVN117" s="73"/>
      <c r="UVO117" s="73"/>
      <c r="UVP117" s="73"/>
      <c r="UVQ117" s="73"/>
      <c r="UVR117" s="73"/>
      <c r="UVS117" s="73"/>
      <c r="UVT117" s="73"/>
      <c r="UVU117" s="73"/>
      <c r="UVV117" s="73"/>
      <c r="UVW117" s="73"/>
      <c r="UVX117" s="73"/>
      <c r="UVY117" s="73"/>
      <c r="UVZ117" s="73"/>
      <c r="UWA117" s="73"/>
      <c r="UWB117" s="73"/>
      <c r="UWC117" s="73"/>
      <c r="UWD117" s="73"/>
      <c r="UWE117" s="73"/>
      <c r="UWF117" s="73"/>
      <c r="UWG117" s="73"/>
      <c r="UWH117" s="73"/>
      <c r="UWI117" s="73"/>
      <c r="UWJ117" s="73"/>
      <c r="UWK117" s="73"/>
      <c r="UWL117" s="73"/>
      <c r="UWM117" s="73"/>
      <c r="UWN117" s="73"/>
      <c r="UWO117" s="73"/>
      <c r="UWP117" s="73"/>
      <c r="UWQ117" s="73"/>
      <c r="UWR117" s="73"/>
      <c r="UWS117" s="73"/>
      <c r="UWT117" s="73"/>
      <c r="UWU117" s="73"/>
      <c r="UWV117" s="73"/>
      <c r="UWW117" s="73"/>
      <c r="UWX117" s="73"/>
      <c r="UWY117" s="73"/>
      <c r="UWZ117" s="73"/>
      <c r="UXA117" s="73"/>
      <c r="UXB117" s="73"/>
      <c r="UXC117" s="73"/>
      <c r="UXD117" s="73"/>
      <c r="UXE117" s="73"/>
      <c r="UXF117" s="73"/>
      <c r="UXG117" s="73"/>
      <c r="UXH117" s="73"/>
      <c r="UXI117" s="73"/>
      <c r="UXJ117" s="73"/>
      <c r="UXK117" s="73"/>
      <c r="UXL117" s="73"/>
      <c r="UXM117" s="73"/>
      <c r="UXN117" s="73"/>
      <c r="UXO117" s="73"/>
      <c r="UXP117" s="73"/>
      <c r="UXQ117" s="73"/>
      <c r="UXR117" s="73"/>
      <c r="UXS117" s="73"/>
      <c r="UXT117" s="73"/>
      <c r="UXU117" s="73"/>
      <c r="UXV117" s="73"/>
      <c r="UXW117" s="73"/>
      <c r="UXX117" s="73"/>
      <c r="UXY117" s="73"/>
      <c r="UXZ117" s="73"/>
      <c r="UYA117" s="73"/>
      <c r="UYB117" s="73"/>
      <c r="UYC117" s="73"/>
      <c r="UYD117" s="73"/>
      <c r="UYE117" s="73"/>
      <c r="UYF117" s="73"/>
      <c r="UYG117" s="73"/>
      <c r="UYH117" s="73"/>
      <c r="UYI117" s="73"/>
      <c r="UYJ117" s="73"/>
      <c r="UYK117" s="73"/>
      <c r="UYL117" s="73"/>
      <c r="UYM117" s="73"/>
      <c r="UYN117" s="73"/>
      <c r="UYO117" s="73"/>
      <c r="UYP117" s="73"/>
      <c r="UYQ117" s="73"/>
      <c r="UYR117" s="73"/>
      <c r="UYS117" s="73"/>
      <c r="UYT117" s="73"/>
      <c r="UYU117" s="73"/>
      <c r="UYV117" s="73"/>
      <c r="UYW117" s="73"/>
      <c r="UYX117" s="73"/>
      <c r="UYY117" s="73"/>
      <c r="UYZ117" s="73"/>
      <c r="UZA117" s="73"/>
      <c r="UZB117" s="73"/>
      <c r="UZC117" s="73"/>
      <c r="UZD117" s="73"/>
      <c r="UZE117" s="73"/>
      <c r="UZF117" s="73"/>
      <c r="UZG117" s="73"/>
      <c r="UZH117" s="73"/>
      <c r="UZI117" s="73"/>
      <c r="UZJ117" s="73"/>
      <c r="UZK117" s="73"/>
      <c r="UZL117" s="73"/>
      <c r="UZM117" s="73"/>
      <c r="UZN117" s="73"/>
      <c r="UZO117" s="73"/>
      <c r="UZP117" s="73"/>
      <c r="UZQ117" s="73"/>
      <c r="UZR117" s="73"/>
      <c r="UZS117" s="73"/>
      <c r="UZT117" s="73"/>
      <c r="UZU117" s="73"/>
      <c r="UZV117" s="73"/>
      <c r="UZW117" s="73"/>
      <c r="UZX117" s="73"/>
      <c r="UZY117" s="73"/>
      <c r="UZZ117" s="73"/>
      <c r="VAA117" s="73"/>
      <c r="VAB117" s="73"/>
      <c r="VAC117" s="73"/>
      <c r="VAD117" s="73"/>
      <c r="VAE117" s="73"/>
      <c r="VAF117" s="73"/>
      <c r="VAG117" s="73"/>
      <c r="VAH117" s="73"/>
      <c r="VAI117" s="73"/>
      <c r="VAJ117" s="73"/>
      <c r="VAK117" s="73"/>
      <c r="VAL117" s="73"/>
      <c r="VAM117" s="73"/>
      <c r="VAN117" s="73"/>
      <c r="VAO117" s="73"/>
      <c r="VAP117" s="73"/>
      <c r="VAQ117" s="73"/>
      <c r="VAR117" s="73"/>
      <c r="VAS117" s="73"/>
      <c r="VAT117" s="73"/>
      <c r="VAU117" s="73"/>
      <c r="VAV117" s="73"/>
      <c r="VAW117" s="73"/>
      <c r="VAX117" s="73"/>
      <c r="VAY117" s="73"/>
      <c r="VAZ117" s="73"/>
      <c r="VBA117" s="73"/>
      <c r="VBB117" s="73"/>
      <c r="VBC117" s="73"/>
      <c r="VBD117" s="73"/>
      <c r="VBE117" s="73"/>
      <c r="VBF117" s="73"/>
      <c r="VBG117" s="73"/>
      <c r="VBH117" s="73"/>
      <c r="VBI117" s="73"/>
      <c r="VBJ117" s="73"/>
      <c r="VBK117" s="73"/>
      <c r="VBL117" s="73"/>
      <c r="VBM117" s="73"/>
      <c r="VBN117" s="73"/>
      <c r="VBO117" s="73"/>
      <c r="VBP117" s="73"/>
      <c r="VBQ117" s="73"/>
      <c r="VBR117" s="73"/>
      <c r="VBS117" s="73"/>
      <c r="VBT117" s="73"/>
      <c r="VBU117" s="73"/>
      <c r="VBV117" s="73"/>
      <c r="VBW117" s="73"/>
      <c r="VBX117" s="73"/>
      <c r="VBY117" s="73"/>
      <c r="VBZ117" s="73"/>
      <c r="VCA117" s="73"/>
      <c r="VCB117" s="73"/>
      <c r="VCC117" s="73"/>
      <c r="VCD117" s="73"/>
      <c r="VCE117" s="73"/>
      <c r="VCF117" s="73"/>
      <c r="VCG117" s="73"/>
      <c r="VCH117" s="73"/>
      <c r="VCI117" s="73"/>
      <c r="VCJ117" s="73"/>
      <c r="VCK117" s="73"/>
      <c r="VCL117" s="73"/>
      <c r="VCM117" s="73"/>
      <c r="VCN117" s="73"/>
      <c r="VCO117" s="73"/>
      <c r="VCP117" s="73"/>
      <c r="VCQ117" s="73"/>
      <c r="VCR117" s="73"/>
      <c r="VCS117" s="73"/>
      <c r="VCT117" s="73"/>
      <c r="VCU117" s="73"/>
      <c r="VCV117" s="73"/>
      <c r="VCW117" s="73"/>
      <c r="VCX117" s="73"/>
      <c r="VCY117" s="73"/>
      <c r="VCZ117" s="73"/>
      <c r="VDA117" s="73"/>
      <c r="VDB117" s="73"/>
      <c r="VDC117" s="73"/>
      <c r="VDD117" s="73"/>
      <c r="VDE117" s="73"/>
      <c r="VDF117" s="73"/>
      <c r="VDG117" s="73"/>
      <c r="VDH117" s="73"/>
      <c r="VDI117" s="73"/>
      <c r="VDJ117" s="73"/>
      <c r="VDK117" s="73"/>
      <c r="VDL117" s="73"/>
      <c r="VDM117" s="73"/>
      <c r="VDN117" s="73"/>
      <c r="VDO117" s="73"/>
      <c r="VDP117" s="73"/>
      <c r="VDQ117" s="73"/>
      <c r="VDR117" s="73"/>
      <c r="VDS117" s="73"/>
      <c r="VDT117" s="73"/>
      <c r="VDU117" s="73"/>
      <c r="VDV117" s="73"/>
      <c r="VDW117" s="73"/>
      <c r="VDX117" s="73"/>
      <c r="VDY117" s="73"/>
      <c r="VDZ117" s="73"/>
      <c r="VEA117" s="73"/>
      <c r="VEB117" s="73"/>
      <c r="VEC117" s="73"/>
      <c r="VED117" s="73"/>
      <c r="VEE117" s="73"/>
      <c r="VEF117" s="73"/>
      <c r="VEG117" s="73"/>
      <c r="VEH117" s="73"/>
      <c r="VEI117" s="73"/>
      <c r="VEJ117" s="73"/>
      <c r="VEK117" s="73"/>
      <c r="VEL117" s="73"/>
      <c r="VEM117" s="73"/>
      <c r="VEN117" s="73"/>
      <c r="VEO117" s="73"/>
      <c r="VEP117" s="73"/>
      <c r="VEQ117" s="73"/>
      <c r="VER117" s="73"/>
      <c r="VES117" s="73"/>
      <c r="VET117" s="73"/>
      <c r="VEU117" s="73"/>
      <c r="VEV117" s="73"/>
      <c r="VEW117" s="73"/>
      <c r="VEX117" s="73"/>
      <c r="VEY117" s="73"/>
      <c r="VEZ117" s="73"/>
      <c r="VFA117" s="73"/>
      <c r="VFB117" s="73"/>
      <c r="VFC117" s="73"/>
      <c r="VFD117" s="73"/>
      <c r="VFE117" s="73"/>
      <c r="VFF117" s="73"/>
      <c r="VFG117" s="73"/>
      <c r="VFH117" s="73"/>
      <c r="VFI117" s="73"/>
      <c r="VFJ117" s="73"/>
      <c r="VFK117" s="73"/>
      <c r="VFL117" s="73"/>
      <c r="VFM117" s="73"/>
      <c r="VFN117" s="73"/>
      <c r="VFO117" s="73"/>
      <c r="VFP117" s="73"/>
      <c r="VFQ117" s="73"/>
      <c r="VFR117" s="73"/>
      <c r="VFS117" s="73"/>
      <c r="VFT117" s="73"/>
      <c r="VFU117" s="73"/>
      <c r="VFV117" s="73"/>
      <c r="VFW117" s="73"/>
      <c r="VFX117" s="73"/>
      <c r="VFY117" s="73"/>
      <c r="VFZ117" s="73"/>
      <c r="VGA117" s="73"/>
      <c r="VGB117" s="73"/>
      <c r="VGC117" s="73"/>
      <c r="VGD117" s="73"/>
      <c r="VGE117" s="73"/>
      <c r="VGF117" s="73"/>
      <c r="VGG117" s="73"/>
      <c r="VGH117" s="73"/>
      <c r="VGI117" s="73"/>
      <c r="VGJ117" s="73"/>
      <c r="VGK117" s="73"/>
      <c r="VGL117" s="73"/>
      <c r="VGM117" s="73"/>
      <c r="VGN117" s="73"/>
      <c r="VGO117" s="73"/>
      <c r="VGP117" s="73"/>
      <c r="VGQ117" s="73"/>
      <c r="VGR117" s="73"/>
      <c r="VGS117" s="73"/>
      <c r="VGT117" s="73"/>
      <c r="VGU117" s="73"/>
      <c r="VGV117" s="73"/>
      <c r="VGW117" s="73"/>
      <c r="VGX117" s="73"/>
      <c r="VGY117" s="73"/>
      <c r="VGZ117" s="73"/>
      <c r="VHA117" s="73"/>
      <c r="VHB117" s="73"/>
      <c r="VHC117" s="73"/>
      <c r="VHD117" s="73"/>
      <c r="VHE117" s="73"/>
      <c r="VHF117" s="73"/>
      <c r="VHG117" s="73"/>
      <c r="VHH117" s="73"/>
      <c r="VHI117" s="73"/>
      <c r="VHJ117" s="73"/>
      <c r="VHK117" s="73"/>
      <c r="VHL117" s="73"/>
      <c r="VHM117" s="73"/>
      <c r="VHN117" s="73"/>
      <c r="VHO117" s="73"/>
      <c r="VHP117" s="73"/>
      <c r="VHQ117" s="73"/>
      <c r="VHR117" s="73"/>
      <c r="VHS117" s="73"/>
      <c r="VHT117" s="73"/>
      <c r="VHU117" s="73"/>
      <c r="VHV117" s="73"/>
      <c r="VHW117" s="73"/>
      <c r="VHX117" s="73"/>
      <c r="VHY117" s="73"/>
      <c r="VHZ117" s="73"/>
      <c r="VIA117" s="73"/>
      <c r="VIB117" s="73"/>
      <c r="VIC117" s="73"/>
      <c r="VID117" s="73"/>
      <c r="VIE117" s="73"/>
      <c r="VIF117" s="73"/>
      <c r="VIG117" s="73"/>
      <c r="VIH117" s="73"/>
      <c r="VII117" s="73"/>
      <c r="VIJ117" s="73"/>
      <c r="VIK117" s="73"/>
      <c r="VIL117" s="73"/>
      <c r="VIM117" s="73"/>
      <c r="VIN117" s="73"/>
      <c r="VIO117" s="73"/>
      <c r="VIP117" s="73"/>
      <c r="VIQ117" s="73"/>
      <c r="VIR117" s="73"/>
      <c r="VIS117" s="73"/>
      <c r="VIT117" s="73"/>
      <c r="VIU117" s="73"/>
      <c r="VIV117" s="73"/>
      <c r="VIW117" s="73"/>
      <c r="VIX117" s="73"/>
      <c r="VIY117" s="73"/>
      <c r="VIZ117" s="73"/>
      <c r="VJA117" s="73"/>
      <c r="VJB117" s="73"/>
      <c r="VJC117" s="73"/>
      <c r="VJD117" s="73"/>
      <c r="VJE117" s="73"/>
      <c r="VJF117" s="73"/>
      <c r="VJG117" s="73"/>
      <c r="VJH117" s="73"/>
      <c r="VJI117" s="73"/>
      <c r="VJJ117" s="73"/>
      <c r="VJK117" s="73"/>
      <c r="VJL117" s="73"/>
      <c r="VJM117" s="73"/>
      <c r="VJN117" s="73"/>
      <c r="VJO117" s="73"/>
      <c r="VJP117" s="73"/>
      <c r="VJQ117" s="73"/>
      <c r="VJR117" s="73"/>
      <c r="VJS117" s="73"/>
      <c r="VJT117" s="73"/>
      <c r="VJU117" s="73"/>
      <c r="VJV117" s="73"/>
      <c r="VJW117" s="73"/>
      <c r="VJX117" s="73"/>
      <c r="VJY117" s="73"/>
      <c r="VJZ117" s="73"/>
      <c r="VKA117" s="73"/>
      <c r="VKB117" s="73"/>
      <c r="VKC117" s="73"/>
      <c r="VKD117" s="73"/>
      <c r="VKE117" s="73"/>
      <c r="VKF117" s="73"/>
      <c r="VKG117" s="73"/>
      <c r="VKH117" s="73"/>
      <c r="VKI117" s="73"/>
      <c r="VKJ117" s="73"/>
      <c r="VKK117" s="73"/>
      <c r="VKL117" s="73"/>
      <c r="VKM117" s="73"/>
      <c r="VKN117" s="73"/>
      <c r="VKO117" s="73"/>
      <c r="VKP117" s="73"/>
      <c r="VKQ117" s="73"/>
      <c r="VKR117" s="73"/>
      <c r="VKS117" s="73"/>
      <c r="VKT117" s="73"/>
      <c r="VKU117" s="73"/>
      <c r="VKV117" s="73"/>
      <c r="VKW117" s="73"/>
      <c r="VKX117" s="73"/>
      <c r="VKY117" s="73"/>
      <c r="VKZ117" s="73"/>
      <c r="VLA117" s="73"/>
      <c r="VLB117" s="73"/>
      <c r="VLC117" s="73"/>
      <c r="VLD117" s="73"/>
      <c r="VLE117" s="73"/>
      <c r="VLF117" s="73"/>
      <c r="VLG117" s="73"/>
      <c r="VLH117" s="73"/>
      <c r="VLI117" s="73"/>
      <c r="VLJ117" s="73"/>
      <c r="VLK117" s="73"/>
      <c r="VLL117" s="73"/>
      <c r="VLM117" s="73"/>
      <c r="VLN117" s="73"/>
      <c r="VLO117" s="73"/>
      <c r="VLP117" s="73"/>
      <c r="VLQ117" s="73"/>
      <c r="VLR117" s="73"/>
      <c r="VLS117" s="73"/>
      <c r="VLT117" s="73"/>
      <c r="VLU117" s="73"/>
      <c r="VLV117" s="73"/>
      <c r="VLW117" s="73"/>
      <c r="VLX117" s="73"/>
      <c r="VLY117" s="73"/>
      <c r="VLZ117" s="73"/>
      <c r="VMA117" s="73"/>
      <c r="VMB117" s="73"/>
      <c r="VMC117" s="73"/>
      <c r="VMD117" s="73"/>
      <c r="VME117" s="73"/>
      <c r="VMF117" s="73"/>
      <c r="VMG117" s="73"/>
      <c r="VMH117" s="73"/>
      <c r="VMI117" s="73"/>
      <c r="VMJ117" s="73"/>
      <c r="VMK117" s="73"/>
      <c r="VML117" s="73"/>
      <c r="VMM117" s="73"/>
      <c r="VMN117" s="73"/>
      <c r="VMO117" s="73"/>
      <c r="VMP117" s="73"/>
      <c r="VMQ117" s="73"/>
      <c r="VMR117" s="73"/>
      <c r="VMS117" s="73"/>
      <c r="VMT117" s="73"/>
      <c r="VMU117" s="73"/>
      <c r="VMV117" s="73"/>
      <c r="VMW117" s="73"/>
      <c r="VMX117" s="73"/>
      <c r="VMY117" s="73"/>
      <c r="VMZ117" s="73"/>
      <c r="VNA117" s="73"/>
      <c r="VNB117" s="73"/>
      <c r="VNC117" s="73"/>
      <c r="VND117" s="73"/>
      <c r="VNE117" s="73"/>
      <c r="VNF117" s="73"/>
      <c r="VNG117" s="73"/>
      <c r="VNH117" s="73"/>
      <c r="VNI117" s="73"/>
      <c r="VNJ117" s="73"/>
      <c r="VNK117" s="73"/>
      <c r="VNL117" s="73"/>
      <c r="VNM117" s="73"/>
      <c r="VNN117" s="73"/>
      <c r="VNO117" s="73"/>
      <c r="VNP117" s="73"/>
      <c r="VNQ117" s="73"/>
      <c r="VNR117" s="73"/>
      <c r="VNS117" s="73"/>
      <c r="VNT117" s="73"/>
      <c r="VNU117" s="73"/>
      <c r="VNV117" s="73"/>
      <c r="VNW117" s="73"/>
      <c r="VNX117" s="73"/>
      <c r="VNY117" s="73"/>
      <c r="VNZ117" s="73"/>
      <c r="VOA117" s="73"/>
      <c r="VOB117" s="73"/>
      <c r="VOC117" s="73"/>
      <c r="VOD117" s="73"/>
      <c r="VOE117" s="73"/>
      <c r="VOF117" s="73"/>
      <c r="VOG117" s="73"/>
      <c r="VOH117" s="73"/>
      <c r="VOI117" s="73"/>
      <c r="VOJ117" s="73"/>
      <c r="VOK117" s="73"/>
      <c r="VOL117" s="73"/>
      <c r="VOM117" s="73"/>
      <c r="VON117" s="73"/>
      <c r="VOO117" s="73"/>
      <c r="VOP117" s="73"/>
      <c r="VOQ117" s="73"/>
      <c r="VOR117" s="73"/>
      <c r="VOS117" s="73"/>
      <c r="VOT117" s="73"/>
      <c r="VOU117" s="73"/>
      <c r="VOV117" s="73"/>
      <c r="VOW117" s="73"/>
      <c r="VOX117" s="73"/>
      <c r="VOY117" s="73"/>
      <c r="VOZ117" s="73"/>
      <c r="VPA117" s="73"/>
      <c r="VPB117" s="73"/>
      <c r="VPC117" s="73"/>
      <c r="VPD117" s="73"/>
      <c r="VPE117" s="73"/>
      <c r="VPF117" s="73"/>
      <c r="VPG117" s="73"/>
      <c r="VPH117" s="73"/>
      <c r="VPI117" s="73"/>
      <c r="VPJ117" s="73"/>
      <c r="VPK117" s="73"/>
      <c r="VPL117" s="73"/>
      <c r="VPM117" s="73"/>
      <c r="VPN117" s="73"/>
      <c r="VPO117" s="73"/>
      <c r="VPP117" s="73"/>
      <c r="VPQ117" s="73"/>
      <c r="VPR117" s="73"/>
      <c r="VPS117" s="73"/>
      <c r="VPT117" s="73"/>
      <c r="VPU117" s="73"/>
      <c r="VPV117" s="73"/>
      <c r="VPW117" s="73"/>
      <c r="VPX117" s="73"/>
      <c r="VPY117" s="73"/>
      <c r="VPZ117" s="73"/>
      <c r="VQA117" s="73"/>
      <c r="VQB117" s="73"/>
      <c r="VQC117" s="73"/>
      <c r="VQD117" s="73"/>
      <c r="VQE117" s="73"/>
      <c r="VQF117" s="73"/>
      <c r="VQG117" s="73"/>
      <c r="VQH117" s="73"/>
      <c r="VQI117" s="73"/>
      <c r="VQJ117" s="73"/>
      <c r="VQK117" s="73"/>
      <c r="VQL117" s="73"/>
      <c r="VQM117" s="73"/>
      <c r="VQN117" s="73"/>
      <c r="VQO117" s="73"/>
      <c r="VQP117" s="73"/>
      <c r="VQQ117" s="73"/>
      <c r="VQR117" s="73"/>
      <c r="VQS117" s="73"/>
      <c r="VQT117" s="73"/>
      <c r="VQU117" s="73"/>
      <c r="VQV117" s="73"/>
      <c r="VQW117" s="73"/>
      <c r="VQX117" s="73"/>
      <c r="VQY117" s="73"/>
      <c r="VQZ117" s="73"/>
      <c r="VRA117" s="73"/>
      <c r="VRB117" s="73"/>
      <c r="VRC117" s="73"/>
      <c r="VRD117" s="73"/>
      <c r="VRE117" s="73"/>
      <c r="VRF117" s="73"/>
      <c r="VRG117" s="73"/>
      <c r="VRH117" s="73"/>
      <c r="VRI117" s="73"/>
      <c r="VRJ117" s="73"/>
      <c r="VRK117" s="73"/>
      <c r="VRL117" s="73"/>
      <c r="VRM117" s="73"/>
      <c r="VRN117" s="73"/>
      <c r="VRO117" s="73"/>
      <c r="VRP117" s="73"/>
      <c r="VRQ117" s="73"/>
      <c r="VRR117" s="73"/>
      <c r="VRS117" s="73"/>
      <c r="VRT117" s="73"/>
      <c r="VRU117" s="73"/>
      <c r="VRV117" s="73"/>
      <c r="VRW117" s="73"/>
      <c r="VRX117" s="73"/>
      <c r="VRY117" s="73"/>
      <c r="VRZ117" s="73"/>
      <c r="VSA117" s="73"/>
      <c r="VSB117" s="73"/>
      <c r="VSC117" s="73"/>
      <c r="VSD117" s="73"/>
      <c r="VSE117" s="73"/>
      <c r="VSF117" s="73"/>
      <c r="VSG117" s="73"/>
      <c r="VSH117" s="73"/>
      <c r="VSI117" s="73"/>
      <c r="VSJ117" s="73"/>
      <c r="VSK117" s="73"/>
      <c r="VSL117" s="73"/>
      <c r="VSM117" s="73"/>
      <c r="VSN117" s="73"/>
      <c r="VSO117" s="73"/>
      <c r="VSP117" s="73"/>
      <c r="VSQ117" s="73"/>
      <c r="VSR117" s="73"/>
      <c r="VSS117" s="73"/>
      <c r="VST117" s="73"/>
      <c r="VSU117" s="73"/>
      <c r="VSV117" s="73"/>
      <c r="VSW117" s="73"/>
      <c r="VSX117" s="73"/>
      <c r="VSY117" s="73"/>
      <c r="VSZ117" s="73"/>
      <c r="VTA117" s="73"/>
      <c r="VTB117" s="73"/>
      <c r="VTC117" s="73"/>
      <c r="VTD117" s="73"/>
      <c r="VTE117" s="73"/>
      <c r="VTF117" s="73"/>
      <c r="VTG117" s="73"/>
      <c r="VTH117" s="73"/>
      <c r="VTI117" s="73"/>
      <c r="VTJ117" s="73"/>
      <c r="VTK117" s="73"/>
      <c r="VTL117" s="73"/>
      <c r="VTM117" s="73"/>
      <c r="VTN117" s="73"/>
      <c r="VTO117" s="73"/>
      <c r="VTP117" s="73"/>
      <c r="VTQ117" s="73"/>
      <c r="VTR117" s="73"/>
      <c r="VTS117" s="73"/>
      <c r="VTT117" s="73"/>
      <c r="VTU117" s="73"/>
      <c r="VTV117" s="73"/>
      <c r="VTW117" s="73"/>
      <c r="VTX117" s="73"/>
      <c r="VTY117" s="73"/>
      <c r="VTZ117" s="73"/>
      <c r="VUA117" s="73"/>
      <c r="VUB117" s="73"/>
      <c r="VUC117" s="73"/>
      <c r="VUD117" s="73"/>
      <c r="VUE117" s="73"/>
      <c r="VUF117" s="73"/>
      <c r="VUG117" s="73"/>
      <c r="VUH117" s="73"/>
      <c r="VUI117" s="73"/>
      <c r="VUJ117" s="73"/>
      <c r="VUK117" s="73"/>
      <c r="VUL117" s="73"/>
      <c r="VUM117" s="73"/>
      <c r="VUN117" s="73"/>
      <c r="VUO117" s="73"/>
      <c r="VUP117" s="73"/>
      <c r="VUQ117" s="73"/>
      <c r="VUR117" s="73"/>
      <c r="VUS117" s="73"/>
      <c r="VUT117" s="73"/>
      <c r="VUU117" s="73"/>
      <c r="VUV117" s="73"/>
      <c r="VUW117" s="73"/>
      <c r="VUX117" s="73"/>
      <c r="VUY117" s="73"/>
      <c r="VUZ117" s="73"/>
      <c r="VVA117" s="73"/>
      <c r="VVB117" s="73"/>
      <c r="VVC117" s="73"/>
      <c r="VVD117" s="73"/>
      <c r="VVE117" s="73"/>
      <c r="VVF117" s="73"/>
      <c r="VVG117" s="73"/>
      <c r="VVH117" s="73"/>
      <c r="VVI117" s="73"/>
      <c r="VVJ117" s="73"/>
      <c r="VVK117" s="73"/>
      <c r="VVL117" s="73"/>
      <c r="VVM117" s="73"/>
      <c r="VVN117" s="73"/>
      <c r="VVO117" s="73"/>
      <c r="VVP117" s="73"/>
      <c r="VVQ117" s="73"/>
      <c r="VVR117" s="73"/>
      <c r="VVS117" s="73"/>
      <c r="VVT117" s="73"/>
      <c r="VVU117" s="73"/>
      <c r="VVV117" s="73"/>
      <c r="VVW117" s="73"/>
      <c r="VVX117" s="73"/>
      <c r="VVY117" s="73"/>
      <c r="VVZ117" s="73"/>
      <c r="VWA117" s="73"/>
      <c r="VWB117" s="73"/>
      <c r="VWC117" s="73"/>
      <c r="VWD117" s="73"/>
      <c r="VWE117" s="73"/>
      <c r="VWF117" s="73"/>
      <c r="VWG117" s="73"/>
      <c r="VWH117" s="73"/>
      <c r="VWI117" s="73"/>
      <c r="VWJ117" s="73"/>
      <c r="VWK117" s="73"/>
      <c r="VWL117" s="73"/>
      <c r="VWM117" s="73"/>
      <c r="VWN117" s="73"/>
      <c r="VWO117" s="73"/>
      <c r="VWP117" s="73"/>
      <c r="VWQ117" s="73"/>
      <c r="VWR117" s="73"/>
      <c r="VWS117" s="73"/>
      <c r="VWT117" s="73"/>
      <c r="VWU117" s="73"/>
      <c r="VWV117" s="73"/>
      <c r="VWW117" s="73"/>
      <c r="VWX117" s="73"/>
      <c r="VWY117" s="73"/>
      <c r="VWZ117" s="73"/>
      <c r="VXA117" s="73"/>
      <c r="VXB117" s="73"/>
      <c r="VXC117" s="73"/>
      <c r="VXD117" s="73"/>
      <c r="VXE117" s="73"/>
      <c r="VXF117" s="73"/>
      <c r="VXG117" s="73"/>
      <c r="VXH117" s="73"/>
      <c r="VXI117" s="73"/>
      <c r="VXJ117" s="73"/>
      <c r="VXK117" s="73"/>
      <c r="VXL117" s="73"/>
      <c r="VXM117" s="73"/>
      <c r="VXN117" s="73"/>
      <c r="VXO117" s="73"/>
      <c r="VXP117" s="73"/>
      <c r="VXQ117" s="73"/>
      <c r="VXR117" s="73"/>
      <c r="VXS117" s="73"/>
      <c r="VXT117" s="73"/>
      <c r="VXU117" s="73"/>
      <c r="VXV117" s="73"/>
      <c r="VXW117" s="73"/>
      <c r="VXX117" s="73"/>
      <c r="VXY117" s="73"/>
      <c r="VXZ117" s="73"/>
      <c r="VYA117" s="73"/>
      <c r="VYB117" s="73"/>
      <c r="VYC117" s="73"/>
      <c r="VYD117" s="73"/>
      <c r="VYE117" s="73"/>
      <c r="VYF117" s="73"/>
      <c r="VYG117" s="73"/>
      <c r="VYH117" s="73"/>
      <c r="VYI117" s="73"/>
      <c r="VYJ117" s="73"/>
      <c r="VYK117" s="73"/>
      <c r="VYL117" s="73"/>
      <c r="VYM117" s="73"/>
      <c r="VYN117" s="73"/>
      <c r="VYO117" s="73"/>
      <c r="VYP117" s="73"/>
      <c r="VYQ117" s="73"/>
      <c r="VYR117" s="73"/>
      <c r="VYS117" s="73"/>
      <c r="VYT117" s="73"/>
      <c r="VYU117" s="73"/>
      <c r="VYV117" s="73"/>
      <c r="VYW117" s="73"/>
      <c r="VYX117" s="73"/>
      <c r="VYY117" s="73"/>
      <c r="VYZ117" s="73"/>
      <c r="VZA117" s="73"/>
      <c r="VZB117" s="73"/>
      <c r="VZC117" s="73"/>
      <c r="VZD117" s="73"/>
      <c r="VZE117" s="73"/>
      <c r="VZF117" s="73"/>
      <c r="VZG117" s="73"/>
      <c r="VZH117" s="73"/>
      <c r="VZI117" s="73"/>
      <c r="VZJ117" s="73"/>
      <c r="VZK117" s="73"/>
      <c r="VZL117" s="73"/>
      <c r="VZM117" s="73"/>
      <c r="VZN117" s="73"/>
      <c r="VZO117" s="73"/>
      <c r="VZP117" s="73"/>
      <c r="VZQ117" s="73"/>
      <c r="VZR117" s="73"/>
      <c r="VZS117" s="73"/>
      <c r="VZT117" s="73"/>
      <c r="VZU117" s="73"/>
      <c r="VZV117" s="73"/>
      <c r="VZW117" s="73"/>
      <c r="VZX117" s="73"/>
      <c r="VZY117" s="73"/>
      <c r="VZZ117" s="73"/>
      <c r="WAA117" s="73"/>
      <c r="WAB117" s="73"/>
      <c r="WAC117" s="73"/>
      <c r="WAD117" s="73"/>
      <c r="WAE117" s="73"/>
      <c r="WAF117" s="73"/>
      <c r="WAG117" s="73"/>
      <c r="WAH117" s="73"/>
      <c r="WAI117" s="73"/>
      <c r="WAJ117" s="73"/>
      <c r="WAK117" s="73"/>
      <c r="WAL117" s="73"/>
      <c r="WAM117" s="73"/>
      <c r="WAN117" s="73"/>
      <c r="WAO117" s="73"/>
      <c r="WAP117" s="73"/>
      <c r="WAQ117" s="73"/>
      <c r="WAR117" s="73"/>
      <c r="WAS117" s="73"/>
      <c r="WAT117" s="73"/>
      <c r="WAU117" s="73"/>
      <c r="WAV117" s="73"/>
      <c r="WAW117" s="73"/>
      <c r="WAX117" s="73"/>
      <c r="WAY117" s="73"/>
      <c r="WAZ117" s="73"/>
      <c r="WBA117" s="73"/>
      <c r="WBB117" s="73"/>
      <c r="WBC117" s="73"/>
      <c r="WBD117" s="73"/>
      <c r="WBE117" s="73"/>
      <c r="WBF117" s="73"/>
      <c r="WBG117" s="73"/>
      <c r="WBH117" s="73"/>
      <c r="WBI117" s="73"/>
      <c r="WBJ117" s="73"/>
      <c r="WBK117" s="73"/>
      <c r="WBL117" s="73"/>
      <c r="WBM117" s="73"/>
      <c r="WBN117" s="73"/>
      <c r="WBO117" s="73"/>
      <c r="WBP117" s="73"/>
      <c r="WBQ117" s="73"/>
      <c r="WBR117" s="73"/>
      <c r="WBS117" s="73"/>
      <c r="WBT117" s="73"/>
      <c r="WBU117" s="73"/>
      <c r="WBV117" s="73"/>
      <c r="WBW117" s="73"/>
      <c r="WBX117" s="73"/>
      <c r="WBY117" s="73"/>
      <c r="WBZ117" s="73"/>
      <c r="WCA117" s="73"/>
      <c r="WCB117" s="73"/>
      <c r="WCC117" s="73"/>
      <c r="WCD117" s="73"/>
      <c r="WCE117" s="73"/>
      <c r="WCF117" s="73"/>
      <c r="WCG117" s="73"/>
      <c r="WCH117" s="73"/>
      <c r="WCI117" s="73"/>
      <c r="WCJ117" s="73"/>
      <c r="WCK117" s="73"/>
      <c r="WCL117" s="73"/>
      <c r="WCM117" s="73"/>
      <c r="WCN117" s="73"/>
      <c r="WCO117" s="73"/>
      <c r="WCP117" s="73"/>
      <c r="WCQ117" s="73"/>
      <c r="WCR117" s="73"/>
      <c r="WCS117" s="73"/>
      <c r="WCT117" s="73"/>
      <c r="WCU117" s="73"/>
      <c r="WCV117" s="73"/>
      <c r="WCW117" s="73"/>
      <c r="WCX117" s="73"/>
      <c r="WCY117" s="73"/>
      <c r="WCZ117" s="73"/>
      <c r="WDA117" s="73"/>
      <c r="WDB117" s="73"/>
      <c r="WDC117" s="73"/>
      <c r="WDD117" s="73"/>
      <c r="WDE117" s="73"/>
      <c r="WDF117" s="73"/>
      <c r="WDG117" s="73"/>
      <c r="WDH117" s="73"/>
      <c r="WDI117" s="73"/>
      <c r="WDJ117" s="73"/>
      <c r="WDK117" s="73"/>
      <c r="WDL117" s="73"/>
      <c r="WDM117" s="73"/>
      <c r="WDN117" s="73"/>
      <c r="WDO117" s="73"/>
      <c r="WDP117" s="73"/>
      <c r="WDQ117" s="73"/>
      <c r="WDR117" s="73"/>
      <c r="WDS117" s="73"/>
      <c r="WDT117" s="73"/>
      <c r="WDU117" s="73"/>
      <c r="WDV117" s="73"/>
      <c r="WDW117" s="73"/>
      <c r="WDX117" s="73"/>
      <c r="WDY117" s="73"/>
      <c r="WDZ117" s="73"/>
      <c r="WEA117" s="73"/>
      <c r="WEB117" s="73"/>
      <c r="WEC117" s="73"/>
      <c r="WED117" s="73"/>
      <c r="WEE117" s="73"/>
      <c r="WEF117" s="73"/>
      <c r="WEG117" s="73"/>
      <c r="WEH117" s="73"/>
      <c r="WEI117" s="73"/>
      <c r="WEJ117" s="73"/>
      <c r="WEK117" s="73"/>
      <c r="WEL117" s="73"/>
      <c r="WEM117" s="73"/>
      <c r="WEN117" s="73"/>
      <c r="WEO117" s="73"/>
      <c r="WEP117" s="73"/>
      <c r="WEQ117" s="73"/>
      <c r="WER117" s="73"/>
      <c r="WES117" s="73"/>
      <c r="WET117" s="73"/>
      <c r="WEU117" s="73"/>
      <c r="WEV117" s="73"/>
      <c r="WEW117" s="73"/>
      <c r="WEX117" s="73"/>
      <c r="WEY117" s="73"/>
      <c r="WEZ117" s="73"/>
      <c r="WFA117" s="73"/>
      <c r="WFB117" s="73"/>
      <c r="WFC117" s="73"/>
      <c r="WFD117" s="73"/>
      <c r="WFE117" s="73"/>
      <c r="WFF117" s="73"/>
      <c r="WFG117" s="73"/>
      <c r="WFH117" s="73"/>
      <c r="WFI117" s="73"/>
      <c r="WFJ117" s="73"/>
      <c r="WFK117" s="73"/>
      <c r="WFL117" s="73"/>
      <c r="WFM117" s="73"/>
      <c r="WFN117" s="73"/>
      <c r="WFO117" s="73"/>
      <c r="WFP117" s="73"/>
      <c r="WFQ117" s="73"/>
      <c r="WFR117" s="73"/>
      <c r="WFS117" s="73"/>
      <c r="WFT117" s="73"/>
      <c r="WFU117" s="73"/>
      <c r="WFV117" s="73"/>
      <c r="WFW117" s="73"/>
      <c r="WFX117" s="73"/>
      <c r="WFY117" s="73"/>
      <c r="WFZ117" s="73"/>
      <c r="WGA117" s="73"/>
      <c r="WGB117" s="73"/>
      <c r="WGC117" s="73"/>
      <c r="WGD117" s="73"/>
      <c r="WGE117" s="73"/>
      <c r="WGF117" s="73"/>
      <c r="WGG117" s="73"/>
      <c r="WGH117" s="73"/>
      <c r="WGI117" s="73"/>
      <c r="WGJ117" s="73"/>
      <c r="WGK117" s="73"/>
      <c r="WGL117" s="73"/>
      <c r="WGM117" s="73"/>
      <c r="WGN117" s="73"/>
      <c r="WGO117" s="73"/>
      <c r="WGP117" s="73"/>
      <c r="WGQ117" s="73"/>
      <c r="WGR117" s="73"/>
      <c r="WGS117" s="73"/>
      <c r="WGT117" s="73"/>
      <c r="WGU117" s="73"/>
      <c r="WGV117" s="73"/>
      <c r="WGW117" s="73"/>
      <c r="WGX117" s="73"/>
      <c r="WGY117" s="73"/>
      <c r="WGZ117" s="73"/>
      <c r="WHA117" s="73"/>
      <c r="WHB117" s="73"/>
      <c r="WHC117" s="73"/>
      <c r="WHD117" s="73"/>
      <c r="WHE117" s="73"/>
      <c r="WHF117" s="73"/>
      <c r="WHG117" s="73"/>
      <c r="WHH117" s="73"/>
      <c r="WHI117" s="73"/>
      <c r="WHJ117" s="73"/>
      <c r="WHK117" s="73"/>
      <c r="WHL117" s="73"/>
      <c r="WHM117" s="73"/>
      <c r="WHN117" s="73"/>
      <c r="WHO117" s="73"/>
      <c r="WHP117" s="73"/>
      <c r="WHQ117" s="73"/>
      <c r="WHR117" s="73"/>
      <c r="WHS117" s="73"/>
      <c r="WHT117" s="73"/>
      <c r="WHU117" s="73"/>
      <c r="WHV117" s="73"/>
      <c r="WHW117" s="73"/>
      <c r="WHX117" s="73"/>
      <c r="WHY117" s="73"/>
      <c r="WHZ117" s="73"/>
      <c r="WIA117" s="73"/>
      <c r="WIB117" s="73"/>
      <c r="WIC117" s="73"/>
      <c r="WID117" s="73"/>
      <c r="WIE117" s="73"/>
      <c r="WIF117" s="73"/>
      <c r="WIG117" s="73"/>
      <c r="WIH117" s="73"/>
      <c r="WII117" s="73"/>
      <c r="WIJ117" s="73"/>
      <c r="WIK117" s="73"/>
      <c r="WIL117" s="73"/>
      <c r="WIM117" s="73"/>
      <c r="WIN117" s="73"/>
      <c r="WIO117" s="73"/>
      <c r="WIP117" s="73"/>
      <c r="WIQ117" s="73"/>
      <c r="WIR117" s="73"/>
      <c r="WIS117" s="73"/>
      <c r="WIT117" s="73"/>
      <c r="WIU117" s="73"/>
      <c r="WIV117" s="73"/>
      <c r="WIW117" s="73"/>
      <c r="WIX117" s="73"/>
      <c r="WIY117" s="73"/>
      <c r="WIZ117" s="73"/>
      <c r="WJA117" s="73"/>
      <c r="WJB117" s="73"/>
      <c r="WJC117" s="73"/>
      <c r="WJD117" s="73"/>
      <c r="WJE117" s="73"/>
      <c r="WJF117" s="73"/>
      <c r="WJG117" s="73"/>
      <c r="WJH117" s="73"/>
      <c r="WJI117" s="73"/>
      <c r="WJJ117" s="73"/>
      <c r="WJK117" s="73"/>
      <c r="WJL117" s="73"/>
      <c r="WJM117" s="73"/>
      <c r="WJN117" s="73"/>
      <c r="WJO117" s="73"/>
      <c r="WJP117" s="73"/>
      <c r="WJQ117" s="73"/>
      <c r="WJR117" s="73"/>
      <c r="WJS117" s="73"/>
      <c r="WJT117" s="73"/>
      <c r="WJU117" s="73"/>
      <c r="WJV117" s="73"/>
      <c r="WJW117" s="73"/>
      <c r="WJX117" s="73"/>
      <c r="WJY117" s="73"/>
      <c r="WJZ117" s="73"/>
      <c r="WKA117" s="73"/>
      <c r="WKB117" s="73"/>
      <c r="WKC117" s="73"/>
      <c r="WKD117" s="73"/>
      <c r="WKE117" s="73"/>
      <c r="WKF117" s="73"/>
      <c r="WKG117" s="73"/>
      <c r="WKH117" s="73"/>
      <c r="WKI117" s="73"/>
      <c r="WKJ117" s="73"/>
      <c r="WKK117" s="73"/>
      <c r="WKL117" s="73"/>
      <c r="WKM117" s="73"/>
      <c r="WKN117" s="73"/>
      <c r="WKO117" s="73"/>
      <c r="WKP117" s="73"/>
      <c r="WKQ117" s="73"/>
      <c r="WKR117" s="73"/>
      <c r="WKS117" s="73"/>
      <c r="WKT117" s="73"/>
      <c r="WKU117" s="73"/>
      <c r="WKV117" s="73"/>
      <c r="WKW117" s="73"/>
      <c r="WKX117" s="73"/>
      <c r="WKY117" s="73"/>
      <c r="WKZ117" s="73"/>
      <c r="WLA117" s="73"/>
      <c r="WLB117" s="73"/>
      <c r="WLC117" s="73"/>
      <c r="WLD117" s="73"/>
      <c r="WLE117" s="73"/>
      <c r="WLF117" s="73"/>
      <c r="WLG117" s="73"/>
      <c r="WLH117" s="73"/>
      <c r="WLI117" s="73"/>
      <c r="WLJ117" s="73"/>
      <c r="WLK117" s="73"/>
      <c r="WLL117" s="73"/>
      <c r="WLM117" s="73"/>
      <c r="WLN117" s="73"/>
      <c r="WLO117" s="73"/>
      <c r="WLP117" s="73"/>
      <c r="WLQ117" s="73"/>
      <c r="WLR117" s="73"/>
      <c r="WLS117" s="73"/>
      <c r="WLT117" s="73"/>
      <c r="WLU117" s="73"/>
      <c r="WLV117" s="73"/>
      <c r="WLW117" s="73"/>
      <c r="WLX117" s="73"/>
      <c r="WLY117" s="73"/>
      <c r="WLZ117" s="73"/>
      <c r="WMA117" s="73"/>
      <c r="WMB117" s="73"/>
      <c r="WMC117" s="73"/>
      <c r="WMD117" s="73"/>
      <c r="WME117" s="73"/>
      <c r="WMF117" s="73"/>
      <c r="WMG117" s="73"/>
      <c r="WMH117" s="73"/>
      <c r="WMI117" s="73"/>
      <c r="WMJ117" s="73"/>
      <c r="WMK117" s="73"/>
      <c r="WML117" s="73"/>
      <c r="WMM117" s="73"/>
      <c r="WMN117" s="73"/>
      <c r="WMO117" s="73"/>
      <c r="WMP117" s="73"/>
      <c r="WMQ117" s="73"/>
      <c r="WMR117" s="73"/>
      <c r="WMS117" s="73"/>
      <c r="WMT117" s="73"/>
      <c r="WMU117" s="73"/>
      <c r="WMV117" s="73"/>
      <c r="WMW117" s="73"/>
      <c r="WMX117" s="73"/>
      <c r="WMY117" s="73"/>
      <c r="WMZ117" s="73"/>
      <c r="WNA117" s="73"/>
      <c r="WNB117" s="73"/>
      <c r="WNC117" s="73"/>
      <c r="WND117" s="73"/>
      <c r="WNE117" s="73"/>
      <c r="WNF117" s="73"/>
      <c r="WNG117" s="73"/>
      <c r="WNH117" s="73"/>
      <c r="WNI117" s="73"/>
      <c r="WNJ117" s="73"/>
      <c r="WNK117" s="73"/>
      <c r="WNL117" s="73"/>
      <c r="WNM117" s="73"/>
      <c r="WNN117" s="73"/>
      <c r="WNO117" s="73"/>
      <c r="WNP117" s="73"/>
      <c r="WNQ117" s="73"/>
      <c r="WNR117" s="73"/>
      <c r="WNS117" s="73"/>
      <c r="WNT117" s="73"/>
      <c r="WNU117" s="73"/>
      <c r="WNV117" s="73"/>
      <c r="WNW117" s="73"/>
      <c r="WNX117" s="73"/>
      <c r="WNY117" s="73"/>
      <c r="WNZ117" s="73"/>
      <c r="WOA117" s="73"/>
      <c r="WOB117" s="73"/>
      <c r="WOC117" s="73"/>
      <c r="WOD117" s="73"/>
      <c r="WOE117" s="73"/>
      <c r="WOF117" s="73"/>
      <c r="WOG117" s="73"/>
      <c r="WOH117" s="73"/>
      <c r="WOI117" s="73"/>
      <c r="WOJ117" s="73"/>
      <c r="WOK117" s="73"/>
      <c r="WOL117" s="73"/>
      <c r="WOM117" s="73"/>
      <c r="WON117" s="73"/>
      <c r="WOO117" s="73"/>
      <c r="WOP117" s="73"/>
      <c r="WOQ117" s="73"/>
      <c r="WOR117" s="73"/>
      <c r="WOS117" s="73"/>
      <c r="WOT117" s="73"/>
      <c r="WOU117" s="73"/>
      <c r="WOV117" s="73"/>
      <c r="WOW117" s="73"/>
      <c r="WOX117" s="73"/>
      <c r="WOY117" s="73"/>
      <c r="WOZ117" s="73"/>
      <c r="WPA117" s="73"/>
      <c r="WPB117" s="73"/>
      <c r="WPC117" s="73"/>
      <c r="WPD117" s="73"/>
      <c r="WPE117" s="73"/>
      <c r="WPF117" s="73"/>
      <c r="WPG117" s="73"/>
      <c r="WPH117" s="73"/>
      <c r="WPI117" s="73"/>
      <c r="WPJ117" s="73"/>
      <c r="WPK117" s="73"/>
      <c r="WPL117" s="73"/>
      <c r="WPM117" s="73"/>
      <c r="WPN117" s="73"/>
      <c r="WPO117" s="73"/>
      <c r="WPP117" s="73"/>
      <c r="WPQ117" s="73"/>
      <c r="WPR117" s="73"/>
      <c r="WPS117" s="73"/>
      <c r="WPT117" s="73"/>
      <c r="WPU117" s="73"/>
      <c r="WPV117" s="73"/>
      <c r="WPW117" s="73"/>
      <c r="WPX117" s="73"/>
      <c r="WPY117" s="73"/>
      <c r="WPZ117" s="73"/>
      <c r="WQA117" s="73"/>
      <c r="WQB117" s="73"/>
      <c r="WQC117" s="73"/>
      <c r="WQD117" s="73"/>
      <c r="WQE117" s="73"/>
      <c r="WQF117" s="73"/>
      <c r="WQG117" s="73"/>
      <c r="WQH117" s="73"/>
      <c r="WQI117" s="73"/>
      <c r="WQJ117" s="73"/>
      <c r="WQK117" s="73"/>
      <c r="WQL117" s="73"/>
      <c r="WQM117" s="73"/>
      <c r="WQN117" s="73"/>
      <c r="WQO117" s="73"/>
      <c r="WQP117" s="73"/>
      <c r="WQQ117" s="73"/>
      <c r="WQR117" s="73"/>
      <c r="WQS117" s="73"/>
      <c r="WQT117" s="73"/>
      <c r="WQU117" s="73"/>
      <c r="WQV117" s="73"/>
      <c r="WQW117" s="73"/>
      <c r="WQX117" s="73"/>
      <c r="WQY117" s="73"/>
      <c r="WQZ117" s="73"/>
      <c r="WRA117" s="73"/>
      <c r="WRB117" s="73"/>
      <c r="WRC117" s="73"/>
      <c r="WRD117" s="73"/>
      <c r="WRE117" s="73"/>
      <c r="WRF117" s="73"/>
      <c r="WRG117" s="73"/>
      <c r="WRH117" s="73"/>
      <c r="WRI117" s="73"/>
      <c r="WRJ117" s="73"/>
      <c r="WRK117" s="73"/>
      <c r="WRL117" s="73"/>
      <c r="WRM117" s="73"/>
      <c r="WRN117" s="73"/>
      <c r="WRO117" s="73"/>
      <c r="WRP117" s="73"/>
      <c r="WRQ117" s="73"/>
      <c r="WRR117" s="73"/>
      <c r="WRS117" s="73"/>
      <c r="WRT117" s="73"/>
      <c r="WRU117" s="73"/>
      <c r="WRV117" s="73"/>
      <c r="WRW117" s="73"/>
      <c r="WRX117" s="73"/>
      <c r="WRY117" s="73"/>
      <c r="WRZ117" s="73"/>
      <c r="WSA117" s="73"/>
      <c r="WSB117" s="73"/>
      <c r="WSC117" s="73"/>
      <c r="WSD117" s="73"/>
      <c r="WSE117" s="73"/>
      <c r="WSF117" s="73"/>
      <c r="WSG117" s="73"/>
      <c r="WSH117" s="73"/>
      <c r="WSI117" s="73"/>
      <c r="WSJ117" s="73"/>
      <c r="WSK117" s="73"/>
      <c r="WSL117" s="73"/>
      <c r="WSM117" s="73"/>
      <c r="WSN117" s="73"/>
      <c r="WSO117" s="73"/>
      <c r="WSP117" s="73"/>
      <c r="WSQ117" s="73"/>
      <c r="WSR117" s="73"/>
      <c r="WSS117" s="73"/>
      <c r="WST117" s="73"/>
      <c r="WSU117" s="73"/>
      <c r="WSV117" s="73"/>
      <c r="WSW117" s="73"/>
      <c r="WSX117" s="73"/>
      <c r="WSY117" s="73"/>
      <c r="WSZ117" s="73"/>
      <c r="WTA117" s="73"/>
      <c r="WTB117" s="73"/>
      <c r="WTC117" s="73"/>
      <c r="WTD117" s="73"/>
      <c r="WTE117" s="73"/>
      <c r="WTF117" s="73"/>
      <c r="WTG117" s="73"/>
      <c r="WTH117" s="73"/>
      <c r="WTI117" s="73"/>
      <c r="WTJ117" s="73"/>
      <c r="WTK117" s="73"/>
      <c r="WTL117" s="73"/>
      <c r="WTM117" s="73"/>
      <c r="WTN117" s="73"/>
      <c r="WTO117" s="73"/>
      <c r="WTP117" s="73"/>
      <c r="WTQ117" s="73"/>
      <c r="WTR117" s="73"/>
      <c r="WTS117" s="73"/>
      <c r="WTT117" s="73"/>
      <c r="WTU117" s="73"/>
      <c r="WTV117" s="73"/>
      <c r="WTW117" s="73"/>
      <c r="WTX117" s="73"/>
      <c r="WTY117" s="73"/>
      <c r="WTZ117" s="73"/>
      <c r="WUA117" s="73"/>
      <c r="WUB117" s="73"/>
      <c r="WUC117" s="73"/>
      <c r="WUD117" s="73"/>
      <c r="WUE117" s="73"/>
      <c r="WUF117" s="73"/>
      <c r="WUG117" s="73"/>
      <c r="WUH117" s="73"/>
      <c r="WUI117" s="73"/>
      <c r="WUJ117" s="73"/>
      <c r="WUK117" s="73"/>
      <c r="WUL117" s="73"/>
      <c r="WUM117" s="73"/>
      <c r="WUN117" s="73"/>
      <c r="WUO117" s="73"/>
      <c r="WUP117" s="73"/>
      <c r="WUQ117" s="73"/>
      <c r="WUR117" s="73"/>
      <c r="WUS117" s="73"/>
      <c r="WUT117" s="73"/>
      <c r="WUU117" s="73"/>
      <c r="WUV117" s="73"/>
      <c r="WUW117" s="73"/>
      <c r="WUX117" s="73"/>
      <c r="WUY117" s="73"/>
      <c r="WUZ117" s="73"/>
      <c r="WVA117" s="73"/>
      <c r="WVB117" s="73"/>
      <c r="WVC117" s="73"/>
      <c r="WVD117" s="73"/>
      <c r="WVE117" s="73"/>
      <c r="WVF117" s="73"/>
      <c r="WVG117" s="73"/>
      <c r="WVH117" s="73"/>
      <c r="WVI117" s="73"/>
      <c r="WVJ117" s="73"/>
      <c r="WVK117" s="73"/>
      <c r="WVL117" s="73"/>
      <c r="WVM117" s="73"/>
      <c r="WVN117" s="73"/>
      <c r="WVO117" s="73"/>
      <c r="WVP117" s="73"/>
      <c r="WVQ117" s="73"/>
      <c r="WVR117" s="73"/>
      <c r="WVS117" s="73"/>
      <c r="WVT117" s="73"/>
      <c r="WVU117" s="73"/>
      <c r="WVV117" s="73"/>
      <c r="WVW117" s="73"/>
      <c r="WVX117" s="73"/>
      <c r="WVY117" s="73"/>
      <c r="WVZ117" s="73"/>
      <c r="WWA117" s="73"/>
      <c r="WWB117" s="73"/>
      <c r="WWC117" s="73"/>
      <c r="WWD117" s="73"/>
      <c r="WWE117" s="73"/>
      <c r="WWF117" s="73"/>
      <c r="WWG117" s="73"/>
      <c r="WWH117" s="73"/>
      <c r="WWI117" s="73"/>
      <c r="WWJ117" s="73"/>
      <c r="WWK117" s="73"/>
      <c r="WWL117" s="73"/>
      <c r="WWM117" s="73"/>
      <c r="WWN117" s="73"/>
      <c r="WWO117" s="73"/>
      <c r="WWP117" s="73"/>
      <c r="WWQ117" s="73"/>
      <c r="WWR117" s="73"/>
      <c r="WWS117" s="73"/>
      <c r="WWT117" s="73"/>
      <c r="WWU117" s="73"/>
      <c r="WWV117" s="73"/>
      <c r="WWW117" s="73"/>
      <c r="WWX117" s="73"/>
      <c r="WWY117" s="73"/>
      <c r="WWZ117" s="73"/>
      <c r="WXA117" s="73"/>
      <c r="WXB117" s="73"/>
      <c r="WXC117" s="73"/>
      <c r="WXD117" s="73"/>
      <c r="WXE117" s="73"/>
      <c r="WXF117" s="73"/>
      <c r="WXG117" s="73"/>
      <c r="WXH117" s="73"/>
      <c r="WXI117" s="73"/>
      <c r="WXJ117" s="73"/>
      <c r="WXK117" s="73"/>
      <c r="WXL117" s="73"/>
      <c r="WXM117" s="73"/>
      <c r="WXN117" s="73"/>
      <c r="WXO117" s="73"/>
      <c r="WXP117" s="73"/>
      <c r="WXQ117" s="73"/>
      <c r="WXR117" s="73"/>
      <c r="WXS117" s="73"/>
      <c r="WXT117" s="73"/>
      <c r="WXU117" s="73"/>
      <c r="WXV117" s="73"/>
      <c r="WXW117" s="73"/>
      <c r="WXX117" s="73"/>
      <c r="WXY117" s="73"/>
      <c r="WXZ117" s="73"/>
      <c r="WYA117" s="73"/>
      <c r="WYB117" s="73"/>
      <c r="WYC117" s="73"/>
      <c r="WYD117" s="73"/>
      <c r="WYE117" s="73"/>
      <c r="WYF117" s="73"/>
      <c r="WYG117" s="73"/>
      <c r="WYH117" s="73"/>
      <c r="WYI117" s="73"/>
      <c r="WYJ117" s="73"/>
      <c r="WYK117" s="73"/>
      <c r="WYL117" s="73"/>
      <c r="WYM117" s="73"/>
      <c r="WYN117" s="73"/>
      <c r="WYO117" s="73"/>
      <c r="WYP117" s="73"/>
      <c r="WYQ117" s="73"/>
      <c r="WYR117" s="73"/>
      <c r="WYS117" s="73"/>
      <c r="WYT117" s="73"/>
      <c r="WYU117" s="73"/>
      <c r="WYV117" s="73"/>
      <c r="WYW117" s="73"/>
      <c r="WYX117" s="73"/>
      <c r="WYY117" s="73"/>
      <c r="WYZ117" s="73"/>
      <c r="WZA117" s="73"/>
      <c r="WZB117" s="73"/>
      <c r="WZC117" s="73"/>
      <c r="WZD117" s="73"/>
      <c r="WZE117" s="73"/>
      <c r="WZF117" s="73"/>
      <c r="WZG117" s="73"/>
      <c r="WZH117" s="73"/>
      <c r="WZI117" s="73"/>
      <c r="WZJ117" s="73"/>
      <c r="WZK117" s="73"/>
      <c r="WZL117" s="73"/>
      <c r="WZM117" s="73"/>
      <c r="WZN117" s="73"/>
      <c r="WZO117" s="73"/>
      <c r="WZP117" s="73"/>
      <c r="WZQ117" s="73"/>
      <c r="WZR117" s="73"/>
      <c r="WZS117" s="73"/>
      <c r="WZT117" s="73"/>
      <c r="WZU117" s="73"/>
      <c r="WZV117" s="73"/>
      <c r="WZW117" s="73"/>
      <c r="WZX117" s="73"/>
      <c r="WZY117" s="73"/>
      <c r="WZZ117" s="73"/>
      <c r="XAA117" s="73"/>
      <c r="XAB117" s="73"/>
      <c r="XAC117" s="73"/>
      <c r="XAD117" s="73"/>
      <c r="XAE117" s="73"/>
      <c r="XAF117" s="73"/>
      <c r="XAG117" s="73"/>
      <c r="XAH117" s="73"/>
      <c r="XAI117" s="73"/>
      <c r="XAJ117" s="73"/>
      <c r="XAK117" s="73"/>
      <c r="XAL117" s="73"/>
      <c r="XAM117" s="73"/>
      <c r="XAN117" s="73"/>
      <c r="XAO117" s="73"/>
      <c r="XAP117" s="73"/>
      <c r="XAQ117" s="73"/>
      <c r="XAR117" s="73"/>
      <c r="XAS117" s="73"/>
      <c r="XAT117" s="73"/>
      <c r="XAU117" s="73"/>
      <c r="XAV117" s="73"/>
      <c r="XAW117" s="73"/>
      <c r="XAX117" s="73"/>
      <c r="XAY117" s="73"/>
      <c r="XAZ117" s="73"/>
      <c r="XBA117" s="73"/>
      <c r="XBB117" s="73"/>
      <c r="XBC117" s="73"/>
      <c r="XBD117" s="73"/>
      <c r="XBE117" s="73"/>
      <c r="XBF117" s="73"/>
      <c r="XBG117" s="73"/>
      <c r="XBH117" s="73"/>
      <c r="XBI117" s="73"/>
      <c r="XBJ117" s="73"/>
      <c r="XBK117" s="73"/>
      <c r="XBL117" s="73"/>
      <c r="XBM117" s="73"/>
      <c r="XBN117" s="73"/>
      <c r="XBO117" s="73"/>
      <c r="XBP117" s="73"/>
      <c r="XBQ117" s="73"/>
      <c r="XBR117" s="73"/>
      <c r="XBS117" s="73"/>
      <c r="XBT117" s="73"/>
      <c r="XBU117" s="73"/>
      <c r="XBV117" s="73"/>
      <c r="XBW117" s="73"/>
      <c r="XBX117" s="73"/>
      <c r="XBY117" s="73"/>
      <c r="XBZ117" s="73"/>
      <c r="XCA117" s="73"/>
      <c r="XCB117" s="73"/>
      <c r="XCC117" s="73"/>
      <c r="XCD117" s="73"/>
      <c r="XCE117" s="73"/>
      <c r="XCF117" s="73"/>
      <c r="XCG117" s="73"/>
      <c r="XCH117" s="73"/>
      <c r="XCI117" s="73"/>
      <c r="XCJ117" s="73"/>
      <c r="XCK117" s="73"/>
      <c r="XCL117" s="73"/>
      <c r="XCM117" s="73"/>
      <c r="XCN117" s="73"/>
      <c r="XCO117" s="73"/>
      <c r="XCP117" s="73"/>
      <c r="XCQ117" s="73"/>
      <c r="XCR117" s="73"/>
      <c r="XCS117" s="73"/>
      <c r="XCT117" s="73"/>
      <c r="XCU117" s="73"/>
      <c r="XCV117" s="73"/>
      <c r="XCW117" s="73"/>
      <c r="XCX117" s="73"/>
      <c r="XCY117" s="73"/>
      <c r="XCZ117" s="73"/>
      <c r="XDA117" s="73"/>
      <c r="XDB117" s="73"/>
      <c r="XDC117" s="73"/>
      <c r="XDD117" s="73"/>
      <c r="XDE117" s="73"/>
      <c r="XDF117" s="73"/>
      <c r="XDG117" s="73"/>
      <c r="XDH117" s="73"/>
      <c r="XDI117" s="73"/>
      <c r="XDJ117" s="73"/>
      <c r="XDK117" s="73"/>
      <c r="XDL117" s="73"/>
      <c r="XDM117" s="73"/>
      <c r="XDN117" s="73"/>
      <c r="XDO117" s="73"/>
      <c r="XDP117" s="73"/>
      <c r="XDQ117" s="73"/>
      <c r="XDR117" s="73"/>
      <c r="XDS117" s="73"/>
      <c r="XDT117" s="73"/>
      <c r="XDU117" s="73"/>
      <c r="XDV117" s="73"/>
      <c r="XDW117" s="73"/>
      <c r="XDX117" s="73"/>
      <c r="XDY117" s="73"/>
      <c r="XDZ117" s="73"/>
      <c r="XEA117" s="73"/>
      <c r="XEB117" s="73"/>
      <c r="XEC117" s="73"/>
      <c r="XED117" s="73"/>
      <c r="XEE117" s="73"/>
      <c r="XEF117" s="73"/>
      <c r="XEG117" s="73"/>
      <c r="XEH117" s="73"/>
      <c r="XEI117" s="73"/>
      <c r="XEJ117" s="73"/>
      <c r="XEK117" s="73"/>
      <c r="XEL117" s="73"/>
      <c r="XEM117" s="73"/>
      <c r="XEN117" s="73"/>
      <c r="XEO117" s="73"/>
      <c r="XEP117" s="73"/>
    </row>
    <row r="118" spans="1:16370" s="72" customFormat="1" ht="13.5" customHeight="1" x14ac:dyDescent="0.3">
      <c r="A118" s="72" t="e">
        <f>VLOOKUP(C118,'[1]青岛4 (2)'!$C:$D,2,0)</f>
        <v>#N/A</v>
      </c>
      <c r="B118" s="100" t="s">
        <v>202</v>
      </c>
      <c r="C118" s="101">
        <v>10880030004</v>
      </c>
      <c r="D118" s="105">
        <v>110001307229</v>
      </c>
      <c r="E118" s="102">
        <v>110001307229</v>
      </c>
      <c r="F118" s="100" t="s">
        <v>254</v>
      </c>
      <c r="G118" s="100">
        <v>1000</v>
      </c>
      <c r="H118" s="103">
        <v>1000</v>
      </c>
      <c r="I118" s="104" t="str">
        <f>VLOOKUP(C118,'[2]IE model  海尔产品'!$A$1:$D$65536,4,0)</f>
        <v>1*5</v>
      </c>
      <c r="J118" s="104" cm="1">
        <f t="array" ref="J118">INDEX($A$2:$AF$2,MIN(IF(M118:AF118&lt;&gt;0,COLUMN(M118:AF118))))</f>
        <v>46146</v>
      </c>
      <c r="K118" s="100">
        <f>VLOOKUP(C118,'[2]IE model  海尔产品'!$A$1:$H$65536,8,0)</f>
        <v>300</v>
      </c>
      <c r="L118" s="100">
        <f>VLOOKUP(C118,'[2]IE model  海尔产品'!$A$1:$I$65536,9,0)</f>
        <v>42</v>
      </c>
      <c r="M118" s="115"/>
      <c r="N118" s="113"/>
      <c r="O118" s="115">
        <v>1000</v>
      </c>
      <c r="P118" s="137"/>
      <c r="Q118" s="115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15">
        <f t="shared" si="49"/>
        <v>1000</v>
      </c>
      <c r="AH118" s="124">
        <f t="shared" si="50"/>
        <v>0</v>
      </c>
      <c r="AI118" s="130" t="s">
        <v>1757</v>
      </c>
      <c r="AJ118" s="73"/>
      <c r="AK118" s="73"/>
      <c r="AL118" s="73"/>
      <c r="AM118" s="72" t="e">
        <f>_xlfn.XLOOKUP(C118,'[4]4-30'!$F:$F,'[4]4-30'!$S:$S)</f>
        <v>#N/A</v>
      </c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  <c r="JD118" s="73"/>
      <c r="JE118" s="73"/>
      <c r="JF118" s="73"/>
      <c r="JG118" s="73"/>
      <c r="JH118" s="73"/>
      <c r="JI118" s="73"/>
      <c r="JJ118" s="73"/>
      <c r="JK118" s="73"/>
      <c r="JL118" s="73"/>
      <c r="JM118" s="73"/>
      <c r="JN118" s="73"/>
      <c r="JO118" s="73"/>
      <c r="JP118" s="73"/>
      <c r="JQ118" s="73"/>
      <c r="JR118" s="73"/>
      <c r="JS118" s="73"/>
      <c r="JT118" s="73"/>
      <c r="JU118" s="73"/>
      <c r="JV118" s="73"/>
      <c r="JW118" s="73"/>
      <c r="JX118" s="73"/>
      <c r="JY118" s="73"/>
      <c r="JZ118" s="73"/>
      <c r="KA118" s="73"/>
      <c r="KB118" s="73"/>
      <c r="KC118" s="73"/>
      <c r="KD118" s="73"/>
      <c r="KE118" s="73"/>
      <c r="KF118" s="73"/>
      <c r="KG118" s="73"/>
      <c r="KH118" s="73"/>
      <c r="KI118" s="73"/>
      <c r="KJ118" s="73"/>
      <c r="KK118" s="73"/>
      <c r="KL118" s="73"/>
      <c r="KM118" s="73"/>
      <c r="KN118" s="73"/>
      <c r="KO118" s="73"/>
      <c r="KP118" s="73"/>
      <c r="KQ118" s="73"/>
      <c r="KR118" s="73"/>
      <c r="KS118" s="73"/>
      <c r="KT118" s="73"/>
      <c r="KU118" s="73"/>
      <c r="KV118" s="73"/>
      <c r="KW118" s="73"/>
      <c r="KX118" s="73"/>
      <c r="KY118" s="73"/>
      <c r="KZ118" s="73"/>
      <c r="LA118" s="73"/>
      <c r="LB118" s="73"/>
      <c r="LC118" s="73"/>
      <c r="LD118" s="73"/>
      <c r="LE118" s="73"/>
      <c r="LF118" s="73"/>
      <c r="LG118" s="73"/>
      <c r="LH118" s="73"/>
      <c r="LI118" s="73"/>
      <c r="LJ118" s="73"/>
      <c r="LK118" s="73"/>
      <c r="LL118" s="73"/>
      <c r="LM118" s="73"/>
      <c r="LN118" s="73"/>
      <c r="LO118" s="73"/>
      <c r="LP118" s="73"/>
      <c r="LQ118" s="73"/>
      <c r="LR118" s="73"/>
      <c r="LS118" s="73"/>
      <c r="LT118" s="73"/>
      <c r="LU118" s="73"/>
      <c r="LV118" s="73"/>
      <c r="LW118" s="73"/>
      <c r="LX118" s="73"/>
      <c r="LY118" s="73"/>
      <c r="LZ118" s="73"/>
      <c r="MA118" s="73"/>
      <c r="MB118" s="73"/>
      <c r="MC118" s="73"/>
      <c r="MD118" s="73"/>
      <c r="ME118" s="73"/>
      <c r="MF118" s="73"/>
      <c r="MG118" s="73"/>
      <c r="MH118" s="73"/>
      <c r="MI118" s="73"/>
      <c r="MJ118" s="73"/>
      <c r="MK118" s="73"/>
      <c r="ML118" s="73"/>
      <c r="MM118" s="73"/>
      <c r="MN118" s="73"/>
      <c r="MO118" s="73"/>
      <c r="MP118" s="73"/>
      <c r="MQ118" s="73"/>
      <c r="MR118" s="73"/>
      <c r="MS118" s="73"/>
      <c r="MT118" s="73"/>
      <c r="MU118" s="73"/>
      <c r="MV118" s="73"/>
      <c r="MW118" s="73"/>
      <c r="MX118" s="73"/>
      <c r="MY118" s="73"/>
      <c r="MZ118" s="73"/>
      <c r="NA118" s="73"/>
      <c r="NB118" s="73"/>
      <c r="NC118" s="73"/>
      <c r="ND118" s="73"/>
      <c r="NE118" s="73"/>
      <c r="NF118" s="73"/>
      <c r="NG118" s="73"/>
      <c r="NH118" s="73"/>
      <c r="NI118" s="73"/>
      <c r="NJ118" s="73"/>
      <c r="NK118" s="73"/>
      <c r="NL118" s="73"/>
      <c r="NM118" s="73"/>
      <c r="NN118" s="73"/>
      <c r="NO118" s="73"/>
      <c r="NP118" s="73"/>
      <c r="NQ118" s="73"/>
      <c r="NR118" s="73"/>
      <c r="NS118" s="73"/>
      <c r="NT118" s="73"/>
      <c r="NU118" s="73"/>
      <c r="NV118" s="73"/>
      <c r="NW118" s="73"/>
      <c r="NX118" s="73"/>
      <c r="NY118" s="73"/>
      <c r="NZ118" s="73"/>
      <c r="OA118" s="73"/>
      <c r="OB118" s="73"/>
      <c r="OC118" s="73"/>
      <c r="OD118" s="73"/>
      <c r="OE118" s="73"/>
      <c r="OF118" s="73"/>
      <c r="OG118" s="73"/>
      <c r="OH118" s="73"/>
      <c r="OI118" s="73"/>
      <c r="OJ118" s="73"/>
      <c r="OK118" s="73"/>
      <c r="OL118" s="73"/>
      <c r="OM118" s="73"/>
      <c r="ON118" s="73"/>
      <c r="OO118" s="73"/>
      <c r="OP118" s="73"/>
      <c r="OQ118" s="73"/>
      <c r="OR118" s="73"/>
      <c r="OS118" s="73"/>
      <c r="OT118" s="73"/>
      <c r="OU118" s="73"/>
      <c r="OV118" s="73"/>
      <c r="OW118" s="73"/>
      <c r="OX118" s="73"/>
      <c r="OY118" s="73"/>
      <c r="OZ118" s="73"/>
      <c r="PA118" s="73"/>
      <c r="PB118" s="73"/>
      <c r="PC118" s="73"/>
      <c r="PD118" s="73"/>
      <c r="PE118" s="73"/>
      <c r="PF118" s="73"/>
      <c r="PG118" s="73"/>
      <c r="PH118" s="73"/>
      <c r="PI118" s="73"/>
      <c r="PJ118" s="73"/>
      <c r="PK118" s="73"/>
      <c r="PL118" s="73"/>
      <c r="PM118" s="73"/>
      <c r="PN118" s="73"/>
      <c r="PO118" s="73"/>
      <c r="PP118" s="73"/>
      <c r="PQ118" s="73"/>
      <c r="PR118" s="73"/>
      <c r="PS118" s="73"/>
      <c r="PT118" s="73"/>
      <c r="PU118" s="73"/>
      <c r="PV118" s="73"/>
      <c r="PW118" s="73"/>
      <c r="PX118" s="73"/>
      <c r="PY118" s="73"/>
      <c r="PZ118" s="73"/>
      <c r="QA118" s="73"/>
      <c r="QB118" s="73"/>
      <c r="QC118" s="73"/>
      <c r="QD118" s="73"/>
      <c r="QE118" s="73"/>
      <c r="QF118" s="73"/>
      <c r="QG118" s="73"/>
      <c r="QH118" s="73"/>
      <c r="QI118" s="73"/>
      <c r="QJ118" s="73"/>
      <c r="QK118" s="73"/>
      <c r="QL118" s="73"/>
      <c r="QM118" s="73"/>
      <c r="QN118" s="73"/>
      <c r="QO118" s="73"/>
      <c r="QP118" s="73"/>
      <c r="QQ118" s="73"/>
      <c r="QR118" s="73"/>
      <c r="QS118" s="73"/>
      <c r="QT118" s="73"/>
      <c r="QU118" s="73"/>
      <c r="QV118" s="73"/>
      <c r="QW118" s="73"/>
      <c r="QX118" s="73"/>
      <c r="QY118" s="73"/>
      <c r="QZ118" s="73"/>
      <c r="RA118" s="73"/>
      <c r="RB118" s="73"/>
      <c r="RC118" s="73"/>
      <c r="RD118" s="73"/>
      <c r="RE118" s="73"/>
      <c r="RF118" s="73"/>
      <c r="RG118" s="73"/>
      <c r="RH118" s="73"/>
      <c r="RI118" s="73"/>
      <c r="RJ118" s="73"/>
      <c r="RK118" s="73"/>
      <c r="RL118" s="73"/>
      <c r="RM118" s="73"/>
      <c r="RN118" s="73"/>
      <c r="RO118" s="73"/>
      <c r="RP118" s="73"/>
      <c r="RQ118" s="73"/>
      <c r="RR118" s="73"/>
      <c r="RS118" s="73"/>
      <c r="RT118" s="73"/>
      <c r="RU118" s="73"/>
      <c r="RV118" s="73"/>
      <c r="RW118" s="73"/>
      <c r="RX118" s="73"/>
      <c r="RY118" s="73"/>
      <c r="RZ118" s="73"/>
      <c r="SA118" s="73"/>
      <c r="SB118" s="73"/>
      <c r="SC118" s="73"/>
      <c r="SD118" s="73"/>
      <c r="SE118" s="73"/>
      <c r="SF118" s="73"/>
      <c r="SG118" s="73"/>
      <c r="SH118" s="73"/>
      <c r="SI118" s="73"/>
      <c r="SJ118" s="73"/>
      <c r="SK118" s="73"/>
      <c r="SL118" s="73"/>
      <c r="SM118" s="73"/>
      <c r="SN118" s="73"/>
      <c r="SO118" s="73"/>
      <c r="SP118" s="73"/>
      <c r="SQ118" s="73"/>
      <c r="SR118" s="73"/>
      <c r="SS118" s="73"/>
      <c r="ST118" s="73"/>
      <c r="SU118" s="73"/>
      <c r="SV118" s="73"/>
      <c r="SW118" s="73"/>
      <c r="SX118" s="73"/>
      <c r="SY118" s="73"/>
      <c r="SZ118" s="73"/>
      <c r="TA118" s="73"/>
      <c r="TB118" s="73"/>
      <c r="TC118" s="73"/>
      <c r="TD118" s="73"/>
      <c r="TE118" s="73"/>
      <c r="TF118" s="73"/>
      <c r="TG118" s="73"/>
      <c r="TH118" s="73"/>
      <c r="TI118" s="73"/>
      <c r="TJ118" s="73"/>
      <c r="TK118" s="73"/>
      <c r="TL118" s="73"/>
      <c r="TM118" s="73"/>
      <c r="TN118" s="73"/>
      <c r="TO118" s="73"/>
      <c r="TP118" s="73"/>
      <c r="TQ118" s="73"/>
      <c r="TR118" s="73"/>
      <c r="TS118" s="73"/>
      <c r="TT118" s="73"/>
      <c r="TU118" s="73"/>
      <c r="TV118" s="73"/>
      <c r="TW118" s="73"/>
      <c r="TX118" s="73"/>
      <c r="TY118" s="73"/>
      <c r="TZ118" s="73"/>
      <c r="UA118" s="73"/>
      <c r="UB118" s="73"/>
      <c r="UC118" s="73"/>
      <c r="UD118" s="73"/>
      <c r="UE118" s="73"/>
      <c r="UF118" s="73"/>
      <c r="UG118" s="73"/>
      <c r="UH118" s="73"/>
      <c r="UI118" s="73"/>
      <c r="UJ118" s="73"/>
      <c r="UK118" s="73"/>
      <c r="UL118" s="73"/>
      <c r="UM118" s="73"/>
      <c r="UN118" s="73"/>
      <c r="UO118" s="73"/>
      <c r="UP118" s="73"/>
      <c r="UQ118" s="73"/>
      <c r="UR118" s="73"/>
      <c r="US118" s="73"/>
      <c r="UT118" s="73"/>
      <c r="UU118" s="73"/>
      <c r="UV118" s="73"/>
      <c r="UW118" s="73"/>
      <c r="UX118" s="73"/>
      <c r="UY118" s="73"/>
      <c r="UZ118" s="73"/>
      <c r="VA118" s="73"/>
      <c r="VB118" s="73"/>
      <c r="VC118" s="73"/>
      <c r="VD118" s="73"/>
      <c r="VE118" s="73"/>
      <c r="VF118" s="73"/>
      <c r="VG118" s="73"/>
      <c r="VH118" s="73"/>
      <c r="VI118" s="73"/>
      <c r="VJ118" s="73"/>
      <c r="VK118" s="73"/>
      <c r="VL118" s="73"/>
      <c r="VM118" s="73"/>
      <c r="VN118" s="73"/>
      <c r="VO118" s="73"/>
      <c r="VP118" s="73"/>
      <c r="VQ118" s="73"/>
      <c r="VR118" s="73"/>
      <c r="VS118" s="73"/>
      <c r="VT118" s="73"/>
      <c r="VU118" s="73"/>
      <c r="VV118" s="73"/>
      <c r="VW118" s="73"/>
      <c r="VX118" s="73"/>
      <c r="VY118" s="73"/>
      <c r="VZ118" s="73"/>
      <c r="WA118" s="73"/>
      <c r="WB118" s="73"/>
      <c r="WC118" s="73"/>
      <c r="WD118" s="73"/>
      <c r="WE118" s="73"/>
      <c r="WF118" s="73"/>
      <c r="WG118" s="73"/>
      <c r="WH118" s="73"/>
      <c r="WI118" s="73"/>
      <c r="WJ118" s="73"/>
      <c r="WK118" s="73"/>
      <c r="WL118" s="73"/>
      <c r="WM118" s="73"/>
      <c r="WN118" s="73"/>
      <c r="WO118" s="73"/>
      <c r="WP118" s="73"/>
      <c r="WQ118" s="73"/>
      <c r="WR118" s="73"/>
      <c r="WS118" s="73"/>
      <c r="WT118" s="73"/>
      <c r="WU118" s="73"/>
      <c r="WV118" s="73"/>
      <c r="WW118" s="73"/>
      <c r="WX118" s="73"/>
      <c r="WY118" s="73"/>
      <c r="WZ118" s="73"/>
      <c r="XA118" s="73"/>
      <c r="XB118" s="73"/>
      <c r="XC118" s="73"/>
      <c r="XD118" s="73"/>
      <c r="XE118" s="73"/>
      <c r="XF118" s="73"/>
      <c r="XG118" s="73"/>
      <c r="XH118" s="73"/>
      <c r="XI118" s="73"/>
      <c r="XJ118" s="73"/>
      <c r="XK118" s="73"/>
      <c r="XL118" s="73"/>
      <c r="XM118" s="73"/>
      <c r="XN118" s="73"/>
      <c r="XO118" s="73"/>
      <c r="XP118" s="73"/>
      <c r="XQ118" s="73"/>
      <c r="XR118" s="73"/>
      <c r="XS118" s="73"/>
      <c r="XT118" s="73"/>
      <c r="XU118" s="73"/>
      <c r="XV118" s="73"/>
      <c r="XW118" s="73"/>
      <c r="XX118" s="73"/>
      <c r="XY118" s="73"/>
      <c r="XZ118" s="73"/>
      <c r="YA118" s="73"/>
      <c r="YB118" s="73"/>
      <c r="YC118" s="73"/>
      <c r="YD118" s="73"/>
      <c r="YE118" s="73"/>
      <c r="YF118" s="73"/>
      <c r="YG118" s="73"/>
      <c r="YH118" s="73"/>
      <c r="YI118" s="73"/>
      <c r="YJ118" s="73"/>
      <c r="YK118" s="73"/>
      <c r="YL118" s="73"/>
      <c r="YM118" s="73"/>
      <c r="YN118" s="73"/>
      <c r="YO118" s="73"/>
      <c r="YP118" s="73"/>
      <c r="YQ118" s="73"/>
      <c r="YR118" s="73"/>
      <c r="YS118" s="73"/>
      <c r="YT118" s="73"/>
      <c r="YU118" s="73"/>
      <c r="YV118" s="73"/>
      <c r="YW118" s="73"/>
      <c r="YX118" s="73"/>
      <c r="YY118" s="73"/>
      <c r="YZ118" s="73"/>
      <c r="ZA118" s="73"/>
      <c r="ZB118" s="73"/>
      <c r="ZC118" s="73"/>
      <c r="ZD118" s="73"/>
      <c r="ZE118" s="73"/>
      <c r="ZF118" s="73"/>
      <c r="ZG118" s="73"/>
      <c r="ZH118" s="73"/>
      <c r="ZI118" s="73"/>
      <c r="ZJ118" s="73"/>
      <c r="ZK118" s="73"/>
      <c r="ZL118" s="73"/>
      <c r="ZM118" s="73"/>
      <c r="ZN118" s="73"/>
      <c r="ZO118" s="73"/>
      <c r="ZP118" s="73"/>
      <c r="ZQ118" s="73"/>
      <c r="ZR118" s="73"/>
      <c r="ZS118" s="73"/>
      <c r="ZT118" s="73"/>
      <c r="ZU118" s="73"/>
      <c r="ZV118" s="73"/>
      <c r="ZW118" s="73"/>
      <c r="ZX118" s="73"/>
      <c r="ZY118" s="73"/>
      <c r="ZZ118" s="73"/>
      <c r="AAA118" s="73"/>
      <c r="AAB118" s="73"/>
      <c r="AAC118" s="73"/>
      <c r="AAD118" s="73"/>
      <c r="AAE118" s="73"/>
      <c r="AAF118" s="73"/>
      <c r="AAG118" s="73"/>
      <c r="AAH118" s="73"/>
      <c r="AAI118" s="73"/>
      <c r="AAJ118" s="73"/>
      <c r="AAK118" s="73"/>
      <c r="AAL118" s="73"/>
      <c r="AAM118" s="73"/>
      <c r="AAN118" s="73"/>
      <c r="AAO118" s="73"/>
      <c r="AAP118" s="73"/>
      <c r="AAQ118" s="73"/>
      <c r="AAR118" s="73"/>
      <c r="AAS118" s="73"/>
      <c r="AAT118" s="73"/>
      <c r="AAU118" s="73"/>
      <c r="AAV118" s="73"/>
      <c r="AAW118" s="73"/>
      <c r="AAX118" s="73"/>
      <c r="AAY118" s="73"/>
      <c r="AAZ118" s="73"/>
      <c r="ABA118" s="73"/>
      <c r="ABB118" s="73"/>
      <c r="ABC118" s="73"/>
      <c r="ABD118" s="73"/>
      <c r="ABE118" s="73"/>
      <c r="ABF118" s="73"/>
      <c r="ABG118" s="73"/>
      <c r="ABH118" s="73"/>
      <c r="ABI118" s="73"/>
      <c r="ABJ118" s="73"/>
      <c r="ABK118" s="73"/>
      <c r="ABL118" s="73"/>
      <c r="ABM118" s="73"/>
      <c r="ABN118" s="73"/>
      <c r="ABO118" s="73"/>
      <c r="ABP118" s="73"/>
      <c r="ABQ118" s="73"/>
      <c r="ABR118" s="73"/>
      <c r="ABS118" s="73"/>
      <c r="ABT118" s="73"/>
      <c r="ABU118" s="73"/>
      <c r="ABV118" s="73"/>
      <c r="ABW118" s="73"/>
      <c r="ABX118" s="73"/>
      <c r="ABY118" s="73"/>
      <c r="ABZ118" s="73"/>
      <c r="ACA118" s="73"/>
      <c r="ACB118" s="73"/>
      <c r="ACC118" s="73"/>
      <c r="ACD118" s="73"/>
      <c r="ACE118" s="73"/>
      <c r="ACF118" s="73"/>
      <c r="ACG118" s="73"/>
      <c r="ACH118" s="73"/>
      <c r="ACI118" s="73"/>
      <c r="ACJ118" s="73"/>
      <c r="ACK118" s="73"/>
      <c r="ACL118" s="73"/>
      <c r="ACM118" s="73"/>
      <c r="ACN118" s="73"/>
      <c r="ACO118" s="73"/>
      <c r="ACP118" s="73"/>
      <c r="ACQ118" s="73"/>
      <c r="ACR118" s="73"/>
      <c r="ACS118" s="73"/>
      <c r="ACT118" s="73"/>
      <c r="ACU118" s="73"/>
      <c r="ACV118" s="73"/>
      <c r="ACW118" s="73"/>
      <c r="ACX118" s="73"/>
      <c r="ACY118" s="73"/>
      <c r="ACZ118" s="73"/>
      <c r="ADA118" s="73"/>
      <c r="ADB118" s="73"/>
      <c r="ADC118" s="73"/>
      <c r="ADD118" s="73"/>
      <c r="ADE118" s="73"/>
      <c r="ADF118" s="73"/>
      <c r="ADG118" s="73"/>
      <c r="ADH118" s="73"/>
      <c r="ADI118" s="73"/>
      <c r="ADJ118" s="73"/>
      <c r="ADK118" s="73"/>
      <c r="ADL118" s="73"/>
      <c r="ADM118" s="73"/>
      <c r="ADN118" s="73"/>
      <c r="ADO118" s="73"/>
      <c r="ADP118" s="73"/>
      <c r="ADQ118" s="73"/>
      <c r="ADR118" s="73"/>
      <c r="ADS118" s="73"/>
      <c r="ADT118" s="73"/>
      <c r="ADU118" s="73"/>
      <c r="ADV118" s="73"/>
      <c r="ADW118" s="73"/>
      <c r="ADX118" s="73"/>
      <c r="ADY118" s="73"/>
      <c r="ADZ118" s="73"/>
      <c r="AEA118" s="73"/>
      <c r="AEB118" s="73"/>
      <c r="AEC118" s="73"/>
      <c r="AED118" s="73"/>
      <c r="AEE118" s="73"/>
      <c r="AEF118" s="73"/>
      <c r="AEG118" s="73"/>
      <c r="AEH118" s="73"/>
      <c r="AEI118" s="73"/>
      <c r="AEJ118" s="73"/>
      <c r="AEK118" s="73"/>
      <c r="AEL118" s="73"/>
      <c r="AEM118" s="73"/>
      <c r="AEN118" s="73"/>
      <c r="AEO118" s="73"/>
      <c r="AEP118" s="73"/>
      <c r="AEQ118" s="73"/>
      <c r="AER118" s="73"/>
      <c r="AES118" s="73"/>
      <c r="AET118" s="73"/>
      <c r="AEU118" s="73"/>
      <c r="AEV118" s="73"/>
      <c r="AEW118" s="73"/>
      <c r="AEX118" s="73"/>
      <c r="AEY118" s="73"/>
      <c r="AEZ118" s="73"/>
      <c r="AFA118" s="73"/>
      <c r="AFB118" s="73"/>
      <c r="AFC118" s="73"/>
      <c r="AFD118" s="73"/>
      <c r="AFE118" s="73"/>
      <c r="AFF118" s="73"/>
      <c r="AFG118" s="73"/>
      <c r="AFH118" s="73"/>
      <c r="AFI118" s="73"/>
      <c r="AFJ118" s="73"/>
      <c r="AFK118" s="73"/>
      <c r="AFL118" s="73"/>
      <c r="AFM118" s="73"/>
      <c r="AFN118" s="73"/>
      <c r="AFO118" s="73"/>
      <c r="AFP118" s="73"/>
      <c r="AFQ118" s="73"/>
      <c r="AFR118" s="73"/>
      <c r="AFS118" s="73"/>
      <c r="AFT118" s="73"/>
      <c r="AFU118" s="73"/>
      <c r="AFV118" s="73"/>
      <c r="AFW118" s="73"/>
      <c r="AFX118" s="73"/>
      <c r="AFY118" s="73"/>
      <c r="AFZ118" s="73"/>
      <c r="AGA118" s="73"/>
      <c r="AGB118" s="73"/>
      <c r="AGC118" s="73"/>
      <c r="AGD118" s="73"/>
      <c r="AGE118" s="73"/>
      <c r="AGF118" s="73"/>
      <c r="AGG118" s="73"/>
      <c r="AGH118" s="73"/>
      <c r="AGI118" s="73"/>
      <c r="AGJ118" s="73"/>
      <c r="AGK118" s="73"/>
      <c r="AGL118" s="73"/>
      <c r="AGM118" s="73"/>
      <c r="AGN118" s="73"/>
      <c r="AGO118" s="73"/>
      <c r="AGP118" s="73"/>
      <c r="AGQ118" s="73"/>
      <c r="AGR118" s="73"/>
      <c r="AGS118" s="73"/>
      <c r="AGT118" s="73"/>
      <c r="AGU118" s="73"/>
      <c r="AGV118" s="73"/>
      <c r="AGW118" s="73"/>
      <c r="AGX118" s="73"/>
      <c r="AGY118" s="73"/>
      <c r="AGZ118" s="73"/>
      <c r="AHA118" s="73"/>
      <c r="AHB118" s="73"/>
      <c r="AHC118" s="73"/>
      <c r="AHD118" s="73"/>
      <c r="AHE118" s="73"/>
      <c r="AHF118" s="73"/>
      <c r="AHG118" s="73"/>
      <c r="AHH118" s="73"/>
      <c r="AHI118" s="73"/>
      <c r="AHJ118" s="73"/>
      <c r="AHK118" s="73"/>
      <c r="AHL118" s="73"/>
      <c r="AHM118" s="73"/>
      <c r="AHN118" s="73"/>
      <c r="AHO118" s="73"/>
      <c r="AHP118" s="73"/>
      <c r="AHQ118" s="73"/>
      <c r="AHR118" s="73"/>
      <c r="AHS118" s="73"/>
      <c r="AHT118" s="73"/>
      <c r="AHU118" s="73"/>
      <c r="AHV118" s="73"/>
      <c r="AHW118" s="73"/>
      <c r="AHX118" s="73"/>
      <c r="AHY118" s="73"/>
      <c r="AHZ118" s="73"/>
      <c r="AIA118" s="73"/>
      <c r="AIB118" s="73"/>
      <c r="AIC118" s="73"/>
      <c r="AID118" s="73"/>
      <c r="AIE118" s="73"/>
      <c r="AIF118" s="73"/>
      <c r="AIG118" s="73"/>
      <c r="AIH118" s="73"/>
      <c r="AII118" s="73"/>
      <c r="AIJ118" s="73"/>
      <c r="AIK118" s="73"/>
      <c r="AIL118" s="73"/>
      <c r="AIM118" s="73"/>
      <c r="AIN118" s="73"/>
      <c r="AIO118" s="73"/>
      <c r="AIP118" s="73"/>
      <c r="AIQ118" s="73"/>
      <c r="AIR118" s="73"/>
      <c r="AIS118" s="73"/>
      <c r="AIT118" s="73"/>
      <c r="AIU118" s="73"/>
      <c r="AIV118" s="73"/>
      <c r="AIW118" s="73"/>
      <c r="AIX118" s="73"/>
      <c r="AIY118" s="73"/>
      <c r="AIZ118" s="73"/>
      <c r="AJA118" s="73"/>
      <c r="AJB118" s="73"/>
      <c r="AJC118" s="73"/>
      <c r="AJD118" s="73"/>
      <c r="AJE118" s="73"/>
      <c r="AJF118" s="73"/>
      <c r="AJG118" s="73"/>
      <c r="AJH118" s="73"/>
      <c r="AJI118" s="73"/>
      <c r="AJJ118" s="73"/>
      <c r="AJK118" s="73"/>
      <c r="AJL118" s="73"/>
      <c r="AJM118" s="73"/>
      <c r="AJN118" s="73"/>
      <c r="AJO118" s="73"/>
      <c r="AJP118" s="73"/>
      <c r="AJQ118" s="73"/>
      <c r="AJR118" s="73"/>
      <c r="AJS118" s="73"/>
      <c r="AJT118" s="73"/>
      <c r="AJU118" s="73"/>
      <c r="AJV118" s="73"/>
      <c r="AJW118" s="73"/>
      <c r="AJX118" s="73"/>
      <c r="AJY118" s="73"/>
      <c r="AJZ118" s="73"/>
      <c r="AKA118" s="73"/>
      <c r="AKB118" s="73"/>
      <c r="AKC118" s="73"/>
      <c r="AKD118" s="73"/>
      <c r="AKE118" s="73"/>
      <c r="AKF118" s="73"/>
      <c r="AKG118" s="73"/>
      <c r="AKH118" s="73"/>
      <c r="AKI118" s="73"/>
      <c r="AKJ118" s="73"/>
      <c r="AKK118" s="73"/>
      <c r="AKL118" s="73"/>
      <c r="AKM118" s="73"/>
      <c r="AKN118" s="73"/>
      <c r="AKO118" s="73"/>
      <c r="AKP118" s="73"/>
      <c r="AKQ118" s="73"/>
      <c r="AKR118" s="73"/>
      <c r="AKS118" s="73"/>
      <c r="AKT118" s="73"/>
      <c r="AKU118" s="73"/>
      <c r="AKV118" s="73"/>
      <c r="AKW118" s="73"/>
      <c r="AKX118" s="73"/>
      <c r="AKY118" s="73"/>
      <c r="AKZ118" s="73"/>
      <c r="ALA118" s="73"/>
      <c r="ALB118" s="73"/>
      <c r="ALC118" s="73"/>
      <c r="ALD118" s="73"/>
      <c r="ALE118" s="73"/>
      <c r="ALF118" s="73"/>
      <c r="ALG118" s="73"/>
      <c r="ALH118" s="73"/>
      <c r="ALI118" s="73"/>
      <c r="ALJ118" s="73"/>
      <c r="ALK118" s="73"/>
      <c r="ALL118" s="73"/>
      <c r="ALM118" s="73"/>
      <c r="ALN118" s="73"/>
      <c r="ALO118" s="73"/>
      <c r="ALP118" s="73"/>
      <c r="ALQ118" s="73"/>
      <c r="ALR118" s="73"/>
      <c r="ALS118" s="73"/>
      <c r="ALT118" s="73"/>
      <c r="ALU118" s="73"/>
      <c r="ALV118" s="73"/>
      <c r="ALW118" s="73"/>
      <c r="ALX118" s="73"/>
      <c r="ALY118" s="73"/>
      <c r="ALZ118" s="73"/>
      <c r="AMA118" s="73"/>
      <c r="AMB118" s="73"/>
      <c r="AMC118" s="73"/>
      <c r="AMD118" s="73"/>
      <c r="AME118" s="73"/>
      <c r="AMF118" s="73"/>
      <c r="AMG118" s="73"/>
      <c r="AMH118" s="73"/>
      <c r="AMI118" s="73"/>
      <c r="AMJ118" s="73"/>
      <c r="AMK118" s="73"/>
      <c r="AML118" s="73"/>
      <c r="AMM118" s="73"/>
      <c r="AMN118" s="73"/>
      <c r="AMO118" s="73"/>
      <c r="AMP118" s="73"/>
      <c r="AMQ118" s="73"/>
      <c r="AMR118" s="73"/>
      <c r="AMS118" s="73"/>
      <c r="AMT118" s="73"/>
      <c r="AMU118" s="73"/>
      <c r="AMV118" s="73"/>
      <c r="AMW118" s="73"/>
      <c r="AMX118" s="73"/>
      <c r="AMY118" s="73"/>
      <c r="AMZ118" s="73"/>
      <c r="ANA118" s="73"/>
      <c r="ANB118" s="73"/>
      <c r="ANC118" s="73"/>
      <c r="AND118" s="73"/>
      <c r="ANE118" s="73"/>
      <c r="ANF118" s="73"/>
      <c r="ANG118" s="73"/>
      <c r="ANH118" s="73"/>
      <c r="ANI118" s="73"/>
      <c r="ANJ118" s="73"/>
      <c r="ANK118" s="73"/>
      <c r="ANL118" s="73"/>
      <c r="ANM118" s="73"/>
      <c r="ANN118" s="73"/>
      <c r="ANO118" s="73"/>
      <c r="ANP118" s="73"/>
      <c r="ANQ118" s="73"/>
      <c r="ANR118" s="73"/>
      <c r="ANS118" s="73"/>
      <c r="ANT118" s="73"/>
      <c r="ANU118" s="73"/>
      <c r="ANV118" s="73"/>
      <c r="ANW118" s="73"/>
      <c r="ANX118" s="73"/>
      <c r="ANY118" s="73"/>
      <c r="ANZ118" s="73"/>
      <c r="AOA118" s="73"/>
      <c r="AOB118" s="73"/>
      <c r="AOC118" s="73"/>
      <c r="AOD118" s="73"/>
      <c r="AOE118" s="73"/>
      <c r="AOF118" s="73"/>
      <c r="AOG118" s="73"/>
      <c r="AOH118" s="73"/>
      <c r="AOI118" s="73"/>
      <c r="AOJ118" s="73"/>
      <c r="AOK118" s="73"/>
      <c r="AOL118" s="73"/>
      <c r="AOM118" s="73"/>
      <c r="AON118" s="73"/>
      <c r="AOO118" s="73"/>
      <c r="AOP118" s="73"/>
      <c r="AOQ118" s="73"/>
      <c r="AOR118" s="73"/>
      <c r="AOS118" s="73"/>
      <c r="AOT118" s="73"/>
      <c r="AOU118" s="73"/>
      <c r="AOV118" s="73"/>
      <c r="AOW118" s="73"/>
      <c r="AOX118" s="73"/>
      <c r="AOY118" s="73"/>
      <c r="AOZ118" s="73"/>
      <c r="APA118" s="73"/>
      <c r="APB118" s="73"/>
      <c r="APC118" s="73"/>
      <c r="APD118" s="73"/>
      <c r="APE118" s="73"/>
      <c r="APF118" s="73"/>
      <c r="APG118" s="73"/>
      <c r="APH118" s="73"/>
      <c r="API118" s="73"/>
      <c r="APJ118" s="73"/>
      <c r="APK118" s="73"/>
      <c r="APL118" s="73"/>
      <c r="APM118" s="73"/>
      <c r="APN118" s="73"/>
      <c r="APO118" s="73"/>
      <c r="APP118" s="73"/>
      <c r="APQ118" s="73"/>
      <c r="APR118" s="73"/>
      <c r="APS118" s="73"/>
      <c r="APT118" s="73"/>
      <c r="APU118" s="73"/>
      <c r="APV118" s="73"/>
      <c r="APW118" s="73"/>
      <c r="APX118" s="73"/>
      <c r="APY118" s="73"/>
      <c r="APZ118" s="73"/>
      <c r="AQA118" s="73"/>
      <c r="AQB118" s="73"/>
      <c r="AQC118" s="73"/>
      <c r="AQD118" s="73"/>
      <c r="AQE118" s="73"/>
      <c r="AQF118" s="73"/>
      <c r="AQG118" s="73"/>
      <c r="AQH118" s="73"/>
      <c r="AQI118" s="73"/>
      <c r="AQJ118" s="73"/>
      <c r="AQK118" s="73"/>
      <c r="AQL118" s="73"/>
      <c r="AQM118" s="73"/>
      <c r="AQN118" s="73"/>
      <c r="AQO118" s="73"/>
      <c r="AQP118" s="73"/>
      <c r="AQQ118" s="73"/>
      <c r="AQR118" s="73"/>
      <c r="AQS118" s="73"/>
      <c r="AQT118" s="73"/>
      <c r="AQU118" s="73"/>
      <c r="AQV118" s="73"/>
      <c r="AQW118" s="73"/>
      <c r="AQX118" s="73"/>
      <c r="AQY118" s="73"/>
      <c r="AQZ118" s="73"/>
      <c r="ARA118" s="73"/>
      <c r="ARB118" s="73"/>
      <c r="ARC118" s="73"/>
      <c r="ARD118" s="73"/>
      <c r="ARE118" s="73"/>
      <c r="ARF118" s="73"/>
      <c r="ARG118" s="73"/>
      <c r="ARH118" s="73"/>
      <c r="ARI118" s="73"/>
      <c r="ARJ118" s="73"/>
      <c r="ARK118" s="73"/>
      <c r="ARL118" s="73"/>
      <c r="ARM118" s="73"/>
      <c r="ARN118" s="73"/>
      <c r="ARO118" s="73"/>
      <c r="ARP118" s="73"/>
      <c r="ARQ118" s="73"/>
      <c r="ARR118" s="73"/>
      <c r="ARS118" s="73"/>
      <c r="ART118" s="73"/>
      <c r="ARU118" s="73"/>
      <c r="ARV118" s="73"/>
      <c r="ARW118" s="73"/>
      <c r="ARX118" s="73"/>
      <c r="ARY118" s="73"/>
      <c r="ARZ118" s="73"/>
      <c r="ASA118" s="73"/>
      <c r="ASB118" s="73"/>
      <c r="ASC118" s="73"/>
      <c r="ASD118" s="73"/>
      <c r="ASE118" s="73"/>
      <c r="ASF118" s="73"/>
      <c r="ASG118" s="73"/>
      <c r="ASH118" s="73"/>
      <c r="ASI118" s="73"/>
      <c r="ASJ118" s="73"/>
      <c r="ASK118" s="73"/>
      <c r="ASL118" s="73"/>
      <c r="ASM118" s="73"/>
      <c r="ASN118" s="73"/>
      <c r="ASO118" s="73"/>
      <c r="ASP118" s="73"/>
      <c r="ASQ118" s="73"/>
      <c r="ASR118" s="73"/>
      <c r="ASS118" s="73"/>
      <c r="AST118" s="73"/>
      <c r="ASU118" s="73"/>
      <c r="ASV118" s="73"/>
      <c r="ASW118" s="73"/>
      <c r="ASX118" s="73"/>
      <c r="ASY118" s="73"/>
      <c r="ASZ118" s="73"/>
      <c r="ATA118" s="73"/>
      <c r="ATB118" s="73"/>
      <c r="ATC118" s="73"/>
      <c r="ATD118" s="73"/>
      <c r="ATE118" s="73"/>
      <c r="ATF118" s="73"/>
      <c r="ATG118" s="73"/>
      <c r="ATH118" s="73"/>
      <c r="ATI118" s="73"/>
      <c r="ATJ118" s="73"/>
      <c r="ATK118" s="73"/>
      <c r="ATL118" s="73"/>
      <c r="ATM118" s="73"/>
      <c r="ATN118" s="73"/>
      <c r="ATO118" s="73"/>
      <c r="ATP118" s="73"/>
      <c r="ATQ118" s="73"/>
      <c r="ATR118" s="73"/>
      <c r="ATS118" s="73"/>
      <c r="ATT118" s="73"/>
      <c r="ATU118" s="73"/>
      <c r="ATV118" s="73"/>
      <c r="ATW118" s="73"/>
      <c r="ATX118" s="73"/>
      <c r="ATY118" s="73"/>
      <c r="ATZ118" s="73"/>
      <c r="AUA118" s="73"/>
      <c r="AUB118" s="73"/>
      <c r="AUC118" s="73"/>
      <c r="AUD118" s="73"/>
      <c r="AUE118" s="73"/>
      <c r="AUF118" s="73"/>
      <c r="AUG118" s="73"/>
      <c r="AUH118" s="73"/>
      <c r="AUI118" s="73"/>
      <c r="AUJ118" s="73"/>
      <c r="AUK118" s="73"/>
      <c r="AUL118" s="73"/>
      <c r="AUM118" s="73"/>
      <c r="AUN118" s="73"/>
      <c r="AUO118" s="73"/>
      <c r="AUP118" s="73"/>
      <c r="AUQ118" s="73"/>
      <c r="AUR118" s="73"/>
      <c r="AUS118" s="73"/>
      <c r="AUT118" s="73"/>
      <c r="AUU118" s="73"/>
      <c r="AUV118" s="73"/>
      <c r="AUW118" s="73"/>
      <c r="AUX118" s="73"/>
      <c r="AUY118" s="73"/>
      <c r="AUZ118" s="73"/>
      <c r="AVA118" s="73"/>
      <c r="AVB118" s="73"/>
      <c r="AVC118" s="73"/>
      <c r="AVD118" s="73"/>
      <c r="AVE118" s="73"/>
      <c r="AVF118" s="73"/>
      <c r="AVG118" s="73"/>
      <c r="AVH118" s="73"/>
      <c r="AVI118" s="73"/>
      <c r="AVJ118" s="73"/>
      <c r="AVK118" s="73"/>
      <c r="AVL118" s="73"/>
      <c r="AVM118" s="73"/>
      <c r="AVN118" s="73"/>
      <c r="AVO118" s="73"/>
      <c r="AVP118" s="73"/>
      <c r="AVQ118" s="73"/>
      <c r="AVR118" s="73"/>
      <c r="AVS118" s="73"/>
      <c r="AVT118" s="73"/>
      <c r="AVU118" s="73"/>
      <c r="AVV118" s="73"/>
      <c r="AVW118" s="73"/>
      <c r="AVX118" s="73"/>
      <c r="AVY118" s="73"/>
      <c r="AVZ118" s="73"/>
      <c r="AWA118" s="73"/>
      <c r="AWB118" s="73"/>
      <c r="AWC118" s="73"/>
      <c r="AWD118" s="73"/>
      <c r="AWE118" s="73"/>
      <c r="AWF118" s="73"/>
      <c r="AWG118" s="73"/>
      <c r="AWH118" s="73"/>
      <c r="AWI118" s="73"/>
      <c r="AWJ118" s="73"/>
      <c r="AWK118" s="73"/>
      <c r="AWL118" s="73"/>
      <c r="AWM118" s="73"/>
      <c r="AWN118" s="73"/>
      <c r="AWO118" s="73"/>
      <c r="AWP118" s="73"/>
      <c r="AWQ118" s="73"/>
      <c r="AWR118" s="73"/>
      <c r="AWS118" s="73"/>
      <c r="AWT118" s="73"/>
      <c r="AWU118" s="73"/>
      <c r="AWV118" s="73"/>
      <c r="AWW118" s="73"/>
      <c r="AWX118" s="73"/>
      <c r="AWY118" s="73"/>
      <c r="AWZ118" s="73"/>
      <c r="AXA118" s="73"/>
      <c r="AXB118" s="73"/>
      <c r="AXC118" s="73"/>
      <c r="AXD118" s="73"/>
      <c r="AXE118" s="73"/>
      <c r="AXF118" s="73"/>
      <c r="AXG118" s="73"/>
      <c r="AXH118" s="73"/>
      <c r="AXI118" s="73"/>
      <c r="AXJ118" s="73"/>
      <c r="AXK118" s="73"/>
      <c r="AXL118" s="73"/>
      <c r="AXM118" s="73"/>
      <c r="AXN118" s="73"/>
      <c r="AXO118" s="73"/>
      <c r="AXP118" s="73"/>
      <c r="AXQ118" s="73"/>
      <c r="AXR118" s="73"/>
      <c r="AXS118" s="73"/>
      <c r="AXT118" s="73"/>
      <c r="AXU118" s="73"/>
      <c r="AXV118" s="73"/>
      <c r="AXW118" s="73"/>
      <c r="AXX118" s="73"/>
      <c r="AXY118" s="73"/>
      <c r="AXZ118" s="73"/>
      <c r="AYA118" s="73"/>
      <c r="AYB118" s="73"/>
      <c r="AYC118" s="73"/>
      <c r="AYD118" s="73"/>
      <c r="AYE118" s="73"/>
      <c r="AYF118" s="73"/>
      <c r="AYG118" s="73"/>
      <c r="AYH118" s="73"/>
      <c r="AYI118" s="73"/>
      <c r="AYJ118" s="73"/>
      <c r="AYK118" s="73"/>
      <c r="AYL118" s="73"/>
      <c r="AYM118" s="73"/>
      <c r="AYN118" s="73"/>
      <c r="AYO118" s="73"/>
      <c r="AYP118" s="73"/>
      <c r="AYQ118" s="73"/>
      <c r="AYR118" s="73"/>
      <c r="AYS118" s="73"/>
      <c r="AYT118" s="73"/>
      <c r="AYU118" s="73"/>
      <c r="AYV118" s="73"/>
      <c r="AYW118" s="73"/>
      <c r="AYX118" s="73"/>
      <c r="AYY118" s="73"/>
      <c r="AYZ118" s="73"/>
      <c r="AZA118" s="73"/>
      <c r="AZB118" s="73"/>
      <c r="AZC118" s="73"/>
      <c r="AZD118" s="73"/>
      <c r="AZE118" s="73"/>
      <c r="AZF118" s="73"/>
      <c r="AZG118" s="73"/>
      <c r="AZH118" s="73"/>
      <c r="AZI118" s="73"/>
      <c r="AZJ118" s="73"/>
      <c r="AZK118" s="73"/>
      <c r="AZL118" s="73"/>
      <c r="AZM118" s="73"/>
      <c r="AZN118" s="73"/>
      <c r="AZO118" s="73"/>
      <c r="AZP118" s="73"/>
      <c r="AZQ118" s="73"/>
      <c r="AZR118" s="73"/>
      <c r="AZS118" s="73"/>
      <c r="AZT118" s="73"/>
      <c r="AZU118" s="73"/>
      <c r="AZV118" s="73"/>
      <c r="AZW118" s="73"/>
      <c r="AZX118" s="73"/>
      <c r="AZY118" s="73"/>
      <c r="AZZ118" s="73"/>
      <c r="BAA118" s="73"/>
      <c r="BAB118" s="73"/>
      <c r="BAC118" s="73"/>
      <c r="BAD118" s="73"/>
      <c r="BAE118" s="73"/>
      <c r="BAF118" s="73"/>
      <c r="BAG118" s="73"/>
      <c r="BAH118" s="73"/>
      <c r="BAI118" s="73"/>
      <c r="BAJ118" s="73"/>
      <c r="BAK118" s="73"/>
      <c r="BAL118" s="73"/>
      <c r="BAM118" s="73"/>
      <c r="BAN118" s="73"/>
      <c r="BAO118" s="73"/>
      <c r="BAP118" s="73"/>
      <c r="BAQ118" s="73"/>
      <c r="BAR118" s="73"/>
      <c r="BAS118" s="73"/>
      <c r="BAT118" s="73"/>
      <c r="BAU118" s="73"/>
      <c r="BAV118" s="73"/>
      <c r="BAW118" s="73"/>
      <c r="BAX118" s="73"/>
      <c r="BAY118" s="73"/>
      <c r="BAZ118" s="73"/>
      <c r="BBA118" s="73"/>
      <c r="BBB118" s="73"/>
      <c r="BBC118" s="73"/>
      <c r="BBD118" s="73"/>
      <c r="BBE118" s="73"/>
      <c r="BBF118" s="73"/>
      <c r="BBG118" s="73"/>
      <c r="BBH118" s="73"/>
      <c r="BBI118" s="73"/>
      <c r="BBJ118" s="73"/>
      <c r="BBK118" s="73"/>
      <c r="BBL118" s="73"/>
      <c r="BBM118" s="73"/>
      <c r="BBN118" s="73"/>
      <c r="BBO118" s="73"/>
      <c r="BBP118" s="73"/>
      <c r="BBQ118" s="73"/>
      <c r="BBR118" s="73"/>
      <c r="BBS118" s="73"/>
      <c r="BBT118" s="73"/>
      <c r="BBU118" s="73"/>
      <c r="BBV118" s="73"/>
      <c r="BBW118" s="73"/>
      <c r="BBX118" s="73"/>
      <c r="BBY118" s="73"/>
      <c r="BBZ118" s="73"/>
      <c r="BCA118" s="73"/>
      <c r="BCB118" s="73"/>
      <c r="BCC118" s="73"/>
      <c r="BCD118" s="73"/>
      <c r="BCE118" s="73"/>
      <c r="BCF118" s="73"/>
      <c r="BCG118" s="73"/>
      <c r="BCH118" s="73"/>
      <c r="BCI118" s="73"/>
      <c r="BCJ118" s="73"/>
      <c r="BCK118" s="73"/>
      <c r="BCL118" s="73"/>
      <c r="BCM118" s="73"/>
      <c r="BCN118" s="73"/>
      <c r="BCO118" s="73"/>
      <c r="BCP118" s="73"/>
      <c r="BCQ118" s="73"/>
      <c r="BCR118" s="73"/>
      <c r="BCS118" s="73"/>
      <c r="BCT118" s="73"/>
      <c r="BCU118" s="73"/>
      <c r="BCV118" s="73"/>
      <c r="BCW118" s="73"/>
      <c r="BCX118" s="73"/>
      <c r="BCY118" s="73"/>
      <c r="BCZ118" s="73"/>
      <c r="BDA118" s="73"/>
      <c r="BDB118" s="73"/>
      <c r="BDC118" s="73"/>
      <c r="BDD118" s="73"/>
      <c r="BDE118" s="73"/>
      <c r="BDF118" s="73"/>
      <c r="BDG118" s="73"/>
      <c r="BDH118" s="73"/>
      <c r="BDI118" s="73"/>
      <c r="BDJ118" s="73"/>
      <c r="BDK118" s="73"/>
      <c r="BDL118" s="73"/>
      <c r="BDM118" s="73"/>
      <c r="BDN118" s="73"/>
      <c r="BDO118" s="73"/>
      <c r="BDP118" s="73"/>
      <c r="BDQ118" s="73"/>
      <c r="BDR118" s="73"/>
      <c r="BDS118" s="73"/>
      <c r="BDT118" s="73"/>
      <c r="BDU118" s="73"/>
      <c r="BDV118" s="73"/>
      <c r="BDW118" s="73"/>
      <c r="BDX118" s="73"/>
      <c r="BDY118" s="73"/>
      <c r="BDZ118" s="73"/>
      <c r="BEA118" s="73"/>
      <c r="BEB118" s="73"/>
      <c r="BEC118" s="73"/>
      <c r="BED118" s="73"/>
      <c r="BEE118" s="73"/>
      <c r="BEF118" s="73"/>
      <c r="BEG118" s="73"/>
      <c r="BEH118" s="73"/>
      <c r="BEI118" s="73"/>
      <c r="BEJ118" s="73"/>
      <c r="BEK118" s="73"/>
      <c r="BEL118" s="73"/>
      <c r="BEM118" s="73"/>
      <c r="BEN118" s="73"/>
      <c r="BEO118" s="73"/>
      <c r="BEP118" s="73"/>
      <c r="BEQ118" s="73"/>
      <c r="BER118" s="73"/>
      <c r="BES118" s="73"/>
      <c r="BET118" s="73"/>
      <c r="BEU118" s="73"/>
      <c r="BEV118" s="73"/>
      <c r="BEW118" s="73"/>
      <c r="BEX118" s="73"/>
      <c r="BEY118" s="73"/>
      <c r="BEZ118" s="73"/>
      <c r="BFA118" s="73"/>
      <c r="BFB118" s="73"/>
      <c r="BFC118" s="73"/>
      <c r="BFD118" s="73"/>
      <c r="BFE118" s="73"/>
      <c r="BFF118" s="73"/>
      <c r="BFG118" s="73"/>
      <c r="BFH118" s="73"/>
      <c r="BFI118" s="73"/>
      <c r="BFJ118" s="73"/>
      <c r="BFK118" s="73"/>
      <c r="BFL118" s="73"/>
      <c r="BFM118" s="73"/>
      <c r="BFN118" s="73"/>
      <c r="BFO118" s="73"/>
      <c r="BFP118" s="73"/>
      <c r="BFQ118" s="73"/>
      <c r="BFR118" s="73"/>
      <c r="BFS118" s="73"/>
      <c r="BFT118" s="73"/>
      <c r="BFU118" s="73"/>
      <c r="BFV118" s="73"/>
      <c r="BFW118" s="73"/>
      <c r="BFX118" s="73"/>
      <c r="BFY118" s="73"/>
      <c r="BFZ118" s="73"/>
      <c r="BGA118" s="73"/>
      <c r="BGB118" s="73"/>
      <c r="BGC118" s="73"/>
      <c r="BGD118" s="73"/>
      <c r="BGE118" s="73"/>
      <c r="BGF118" s="73"/>
      <c r="BGG118" s="73"/>
      <c r="BGH118" s="73"/>
      <c r="BGI118" s="73"/>
      <c r="BGJ118" s="73"/>
      <c r="BGK118" s="73"/>
      <c r="BGL118" s="73"/>
      <c r="BGM118" s="73"/>
      <c r="BGN118" s="73"/>
      <c r="BGO118" s="73"/>
      <c r="BGP118" s="73"/>
      <c r="BGQ118" s="73"/>
      <c r="BGR118" s="73"/>
      <c r="BGS118" s="73"/>
      <c r="BGT118" s="73"/>
      <c r="BGU118" s="73"/>
      <c r="BGV118" s="73"/>
      <c r="BGW118" s="73"/>
      <c r="BGX118" s="73"/>
      <c r="BGY118" s="73"/>
      <c r="BGZ118" s="73"/>
      <c r="BHA118" s="73"/>
      <c r="BHB118" s="73"/>
      <c r="BHC118" s="73"/>
      <c r="BHD118" s="73"/>
      <c r="BHE118" s="73"/>
      <c r="BHF118" s="73"/>
      <c r="BHG118" s="73"/>
      <c r="BHH118" s="73"/>
      <c r="BHI118" s="73"/>
      <c r="BHJ118" s="73"/>
      <c r="BHK118" s="73"/>
      <c r="BHL118" s="73"/>
      <c r="BHM118" s="73"/>
      <c r="BHN118" s="73"/>
      <c r="BHO118" s="73"/>
      <c r="BHP118" s="73"/>
      <c r="BHQ118" s="73"/>
      <c r="BHR118" s="73"/>
      <c r="BHS118" s="73"/>
      <c r="BHT118" s="73"/>
      <c r="BHU118" s="73"/>
      <c r="BHV118" s="73"/>
      <c r="BHW118" s="73"/>
      <c r="BHX118" s="73"/>
      <c r="BHY118" s="73"/>
      <c r="BHZ118" s="73"/>
      <c r="BIA118" s="73"/>
      <c r="BIB118" s="73"/>
      <c r="BIC118" s="73"/>
      <c r="BID118" s="73"/>
      <c r="BIE118" s="73"/>
      <c r="BIF118" s="73"/>
      <c r="BIG118" s="73"/>
      <c r="BIH118" s="73"/>
      <c r="BII118" s="73"/>
      <c r="BIJ118" s="73"/>
      <c r="BIK118" s="73"/>
      <c r="BIL118" s="73"/>
      <c r="BIM118" s="73"/>
      <c r="BIN118" s="73"/>
      <c r="BIO118" s="73"/>
      <c r="BIP118" s="73"/>
      <c r="BIQ118" s="73"/>
      <c r="BIR118" s="73"/>
      <c r="BIS118" s="73"/>
      <c r="BIT118" s="73"/>
      <c r="BIU118" s="73"/>
      <c r="BIV118" s="73"/>
      <c r="BIW118" s="73"/>
      <c r="BIX118" s="73"/>
      <c r="BIY118" s="73"/>
      <c r="BIZ118" s="73"/>
      <c r="BJA118" s="73"/>
      <c r="BJB118" s="73"/>
      <c r="BJC118" s="73"/>
      <c r="BJD118" s="73"/>
      <c r="BJE118" s="73"/>
      <c r="BJF118" s="73"/>
      <c r="BJG118" s="73"/>
      <c r="BJH118" s="73"/>
      <c r="BJI118" s="73"/>
      <c r="BJJ118" s="73"/>
      <c r="BJK118" s="73"/>
      <c r="BJL118" s="73"/>
      <c r="BJM118" s="73"/>
      <c r="BJN118" s="73"/>
      <c r="BJO118" s="73"/>
      <c r="BJP118" s="73"/>
      <c r="BJQ118" s="73"/>
      <c r="BJR118" s="73"/>
      <c r="BJS118" s="73"/>
      <c r="BJT118" s="73"/>
      <c r="BJU118" s="73"/>
      <c r="BJV118" s="73"/>
      <c r="BJW118" s="73"/>
      <c r="BJX118" s="73"/>
      <c r="BJY118" s="73"/>
      <c r="BJZ118" s="73"/>
      <c r="BKA118" s="73"/>
      <c r="BKB118" s="73"/>
      <c r="BKC118" s="73"/>
      <c r="BKD118" s="73"/>
      <c r="BKE118" s="73"/>
      <c r="BKF118" s="73"/>
      <c r="BKG118" s="73"/>
      <c r="BKH118" s="73"/>
      <c r="BKI118" s="73"/>
      <c r="BKJ118" s="73"/>
      <c r="BKK118" s="73"/>
      <c r="BKL118" s="73"/>
      <c r="BKM118" s="73"/>
      <c r="BKN118" s="73"/>
      <c r="BKO118" s="73"/>
      <c r="BKP118" s="73"/>
      <c r="BKQ118" s="73"/>
      <c r="BKR118" s="73"/>
      <c r="BKS118" s="73"/>
      <c r="BKT118" s="73"/>
      <c r="BKU118" s="73"/>
      <c r="BKV118" s="73"/>
      <c r="BKW118" s="73"/>
      <c r="BKX118" s="73"/>
      <c r="BKY118" s="73"/>
      <c r="BKZ118" s="73"/>
      <c r="BLA118" s="73"/>
      <c r="BLB118" s="73"/>
      <c r="BLC118" s="73"/>
      <c r="BLD118" s="73"/>
      <c r="BLE118" s="73"/>
      <c r="BLF118" s="73"/>
      <c r="BLG118" s="73"/>
      <c r="BLH118" s="73"/>
      <c r="BLI118" s="73"/>
      <c r="BLJ118" s="73"/>
      <c r="BLK118" s="73"/>
      <c r="BLL118" s="73"/>
      <c r="BLM118" s="73"/>
      <c r="BLN118" s="73"/>
      <c r="BLO118" s="73"/>
      <c r="BLP118" s="73"/>
      <c r="BLQ118" s="73"/>
      <c r="BLR118" s="73"/>
      <c r="BLS118" s="73"/>
      <c r="BLT118" s="73"/>
      <c r="BLU118" s="73"/>
      <c r="BLV118" s="73"/>
      <c r="BLW118" s="73"/>
      <c r="BLX118" s="73"/>
      <c r="BLY118" s="73"/>
      <c r="BLZ118" s="73"/>
      <c r="BMA118" s="73"/>
      <c r="BMB118" s="73"/>
      <c r="BMC118" s="73"/>
      <c r="BMD118" s="73"/>
      <c r="BME118" s="73"/>
      <c r="BMF118" s="73"/>
      <c r="BMG118" s="73"/>
      <c r="BMH118" s="73"/>
      <c r="BMI118" s="73"/>
      <c r="BMJ118" s="73"/>
      <c r="BMK118" s="73"/>
      <c r="BML118" s="73"/>
      <c r="BMM118" s="73"/>
      <c r="BMN118" s="73"/>
      <c r="BMO118" s="73"/>
      <c r="BMP118" s="73"/>
      <c r="BMQ118" s="73"/>
      <c r="BMR118" s="73"/>
      <c r="BMS118" s="73"/>
      <c r="BMT118" s="73"/>
      <c r="BMU118" s="73"/>
      <c r="BMV118" s="73"/>
      <c r="BMW118" s="73"/>
      <c r="BMX118" s="73"/>
      <c r="BMY118" s="73"/>
      <c r="BMZ118" s="73"/>
      <c r="BNA118" s="73"/>
      <c r="BNB118" s="73"/>
      <c r="BNC118" s="73"/>
      <c r="BND118" s="73"/>
      <c r="BNE118" s="73"/>
      <c r="BNF118" s="73"/>
      <c r="BNG118" s="73"/>
      <c r="BNH118" s="73"/>
      <c r="BNI118" s="73"/>
      <c r="BNJ118" s="73"/>
      <c r="BNK118" s="73"/>
      <c r="BNL118" s="73"/>
      <c r="BNM118" s="73"/>
      <c r="BNN118" s="73"/>
      <c r="BNO118" s="73"/>
      <c r="BNP118" s="73"/>
      <c r="BNQ118" s="73"/>
      <c r="BNR118" s="73"/>
      <c r="BNS118" s="73"/>
      <c r="BNT118" s="73"/>
      <c r="BNU118" s="73"/>
      <c r="BNV118" s="73"/>
      <c r="BNW118" s="73"/>
      <c r="BNX118" s="73"/>
      <c r="BNY118" s="73"/>
      <c r="BNZ118" s="73"/>
      <c r="BOA118" s="73"/>
      <c r="BOB118" s="73"/>
      <c r="BOC118" s="73"/>
      <c r="BOD118" s="73"/>
      <c r="BOE118" s="73"/>
      <c r="BOF118" s="73"/>
      <c r="BOG118" s="73"/>
      <c r="BOH118" s="73"/>
      <c r="BOI118" s="73"/>
      <c r="BOJ118" s="73"/>
      <c r="BOK118" s="73"/>
      <c r="BOL118" s="73"/>
      <c r="BOM118" s="73"/>
      <c r="BON118" s="73"/>
      <c r="BOO118" s="73"/>
      <c r="BOP118" s="73"/>
      <c r="BOQ118" s="73"/>
      <c r="BOR118" s="73"/>
      <c r="BOS118" s="73"/>
      <c r="BOT118" s="73"/>
      <c r="BOU118" s="73"/>
      <c r="BOV118" s="73"/>
      <c r="BOW118" s="73"/>
      <c r="BOX118" s="73"/>
      <c r="BOY118" s="73"/>
      <c r="BOZ118" s="73"/>
      <c r="BPA118" s="73"/>
      <c r="BPB118" s="73"/>
      <c r="BPC118" s="73"/>
      <c r="BPD118" s="73"/>
      <c r="BPE118" s="73"/>
      <c r="BPF118" s="73"/>
      <c r="BPG118" s="73"/>
      <c r="BPH118" s="73"/>
      <c r="BPI118" s="73"/>
      <c r="BPJ118" s="73"/>
      <c r="BPK118" s="73"/>
      <c r="BPL118" s="73"/>
      <c r="BPM118" s="73"/>
      <c r="BPN118" s="73"/>
      <c r="BPO118" s="73"/>
      <c r="BPP118" s="73"/>
      <c r="BPQ118" s="73"/>
      <c r="BPR118" s="73"/>
      <c r="BPS118" s="73"/>
      <c r="BPT118" s="73"/>
      <c r="BPU118" s="73"/>
      <c r="BPV118" s="73"/>
      <c r="BPW118" s="73"/>
      <c r="BPX118" s="73"/>
      <c r="BPY118" s="73"/>
      <c r="BPZ118" s="73"/>
      <c r="BQA118" s="73"/>
      <c r="BQB118" s="73"/>
      <c r="BQC118" s="73"/>
      <c r="BQD118" s="73"/>
      <c r="BQE118" s="73"/>
      <c r="BQF118" s="73"/>
      <c r="BQG118" s="73"/>
      <c r="BQH118" s="73"/>
      <c r="BQI118" s="73"/>
      <c r="BQJ118" s="73"/>
      <c r="BQK118" s="73"/>
      <c r="BQL118" s="73"/>
      <c r="BQM118" s="73"/>
      <c r="BQN118" s="73"/>
      <c r="BQO118" s="73"/>
      <c r="BQP118" s="73"/>
      <c r="BQQ118" s="73"/>
      <c r="BQR118" s="73"/>
      <c r="BQS118" s="73"/>
      <c r="BQT118" s="73"/>
      <c r="BQU118" s="73"/>
      <c r="BQV118" s="73"/>
      <c r="BQW118" s="73"/>
      <c r="BQX118" s="73"/>
      <c r="BQY118" s="73"/>
      <c r="BQZ118" s="73"/>
      <c r="BRA118" s="73"/>
      <c r="BRB118" s="73"/>
      <c r="BRC118" s="73"/>
      <c r="BRD118" s="73"/>
      <c r="BRE118" s="73"/>
      <c r="BRF118" s="73"/>
      <c r="BRG118" s="73"/>
      <c r="BRH118" s="73"/>
      <c r="BRI118" s="73"/>
      <c r="BRJ118" s="73"/>
      <c r="BRK118" s="73"/>
      <c r="BRL118" s="73"/>
      <c r="BRM118" s="73"/>
      <c r="BRN118" s="73"/>
      <c r="BRO118" s="73"/>
      <c r="BRP118" s="73"/>
      <c r="BRQ118" s="73"/>
      <c r="BRR118" s="73"/>
      <c r="BRS118" s="73"/>
      <c r="BRT118" s="73"/>
      <c r="BRU118" s="73"/>
      <c r="BRV118" s="73"/>
      <c r="BRW118" s="73"/>
      <c r="BRX118" s="73"/>
      <c r="BRY118" s="73"/>
      <c r="BRZ118" s="73"/>
      <c r="BSA118" s="73"/>
      <c r="BSB118" s="73"/>
      <c r="BSC118" s="73"/>
      <c r="BSD118" s="73"/>
      <c r="BSE118" s="73"/>
      <c r="BSF118" s="73"/>
      <c r="BSG118" s="73"/>
      <c r="BSH118" s="73"/>
      <c r="BSI118" s="73"/>
      <c r="BSJ118" s="73"/>
      <c r="BSK118" s="73"/>
      <c r="BSL118" s="73"/>
      <c r="BSM118" s="73"/>
      <c r="BSN118" s="73"/>
      <c r="BSO118" s="73"/>
      <c r="BSP118" s="73"/>
      <c r="BSQ118" s="73"/>
      <c r="BSR118" s="73"/>
      <c r="BSS118" s="73"/>
      <c r="BST118" s="73"/>
      <c r="BSU118" s="73"/>
      <c r="BSV118" s="73"/>
      <c r="BSW118" s="73"/>
      <c r="BSX118" s="73"/>
      <c r="BSY118" s="73"/>
      <c r="BSZ118" s="73"/>
      <c r="BTA118" s="73"/>
      <c r="BTB118" s="73"/>
      <c r="BTC118" s="73"/>
      <c r="BTD118" s="73"/>
      <c r="BTE118" s="73"/>
      <c r="BTF118" s="73"/>
      <c r="BTG118" s="73"/>
      <c r="BTH118" s="73"/>
      <c r="BTI118" s="73"/>
      <c r="BTJ118" s="73"/>
      <c r="BTK118" s="73"/>
      <c r="BTL118" s="73"/>
      <c r="BTM118" s="73"/>
      <c r="BTN118" s="73"/>
      <c r="BTO118" s="73"/>
      <c r="BTP118" s="73"/>
      <c r="BTQ118" s="73"/>
      <c r="BTR118" s="73"/>
      <c r="BTS118" s="73"/>
      <c r="BTT118" s="73"/>
      <c r="BTU118" s="73"/>
      <c r="BTV118" s="73"/>
      <c r="BTW118" s="73"/>
      <c r="BTX118" s="73"/>
      <c r="BTY118" s="73"/>
      <c r="BTZ118" s="73"/>
      <c r="BUA118" s="73"/>
      <c r="BUB118" s="73"/>
      <c r="BUC118" s="73"/>
      <c r="BUD118" s="73"/>
      <c r="BUE118" s="73"/>
      <c r="BUF118" s="73"/>
      <c r="BUG118" s="73"/>
      <c r="BUH118" s="73"/>
      <c r="BUI118" s="73"/>
      <c r="BUJ118" s="73"/>
      <c r="BUK118" s="73"/>
      <c r="BUL118" s="73"/>
      <c r="BUM118" s="73"/>
      <c r="BUN118" s="73"/>
      <c r="BUO118" s="73"/>
      <c r="BUP118" s="73"/>
      <c r="BUQ118" s="73"/>
      <c r="BUR118" s="73"/>
      <c r="BUS118" s="73"/>
      <c r="BUT118" s="73"/>
      <c r="BUU118" s="73"/>
      <c r="BUV118" s="73"/>
      <c r="BUW118" s="73"/>
      <c r="BUX118" s="73"/>
      <c r="BUY118" s="73"/>
      <c r="BUZ118" s="73"/>
      <c r="BVA118" s="73"/>
      <c r="BVB118" s="73"/>
      <c r="BVC118" s="73"/>
      <c r="BVD118" s="73"/>
      <c r="BVE118" s="73"/>
      <c r="BVF118" s="73"/>
      <c r="BVG118" s="73"/>
      <c r="BVH118" s="73"/>
      <c r="BVI118" s="73"/>
      <c r="BVJ118" s="73"/>
      <c r="BVK118" s="73"/>
      <c r="BVL118" s="73"/>
      <c r="BVM118" s="73"/>
      <c r="BVN118" s="73"/>
      <c r="BVO118" s="73"/>
      <c r="BVP118" s="73"/>
      <c r="BVQ118" s="73"/>
      <c r="BVR118" s="73"/>
      <c r="BVS118" s="73"/>
      <c r="BVT118" s="73"/>
      <c r="BVU118" s="73"/>
      <c r="BVV118" s="73"/>
      <c r="BVW118" s="73"/>
      <c r="BVX118" s="73"/>
      <c r="BVY118" s="73"/>
      <c r="BVZ118" s="73"/>
      <c r="BWA118" s="73"/>
      <c r="BWB118" s="73"/>
      <c r="BWC118" s="73"/>
      <c r="BWD118" s="73"/>
      <c r="BWE118" s="73"/>
      <c r="BWF118" s="73"/>
      <c r="BWG118" s="73"/>
      <c r="BWH118" s="73"/>
      <c r="BWI118" s="73"/>
      <c r="BWJ118" s="73"/>
      <c r="BWK118" s="73"/>
      <c r="BWL118" s="73"/>
      <c r="BWM118" s="73"/>
      <c r="BWN118" s="73"/>
      <c r="BWO118" s="73"/>
      <c r="BWP118" s="73"/>
      <c r="BWQ118" s="73"/>
      <c r="BWR118" s="73"/>
      <c r="BWS118" s="73"/>
      <c r="BWT118" s="73"/>
      <c r="BWU118" s="73"/>
      <c r="BWV118" s="73"/>
      <c r="BWW118" s="73"/>
      <c r="BWX118" s="73"/>
      <c r="BWY118" s="73"/>
      <c r="BWZ118" s="73"/>
      <c r="BXA118" s="73"/>
      <c r="BXB118" s="73"/>
      <c r="BXC118" s="73"/>
      <c r="BXD118" s="73"/>
      <c r="BXE118" s="73"/>
      <c r="BXF118" s="73"/>
      <c r="BXG118" s="73"/>
      <c r="BXH118" s="73"/>
      <c r="BXI118" s="73"/>
      <c r="BXJ118" s="73"/>
      <c r="BXK118" s="73"/>
      <c r="BXL118" s="73"/>
      <c r="BXM118" s="73"/>
      <c r="BXN118" s="73"/>
      <c r="BXO118" s="73"/>
      <c r="BXP118" s="73"/>
      <c r="BXQ118" s="73"/>
      <c r="BXR118" s="73"/>
      <c r="BXS118" s="73"/>
      <c r="BXT118" s="73"/>
      <c r="BXU118" s="73"/>
      <c r="BXV118" s="73"/>
      <c r="BXW118" s="73"/>
      <c r="BXX118" s="73"/>
      <c r="BXY118" s="73"/>
      <c r="BXZ118" s="73"/>
      <c r="BYA118" s="73"/>
      <c r="BYB118" s="73"/>
      <c r="BYC118" s="73"/>
      <c r="BYD118" s="73"/>
      <c r="BYE118" s="73"/>
      <c r="BYF118" s="73"/>
      <c r="BYG118" s="73"/>
      <c r="BYH118" s="73"/>
      <c r="BYI118" s="73"/>
      <c r="BYJ118" s="73"/>
      <c r="BYK118" s="73"/>
      <c r="BYL118" s="73"/>
      <c r="BYM118" s="73"/>
      <c r="BYN118" s="73"/>
      <c r="BYO118" s="73"/>
      <c r="BYP118" s="73"/>
      <c r="BYQ118" s="73"/>
      <c r="BYR118" s="73"/>
      <c r="BYS118" s="73"/>
      <c r="BYT118" s="73"/>
      <c r="BYU118" s="73"/>
      <c r="BYV118" s="73"/>
      <c r="BYW118" s="73"/>
      <c r="BYX118" s="73"/>
      <c r="BYY118" s="73"/>
      <c r="BYZ118" s="73"/>
      <c r="BZA118" s="73"/>
      <c r="BZB118" s="73"/>
      <c r="BZC118" s="73"/>
      <c r="BZD118" s="73"/>
      <c r="BZE118" s="73"/>
      <c r="BZF118" s="73"/>
      <c r="BZG118" s="73"/>
      <c r="BZH118" s="73"/>
      <c r="BZI118" s="73"/>
      <c r="BZJ118" s="73"/>
      <c r="BZK118" s="73"/>
      <c r="BZL118" s="73"/>
      <c r="BZM118" s="73"/>
      <c r="BZN118" s="73"/>
      <c r="BZO118" s="73"/>
      <c r="BZP118" s="73"/>
      <c r="BZQ118" s="73"/>
      <c r="BZR118" s="73"/>
      <c r="BZS118" s="73"/>
      <c r="BZT118" s="73"/>
      <c r="BZU118" s="73"/>
      <c r="BZV118" s="73"/>
      <c r="BZW118" s="73"/>
      <c r="BZX118" s="73"/>
      <c r="BZY118" s="73"/>
      <c r="BZZ118" s="73"/>
      <c r="CAA118" s="73"/>
      <c r="CAB118" s="73"/>
      <c r="CAC118" s="73"/>
      <c r="CAD118" s="73"/>
      <c r="CAE118" s="73"/>
      <c r="CAF118" s="73"/>
      <c r="CAG118" s="73"/>
      <c r="CAH118" s="73"/>
      <c r="CAI118" s="73"/>
      <c r="CAJ118" s="73"/>
      <c r="CAK118" s="73"/>
      <c r="CAL118" s="73"/>
      <c r="CAM118" s="73"/>
      <c r="CAN118" s="73"/>
      <c r="CAO118" s="73"/>
      <c r="CAP118" s="73"/>
      <c r="CAQ118" s="73"/>
      <c r="CAR118" s="73"/>
      <c r="CAS118" s="73"/>
      <c r="CAT118" s="73"/>
      <c r="CAU118" s="73"/>
      <c r="CAV118" s="73"/>
      <c r="CAW118" s="73"/>
      <c r="CAX118" s="73"/>
      <c r="CAY118" s="73"/>
      <c r="CAZ118" s="73"/>
      <c r="CBA118" s="73"/>
      <c r="CBB118" s="73"/>
      <c r="CBC118" s="73"/>
      <c r="CBD118" s="73"/>
      <c r="CBE118" s="73"/>
      <c r="CBF118" s="73"/>
      <c r="CBG118" s="73"/>
      <c r="CBH118" s="73"/>
      <c r="CBI118" s="73"/>
      <c r="CBJ118" s="73"/>
      <c r="CBK118" s="73"/>
      <c r="CBL118" s="73"/>
      <c r="CBM118" s="73"/>
      <c r="CBN118" s="73"/>
      <c r="CBO118" s="73"/>
      <c r="CBP118" s="73"/>
      <c r="CBQ118" s="73"/>
      <c r="CBR118" s="73"/>
      <c r="CBS118" s="73"/>
      <c r="CBT118" s="73"/>
      <c r="CBU118" s="73"/>
      <c r="CBV118" s="73"/>
      <c r="CBW118" s="73"/>
      <c r="CBX118" s="73"/>
      <c r="CBY118" s="73"/>
      <c r="CBZ118" s="73"/>
      <c r="CCA118" s="73"/>
      <c r="CCB118" s="73"/>
      <c r="CCC118" s="73"/>
      <c r="CCD118" s="73"/>
      <c r="CCE118" s="73"/>
      <c r="CCF118" s="73"/>
      <c r="CCG118" s="73"/>
      <c r="CCH118" s="73"/>
      <c r="CCI118" s="73"/>
      <c r="CCJ118" s="73"/>
      <c r="CCK118" s="73"/>
      <c r="CCL118" s="73"/>
      <c r="CCM118" s="73"/>
      <c r="CCN118" s="73"/>
      <c r="CCO118" s="73"/>
      <c r="CCP118" s="73"/>
      <c r="CCQ118" s="73"/>
      <c r="CCR118" s="73"/>
      <c r="CCS118" s="73"/>
      <c r="CCT118" s="73"/>
      <c r="CCU118" s="73"/>
      <c r="CCV118" s="73"/>
      <c r="CCW118" s="73"/>
      <c r="CCX118" s="73"/>
      <c r="CCY118" s="73"/>
      <c r="CCZ118" s="73"/>
      <c r="CDA118" s="73"/>
      <c r="CDB118" s="73"/>
      <c r="CDC118" s="73"/>
      <c r="CDD118" s="73"/>
      <c r="CDE118" s="73"/>
      <c r="CDF118" s="73"/>
      <c r="CDG118" s="73"/>
      <c r="CDH118" s="73"/>
      <c r="CDI118" s="73"/>
      <c r="CDJ118" s="73"/>
      <c r="CDK118" s="73"/>
      <c r="CDL118" s="73"/>
      <c r="CDM118" s="73"/>
      <c r="CDN118" s="73"/>
      <c r="CDO118" s="73"/>
      <c r="CDP118" s="73"/>
      <c r="CDQ118" s="73"/>
      <c r="CDR118" s="73"/>
      <c r="CDS118" s="73"/>
      <c r="CDT118" s="73"/>
      <c r="CDU118" s="73"/>
      <c r="CDV118" s="73"/>
      <c r="CDW118" s="73"/>
      <c r="CDX118" s="73"/>
      <c r="CDY118" s="73"/>
      <c r="CDZ118" s="73"/>
      <c r="CEA118" s="73"/>
      <c r="CEB118" s="73"/>
      <c r="CEC118" s="73"/>
      <c r="CED118" s="73"/>
      <c r="CEE118" s="73"/>
      <c r="CEF118" s="73"/>
      <c r="CEG118" s="73"/>
      <c r="CEH118" s="73"/>
      <c r="CEI118" s="73"/>
      <c r="CEJ118" s="73"/>
      <c r="CEK118" s="73"/>
      <c r="CEL118" s="73"/>
      <c r="CEM118" s="73"/>
      <c r="CEN118" s="73"/>
      <c r="CEO118" s="73"/>
      <c r="CEP118" s="73"/>
      <c r="CEQ118" s="73"/>
      <c r="CER118" s="73"/>
      <c r="CES118" s="73"/>
      <c r="CET118" s="73"/>
      <c r="CEU118" s="73"/>
      <c r="CEV118" s="73"/>
      <c r="CEW118" s="73"/>
      <c r="CEX118" s="73"/>
      <c r="CEY118" s="73"/>
      <c r="CEZ118" s="73"/>
      <c r="CFA118" s="73"/>
      <c r="CFB118" s="73"/>
      <c r="CFC118" s="73"/>
      <c r="CFD118" s="73"/>
      <c r="CFE118" s="73"/>
      <c r="CFF118" s="73"/>
      <c r="CFG118" s="73"/>
      <c r="CFH118" s="73"/>
      <c r="CFI118" s="73"/>
      <c r="CFJ118" s="73"/>
      <c r="CFK118" s="73"/>
      <c r="CFL118" s="73"/>
      <c r="CFM118" s="73"/>
      <c r="CFN118" s="73"/>
      <c r="CFO118" s="73"/>
      <c r="CFP118" s="73"/>
      <c r="CFQ118" s="73"/>
      <c r="CFR118" s="73"/>
      <c r="CFS118" s="73"/>
      <c r="CFT118" s="73"/>
      <c r="CFU118" s="73"/>
      <c r="CFV118" s="73"/>
      <c r="CFW118" s="73"/>
      <c r="CFX118" s="73"/>
      <c r="CFY118" s="73"/>
      <c r="CFZ118" s="73"/>
      <c r="CGA118" s="73"/>
      <c r="CGB118" s="73"/>
      <c r="CGC118" s="73"/>
      <c r="CGD118" s="73"/>
      <c r="CGE118" s="73"/>
      <c r="CGF118" s="73"/>
      <c r="CGG118" s="73"/>
      <c r="CGH118" s="73"/>
      <c r="CGI118" s="73"/>
      <c r="CGJ118" s="73"/>
      <c r="CGK118" s="73"/>
      <c r="CGL118" s="73"/>
      <c r="CGM118" s="73"/>
      <c r="CGN118" s="73"/>
      <c r="CGO118" s="73"/>
      <c r="CGP118" s="73"/>
      <c r="CGQ118" s="73"/>
      <c r="CGR118" s="73"/>
      <c r="CGS118" s="73"/>
      <c r="CGT118" s="73"/>
      <c r="CGU118" s="73"/>
      <c r="CGV118" s="73"/>
      <c r="CGW118" s="73"/>
      <c r="CGX118" s="73"/>
      <c r="CGY118" s="73"/>
      <c r="CGZ118" s="73"/>
      <c r="CHA118" s="73"/>
      <c r="CHB118" s="73"/>
      <c r="CHC118" s="73"/>
      <c r="CHD118" s="73"/>
      <c r="CHE118" s="73"/>
      <c r="CHF118" s="73"/>
      <c r="CHG118" s="73"/>
      <c r="CHH118" s="73"/>
      <c r="CHI118" s="73"/>
      <c r="CHJ118" s="73"/>
      <c r="CHK118" s="73"/>
      <c r="CHL118" s="73"/>
      <c r="CHM118" s="73"/>
      <c r="CHN118" s="73"/>
      <c r="CHO118" s="73"/>
      <c r="CHP118" s="73"/>
      <c r="CHQ118" s="73"/>
      <c r="CHR118" s="73"/>
      <c r="CHS118" s="73"/>
      <c r="CHT118" s="73"/>
      <c r="CHU118" s="73"/>
      <c r="CHV118" s="73"/>
      <c r="CHW118" s="73"/>
      <c r="CHX118" s="73"/>
      <c r="CHY118" s="73"/>
      <c r="CHZ118" s="73"/>
      <c r="CIA118" s="73"/>
      <c r="CIB118" s="73"/>
      <c r="CIC118" s="73"/>
      <c r="CID118" s="73"/>
      <c r="CIE118" s="73"/>
      <c r="CIF118" s="73"/>
      <c r="CIG118" s="73"/>
      <c r="CIH118" s="73"/>
      <c r="CII118" s="73"/>
      <c r="CIJ118" s="73"/>
      <c r="CIK118" s="73"/>
      <c r="CIL118" s="73"/>
      <c r="CIM118" s="73"/>
      <c r="CIN118" s="73"/>
      <c r="CIO118" s="73"/>
      <c r="CIP118" s="73"/>
      <c r="CIQ118" s="73"/>
      <c r="CIR118" s="73"/>
      <c r="CIS118" s="73"/>
      <c r="CIT118" s="73"/>
      <c r="CIU118" s="73"/>
      <c r="CIV118" s="73"/>
      <c r="CIW118" s="73"/>
      <c r="CIX118" s="73"/>
      <c r="CIY118" s="73"/>
      <c r="CIZ118" s="73"/>
      <c r="CJA118" s="73"/>
      <c r="CJB118" s="73"/>
      <c r="CJC118" s="73"/>
      <c r="CJD118" s="73"/>
      <c r="CJE118" s="73"/>
      <c r="CJF118" s="73"/>
      <c r="CJG118" s="73"/>
      <c r="CJH118" s="73"/>
      <c r="CJI118" s="73"/>
      <c r="CJJ118" s="73"/>
      <c r="CJK118" s="73"/>
      <c r="CJL118" s="73"/>
      <c r="CJM118" s="73"/>
      <c r="CJN118" s="73"/>
      <c r="CJO118" s="73"/>
      <c r="CJP118" s="73"/>
      <c r="CJQ118" s="73"/>
      <c r="CJR118" s="73"/>
      <c r="CJS118" s="73"/>
      <c r="CJT118" s="73"/>
      <c r="CJU118" s="73"/>
      <c r="CJV118" s="73"/>
      <c r="CJW118" s="73"/>
      <c r="CJX118" s="73"/>
      <c r="CJY118" s="73"/>
      <c r="CJZ118" s="73"/>
      <c r="CKA118" s="73"/>
      <c r="CKB118" s="73"/>
      <c r="CKC118" s="73"/>
      <c r="CKD118" s="73"/>
      <c r="CKE118" s="73"/>
      <c r="CKF118" s="73"/>
      <c r="CKG118" s="73"/>
      <c r="CKH118" s="73"/>
      <c r="CKI118" s="73"/>
      <c r="CKJ118" s="73"/>
      <c r="CKK118" s="73"/>
      <c r="CKL118" s="73"/>
      <c r="CKM118" s="73"/>
      <c r="CKN118" s="73"/>
      <c r="CKO118" s="73"/>
      <c r="CKP118" s="73"/>
      <c r="CKQ118" s="73"/>
      <c r="CKR118" s="73"/>
      <c r="CKS118" s="73"/>
      <c r="CKT118" s="73"/>
      <c r="CKU118" s="73"/>
      <c r="CKV118" s="73"/>
      <c r="CKW118" s="73"/>
      <c r="CKX118" s="73"/>
      <c r="CKY118" s="73"/>
      <c r="CKZ118" s="73"/>
      <c r="CLA118" s="73"/>
      <c r="CLB118" s="73"/>
      <c r="CLC118" s="73"/>
      <c r="CLD118" s="73"/>
      <c r="CLE118" s="73"/>
      <c r="CLF118" s="73"/>
      <c r="CLG118" s="73"/>
      <c r="CLH118" s="73"/>
      <c r="CLI118" s="73"/>
      <c r="CLJ118" s="73"/>
      <c r="CLK118" s="73"/>
      <c r="CLL118" s="73"/>
      <c r="CLM118" s="73"/>
      <c r="CLN118" s="73"/>
      <c r="CLO118" s="73"/>
      <c r="CLP118" s="73"/>
      <c r="CLQ118" s="73"/>
      <c r="CLR118" s="73"/>
      <c r="CLS118" s="73"/>
      <c r="CLT118" s="73"/>
      <c r="CLU118" s="73"/>
      <c r="CLV118" s="73"/>
      <c r="CLW118" s="73"/>
      <c r="CLX118" s="73"/>
      <c r="CLY118" s="73"/>
      <c r="CLZ118" s="73"/>
      <c r="CMA118" s="73"/>
      <c r="CMB118" s="73"/>
      <c r="CMC118" s="73"/>
      <c r="CMD118" s="73"/>
      <c r="CME118" s="73"/>
      <c r="CMF118" s="73"/>
      <c r="CMG118" s="73"/>
      <c r="CMH118" s="73"/>
      <c r="CMI118" s="73"/>
      <c r="CMJ118" s="73"/>
      <c r="CMK118" s="73"/>
      <c r="CML118" s="73"/>
      <c r="CMM118" s="73"/>
      <c r="CMN118" s="73"/>
      <c r="CMO118" s="73"/>
      <c r="CMP118" s="73"/>
      <c r="CMQ118" s="73"/>
      <c r="CMR118" s="73"/>
      <c r="CMS118" s="73"/>
      <c r="CMT118" s="73"/>
      <c r="CMU118" s="73"/>
      <c r="CMV118" s="73"/>
      <c r="CMW118" s="73"/>
      <c r="CMX118" s="73"/>
      <c r="CMY118" s="73"/>
      <c r="CMZ118" s="73"/>
      <c r="CNA118" s="73"/>
      <c r="CNB118" s="73"/>
      <c r="CNC118" s="73"/>
      <c r="CND118" s="73"/>
      <c r="CNE118" s="73"/>
      <c r="CNF118" s="73"/>
      <c r="CNG118" s="73"/>
      <c r="CNH118" s="73"/>
      <c r="CNI118" s="73"/>
      <c r="CNJ118" s="73"/>
      <c r="CNK118" s="73"/>
      <c r="CNL118" s="73"/>
      <c r="CNM118" s="73"/>
      <c r="CNN118" s="73"/>
      <c r="CNO118" s="73"/>
      <c r="CNP118" s="73"/>
      <c r="CNQ118" s="73"/>
      <c r="CNR118" s="73"/>
      <c r="CNS118" s="73"/>
      <c r="CNT118" s="73"/>
      <c r="CNU118" s="73"/>
      <c r="CNV118" s="73"/>
      <c r="CNW118" s="73"/>
      <c r="CNX118" s="73"/>
      <c r="CNY118" s="73"/>
      <c r="CNZ118" s="73"/>
      <c r="COA118" s="73"/>
      <c r="COB118" s="73"/>
      <c r="COC118" s="73"/>
      <c r="COD118" s="73"/>
      <c r="COE118" s="73"/>
      <c r="COF118" s="73"/>
      <c r="COG118" s="73"/>
      <c r="COH118" s="73"/>
      <c r="COI118" s="73"/>
      <c r="COJ118" s="73"/>
      <c r="COK118" s="73"/>
      <c r="COL118" s="73"/>
      <c r="COM118" s="73"/>
      <c r="CON118" s="73"/>
      <c r="COO118" s="73"/>
      <c r="COP118" s="73"/>
      <c r="COQ118" s="73"/>
      <c r="COR118" s="73"/>
      <c r="COS118" s="73"/>
      <c r="COT118" s="73"/>
      <c r="COU118" s="73"/>
      <c r="COV118" s="73"/>
      <c r="COW118" s="73"/>
      <c r="COX118" s="73"/>
      <c r="COY118" s="73"/>
      <c r="COZ118" s="73"/>
      <c r="CPA118" s="73"/>
      <c r="CPB118" s="73"/>
      <c r="CPC118" s="73"/>
      <c r="CPD118" s="73"/>
      <c r="CPE118" s="73"/>
      <c r="CPF118" s="73"/>
      <c r="CPG118" s="73"/>
      <c r="CPH118" s="73"/>
      <c r="CPI118" s="73"/>
      <c r="CPJ118" s="73"/>
      <c r="CPK118" s="73"/>
      <c r="CPL118" s="73"/>
      <c r="CPM118" s="73"/>
      <c r="CPN118" s="73"/>
      <c r="CPO118" s="73"/>
      <c r="CPP118" s="73"/>
      <c r="CPQ118" s="73"/>
      <c r="CPR118" s="73"/>
      <c r="CPS118" s="73"/>
      <c r="CPT118" s="73"/>
      <c r="CPU118" s="73"/>
      <c r="CPV118" s="73"/>
      <c r="CPW118" s="73"/>
      <c r="CPX118" s="73"/>
      <c r="CPY118" s="73"/>
      <c r="CPZ118" s="73"/>
      <c r="CQA118" s="73"/>
      <c r="CQB118" s="73"/>
      <c r="CQC118" s="73"/>
      <c r="CQD118" s="73"/>
      <c r="CQE118" s="73"/>
      <c r="CQF118" s="73"/>
      <c r="CQG118" s="73"/>
      <c r="CQH118" s="73"/>
      <c r="CQI118" s="73"/>
      <c r="CQJ118" s="73"/>
      <c r="CQK118" s="73"/>
      <c r="CQL118" s="73"/>
      <c r="CQM118" s="73"/>
      <c r="CQN118" s="73"/>
      <c r="CQO118" s="73"/>
      <c r="CQP118" s="73"/>
      <c r="CQQ118" s="73"/>
      <c r="CQR118" s="73"/>
      <c r="CQS118" s="73"/>
      <c r="CQT118" s="73"/>
      <c r="CQU118" s="73"/>
      <c r="CQV118" s="73"/>
      <c r="CQW118" s="73"/>
      <c r="CQX118" s="73"/>
      <c r="CQY118" s="73"/>
      <c r="CQZ118" s="73"/>
      <c r="CRA118" s="73"/>
      <c r="CRB118" s="73"/>
      <c r="CRC118" s="73"/>
      <c r="CRD118" s="73"/>
      <c r="CRE118" s="73"/>
      <c r="CRF118" s="73"/>
      <c r="CRG118" s="73"/>
      <c r="CRH118" s="73"/>
      <c r="CRI118" s="73"/>
      <c r="CRJ118" s="73"/>
      <c r="CRK118" s="73"/>
      <c r="CRL118" s="73"/>
      <c r="CRM118" s="73"/>
      <c r="CRN118" s="73"/>
      <c r="CRO118" s="73"/>
      <c r="CRP118" s="73"/>
      <c r="CRQ118" s="73"/>
      <c r="CRR118" s="73"/>
      <c r="CRS118" s="73"/>
      <c r="CRT118" s="73"/>
      <c r="CRU118" s="73"/>
      <c r="CRV118" s="73"/>
      <c r="CRW118" s="73"/>
      <c r="CRX118" s="73"/>
      <c r="CRY118" s="73"/>
      <c r="CRZ118" s="73"/>
      <c r="CSA118" s="73"/>
      <c r="CSB118" s="73"/>
      <c r="CSC118" s="73"/>
      <c r="CSD118" s="73"/>
      <c r="CSE118" s="73"/>
      <c r="CSF118" s="73"/>
      <c r="CSG118" s="73"/>
      <c r="CSH118" s="73"/>
      <c r="CSI118" s="73"/>
      <c r="CSJ118" s="73"/>
      <c r="CSK118" s="73"/>
      <c r="CSL118" s="73"/>
      <c r="CSM118" s="73"/>
      <c r="CSN118" s="73"/>
      <c r="CSO118" s="73"/>
      <c r="CSP118" s="73"/>
      <c r="CSQ118" s="73"/>
      <c r="CSR118" s="73"/>
      <c r="CSS118" s="73"/>
      <c r="CST118" s="73"/>
      <c r="CSU118" s="73"/>
      <c r="CSV118" s="73"/>
      <c r="CSW118" s="73"/>
      <c r="CSX118" s="73"/>
      <c r="CSY118" s="73"/>
      <c r="CSZ118" s="73"/>
      <c r="CTA118" s="73"/>
      <c r="CTB118" s="73"/>
      <c r="CTC118" s="73"/>
      <c r="CTD118" s="73"/>
      <c r="CTE118" s="73"/>
      <c r="CTF118" s="73"/>
      <c r="CTG118" s="73"/>
      <c r="CTH118" s="73"/>
      <c r="CTI118" s="73"/>
      <c r="CTJ118" s="73"/>
      <c r="CTK118" s="73"/>
      <c r="CTL118" s="73"/>
      <c r="CTM118" s="73"/>
      <c r="CTN118" s="73"/>
      <c r="CTO118" s="73"/>
      <c r="CTP118" s="73"/>
      <c r="CTQ118" s="73"/>
      <c r="CTR118" s="73"/>
      <c r="CTS118" s="73"/>
      <c r="CTT118" s="73"/>
      <c r="CTU118" s="73"/>
      <c r="CTV118" s="73"/>
      <c r="CTW118" s="73"/>
      <c r="CTX118" s="73"/>
      <c r="CTY118" s="73"/>
      <c r="CTZ118" s="73"/>
      <c r="CUA118" s="73"/>
      <c r="CUB118" s="73"/>
      <c r="CUC118" s="73"/>
      <c r="CUD118" s="73"/>
      <c r="CUE118" s="73"/>
      <c r="CUF118" s="73"/>
      <c r="CUG118" s="73"/>
      <c r="CUH118" s="73"/>
      <c r="CUI118" s="73"/>
      <c r="CUJ118" s="73"/>
      <c r="CUK118" s="73"/>
      <c r="CUL118" s="73"/>
      <c r="CUM118" s="73"/>
      <c r="CUN118" s="73"/>
      <c r="CUO118" s="73"/>
      <c r="CUP118" s="73"/>
      <c r="CUQ118" s="73"/>
      <c r="CUR118" s="73"/>
      <c r="CUS118" s="73"/>
      <c r="CUT118" s="73"/>
      <c r="CUU118" s="73"/>
      <c r="CUV118" s="73"/>
      <c r="CUW118" s="73"/>
      <c r="CUX118" s="73"/>
      <c r="CUY118" s="73"/>
      <c r="CUZ118" s="73"/>
      <c r="CVA118" s="73"/>
      <c r="CVB118" s="73"/>
      <c r="CVC118" s="73"/>
      <c r="CVD118" s="73"/>
      <c r="CVE118" s="73"/>
      <c r="CVF118" s="73"/>
      <c r="CVG118" s="73"/>
      <c r="CVH118" s="73"/>
      <c r="CVI118" s="73"/>
      <c r="CVJ118" s="73"/>
      <c r="CVK118" s="73"/>
      <c r="CVL118" s="73"/>
      <c r="CVM118" s="73"/>
      <c r="CVN118" s="73"/>
      <c r="CVO118" s="73"/>
      <c r="CVP118" s="73"/>
      <c r="CVQ118" s="73"/>
      <c r="CVR118" s="73"/>
      <c r="CVS118" s="73"/>
      <c r="CVT118" s="73"/>
      <c r="CVU118" s="73"/>
      <c r="CVV118" s="73"/>
      <c r="CVW118" s="73"/>
      <c r="CVX118" s="73"/>
      <c r="CVY118" s="73"/>
      <c r="CVZ118" s="73"/>
      <c r="CWA118" s="73"/>
      <c r="CWB118" s="73"/>
      <c r="CWC118" s="73"/>
      <c r="CWD118" s="73"/>
      <c r="CWE118" s="73"/>
      <c r="CWF118" s="73"/>
      <c r="CWG118" s="73"/>
      <c r="CWH118" s="73"/>
      <c r="CWI118" s="73"/>
      <c r="CWJ118" s="73"/>
      <c r="CWK118" s="73"/>
      <c r="CWL118" s="73"/>
      <c r="CWM118" s="73"/>
      <c r="CWN118" s="73"/>
      <c r="CWO118" s="73"/>
      <c r="CWP118" s="73"/>
      <c r="CWQ118" s="73"/>
      <c r="CWR118" s="73"/>
      <c r="CWS118" s="73"/>
      <c r="CWT118" s="73"/>
      <c r="CWU118" s="73"/>
      <c r="CWV118" s="73"/>
      <c r="CWW118" s="73"/>
      <c r="CWX118" s="73"/>
      <c r="CWY118" s="73"/>
      <c r="CWZ118" s="73"/>
      <c r="CXA118" s="73"/>
      <c r="CXB118" s="73"/>
      <c r="CXC118" s="73"/>
      <c r="CXD118" s="73"/>
      <c r="CXE118" s="73"/>
      <c r="CXF118" s="73"/>
      <c r="CXG118" s="73"/>
      <c r="CXH118" s="73"/>
      <c r="CXI118" s="73"/>
      <c r="CXJ118" s="73"/>
      <c r="CXK118" s="73"/>
      <c r="CXL118" s="73"/>
      <c r="CXM118" s="73"/>
      <c r="CXN118" s="73"/>
      <c r="CXO118" s="73"/>
      <c r="CXP118" s="73"/>
      <c r="CXQ118" s="73"/>
      <c r="CXR118" s="73"/>
      <c r="CXS118" s="73"/>
      <c r="CXT118" s="73"/>
      <c r="CXU118" s="73"/>
      <c r="CXV118" s="73"/>
      <c r="CXW118" s="73"/>
      <c r="CXX118" s="73"/>
      <c r="CXY118" s="73"/>
      <c r="CXZ118" s="73"/>
      <c r="CYA118" s="73"/>
      <c r="CYB118" s="73"/>
      <c r="CYC118" s="73"/>
      <c r="CYD118" s="73"/>
      <c r="CYE118" s="73"/>
      <c r="CYF118" s="73"/>
      <c r="CYG118" s="73"/>
      <c r="CYH118" s="73"/>
      <c r="CYI118" s="73"/>
      <c r="CYJ118" s="73"/>
      <c r="CYK118" s="73"/>
      <c r="CYL118" s="73"/>
      <c r="CYM118" s="73"/>
      <c r="CYN118" s="73"/>
      <c r="CYO118" s="73"/>
      <c r="CYP118" s="73"/>
      <c r="CYQ118" s="73"/>
      <c r="CYR118" s="73"/>
      <c r="CYS118" s="73"/>
      <c r="CYT118" s="73"/>
      <c r="CYU118" s="73"/>
      <c r="CYV118" s="73"/>
      <c r="CYW118" s="73"/>
      <c r="CYX118" s="73"/>
      <c r="CYY118" s="73"/>
      <c r="CYZ118" s="73"/>
      <c r="CZA118" s="73"/>
      <c r="CZB118" s="73"/>
      <c r="CZC118" s="73"/>
      <c r="CZD118" s="73"/>
      <c r="CZE118" s="73"/>
      <c r="CZF118" s="73"/>
      <c r="CZG118" s="73"/>
      <c r="CZH118" s="73"/>
      <c r="CZI118" s="73"/>
      <c r="CZJ118" s="73"/>
      <c r="CZK118" s="73"/>
      <c r="CZL118" s="73"/>
      <c r="CZM118" s="73"/>
      <c r="CZN118" s="73"/>
      <c r="CZO118" s="73"/>
      <c r="CZP118" s="73"/>
      <c r="CZQ118" s="73"/>
      <c r="CZR118" s="73"/>
      <c r="CZS118" s="73"/>
      <c r="CZT118" s="73"/>
      <c r="CZU118" s="73"/>
      <c r="CZV118" s="73"/>
      <c r="CZW118" s="73"/>
      <c r="CZX118" s="73"/>
      <c r="CZY118" s="73"/>
      <c r="CZZ118" s="73"/>
      <c r="DAA118" s="73"/>
      <c r="DAB118" s="73"/>
      <c r="DAC118" s="73"/>
      <c r="DAD118" s="73"/>
      <c r="DAE118" s="73"/>
      <c r="DAF118" s="73"/>
      <c r="DAG118" s="73"/>
      <c r="DAH118" s="73"/>
      <c r="DAI118" s="73"/>
      <c r="DAJ118" s="73"/>
      <c r="DAK118" s="73"/>
      <c r="DAL118" s="73"/>
      <c r="DAM118" s="73"/>
      <c r="DAN118" s="73"/>
      <c r="DAO118" s="73"/>
      <c r="DAP118" s="73"/>
      <c r="DAQ118" s="73"/>
      <c r="DAR118" s="73"/>
      <c r="DAS118" s="73"/>
      <c r="DAT118" s="73"/>
      <c r="DAU118" s="73"/>
      <c r="DAV118" s="73"/>
      <c r="DAW118" s="73"/>
      <c r="DAX118" s="73"/>
      <c r="DAY118" s="73"/>
      <c r="DAZ118" s="73"/>
      <c r="DBA118" s="73"/>
      <c r="DBB118" s="73"/>
      <c r="DBC118" s="73"/>
      <c r="DBD118" s="73"/>
      <c r="DBE118" s="73"/>
      <c r="DBF118" s="73"/>
      <c r="DBG118" s="73"/>
      <c r="DBH118" s="73"/>
      <c r="DBI118" s="73"/>
      <c r="DBJ118" s="73"/>
      <c r="DBK118" s="73"/>
      <c r="DBL118" s="73"/>
      <c r="DBM118" s="73"/>
      <c r="DBN118" s="73"/>
      <c r="DBO118" s="73"/>
      <c r="DBP118" s="73"/>
      <c r="DBQ118" s="73"/>
      <c r="DBR118" s="73"/>
      <c r="DBS118" s="73"/>
      <c r="DBT118" s="73"/>
      <c r="DBU118" s="73"/>
      <c r="DBV118" s="73"/>
      <c r="DBW118" s="73"/>
      <c r="DBX118" s="73"/>
      <c r="DBY118" s="73"/>
      <c r="DBZ118" s="73"/>
      <c r="DCA118" s="73"/>
      <c r="DCB118" s="73"/>
      <c r="DCC118" s="73"/>
      <c r="DCD118" s="73"/>
      <c r="DCE118" s="73"/>
      <c r="DCF118" s="73"/>
      <c r="DCG118" s="73"/>
      <c r="DCH118" s="73"/>
      <c r="DCI118" s="73"/>
      <c r="DCJ118" s="73"/>
      <c r="DCK118" s="73"/>
      <c r="DCL118" s="73"/>
      <c r="DCM118" s="73"/>
      <c r="DCN118" s="73"/>
      <c r="DCO118" s="73"/>
      <c r="DCP118" s="73"/>
      <c r="DCQ118" s="73"/>
      <c r="DCR118" s="73"/>
      <c r="DCS118" s="73"/>
      <c r="DCT118" s="73"/>
      <c r="DCU118" s="73"/>
      <c r="DCV118" s="73"/>
      <c r="DCW118" s="73"/>
      <c r="DCX118" s="73"/>
      <c r="DCY118" s="73"/>
      <c r="DCZ118" s="73"/>
      <c r="DDA118" s="73"/>
      <c r="DDB118" s="73"/>
      <c r="DDC118" s="73"/>
      <c r="DDD118" s="73"/>
      <c r="DDE118" s="73"/>
      <c r="DDF118" s="73"/>
      <c r="DDG118" s="73"/>
      <c r="DDH118" s="73"/>
      <c r="DDI118" s="73"/>
      <c r="DDJ118" s="73"/>
      <c r="DDK118" s="73"/>
      <c r="DDL118" s="73"/>
      <c r="DDM118" s="73"/>
      <c r="DDN118" s="73"/>
      <c r="DDO118" s="73"/>
      <c r="DDP118" s="73"/>
      <c r="DDQ118" s="73"/>
      <c r="DDR118" s="73"/>
      <c r="DDS118" s="73"/>
      <c r="DDT118" s="73"/>
      <c r="DDU118" s="73"/>
      <c r="DDV118" s="73"/>
      <c r="DDW118" s="73"/>
      <c r="DDX118" s="73"/>
      <c r="DDY118" s="73"/>
      <c r="DDZ118" s="73"/>
      <c r="DEA118" s="73"/>
      <c r="DEB118" s="73"/>
      <c r="DEC118" s="73"/>
      <c r="DED118" s="73"/>
      <c r="DEE118" s="73"/>
      <c r="DEF118" s="73"/>
      <c r="DEG118" s="73"/>
      <c r="DEH118" s="73"/>
      <c r="DEI118" s="73"/>
      <c r="DEJ118" s="73"/>
      <c r="DEK118" s="73"/>
      <c r="DEL118" s="73"/>
      <c r="DEM118" s="73"/>
      <c r="DEN118" s="73"/>
      <c r="DEO118" s="73"/>
      <c r="DEP118" s="73"/>
      <c r="DEQ118" s="73"/>
      <c r="DER118" s="73"/>
      <c r="DES118" s="73"/>
      <c r="DET118" s="73"/>
      <c r="DEU118" s="73"/>
      <c r="DEV118" s="73"/>
      <c r="DEW118" s="73"/>
      <c r="DEX118" s="73"/>
      <c r="DEY118" s="73"/>
      <c r="DEZ118" s="73"/>
      <c r="DFA118" s="73"/>
      <c r="DFB118" s="73"/>
      <c r="DFC118" s="73"/>
      <c r="DFD118" s="73"/>
      <c r="DFE118" s="73"/>
      <c r="DFF118" s="73"/>
      <c r="DFG118" s="73"/>
      <c r="DFH118" s="73"/>
      <c r="DFI118" s="73"/>
      <c r="DFJ118" s="73"/>
      <c r="DFK118" s="73"/>
      <c r="DFL118" s="73"/>
      <c r="DFM118" s="73"/>
      <c r="DFN118" s="73"/>
      <c r="DFO118" s="73"/>
      <c r="DFP118" s="73"/>
      <c r="DFQ118" s="73"/>
      <c r="DFR118" s="73"/>
      <c r="DFS118" s="73"/>
      <c r="DFT118" s="73"/>
      <c r="DFU118" s="73"/>
      <c r="DFV118" s="73"/>
      <c r="DFW118" s="73"/>
      <c r="DFX118" s="73"/>
      <c r="DFY118" s="73"/>
      <c r="DFZ118" s="73"/>
      <c r="DGA118" s="73"/>
      <c r="DGB118" s="73"/>
      <c r="DGC118" s="73"/>
      <c r="DGD118" s="73"/>
      <c r="DGE118" s="73"/>
      <c r="DGF118" s="73"/>
      <c r="DGG118" s="73"/>
      <c r="DGH118" s="73"/>
      <c r="DGI118" s="73"/>
      <c r="DGJ118" s="73"/>
      <c r="DGK118" s="73"/>
      <c r="DGL118" s="73"/>
      <c r="DGM118" s="73"/>
      <c r="DGN118" s="73"/>
      <c r="DGO118" s="73"/>
      <c r="DGP118" s="73"/>
      <c r="DGQ118" s="73"/>
      <c r="DGR118" s="73"/>
      <c r="DGS118" s="73"/>
      <c r="DGT118" s="73"/>
      <c r="DGU118" s="73"/>
      <c r="DGV118" s="73"/>
      <c r="DGW118" s="73"/>
      <c r="DGX118" s="73"/>
      <c r="DGY118" s="73"/>
      <c r="DGZ118" s="73"/>
      <c r="DHA118" s="73"/>
      <c r="DHB118" s="73"/>
      <c r="DHC118" s="73"/>
      <c r="DHD118" s="73"/>
      <c r="DHE118" s="73"/>
      <c r="DHF118" s="73"/>
      <c r="DHG118" s="73"/>
      <c r="DHH118" s="73"/>
      <c r="DHI118" s="73"/>
      <c r="DHJ118" s="73"/>
      <c r="DHK118" s="73"/>
      <c r="DHL118" s="73"/>
      <c r="DHM118" s="73"/>
      <c r="DHN118" s="73"/>
      <c r="DHO118" s="73"/>
      <c r="DHP118" s="73"/>
      <c r="DHQ118" s="73"/>
      <c r="DHR118" s="73"/>
      <c r="DHS118" s="73"/>
      <c r="DHT118" s="73"/>
      <c r="DHU118" s="73"/>
      <c r="DHV118" s="73"/>
      <c r="DHW118" s="73"/>
      <c r="DHX118" s="73"/>
      <c r="DHY118" s="73"/>
      <c r="DHZ118" s="73"/>
      <c r="DIA118" s="73"/>
      <c r="DIB118" s="73"/>
      <c r="DIC118" s="73"/>
      <c r="DID118" s="73"/>
      <c r="DIE118" s="73"/>
      <c r="DIF118" s="73"/>
      <c r="DIG118" s="73"/>
      <c r="DIH118" s="73"/>
      <c r="DII118" s="73"/>
      <c r="DIJ118" s="73"/>
      <c r="DIK118" s="73"/>
      <c r="DIL118" s="73"/>
      <c r="DIM118" s="73"/>
      <c r="DIN118" s="73"/>
      <c r="DIO118" s="73"/>
      <c r="DIP118" s="73"/>
      <c r="DIQ118" s="73"/>
      <c r="DIR118" s="73"/>
      <c r="DIS118" s="73"/>
      <c r="DIT118" s="73"/>
      <c r="DIU118" s="73"/>
      <c r="DIV118" s="73"/>
      <c r="DIW118" s="73"/>
      <c r="DIX118" s="73"/>
      <c r="DIY118" s="73"/>
      <c r="DIZ118" s="73"/>
      <c r="DJA118" s="73"/>
      <c r="DJB118" s="73"/>
      <c r="DJC118" s="73"/>
      <c r="DJD118" s="73"/>
      <c r="DJE118" s="73"/>
      <c r="DJF118" s="73"/>
      <c r="DJG118" s="73"/>
      <c r="DJH118" s="73"/>
      <c r="DJI118" s="73"/>
      <c r="DJJ118" s="73"/>
      <c r="DJK118" s="73"/>
      <c r="DJL118" s="73"/>
      <c r="DJM118" s="73"/>
      <c r="DJN118" s="73"/>
      <c r="DJO118" s="73"/>
      <c r="DJP118" s="73"/>
      <c r="DJQ118" s="73"/>
      <c r="DJR118" s="73"/>
      <c r="DJS118" s="73"/>
      <c r="DJT118" s="73"/>
      <c r="DJU118" s="73"/>
      <c r="DJV118" s="73"/>
      <c r="DJW118" s="73"/>
      <c r="DJX118" s="73"/>
      <c r="DJY118" s="73"/>
      <c r="DJZ118" s="73"/>
      <c r="DKA118" s="73"/>
      <c r="DKB118" s="73"/>
      <c r="DKC118" s="73"/>
      <c r="DKD118" s="73"/>
      <c r="DKE118" s="73"/>
      <c r="DKF118" s="73"/>
      <c r="DKG118" s="73"/>
      <c r="DKH118" s="73"/>
      <c r="DKI118" s="73"/>
      <c r="DKJ118" s="73"/>
      <c r="DKK118" s="73"/>
      <c r="DKL118" s="73"/>
      <c r="DKM118" s="73"/>
      <c r="DKN118" s="73"/>
      <c r="DKO118" s="73"/>
      <c r="DKP118" s="73"/>
      <c r="DKQ118" s="73"/>
      <c r="DKR118" s="73"/>
      <c r="DKS118" s="73"/>
      <c r="DKT118" s="73"/>
      <c r="DKU118" s="73"/>
      <c r="DKV118" s="73"/>
      <c r="DKW118" s="73"/>
      <c r="DKX118" s="73"/>
      <c r="DKY118" s="73"/>
      <c r="DKZ118" s="73"/>
      <c r="DLA118" s="73"/>
      <c r="DLB118" s="73"/>
      <c r="DLC118" s="73"/>
      <c r="DLD118" s="73"/>
      <c r="DLE118" s="73"/>
      <c r="DLF118" s="73"/>
      <c r="DLG118" s="73"/>
      <c r="DLH118" s="73"/>
      <c r="DLI118" s="73"/>
      <c r="DLJ118" s="73"/>
      <c r="DLK118" s="73"/>
      <c r="DLL118" s="73"/>
      <c r="DLM118" s="73"/>
      <c r="DLN118" s="73"/>
      <c r="DLO118" s="73"/>
      <c r="DLP118" s="73"/>
      <c r="DLQ118" s="73"/>
      <c r="DLR118" s="73"/>
      <c r="DLS118" s="73"/>
      <c r="DLT118" s="73"/>
      <c r="DLU118" s="73"/>
      <c r="DLV118" s="73"/>
      <c r="DLW118" s="73"/>
      <c r="DLX118" s="73"/>
      <c r="DLY118" s="73"/>
      <c r="DLZ118" s="73"/>
      <c r="DMA118" s="73"/>
      <c r="DMB118" s="73"/>
      <c r="DMC118" s="73"/>
      <c r="DMD118" s="73"/>
      <c r="DME118" s="73"/>
      <c r="DMF118" s="73"/>
      <c r="DMG118" s="73"/>
      <c r="DMH118" s="73"/>
      <c r="DMI118" s="73"/>
      <c r="DMJ118" s="73"/>
      <c r="DMK118" s="73"/>
      <c r="DML118" s="73"/>
      <c r="DMM118" s="73"/>
      <c r="DMN118" s="73"/>
      <c r="DMO118" s="73"/>
      <c r="DMP118" s="73"/>
      <c r="DMQ118" s="73"/>
      <c r="DMR118" s="73"/>
      <c r="DMS118" s="73"/>
      <c r="DMT118" s="73"/>
      <c r="DMU118" s="73"/>
      <c r="DMV118" s="73"/>
      <c r="DMW118" s="73"/>
      <c r="DMX118" s="73"/>
      <c r="DMY118" s="73"/>
      <c r="DMZ118" s="73"/>
      <c r="DNA118" s="73"/>
      <c r="DNB118" s="73"/>
      <c r="DNC118" s="73"/>
      <c r="DND118" s="73"/>
      <c r="DNE118" s="73"/>
      <c r="DNF118" s="73"/>
      <c r="DNG118" s="73"/>
      <c r="DNH118" s="73"/>
      <c r="DNI118" s="73"/>
      <c r="DNJ118" s="73"/>
      <c r="DNK118" s="73"/>
      <c r="DNL118" s="73"/>
      <c r="DNM118" s="73"/>
      <c r="DNN118" s="73"/>
      <c r="DNO118" s="73"/>
      <c r="DNP118" s="73"/>
      <c r="DNQ118" s="73"/>
      <c r="DNR118" s="73"/>
      <c r="DNS118" s="73"/>
      <c r="DNT118" s="73"/>
      <c r="DNU118" s="73"/>
      <c r="DNV118" s="73"/>
      <c r="DNW118" s="73"/>
      <c r="DNX118" s="73"/>
      <c r="DNY118" s="73"/>
      <c r="DNZ118" s="73"/>
      <c r="DOA118" s="73"/>
      <c r="DOB118" s="73"/>
      <c r="DOC118" s="73"/>
      <c r="DOD118" s="73"/>
      <c r="DOE118" s="73"/>
      <c r="DOF118" s="73"/>
      <c r="DOG118" s="73"/>
      <c r="DOH118" s="73"/>
      <c r="DOI118" s="73"/>
      <c r="DOJ118" s="73"/>
      <c r="DOK118" s="73"/>
      <c r="DOL118" s="73"/>
      <c r="DOM118" s="73"/>
      <c r="DON118" s="73"/>
      <c r="DOO118" s="73"/>
      <c r="DOP118" s="73"/>
      <c r="DOQ118" s="73"/>
      <c r="DOR118" s="73"/>
      <c r="DOS118" s="73"/>
      <c r="DOT118" s="73"/>
      <c r="DOU118" s="73"/>
      <c r="DOV118" s="73"/>
      <c r="DOW118" s="73"/>
      <c r="DOX118" s="73"/>
      <c r="DOY118" s="73"/>
      <c r="DOZ118" s="73"/>
      <c r="DPA118" s="73"/>
      <c r="DPB118" s="73"/>
      <c r="DPC118" s="73"/>
      <c r="DPD118" s="73"/>
      <c r="DPE118" s="73"/>
      <c r="DPF118" s="73"/>
      <c r="DPG118" s="73"/>
      <c r="DPH118" s="73"/>
      <c r="DPI118" s="73"/>
      <c r="DPJ118" s="73"/>
      <c r="DPK118" s="73"/>
      <c r="DPL118" s="73"/>
      <c r="DPM118" s="73"/>
      <c r="DPN118" s="73"/>
      <c r="DPO118" s="73"/>
      <c r="DPP118" s="73"/>
      <c r="DPQ118" s="73"/>
      <c r="DPR118" s="73"/>
      <c r="DPS118" s="73"/>
      <c r="DPT118" s="73"/>
      <c r="DPU118" s="73"/>
      <c r="DPV118" s="73"/>
      <c r="DPW118" s="73"/>
      <c r="DPX118" s="73"/>
      <c r="DPY118" s="73"/>
      <c r="DPZ118" s="73"/>
      <c r="DQA118" s="73"/>
      <c r="DQB118" s="73"/>
      <c r="DQC118" s="73"/>
      <c r="DQD118" s="73"/>
      <c r="DQE118" s="73"/>
      <c r="DQF118" s="73"/>
      <c r="DQG118" s="73"/>
      <c r="DQH118" s="73"/>
      <c r="DQI118" s="73"/>
      <c r="DQJ118" s="73"/>
      <c r="DQK118" s="73"/>
      <c r="DQL118" s="73"/>
      <c r="DQM118" s="73"/>
      <c r="DQN118" s="73"/>
      <c r="DQO118" s="73"/>
      <c r="DQP118" s="73"/>
      <c r="DQQ118" s="73"/>
      <c r="DQR118" s="73"/>
      <c r="DQS118" s="73"/>
      <c r="DQT118" s="73"/>
      <c r="DQU118" s="73"/>
      <c r="DQV118" s="73"/>
      <c r="DQW118" s="73"/>
      <c r="DQX118" s="73"/>
      <c r="DQY118" s="73"/>
      <c r="DQZ118" s="73"/>
      <c r="DRA118" s="73"/>
      <c r="DRB118" s="73"/>
      <c r="DRC118" s="73"/>
      <c r="DRD118" s="73"/>
      <c r="DRE118" s="73"/>
      <c r="DRF118" s="73"/>
      <c r="DRG118" s="73"/>
      <c r="DRH118" s="73"/>
      <c r="DRI118" s="73"/>
      <c r="DRJ118" s="73"/>
      <c r="DRK118" s="73"/>
      <c r="DRL118" s="73"/>
      <c r="DRM118" s="73"/>
      <c r="DRN118" s="73"/>
      <c r="DRO118" s="73"/>
      <c r="DRP118" s="73"/>
      <c r="DRQ118" s="73"/>
      <c r="DRR118" s="73"/>
      <c r="DRS118" s="73"/>
      <c r="DRT118" s="73"/>
      <c r="DRU118" s="73"/>
      <c r="DRV118" s="73"/>
      <c r="DRW118" s="73"/>
      <c r="DRX118" s="73"/>
      <c r="DRY118" s="73"/>
      <c r="DRZ118" s="73"/>
      <c r="DSA118" s="73"/>
      <c r="DSB118" s="73"/>
      <c r="DSC118" s="73"/>
      <c r="DSD118" s="73"/>
      <c r="DSE118" s="73"/>
      <c r="DSF118" s="73"/>
      <c r="DSG118" s="73"/>
      <c r="DSH118" s="73"/>
      <c r="DSI118" s="73"/>
      <c r="DSJ118" s="73"/>
      <c r="DSK118" s="73"/>
      <c r="DSL118" s="73"/>
      <c r="DSM118" s="73"/>
      <c r="DSN118" s="73"/>
      <c r="DSO118" s="73"/>
      <c r="DSP118" s="73"/>
      <c r="DSQ118" s="73"/>
      <c r="DSR118" s="73"/>
      <c r="DSS118" s="73"/>
      <c r="DST118" s="73"/>
      <c r="DSU118" s="73"/>
      <c r="DSV118" s="73"/>
      <c r="DSW118" s="73"/>
      <c r="DSX118" s="73"/>
      <c r="DSY118" s="73"/>
      <c r="DSZ118" s="73"/>
      <c r="DTA118" s="73"/>
      <c r="DTB118" s="73"/>
      <c r="DTC118" s="73"/>
      <c r="DTD118" s="73"/>
      <c r="DTE118" s="73"/>
      <c r="DTF118" s="73"/>
      <c r="DTG118" s="73"/>
      <c r="DTH118" s="73"/>
      <c r="DTI118" s="73"/>
      <c r="DTJ118" s="73"/>
      <c r="DTK118" s="73"/>
      <c r="DTL118" s="73"/>
      <c r="DTM118" s="73"/>
      <c r="DTN118" s="73"/>
      <c r="DTO118" s="73"/>
      <c r="DTP118" s="73"/>
      <c r="DTQ118" s="73"/>
      <c r="DTR118" s="73"/>
      <c r="DTS118" s="73"/>
      <c r="DTT118" s="73"/>
      <c r="DTU118" s="73"/>
      <c r="DTV118" s="73"/>
      <c r="DTW118" s="73"/>
      <c r="DTX118" s="73"/>
      <c r="DTY118" s="73"/>
      <c r="DTZ118" s="73"/>
      <c r="DUA118" s="73"/>
      <c r="DUB118" s="73"/>
      <c r="DUC118" s="73"/>
      <c r="DUD118" s="73"/>
      <c r="DUE118" s="73"/>
      <c r="DUF118" s="73"/>
      <c r="DUG118" s="73"/>
      <c r="DUH118" s="73"/>
      <c r="DUI118" s="73"/>
      <c r="DUJ118" s="73"/>
      <c r="DUK118" s="73"/>
      <c r="DUL118" s="73"/>
      <c r="DUM118" s="73"/>
      <c r="DUN118" s="73"/>
      <c r="DUO118" s="73"/>
      <c r="DUP118" s="73"/>
      <c r="DUQ118" s="73"/>
      <c r="DUR118" s="73"/>
      <c r="DUS118" s="73"/>
      <c r="DUT118" s="73"/>
      <c r="DUU118" s="73"/>
      <c r="DUV118" s="73"/>
      <c r="DUW118" s="73"/>
      <c r="DUX118" s="73"/>
      <c r="DUY118" s="73"/>
      <c r="DUZ118" s="73"/>
      <c r="DVA118" s="73"/>
      <c r="DVB118" s="73"/>
      <c r="DVC118" s="73"/>
      <c r="DVD118" s="73"/>
      <c r="DVE118" s="73"/>
      <c r="DVF118" s="73"/>
      <c r="DVG118" s="73"/>
      <c r="DVH118" s="73"/>
      <c r="DVI118" s="73"/>
      <c r="DVJ118" s="73"/>
      <c r="DVK118" s="73"/>
      <c r="DVL118" s="73"/>
      <c r="DVM118" s="73"/>
      <c r="DVN118" s="73"/>
      <c r="DVO118" s="73"/>
      <c r="DVP118" s="73"/>
      <c r="DVQ118" s="73"/>
      <c r="DVR118" s="73"/>
      <c r="DVS118" s="73"/>
      <c r="DVT118" s="73"/>
      <c r="DVU118" s="73"/>
      <c r="DVV118" s="73"/>
      <c r="DVW118" s="73"/>
      <c r="DVX118" s="73"/>
      <c r="DVY118" s="73"/>
      <c r="DVZ118" s="73"/>
      <c r="DWA118" s="73"/>
      <c r="DWB118" s="73"/>
      <c r="DWC118" s="73"/>
      <c r="DWD118" s="73"/>
      <c r="DWE118" s="73"/>
      <c r="DWF118" s="73"/>
      <c r="DWG118" s="73"/>
      <c r="DWH118" s="73"/>
      <c r="DWI118" s="73"/>
      <c r="DWJ118" s="73"/>
      <c r="DWK118" s="73"/>
      <c r="DWL118" s="73"/>
      <c r="DWM118" s="73"/>
      <c r="DWN118" s="73"/>
      <c r="DWO118" s="73"/>
      <c r="DWP118" s="73"/>
      <c r="DWQ118" s="73"/>
      <c r="DWR118" s="73"/>
      <c r="DWS118" s="73"/>
      <c r="DWT118" s="73"/>
      <c r="DWU118" s="73"/>
      <c r="DWV118" s="73"/>
      <c r="DWW118" s="73"/>
      <c r="DWX118" s="73"/>
      <c r="DWY118" s="73"/>
      <c r="DWZ118" s="73"/>
      <c r="DXA118" s="73"/>
      <c r="DXB118" s="73"/>
      <c r="DXC118" s="73"/>
      <c r="DXD118" s="73"/>
      <c r="DXE118" s="73"/>
      <c r="DXF118" s="73"/>
      <c r="DXG118" s="73"/>
      <c r="DXH118" s="73"/>
      <c r="DXI118" s="73"/>
      <c r="DXJ118" s="73"/>
      <c r="DXK118" s="73"/>
      <c r="DXL118" s="73"/>
      <c r="DXM118" s="73"/>
      <c r="DXN118" s="73"/>
      <c r="DXO118" s="73"/>
      <c r="DXP118" s="73"/>
      <c r="DXQ118" s="73"/>
      <c r="DXR118" s="73"/>
      <c r="DXS118" s="73"/>
      <c r="DXT118" s="73"/>
      <c r="DXU118" s="73"/>
      <c r="DXV118" s="73"/>
      <c r="DXW118" s="73"/>
      <c r="DXX118" s="73"/>
      <c r="DXY118" s="73"/>
      <c r="DXZ118" s="73"/>
      <c r="DYA118" s="73"/>
      <c r="DYB118" s="73"/>
      <c r="DYC118" s="73"/>
      <c r="DYD118" s="73"/>
      <c r="DYE118" s="73"/>
      <c r="DYF118" s="73"/>
      <c r="DYG118" s="73"/>
      <c r="DYH118" s="73"/>
      <c r="DYI118" s="73"/>
      <c r="DYJ118" s="73"/>
      <c r="DYK118" s="73"/>
      <c r="DYL118" s="73"/>
      <c r="DYM118" s="73"/>
      <c r="DYN118" s="73"/>
      <c r="DYO118" s="73"/>
      <c r="DYP118" s="73"/>
      <c r="DYQ118" s="73"/>
      <c r="DYR118" s="73"/>
      <c r="DYS118" s="73"/>
      <c r="DYT118" s="73"/>
      <c r="DYU118" s="73"/>
      <c r="DYV118" s="73"/>
      <c r="DYW118" s="73"/>
      <c r="DYX118" s="73"/>
      <c r="DYY118" s="73"/>
      <c r="DYZ118" s="73"/>
      <c r="DZA118" s="73"/>
      <c r="DZB118" s="73"/>
      <c r="DZC118" s="73"/>
      <c r="DZD118" s="73"/>
      <c r="DZE118" s="73"/>
      <c r="DZF118" s="73"/>
      <c r="DZG118" s="73"/>
      <c r="DZH118" s="73"/>
      <c r="DZI118" s="73"/>
      <c r="DZJ118" s="73"/>
      <c r="DZK118" s="73"/>
      <c r="DZL118" s="73"/>
      <c r="DZM118" s="73"/>
      <c r="DZN118" s="73"/>
      <c r="DZO118" s="73"/>
      <c r="DZP118" s="73"/>
      <c r="DZQ118" s="73"/>
      <c r="DZR118" s="73"/>
      <c r="DZS118" s="73"/>
      <c r="DZT118" s="73"/>
      <c r="DZU118" s="73"/>
      <c r="DZV118" s="73"/>
      <c r="DZW118" s="73"/>
      <c r="DZX118" s="73"/>
      <c r="DZY118" s="73"/>
      <c r="DZZ118" s="73"/>
      <c r="EAA118" s="73"/>
      <c r="EAB118" s="73"/>
      <c r="EAC118" s="73"/>
      <c r="EAD118" s="73"/>
      <c r="EAE118" s="73"/>
      <c r="EAF118" s="73"/>
      <c r="EAG118" s="73"/>
      <c r="EAH118" s="73"/>
      <c r="EAI118" s="73"/>
      <c r="EAJ118" s="73"/>
      <c r="EAK118" s="73"/>
      <c r="EAL118" s="73"/>
      <c r="EAM118" s="73"/>
      <c r="EAN118" s="73"/>
      <c r="EAO118" s="73"/>
      <c r="EAP118" s="73"/>
      <c r="EAQ118" s="73"/>
      <c r="EAR118" s="73"/>
      <c r="EAS118" s="73"/>
      <c r="EAT118" s="73"/>
      <c r="EAU118" s="73"/>
      <c r="EAV118" s="73"/>
      <c r="EAW118" s="73"/>
      <c r="EAX118" s="73"/>
      <c r="EAY118" s="73"/>
      <c r="EAZ118" s="73"/>
      <c r="EBA118" s="73"/>
      <c r="EBB118" s="73"/>
      <c r="EBC118" s="73"/>
      <c r="EBD118" s="73"/>
      <c r="EBE118" s="73"/>
      <c r="EBF118" s="73"/>
      <c r="EBG118" s="73"/>
      <c r="EBH118" s="73"/>
      <c r="EBI118" s="73"/>
      <c r="EBJ118" s="73"/>
      <c r="EBK118" s="73"/>
      <c r="EBL118" s="73"/>
      <c r="EBM118" s="73"/>
      <c r="EBN118" s="73"/>
      <c r="EBO118" s="73"/>
      <c r="EBP118" s="73"/>
      <c r="EBQ118" s="73"/>
      <c r="EBR118" s="73"/>
      <c r="EBS118" s="73"/>
      <c r="EBT118" s="73"/>
      <c r="EBU118" s="73"/>
      <c r="EBV118" s="73"/>
      <c r="EBW118" s="73"/>
      <c r="EBX118" s="73"/>
      <c r="EBY118" s="73"/>
      <c r="EBZ118" s="73"/>
      <c r="ECA118" s="73"/>
      <c r="ECB118" s="73"/>
      <c r="ECC118" s="73"/>
      <c r="ECD118" s="73"/>
      <c r="ECE118" s="73"/>
      <c r="ECF118" s="73"/>
      <c r="ECG118" s="73"/>
      <c r="ECH118" s="73"/>
      <c r="ECI118" s="73"/>
      <c r="ECJ118" s="73"/>
      <c r="ECK118" s="73"/>
      <c r="ECL118" s="73"/>
      <c r="ECM118" s="73"/>
      <c r="ECN118" s="73"/>
      <c r="ECO118" s="73"/>
      <c r="ECP118" s="73"/>
      <c r="ECQ118" s="73"/>
      <c r="ECR118" s="73"/>
      <c r="ECS118" s="73"/>
      <c r="ECT118" s="73"/>
      <c r="ECU118" s="73"/>
      <c r="ECV118" s="73"/>
      <c r="ECW118" s="73"/>
      <c r="ECX118" s="73"/>
      <c r="ECY118" s="73"/>
      <c r="ECZ118" s="73"/>
      <c r="EDA118" s="73"/>
      <c r="EDB118" s="73"/>
      <c r="EDC118" s="73"/>
      <c r="EDD118" s="73"/>
      <c r="EDE118" s="73"/>
      <c r="EDF118" s="73"/>
      <c r="EDG118" s="73"/>
      <c r="EDH118" s="73"/>
      <c r="EDI118" s="73"/>
      <c r="EDJ118" s="73"/>
      <c r="EDK118" s="73"/>
      <c r="EDL118" s="73"/>
      <c r="EDM118" s="73"/>
      <c r="EDN118" s="73"/>
      <c r="EDO118" s="73"/>
      <c r="EDP118" s="73"/>
      <c r="EDQ118" s="73"/>
      <c r="EDR118" s="73"/>
      <c r="EDS118" s="73"/>
      <c r="EDT118" s="73"/>
      <c r="EDU118" s="73"/>
      <c r="EDV118" s="73"/>
      <c r="EDW118" s="73"/>
      <c r="EDX118" s="73"/>
      <c r="EDY118" s="73"/>
      <c r="EDZ118" s="73"/>
      <c r="EEA118" s="73"/>
      <c r="EEB118" s="73"/>
      <c r="EEC118" s="73"/>
      <c r="EED118" s="73"/>
      <c r="EEE118" s="73"/>
      <c r="EEF118" s="73"/>
      <c r="EEG118" s="73"/>
      <c r="EEH118" s="73"/>
      <c r="EEI118" s="73"/>
      <c r="EEJ118" s="73"/>
      <c r="EEK118" s="73"/>
      <c r="EEL118" s="73"/>
      <c r="EEM118" s="73"/>
      <c r="EEN118" s="73"/>
      <c r="EEO118" s="73"/>
      <c r="EEP118" s="73"/>
      <c r="EEQ118" s="73"/>
      <c r="EER118" s="73"/>
      <c r="EES118" s="73"/>
      <c r="EET118" s="73"/>
      <c r="EEU118" s="73"/>
      <c r="EEV118" s="73"/>
      <c r="EEW118" s="73"/>
      <c r="EEX118" s="73"/>
      <c r="EEY118" s="73"/>
      <c r="EEZ118" s="73"/>
      <c r="EFA118" s="73"/>
      <c r="EFB118" s="73"/>
      <c r="EFC118" s="73"/>
      <c r="EFD118" s="73"/>
      <c r="EFE118" s="73"/>
      <c r="EFF118" s="73"/>
      <c r="EFG118" s="73"/>
      <c r="EFH118" s="73"/>
      <c r="EFI118" s="73"/>
      <c r="EFJ118" s="73"/>
      <c r="EFK118" s="73"/>
      <c r="EFL118" s="73"/>
      <c r="EFM118" s="73"/>
      <c r="EFN118" s="73"/>
      <c r="EFO118" s="73"/>
      <c r="EFP118" s="73"/>
      <c r="EFQ118" s="73"/>
      <c r="EFR118" s="73"/>
      <c r="EFS118" s="73"/>
      <c r="EFT118" s="73"/>
      <c r="EFU118" s="73"/>
      <c r="EFV118" s="73"/>
      <c r="EFW118" s="73"/>
      <c r="EFX118" s="73"/>
      <c r="EFY118" s="73"/>
      <c r="EFZ118" s="73"/>
      <c r="EGA118" s="73"/>
      <c r="EGB118" s="73"/>
      <c r="EGC118" s="73"/>
      <c r="EGD118" s="73"/>
      <c r="EGE118" s="73"/>
      <c r="EGF118" s="73"/>
      <c r="EGG118" s="73"/>
      <c r="EGH118" s="73"/>
      <c r="EGI118" s="73"/>
      <c r="EGJ118" s="73"/>
      <c r="EGK118" s="73"/>
      <c r="EGL118" s="73"/>
      <c r="EGM118" s="73"/>
      <c r="EGN118" s="73"/>
      <c r="EGO118" s="73"/>
      <c r="EGP118" s="73"/>
      <c r="EGQ118" s="73"/>
      <c r="EGR118" s="73"/>
      <c r="EGS118" s="73"/>
      <c r="EGT118" s="73"/>
      <c r="EGU118" s="73"/>
      <c r="EGV118" s="73"/>
      <c r="EGW118" s="73"/>
      <c r="EGX118" s="73"/>
      <c r="EGY118" s="73"/>
      <c r="EGZ118" s="73"/>
      <c r="EHA118" s="73"/>
      <c r="EHB118" s="73"/>
      <c r="EHC118" s="73"/>
      <c r="EHD118" s="73"/>
      <c r="EHE118" s="73"/>
      <c r="EHF118" s="73"/>
      <c r="EHG118" s="73"/>
      <c r="EHH118" s="73"/>
      <c r="EHI118" s="73"/>
      <c r="EHJ118" s="73"/>
      <c r="EHK118" s="73"/>
      <c r="EHL118" s="73"/>
      <c r="EHM118" s="73"/>
      <c r="EHN118" s="73"/>
      <c r="EHO118" s="73"/>
      <c r="EHP118" s="73"/>
      <c r="EHQ118" s="73"/>
      <c r="EHR118" s="73"/>
      <c r="EHS118" s="73"/>
      <c r="EHT118" s="73"/>
      <c r="EHU118" s="73"/>
      <c r="EHV118" s="73"/>
      <c r="EHW118" s="73"/>
      <c r="EHX118" s="73"/>
      <c r="EHY118" s="73"/>
      <c r="EHZ118" s="73"/>
      <c r="EIA118" s="73"/>
      <c r="EIB118" s="73"/>
      <c r="EIC118" s="73"/>
      <c r="EID118" s="73"/>
      <c r="EIE118" s="73"/>
      <c r="EIF118" s="73"/>
      <c r="EIG118" s="73"/>
      <c r="EIH118" s="73"/>
      <c r="EII118" s="73"/>
      <c r="EIJ118" s="73"/>
      <c r="EIK118" s="73"/>
      <c r="EIL118" s="73"/>
      <c r="EIM118" s="73"/>
      <c r="EIN118" s="73"/>
      <c r="EIO118" s="73"/>
      <c r="EIP118" s="73"/>
      <c r="EIQ118" s="73"/>
      <c r="EIR118" s="73"/>
      <c r="EIS118" s="73"/>
      <c r="EIT118" s="73"/>
      <c r="EIU118" s="73"/>
      <c r="EIV118" s="73"/>
      <c r="EIW118" s="73"/>
      <c r="EIX118" s="73"/>
      <c r="EIY118" s="73"/>
      <c r="EIZ118" s="73"/>
      <c r="EJA118" s="73"/>
      <c r="EJB118" s="73"/>
      <c r="EJC118" s="73"/>
      <c r="EJD118" s="73"/>
      <c r="EJE118" s="73"/>
      <c r="EJF118" s="73"/>
      <c r="EJG118" s="73"/>
      <c r="EJH118" s="73"/>
      <c r="EJI118" s="73"/>
      <c r="EJJ118" s="73"/>
      <c r="EJK118" s="73"/>
      <c r="EJL118" s="73"/>
      <c r="EJM118" s="73"/>
      <c r="EJN118" s="73"/>
      <c r="EJO118" s="73"/>
      <c r="EJP118" s="73"/>
      <c r="EJQ118" s="73"/>
      <c r="EJR118" s="73"/>
      <c r="EJS118" s="73"/>
      <c r="EJT118" s="73"/>
      <c r="EJU118" s="73"/>
      <c r="EJV118" s="73"/>
      <c r="EJW118" s="73"/>
      <c r="EJX118" s="73"/>
      <c r="EJY118" s="73"/>
      <c r="EJZ118" s="73"/>
      <c r="EKA118" s="73"/>
      <c r="EKB118" s="73"/>
      <c r="EKC118" s="73"/>
      <c r="EKD118" s="73"/>
      <c r="EKE118" s="73"/>
      <c r="EKF118" s="73"/>
      <c r="EKG118" s="73"/>
      <c r="EKH118" s="73"/>
      <c r="EKI118" s="73"/>
      <c r="EKJ118" s="73"/>
      <c r="EKK118" s="73"/>
      <c r="EKL118" s="73"/>
      <c r="EKM118" s="73"/>
      <c r="EKN118" s="73"/>
      <c r="EKO118" s="73"/>
      <c r="EKP118" s="73"/>
      <c r="EKQ118" s="73"/>
      <c r="EKR118" s="73"/>
      <c r="EKS118" s="73"/>
      <c r="EKT118" s="73"/>
      <c r="EKU118" s="73"/>
      <c r="EKV118" s="73"/>
      <c r="EKW118" s="73"/>
      <c r="EKX118" s="73"/>
      <c r="EKY118" s="73"/>
      <c r="EKZ118" s="73"/>
      <c r="ELA118" s="73"/>
      <c r="ELB118" s="73"/>
      <c r="ELC118" s="73"/>
      <c r="ELD118" s="73"/>
      <c r="ELE118" s="73"/>
      <c r="ELF118" s="73"/>
      <c r="ELG118" s="73"/>
      <c r="ELH118" s="73"/>
      <c r="ELI118" s="73"/>
      <c r="ELJ118" s="73"/>
      <c r="ELK118" s="73"/>
      <c r="ELL118" s="73"/>
      <c r="ELM118" s="73"/>
      <c r="ELN118" s="73"/>
      <c r="ELO118" s="73"/>
      <c r="ELP118" s="73"/>
      <c r="ELQ118" s="73"/>
      <c r="ELR118" s="73"/>
      <c r="ELS118" s="73"/>
      <c r="ELT118" s="73"/>
      <c r="ELU118" s="73"/>
      <c r="ELV118" s="73"/>
      <c r="ELW118" s="73"/>
      <c r="ELX118" s="73"/>
      <c r="ELY118" s="73"/>
      <c r="ELZ118" s="73"/>
      <c r="EMA118" s="73"/>
      <c r="EMB118" s="73"/>
      <c r="EMC118" s="73"/>
      <c r="EMD118" s="73"/>
      <c r="EME118" s="73"/>
      <c r="EMF118" s="73"/>
      <c r="EMG118" s="73"/>
      <c r="EMH118" s="73"/>
      <c r="EMI118" s="73"/>
      <c r="EMJ118" s="73"/>
      <c r="EMK118" s="73"/>
      <c r="EML118" s="73"/>
      <c r="EMM118" s="73"/>
      <c r="EMN118" s="73"/>
      <c r="EMO118" s="73"/>
      <c r="EMP118" s="73"/>
      <c r="EMQ118" s="73"/>
      <c r="EMR118" s="73"/>
      <c r="EMS118" s="73"/>
      <c r="EMT118" s="73"/>
      <c r="EMU118" s="73"/>
      <c r="EMV118" s="73"/>
      <c r="EMW118" s="73"/>
      <c r="EMX118" s="73"/>
      <c r="EMY118" s="73"/>
      <c r="EMZ118" s="73"/>
      <c r="ENA118" s="73"/>
      <c r="ENB118" s="73"/>
      <c r="ENC118" s="73"/>
      <c r="END118" s="73"/>
      <c r="ENE118" s="73"/>
      <c r="ENF118" s="73"/>
      <c r="ENG118" s="73"/>
      <c r="ENH118" s="73"/>
      <c r="ENI118" s="73"/>
      <c r="ENJ118" s="73"/>
      <c r="ENK118" s="73"/>
      <c r="ENL118" s="73"/>
      <c r="ENM118" s="73"/>
      <c r="ENN118" s="73"/>
      <c r="ENO118" s="73"/>
      <c r="ENP118" s="73"/>
      <c r="ENQ118" s="73"/>
      <c r="ENR118" s="73"/>
      <c r="ENS118" s="73"/>
      <c r="ENT118" s="73"/>
      <c r="ENU118" s="73"/>
      <c r="ENV118" s="73"/>
      <c r="ENW118" s="73"/>
      <c r="ENX118" s="73"/>
      <c r="ENY118" s="73"/>
      <c r="ENZ118" s="73"/>
      <c r="EOA118" s="73"/>
      <c r="EOB118" s="73"/>
      <c r="EOC118" s="73"/>
      <c r="EOD118" s="73"/>
      <c r="EOE118" s="73"/>
      <c r="EOF118" s="73"/>
      <c r="EOG118" s="73"/>
      <c r="EOH118" s="73"/>
      <c r="EOI118" s="73"/>
      <c r="EOJ118" s="73"/>
      <c r="EOK118" s="73"/>
      <c r="EOL118" s="73"/>
      <c r="EOM118" s="73"/>
      <c r="EON118" s="73"/>
      <c r="EOO118" s="73"/>
      <c r="EOP118" s="73"/>
      <c r="EOQ118" s="73"/>
      <c r="EOR118" s="73"/>
      <c r="EOS118" s="73"/>
      <c r="EOT118" s="73"/>
      <c r="EOU118" s="73"/>
      <c r="EOV118" s="73"/>
      <c r="EOW118" s="73"/>
      <c r="EOX118" s="73"/>
      <c r="EOY118" s="73"/>
      <c r="EOZ118" s="73"/>
      <c r="EPA118" s="73"/>
      <c r="EPB118" s="73"/>
      <c r="EPC118" s="73"/>
      <c r="EPD118" s="73"/>
      <c r="EPE118" s="73"/>
      <c r="EPF118" s="73"/>
      <c r="EPG118" s="73"/>
      <c r="EPH118" s="73"/>
      <c r="EPI118" s="73"/>
      <c r="EPJ118" s="73"/>
      <c r="EPK118" s="73"/>
      <c r="EPL118" s="73"/>
      <c r="EPM118" s="73"/>
      <c r="EPN118" s="73"/>
      <c r="EPO118" s="73"/>
      <c r="EPP118" s="73"/>
      <c r="EPQ118" s="73"/>
      <c r="EPR118" s="73"/>
      <c r="EPS118" s="73"/>
      <c r="EPT118" s="73"/>
      <c r="EPU118" s="73"/>
      <c r="EPV118" s="73"/>
      <c r="EPW118" s="73"/>
      <c r="EPX118" s="73"/>
      <c r="EPY118" s="73"/>
      <c r="EPZ118" s="73"/>
      <c r="EQA118" s="73"/>
      <c r="EQB118" s="73"/>
      <c r="EQC118" s="73"/>
      <c r="EQD118" s="73"/>
      <c r="EQE118" s="73"/>
      <c r="EQF118" s="73"/>
      <c r="EQG118" s="73"/>
      <c r="EQH118" s="73"/>
      <c r="EQI118" s="73"/>
      <c r="EQJ118" s="73"/>
      <c r="EQK118" s="73"/>
      <c r="EQL118" s="73"/>
      <c r="EQM118" s="73"/>
      <c r="EQN118" s="73"/>
      <c r="EQO118" s="73"/>
      <c r="EQP118" s="73"/>
      <c r="EQQ118" s="73"/>
      <c r="EQR118" s="73"/>
      <c r="EQS118" s="73"/>
      <c r="EQT118" s="73"/>
      <c r="EQU118" s="73"/>
      <c r="EQV118" s="73"/>
      <c r="EQW118" s="73"/>
      <c r="EQX118" s="73"/>
      <c r="EQY118" s="73"/>
      <c r="EQZ118" s="73"/>
      <c r="ERA118" s="73"/>
      <c r="ERB118" s="73"/>
      <c r="ERC118" s="73"/>
      <c r="ERD118" s="73"/>
      <c r="ERE118" s="73"/>
      <c r="ERF118" s="73"/>
      <c r="ERG118" s="73"/>
      <c r="ERH118" s="73"/>
      <c r="ERI118" s="73"/>
      <c r="ERJ118" s="73"/>
      <c r="ERK118" s="73"/>
      <c r="ERL118" s="73"/>
      <c r="ERM118" s="73"/>
      <c r="ERN118" s="73"/>
      <c r="ERO118" s="73"/>
      <c r="ERP118" s="73"/>
      <c r="ERQ118" s="73"/>
      <c r="ERR118" s="73"/>
      <c r="ERS118" s="73"/>
      <c r="ERT118" s="73"/>
      <c r="ERU118" s="73"/>
      <c r="ERV118" s="73"/>
      <c r="ERW118" s="73"/>
      <c r="ERX118" s="73"/>
      <c r="ERY118" s="73"/>
      <c r="ERZ118" s="73"/>
      <c r="ESA118" s="73"/>
      <c r="ESB118" s="73"/>
      <c r="ESC118" s="73"/>
      <c r="ESD118" s="73"/>
      <c r="ESE118" s="73"/>
      <c r="ESF118" s="73"/>
      <c r="ESG118" s="73"/>
      <c r="ESH118" s="73"/>
      <c r="ESI118" s="73"/>
      <c r="ESJ118" s="73"/>
      <c r="ESK118" s="73"/>
      <c r="ESL118" s="73"/>
      <c r="ESM118" s="73"/>
      <c r="ESN118" s="73"/>
      <c r="ESO118" s="73"/>
      <c r="ESP118" s="73"/>
      <c r="ESQ118" s="73"/>
      <c r="ESR118" s="73"/>
      <c r="ESS118" s="73"/>
      <c r="EST118" s="73"/>
      <c r="ESU118" s="73"/>
      <c r="ESV118" s="73"/>
      <c r="ESW118" s="73"/>
      <c r="ESX118" s="73"/>
      <c r="ESY118" s="73"/>
      <c r="ESZ118" s="73"/>
      <c r="ETA118" s="73"/>
      <c r="ETB118" s="73"/>
      <c r="ETC118" s="73"/>
      <c r="ETD118" s="73"/>
      <c r="ETE118" s="73"/>
      <c r="ETF118" s="73"/>
      <c r="ETG118" s="73"/>
      <c r="ETH118" s="73"/>
      <c r="ETI118" s="73"/>
      <c r="ETJ118" s="73"/>
      <c r="ETK118" s="73"/>
      <c r="ETL118" s="73"/>
      <c r="ETM118" s="73"/>
      <c r="ETN118" s="73"/>
      <c r="ETO118" s="73"/>
      <c r="ETP118" s="73"/>
      <c r="ETQ118" s="73"/>
      <c r="ETR118" s="73"/>
      <c r="ETS118" s="73"/>
      <c r="ETT118" s="73"/>
      <c r="ETU118" s="73"/>
      <c r="ETV118" s="73"/>
      <c r="ETW118" s="73"/>
      <c r="ETX118" s="73"/>
      <c r="ETY118" s="73"/>
      <c r="ETZ118" s="73"/>
      <c r="EUA118" s="73"/>
      <c r="EUB118" s="73"/>
      <c r="EUC118" s="73"/>
      <c r="EUD118" s="73"/>
      <c r="EUE118" s="73"/>
      <c r="EUF118" s="73"/>
      <c r="EUG118" s="73"/>
      <c r="EUH118" s="73"/>
      <c r="EUI118" s="73"/>
      <c r="EUJ118" s="73"/>
      <c r="EUK118" s="73"/>
      <c r="EUL118" s="73"/>
      <c r="EUM118" s="73"/>
      <c r="EUN118" s="73"/>
      <c r="EUO118" s="73"/>
      <c r="EUP118" s="73"/>
      <c r="EUQ118" s="73"/>
      <c r="EUR118" s="73"/>
      <c r="EUS118" s="73"/>
      <c r="EUT118" s="73"/>
      <c r="EUU118" s="73"/>
      <c r="EUV118" s="73"/>
      <c r="EUW118" s="73"/>
      <c r="EUX118" s="73"/>
      <c r="EUY118" s="73"/>
      <c r="EUZ118" s="73"/>
      <c r="EVA118" s="73"/>
      <c r="EVB118" s="73"/>
      <c r="EVC118" s="73"/>
      <c r="EVD118" s="73"/>
      <c r="EVE118" s="73"/>
      <c r="EVF118" s="73"/>
      <c r="EVG118" s="73"/>
      <c r="EVH118" s="73"/>
      <c r="EVI118" s="73"/>
      <c r="EVJ118" s="73"/>
      <c r="EVK118" s="73"/>
      <c r="EVL118" s="73"/>
      <c r="EVM118" s="73"/>
      <c r="EVN118" s="73"/>
      <c r="EVO118" s="73"/>
      <c r="EVP118" s="73"/>
      <c r="EVQ118" s="73"/>
      <c r="EVR118" s="73"/>
      <c r="EVS118" s="73"/>
      <c r="EVT118" s="73"/>
      <c r="EVU118" s="73"/>
      <c r="EVV118" s="73"/>
      <c r="EVW118" s="73"/>
      <c r="EVX118" s="73"/>
      <c r="EVY118" s="73"/>
      <c r="EVZ118" s="73"/>
      <c r="EWA118" s="73"/>
      <c r="EWB118" s="73"/>
      <c r="EWC118" s="73"/>
      <c r="EWD118" s="73"/>
      <c r="EWE118" s="73"/>
      <c r="EWF118" s="73"/>
      <c r="EWG118" s="73"/>
      <c r="EWH118" s="73"/>
      <c r="EWI118" s="73"/>
      <c r="EWJ118" s="73"/>
      <c r="EWK118" s="73"/>
      <c r="EWL118" s="73"/>
      <c r="EWM118" s="73"/>
      <c r="EWN118" s="73"/>
      <c r="EWO118" s="73"/>
      <c r="EWP118" s="73"/>
      <c r="EWQ118" s="73"/>
      <c r="EWR118" s="73"/>
      <c r="EWS118" s="73"/>
      <c r="EWT118" s="73"/>
      <c r="EWU118" s="73"/>
      <c r="EWV118" s="73"/>
      <c r="EWW118" s="73"/>
      <c r="EWX118" s="73"/>
      <c r="EWY118" s="73"/>
      <c r="EWZ118" s="73"/>
      <c r="EXA118" s="73"/>
      <c r="EXB118" s="73"/>
      <c r="EXC118" s="73"/>
      <c r="EXD118" s="73"/>
      <c r="EXE118" s="73"/>
      <c r="EXF118" s="73"/>
      <c r="EXG118" s="73"/>
      <c r="EXH118" s="73"/>
      <c r="EXI118" s="73"/>
      <c r="EXJ118" s="73"/>
      <c r="EXK118" s="73"/>
      <c r="EXL118" s="73"/>
      <c r="EXM118" s="73"/>
      <c r="EXN118" s="73"/>
      <c r="EXO118" s="73"/>
      <c r="EXP118" s="73"/>
      <c r="EXQ118" s="73"/>
      <c r="EXR118" s="73"/>
      <c r="EXS118" s="73"/>
      <c r="EXT118" s="73"/>
      <c r="EXU118" s="73"/>
      <c r="EXV118" s="73"/>
      <c r="EXW118" s="73"/>
      <c r="EXX118" s="73"/>
      <c r="EXY118" s="73"/>
      <c r="EXZ118" s="73"/>
      <c r="EYA118" s="73"/>
      <c r="EYB118" s="73"/>
      <c r="EYC118" s="73"/>
      <c r="EYD118" s="73"/>
      <c r="EYE118" s="73"/>
      <c r="EYF118" s="73"/>
      <c r="EYG118" s="73"/>
      <c r="EYH118" s="73"/>
      <c r="EYI118" s="73"/>
      <c r="EYJ118" s="73"/>
      <c r="EYK118" s="73"/>
      <c r="EYL118" s="73"/>
      <c r="EYM118" s="73"/>
      <c r="EYN118" s="73"/>
      <c r="EYO118" s="73"/>
      <c r="EYP118" s="73"/>
      <c r="EYQ118" s="73"/>
      <c r="EYR118" s="73"/>
      <c r="EYS118" s="73"/>
      <c r="EYT118" s="73"/>
      <c r="EYU118" s="73"/>
      <c r="EYV118" s="73"/>
      <c r="EYW118" s="73"/>
      <c r="EYX118" s="73"/>
      <c r="EYY118" s="73"/>
      <c r="EYZ118" s="73"/>
      <c r="EZA118" s="73"/>
      <c r="EZB118" s="73"/>
      <c r="EZC118" s="73"/>
      <c r="EZD118" s="73"/>
      <c r="EZE118" s="73"/>
      <c r="EZF118" s="73"/>
      <c r="EZG118" s="73"/>
      <c r="EZH118" s="73"/>
      <c r="EZI118" s="73"/>
      <c r="EZJ118" s="73"/>
      <c r="EZK118" s="73"/>
      <c r="EZL118" s="73"/>
      <c r="EZM118" s="73"/>
      <c r="EZN118" s="73"/>
      <c r="EZO118" s="73"/>
      <c r="EZP118" s="73"/>
      <c r="EZQ118" s="73"/>
      <c r="EZR118" s="73"/>
      <c r="EZS118" s="73"/>
      <c r="EZT118" s="73"/>
      <c r="EZU118" s="73"/>
      <c r="EZV118" s="73"/>
      <c r="EZW118" s="73"/>
      <c r="EZX118" s="73"/>
      <c r="EZY118" s="73"/>
      <c r="EZZ118" s="73"/>
      <c r="FAA118" s="73"/>
      <c r="FAB118" s="73"/>
      <c r="FAC118" s="73"/>
      <c r="FAD118" s="73"/>
      <c r="FAE118" s="73"/>
      <c r="FAF118" s="73"/>
      <c r="FAG118" s="73"/>
      <c r="FAH118" s="73"/>
      <c r="FAI118" s="73"/>
      <c r="FAJ118" s="73"/>
      <c r="FAK118" s="73"/>
      <c r="FAL118" s="73"/>
      <c r="FAM118" s="73"/>
      <c r="FAN118" s="73"/>
      <c r="FAO118" s="73"/>
      <c r="FAP118" s="73"/>
      <c r="FAQ118" s="73"/>
      <c r="FAR118" s="73"/>
      <c r="FAS118" s="73"/>
      <c r="FAT118" s="73"/>
      <c r="FAU118" s="73"/>
      <c r="FAV118" s="73"/>
      <c r="FAW118" s="73"/>
      <c r="FAX118" s="73"/>
      <c r="FAY118" s="73"/>
      <c r="FAZ118" s="73"/>
      <c r="FBA118" s="73"/>
      <c r="FBB118" s="73"/>
      <c r="FBC118" s="73"/>
      <c r="FBD118" s="73"/>
      <c r="FBE118" s="73"/>
      <c r="FBF118" s="73"/>
      <c r="FBG118" s="73"/>
      <c r="FBH118" s="73"/>
      <c r="FBI118" s="73"/>
      <c r="FBJ118" s="73"/>
      <c r="FBK118" s="73"/>
      <c r="FBL118" s="73"/>
      <c r="FBM118" s="73"/>
      <c r="FBN118" s="73"/>
      <c r="FBO118" s="73"/>
      <c r="FBP118" s="73"/>
      <c r="FBQ118" s="73"/>
      <c r="FBR118" s="73"/>
      <c r="FBS118" s="73"/>
      <c r="FBT118" s="73"/>
      <c r="FBU118" s="73"/>
      <c r="FBV118" s="73"/>
      <c r="FBW118" s="73"/>
      <c r="FBX118" s="73"/>
      <c r="FBY118" s="73"/>
      <c r="FBZ118" s="73"/>
      <c r="FCA118" s="73"/>
      <c r="FCB118" s="73"/>
      <c r="FCC118" s="73"/>
      <c r="FCD118" s="73"/>
      <c r="FCE118" s="73"/>
      <c r="FCF118" s="73"/>
      <c r="FCG118" s="73"/>
      <c r="FCH118" s="73"/>
      <c r="FCI118" s="73"/>
      <c r="FCJ118" s="73"/>
      <c r="FCK118" s="73"/>
      <c r="FCL118" s="73"/>
      <c r="FCM118" s="73"/>
      <c r="FCN118" s="73"/>
      <c r="FCO118" s="73"/>
      <c r="FCP118" s="73"/>
      <c r="FCQ118" s="73"/>
      <c r="FCR118" s="73"/>
      <c r="FCS118" s="73"/>
      <c r="FCT118" s="73"/>
      <c r="FCU118" s="73"/>
      <c r="FCV118" s="73"/>
      <c r="FCW118" s="73"/>
      <c r="FCX118" s="73"/>
      <c r="FCY118" s="73"/>
      <c r="FCZ118" s="73"/>
      <c r="FDA118" s="73"/>
      <c r="FDB118" s="73"/>
      <c r="FDC118" s="73"/>
      <c r="FDD118" s="73"/>
      <c r="FDE118" s="73"/>
      <c r="FDF118" s="73"/>
      <c r="FDG118" s="73"/>
      <c r="FDH118" s="73"/>
      <c r="FDI118" s="73"/>
      <c r="FDJ118" s="73"/>
      <c r="FDK118" s="73"/>
      <c r="FDL118" s="73"/>
      <c r="FDM118" s="73"/>
      <c r="FDN118" s="73"/>
      <c r="FDO118" s="73"/>
      <c r="FDP118" s="73"/>
      <c r="FDQ118" s="73"/>
      <c r="FDR118" s="73"/>
      <c r="FDS118" s="73"/>
      <c r="FDT118" s="73"/>
      <c r="FDU118" s="73"/>
      <c r="FDV118" s="73"/>
      <c r="FDW118" s="73"/>
      <c r="FDX118" s="73"/>
      <c r="FDY118" s="73"/>
      <c r="FDZ118" s="73"/>
      <c r="FEA118" s="73"/>
      <c r="FEB118" s="73"/>
      <c r="FEC118" s="73"/>
      <c r="FED118" s="73"/>
      <c r="FEE118" s="73"/>
      <c r="FEF118" s="73"/>
      <c r="FEG118" s="73"/>
      <c r="FEH118" s="73"/>
      <c r="FEI118" s="73"/>
      <c r="FEJ118" s="73"/>
      <c r="FEK118" s="73"/>
      <c r="FEL118" s="73"/>
      <c r="FEM118" s="73"/>
      <c r="FEN118" s="73"/>
      <c r="FEO118" s="73"/>
      <c r="FEP118" s="73"/>
      <c r="FEQ118" s="73"/>
      <c r="FER118" s="73"/>
      <c r="FES118" s="73"/>
      <c r="FET118" s="73"/>
      <c r="FEU118" s="73"/>
      <c r="FEV118" s="73"/>
      <c r="FEW118" s="73"/>
      <c r="FEX118" s="73"/>
      <c r="FEY118" s="73"/>
      <c r="FEZ118" s="73"/>
      <c r="FFA118" s="73"/>
      <c r="FFB118" s="73"/>
      <c r="FFC118" s="73"/>
      <c r="FFD118" s="73"/>
      <c r="FFE118" s="73"/>
      <c r="FFF118" s="73"/>
      <c r="FFG118" s="73"/>
      <c r="FFH118" s="73"/>
      <c r="FFI118" s="73"/>
      <c r="FFJ118" s="73"/>
      <c r="FFK118" s="73"/>
      <c r="FFL118" s="73"/>
      <c r="FFM118" s="73"/>
      <c r="FFN118" s="73"/>
      <c r="FFO118" s="73"/>
      <c r="FFP118" s="73"/>
      <c r="FFQ118" s="73"/>
      <c r="FFR118" s="73"/>
      <c r="FFS118" s="73"/>
      <c r="FFT118" s="73"/>
      <c r="FFU118" s="73"/>
      <c r="FFV118" s="73"/>
      <c r="FFW118" s="73"/>
      <c r="FFX118" s="73"/>
      <c r="FFY118" s="73"/>
      <c r="FFZ118" s="73"/>
      <c r="FGA118" s="73"/>
      <c r="FGB118" s="73"/>
      <c r="FGC118" s="73"/>
      <c r="FGD118" s="73"/>
      <c r="FGE118" s="73"/>
      <c r="FGF118" s="73"/>
      <c r="FGG118" s="73"/>
      <c r="FGH118" s="73"/>
      <c r="FGI118" s="73"/>
      <c r="FGJ118" s="73"/>
      <c r="FGK118" s="73"/>
      <c r="FGL118" s="73"/>
      <c r="FGM118" s="73"/>
      <c r="FGN118" s="73"/>
      <c r="FGO118" s="73"/>
      <c r="FGP118" s="73"/>
      <c r="FGQ118" s="73"/>
      <c r="FGR118" s="73"/>
      <c r="FGS118" s="73"/>
      <c r="FGT118" s="73"/>
      <c r="FGU118" s="73"/>
      <c r="FGV118" s="73"/>
      <c r="FGW118" s="73"/>
      <c r="FGX118" s="73"/>
      <c r="FGY118" s="73"/>
      <c r="FGZ118" s="73"/>
      <c r="FHA118" s="73"/>
      <c r="FHB118" s="73"/>
      <c r="FHC118" s="73"/>
      <c r="FHD118" s="73"/>
      <c r="FHE118" s="73"/>
      <c r="FHF118" s="73"/>
      <c r="FHG118" s="73"/>
      <c r="FHH118" s="73"/>
      <c r="FHI118" s="73"/>
      <c r="FHJ118" s="73"/>
      <c r="FHK118" s="73"/>
      <c r="FHL118" s="73"/>
      <c r="FHM118" s="73"/>
      <c r="FHN118" s="73"/>
      <c r="FHO118" s="73"/>
      <c r="FHP118" s="73"/>
      <c r="FHQ118" s="73"/>
      <c r="FHR118" s="73"/>
      <c r="FHS118" s="73"/>
      <c r="FHT118" s="73"/>
      <c r="FHU118" s="73"/>
      <c r="FHV118" s="73"/>
      <c r="FHW118" s="73"/>
      <c r="FHX118" s="73"/>
      <c r="FHY118" s="73"/>
      <c r="FHZ118" s="73"/>
      <c r="FIA118" s="73"/>
      <c r="FIB118" s="73"/>
      <c r="FIC118" s="73"/>
      <c r="FID118" s="73"/>
      <c r="FIE118" s="73"/>
      <c r="FIF118" s="73"/>
      <c r="FIG118" s="73"/>
      <c r="FIH118" s="73"/>
      <c r="FII118" s="73"/>
      <c r="FIJ118" s="73"/>
      <c r="FIK118" s="73"/>
      <c r="FIL118" s="73"/>
      <c r="FIM118" s="73"/>
      <c r="FIN118" s="73"/>
      <c r="FIO118" s="73"/>
      <c r="FIP118" s="73"/>
      <c r="FIQ118" s="73"/>
      <c r="FIR118" s="73"/>
      <c r="FIS118" s="73"/>
      <c r="FIT118" s="73"/>
      <c r="FIU118" s="73"/>
      <c r="FIV118" s="73"/>
      <c r="FIW118" s="73"/>
      <c r="FIX118" s="73"/>
      <c r="FIY118" s="73"/>
      <c r="FIZ118" s="73"/>
      <c r="FJA118" s="73"/>
      <c r="FJB118" s="73"/>
      <c r="FJC118" s="73"/>
      <c r="FJD118" s="73"/>
      <c r="FJE118" s="73"/>
      <c r="FJF118" s="73"/>
      <c r="FJG118" s="73"/>
      <c r="FJH118" s="73"/>
      <c r="FJI118" s="73"/>
      <c r="FJJ118" s="73"/>
      <c r="FJK118" s="73"/>
      <c r="FJL118" s="73"/>
      <c r="FJM118" s="73"/>
      <c r="FJN118" s="73"/>
      <c r="FJO118" s="73"/>
      <c r="FJP118" s="73"/>
      <c r="FJQ118" s="73"/>
      <c r="FJR118" s="73"/>
      <c r="FJS118" s="73"/>
      <c r="FJT118" s="73"/>
      <c r="FJU118" s="73"/>
      <c r="FJV118" s="73"/>
      <c r="FJW118" s="73"/>
      <c r="FJX118" s="73"/>
      <c r="FJY118" s="73"/>
      <c r="FJZ118" s="73"/>
      <c r="FKA118" s="73"/>
      <c r="FKB118" s="73"/>
      <c r="FKC118" s="73"/>
      <c r="FKD118" s="73"/>
      <c r="FKE118" s="73"/>
      <c r="FKF118" s="73"/>
      <c r="FKG118" s="73"/>
      <c r="FKH118" s="73"/>
      <c r="FKI118" s="73"/>
      <c r="FKJ118" s="73"/>
      <c r="FKK118" s="73"/>
      <c r="FKL118" s="73"/>
      <c r="FKM118" s="73"/>
      <c r="FKN118" s="73"/>
      <c r="FKO118" s="73"/>
      <c r="FKP118" s="73"/>
      <c r="FKQ118" s="73"/>
      <c r="FKR118" s="73"/>
      <c r="FKS118" s="73"/>
      <c r="FKT118" s="73"/>
      <c r="FKU118" s="73"/>
      <c r="FKV118" s="73"/>
      <c r="FKW118" s="73"/>
      <c r="FKX118" s="73"/>
      <c r="FKY118" s="73"/>
      <c r="FKZ118" s="73"/>
      <c r="FLA118" s="73"/>
      <c r="FLB118" s="73"/>
      <c r="FLC118" s="73"/>
      <c r="FLD118" s="73"/>
      <c r="FLE118" s="73"/>
      <c r="FLF118" s="73"/>
      <c r="FLG118" s="73"/>
      <c r="FLH118" s="73"/>
      <c r="FLI118" s="73"/>
      <c r="FLJ118" s="73"/>
      <c r="FLK118" s="73"/>
      <c r="FLL118" s="73"/>
      <c r="FLM118" s="73"/>
      <c r="FLN118" s="73"/>
      <c r="FLO118" s="73"/>
      <c r="FLP118" s="73"/>
      <c r="FLQ118" s="73"/>
      <c r="FLR118" s="73"/>
      <c r="FLS118" s="73"/>
      <c r="FLT118" s="73"/>
      <c r="FLU118" s="73"/>
      <c r="FLV118" s="73"/>
      <c r="FLW118" s="73"/>
      <c r="FLX118" s="73"/>
      <c r="FLY118" s="73"/>
      <c r="FLZ118" s="73"/>
      <c r="FMA118" s="73"/>
      <c r="FMB118" s="73"/>
      <c r="FMC118" s="73"/>
      <c r="FMD118" s="73"/>
      <c r="FME118" s="73"/>
      <c r="FMF118" s="73"/>
      <c r="FMG118" s="73"/>
      <c r="FMH118" s="73"/>
      <c r="FMI118" s="73"/>
      <c r="FMJ118" s="73"/>
      <c r="FMK118" s="73"/>
      <c r="FML118" s="73"/>
      <c r="FMM118" s="73"/>
      <c r="FMN118" s="73"/>
      <c r="FMO118" s="73"/>
      <c r="FMP118" s="73"/>
      <c r="FMQ118" s="73"/>
      <c r="FMR118" s="73"/>
      <c r="FMS118" s="73"/>
      <c r="FMT118" s="73"/>
      <c r="FMU118" s="73"/>
      <c r="FMV118" s="73"/>
      <c r="FMW118" s="73"/>
      <c r="FMX118" s="73"/>
      <c r="FMY118" s="73"/>
      <c r="FMZ118" s="73"/>
      <c r="FNA118" s="73"/>
      <c r="FNB118" s="73"/>
      <c r="FNC118" s="73"/>
      <c r="FND118" s="73"/>
      <c r="FNE118" s="73"/>
      <c r="FNF118" s="73"/>
      <c r="FNG118" s="73"/>
      <c r="FNH118" s="73"/>
      <c r="FNI118" s="73"/>
      <c r="FNJ118" s="73"/>
      <c r="FNK118" s="73"/>
      <c r="FNL118" s="73"/>
      <c r="FNM118" s="73"/>
      <c r="FNN118" s="73"/>
      <c r="FNO118" s="73"/>
      <c r="FNP118" s="73"/>
      <c r="FNQ118" s="73"/>
      <c r="FNR118" s="73"/>
      <c r="FNS118" s="73"/>
      <c r="FNT118" s="73"/>
      <c r="FNU118" s="73"/>
      <c r="FNV118" s="73"/>
      <c r="FNW118" s="73"/>
      <c r="FNX118" s="73"/>
      <c r="FNY118" s="73"/>
      <c r="FNZ118" s="73"/>
      <c r="FOA118" s="73"/>
      <c r="FOB118" s="73"/>
      <c r="FOC118" s="73"/>
      <c r="FOD118" s="73"/>
      <c r="FOE118" s="73"/>
      <c r="FOF118" s="73"/>
      <c r="FOG118" s="73"/>
      <c r="FOH118" s="73"/>
      <c r="FOI118" s="73"/>
      <c r="FOJ118" s="73"/>
      <c r="FOK118" s="73"/>
      <c r="FOL118" s="73"/>
      <c r="FOM118" s="73"/>
      <c r="FON118" s="73"/>
      <c r="FOO118" s="73"/>
      <c r="FOP118" s="73"/>
      <c r="FOQ118" s="73"/>
      <c r="FOR118" s="73"/>
      <c r="FOS118" s="73"/>
      <c r="FOT118" s="73"/>
      <c r="FOU118" s="73"/>
      <c r="FOV118" s="73"/>
      <c r="FOW118" s="73"/>
      <c r="FOX118" s="73"/>
      <c r="FOY118" s="73"/>
      <c r="FOZ118" s="73"/>
      <c r="FPA118" s="73"/>
      <c r="FPB118" s="73"/>
      <c r="FPC118" s="73"/>
      <c r="FPD118" s="73"/>
      <c r="FPE118" s="73"/>
      <c r="FPF118" s="73"/>
      <c r="FPG118" s="73"/>
      <c r="FPH118" s="73"/>
      <c r="FPI118" s="73"/>
      <c r="FPJ118" s="73"/>
      <c r="FPK118" s="73"/>
      <c r="FPL118" s="73"/>
      <c r="FPM118" s="73"/>
      <c r="FPN118" s="73"/>
      <c r="FPO118" s="73"/>
      <c r="FPP118" s="73"/>
      <c r="FPQ118" s="73"/>
      <c r="FPR118" s="73"/>
      <c r="FPS118" s="73"/>
      <c r="FPT118" s="73"/>
      <c r="FPU118" s="73"/>
      <c r="FPV118" s="73"/>
      <c r="FPW118" s="73"/>
      <c r="FPX118" s="73"/>
      <c r="FPY118" s="73"/>
      <c r="FPZ118" s="73"/>
      <c r="FQA118" s="73"/>
      <c r="FQB118" s="73"/>
      <c r="FQC118" s="73"/>
      <c r="FQD118" s="73"/>
      <c r="FQE118" s="73"/>
      <c r="FQF118" s="73"/>
      <c r="FQG118" s="73"/>
      <c r="FQH118" s="73"/>
      <c r="FQI118" s="73"/>
      <c r="FQJ118" s="73"/>
      <c r="FQK118" s="73"/>
      <c r="FQL118" s="73"/>
      <c r="FQM118" s="73"/>
      <c r="FQN118" s="73"/>
      <c r="FQO118" s="73"/>
      <c r="FQP118" s="73"/>
      <c r="FQQ118" s="73"/>
      <c r="FQR118" s="73"/>
      <c r="FQS118" s="73"/>
      <c r="FQT118" s="73"/>
      <c r="FQU118" s="73"/>
      <c r="FQV118" s="73"/>
      <c r="FQW118" s="73"/>
      <c r="FQX118" s="73"/>
      <c r="FQY118" s="73"/>
      <c r="FQZ118" s="73"/>
      <c r="FRA118" s="73"/>
      <c r="FRB118" s="73"/>
      <c r="FRC118" s="73"/>
      <c r="FRD118" s="73"/>
      <c r="FRE118" s="73"/>
      <c r="FRF118" s="73"/>
      <c r="FRG118" s="73"/>
      <c r="FRH118" s="73"/>
      <c r="FRI118" s="73"/>
      <c r="FRJ118" s="73"/>
      <c r="FRK118" s="73"/>
      <c r="FRL118" s="73"/>
      <c r="FRM118" s="73"/>
      <c r="FRN118" s="73"/>
      <c r="FRO118" s="73"/>
      <c r="FRP118" s="73"/>
      <c r="FRQ118" s="73"/>
      <c r="FRR118" s="73"/>
      <c r="FRS118" s="73"/>
      <c r="FRT118" s="73"/>
      <c r="FRU118" s="73"/>
      <c r="FRV118" s="73"/>
      <c r="FRW118" s="73"/>
      <c r="FRX118" s="73"/>
      <c r="FRY118" s="73"/>
      <c r="FRZ118" s="73"/>
      <c r="FSA118" s="73"/>
      <c r="FSB118" s="73"/>
      <c r="FSC118" s="73"/>
      <c r="FSD118" s="73"/>
      <c r="FSE118" s="73"/>
      <c r="FSF118" s="73"/>
      <c r="FSG118" s="73"/>
      <c r="FSH118" s="73"/>
      <c r="FSI118" s="73"/>
      <c r="FSJ118" s="73"/>
      <c r="FSK118" s="73"/>
      <c r="FSL118" s="73"/>
      <c r="FSM118" s="73"/>
      <c r="FSN118" s="73"/>
      <c r="FSO118" s="73"/>
      <c r="FSP118" s="73"/>
      <c r="FSQ118" s="73"/>
      <c r="FSR118" s="73"/>
      <c r="FSS118" s="73"/>
      <c r="FST118" s="73"/>
      <c r="FSU118" s="73"/>
      <c r="FSV118" s="73"/>
      <c r="FSW118" s="73"/>
      <c r="FSX118" s="73"/>
      <c r="FSY118" s="73"/>
      <c r="FSZ118" s="73"/>
      <c r="FTA118" s="73"/>
      <c r="FTB118" s="73"/>
      <c r="FTC118" s="73"/>
      <c r="FTD118" s="73"/>
      <c r="FTE118" s="73"/>
      <c r="FTF118" s="73"/>
      <c r="FTG118" s="73"/>
      <c r="FTH118" s="73"/>
      <c r="FTI118" s="73"/>
      <c r="FTJ118" s="73"/>
      <c r="FTK118" s="73"/>
      <c r="FTL118" s="73"/>
      <c r="FTM118" s="73"/>
      <c r="FTN118" s="73"/>
      <c r="FTO118" s="73"/>
      <c r="FTP118" s="73"/>
      <c r="FTQ118" s="73"/>
      <c r="FTR118" s="73"/>
      <c r="FTS118" s="73"/>
      <c r="FTT118" s="73"/>
      <c r="FTU118" s="73"/>
      <c r="FTV118" s="73"/>
      <c r="FTW118" s="73"/>
      <c r="FTX118" s="73"/>
      <c r="FTY118" s="73"/>
      <c r="FTZ118" s="73"/>
      <c r="FUA118" s="73"/>
      <c r="FUB118" s="73"/>
      <c r="FUC118" s="73"/>
      <c r="FUD118" s="73"/>
      <c r="FUE118" s="73"/>
      <c r="FUF118" s="73"/>
      <c r="FUG118" s="73"/>
      <c r="FUH118" s="73"/>
      <c r="FUI118" s="73"/>
      <c r="FUJ118" s="73"/>
      <c r="FUK118" s="73"/>
      <c r="FUL118" s="73"/>
      <c r="FUM118" s="73"/>
      <c r="FUN118" s="73"/>
      <c r="FUO118" s="73"/>
      <c r="FUP118" s="73"/>
      <c r="FUQ118" s="73"/>
      <c r="FUR118" s="73"/>
      <c r="FUS118" s="73"/>
      <c r="FUT118" s="73"/>
      <c r="FUU118" s="73"/>
      <c r="FUV118" s="73"/>
      <c r="FUW118" s="73"/>
      <c r="FUX118" s="73"/>
      <c r="FUY118" s="73"/>
      <c r="FUZ118" s="73"/>
      <c r="FVA118" s="73"/>
      <c r="FVB118" s="73"/>
      <c r="FVC118" s="73"/>
      <c r="FVD118" s="73"/>
      <c r="FVE118" s="73"/>
      <c r="FVF118" s="73"/>
      <c r="FVG118" s="73"/>
      <c r="FVH118" s="73"/>
      <c r="FVI118" s="73"/>
      <c r="FVJ118" s="73"/>
      <c r="FVK118" s="73"/>
      <c r="FVL118" s="73"/>
      <c r="FVM118" s="73"/>
      <c r="FVN118" s="73"/>
      <c r="FVO118" s="73"/>
      <c r="FVP118" s="73"/>
      <c r="FVQ118" s="73"/>
      <c r="FVR118" s="73"/>
      <c r="FVS118" s="73"/>
      <c r="FVT118" s="73"/>
      <c r="FVU118" s="73"/>
      <c r="FVV118" s="73"/>
      <c r="FVW118" s="73"/>
      <c r="FVX118" s="73"/>
      <c r="FVY118" s="73"/>
      <c r="FVZ118" s="73"/>
      <c r="FWA118" s="73"/>
      <c r="FWB118" s="73"/>
      <c r="FWC118" s="73"/>
      <c r="FWD118" s="73"/>
      <c r="FWE118" s="73"/>
      <c r="FWF118" s="73"/>
      <c r="FWG118" s="73"/>
      <c r="FWH118" s="73"/>
      <c r="FWI118" s="73"/>
      <c r="FWJ118" s="73"/>
      <c r="FWK118" s="73"/>
      <c r="FWL118" s="73"/>
      <c r="FWM118" s="73"/>
      <c r="FWN118" s="73"/>
      <c r="FWO118" s="73"/>
      <c r="FWP118" s="73"/>
      <c r="FWQ118" s="73"/>
      <c r="FWR118" s="73"/>
      <c r="FWS118" s="73"/>
      <c r="FWT118" s="73"/>
      <c r="FWU118" s="73"/>
      <c r="FWV118" s="73"/>
      <c r="FWW118" s="73"/>
      <c r="FWX118" s="73"/>
      <c r="FWY118" s="73"/>
      <c r="FWZ118" s="73"/>
      <c r="FXA118" s="73"/>
      <c r="FXB118" s="73"/>
      <c r="FXC118" s="73"/>
      <c r="FXD118" s="73"/>
      <c r="FXE118" s="73"/>
      <c r="FXF118" s="73"/>
      <c r="FXG118" s="73"/>
      <c r="FXH118" s="73"/>
      <c r="FXI118" s="73"/>
      <c r="FXJ118" s="73"/>
      <c r="FXK118" s="73"/>
      <c r="FXL118" s="73"/>
      <c r="FXM118" s="73"/>
      <c r="FXN118" s="73"/>
      <c r="FXO118" s="73"/>
      <c r="FXP118" s="73"/>
      <c r="FXQ118" s="73"/>
      <c r="FXR118" s="73"/>
      <c r="FXS118" s="73"/>
      <c r="FXT118" s="73"/>
      <c r="FXU118" s="73"/>
      <c r="FXV118" s="73"/>
      <c r="FXW118" s="73"/>
      <c r="FXX118" s="73"/>
      <c r="FXY118" s="73"/>
      <c r="FXZ118" s="73"/>
      <c r="FYA118" s="73"/>
      <c r="FYB118" s="73"/>
      <c r="FYC118" s="73"/>
      <c r="FYD118" s="73"/>
      <c r="FYE118" s="73"/>
      <c r="FYF118" s="73"/>
      <c r="FYG118" s="73"/>
      <c r="FYH118" s="73"/>
      <c r="FYI118" s="73"/>
      <c r="FYJ118" s="73"/>
      <c r="FYK118" s="73"/>
      <c r="FYL118" s="73"/>
      <c r="FYM118" s="73"/>
      <c r="FYN118" s="73"/>
      <c r="FYO118" s="73"/>
      <c r="FYP118" s="73"/>
      <c r="FYQ118" s="73"/>
      <c r="FYR118" s="73"/>
      <c r="FYS118" s="73"/>
      <c r="FYT118" s="73"/>
      <c r="FYU118" s="73"/>
      <c r="FYV118" s="73"/>
      <c r="FYW118" s="73"/>
      <c r="FYX118" s="73"/>
      <c r="FYY118" s="73"/>
      <c r="FYZ118" s="73"/>
      <c r="FZA118" s="73"/>
      <c r="FZB118" s="73"/>
      <c r="FZC118" s="73"/>
      <c r="FZD118" s="73"/>
      <c r="FZE118" s="73"/>
      <c r="FZF118" s="73"/>
      <c r="FZG118" s="73"/>
      <c r="FZH118" s="73"/>
      <c r="FZI118" s="73"/>
      <c r="FZJ118" s="73"/>
      <c r="FZK118" s="73"/>
      <c r="FZL118" s="73"/>
      <c r="FZM118" s="73"/>
      <c r="FZN118" s="73"/>
      <c r="FZO118" s="73"/>
      <c r="FZP118" s="73"/>
      <c r="FZQ118" s="73"/>
      <c r="FZR118" s="73"/>
      <c r="FZS118" s="73"/>
      <c r="FZT118" s="73"/>
      <c r="FZU118" s="73"/>
      <c r="FZV118" s="73"/>
      <c r="FZW118" s="73"/>
      <c r="FZX118" s="73"/>
      <c r="FZY118" s="73"/>
      <c r="FZZ118" s="73"/>
      <c r="GAA118" s="73"/>
      <c r="GAB118" s="73"/>
      <c r="GAC118" s="73"/>
      <c r="GAD118" s="73"/>
      <c r="GAE118" s="73"/>
      <c r="GAF118" s="73"/>
      <c r="GAG118" s="73"/>
      <c r="GAH118" s="73"/>
      <c r="GAI118" s="73"/>
      <c r="GAJ118" s="73"/>
      <c r="GAK118" s="73"/>
      <c r="GAL118" s="73"/>
      <c r="GAM118" s="73"/>
      <c r="GAN118" s="73"/>
      <c r="GAO118" s="73"/>
      <c r="GAP118" s="73"/>
      <c r="GAQ118" s="73"/>
      <c r="GAR118" s="73"/>
      <c r="GAS118" s="73"/>
      <c r="GAT118" s="73"/>
      <c r="GAU118" s="73"/>
      <c r="GAV118" s="73"/>
      <c r="GAW118" s="73"/>
      <c r="GAX118" s="73"/>
      <c r="GAY118" s="73"/>
      <c r="GAZ118" s="73"/>
      <c r="GBA118" s="73"/>
      <c r="GBB118" s="73"/>
      <c r="GBC118" s="73"/>
      <c r="GBD118" s="73"/>
      <c r="GBE118" s="73"/>
      <c r="GBF118" s="73"/>
      <c r="GBG118" s="73"/>
      <c r="GBH118" s="73"/>
      <c r="GBI118" s="73"/>
      <c r="GBJ118" s="73"/>
      <c r="GBK118" s="73"/>
      <c r="GBL118" s="73"/>
      <c r="GBM118" s="73"/>
      <c r="GBN118" s="73"/>
      <c r="GBO118" s="73"/>
      <c r="GBP118" s="73"/>
      <c r="GBQ118" s="73"/>
      <c r="GBR118" s="73"/>
      <c r="GBS118" s="73"/>
      <c r="GBT118" s="73"/>
      <c r="GBU118" s="73"/>
      <c r="GBV118" s="73"/>
      <c r="GBW118" s="73"/>
      <c r="GBX118" s="73"/>
      <c r="GBY118" s="73"/>
      <c r="GBZ118" s="73"/>
      <c r="GCA118" s="73"/>
      <c r="GCB118" s="73"/>
      <c r="GCC118" s="73"/>
      <c r="GCD118" s="73"/>
      <c r="GCE118" s="73"/>
      <c r="GCF118" s="73"/>
      <c r="GCG118" s="73"/>
      <c r="GCH118" s="73"/>
      <c r="GCI118" s="73"/>
      <c r="GCJ118" s="73"/>
      <c r="GCK118" s="73"/>
      <c r="GCL118" s="73"/>
      <c r="GCM118" s="73"/>
      <c r="GCN118" s="73"/>
      <c r="GCO118" s="73"/>
      <c r="GCP118" s="73"/>
      <c r="GCQ118" s="73"/>
      <c r="GCR118" s="73"/>
      <c r="GCS118" s="73"/>
      <c r="GCT118" s="73"/>
      <c r="GCU118" s="73"/>
      <c r="GCV118" s="73"/>
      <c r="GCW118" s="73"/>
      <c r="GCX118" s="73"/>
      <c r="GCY118" s="73"/>
      <c r="GCZ118" s="73"/>
      <c r="GDA118" s="73"/>
      <c r="GDB118" s="73"/>
      <c r="GDC118" s="73"/>
      <c r="GDD118" s="73"/>
      <c r="GDE118" s="73"/>
      <c r="GDF118" s="73"/>
      <c r="GDG118" s="73"/>
      <c r="GDH118" s="73"/>
      <c r="GDI118" s="73"/>
      <c r="GDJ118" s="73"/>
      <c r="GDK118" s="73"/>
      <c r="GDL118" s="73"/>
      <c r="GDM118" s="73"/>
      <c r="GDN118" s="73"/>
      <c r="GDO118" s="73"/>
      <c r="GDP118" s="73"/>
      <c r="GDQ118" s="73"/>
      <c r="GDR118" s="73"/>
      <c r="GDS118" s="73"/>
      <c r="GDT118" s="73"/>
      <c r="GDU118" s="73"/>
      <c r="GDV118" s="73"/>
      <c r="GDW118" s="73"/>
      <c r="GDX118" s="73"/>
      <c r="GDY118" s="73"/>
      <c r="GDZ118" s="73"/>
      <c r="GEA118" s="73"/>
      <c r="GEB118" s="73"/>
      <c r="GEC118" s="73"/>
      <c r="GED118" s="73"/>
      <c r="GEE118" s="73"/>
      <c r="GEF118" s="73"/>
      <c r="GEG118" s="73"/>
      <c r="GEH118" s="73"/>
      <c r="GEI118" s="73"/>
      <c r="GEJ118" s="73"/>
      <c r="GEK118" s="73"/>
      <c r="GEL118" s="73"/>
      <c r="GEM118" s="73"/>
      <c r="GEN118" s="73"/>
      <c r="GEO118" s="73"/>
      <c r="GEP118" s="73"/>
      <c r="GEQ118" s="73"/>
      <c r="GER118" s="73"/>
      <c r="GES118" s="73"/>
      <c r="GET118" s="73"/>
      <c r="GEU118" s="73"/>
      <c r="GEV118" s="73"/>
      <c r="GEW118" s="73"/>
      <c r="GEX118" s="73"/>
      <c r="GEY118" s="73"/>
      <c r="GEZ118" s="73"/>
      <c r="GFA118" s="73"/>
      <c r="GFB118" s="73"/>
      <c r="GFC118" s="73"/>
      <c r="GFD118" s="73"/>
      <c r="GFE118" s="73"/>
      <c r="GFF118" s="73"/>
      <c r="GFG118" s="73"/>
      <c r="GFH118" s="73"/>
      <c r="GFI118" s="73"/>
      <c r="GFJ118" s="73"/>
      <c r="GFK118" s="73"/>
      <c r="GFL118" s="73"/>
      <c r="GFM118" s="73"/>
      <c r="GFN118" s="73"/>
      <c r="GFO118" s="73"/>
      <c r="GFP118" s="73"/>
      <c r="GFQ118" s="73"/>
      <c r="GFR118" s="73"/>
      <c r="GFS118" s="73"/>
      <c r="GFT118" s="73"/>
      <c r="GFU118" s="73"/>
      <c r="GFV118" s="73"/>
      <c r="GFW118" s="73"/>
      <c r="GFX118" s="73"/>
      <c r="GFY118" s="73"/>
      <c r="GFZ118" s="73"/>
      <c r="GGA118" s="73"/>
      <c r="GGB118" s="73"/>
      <c r="GGC118" s="73"/>
      <c r="GGD118" s="73"/>
      <c r="GGE118" s="73"/>
      <c r="GGF118" s="73"/>
      <c r="GGG118" s="73"/>
      <c r="GGH118" s="73"/>
      <c r="GGI118" s="73"/>
      <c r="GGJ118" s="73"/>
      <c r="GGK118" s="73"/>
      <c r="GGL118" s="73"/>
      <c r="GGM118" s="73"/>
      <c r="GGN118" s="73"/>
      <c r="GGO118" s="73"/>
      <c r="GGP118" s="73"/>
      <c r="GGQ118" s="73"/>
      <c r="GGR118" s="73"/>
      <c r="GGS118" s="73"/>
      <c r="GGT118" s="73"/>
      <c r="GGU118" s="73"/>
      <c r="GGV118" s="73"/>
      <c r="GGW118" s="73"/>
      <c r="GGX118" s="73"/>
      <c r="GGY118" s="73"/>
      <c r="GGZ118" s="73"/>
      <c r="GHA118" s="73"/>
      <c r="GHB118" s="73"/>
      <c r="GHC118" s="73"/>
      <c r="GHD118" s="73"/>
      <c r="GHE118" s="73"/>
      <c r="GHF118" s="73"/>
      <c r="GHG118" s="73"/>
      <c r="GHH118" s="73"/>
      <c r="GHI118" s="73"/>
      <c r="GHJ118" s="73"/>
      <c r="GHK118" s="73"/>
      <c r="GHL118" s="73"/>
      <c r="GHM118" s="73"/>
      <c r="GHN118" s="73"/>
      <c r="GHO118" s="73"/>
      <c r="GHP118" s="73"/>
      <c r="GHQ118" s="73"/>
      <c r="GHR118" s="73"/>
      <c r="GHS118" s="73"/>
      <c r="GHT118" s="73"/>
      <c r="GHU118" s="73"/>
      <c r="GHV118" s="73"/>
      <c r="GHW118" s="73"/>
      <c r="GHX118" s="73"/>
      <c r="GHY118" s="73"/>
      <c r="GHZ118" s="73"/>
      <c r="GIA118" s="73"/>
      <c r="GIB118" s="73"/>
      <c r="GIC118" s="73"/>
      <c r="GID118" s="73"/>
      <c r="GIE118" s="73"/>
      <c r="GIF118" s="73"/>
      <c r="GIG118" s="73"/>
      <c r="GIH118" s="73"/>
      <c r="GII118" s="73"/>
      <c r="GIJ118" s="73"/>
      <c r="GIK118" s="73"/>
      <c r="GIL118" s="73"/>
      <c r="GIM118" s="73"/>
      <c r="GIN118" s="73"/>
      <c r="GIO118" s="73"/>
      <c r="GIP118" s="73"/>
      <c r="GIQ118" s="73"/>
      <c r="GIR118" s="73"/>
      <c r="GIS118" s="73"/>
      <c r="GIT118" s="73"/>
      <c r="GIU118" s="73"/>
      <c r="GIV118" s="73"/>
      <c r="GIW118" s="73"/>
      <c r="GIX118" s="73"/>
      <c r="GIY118" s="73"/>
      <c r="GIZ118" s="73"/>
      <c r="GJA118" s="73"/>
      <c r="GJB118" s="73"/>
      <c r="GJC118" s="73"/>
      <c r="GJD118" s="73"/>
      <c r="GJE118" s="73"/>
      <c r="GJF118" s="73"/>
      <c r="GJG118" s="73"/>
      <c r="GJH118" s="73"/>
      <c r="GJI118" s="73"/>
      <c r="GJJ118" s="73"/>
      <c r="GJK118" s="73"/>
      <c r="GJL118" s="73"/>
      <c r="GJM118" s="73"/>
      <c r="GJN118" s="73"/>
      <c r="GJO118" s="73"/>
      <c r="GJP118" s="73"/>
      <c r="GJQ118" s="73"/>
      <c r="GJR118" s="73"/>
      <c r="GJS118" s="73"/>
      <c r="GJT118" s="73"/>
      <c r="GJU118" s="73"/>
      <c r="GJV118" s="73"/>
      <c r="GJW118" s="73"/>
      <c r="GJX118" s="73"/>
      <c r="GJY118" s="73"/>
      <c r="GJZ118" s="73"/>
      <c r="GKA118" s="73"/>
      <c r="GKB118" s="73"/>
      <c r="GKC118" s="73"/>
      <c r="GKD118" s="73"/>
      <c r="GKE118" s="73"/>
      <c r="GKF118" s="73"/>
      <c r="GKG118" s="73"/>
      <c r="GKH118" s="73"/>
      <c r="GKI118" s="73"/>
      <c r="GKJ118" s="73"/>
      <c r="GKK118" s="73"/>
      <c r="GKL118" s="73"/>
      <c r="GKM118" s="73"/>
      <c r="GKN118" s="73"/>
      <c r="GKO118" s="73"/>
      <c r="GKP118" s="73"/>
      <c r="GKQ118" s="73"/>
      <c r="GKR118" s="73"/>
      <c r="GKS118" s="73"/>
      <c r="GKT118" s="73"/>
      <c r="GKU118" s="73"/>
      <c r="GKV118" s="73"/>
      <c r="GKW118" s="73"/>
      <c r="GKX118" s="73"/>
      <c r="GKY118" s="73"/>
      <c r="GKZ118" s="73"/>
      <c r="GLA118" s="73"/>
      <c r="GLB118" s="73"/>
      <c r="GLC118" s="73"/>
      <c r="GLD118" s="73"/>
      <c r="GLE118" s="73"/>
      <c r="GLF118" s="73"/>
      <c r="GLG118" s="73"/>
      <c r="GLH118" s="73"/>
      <c r="GLI118" s="73"/>
      <c r="GLJ118" s="73"/>
      <c r="GLK118" s="73"/>
      <c r="GLL118" s="73"/>
      <c r="GLM118" s="73"/>
      <c r="GLN118" s="73"/>
      <c r="GLO118" s="73"/>
      <c r="GLP118" s="73"/>
      <c r="GLQ118" s="73"/>
      <c r="GLR118" s="73"/>
      <c r="GLS118" s="73"/>
      <c r="GLT118" s="73"/>
      <c r="GLU118" s="73"/>
      <c r="GLV118" s="73"/>
      <c r="GLW118" s="73"/>
      <c r="GLX118" s="73"/>
      <c r="GLY118" s="73"/>
      <c r="GLZ118" s="73"/>
      <c r="GMA118" s="73"/>
      <c r="GMB118" s="73"/>
      <c r="GMC118" s="73"/>
      <c r="GMD118" s="73"/>
      <c r="GME118" s="73"/>
      <c r="GMF118" s="73"/>
      <c r="GMG118" s="73"/>
      <c r="GMH118" s="73"/>
      <c r="GMI118" s="73"/>
      <c r="GMJ118" s="73"/>
      <c r="GMK118" s="73"/>
      <c r="GML118" s="73"/>
      <c r="GMM118" s="73"/>
      <c r="GMN118" s="73"/>
      <c r="GMO118" s="73"/>
      <c r="GMP118" s="73"/>
      <c r="GMQ118" s="73"/>
      <c r="GMR118" s="73"/>
      <c r="GMS118" s="73"/>
      <c r="GMT118" s="73"/>
      <c r="GMU118" s="73"/>
      <c r="GMV118" s="73"/>
      <c r="GMW118" s="73"/>
      <c r="GMX118" s="73"/>
      <c r="GMY118" s="73"/>
      <c r="GMZ118" s="73"/>
      <c r="GNA118" s="73"/>
      <c r="GNB118" s="73"/>
      <c r="GNC118" s="73"/>
      <c r="GND118" s="73"/>
      <c r="GNE118" s="73"/>
      <c r="GNF118" s="73"/>
      <c r="GNG118" s="73"/>
      <c r="GNH118" s="73"/>
      <c r="GNI118" s="73"/>
      <c r="GNJ118" s="73"/>
      <c r="GNK118" s="73"/>
      <c r="GNL118" s="73"/>
      <c r="GNM118" s="73"/>
      <c r="GNN118" s="73"/>
      <c r="GNO118" s="73"/>
      <c r="GNP118" s="73"/>
      <c r="GNQ118" s="73"/>
      <c r="GNR118" s="73"/>
      <c r="GNS118" s="73"/>
      <c r="GNT118" s="73"/>
      <c r="GNU118" s="73"/>
      <c r="GNV118" s="73"/>
      <c r="GNW118" s="73"/>
      <c r="GNX118" s="73"/>
      <c r="GNY118" s="73"/>
      <c r="GNZ118" s="73"/>
      <c r="GOA118" s="73"/>
      <c r="GOB118" s="73"/>
      <c r="GOC118" s="73"/>
      <c r="GOD118" s="73"/>
      <c r="GOE118" s="73"/>
      <c r="GOF118" s="73"/>
      <c r="GOG118" s="73"/>
      <c r="GOH118" s="73"/>
      <c r="GOI118" s="73"/>
      <c r="GOJ118" s="73"/>
      <c r="GOK118" s="73"/>
      <c r="GOL118" s="73"/>
      <c r="GOM118" s="73"/>
      <c r="GON118" s="73"/>
      <c r="GOO118" s="73"/>
      <c r="GOP118" s="73"/>
      <c r="GOQ118" s="73"/>
      <c r="GOR118" s="73"/>
      <c r="GOS118" s="73"/>
      <c r="GOT118" s="73"/>
      <c r="GOU118" s="73"/>
      <c r="GOV118" s="73"/>
      <c r="GOW118" s="73"/>
      <c r="GOX118" s="73"/>
      <c r="GOY118" s="73"/>
      <c r="GOZ118" s="73"/>
      <c r="GPA118" s="73"/>
      <c r="GPB118" s="73"/>
      <c r="GPC118" s="73"/>
      <c r="GPD118" s="73"/>
      <c r="GPE118" s="73"/>
      <c r="GPF118" s="73"/>
      <c r="GPG118" s="73"/>
      <c r="GPH118" s="73"/>
      <c r="GPI118" s="73"/>
      <c r="GPJ118" s="73"/>
      <c r="GPK118" s="73"/>
      <c r="GPL118" s="73"/>
      <c r="GPM118" s="73"/>
      <c r="GPN118" s="73"/>
      <c r="GPO118" s="73"/>
      <c r="GPP118" s="73"/>
      <c r="GPQ118" s="73"/>
      <c r="GPR118" s="73"/>
      <c r="GPS118" s="73"/>
      <c r="GPT118" s="73"/>
      <c r="GPU118" s="73"/>
      <c r="GPV118" s="73"/>
      <c r="GPW118" s="73"/>
      <c r="GPX118" s="73"/>
      <c r="GPY118" s="73"/>
      <c r="GPZ118" s="73"/>
      <c r="GQA118" s="73"/>
      <c r="GQB118" s="73"/>
      <c r="GQC118" s="73"/>
      <c r="GQD118" s="73"/>
      <c r="GQE118" s="73"/>
      <c r="GQF118" s="73"/>
      <c r="GQG118" s="73"/>
      <c r="GQH118" s="73"/>
      <c r="GQI118" s="73"/>
      <c r="GQJ118" s="73"/>
      <c r="GQK118" s="73"/>
      <c r="GQL118" s="73"/>
      <c r="GQM118" s="73"/>
      <c r="GQN118" s="73"/>
      <c r="GQO118" s="73"/>
      <c r="GQP118" s="73"/>
      <c r="GQQ118" s="73"/>
      <c r="GQR118" s="73"/>
      <c r="GQS118" s="73"/>
      <c r="GQT118" s="73"/>
      <c r="GQU118" s="73"/>
      <c r="GQV118" s="73"/>
      <c r="GQW118" s="73"/>
      <c r="GQX118" s="73"/>
      <c r="GQY118" s="73"/>
      <c r="GQZ118" s="73"/>
      <c r="GRA118" s="73"/>
      <c r="GRB118" s="73"/>
      <c r="GRC118" s="73"/>
      <c r="GRD118" s="73"/>
      <c r="GRE118" s="73"/>
      <c r="GRF118" s="73"/>
      <c r="GRG118" s="73"/>
      <c r="GRH118" s="73"/>
      <c r="GRI118" s="73"/>
      <c r="GRJ118" s="73"/>
      <c r="GRK118" s="73"/>
      <c r="GRL118" s="73"/>
      <c r="GRM118" s="73"/>
      <c r="GRN118" s="73"/>
      <c r="GRO118" s="73"/>
      <c r="GRP118" s="73"/>
      <c r="GRQ118" s="73"/>
      <c r="GRR118" s="73"/>
      <c r="GRS118" s="73"/>
      <c r="GRT118" s="73"/>
      <c r="GRU118" s="73"/>
      <c r="GRV118" s="73"/>
      <c r="GRW118" s="73"/>
      <c r="GRX118" s="73"/>
      <c r="GRY118" s="73"/>
      <c r="GRZ118" s="73"/>
      <c r="GSA118" s="73"/>
      <c r="GSB118" s="73"/>
      <c r="GSC118" s="73"/>
      <c r="GSD118" s="73"/>
      <c r="GSE118" s="73"/>
      <c r="GSF118" s="73"/>
      <c r="GSG118" s="73"/>
      <c r="GSH118" s="73"/>
      <c r="GSI118" s="73"/>
      <c r="GSJ118" s="73"/>
      <c r="GSK118" s="73"/>
      <c r="GSL118" s="73"/>
      <c r="GSM118" s="73"/>
      <c r="GSN118" s="73"/>
      <c r="GSO118" s="73"/>
      <c r="GSP118" s="73"/>
      <c r="GSQ118" s="73"/>
      <c r="GSR118" s="73"/>
      <c r="GSS118" s="73"/>
      <c r="GST118" s="73"/>
      <c r="GSU118" s="73"/>
      <c r="GSV118" s="73"/>
      <c r="GSW118" s="73"/>
      <c r="GSX118" s="73"/>
      <c r="GSY118" s="73"/>
      <c r="GSZ118" s="73"/>
      <c r="GTA118" s="73"/>
      <c r="GTB118" s="73"/>
      <c r="GTC118" s="73"/>
      <c r="GTD118" s="73"/>
      <c r="GTE118" s="73"/>
      <c r="GTF118" s="73"/>
      <c r="GTG118" s="73"/>
      <c r="GTH118" s="73"/>
      <c r="GTI118" s="73"/>
      <c r="GTJ118" s="73"/>
      <c r="GTK118" s="73"/>
      <c r="GTL118" s="73"/>
      <c r="GTM118" s="73"/>
      <c r="GTN118" s="73"/>
      <c r="GTO118" s="73"/>
      <c r="GTP118" s="73"/>
      <c r="GTQ118" s="73"/>
      <c r="GTR118" s="73"/>
      <c r="GTS118" s="73"/>
      <c r="GTT118" s="73"/>
      <c r="GTU118" s="73"/>
      <c r="GTV118" s="73"/>
      <c r="GTW118" s="73"/>
      <c r="GTX118" s="73"/>
      <c r="GTY118" s="73"/>
      <c r="GTZ118" s="73"/>
      <c r="GUA118" s="73"/>
      <c r="GUB118" s="73"/>
      <c r="GUC118" s="73"/>
      <c r="GUD118" s="73"/>
      <c r="GUE118" s="73"/>
      <c r="GUF118" s="73"/>
      <c r="GUG118" s="73"/>
      <c r="GUH118" s="73"/>
      <c r="GUI118" s="73"/>
      <c r="GUJ118" s="73"/>
      <c r="GUK118" s="73"/>
      <c r="GUL118" s="73"/>
      <c r="GUM118" s="73"/>
      <c r="GUN118" s="73"/>
      <c r="GUO118" s="73"/>
      <c r="GUP118" s="73"/>
      <c r="GUQ118" s="73"/>
      <c r="GUR118" s="73"/>
      <c r="GUS118" s="73"/>
      <c r="GUT118" s="73"/>
      <c r="GUU118" s="73"/>
      <c r="GUV118" s="73"/>
      <c r="GUW118" s="73"/>
      <c r="GUX118" s="73"/>
      <c r="GUY118" s="73"/>
      <c r="GUZ118" s="73"/>
      <c r="GVA118" s="73"/>
      <c r="GVB118" s="73"/>
      <c r="GVC118" s="73"/>
      <c r="GVD118" s="73"/>
      <c r="GVE118" s="73"/>
      <c r="GVF118" s="73"/>
      <c r="GVG118" s="73"/>
      <c r="GVH118" s="73"/>
      <c r="GVI118" s="73"/>
      <c r="GVJ118" s="73"/>
      <c r="GVK118" s="73"/>
      <c r="GVL118" s="73"/>
      <c r="GVM118" s="73"/>
      <c r="GVN118" s="73"/>
      <c r="GVO118" s="73"/>
      <c r="GVP118" s="73"/>
      <c r="GVQ118" s="73"/>
      <c r="GVR118" s="73"/>
      <c r="GVS118" s="73"/>
      <c r="GVT118" s="73"/>
      <c r="GVU118" s="73"/>
      <c r="GVV118" s="73"/>
      <c r="GVW118" s="73"/>
      <c r="GVX118" s="73"/>
      <c r="GVY118" s="73"/>
      <c r="GVZ118" s="73"/>
      <c r="GWA118" s="73"/>
      <c r="GWB118" s="73"/>
      <c r="GWC118" s="73"/>
      <c r="GWD118" s="73"/>
      <c r="GWE118" s="73"/>
      <c r="GWF118" s="73"/>
      <c r="GWG118" s="73"/>
      <c r="GWH118" s="73"/>
      <c r="GWI118" s="73"/>
      <c r="GWJ118" s="73"/>
      <c r="GWK118" s="73"/>
      <c r="GWL118" s="73"/>
      <c r="GWM118" s="73"/>
      <c r="GWN118" s="73"/>
      <c r="GWO118" s="73"/>
      <c r="GWP118" s="73"/>
      <c r="GWQ118" s="73"/>
      <c r="GWR118" s="73"/>
      <c r="GWS118" s="73"/>
      <c r="GWT118" s="73"/>
      <c r="GWU118" s="73"/>
      <c r="GWV118" s="73"/>
      <c r="GWW118" s="73"/>
      <c r="GWX118" s="73"/>
      <c r="GWY118" s="73"/>
      <c r="GWZ118" s="73"/>
      <c r="GXA118" s="73"/>
      <c r="GXB118" s="73"/>
      <c r="GXC118" s="73"/>
      <c r="GXD118" s="73"/>
      <c r="GXE118" s="73"/>
      <c r="GXF118" s="73"/>
      <c r="GXG118" s="73"/>
      <c r="GXH118" s="73"/>
      <c r="GXI118" s="73"/>
      <c r="GXJ118" s="73"/>
      <c r="GXK118" s="73"/>
      <c r="GXL118" s="73"/>
      <c r="GXM118" s="73"/>
      <c r="GXN118" s="73"/>
      <c r="GXO118" s="73"/>
      <c r="GXP118" s="73"/>
      <c r="GXQ118" s="73"/>
      <c r="GXR118" s="73"/>
      <c r="GXS118" s="73"/>
      <c r="GXT118" s="73"/>
      <c r="GXU118" s="73"/>
      <c r="GXV118" s="73"/>
      <c r="GXW118" s="73"/>
      <c r="GXX118" s="73"/>
      <c r="GXY118" s="73"/>
      <c r="GXZ118" s="73"/>
      <c r="GYA118" s="73"/>
      <c r="GYB118" s="73"/>
      <c r="GYC118" s="73"/>
      <c r="GYD118" s="73"/>
      <c r="GYE118" s="73"/>
      <c r="GYF118" s="73"/>
      <c r="GYG118" s="73"/>
      <c r="GYH118" s="73"/>
      <c r="GYI118" s="73"/>
      <c r="GYJ118" s="73"/>
      <c r="GYK118" s="73"/>
      <c r="GYL118" s="73"/>
      <c r="GYM118" s="73"/>
      <c r="GYN118" s="73"/>
      <c r="GYO118" s="73"/>
      <c r="GYP118" s="73"/>
      <c r="GYQ118" s="73"/>
      <c r="GYR118" s="73"/>
      <c r="GYS118" s="73"/>
      <c r="GYT118" s="73"/>
      <c r="GYU118" s="73"/>
      <c r="GYV118" s="73"/>
      <c r="GYW118" s="73"/>
      <c r="GYX118" s="73"/>
      <c r="GYY118" s="73"/>
      <c r="GYZ118" s="73"/>
      <c r="GZA118" s="73"/>
      <c r="GZB118" s="73"/>
      <c r="GZC118" s="73"/>
      <c r="GZD118" s="73"/>
      <c r="GZE118" s="73"/>
      <c r="GZF118" s="73"/>
      <c r="GZG118" s="73"/>
      <c r="GZH118" s="73"/>
      <c r="GZI118" s="73"/>
      <c r="GZJ118" s="73"/>
      <c r="GZK118" s="73"/>
      <c r="GZL118" s="73"/>
      <c r="GZM118" s="73"/>
      <c r="GZN118" s="73"/>
      <c r="GZO118" s="73"/>
      <c r="GZP118" s="73"/>
      <c r="GZQ118" s="73"/>
      <c r="GZR118" s="73"/>
      <c r="GZS118" s="73"/>
      <c r="GZT118" s="73"/>
      <c r="GZU118" s="73"/>
      <c r="GZV118" s="73"/>
      <c r="GZW118" s="73"/>
      <c r="GZX118" s="73"/>
      <c r="GZY118" s="73"/>
      <c r="GZZ118" s="73"/>
      <c r="HAA118" s="73"/>
      <c r="HAB118" s="73"/>
      <c r="HAC118" s="73"/>
      <c r="HAD118" s="73"/>
      <c r="HAE118" s="73"/>
      <c r="HAF118" s="73"/>
      <c r="HAG118" s="73"/>
      <c r="HAH118" s="73"/>
      <c r="HAI118" s="73"/>
      <c r="HAJ118" s="73"/>
      <c r="HAK118" s="73"/>
      <c r="HAL118" s="73"/>
      <c r="HAM118" s="73"/>
      <c r="HAN118" s="73"/>
      <c r="HAO118" s="73"/>
      <c r="HAP118" s="73"/>
      <c r="HAQ118" s="73"/>
      <c r="HAR118" s="73"/>
      <c r="HAS118" s="73"/>
      <c r="HAT118" s="73"/>
      <c r="HAU118" s="73"/>
      <c r="HAV118" s="73"/>
      <c r="HAW118" s="73"/>
      <c r="HAX118" s="73"/>
      <c r="HAY118" s="73"/>
      <c r="HAZ118" s="73"/>
      <c r="HBA118" s="73"/>
      <c r="HBB118" s="73"/>
      <c r="HBC118" s="73"/>
      <c r="HBD118" s="73"/>
      <c r="HBE118" s="73"/>
      <c r="HBF118" s="73"/>
      <c r="HBG118" s="73"/>
      <c r="HBH118" s="73"/>
      <c r="HBI118" s="73"/>
      <c r="HBJ118" s="73"/>
      <c r="HBK118" s="73"/>
      <c r="HBL118" s="73"/>
      <c r="HBM118" s="73"/>
      <c r="HBN118" s="73"/>
      <c r="HBO118" s="73"/>
      <c r="HBP118" s="73"/>
      <c r="HBQ118" s="73"/>
      <c r="HBR118" s="73"/>
      <c r="HBS118" s="73"/>
      <c r="HBT118" s="73"/>
      <c r="HBU118" s="73"/>
      <c r="HBV118" s="73"/>
      <c r="HBW118" s="73"/>
      <c r="HBX118" s="73"/>
      <c r="HBY118" s="73"/>
      <c r="HBZ118" s="73"/>
      <c r="HCA118" s="73"/>
      <c r="HCB118" s="73"/>
      <c r="HCC118" s="73"/>
      <c r="HCD118" s="73"/>
      <c r="HCE118" s="73"/>
      <c r="HCF118" s="73"/>
      <c r="HCG118" s="73"/>
      <c r="HCH118" s="73"/>
      <c r="HCI118" s="73"/>
      <c r="HCJ118" s="73"/>
      <c r="HCK118" s="73"/>
      <c r="HCL118" s="73"/>
      <c r="HCM118" s="73"/>
      <c r="HCN118" s="73"/>
      <c r="HCO118" s="73"/>
      <c r="HCP118" s="73"/>
      <c r="HCQ118" s="73"/>
      <c r="HCR118" s="73"/>
      <c r="HCS118" s="73"/>
      <c r="HCT118" s="73"/>
      <c r="HCU118" s="73"/>
      <c r="HCV118" s="73"/>
      <c r="HCW118" s="73"/>
      <c r="HCX118" s="73"/>
      <c r="HCY118" s="73"/>
      <c r="HCZ118" s="73"/>
      <c r="HDA118" s="73"/>
      <c r="HDB118" s="73"/>
      <c r="HDC118" s="73"/>
      <c r="HDD118" s="73"/>
      <c r="HDE118" s="73"/>
      <c r="HDF118" s="73"/>
      <c r="HDG118" s="73"/>
      <c r="HDH118" s="73"/>
      <c r="HDI118" s="73"/>
      <c r="HDJ118" s="73"/>
      <c r="HDK118" s="73"/>
      <c r="HDL118" s="73"/>
      <c r="HDM118" s="73"/>
      <c r="HDN118" s="73"/>
      <c r="HDO118" s="73"/>
      <c r="HDP118" s="73"/>
      <c r="HDQ118" s="73"/>
      <c r="HDR118" s="73"/>
      <c r="HDS118" s="73"/>
      <c r="HDT118" s="73"/>
      <c r="HDU118" s="73"/>
      <c r="HDV118" s="73"/>
      <c r="HDW118" s="73"/>
      <c r="HDX118" s="73"/>
      <c r="HDY118" s="73"/>
      <c r="HDZ118" s="73"/>
      <c r="HEA118" s="73"/>
      <c r="HEB118" s="73"/>
      <c r="HEC118" s="73"/>
      <c r="HED118" s="73"/>
      <c r="HEE118" s="73"/>
      <c r="HEF118" s="73"/>
      <c r="HEG118" s="73"/>
      <c r="HEH118" s="73"/>
      <c r="HEI118" s="73"/>
      <c r="HEJ118" s="73"/>
      <c r="HEK118" s="73"/>
      <c r="HEL118" s="73"/>
      <c r="HEM118" s="73"/>
      <c r="HEN118" s="73"/>
      <c r="HEO118" s="73"/>
      <c r="HEP118" s="73"/>
      <c r="HEQ118" s="73"/>
      <c r="HER118" s="73"/>
      <c r="HES118" s="73"/>
      <c r="HET118" s="73"/>
      <c r="HEU118" s="73"/>
      <c r="HEV118" s="73"/>
      <c r="HEW118" s="73"/>
      <c r="HEX118" s="73"/>
      <c r="HEY118" s="73"/>
      <c r="HEZ118" s="73"/>
      <c r="HFA118" s="73"/>
      <c r="HFB118" s="73"/>
      <c r="HFC118" s="73"/>
      <c r="HFD118" s="73"/>
      <c r="HFE118" s="73"/>
      <c r="HFF118" s="73"/>
      <c r="HFG118" s="73"/>
      <c r="HFH118" s="73"/>
      <c r="HFI118" s="73"/>
      <c r="HFJ118" s="73"/>
      <c r="HFK118" s="73"/>
      <c r="HFL118" s="73"/>
      <c r="HFM118" s="73"/>
      <c r="HFN118" s="73"/>
      <c r="HFO118" s="73"/>
      <c r="HFP118" s="73"/>
      <c r="HFQ118" s="73"/>
      <c r="HFR118" s="73"/>
      <c r="HFS118" s="73"/>
      <c r="HFT118" s="73"/>
      <c r="HFU118" s="73"/>
      <c r="HFV118" s="73"/>
      <c r="HFW118" s="73"/>
      <c r="HFX118" s="73"/>
      <c r="HFY118" s="73"/>
      <c r="HFZ118" s="73"/>
      <c r="HGA118" s="73"/>
      <c r="HGB118" s="73"/>
      <c r="HGC118" s="73"/>
      <c r="HGD118" s="73"/>
      <c r="HGE118" s="73"/>
      <c r="HGF118" s="73"/>
      <c r="HGG118" s="73"/>
      <c r="HGH118" s="73"/>
      <c r="HGI118" s="73"/>
      <c r="HGJ118" s="73"/>
      <c r="HGK118" s="73"/>
      <c r="HGL118" s="73"/>
      <c r="HGM118" s="73"/>
      <c r="HGN118" s="73"/>
      <c r="HGO118" s="73"/>
      <c r="HGP118" s="73"/>
      <c r="HGQ118" s="73"/>
      <c r="HGR118" s="73"/>
      <c r="HGS118" s="73"/>
      <c r="HGT118" s="73"/>
      <c r="HGU118" s="73"/>
      <c r="HGV118" s="73"/>
      <c r="HGW118" s="73"/>
      <c r="HGX118" s="73"/>
      <c r="HGY118" s="73"/>
      <c r="HGZ118" s="73"/>
      <c r="HHA118" s="73"/>
      <c r="HHB118" s="73"/>
      <c r="HHC118" s="73"/>
      <c r="HHD118" s="73"/>
      <c r="HHE118" s="73"/>
      <c r="HHF118" s="73"/>
      <c r="HHG118" s="73"/>
      <c r="HHH118" s="73"/>
      <c r="HHI118" s="73"/>
      <c r="HHJ118" s="73"/>
      <c r="HHK118" s="73"/>
      <c r="HHL118" s="73"/>
      <c r="HHM118" s="73"/>
      <c r="HHN118" s="73"/>
      <c r="HHO118" s="73"/>
      <c r="HHP118" s="73"/>
      <c r="HHQ118" s="73"/>
      <c r="HHR118" s="73"/>
      <c r="HHS118" s="73"/>
      <c r="HHT118" s="73"/>
      <c r="HHU118" s="73"/>
      <c r="HHV118" s="73"/>
      <c r="HHW118" s="73"/>
      <c r="HHX118" s="73"/>
      <c r="HHY118" s="73"/>
      <c r="HHZ118" s="73"/>
      <c r="HIA118" s="73"/>
      <c r="HIB118" s="73"/>
      <c r="HIC118" s="73"/>
      <c r="HID118" s="73"/>
      <c r="HIE118" s="73"/>
      <c r="HIF118" s="73"/>
      <c r="HIG118" s="73"/>
      <c r="HIH118" s="73"/>
      <c r="HII118" s="73"/>
      <c r="HIJ118" s="73"/>
      <c r="HIK118" s="73"/>
      <c r="HIL118" s="73"/>
      <c r="HIM118" s="73"/>
      <c r="HIN118" s="73"/>
      <c r="HIO118" s="73"/>
      <c r="HIP118" s="73"/>
      <c r="HIQ118" s="73"/>
      <c r="HIR118" s="73"/>
      <c r="HIS118" s="73"/>
      <c r="HIT118" s="73"/>
      <c r="HIU118" s="73"/>
      <c r="HIV118" s="73"/>
      <c r="HIW118" s="73"/>
      <c r="HIX118" s="73"/>
      <c r="HIY118" s="73"/>
      <c r="HIZ118" s="73"/>
      <c r="HJA118" s="73"/>
      <c r="HJB118" s="73"/>
      <c r="HJC118" s="73"/>
      <c r="HJD118" s="73"/>
      <c r="HJE118" s="73"/>
      <c r="HJF118" s="73"/>
      <c r="HJG118" s="73"/>
      <c r="HJH118" s="73"/>
      <c r="HJI118" s="73"/>
      <c r="HJJ118" s="73"/>
      <c r="HJK118" s="73"/>
      <c r="HJL118" s="73"/>
      <c r="HJM118" s="73"/>
      <c r="HJN118" s="73"/>
      <c r="HJO118" s="73"/>
      <c r="HJP118" s="73"/>
      <c r="HJQ118" s="73"/>
      <c r="HJR118" s="73"/>
      <c r="HJS118" s="73"/>
      <c r="HJT118" s="73"/>
      <c r="HJU118" s="73"/>
      <c r="HJV118" s="73"/>
      <c r="HJW118" s="73"/>
      <c r="HJX118" s="73"/>
      <c r="HJY118" s="73"/>
      <c r="HJZ118" s="73"/>
      <c r="HKA118" s="73"/>
      <c r="HKB118" s="73"/>
      <c r="HKC118" s="73"/>
      <c r="HKD118" s="73"/>
      <c r="HKE118" s="73"/>
      <c r="HKF118" s="73"/>
      <c r="HKG118" s="73"/>
      <c r="HKH118" s="73"/>
      <c r="HKI118" s="73"/>
      <c r="HKJ118" s="73"/>
      <c r="HKK118" s="73"/>
      <c r="HKL118" s="73"/>
      <c r="HKM118" s="73"/>
      <c r="HKN118" s="73"/>
      <c r="HKO118" s="73"/>
      <c r="HKP118" s="73"/>
      <c r="HKQ118" s="73"/>
      <c r="HKR118" s="73"/>
      <c r="HKS118" s="73"/>
      <c r="HKT118" s="73"/>
      <c r="HKU118" s="73"/>
      <c r="HKV118" s="73"/>
      <c r="HKW118" s="73"/>
      <c r="HKX118" s="73"/>
      <c r="HKY118" s="73"/>
      <c r="HKZ118" s="73"/>
      <c r="HLA118" s="73"/>
      <c r="HLB118" s="73"/>
      <c r="HLC118" s="73"/>
      <c r="HLD118" s="73"/>
      <c r="HLE118" s="73"/>
      <c r="HLF118" s="73"/>
      <c r="HLG118" s="73"/>
      <c r="HLH118" s="73"/>
      <c r="HLI118" s="73"/>
      <c r="HLJ118" s="73"/>
      <c r="HLK118" s="73"/>
      <c r="HLL118" s="73"/>
      <c r="HLM118" s="73"/>
      <c r="HLN118" s="73"/>
      <c r="HLO118" s="73"/>
      <c r="HLP118" s="73"/>
      <c r="HLQ118" s="73"/>
      <c r="HLR118" s="73"/>
      <c r="HLS118" s="73"/>
      <c r="HLT118" s="73"/>
      <c r="HLU118" s="73"/>
      <c r="HLV118" s="73"/>
      <c r="HLW118" s="73"/>
      <c r="HLX118" s="73"/>
      <c r="HLY118" s="73"/>
      <c r="HLZ118" s="73"/>
      <c r="HMA118" s="73"/>
      <c r="HMB118" s="73"/>
      <c r="HMC118" s="73"/>
      <c r="HMD118" s="73"/>
      <c r="HME118" s="73"/>
      <c r="HMF118" s="73"/>
      <c r="HMG118" s="73"/>
      <c r="HMH118" s="73"/>
      <c r="HMI118" s="73"/>
      <c r="HMJ118" s="73"/>
      <c r="HMK118" s="73"/>
      <c r="HML118" s="73"/>
      <c r="HMM118" s="73"/>
      <c r="HMN118" s="73"/>
      <c r="HMO118" s="73"/>
      <c r="HMP118" s="73"/>
      <c r="HMQ118" s="73"/>
      <c r="HMR118" s="73"/>
      <c r="HMS118" s="73"/>
      <c r="HMT118" s="73"/>
      <c r="HMU118" s="73"/>
      <c r="HMV118" s="73"/>
      <c r="HMW118" s="73"/>
      <c r="HMX118" s="73"/>
      <c r="HMY118" s="73"/>
      <c r="HMZ118" s="73"/>
      <c r="HNA118" s="73"/>
      <c r="HNB118" s="73"/>
      <c r="HNC118" s="73"/>
      <c r="HND118" s="73"/>
      <c r="HNE118" s="73"/>
      <c r="HNF118" s="73"/>
      <c r="HNG118" s="73"/>
      <c r="HNH118" s="73"/>
      <c r="HNI118" s="73"/>
      <c r="HNJ118" s="73"/>
      <c r="HNK118" s="73"/>
      <c r="HNL118" s="73"/>
      <c r="HNM118" s="73"/>
      <c r="HNN118" s="73"/>
      <c r="HNO118" s="73"/>
      <c r="HNP118" s="73"/>
      <c r="HNQ118" s="73"/>
      <c r="HNR118" s="73"/>
      <c r="HNS118" s="73"/>
      <c r="HNT118" s="73"/>
      <c r="HNU118" s="73"/>
      <c r="HNV118" s="73"/>
      <c r="HNW118" s="73"/>
      <c r="HNX118" s="73"/>
      <c r="HNY118" s="73"/>
      <c r="HNZ118" s="73"/>
      <c r="HOA118" s="73"/>
      <c r="HOB118" s="73"/>
      <c r="HOC118" s="73"/>
      <c r="HOD118" s="73"/>
      <c r="HOE118" s="73"/>
      <c r="HOF118" s="73"/>
      <c r="HOG118" s="73"/>
      <c r="HOH118" s="73"/>
      <c r="HOI118" s="73"/>
      <c r="HOJ118" s="73"/>
      <c r="HOK118" s="73"/>
      <c r="HOL118" s="73"/>
      <c r="HOM118" s="73"/>
      <c r="HON118" s="73"/>
      <c r="HOO118" s="73"/>
      <c r="HOP118" s="73"/>
      <c r="HOQ118" s="73"/>
      <c r="HOR118" s="73"/>
      <c r="HOS118" s="73"/>
      <c r="HOT118" s="73"/>
      <c r="HOU118" s="73"/>
      <c r="HOV118" s="73"/>
      <c r="HOW118" s="73"/>
      <c r="HOX118" s="73"/>
      <c r="HOY118" s="73"/>
      <c r="HOZ118" s="73"/>
      <c r="HPA118" s="73"/>
      <c r="HPB118" s="73"/>
      <c r="HPC118" s="73"/>
      <c r="HPD118" s="73"/>
      <c r="HPE118" s="73"/>
      <c r="HPF118" s="73"/>
      <c r="HPG118" s="73"/>
      <c r="HPH118" s="73"/>
      <c r="HPI118" s="73"/>
      <c r="HPJ118" s="73"/>
      <c r="HPK118" s="73"/>
      <c r="HPL118" s="73"/>
      <c r="HPM118" s="73"/>
      <c r="HPN118" s="73"/>
      <c r="HPO118" s="73"/>
      <c r="HPP118" s="73"/>
      <c r="HPQ118" s="73"/>
      <c r="HPR118" s="73"/>
      <c r="HPS118" s="73"/>
      <c r="HPT118" s="73"/>
      <c r="HPU118" s="73"/>
      <c r="HPV118" s="73"/>
      <c r="HPW118" s="73"/>
      <c r="HPX118" s="73"/>
      <c r="HPY118" s="73"/>
      <c r="HPZ118" s="73"/>
      <c r="HQA118" s="73"/>
      <c r="HQB118" s="73"/>
      <c r="HQC118" s="73"/>
      <c r="HQD118" s="73"/>
      <c r="HQE118" s="73"/>
      <c r="HQF118" s="73"/>
      <c r="HQG118" s="73"/>
      <c r="HQH118" s="73"/>
      <c r="HQI118" s="73"/>
      <c r="HQJ118" s="73"/>
      <c r="HQK118" s="73"/>
      <c r="HQL118" s="73"/>
      <c r="HQM118" s="73"/>
      <c r="HQN118" s="73"/>
      <c r="HQO118" s="73"/>
      <c r="HQP118" s="73"/>
      <c r="HQQ118" s="73"/>
      <c r="HQR118" s="73"/>
      <c r="HQS118" s="73"/>
      <c r="HQT118" s="73"/>
      <c r="HQU118" s="73"/>
      <c r="HQV118" s="73"/>
      <c r="HQW118" s="73"/>
      <c r="HQX118" s="73"/>
      <c r="HQY118" s="73"/>
      <c r="HQZ118" s="73"/>
      <c r="HRA118" s="73"/>
      <c r="HRB118" s="73"/>
      <c r="HRC118" s="73"/>
      <c r="HRD118" s="73"/>
      <c r="HRE118" s="73"/>
      <c r="HRF118" s="73"/>
      <c r="HRG118" s="73"/>
      <c r="HRH118" s="73"/>
      <c r="HRI118" s="73"/>
      <c r="HRJ118" s="73"/>
      <c r="HRK118" s="73"/>
      <c r="HRL118" s="73"/>
      <c r="HRM118" s="73"/>
      <c r="HRN118" s="73"/>
      <c r="HRO118" s="73"/>
      <c r="HRP118" s="73"/>
      <c r="HRQ118" s="73"/>
      <c r="HRR118" s="73"/>
      <c r="HRS118" s="73"/>
      <c r="HRT118" s="73"/>
      <c r="HRU118" s="73"/>
      <c r="HRV118" s="73"/>
      <c r="HRW118" s="73"/>
      <c r="HRX118" s="73"/>
      <c r="HRY118" s="73"/>
      <c r="HRZ118" s="73"/>
      <c r="HSA118" s="73"/>
      <c r="HSB118" s="73"/>
      <c r="HSC118" s="73"/>
      <c r="HSD118" s="73"/>
      <c r="HSE118" s="73"/>
      <c r="HSF118" s="73"/>
      <c r="HSG118" s="73"/>
      <c r="HSH118" s="73"/>
      <c r="HSI118" s="73"/>
      <c r="HSJ118" s="73"/>
      <c r="HSK118" s="73"/>
      <c r="HSL118" s="73"/>
      <c r="HSM118" s="73"/>
      <c r="HSN118" s="73"/>
      <c r="HSO118" s="73"/>
      <c r="HSP118" s="73"/>
      <c r="HSQ118" s="73"/>
      <c r="HSR118" s="73"/>
      <c r="HSS118" s="73"/>
      <c r="HST118" s="73"/>
      <c r="HSU118" s="73"/>
      <c r="HSV118" s="73"/>
      <c r="HSW118" s="73"/>
      <c r="HSX118" s="73"/>
      <c r="HSY118" s="73"/>
      <c r="HSZ118" s="73"/>
      <c r="HTA118" s="73"/>
      <c r="HTB118" s="73"/>
      <c r="HTC118" s="73"/>
      <c r="HTD118" s="73"/>
      <c r="HTE118" s="73"/>
      <c r="HTF118" s="73"/>
      <c r="HTG118" s="73"/>
      <c r="HTH118" s="73"/>
      <c r="HTI118" s="73"/>
      <c r="HTJ118" s="73"/>
      <c r="HTK118" s="73"/>
      <c r="HTL118" s="73"/>
      <c r="HTM118" s="73"/>
      <c r="HTN118" s="73"/>
      <c r="HTO118" s="73"/>
      <c r="HTP118" s="73"/>
      <c r="HTQ118" s="73"/>
      <c r="HTR118" s="73"/>
      <c r="HTS118" s="73"/>
      <c r="HTT118" s="73"/>
      <c r="HTU118" s="73"/>
      <c r="HTV118" s="73"/>
      <c r="HTW118" s="73"/>
      <c r="HTX118" s="73"/>
      <c r="HTY118" s="73"/>
      <c r="HTZ118" s="73"/>
      <c r="HUA118" s="73"/>
      <c r="HUB118" s="73"/>
      <c r="HUC118" s="73"/>
      <c r="HUD118" s="73"/>
      <c r="HUE118" s="73"/>
      <c r="HUF118" s="73"/>
      <c r="HUG118" s="73"/>
      <c r="HUH118" s="73"/>
      <c r="HUI118" s="73"/>
      <c r="HUJ118" s="73"/>
      <c r="HUK118" s="73"/>
      <c r="HUL118" s="73"/>
      <c r="HUM118" s="73"/>
      <c r="HUN118" s="73"/>
      <c r="HUO118" s="73"/>
      <c r="HUP118" s="73"/>
      <c r="HUQ118" s="73"/>
      <c r="HUR118" s="73"/>
      <c r="HUS118" s="73"/>
      <c r="HUT118" s="73"/>
      <c r="HUU118" s="73"/>
      <c r="HUV118" s="73"/>
      <c r="HUW118" s="73"/>
      <c r="HUX118" s="73"/>
      <c r="HUY118" s="73"/>
      <c r="HUZ118" s="73"/>
      <c r="HVA118" s="73"/>
      <c r="HVB118" s="73"/>
      <c r="HVC118" s="73"/>
      <c r="HVD118" s="73"/>
      <c r="HVE118" s="73"/>
      <c r="HVF118" s="73"/>
      <c r="HVG118" s="73"/>
      <c r="HVH118" s="73"/>
      <c r="HVI118" s="73"/>
      <c r="HVJ118" s="73"/>
      <c r="HVK118" s="73"/>
      <c r="HVL118" s="73"/>
      <c r="HVM118" s="73"/>
      <c r="HVN118" s="73"/>
      <c r="HVO118" s="73"/>
      <c r="HVP118" s="73"/>
      <c r="HVQ118" s="73"/>
      <c r="HVR118" s="73"/>
      <c r="HVS118" s="73"/>
      <c r="HVT118" s="73"/>
      <c r="HVU118" s="73"/>
      <c r="HVV118" s="73"/>
      <c r="HVW118" s="73"/>
      <c r="HVX118" s="73"/>
      <c r="HVY118" s="73"/>
      <c r="HVZ118" s="73"/>
      <c r="HWA118" s="73"/>
      <c r="HWB118" s="73"/>
      <c r="HWC118" s="73"/>
      <c r="HWD118" s="73"/>
      <c r="HWE118" s="73"/>
      <c r="HWF118" s="73"/>
      <c r="HWG118" s="73"/>
      <c r="HWH118" s="73"/>
      <c r="HWI118" s="73"/>
      <c r="HWJ118" s="73"/>
      <c r="HWK118" s="73"/>
      <c r="HWL118" s="73"/>
      <c r="HWM118" s="73"/>
      <c r="HWN118" s="73"/>
      <c r="HWO118" s="73"/>
      <c r="HWP118" s="73"/>
      <c r="HWQ118" s="73"/>
      <c r="HWR118" s="73"/>
      <c r="HWS118" s="73"/>
      <c r="HWT118" s="73"/>
      <c r="HWU118" s="73"/>
      <c r="HWV118" s="73"/>
      <c r="HWW118" s="73"/>
      <c r="HWX118" s="73"/>
      <c r="HWY118" s="73"/>
      <c r="HWZ118" s="73"/>
      <c r="HXA118" s="73"/>
      <c r="HXB118" s="73"/>
      <c r="HXC118" s="73"/>
      <c r="HXD118" s="73"/>
      <c r="HXE118" s="73"/>
      <c r="HXF118" s="73"/>
      <c r="HXG118" s="73"/>
      <c r="HXH118" s="73"/>
      <c r="HXI118" s="73"/>
      <c r="HXJ118" s="73"/>
      <c r="HXK118" s="73"/>
      <c r="HXL118" s="73"/>
      <c r="HXM118" s="73"/>
      <c r="HXN118" s="73"/>
      <c r="HXO118" s="73"/>
      <c r="HXP118" s="73"/>
      <c r="HXQ118" s="73"/>
      <c r="HXR118" s="73"/>
      <c r="HXS118" s="73"/>
      <c r="HXT118" s="73"/>
      <c r="HXU118" s="73"/>
      <c r="HXV118" s="73"/>
      <c r="HXW118" s="73"/>
      <c r="HXX118" s="73"/>
      <c r="HXY118" s="73"/>
      <c r="HXZ118" s="73"/>
      <c r="HYA118" s="73"/>
      <c r="HYB118" s="73"/>
      <c r="HYC118" s="73"/>
      <c r="HYD118" s="73"/>
      <c r="HYE118" s="73"/>
      <c r="HYF118" s="73"/>
      <c r="HYG118" s="73"/>
      <c r="HYH118" s="73"/>
      <c r="HYI118" s="73"/>
      <c r="HYJ118" s="73"/>
      <c r="HYK118" s="73"/>
      <c r="HYL118" s="73"/>
      <c r="HYM118" s="73"/>
      <c r="HYN118" s="73"/>
      <c r="HYO118" s="73"/>
      <c r="HYP118" s="73"/>
      <c r="HYQ118" s="73"/>
      <c r="HYR118" s="73"/>
      <c r="HYS118" s="73"/>
      <c r="HYT118" s="73"/>
      <c r="HYU118" s="73"/>
      <c r="HYV118" s="73"/>
      <c r="HYW118" s="73"/>
      <c r="HYX118" s="73"/>
      <c r="HYY118" s="73"/>
      <c r="HYZ118" s="73"/>
      <c r="HZA118" s="73"/>
      <c r="HZB118" s="73"/>
      <c r="HZC118" s="73"/>
      <c r="HZD118" s="73"/>
      <c r="HZE118" s="73"/>
      <c r="HZF118" s="73"/>
      <c r="HZG118" s="73"/>
      <c r="HZH118" s="73"/>
      <c r="HZI118" s="73"/>
      <c r="HZJ118" s="73"/>
      <c r="HZK118" s="73"/>
      <c r="HZL118" s="73"/>
      <c r="HZM118" s="73"/>
      <c r="HZN118" s="73"/>
      <c r="HZO118" s="73"/>
      <c r="HZP118" s="73"/>
      <c r="HZQ118" s="73"/>
      <c r="HZR118" s="73"/>
      <c r="HZS118" s="73"/>
      <c r="HZT118" s="73"/>
      <c r="HZU118" s="73"/>
      <c r="HZV118" s="73"/>
      <c r="HZW118" s="73"/>
      <c r="HZX118" s="73"/>
      <c r="HZY118" s="73"/>
      <c r="HZZ118" s="73"/>
      <c r="IAA118" s="73"/>
      <c r="IAB118" s="73"/>
      <c r="IAC118" s="73"/>
      <c r="IAD118" s="73"/>
      <c r="IAE118" s="73"/>
      <c r="IAF118" s="73"/>
      <c r="IAG118" s="73"/>
      <c r="IAH118" s="73"/>
      <c r="IAI118" s="73"/>
      <c r="IAJ118" s="73"/>
      <c r="IAK118" s="73"/>
      <c r="IAL118" s="73"/>
      <c r="IAM118" s="73"/>
      <c r="IAN118" s="73"/>
      <c r="IAO118" s="73"/>
      <c r="IAP118" s="73"/>
      <c r="IAQ118" s="73"/>
      <c r="IAR118" s="73"/>
      <c r="IAS118" s="73"/>
      <c r="IAT118" s="73"/>
      <c r="IAU118" s="73"/>
      <c r="IAV118" s="73"/>
      <c r="IAW118" s="73"/>
      <c r="IAX118" s="73"/>
      <c r="IAY118" s="73"/>
      <c r="IAZ118" s="73"/>
      <c r="IBA118" s="73"/>
      <c r="IBB118" s="73"/>
      <c r="IBC118" s="73"/>
      <c r="IBD118" s="73"/>
      <c r="IBE118" s="73"/>
      <c r="IBF118" s="73"/>
      <c r="IBG118" s="73"/>
      <c r="IBH118" s="73"/>
      <c r="IBI118" s="73"/>
      <c r="IBJ118" s="73"/>
      <c r="IBK118" s="73"/>
      <c r="IBL118" s="73"/>
      <c r="IBM118" s="73"/>
      <c r="IBN118" s="73"/>
      <c r="IBO118" s="73"/>
      <c r="IBP118" s="73"/>
      <c r="IBQ118" s="73"/>
      <c r="IBR118" s="73"/>
      <c r="IBS118" s="73"/>
      <c r="IBT118" s="73"/>
      <c r="IBU118" s="73"/>
      <c r="IBV118" s="73"/>
      <c r="IBW118" s="73"/>
      <c r="IBX118" s="73"/>
      <c r="IBY118" s="73"/>
      <c r="IBZ118" s="73"/>
      <c r="ICA118" s="73"/>
      <c r="ICB118" s="73"/>
      <c r="ICC118" s="73"/>
      <c r="ICD118" s="73"/>
      <c r="ICE118" s="73"/>
      <c r="ICF118" s="73"/>
      <c r="ICG118" s="73"/>
      <c r="ICH118" s="73"/>
      <c r="ICI118" s="73"/>
      <c r="ICJ118" s="73"/>
      <c r="ICK118" s="73"/>
      <c r="ICL118" s="73"/>
      <c r="ICM118" s="73"/>
      <c r="ICN118" s="73"/>
      <c r="ICO118" s="73"/>
      <c r="ICP118" s="73"/>
      <c r="ICQ118" s="73"/>
      <c r="ICR118" s="73"/>
      <c r="ICS118" s="73"/>
      <c r="ICT118" s="73"/>
      <c r="ICU118" s="73"/>
      <c r="ICV118" s="73"/>
      <c r="ICW118" s="73"/>
      <c r="ICX118" s="73"/>
      <c r="ICY118" s="73"/>
      <c r="ICZ118" s="73"/>
      <c r="IDA118" s="73"/>
      <c r="IDB118" s="73"/>
      <c r="IDC118" s="73"/>
      <c r="IDD118" s="73"/>
      <c r="IDE118" s="73"/>
      <c r="IDF118" s="73"/>
      <c r="IDG118" s="73"/>
      <c r="IDH118" s="73"/>
      <c r="IDI118" s="73"/>
      <c r="IDJ118" s="73"/>
      <c r="IDK118" s="73"/>
      <c r="IDL118" s="73"/>
      <c r="IDM118" s="73"/>
      <c r="IDN118" s="73"/>
      <c r="IDO118" s="73"/>
      <c r="IDP118" s="73"/>
      <c r="IDQ118" s="73"/>
      <c r="IDR118" s="73"/>
      <c r="IDS118" s="73"/>
      <c r="IDT118" s="73"/>
      <c r="IDU118" s="73"/>
      <c r="IDV118" s="73"/>
      <c r="IDW118" s="73"/>
      <c r="IDX118" s="73"/>
      <c r="IDY118" s="73"/>
      <c r="IDZ118" s="73"/>
      <c r="IEA118" s="73"/>
      <c r="IEB118" s="73"/>
      <c r="IEC118" s="73"/>
      <c r="IED118" s="73"/>
      <c r="IEE118" s="73"/>
      <c r="IEF118" s="73"/>
      <c r="IEG118" s="73"/>
      <c r="IEH118" s="73"/>
      <c r="IEI118" s="73"/>
      <c r="IEJ118" s="73"/>
      <c r="IEK118" s="73"/>
      <c r="IEL118" s="73"/>
      <c r="IEM118" s="73"/>
      <c r="IEN118" s="73"/>
      <c r="IEO118" s="73"/>
      <c r="IEP118" s="73"/>
      <c r="IEQ118" s="73"/>
      <c r="IER118" s="73"/>
      <c r="IES118" s="73"/>
      <c r="IET118" s="73"/>
      <c r="IEU118" s="73"/>
      <c r="IEV118" s="73"/>
      <c r="IEW118" s="73"/>
      <c r="IEX118" s="73"/>
      <c r="IEY118" s="73"/>
      <c r="IEZ118" s="73"/>
      <c r="IFA118" s="73"/>
      <c r="IFB118" s="73"/>
      <c r="IFC118" s="73"/>
      <c r="IFD118" s="73"/>
      <c r="IFE118" s="73"/>
      <c r="IFF118" s="73"/>
      <c r="IFG118" s="73"/>
      <c r="IFH118" s="73"/>
      <c r="IFI118" s="73"/>
      <c r="IFJ118" s="73"/>
      <c r="IFK118" s="73"/>
      <c r="IFL118" s="73"/>
      <c r="IFM118" s="73"/>
      <c r="IFN118" s="73"/>
      <c r="IFO118" s="73"/>
      <c r="IFP118" s="73"/>
      <c r="IFQ118" s="73"/>
      <c r="IFR118" s="73"/>
      <c r="IFS118" s="73"/>
      <c r="IFT118" s="73"/>
      <c r="IFU118" s="73"/>
      <c r="IFV118" s="73"/>
      <c r="IFW118" s="73"/>
      <c r="IFX118" s="73"/>
      <c r="IFY118" s="73"/>
      <c r="IFZ118" s="73"/>
      <c r="IGA118" s="73"/>
      <c r="IGB118" s="73"/>
      <c r="IGC118" s="73"/>
      <c r="IGD118" s="73"/>
      <c r="IGE118" s="73"/>
      <c r="IGF118" s="73"/>
      <c r="IGG118" s="73"/>
      <c r="IGH118" s="73"/>
      <c r="IGI118" s="73"/>
      <c r="IGJ118" s="73"/>
      <c r="IGK118" s="73"/>
      <c r="IGL118" s="73"/>
      <c r="IGM118" s="73"/>
      <c r="IGN118" s="73"/>
      <c r="IGO118" s="73"/>
      <c r="IGP118" s="73"/>
      <c r="IGQ118" s="73"/>
      <c r="IGR118" s="73"/>
      <c r="IGS118" s="73"/>
      <c r="IGT118" s="73"/>
      <c r="IGU118" s="73"/>
      <c r="IGV118" s="73"/>
      <c r="IGW118" s="73"/>
      <c r="IGX118" s="73"/>
      <c r="IGY118" s="73"/>
      <c r="IGZ118" s="73"/>
      <c r="IHA118" s="73"/>
      <c r="IHB118" s="73"/>
      <c r="IHC118" s="73"/>
      <c r="IHD118" s="73"/>
      <c r="IHE118" s="73"/>
      <c r="IHF118" s="73"/>
      <c r="IHG118" s="73"/>
      <c r="IHH118" s="73"/>
      <c r="IHI118" s="73"/>
      <c r="IHJ118" s="73"/>
      <c r="IHK118" s="73"/>
      <c r="IHL118" s="73"/>
      <c r="IHM118" s="73"/>
      <c r="IHN118" s="73"/>
      <c r="IHO118" s="73"/>
      <c r="IHP118" s="73"/>
      <c r="IHQ118" s="73"/>
      <c r="IHR118" s="73"/>
      <c r="IHS118" s="73"/>
      <c r="IHT118" s="73"/>
      <c r="IHU118" s="73"/>
      <c r="IHV118" s="73"/>
      <c r="IHW118" s="73"/>
      <c r="IHX118" s="73"/>
      <c r="IHY118" s="73"/>
      <c r="IHZ118" s="73"/>
      <c r="IIA118" s="73"/>
      <c r="IIB118" s="73"/>
      <c r="IIC118" s="73"/>
      <c r="IID118" s="73"/>
      <c r="IIE118" s="73"/>
      <c r="IIF118" s="73"/>
      <c r="IIG118" s="73"/>
      <c r="IIH118" s="73"/>
      <c r="III118" s="73"/>
      <c r="IIJ118" s="73"/>
      <c r="IIK118" s="73"/>
      <c r="IIL118" s="73"/>
      <c r="IIM118" s="73"/>
      <c r="IIN118" s="73"/>
      <c r="IIO118" s="73"/>
      <c r="IIP118" s="73"/>
      <c r="IIQ118" s="73"/>
      <c r="IIR118" s="73"/>
      <c r="IIS118" s="73"/>
      <c r="IIT118" s="73"/>
      <c r="IIU118" s="73"/>
      <c r="IIV118" s="73"/>
      <c r="IIW118" s="73"/>
      <c r="IIX118" s="73"/>
      <c r="IIY118" s="73"/>
      <c r="IIZ118" s="73"/>
      <c r="IJA118" s="73"/>
      <c r="IJB118" s="73"/>
      <c r="IJC118" s="73"/>
      <c r="IJD118" s="73"/>
      <c r="IJE118" s="73"/>
      <c r="IJF118" s="73"/>
      <c r="IJG118" s="73"/>
      <c r="IJH118" s="73"/>
      <c r="IJI118" s="73"/>
      <c r="IJJ118" s="73"/>
      <c r="IJK118" s="73"/>
      <c r="IJL118" s="73"/>
      <c r="IJM118" s="73"/>
      <c r="IJN118" s="73"/>
      <c r="IJO118" s="73"/>
      <c r="IJP118" s="73"/>
      <c r="IJQ118" s="73"/>
      <c r="IJR118" s="73"/>
      <c r="IJS118" s="73"/>
      <c r="IJT118" s="73"/>
      <c r="IJU118" s="73"/>
      <c r="IJV118" s="73"/>
      <c r="IJW118" s="73"/>
      <c r="IJX118" s="73"/>
      <c r="IJY118" s="73"/>
      <c r="IJZ118" s="73"/>
      <c r="IKA118" s="73"/>
      <c r="IKB118" s="73"/>
      <c r="IKC118" s="73"/>
      <c r="IKD118" s="73"/>
      <c r="IKE118" s="73"/>
      <c r="IKF118" s="73"/>
      <c r="IKG118" s="73"/>
      <c r="IKH118" s="73"/>
      <c r="IKI118" s="73"/>
      <c r="IKJ118" s="73"/>
      <c r="IKK118" s="73"/>
      <c r="IKL118" s="73"/>
      <c r="IKM118" s="73"/>
      <c r="IKN118" s="73"/>
      <c r="IKO118" s="73"/>
      <c r="IKP118" s="73"/>
      <c r="IKQ118" s="73"/>
      <c r="IKR118" s="73"/>
      <c r="IKS118" s="73"/>
      <c r="IKT118" s="73"/>
      <c r="IKU118" s="73"/>
      <c r="IKV118" s="73"/>
      <c r="IKW118" s="73"/>
      <c r="IKX118" s="73"/>
      <c r="IKY118" s="73"/>
      <c r="IKZ118" s="73"/>
      <c r="ILA118" s="73"/>
      <c r="ILB118" s="73"/>
      <c r="ILC118" s="73"/>
      <c r="ILD118" s="73"/>
      <c r="ILE118" s="73"/>
      <c r="ILF118" s="73"/>
      <c r="ILG118" s="73"/>
      <c r="ILH118" s="73"/>
      <c r="ILI118" s="73"/>
      <c r="ILJ118" s="73"/>
      <c r="ILK118" s="73"/>
      <c r="ILL118" s="73"/>
      <c r="ILM118" s="73"/>
      <c r="ILN118" s="73"/>
      <c r="ILO118" s="73"/>
      <c r="ILP118" s="73"/>
      <c r="ILQ118" s="73"/>
      <c r="ILR118" s="73"/>
      <c r="ILS118" s="73"/>
      <c r="ILT118" s="73"/>
      <c r="ILU118" s="73"/>
      <c r="ILV118" s="73"/>
      <c r="ILW118" s="73"/>
      <c r="ILX118" s="73"/>
      <c r="ILY118" s="73"/>
      <c r="ILZ118" s="73"/>
      <c r="IMA118" s="73"/>
      <c r="IMB118" s="73"/>
      <c r="IMC118" s="73"/>
      <c r="IMD118" s="73"/>
      <c r="IME118" s="73"/>
      <c r="IMF118" s="73"/>
      <c r="IMG118" s="73"/>
      <c r="IMH118" s="73"/>
      <c r="IMI118" s="73"/>
      <c r="IMJ118" s="73"/>
      <c r="IMK118" s="73"/>
      <c r="IML118" s="73"/>
      <c r="IMM118" s="73"/>
      <c r="IMN118" s="73"/>
      <c r="IMO118" s="73"/>
      <c r="IMP118" s="73"/>
      <c r="IMQ118" s="73"/>
      <c r="IMR118" s="73"/>
      <c r="IMS118" s="73"/>
      <c r="IMT118" s="73"/>
      <c r="IMU118" s="73"/>
      <c r="IMV118" s="73"/>
      <c r="IMW118" s="73"/>
      <c r="IMX118" s="73"/>
      <c r="IMY118" s="73"/>
      <c r="IMZ118" s="73"/>
      <c r="INA118" s="73"/>
      <c r="INB118" s="73"/>
      <c r="INC118" s="73"/>
      <c r="IND118" s="73"/>
      <c r="INE118" s="73"/>
      <c r="INF118" s="73"/>
      <c r="ING118" s="73"/>
      <c r="INH118" s="73"/>
      <c r="INI118" s="73"/>
      <c r="INJ118" s="73"/>
      <c r="INK118" s="73"/>
      <c r="INL118" s="73"/>
      <c r="INM118" s="73"/>
      <c r="INN118" s="73"/>
      <c r="INO118" s="73"/>
      <c r="INP118" s="73"/>
      <c r="INQ118" s="73"/>
      <c r="INR118" s="73"/>
      <c r="INS118" s="73"/>
      <c r="INT118" s="73"/>
      <c r="INU118" s="73"/>
      <c r="INV118" s="73"/>
      <c r="INW118" s="73"/>
      <c r="INX118" s="73"/>
      <c r="INY118" s="73"/>
      <c r="INZ118" s="73"/>
      <c r="IOA118" s="73"/>
      <c r="IOB118" s="73"/>
      <c r="IOC118" s="73"/>
      <c r="IOD118" s="73"/>
      <c r="IOE118" s="73"/>
      <c r="IOF118" s="73"/>
      <c r="IOG118" s="73"/>
      <c r="IOH118" s="73"/>
      <c r="IOI118" s="73"/>
      <c r="IOJ118" s="73"/>
      <c r="IOK118" s="73"/>
      <c r="IOL118" s="73"/>
      <c r="IOM118" s="73"/>
      <c r="ION118" s="73"/>
      <c r="IOO118" s="73"/>
      <c r="IOP118" s="73"/>
      <c r="IOQ118" s="73"/>
      <c r="IOR118" s="73"/>
      <c r="IOS118" s="73"/>
      <c r="IOT118" s="73"/>
      <c r="IOU118" s="73"/>
      <c r="IOV118" s="73"/>
      <c r="IOW118" s="73"/>
      <c r="IOX118" s="73"/>
      <c r="IOY118" s="73"/>
      <c r="IOZ118" s="73"/>
      <c r="IPA118" s="73"/>
      <c r="IPB118" s="73"/>
      <c r="IPC118" s="73"/>
      <c r="IPD118" s="73"/>
      <c r="IPE118" s="73"/>
      <c r="IPF118" s="73"/>
      <c r="IPG118" s="73"/>
      <c r="IPH118" s="73"/>
      <c r="IPI118" s="73"/>
      <c r="IPJ118" s="73"/>
      <c r="IPK118" s="73"/>
      <c r="IPL118" s="73"/>
      <c r="IPM118" s="73"/>
      <c r="IPN118" s="73"/>
      <c r="IPO118" s="73"/>
      <c r="IPP118" s="73"/>
      <c r="IPQ118" s="73"/>
      <c r="IPR118" s="73"/>
      <c r="IPS118" s="73"/>
      <c r="IPT118" s="73"/>
      <c r="IPU118" s="73"/>
      <c r="IPV118" s="73"/>
      <c r="IPW118" s="73"/>
      <c r="IPX118" s="73"/>
      <c r="IPY118" s="73"/>
      <c r="IPZ118" s="73"/>
      <c r="IQA118" s="73"/>
      <c r="IQB118" s="73"/>
      <c r="IQC118" s="73"/>
      <c r="IQD118" s="73"/>
      <c r="IQE118" s="73"/>
      <c r="IQF118" s="73"/>
      <c r="IQG118" s="73"/>
      <c r="IQH118" s="73"/>
      <c r="IQI118" s="73"/>
      <c r="IQJ118" s="73"/>
      <c r="IQK118" s="73"/>
      <c r="IQL118" s="73"/>
      <c r="IQM118" s="73"/>
      <c r="IQN118" s="73"/>
      <c r="IQO118" s="73"/>
      <c r="IQP118" s="73"/>
      <c r="IQQ118" s="73"/>
      <c r="IQR118" s="73"/>
      <c r="IQS118" s="73"/>
      <c r="IQT118" s="73"/>
      <c r="IQU118" s="73"/>
      <c r="IQV118" s="73"/>
      <c r="IQW118" s="73"/>
      <c r="IQX118" s="73"/>
      <c r="IQY118" s="73"/>
      <c r="IQZ118" s="73"/>
      <c r="IRA118" s="73"/>
      <c r="IRB118" s="73"/>
      <c r="IRC118" s="73"/>
      <c r="IRD118" s="73"/>
      <c r="IRE118" s="73"/>
      <c r="IRF118" s="73"/>
      <c r="IRG118" s="73"/>
      <c r="IRH118" s="73"/>
      <c r="IRI118" s="73"/>
      <c r="IRJ118" s="73"/>
      <c r="IRK118" s="73"/>
      <c r="IRL118" s="73"/>
      <c r="IRM118" s="73"/>
      <c r="IRN118" s="73"/>
      <c r="IRO118" s="73"/>
      <c r="IRP118" s="73"/>
      <c r="IRQ118" s="73"/>
      <c r="IRR118" s="73"/>
      <c r="IRS118" s="73"/>
      <c r="IRT118" s="73"/>
      <c r="IRU118" s="73"/>
      <c r="IRV118" s="73"/>
      <c r="IRW118" s="73"/>
      <c r="IRX118" s="73"/>
      <c r="IRY118" s="73"/>
      <c r="IRZ118" s="73"/>
      <c r="ISA118" s="73"/>
      <c r="ISB118" s="73"/>
      <c r="ISC118" s="73"/>
      <c r="ISD118" s="73"/>
      <c r="ISE118" s="73"/>
      <c r="ISF118" s="73"/>
      <c r="ISG118" s="73"/>
      <c r="ISH118" s="73"/>
      <c r="ISI118" s="73"/>
      <c r="ISJ118" s="73"/>
      <c r="ISK118" s="73"/>
      <c r="ISL118" s="73"/>
      <c r="ISM118" s="73"/>
      <c r="ISN118" s="73"/>
      <c r="ISO118" s="73"/>
      <c r="ISP118" s="73"/>
      <c r="ISQ118" s="73"/>
      <c r="ISR118" s="73"/>
      <c r="ISS118" s="73"/>
      <c r="IST118" s="73"/>
      <c r="ISU118" s="73"/>
      <c r="ISV118" s="73"/>
      <c r="ISW118" s="73"/>
      <c r="ISX118" s="73"/>
      <c r="ISY118" s="73"/>
      <c r="ISZ118" s="73"/>
      <c r="ITA118" s="73"/>
      <c r="ITB118" s="73"/>
      <c r="ITC118" s="73"/>
      <c r="ITD118" s="73"/>
      <c r="ITE118" s="73"/>
      <c r="ITF118" s="73"/>
      <c r="ITG118" s="73"/>
      <c r="ITH118" s="73"/>
      <c r="ITI118" s="73"/>
      <c r="ITJ118" s="73"/>
      <c r="ITK118" s="73"/>
      <c r="ITL118" s="73"/>
      <c r="ITM118" s="73"/>
      <c r="ITN118" s="73"/>
      <c r="ITO118" s="73"/>
      <c r="ITP118" s="73"/>
      <c r="ITQ118" s="73"/>
      <c r="ITR118" s="73"/>
      <c r="ITS118" s="73"/>
      <c r="ITT118" s="73"/>
      <c r="ITU118" s="73"/>
      <c r="ITV118" s="73"/>
      <c r="ITW118" s="73"/>
      <c r="ITX118" s="73"/>
      <c r="ITY118" s="73"/>
      <c r="ITZ118" s="73"/>
      <c r="IUA118" s="73"/>
      <c r="IUB118" s="73"/>
      <c r="IUC118" s="73"/>
      <c r="IUD118" s="73"/>
      <c r="IUE118" s="73"/>
      <c r="IUF118" s="73"/>
      <c r="IUG118" s="73"/>
      <c r="IUH118" s="73"/>
      <c r="IUI118" s="73"/>
      <c r="IUJ118" s="73"/>
      <c r="IUK118" s="73"/>
      <c r="IUL118" s="73"/>
      <c r="IUM118" s="73"/>
      <c r="IUN118" s="73"/>
      <c r="IUO118" s="73"/>
      <c r="IUP118" s="73"/>
      <c r="IUQ118" s="73"/>
      <c r="IUR118" s="73"/>
      <c r="IUS118" s="73"/>
      <c r="IUT118" s="73"/>
      <c r="IUU118" s="73"/>
      <c r="IUV118" s="73"/>
      <c r="IUW118" s="73"/>
      <c r="IUX118" s="73"/>
      <c r="IUY118" s="73"/>
      <c r="IUZ118" s="73"/>
      <c r="IVA118" s="73"/>
      <c r="IVB118" s="73"/>
      <c r="IVC118" s="73"/>
      <c r="IVD118" s="73"/>
      <c r="IVE118" s="73"/>
      <c r="IVF118" s="73"/>
      <c r="IVG118" s="73"/>
      <c r="IVH118" s="73"/>
      <c r="IVI118" s="73"/>
      <c r="IVJ118" s="73"/>
      <c r="IVK118" s="73"/>
      <c r="IVL118" s="73"/>
      <c r="IVM118" s="73"/>
      <c r="IVN118" s="73"/>
      <c r="IVO118" s="73"/>
      <c r="IVP118" s="73"/>
      <c r="IVQ118" s="73"/>
      <c r="IVR118" s="73"/>
      <c r="IVS118" s="73"/>
      <c r="IVT118" s="73"/>
      <c r="IVU118" s="73"/>
      <c r="IVV118" s="73"/>
      <c r="IVW118" s="73"/>
      <c r="IVX118" s="73"/>
      <c r="IVY118" s="73"/>
      <c r="IVZ118" s="73"/>
      <c r="IWA118" s="73"/>
      <c r="IWB118" s="73"/>
      <c r="IWC118" s="73"/>
      <c r="IWD118" s="73"/>
      <c r="IWE118" s="73"/>
      <c r="IWF118" s="73"/>
      <c r="IWG118" s="73"/>
      <c r="IWH118" s="73"/>
      <c r="IWI118" s="73"/>
      <c r="IWJ118" s="73"/>
      <c r="IWK118" s="73"/>
      <c r="IWL118" s="73"/>
      <c r="IWM118" s="73"/>
      <c r="IWN118" s="73"/>
      <c r="IWO118" s="73"/>
      <c r="IWP118" s="73"/>
      <c r="IWQ118" s="73"/>
      <c r="IWR118" s="73"/>
      <c r="IWS118" s="73"/>
      <c r="IWT118" s="73"/>
      <c r="IWU118" s="73"/>
      <c r="IWV118" s="73"/>
      <c r="IWW118" s="73"/>
      <c r="IWX118" s="73"/>
      <c r="IWY118" s="73"/>
      <c r="IWZ118" s="73"/>
      <c r="IXA118" s="73"/>
      <c r="IXB118" s="73"/>
      <c r="IXC118" s="73"/>
      <c r="IXD118" s="73"/>
      <c r="IXE118" s="73"/>
      <c r="IXF118" s="73"/>
      <c r="IXG118" s="73"/>
      <c r="IXH118" s="73"/>
      <c r="IXI118" s="73"/>
      <c r="IXJ118" s="73"/>
      <c r="IXK118" s="73"/>
      <c r="IXL118" s="73"/>
      <c r="IXM118" s="73"/>
      <c r="IXN118" s="73"/>
      <c r="IXO118" s="73"/>
      <c r="IXP118" s="73"/>
      <c r="IXQ118" s="73"/>
      <c r="IXR118" s="73"/>
      <c r="IXS118" s="73"/>
      <c r="IXT118" s="73"/>
      <c r="IXU118" s="73"/>
      <c r="IXV118" s="73"/>
      <c r="IXW118" s="73"/>
      <c r="IXX118" s="73"/>
      <c r="IXY118" s="73"/>
      <c r="IXZ118" s="73"/>
      <c r="IYA118" s="73"/>
      <c r="IYB118" s="73"/>
      <c r="IYC118" s="73"/>
      <c r="IYD118" s="73"/>
      <c r="IYE118" s="73"/>
      <c r="IYF118" s="73"/>
      <c r="IYG118" s="73"/>
      <c r="IYH118" s="73"/>
      <c r="IYI118" s="73"/>
      <c r="IYJ118" s="73"/>
      <c r="IYK118" s="73"/>
      <c r="IYL118" s="73"/>
      <c r="IYM118" s="73"/>
      <c r="IYN118" s="73"/>
      <c r="IYO118" s="73"/>
      <c r="IYP118" s="73"/>
      <c r="IYQ118" s="73"/>
      <c r="IYR118" s="73"/>
      <c r="IYS118" s="73"/>
      <c r="IYT118" s="73"/>
      <c r="IYU118" s="73"/>
      <c r="IYV118" s="73"/>
      <c r="IYW118" s="73"/>
      <c r="IYX118" s="73"/>
      <c r="IYY118" s="73"/>
      <c r="IYZ118" s="73"/>
      <c r="IZA118" s="73"/>
      <c r="IZB118" s="73"/>
      <c r="IZC118" s="73"/>
      <c r="IZD118" s="73"/>
      <c r="IZE118" s="73"/>
      <c r="IZF118" s="73"/>
      <c r="IZG118" s="73"/>
      <c r="IZH118" s="73"/>
      <c r="IZI118" s="73"/>
      <c r="IZJ118" s="73"/>
      <c r="IZK118" s="73"/>
      <c r="IZL118" s="73"/>
      <c r="IZM118" s="73"/>
      <c r="IZN118" s="73"/>
      <c r="IZO118" s="73"/>
      <c r="IZP118" s="73"/>
      <c r="IZQ118" s="73"/>
      <c r="IZR118" s="73"/>
      <c r="IZS118" s="73"/>
      <c r="IZT118" s="73"/>
      <c r="IZU118" s="73"/>
      <c r="IZV118" s="73"/>
      <c r="IZW118" s="73"/>
      <c r="IZX118" s="73"/>
      <c r="IZY118" s="73"/>
      <c r="IZZ118" s="73"/>
      <c r="JAA118" s="73"/>
      <c r="JAB118" s="73"/>
      <c r="JAC118" s="73"/>
      <c r="JAD118" s="73"/>
      <c r="JAE118" s="73"/>
      <c r="JAF118" s="73"/>
      <c r="JAG118" s="73"/>
      <c r="JAH118" s="73"/>
      <c r="JAI118" s="73"/>
      <c r="JAJ118" s="73"/>
      <c r="JAK118" s="73"/>
      <c r="JAL118" s="73"/>
      <c r="JAM118" s="73"/>
      <c r="JAN118" s="73"/>
      <c r="JAO118" s="73"/>
      <c r="JAP118" s="73"/>
      <c r="JAQ118" s="73"/>
      <c r="JAR118" s="73"/>
      <c r="JAS118" s="73"/>
      <c r="JAT118" s="73"/>
      <c r="JAU118" s="73"/>
      <c r="JAV118" s="73"/>
      <c r="JAW118" s="73"/>
      <c r="JAX118" s="73"/>
      <c r="JAY118" s="73"/>
      <c r="JAZ118" s="73"/>
      <c r="JBA118" s="73"/>
      <c r="JBB118" s="73"/>
      <c r="JBC118" s="73"/>
      <c r="JBD118" s="73"/>
      <c r="JBE118" s="73"/>
      <c r="JBF118" s="73"/>
      <c r="JBG118" s="73"/>
      <c r="JBH118" s="73"/>
      <c r="JBI118" s="73"/>
      <c r="JBJ118" s="73"/>
      <c r="JBK118" s="73"/>
      <c r="JBL118" s="73"/>
      <c r="JBM118" s="73"/>
      <c r="JBN118" s="73"/>
      <c r="JBO118" s="73"/>
      <c r="JBP118" s="73"/>
      <c r="JBQ118" s="73"/>
      <c r="JBR118" s="73"/>
      <c r="JBS118" s="73"/>
      <c r="JBT118" s="73"/>
      <c r="JBU118" s="73"/>
      <c r="JBV118" s="73"/>
      <c r="JBW118" s="73"/>
      <c r="JBX118" s="73"/>
      <c r="JBY118" s="73"/>
      <c r="JBZ118" s="73"/>
      <c r="JCA118" s="73"/>
      <c r="JCB118" s="73"/>
      <c r="JCC118" s="73"/>
      <c r="JCD118" s="73"/>
      <c r="JCE118" s="73"/>
      <c r="JCF118" s="73"/>
      <c r="JCG118" s="73"/>
      <c r="JCH118" s="73"/>
      <c r="JCI118" s="73"/>
      <c r="JCJ118" s="73"/>
      <c r="JCK118" s="73"/>
      <c r="JCL118" s="73"/>
      <c r="JCM118" s="73"/>
      <c r="JCN118" s="73"/>
      <c r="JCO118" s="73"/>
      <c r="JCP118" s="73"/>
      <c r="JCQ118" s="73"/>
      <c r="JCR118" s="73"/>
      <c r="JCS118" s="73"/>
      <c r="JCT118" s="73"/>
      <c r="JCU118" s="73"/>
      <c r="JCV118" s="73"/>
      <c r="JCW118" s="73"/>
      <c r="JCX118" s="73"/>
      <c r="JCY118" s="73"/>
      <c r="JCZ118" s="73"/>
      <c r="JDA118" s="73"/>
      <c r="JDB118" s="73"/>
      <c r="JDC118" s="73"/>
      <c r="JDD118" s="73"/>
      <c r="JDE118" s="73"/>
      <c r="JDF118" s="73"/>
      <c r="JDG118" s="73"/>
      <c r="JDH118" s="73"/>
      <c r="JDI118" s="73"/>
      <c r="JDJ118" s="73"/>
      <c r="JDK118" s="73"/>
      <c r="JDL118" s="73"/>
      <c r="JDM118" s="73"/>
      <c r="JDN118" s="73"/>
      <c r="JDO118" s="73"/>
      <c r="JDP118" s="73"/>
      <c r="JDQ118" s="73"/>
      <c r="JDR118" s="73"/>
      <c r="JDS118" s="73"/>
      <c r="JDT118" s="73"/>
      <c r="JDU118" s="73"/>
      <c r="JDV118" s="73"/>
      <c r="JDW118" s="73"/>
      <c r="JDX118" s="73"/>
      <c r="JDY118" s="73"/>
      <c r="JDZ118" s="73"/>
      <c r="JEA118" s="73"/>
      <c r="JEB118" s="73"/>
      <c r="JEC118" s="73"/>
      <c r="JED118" s="73"/>
      <c r="JEE118" s="73"/>
      <c r="JEF118" s="73"/>
      <c r="JEG118" s="73"/>
      <c r="JEH118" s="73"/>
      <c r="JEI118" s="73"/>
      <c r="JEJ118" s="73"/>
      <c r="JEK118" s="73"/>
      <c r="JEL118" s="73"/>
      <c r="JEM118" s="73"/>
      <c r="JEN118" s="73"/>
      <c r="JEO118" s="73"/>
      <c r="JEP118" s="73"/>
      <c r="JEQ118" s="73"/>
      <c r="JER118" s="73"/>
      <c r="JES118" s="73"/>
      <c r="JET118" s="73"/>
      <c r="JEU118" s="73"/>
      <c r="JEV118" s="73"/>
      <c r="JEW118" s="73"/>
      <c r="JEX118" s="73"/>
      <c r="JEY118" s="73"/>
      <c r="JEZ118" s="73"/>
      <c r="JFA118" s="73"/>
      <c r="JFB118" s="73"/>
      <c r="JFC118" s="73"/>
      <c r="JFD118" s="73"/>
      <c r="JFE118" s="73"/>
      <c r="JFF118" s="73"/>
      <c r="JFG118" s="73"/>
      <c r="JFH118" s="73"/>
      <c r="JFI118" s="73"/>
      <c r="JFJ118" s="73"/>
      <c r="JFK118" s="73"/>
      <c r="JFL118" s="73"/>
      <c r="JFM118" s="73"/>
      <c r="JFN118" s="73"/>
      <c r="JFO118" s="73"/>
      <c r="JFP118" s="73"/>
      <c r="JFQ118" s="73"/>
      <c r="JFR118" s="73"/>
      <c r="JFS118" s="73"/>
      <c r="JFT118" s="73"/>
      <c r="JFU118" s="73"/>
      <c r="JFV118" s="73"/>
      <c r="JFW118" s="73"/>
      <c r="JFX118" s="73"/>
      <c r="JFY118" s="73"/>
      <c r="JFZ118" s="73"/>
      <c r="JGA118" s="73"/>
      <c r="JGB118" s="73"/>
      <c r="JGC118" s="73"/>
      <c r="JGD118" s="73"/>
      <c r="JGE118" s="73"/>
      <c r="JGF118" s="73"/>
      <c r="JGG118" s="73"/>
      <c r="JGH118" s="73"/>
      <c r="JGI118" s="73"/>
      <c r="JGJ118" s="73"/>
      <c r="JGK118" s="73"/>
      <c r="JGL118" s="73"/>
      <c r="JGM118" s="73"/>
      <c r="JGN118" s="73"/>
      <c r="JGO118" s="73"/>
      <c r="JGP118" s="73"/>
      <c r="JGQ118" s="73"/>
      <c r="JGR118" s="73"/>
      <c r="JGS118" s="73"/>
      <c r="JGT118" s="73"/>
      <c r="JGU118" s="73"/>
      <c r="JGV118" s="73"/>
      <c r="JGW118" s="73"/>
      <c r="JGX118" s="73"/>
      <c r="JGY118" s="73"/>
      <c r="JGZ118" s="73"/>
      <c r="JHA118" s="73"/>
      <c r="JHB118" s="73"/>
      <c r="JHC118" s="73"/>
      <c r="JHD118" s="73"/>
      <c r="JHE118" s="73"/>
      <c r="JHF118" s="73"/>
      <c r="JHG118" s="73"/>
      <c r="JHH118" s="73"/>
      <c r="JHI118" s="73"/>
      <c r="JHJ118" s="73"/>
      <c r="JHK118" s="73"/>
      <c r="JHL118" s="73"/>
      <c r="JHM118" s="73"/>
      <c r="JHN118" s="73"/>
      <c r="JHO118" s="73"/>
      <c r="JHP118" s="73"/>
      <c r="JHQ118" s="73"/>
      <c r="JHR118" s="73"/>
      <c r="JHS118" s="73"/>
      <c r="JHT118" s="73"/>
      <c r="JHU118" s="73"/>
      <c r="JHV118" s="73"/>
      <c r="JHW118" s="73"/>
      <c r="JHX118" s="73"/>
      <c r="JHY118" s="73"/>
      <c r="JHZ118" s="73"/>
      <c r="JIA118" s="73"/>
      <c r="JIB118" s="73"/>
      <c r="JIC118" s="73"/>
      <c r="JID118" s="73"/>
      <c r="JIE118" s="73"/>
      <c r="JIF118" s="73"/>
      <c r="JIG118" s="73"/>
      <c r="JIH118" s="73"/>
      <c r="JII118" s="73"/>
      <c r="JIJ118" s="73"/>
      <c r="JIK118" s="73"/>
      <c r="JIL118" s="73"/>
      <c r="JIM118" s="73"/>
      <c r="JIN118" s="73"/>
      <c r="JIO118" s="73"/>
      <c r="JIP118" s="73"/>
      <c r="JIQ118" s="73"/>
      <c r="JIR118" s="73"/>
      <c r="JIS118" s="73"/>
      <c r="JIT118" s="73"/>
      <c r="JIU118" s="73"/>
      <c r="JIV118" s="73"/>
      <c r="JIW118" s="73"/>
      <c r="JIX118" s="73"/>
      <c r="JIY118" s="73"/>
      <c r="JIZ118" s="73"/>
      <c r="JJA118" s="73"/>
      <c r="JJB118" s="73"/>
      <c r="JJC118" s="73"/>
      <c r="JJD118" s="73"/>
      <c r="JJE118" s="73"/>
      <c r="JJF118" s="73"/>
      <c r="JJG118" s="73"/>
      <c r="JJH118" s="73"/>
      <c r="JJI118" s="73"/>
      <c r="JJJ118" s="73"/>
      <c r="JJK118" s="73"/>
      <c r="JJL118" s="73"/>
      <c r="JJM118" s="73"/>
      <c r="JJN118" s="73"/>
      <c r="JJO118" s="73"/>
      <c r="JJP118" s="73"/>
      <c r="JJQ118" s="73"/>
      <c r="JJR118" s="73"/>
      <c r="JJS118" s="73"/>
      <c r="JJT118" s="73"/>
      <c r="JJU118" s="73"/>
      <c r="JJV118" s="73"/>
      <c r="JJW118" s="73"/>
      <c r="JJX118" s="73"/>
      <c r="JJY118" s="73"/>
      <c r="JJZ118" s="73"/>
      <c r="JKA118" s="73"/>
      <c r="JKB118" s="73"/>
      <c r="JKC118" s="73"/>
      <c r="JKD118" s="73"/>
      <c r="JKE118" s="73"/>
      <c r="JKF118" s="73"/>
      <c r="JKG118" s="73"/>
      <c r="JKH118" s="73"/>
      <c r="JKI118" s="73"/>
      <c r="JKJ118" s="73"/>
      <c r="JKK118" s="73"/>
      <c r="JKL118" s="73"/>
      <c r="JKM118" s="73"/>
      <c r="JKN118" s="73"/>
      <c r="JKO118" s="73"/>
      <c r="JKP118" s="73"/>
      <c r="JKQ118" s="73"/>
      <c r="JKR118" s="73"/>
      <c r="JKS118" s="73"/>
      <c r="JKT118" s="73"/>
      <c r="JKU118" s="73"/>
      <c r="JKV118" s="73"/>
      <c r="JKW118" s="73"/>
      <c r="JKX118" s="73"/>
      <c r="JKY118" s="73"/>
      <c r="JKZ118" s="73"/>
      <c r="JLA118" s="73"/>
      <c r="JLB118" s="73"/>
      <c r="JLC118" s="73"/>
      <c r="JLD118" s="73"/>
      <c r="JLE118" s="73"/>
      <c r="JLF118" s="73"/>
      <c r="JLG118" s="73"/>
      <c r="JLH118" s="73"/>
      <c r="JLI118" s="73"/>
      <c r="JLJ118" s="73"/>
      <c r="JLK118" s="73"/>
      <c r="JLL118" s="73"/>
      <c r="JLM118" s="73"/>
      <c r="JLN118" s="73"/>
      <c r="JLO118" s="73"/>
      <c r="JLP118" s="73"/>
      <c r="JLQ118" s="73"/>
      <c r="JLR118" s="73"/>
      <c r="JLS118" s="73"/>
      <c r="JLT118" s="73"/>
      <c r="JLU118" s="73"/>
      <c r="JLV118" s="73"/>
      <c r="JLW118" s="73"/>
      <c r="JLX118" s="73"/>
      <c r="JLY118" s="73"/>
      <c r="JLZ118" s="73"/>
      <c r="JMA118" s="73"/>
      <c r="JMB118" s="73"/>
      <c r="JMC118" s="73"/>
      <c r="JMD118" s="73"/>
      <c r="JME118" s="73"/>
      <c r="JMF118" s="73"/>
      <c r="JMG118" s="73"/>
      <c r="JMH118" s="73"/>
      <c r="JMI118" s="73"/>
      <c r="JMJ118" s="73"/>
      <c r="JMK118" s="73"/>
      <c r="JML118" s="73"/>
      <c r="JMM118" s="73"/>
      <c r="JMN118" s="73"/>
      <c r="JMO118" s="73"/>
      <c r="JMP118" s="73"/>
      <c r="JMQ118" s="73"/>
      <c r="JMR118" s="73"/>
      <c r="JMS118" s="73"/>
      <c r="JMT118" s="73"/>
      <c r="JMU118" s="73"/>
      <c r="JMV118" s="73"/>
      <c r="JMW118" s="73"/>
      <c r="JMX118" s="73"/>
      <c r="JMY118" s="73"/>
      <c r="JMZ118" s="73"/>
      <c r="JNA118" s="73"/>
      <c r="JNB118" s="73"/>
      <c r="JNC118" s="73"/>
      <c r="JND118" s="73"/>
      <c r="JNE118" s="73"/>
      <c r="JNF118" s="73"/>
      <c r="JNG118" s="73"/>
      <c r="JNH118" s="73"/>
      <c r="JNI118" s="73"/>
      <c r="JNJ118" s="73"/>
      <c r="JNK118" s="73"/>
      <c r="JNL118" s="73"/>
      <c r="JNM118" s="73"/>
      <c r="JNN118" s="73"/>
      <c r="JNO118" s="73"/>
      <c r="JNP118" s="73"/>
      <c r="JNQ118" s="73"/>
      <c r="JNR118" s="73"/>
      <c r="JNS118" s="73"/>
      <c r="JNT118" s="73"/>
      <c r="JNU118" s="73"/>
      <c r="JNV118" s="73"/>
      <c r="JNW118" s="73"/>
      <c r="JNX118" s="73"/>
      <c r="JNY118" s="73"/>
      <c r="JNZ118" s="73"/>
      <c r="JOA118" s="73"/>
      <c r="JOB118" s="73"/>
      <c r="JOC118" s="73"/>
      <c r="JOD118" s="73"/>
      <c r="JOE118" s="73"/>
      <c r="JOF118" s="73"/>
      <c r="JOG118" s="73"/>
      <c r="JOH118" s="73"/>
      <c r="JOI118" s="73"/>
      <c r="JOJ118" s="73"/>
      <c r="JOK118" s="73"/>
      <c r="JOL118" s="73"/>
      <c r="JOM118" s="73"/>
      <c r="JON118" s="73"/>
      <c r="JOO118" s="73"/>
      <c r="JOP118" s="73"/>
      <c r="JOQ118" s="73"/>
      <c r="JOR118" s="73"/>
      <c r="JOS118" s="73"/>
      <c r="JOT118" s="73"/>
      <c r="JOU118" s="73"/>
      <c r="JOV118" s="73"/>
      <c r="JOW118" s="73"/>
      <c r="JOX118" s="73"/>
      <c r="JOY118" s="73"/>
      <c r="JOZ118" s="73"/>
      <c r="JPA118" s="73"/>
      <c r="JPB118" s="73"/>
      <c r="JPC118" s="73"/>
      <c r="JPD118" s="73"/>
      <c r="JPE118" s="73"/>
      <c r="JPF118" s="73"/>
      <c r="JPG118" s="73"/>
      <c r="JPH118" s="73"/>
      <c r="JPI118" s="73"/>
      <c r="JPJ118" s="73"/>
      <c r="JPK118" s="73"/>
      <c r="JPL118" s="73"/>
      <c r="JPM118" s="73"/>
      <c r="JPN118" s="73"/>
      <c r="JPO118" s="73"/>
      <c r="JPP118" s="73"/>
      <c r="JPQ118" s="73"/>
      <c r="JPR118" s="73"/>
      <c r="JPS118" s="73"/>
      <c r="JPT118" s="73"/>
      <c r="JPU118" s="73"/>
      <c r="JPV118" s="73"/>
      <c r="JPW118" s="73"/>
      <c r="JPX118" s="73"/>
      <c r="JPY118" s="73"/>
      <c r="JPZ118" s="73"/>
      <c r="JQA118" s="73"/>
      <c r="JQB118" s="73"/>
      <c r="JQC118" s="73"/>
      <c r="JQD118" s="73"/>
      <c r="JQE118" s="73"/>
      <c r="JQF118" s="73"/>
      <c r="JQG118" s="73"/>
      <c r="JQH118" s="73"/>
      <c r="JQI118" s="73"/>
      <c r="JQJ118" s="73"/>
      <c r="JQK118" s="73"/>
      <c r="JQL118" s="73"/>
      <c r="JQM118" s="73"/>
      <c r="JQN118" s="73"/>
      <c r="JQO118" s="73"/>
      <c r="JQP118" s="73"/>
      <c r="JQQ118" s="73"/>
      <c r="JQR118" s="73"/>
      <c r="JQS118" s="73"/>
      <c r="JQT118" s="73"/>
      <c r="JQU118" s="73"/>
      <c r="JQV118" s="73"/>
      <c r="JQW118" s="73"/>
      <c r="JQX118" s="73"/>
      <c r="JQY118" s="73"/>
      <c r="JQZ118" s="73"/>
      <c r="JRA118" s="73"/>
      <c r="JRB118" s="73"/>
      <c r="JRC118" s="73"/>
      <c r="JRD118" s="73"/>
      <c r="JRE118" s="73"/>
      <c r="JRF118" s="73"/>
      <c r="JRG118" s="73"/>
      <c r="JRH118" s="73"/>
      <c r="JRI118" s="73"/>
      <c r="JRJ118" s="73"/>
      <c r="JRK118" s="73"/>
      <c r="JRL118" s="73"/>
      <c r="JRM118" s="73"/>
      <c r="JRN118" s="73"/>
      <c r="JRO118" s="73"/>
      <c r="JRP118" s="73"/>
      <c r="JRQ118" s="73"/>
      <c r="JRR118" s="73"/>
      <c r="JRS118" s="73"/>
      <c r="JRT118" s="73"/>
      <c r="JRU118" s="73"/>
      <c r="JRV118" s="73"/>
      <c r="JRW118" s="73"/>
      <c r="JRX118" s="73"/>
      <c r="JRY118" s="73"/>
      <c r="JRZ118" s="73"/>
      <c r="JSA118" s="73"/>
      <c r="JSB118" s="73"/>
      <c r="JSC118" s="73"/>
      <c r="JSD118" s="73"/>
      <c r="JSE118" s="73"/>
      <c r="JSF118" s="73"/>
      <c r="JSG118" s="73"/>
      <c r="JSH118" s="73"/>
      <c r="JSI118" s="73"/>
      <c r="JSJ118" s="73"/>
      <c r="JSK118" s="73"/>
      <c r="JSL118" s="73"/>
      <c r="JSM118" s="73"/>
      <c r="JSN118" s="73"/>
      <c r="JSO118" s="73"/>
      <c r="JSP118" s="73"/>
      <c r="JSQ118" s="73"/>
      <c r="JSR118" s="73"/>
      <c r="JSS118" s="73"/>
      <c r="JST118" s="73"/>
      <c r="JSU118" s="73"/>
      <c r="JSV118" s="73"/>
      <c r="JSW118" s="73"/>
      <c r="JSX118" s="73"/>
      <c r="JSY118" s="73"/>
      <c r="JSZ118" s="73"/>
      <c r="JTA118" s="73"/>
      <c r="JTB118" s="73"/>
      <c r="JTC118" s="73"/>
      <c r="JTD118" s="73"/>
      <c r="JTE118" s="73"/>
      <c r="JTF118" s="73"/>
      <c r="JTG118" s="73"/>
      <c r="JTH118" s="73"/>
      <c r="JTI118" s="73"/>
      <c r="JTJ118" s="73"/>
      <c r="JTK118" s="73"/>
      <c r="JTL118" s="73"/>
      <c r="JTM118" s="73"/>
      <c r="JTN118" s="73"/>
      <c r="JTO118" s="73"/>
      <c r="JTP118" s="73"/>
      <c r="JTQ118" s="73"/>
      <c r="JTR118" s="73"/>
      <c r="JTS118" s="73"/>
      <c r="JTT118" s="73"/>
      <c r="JTU118" s="73"/>
      <c r="JTV118" s="73"/>
      <c r="JTW118" s="73"/>
      <c r="JTX118" s="73"/>
      <c r="JTY118" s="73"/>
      <c r="JTZ118" s="73"/>
      <c r="JUA118" s="73"/>
      <c r="JUB118" s="73"/>
      <c r="JUC118" s="73"/>
      <c r="JUD118" s="73"/>
      <c r="JUE118" s="73"/>
      <c r="JUF118" s="73"/>
      <c r="JUG118" s="73"/>
      <c r="JUH118" s="73"/>
      <c r="JUI118" s="73"/>
      <c r="JUJ118" s="73"/>
      <c r="JUK118" s="73"/>
      <c r="JUL118" s="73"/>
      <c r="JUM118" s="73"/>
      <c r="JUN118" s="73"/>
      <c r="JUO118" s="73"/>
      <c r="JUP118" s="73"/>
      <c r="JUQ118" s="73"/>
      <c r="JUR118" s="73"/>
      <c r="JUS118" s="73"/>
      <c r="JUT118" s="73"/>
      <c r="JUU118" s="73"/>
      <c r="JUV118" s="73"/>
      <c r="JUW118" s="73"/>
      <c r="JUX118" s="73"/>
      <c r="JUY118" s="73"/>
      <c r="JUZ118" s="73"/>
      <c r="JVA118" s="73"/>
      <c r="JVB118" s="73"/>
      <c r="JVC118" s="73"/>
      <c r="JVD118" s="73"/>
      <c r="JVE118" s="73"/>
      <c r="JVF118" s="73"/>
      <c r="JVG118" s="73"/>
      <c r="JVH118" s="73"/>
      <c r="JVI118" s="73"/>
      <c r="JVJ118" s="73"/>
      <c r="JVK118" s="73"/>
      <c r="JVL118" s="73"/>
      <c r="JVM118" s="73"/>
      <c r="JVN118" s="73"/>
      <c r="JVO118" s="73"/>
      <c r="JVP118" s="73"/>
      <c r="JVQ118" s="73"/>
      <c r="JVR118" s="73"/>
      <c r="JVS118" s="73"/>
      <c r="JVT118" s="73"/>
      <c r="JVU118" s="73"/>
      <c r="JVV118" s="73"/>
      <c r="JVW118" s="73"/>
      <c r="JVX118" s="73"/>
      <c r="JVY118" s="73"/>
      <c r="JVZ118" s="73"/>
      <c r="JWA118" s="73"/>
      <c r="JWB118" s="73"/>
      <c r="JWC118" s="73"/>
      <c r="JWD118" s="73"/>
      <c r="JWE118" s="73"/>
      <c r="JWF118" s="73"/>
      <c r="JWG118" s="73"/>
      <c r="JWH118" s="73"/>
      <c r="JWI118" s="73"/>
      <c r="JWJ118" s="73"/>
      <c r="JWK118" s="73"/>
      <c r="JWL118" s="73"/>
      <c r="JWM118" s="73"/>
      <c r="JWN118" s="73"/>
      <c r="JWO118" s="73"/>
      <c r="JWP118" s="73"/>
      <c r="JWQ118" s="73"/>
      <c r="JWR118" s="73"/>
      <c r="JWS118" s="73"/>
      <c r="JWT118" s="73"/>
      <c r="JWU118" s="73"/>
      <c r="JWV118" s="73"/>
      <c r="JWW118" s="73"/>
      <c r="JWX118" s="73"/>
      <c r="JWY118" s="73"/>
      <c r="JWZ118" s="73"/>
      <c r="JXA118" s="73"/>
      <c r="JXB118" s="73"/>
      <c r="JXC118" s="73"/>
      <c r="JXD118" s="73"/>
      <c r="JXE118" s="73"/>
      <c r="JXF118" s="73"/>
      <c r="JXG118" s="73"/>
      <c r="JXH118" s="73"/>
      <c r="JXI118" s="73"/>
      <c r="JXJ118" s="73"/>
      <c r="JXK118" s="73"/>
      <c r="JXL118" s="73"/>
      <c r="JXM118" s="73"/>
      <c r="JXN118" s="73"/>
      <c r="JXO118" s="73"/>
      <c r="JXP118" s="73"/>
      <c r="JXQ118" s="73"/>
      <c r="JXR118" s="73"/>
      <c r="JXS118" s="73"/>
      <c r="JXT118" s="73"/>
      <c r="JXU118" s="73"/>
      <c r="JXV118" s="73"/>
      <c r="JXW118" s="73"/>
      <c r="JXX118" s="73"/>
      <c r="JXY118" s="73"/>
      <c r="JXZ118" s="73"/>
      <c r="JYA118" s="73"/>
      <c r="JYB118" s="73"/>
      <c r="JYC118" s="73"/>
      <c r="JYD118" s="73"/>
      <c r="JYE118" s="73"/>
      <c r="JYF118" s="73"/>
      <c r="JYG118" s="73"/>
      <c r="JYH118" s="73"/>
      <c r="JYI118" s="73"/>
      <c r="JYJ118" s="73"/>
      <c r="JYK118" s="73"/>
      <c r="JYL118" s="73"/>
      <c r="JYM118" s="73"/>
      <c r="JYN118" s="73"/>
      <c r="JYO118" s="73"/>
      <c r="JYP118" s="73"/>
      <c r="JYQ118" s="73"/>
      <c r="JYR118" s="73"/>
      <c r="JYS118" s="73"/>
      <c r="JYT118" s="73"/>
      <c r="JYU118" s="73"/>
      <c r="JYV118" s="73"/>
      <c r="JYW118" s="73"/>
      <c r="JYX118" s="73"/>
      <c r="JYY118" s="73"/>
      <c r="JYZ118" s="73"/>
      <c r="JZA118" s="73"/>
      <c r="JZB118" s="73"/>
      <c r="JZC118" s="73"/>
      <c r="JZD118" s="73"/>
      <c r="JZE118" s="73"/>
      <c r="JZF118" s="73"/>
      <c r="JZG118" s="73"/>
      <c r="JZH118" s="73"/>
      <c r="JZI118" s="73"/>
      <c r="JZJ118" s="73"/>
      <c r="JZK118" s="73"/>
      <c r="JZL118" s="73"/>
      <c r="JZM118" s="73"/>
      <c r="JZN118" s="73"/>
      <c r="JZO118" s="73"/>
      <c r="JZP118" s="73"/>
      <c r="JZQ118" s="73"/>
      <c r="JZR118" s="73"/>
      <c r="JZS118" s="73"/>
      <c r="JZT118" s="73"/>
      <c r="JZU118" s="73"/>
      <c r="JZV118" s="73"/>
      <c r="JZW118" s="73"/>
      <c r="JZX118" s="73"/>
      <c r="JZY118" s="73"/>
      <c r="JZZ118" s="73"/>
      <c r="KAA118" s="73"/>
      <c r="KAB118" s="73"/>
      <c r="KAC118" s="73"/>
      <c r="KAD118" s="73"/>
      <c r="KAE118" s="73"/>
      <c r="KAF118" s="73"/>
      <c r="KAG118" s="73"/>
      <c r="KAH118" s="73"/>
      <c r="KAI118" s="73"/>
      <c r="KAJ118" s="73"/>
      <c r="KAK118" s="73"/>
      <c r="KAL118" s="73"/>
      <c r="KAM118" s="73"/>
      <c r="KAN118" s="73"/>
      <c r="KAO118" s="73"/>
      <c r="KAP118" s="73"/>
      <c r="KAQ118" s="73"/>
      <c r="KAR118" s="73"/>
      <c r="KAS118" s="73"/>
      <c r="KAT118" s="73"/>
      <c r="KAU118" s="73"/>
      <c r="KAV118" s="73"/>
      <c r="KAW118" s="73"/>
      <c r="KAX118" s="73"/>
      <c r="KAY118" s="73"/>
      <c r="KAZ118" s="73"/>
      <c r="KBA118" s="73"/>
      <c r="KBB118" s="73"/>
      <c r="KBC118" s="73"/>
      <c r="KBD118" s="73"/>
      <c r="KBE118" s="73"/>
      <c r="KBF118" s="73"/>
      <c r="KBG118" s="73"/>
      <c r="KBH118" s="73"/>
      <c r="KBI118" s="73"/>
      <c r="KBJ118" s="73"/>
      <c r="KBK118" s="73"/>
      <c r="KBL118" s="73"/>
      <c r="KBM118" s="73"/>
      <c r="KBN118" s="73"/>
      <c r="KBO118" s="73"/>
      <c r="KBP118" s="73"/>
      <c r="KBQ118" s="73"/>
      <c r="KBR118" s="73"/>
      <c r="KBS118" s="73"/>
      <c r="KBT118" s="73"/>
      <c r="KBU118" s="73"/>
      <c r="KBV118" s="73"/>
      <c r="KBW118" s="73"/>
      <c r="KBX118" s="73"/>
      <c r="KBY118" s="73"/>
      <c r="KBZ118" s="73"/>
      <c r="KCA118" s="73"/>
      <c r="KCB118" s="73"/>
      <c r="KCC118" s="73"/>
      <c r="KCD118" s="73"/>
      <c r="KCE118" s="73"/>
      <c r="KCF118" s="73"/>
      <c r="KCG118" s="73"/>
      <c r="KCH118" s="73"/>
      <c r="KCI118" s="73"/>
      <c r="KCJ118" s="73"/>
      <c r="KCK118" s="73"/>
      <c r="KCL118" s="73"/>
      <c r="KCM118" s="73"/>
      <c r="KCN118" s="73"/>
      <c r="KCO118" s="73"/>
      <c r="KCP118" s="73"/>
      <c r="KCQ118" s="73"/>
      <c r="KCR118" s="73"/>
      <c r="KCS118" s="73"/>
      <c r="KCT118" s="73"/>
      <c r="KCU118" s="73"/>
      <c r="KCV118" s="73"/>
      <c r="KCW118" s="73"/>
      <c r="KCX118" s="73"/>
      <c r="KCY118" s="73"/>
      <c r="KCZ118" s="73"/>
      <c r="KDA118" s="73"/>
      <c r="KDB118" s="73"/>
      <c r="KDC118" s="73"/>
      <c r="KDD118" s="73"/>
      <c r="KDE118" s="73"/>
      <c r="KDF118" s="73"/>
      <c r="KDG118" s="73"/>
      <c r="KDH118" s="73"/>
      <c r="KDI118" s="73"/>
      <c r="KDJ118" s="73"/>
      <c r="KDK118" s="73"/>
      <c r="KDL118" s="73"/>
      <c r="KDM118" s="73"/>
      <c r="KDN118" s="73"/>
      <c r="KDO118" s="73"/>
      <c r="KDP118" s="73"/>
      <c r="KDQ118" s="73"/>
      <c r="KDR118" s="73"/>
      <c r="KDS118" s="73"/>
      <c r="KDT118" s="73"/>
      <c r="KDU118" s="73"/>
      <c r="KDV118" s="73"/>
      <c r="KDW118" s="73"/>
      <c r="KDX118" s="73"/>
      <c r="KDY118" s="73"/>
      <c r="KDZ118" s="73"/>
      <c r="KEA118" s="73"/>
      <c r="KEB118" s="73"/>
      <c r="KEC118" s="73"/>
      <c r="KED118" s="73"/>
      <c r="KEE118" s="73"/>
      <c r="KEF118" s="73"/>
      <c r="KEG118" s="73"/>
      <c r="KEH118" s="73"/>
      <c r="KEI118" s="73"/>
      <c r="KEJ118" s="73"/>
      <c r="KEK118" s="73"/>
      <c r="KEL118" s="73"/>
      <c r="KEM118" s="73"/>
      <c r="KEN118" s="73"/>
      <c r="KEO118" s="73"/>
      <c r="KEP118" s="73"/>
      <c r="KEQ118" s="73"/>
      <c r="KER118" s="73"/>
      <c r="KES118" s="73"/>
      <c r="KET118" s="73"/>
      <c r="KEU118" s="73"/>
      <c r="KEV118" s="73"/>
      <c r="KEW118" s="73"/>
      <c r="KEX118" s="73"/>
      <c r="KEY118" s="73"/>
      <c r="KEZ118" s="73"/>
      <c r="KFA118" s="73"/>
      <c r="KFB118" s="73"/>
      <c r="KFC118" s="73"/>
      <c r="KFD118" s="73"/>
      <c r="KFE118" s="73"/>
      <c r="KFF118" s="73"/>
      <c r="KFG118" s="73"/>
      <c r="KFH118" s="73"/>
      <c r="KFI118" s="73"/>
      <c r="KFJ118" s="73"/>
      <c r="KFK118" s="73"/>
      <c r="KFL118" s="73"/>
      <c r="KFM118" s="73"/>
      <c r="KFN118" s="73"/>
      <c r="KFO118" s="73"/>
      <c r="KFP118" s="73"/>
      <c r="KFQ118" s="73"/>
      <c r="KFR118" s="73"/>
      <c r="KFS118" s="73"/>
      <c r="KFT118" s="73"/>
      <c r="KFU118" s="73"/>
      <c r="KFV118" s="73"/>
      <c r="KFW118" s="73"/>
      <c r="KFX118" s="73"/>
      <c r="KFY118" s="73"/>
      <c r="KFZ118" s="73"/>
      <c r="KGA118" s="73"/>
      <c r="KGB118" s="73"/>
      <c r="KGC118" s="73"/>
      <c r="KGD118" s="73"/>
      <c r="KGE118" s="73"/>
      <c r="KGF118" s="73"/>
      <c r="KGG118" s="73"/>
      <c r="KGH118" s="73"/>
      <c r="KGI118" s="73"/>
      <c r="KGJ118" s="73"/>
      <c r="KGK118" s="73"/>
      <c r="KGL118" s="73"/>
      <c r="KGM118" s="73"/>
      <c r="KGN118" s="73"/>
      <c r="KGO118" s="73"/>
      <c r="KGP118" s="73"/>
      <c r="KGQ118" s="73"/>
      <c r="KGR118" s="73"/>
      <c r="KGS118" s="73"/>
      <c r="KGT118" s="73"/>
      <c r="KGU118" s="73"/>
      <c r="KGV118" s="73"/>
      <c r="KGW118" s="73"/>
      <c r="KGX118" s="73"/>
      <c r="KGY118" s="73"/>
      <c r="KGZ118" s="73"/>
      <c r="KHA118" s="73"/>
      <c r="KHB118" s="73"/>
      <c r="KHC118" s="73"/>
      <c r="KHD118" s="73"/>
      <c r="KHE118" s="73"/>
      <c r="KHF118" s="73"/>
      <c r="KHG118" s="73"/>
      <c r="KHH118" s="73"/>
      <c r="KHI118" s="73"/>
      <c r="KHJ118" s="73"/>
      <c r="KHK118" s="73"/>
      <c r="KHL118" s="73"/>
      <c r="KHM118" s="73"/>
      <c r="KHN118" s="73"/>
      <c r="KHO118" s="73"/>
      <c r="KHP118" s="73"/>
      <c r="KHQ118" s="73"/>
      <c r="KHR118" s="73"/>
      <c r="KHS118" s="73"/>
      <c r="KHT118" s="73"/>
      <c r="KHU118" s="73"/>
      <c r="KHV118" s="73"/>
      <c r="KHW118" s="73"/>
      <c r="KHX118" s="73"/>
      <c r="KHY118" s="73"/>
      <c r="KHZ118" s="73"/>
      <c r="KIA118" s="73"/>
      <c r="KIB118" s="73"/>
      <c r="KIC118" s="73"/>
      <c r="KID118" s="73"/>
      <c r="KIE118" s="73"/>
      <c r="KIF118" s="73"/>
      <c r="KIG118" s="73"/>
      <c r="KIH118" s="73"/>
      <c r="KII118" s="73"/>
      <c r="KIJ118" s="73"/>
      <c r="KIK118" s="73"/>
      <c r="KIL118" s="73"/>
      <c r="KIM118" s="73"/>
      <c r="KIN118" s="73"/>
      <c r="KIO118" s="73"/>
      <c r="KIP118" s="73"/>
      <c r="KIQ118" s="73"/>
      <c r="KIR118" s="73"/>
      <c r="KIS118" s="73"/>
      <c r="KIT118" s="73"/>
      <c r="KIU118" s="73"/>
      <c r="KIV118" s="73"/>
      <c r="KIW118" s="73"/>
      <c r="KIX118" s="73"/>
      <c r="KIY118" s="73"/>
      <c r="KIZ118" s="73"/>
      <c r="KJA118" s="73"/>
      <c r="KJB118" s="73"/>
      <c r="KJC118" s="73"/>
      <c r="KJD118" s="73"/>
      <c r="KJE118" s="73"/>
      <c r="KJF118" s="73"/>
      <c r="KJG118" s="73"/>
      <c r="KJH118" s="73"/>
      <c r="KJI118" s="73"/>
      <c r="KJJ118" s="73"/>
      <c r="KJK118" s="73"/>
      <c r="KJL118" s="73"/>
      <c r="KJM118" s="73"/>
      <c r="KJN118" s="73"/>
      <c r="KJO118" s="73"/>
      <c r="KJP118" s="73"/>
      <c r="KJQ118" s="73"/>
      <c r="KJR118" s="73"/>
      <c r="KJS118" s="73"/>
      <c r="KJT118" s="73"/>
      <c r="KJU118" s="73"/>
      <c r="KJV118" s="73"/>
      <c r="KJW118" s="73"/>
      <c r="KJX118" s="73"/>
      <c r="KJY118" s="73"/>
      <c r="KJZ118" s="73"/>
      <c r="KKA118" s="73"/>
      <c r="KKB118" s="73"/>
      <c r="KKC118" s="73"/>
      <c r="KKD118" s="73"/>
      <c r="KKE118" s="73"/>
      <c r="KKF118" s="73"/>
      <c r="KKG118" s="73"/>
      <c r="KKH118" s="73"/>
      <c r="KKI118" s="73"/>
      <c r="KKJ118" s="73"/>
      <c r="KKK118" s="73"/>
      <c r="KKL118" s="73"/>
      <c r="KKM118" s="73"/>
      <c r="KKN118" s="73"/>
      <c r="KKO118" s="73"/>
      <c r="KKP118" s="73"/>
      <c r="KKQ118" s="73"/>
      <c r="KKR118" s="73"/>
      <c r="KKS118" s="73"/>
      <c r="KKT118" s="73"/>
      <c r="KKU118" s="73"/>
      <c r="KKV118" s="73"/>
      <c r="KKW118" s="73"/>
      <c r="KKX118" s="73"/>
      <c r="KKY118" s="73"/>
      <c r="KKZ118" s="73"/>
      <c r="KLA118" s="73"/>
      <c r="KLB118" s="73"/>
      <c r="KLC118" s="73"/>
      <c r="KLD118" s="73"/>
      <c r="KLE118" s="73"/>
      <c r="KLF118" s="73"/>
      <c r="KLG118" s="73"/>
      <c r="KLH118" s="73"/>
      <c r="KLI118" s="73"/>
      <c r="KLJ118" s="73"/>
      <c r="KLK118" s="73"/>
      <c r="KLL118" s="73"/>
      <c r="KLM118" s="73"/>
      <c r="KLN118" s="73"/>
      <c r="KLO118" s="73"/>
      <c r="KLP118" s="73"/>
      <c r="KLQ118" s="73"/>
      <c r="KLR118" s="73"/>
      <c r="KLS118" s="73"/>
      <c r="KLT118" s="73"/>
      <c r="KLU118" s="73"/>
      <c r="KLV118" s="73"/>
      <c r="KLW118" s="73"/>
      <c r="KLX118" s="73"/>
      <c r="KLY118" s="73"/>
      <c r="KLZ118" s="73"/>
      <c r="KMA118" s="73"/>
      <c r="KMB118" s="73"/>
      <c r="KMC118" s="73"/>
      <c r="KMD118" s="73"/>
      <c r="KME118" s="73"/>
      <c r="KMF118" s="73"/>
      <c r="KMG118" s="73"/>
      <c r="KMH118" s="73"/>
      <c r="KMI118" s="73"/>
      <c r="KMJ118" s="73"/>
      <c r="KMK118" s="73"/>
      <c r="KML118" s="73"/>
      <c r="KMM118" s="73"/>
      <c r="KMN118" s="73"/>
      <c r="KMO118" s="73"/>
      <c r="KMP118" s="73"/>
      <c r="KMQ118" s="73"/>
      <c r="KMR118" s="73"/>
      <c r="KMS118" s="73"/>
      <c r="KMT118" s="73"/>
      <c r="KMU118" s="73"/>
      <c r="KMV118" s="73"/>
      <c r="KMW118" s="73"/>
      <c r="KMX118" s="73"/>
      <c r="KMY118" s="73"/>
      <c r="KMZ118" s="73"/>
      <c r="KNA118" s="73"/>
      <c r="KNB118" s="73"/>
      <c r="KNC118" s="73"/>
      <c r="KND118" s="73"/>
      <c r="KNE118" s="73"/>
      <c r="KNF118" s="73"/>
      <c r="KNG118" s="73"/>
      <c r="KNH118" s="73"/>
      <c r="KNI118" s="73"/>
      <c r="KNJ118" s="73"/>
      <c r="KNK118" s="73"/>
      <c r="KNL118" s="73"/>
      <c r="KNM118" s="73"/>
      <c r="KNN118" s="73"/>
      <c r="KNO118" s="73"/>
      <c r="KNP118" s="73"/>
      <c r="KNQ118" s="73"/>
      <c r="KNR118" s="73"/>
      <c r="KNS118" s="73"/>
      <c r="KNT118" s="73"/>
      <c r="KNU118" s="73"/>
      <c r="KNV118" s="73"/>
      <c r="KNW118" s="73"/>
      <c r="KNX118" s="73"/>
      <c r="KNY118" s="73"/>
      <c r="KNZ118" s="73"/>
      <c r="KOA118" s="73"/>
      <c r="KOB118" s="73"/>
      <c r="KOC118" s="73"/>
      <c r="KOD118" s="73"/>
      <c r="KOE118" s="73"/>
      <c r="KOF118" s="73"/>
      <c r="KOG118" s="73"/>
      <c r="KOH118" s="73"/>
      <c r="KOI118" s="73"/>
      <c r="KOJ118" s="73"/>
      <c r="KOK118" s="73"/>
      <c r="KOL118" s="73"/>
      <c r="KOM118" s="73"/>
      <c r="KON118" s="73"/>
      <c r="KOO118" s="73"/>
      <c r="KOP118" s="73"/>
      <c r="KOQ118" s="73"/>
      <c r="KOR118" s="73"/>
      <c r="KOS118" s="73"/>
      <c r="KOT118" s="73"/>
      <c r="KOU118" s="73"/>
      <c r="KOV118" s="73"/>
      <c r="KOW118" s="73"/>
      <c r="KOX118" s="73"/>
      <c r="KOY118" s="73"/>
      <c r="KOZ118" s="73"/>
      <c r="KPA118" s="73"/>
      <c r="KPB118" s="73"/>
      <c r="KPC118" s="73"/>
      <c r="KPD118" s="73"/>
      <c r="KPE118" s="73"/>
      <c r="KPF118" s="73"/>
      <c r="KPG118" s="73"/>
      <c r="KPH118" s="73"/>
      <c r="KPI118" s="73"/>
      <c r="KPJ118" s="73"/>
      <c r="KPK118" s="73"/>
      <c r="KPL118" s="73"/>
      <c r="KPM118" s="73"/>
      <c r="KPN118" s="73"/>
      <c r="KPO118" s="73"/>
      <c r="KPP118" s="73"/>
      <c r="KPQ118" s="73"/>
      <c r="KPR118" s="73"/>
      <c r="KPS118" s="73"/>
      <c r="KPT118" s="73"/>
      <c r="KPU118" s="73"/>
      <c r="KPV118" s="73"/>
      <c r="KPW118" s="73"/>
      <c r="KPX118" s="73"/>
      <c r="KPY118" s="73"/>
      <c r="KPZ118" s="73"/>
      <c r="KQA118" s="73"/>
      <c r="KQB118" s="73"/>
      <c r="KQC118" s="73"/>
      <c r="KQD118" s="73"/>
      <c r="KQE118" s="73"/>
      <c r="KQF118" s="73"/>
      <c r="KQG118" s="73"/>
      <c r="KQH118" s="73"/>
      <c r="KQI118" s="73"/>
      <c r="KQJ118" s="73"/>
      <c r="KQK118" s="73"/>
      <c r="KQL118" s="73"/>
      <c r="KQM118" s="73"/>
      <c r="KQN118" s="73"/>
      <c r="KQO118" s="73"/>
      <c r="KQP118" s="73"/>
      <c r="KQQ118" s="73"/>
      <c r="KQR118" s="73"/>
      <c r="KQS118" s="73"/>
      <c r="KQT118" s="73"/>
      <c r="KQU118" s="73"/>
      <c r="KQV118" s="73"/>
      <c r="KQW118" s="73"/>
      <c r="KQX118" s="73"/>
      <c r="KQY118" s="73"/>
      <c r="KQZ118" s="73"/>
      <c r="KRA118" s="73"/>
      <c r="KRB118" s="73"/>
      <c r="KRC118" s="73"/>
      <c r="KRD118" s="73"/>
      <c r="KRE118" s="73"/>
      <c r="KRF118" s="73"/>
      <c r="KRG118" s="73"/>
      <c r="KRH118" s="73"/>
      <c r="KRI118" s="73"/>
      <c r="KRJ118" s="73"/>
      <c r="KRK118" s="73"/>
      <c r="KRL118" s="73"/>
      <c r="KRM118" s="73"/>
      <c r="KRN118" s="73"/>
      <c r="KRO118" s="73"/>
      <c r="KRP118" s="73"/>
      <c r="KRQ118" s="73"/>
      <c r="KRR118" s="73"/>
      <c r="KRS118" s="73"/>
      <c r="KRT118" s="73"/>
      <c r="KRU118" s="73"/>
      <c r="KRV118" s="73"/>
      <c r="KRW118" s="73"/>
      <c r="KRX118" s="73"/>
      <c r="KRY118" s="73"/>
      <c r="KRZ118" s="73"/>
      <c r="KSA118" s="73"/>
      <c r="KSB118" s="73"/>
      <c r="KSC118" s="73"/>
      <c r="KSD118" s="73"/>
      <c r="KSE118" s="73"/>
      <c r="KSF118" s="73"/>
      <c r="KSG118" s="73"/>
      <c r="KSH118" s="73"/>
      <c r="KSI118" s="73"/>
      <c r="KSJ118" s="73"/>
      <c r="KSK118" s="73"/>
      <c r="KSL118" s="73"/>
      <c r="KSM118" s="73"/>
      <c r="KSN118" s="73"/>
      <c r="KSO118" s="73"/>
      <c r="KSP118" s="73"/>
      <c r="KSQ118" s="73"/>
      <c r="KSR118" s="73"/>
      <c r="KSS118" s="73"/>
      <c r="KST118" s="73"/>
      <c r="KSU118" s="73"/>
      <c r="KSV118" s="73"/>
      <c r="KSW118" s="73"/>
      <c r="KSX118" s="73"/>
      <c r="KSY118" s="73"/>
      <c r="KSZ118" s="73"/>
      <c r="KTA118" s="73"/>
      <c r="KTB118" s="73"/>
      <c r="KTC118" s="73"/>
      <c r="KTD118" s="73"/>
      <c r="KTE118" s="73"/>
      <c r="KTF118" s="73"/>
      <c r="KTG118" s="73"/>
      <c r="KTH118" s="73"/>
      <c r="KTI118" s="73"/>
      <c r="KTJ118" s="73"/>
      <c r="KTK118" s="73"/>
      <c r="KTL118" s="73"/>
      <c r="KTM118" s="73"/>
      <c r="KTN118" s="73"/>
      <c r="KTO118" s="73"/>
      <c r="KTP118" s="73"/>
      <c r="KTQ118" s="73"/>
      <c r="KTR118" s="73"/>
      <c r="KTS118" s="73"/>
      <c r="KTT118" s="73"/>
      <c r="KTU118" s="73"/>
      <c r="KTV118" s="73"/>
      <c r="KTW118" s="73"/>
      <c r="KTX118" s="73"/>
      <c r="KTY118" s="73"/>
      <c r="KTZ118" s="73"/>
      <c r="KUA118" s="73"/>
      <c r="KUB118" s="73"/>
      <c r="KUC118" s="73"/>
      <c r="KUD118" s="73"/>
      <c r="KUE118" s="73"/>
      <c r="KUF118" s="73"/>
      <c r="KUG118" s="73"/>
      <c r="KUH118" s="73"/>
      <c r="KUI118" s="73"/>
      <c r="KUJ118" s="73"/>
      <c r="KUK118" s="73"/>
      <c r="KUL118" s="73"/>
      <c r="KUM118" s="73"/>
      <c r="KUN118" s="73"/>
      <c r="KUO118" s="73"/>
      <c r="KUP118" s="73"/>
      <c r="KUQ118" s="73"/>
      <c r="KUR118" s="73"/>
      <c r="KUS118" s="73"/>
      <c r="KUT118" s="73"/>
      <c r="KUU118" s="73"/>
      <c r="KUV118" s="73"/>
      <c r="KUW118" s="73"/>
      <c r="KUX118" s="73"/>
      <c r="KUY118" s="73"/>
      <c r="KUZ118" s="73"/>
      <c r="KVA118" s="73"/>
      <c r="KVB118" s="73"/>
      <c r="KVC118" s="73"/>
      <c r="KVD118" s="73"/>
      <c r="KVE118" s="73"/>
      <c r="KVF118" s="73"/>
      <c r="KVG118" s="73"/>
      <c r="KVH118" s="73"/>
      <c r="KVI118" s="73"/>
      <c r="KVJ118" s="73"/>
      <c r="KVK118" s="73"/>
      <c r="KVL118" s="73"/>
      <c r="KVM118" s="73"/>
      <c r="KVN118" s="73"/>
      <c r="KVO118" s="73"/>
      <c r="KVP118" s="73"/>
      <c r="KVQ118" s="73"/>
      <c r="KVR118" s="73"/>
      <c r="KVS118" s="73"/>
      <c r="KVT118" s="73"/>
      <c r="KVU118" s="73"/>
      <c r="KVV118" s="73"/>
      <c r="KVW118" s="73"/>
      <c r="KVX118" s="73"/>
      <c r="KVY118" s="73"/>
      <c r="KVZ118" s="73"/>
      <c r="KWA118" s="73"/>
      <c r="KWB118" s="73"/>
      <c r="KWC118" s="73"/>
      <c r="KWD118" s="73"/>
      <c r="KWE118" s="73"/>
      <c r="KWF118" s="73"/>
      <c r="KWG118" s="73"/>
      <c r="KWH118" s="73"/>
      <c r="KWI118" s="73"/>
      <c r="KWJ118" s="73"/>
      <c r="KWK118" s="73"/>
      <c r="KWL118" s="73"/>
      <c r="KWM118" s="73"/>
      <c r="KWN118" s="73"/>
      <c r="KWO118" s="73"/>
      <c r="KWP118" s="73"/>
      <c r="KWQ118" s="73"/>
      <c r="KWR118" s="73"/>
      <c r="KWS118" s="73"/>
      <c r="KWT118" s="73"/>
      <c r="KWU118" s="73"/>
      <c r="KWV118" s="73"/>
      <c r="KWW118" s="73"/>
      <c r="KWX118" s="73"/>
      <c r="KWY118" s="73"/>
      <c r="KWZ118" s="73"/>
      <c r="KXA118" s="73"/>
      <c r="KXB118" s="73"/>
      <c r="KXC118" s="73"/>
      <c r="KXD118" s="73"/>
      <c r="KXE118" s="73"/>
      <c r="KXF118" s="73"/>
      <c r="KXG118" s="73"/>
      <c r="KXH118" s="73"/>
      <c r="KXI118" s="73"/>
      <c r="KXJ118" s="73"/>
      <c r="KXK118" s="73"/>
      <c r="KXL118" s="73"/>
      <c r="KXM118" s="73"/>
      <c r="KXN118" s="73"/>
      <c r="KXO118" s="73"/>
      <c r="KXP118" s="73"/>
      <c r="KXQ118" s="73"/>
      <c r="KXR118" s="73"/>
      <c r="KXS118" s="73"/>
      <c r="KXT118" s="73"/>
      <c r="KXU118" s="73"/>
      <c r="KXV118" s="73"/>
      <c r="KXW118" s="73"/>
      <c r="KXX118" s="73"/>
      <c r="KXY118" s="73"/>
      <c r="KXZ118" s="73"/>
      <c r="KYA118" s="73"/>
      <c r="KYB118" s="73"/>
      <c r="KYC118" s="73"/>
      <c r="KYD118" s="73"/>
      <c r="KYE118" s="73"/>
      <c r="KYF118" s="73"/>
      <c r="KYG118" s="73"/>
      <c r="KYH118" s="73"/>
      <c r="KYI118" s="73"/>
      <c r="KYJ118" s="73"/>
      <c r="KYK118" s="73"/>
      <c r="KYL118" s="73"/>
      <c r="KYM118" s="73"/>
      <c r="KYN118" s="73"/>
      <c r="KYO118" s="73"/>
      <c r="KYP118" s="73"/>
      <c r="KYQ118" s="73"/>
      <c r="KYR118" s="73"/>
      <c r="KYS118" s="73"/>
      <c r="KYT118" s="73"/>
      <c r="KYU118" s="73"/>
      <c r="KYV118" s="73"/>
      <c r="KYW118" s="73"/>
      <c r="KYX118" s="73"/>
      <c r="KYY118" s="73"/>
      <c r="KYZ118" s="73"/>
      <c r="KZA118" s="73"/>
      <c r="KZB118" s="73"/>
      <c r="KZC118" s="73"/>
      <c r="KZD118" s="73"/>
      <c r="KZE118" s="73"/>
      <c r="KZF118" s="73"/>
      <c r="KZG118" s="73"/>
      <c r="KZH118" s="73"/>
      <c r="KZI118" s="73"/>
      <c r="KZJ118" s="73"/>
      <c r="KZK118" s="73"/>
      <c r="KZL118" s="73"/>
      <c r="KZM118" s="73"/>
      <c r="KZN118" s="73"/>
      <c r="KZO118" s="73"/>
      <c r="KZP118" s="73"/>
      <c r="KZQ118" s="73"/>
      <c r="KZR118" s="73"/>
      <c r="KZS118" s="73"/>
      <c r="KZT118" s="73"/>
      <c r="KZU118" s="73"/>
      <c r="KZV118" s="73"/>
      <c r="KZW118" s="73"/>
      <c r="KZX118" s="73"/>
      <c r="KZY118" s="73"/>
      <c r="KZZ118" s="73"/>
      <c r="LAA118" s="73"/>
      <c r="LAB118" s="73"/>
      <c r="LAC118" s="73"/>
      <c r="LAD118" s="73"/>
      <c r="LAE118" s="73"/>
      <c r="LAF118" s="73"/>
      <c r="LAG118" s="73"/>
      <c r="LAH118" s="73"/>
      <c r="LAI118" s="73"/>
      <c r="LAJ118" s="73"/>
      <c r="LAK118" s="73"/>
      <c r="LAL118" s="73"/>
      <c r="LAM118" s="73"/>
      <c r="LAN118" s="73"/>
      <c r="LAO118" s="73"/>
      <c r="LAP118" s="73"/>
      <c r="LAQ118" s="73"/>
      <c r="LAR118" s="73"/>
      <c r="LAS118" s="73"/>
      <c r="LAT118" s="73"/>
      <c r="LAU118" s="73"/>
      <c r="LAV118" s="73"/>
      <c r="LAW118" s="73"/>
      <c r="LAX118" s="73"/>
      <c r="LAY118" s="73"/>
      <c r="LAZ118" s="73"/>
      <c r="LBA118" s="73"/>
      <c r="LBB118" s="73"/>
      <c r="LBC118" s="73"/>
      <c r="LBD118" s="73"/>
      <c r="LBE118" s="73"/>
      <c r="LBF118" s="73"/>
      <c r="LBG118" s="73"/>
      <c r="LBH118" s="73"/>
      <c r="LBI118" s="73"/>
      <c r="LBJ118" s="73"/>
      <c r="LBK118" s="73"/>
      <c r="LBL118" s="73"/>
      <c r="LBM118" s="73"/>
      <c r="LBN118" s="73"/>
      <c r="LBO118" s="73"/>
      <c r="LBP118" s="73"/>
      <c r="LBQ118" s="73"/>
      <c r="LBR118" s="73"/>
      <c r="LBS118" s="73"/>
      <c r="LBT118" s="73"/>
      <c r="LBU118" s="73"/>
      <c r="LBV118" s="73"/>
      <c r="LBW118" s="73"/>
      <c r="LBX118" s="73"/>
      <c r="LBY118" s="73"/>
      <c r="LBZ118" s="73"/>
      <c r="LCA118" s="73"/>
      <c r="LCB118" s="73"/>
      <c r="LCC118" s="73"/>
      <c r="LCD118" s="73"/>
      <c r="LCE118" s="73"/>
      <c r="LCF118" s="73"/>
      <c r="LCG118" s="73"/>
      <c r="LCH118" s="73"/>
      <c r="LCI118" s="73"/>
      <c r="LCJ118" s="73"/>
      <c r="LCK118" s="73"/>
      <c r="LCL118" s="73"/>
      <c r="LCM118" s="73"/>
      <c r="LCN118" s="73"/>
      <c r="LCO118" s="73"/>
      <c r="LCP118" s="73"/>
      <c r="LCQ118" s="73"/>
      <c r="LCR118" s="73"/>
      <c r="LCS118" s="73"/>
      <c r="LCT118" s="73"/>
      <c r="LCU118" s="73"/>
      <c r="LCV118" s="73"/>
      <c r="LCW118" s="73"/>
      <c r="LCX118" s="73"/>
      <c r="LCY118" s="73"/>
      <c r="LCZ118" s="73"/>
      <c r="LDA118" s="73"/>
      <c r="LDB118" s="73"/>
      <c r="LDC118" s="73"/>
      <c r="LDD118" s="73"/>
      <c r="LDE118" s="73"/>
      <c r="LDF118" s="73"/>
      <c r="LDG118" s="73"/>
      <c r="LDH118" s="73"/>
      <c r="LDI118" s="73"/>
      <c r="LDJ118" s="73"/>
      <c r="LDK118" s="73"/>
      <c r="LDL118" s="73"/>
      <c r="LDM118" s="73"/>
      <c r="LDN118" s="73"/>
      <c r="LDO118" s="73"/>
      <c r="LDP118" s="73"/>
      <c r="LDQ118" s="73"/>
      <c r="LDR118" s="73"/>
      <c r="LDS118" s="73"/>
      <c r="LDT118" s="73"/>
      <c r="LDU118" s="73"/>
      <c r="LDV118" s="73"/>
      <c r="LDW118" s="73"/>
      <c r="LDX118" s="73"/>
      <c r="LDY118" s="73"/>
      <c r="LDZ118" s="73"/>
      <c r="LEA118" s="73"/>
      <c r="LEB118" s="73"/>
      <c r="LEC118" s="73"/>
      <c r="LED118" s="73"/>
      <c r="LEE118" s="73"/>
      <c r="LEF118" s="73"/>
      <c r="LEG118" s="73"/>
      <c r="LEH118" s="73"/>
      <c r="LEI118" s="73"/>
      <c r="LEJ118" s="73"/>
      <c r="LEK118" s="73"/>
      <c r="LEL118" s="73"/>
      <c r="LEM118" s="73"/>
      <c r="LEN118" s="73"/>
      <c r="LEO118" s="73"/>
      <c r="LEP118" s="73"/>
      <c r="LEQ118" s="73"/>
      <c r="LER118" s="73"/>
      <c r="LES118" s="73"/>
      <c r="LET118" s="73"/>
      <c r="LEU118" s="73"/>
      <c r="LEV118" s="73"/>
      <c r="LEW118" s="73"/>
      <c r="LEX118" s="73"/>
      <c r="LEY118" s="73"/>
      <c r="LEZ118" s="73"/>
      <c r="LFA118" s="73"/>
      <c r="LFB118" s="73"/>
      <c r="LFC118" s="73"/>
      <c r="LFD118" s="73"/>
      <c r="LFE118" s="73"/>
      <c r="LFF118" s="73"/>
      <c r="LFG118" s="73"/>
      <c r="LFH118" s="73"/>
      <c r="LFI118" s="73"/>
      <c r="LFJ118" s="73"/>
      <c r="LFK118" s="73"/>
      <c r="LFL118" s="73"/>
      <c r="LFM118" s="73"/>
      <c r="LFN118" s="73"/>
      <c r="LFO118" s="73"/>
      <c r="LFP118" s="73"/>
      <c r="LFQ118" s="73"/>
      <c r="LFR118" s="73"/>
      <c r="LFS118" s="73"/>
      <c r="LFT118" s="73"/>
      <c r="LFU118" s="73"/>
      <c r="LFV118" s="73"/>
      <c r="LFW118" s="73"/>
      <c r="LFX118" s="73"/>
      <c r="LFY118" s="73"/>
      <c r="LFZ118" s="73"/>
      <c r="LGA118" s="73"/>
      <c r="LGB118" s="73"/>
      <c r="LGC118" s="73"/>
      <c r="LGD118" s="73"/>
      <c r="LGE118" s="73"/>
      <c r="LGF118" s="73"/>
      <c r="LGG118" s="73"/>
      <c r="LGH118" s="73"/>
      <c r="LGI118" s="73"/>
      <c r="LGJ118" s="73"/>
      <c r="LGK118" s="73"/>
      <c r="LGL118" s="73"/>
      <c r="LGM118" s="73"/>
      <c r="LGN118" s="73"/>
      <c r="LGO118" s="73"/>
      <c r="LGP118" s="73"/>
      <c r="LGQ118" s="73"/>
      <c r="LGR118" s="73"/>
      <c r="LGS118" s="73"/>
      <c r="LGT118" s="73"/>
      <c r="LGU118" s="73"/>
      <c r="LGV118" s="73"/>
      <c r="LGW118" s="73"/>
      <c r="LGX118" s="73"/>
      <c r="LGY118" s="73"/>
      <c r="LGZ118" s="73"/>
      <c r="LHA118" s="73"/>
      <c r="LHB118" s="73"/>
      <c r="LHC118" s="73"/>
      <c r="LHD118" s="73"/>
      <c r="LHE118" s="73"/>
      <c r="LHF118" s="73"/>
      <c r="LHG118" s="73"/>
      <c r="LHH118" s="73"/>
      <c r="LHI118" s="73"/>
      <c r="LHJ118" s="73"/>
      <c r="LHK118" s="73"/>
      <c r="LHL118" s="73"/>
      <c r="LHM118" s="73"/>
      <c r="LHN118" s="73"/>
      <c r="LHO118" s="73"/>
      <c r="LHP118" s="73"/>
      <c r="LHQ118" s="73"/>
      <c r="LHR118" s="73"/>
      <c r="LHS118" s="73"/>
      <c r="LHT118" s="73"/>
      <c r="LHU118" s="73"/>
      <c r="LHV118" s="73"/>
      <c r="LHW118" s="73"/>
      <c r="LHX118" s="73"/>
      <c r="LHY118" s="73"/>
      <c r="LHZ118" s="73"/>
      <c r="LIA118" s="73"/>
      <c r="LIB118" s="73"/>
      <c r="LIC118" s="73"/>
      <c r="LID118" s="73"/>
      <c r="LIE118" s="73"/>
      <c r="LIF118" s="73"/>
      <c r="LIG118" s="73"/>
      <c r="LIH118" s="73"/>
      <c r="LII118" s="73"/>
      <c r="LIJ118" s="73"/>
      <c r="LIK118" s="73"/>
      <c r="LIL118" s="73"/>
      <c r="LIM118" s="73"/>
      <c r="LIN118" s="73"/>
      <c r="LIO118" s="73"/>
      <c r="LIP118" s="73"/>
      <c r="LIQ118" s="73"/>
      <c r="LIR118" s="73"/>
      <c r="LIS118" s="73"/>
      <c r="LIT118" s="73"/>
      <c r="LIU118" s="73"/>
      <c r="LIV118" s="73"/>
      <c r="LIW118" s="73"/>
      <c r="LIX118" s="73"/>
      <c r="LIY118" s="73"/>
      <c r="LIZ118" s="73"/>
      <c r="LJA118" s="73"/>
      <c r="LJB118" s="73"/>
      <c r="LJC118" s="73"/>
      <c r="LJD118" s="73"/>
      <c r="LJE118" s="73"/>
      <c r="LJF118" s="73"/>
      <c r="LJG118" s="73"/>
      <c r="LJH118" s="73"/>
      <c r="LJI118" s="73"/>
      <c r="LJJ118" s="73"/>
      <c r="LJK118" s="73"/>
      <c r="LJL118" s="73"/>
      <c r="LJM118" s="73"/>
      <c r="LJN118" s="73"/>
      <c r="LJO118" s="73"/>
      <c r="LJP118" s="73"/>
      <c r="LJQ118" s="73"/>
      <c r="LJR118" s="73"/>
      <c r="LJS118" s="73"/>
      <c r="LJT118" s="73"/>
      <c r="LJU118" s="73"/>
      <c r="LJV118" s="73"/>
      <c r="LJW118" s="73"/>
      <c r="LJX118" s="73"/>
      <c r="LJY118" s="73"/>
      <c r="LJZ118" s="73"/>
      <c r="LKA118" s="73"/>
      <c r="LKB118" s="73"/>
      <c r="LKC118" s="73"/>
      <c r="LKD118" s="73"/>
      <c r="LKE118" s="73"/>
      <c r="LKF118" s="73"/>
      <c r="LKG118" s="73"/>
      <c r="LKH118" s="73"/>
      <c r="LKI118" s="73"/>
      <c r="LKJ118" s="73"/>
      <c r="LKK118" s="73"/>
      <c r="LKL118" s="73"/>
      <c r="LKM118" s="73"/>
      <c r="LKN118" s="73"/>
      <c r="LKO118" s="73"/>
      <c r="LKP118" s="73"/>
      <c r="LKQ118" s="73"/>
      <c r="LKR118" s="73"/>
      <c r="LKS118" s="73"/>
      <c r="LKT118" s="73"/>
      <c r="LKU118" s="73"/>
      <c r="LKV118" s="73"/>
      <c r="LKW118" s="73"/>
      <c r="LKX118" s="73"/>
      <c r="LKY118" s="73"/>
      <c r="LKZ118" s="73"/>
      <c r="LLA118" s="73"/>
      <c r="LLB118" s="73"/>
      <c r="LLC118" s="73"/>
      <c r="LLD118" s="73"/>
      <c r="LLE118" s="73"/>
      <c r="LLF118" s="73"/>
      <c r="LLG118" s="73"/>
      <c r="LLH118" s="73"/>
      <c r="LLI118" s="73"/>
      <c r="LLJ118" s="73"/>
      <c r="LLK118" s="73"/>
      <c r="LLL118" s="73"/>
      <c r="LLM118" s="73"/>
      <c r="LLN118" s="73"/>
      <c r="LLO118" s="73"/>
      <c r="LLP118" s="73"/>
      <c r="LLQ118" s="73"/>
      <c r="LLR118" s="73"/>
      <c r="LLS118" s="73"/>
      <c r="LLT118" s="73"/>
      <c r="LLU118" s="73"/>
      <c r="LLV118" s="73"/>
      <c r="LLW118" s="73"/>
      <c r="LLX118" s="73"/>
      <c r="LLY118" s="73"/>
      <c r="LLZ118" s="73"/>
      <c r="LMA118" s="73"/>
      <c r="LMB118" s="73"/>
      <c r="LMC118" s="73"/>
      <c r="LMD118" s="73"/>
      <c r="LME118" s="73"/>
      <c r="LMF118" s="73"/>
      <c r="LMG118" s="73"/>
      <c r="LMH118" s="73"/>
      <c r="LMI118" s="73"/>
      <c r="LMJ118" s="73"/>
      <c r="LMK118" s="73"/>
      <c r="LML118" s="73"/>
      <c r="LMM118" s="73"/>
      <c r="LMN118" s="73"/>
      <c r="LMO118" s="73"/>
      <c r="LMP118" s="73"/>
      <c r="LMQ118" s="73"/>
      <c r="LMR118" s="73"/>
      <c r="LMS118" s="73"/>
      <c r="LMT118" s="73"/>
      <c r="LMU118" s="73"/>
      <c r="LMV118" s="73"/>
      <c r="LMW118" s="73"/>
      <c r="LMX118" s="73"/>
      <c r="LMY118" s="73"/>
      <c r="LMZ118" s="73"/>
      <c r="LNA118" s="73"/>
      <c r="LNB118" s="73"/>
      <c r="LNC118" s="73"/>
      <c r="LND118" s="73"/>
      <c r="LNE118" s="73"/>
      <c r="LNF118" s="73"/>
      <c r="LNG118" s="73"/>
      <c r="LNH118" s="73"/>
      <c r="LNI118" s="73"/>
      <c r="LNJ118" s="73"/>
      <c r="LNK118" s="73"/>
      <c r="LNL118" s="73"/>
      <c r="LNM118" s="73"/>
      <c r="LNN118" s="73"/>
      <c r="LNO118" s="73"/>
      <c r="LNP118" s="73"/>
      <c r="LNQ118" s="73"/>
      <c r="LNR118" s="73"/>
      <c r="LNS118" s="73"/>
      <c r="LNT118" s="73"/>
      <c r="LNU118" s="73"/>
      <c r="LNV118" s="73"/>
      <c r="LNW118" s="73"/>
      <c r="LNX118" s="73"/>
      <c r="LNY118" s="73"/>
      <c r="LNZ118" s="73"/>
      <c r="LOA118" s="73"/>
      <c r="LOB118" s="73"/>
      <c r="LOC118" s="73"/>
      <c r="LOD118" s="73"/>
      <c r="LOE118" s="73"/>
      <c r="LOF118" s="73"/>
      <c r="LOG118" s="73"/>
      <c r="LOH118" s="73"/>
      <c r="LOI118" s="73"/>
      <c r="LOJ118" s="73"/>
      <c r="LOK118" s="73"/>
      <c r="LOL118" s="73"/>
      <c r="LOM118" s="73"/>
      <c r="LON118" s="73"/>
      <c r="LOO118" s="73"/>
      <c r="LOP118" s="73"/>
      <c r="LOQ118" s="73"/>
      <c r="LOR118" s="73"/>
      <c r="LOS118" s="73"/>
      <c r="LOT118" s="73"/>
      <c r="LOU118" s="73"/>
      <c r="LOV118" s="73"/>
      <c r="LOW118" s="73"/>
      <c r="LOX118" s="73"/>
      <c r="LOY118" s="73"/>
      <c r="LOZ118" s="73"/>
      <c r="LPA118" s="73"/>
      <c r="LPB118" s="73"/>
      <c r="LPC118" s="73"/>
      <c r="LPD118" s="73"/>
      <c r="LPE118" s="73"/>
      <c r="LPF118" s="73"/>
      <c r="LPG118" s="73"/>
      <c r="LPH118" s="73"/>
      <c r="LPI118" s="73"/>
      <c r="LPJ118" s="73"/>
      <c r="LPK118" s="73"/>
      <c r="LPL118" s="73"/>
      <c r="LPM118" s="73"/>
      <c r="LPN118" s="73"/>
      <c r="LPO118" s="73"/>
      <c r="LPP118" s="73"/>
      <c r="LPQ118" s="73"/>
      <c r="LPR118" s="73"/>
      <c r="LPS118" s="73"/>
      <c r="LPT118" s="73"/>
      <c r="LPU118" s="73"/>
      <c r="LPV118" s="73"/>
      <c r="LPW118" s="73"/>
      <c r="LPX118" s="73"/>
      <c r="LPY118" s="73"/>
      <c r="LPZ118" s="73"/>
      <c r="LQA118" s="73"/>
      <c r="LQB118" s="73"/>
      <c r="LQC118" s="73"/>
      <c r="LQD118" s="73"/>
      <c r="LQE118" s="73"/>
      <c r="LQF118" s="73"/>
      <c r="LQG118" s="73"/>
      <c r="LQH118" s="73"/>
      <c r="LQI118" s="73"/>
      <c r="LQJ118" s="73"/>
      <c r="LQK118" s="73"/>
      <c r="LQL118" s="73"/>
      <c r="LQM118" s="73"/>
      <c r="LQN118" s="73"/>
      <c r="LQO118" s="73"/>
      <c r="LQP118" s="73"/>
      <c r="LQQ118" s="73"/>
      <c r="LQR118" s="73"/>
      <c r="LQS118" s="73"/>
      <c r="LQT118" s="73"/>
      <c r="LQU118" s="73"/>
      <c r="LQV118" s="73"/>
      <c r="LQW118" s="73"/>
      <c r="LQX118" s="73"/>
      <c r="LQY118" s="73"/>
      <c r="LQZ118" s="73"/>
      <c r="LRA118" s="73"/>
      <c r="LRB118" s="73"/>
      <c r="LRC118" s="73"/>
      <c r="LRD118" s="73"/>
      <c r="LRE118" s="73"/>
      <c r="LRF118" s="73"/>
      <c r="LRG118" s="73"/>
      <c r="LRH118" s="73"/>
      <c r="LRI118" s="73"/>
      <c r="LRJ118" s="73"/>
      <c r="LRK118" s="73"/>
      <c r="LRL118" s="73"/>
      <c r="LRM118" s="73"/>
      <c r="LRN118" s="73"/>
      <c r="LRO118" s="73"/>
      <c r="LRP118" s="73"/>
      <c r="LRQ118" s="73"/>
      <c r="LRR118" s="73"/>
      <c r="LRS118" s="73"/>
      <c r="LRT118" s="73"/>
      <c r="LRU118" s="73"/>
      <c r="LRV118" s="73"/>
      <c r="LRW118" s="73"/>
      <c r="LRX118" s="73"/>
      <c r="LRY118" s="73"/>
      <c r="LRZ118" s="73"/>
      <c r="LSA118" s="73"/>
      <c r="LSB118" s="73"/>
      <c r="LSC118" s="73"/>
      <c r="LSD118" s="73"/>
      <c r="LSE118" s="73"/>
      <c r="LSF118" s="73"/>
      <c r="LSG118" s="73"/>
      <c r="LSH118" s="73"/>
      <c r="LSI118" s="73"/>
      <c r="LSJ118" s="73"/>
      <c r="LSK118" s="73"/>
      <c r="LSL118" s="73"/>
      <c r="LSM118" s="73"/>
      <c r="LSN118" s="73"/>
      <c r="LSO118" s="73"/>
      <c r="LSP118" s="73"/>
      <c r="LSQ118" s="73"/>
      <c r="LSR118" s="73"/>
      <c r="LSS118" s="73"/>
      <c r="LST118" s="73"/>
      <c r="LSU118" s="73"/>
      <c r="LSV118" s="73"/>
      <c r="LSW118" s="73"/>
      <c r="LSX118" s="73"/>
      <c r="LSY118" s="73"/>
      <c r="LSZ118" s="73"/>
      <c r="LTA118" s="73"/>
      <c r="LTB118" s="73"/>
      <c r="LTC118" s="73"/>
      <c r="LTD118" s="73"/>
      <c r="LTE118" s="73"/>
      <c r="LTF118" s="73"/>
      <c r="LTG118" s="73"/>
      <c r="LTH118" s="73"/>
      <c r="LTI118" s="73"/>
      <c r="LTJ118" s="73"/>
      <c r="LTK118" s="73"/>
      <c r="LTL118" s="73"/>
      <c r="LTM118" s="73"/>
      <c r="LTN118" s="73"/>
      <c r="LTO118" s="73"/>
      <c r="LTP118" s="73"/>
      <c r="LTQ118" s="73"/>
      <c r="LTR118" s="73"/>
      <c r="LTS118" s="73"/>
      <c r="LTT118" s="73"/>
      <c r="LTU118" s="73"/>
      <c r="LTV118" s="73"/>
      <c r="LTW118" s="73"/>
      <c r="LTX118" s="73"/>
      <c r="LTY118" s="73"/>
      <c r="LTZ118" s="73"/>
      <c r="LUA118" s="73"/>
      <c r="LUB118" s="73"/>
      <c r="LUC118" s="73"/>
      <c r="LUD118" s="73"/>
      <c r="LUE118" s="73"/>
      <c r="LUF118" s="73"/>
      <c r="LUG118" s="73"/>
      <c r="LUH118" s="73"/>
      <c r="LUI118" s="73"/>
      <c r="LUJ118" s="73"/>
      <c r="LUK118" s="73"/>
      <c r="LUL118" s="73"/>
      <c r="LUM118" s="73"/>
      <c r="LUN118" s="73"/>
      <c r="LUO118" s="73"/>
      <c r="LUP118" s="73"/>
      <c r="LUQ118" s="73"/>
      <c r="LUR118" s="73"/>
      <c r="LUS118" s="73"/>
      <c r="LUT118" s="73"/>
      <c r="LUU118" s="73"/>
      <c r="LUV118" s="73"/>
      <c r="LUW118" s="73"/>
      <c r="LUX118" s="73"/>
      <c r="LUY118" s="73"/>
      <c r="LUZ118" s="73"/>
      <c r="LVA118" s="73"/>
      <c r="LVB118" s="73"/>
      <c r="LVC118" s="73"/>
      <c r="LVD118" s="73"/>
      <c r="LVE118" s="73"/>
      <c r="LVF118" s="73"/>
      <c r="LVG118" s="73"/>
      <c r="LVH118" s="73"/>
      <c r="LVI118" s="73"/>
      <c r="LVJ118" s="73"/>
      <c r="LVK118" s="73"/>
      <c r="LVL118" s="73"/>
      <c r="LVM118" s="73"/>
      <c r="LVN118" s="73"/>
      <c r="LVO118" s="73"/>
      <c r="LVP118" s="73"/>
      <c r="LVQ118" s="73"/>
      <c r="LVR118" s="73"/>
      <c r="LVS118" s="73"/>
      <c r="LVT118" s="73"/>
      <c r="LVU118" s="73"/>
      <c r="LVV118" s="73"/>
      <c r="LVW118" s="73"/>
      <c r="LVX118" s="73"/>
      <c r="LVY118" s="73"/>
      <c r="LVZ118" s="73"/>
      <c r="LWA118" s="73"/>
      <c r="LWB118" s="73"/>
      <c r="LWC118" s="73"/>
      <c r="LWD118" s="73"/>
      <c r="LWE118" s="73"/>
      <c r="LWF118" s="73"/>
      <c r="LWG118" s="73"/>
      <c r="LWH118" s="73"/>
      <c r="LWI118" s="73"/>
      <c r="LWJ118" s="73"/>
      <c r="LWK118" s="73"/>
      <c r="LWL118" s="73"/>
      <c r="LWM118" s="73"/>
      <c r="LWN118" s="73"/>
      <c r="LWO118" s="73"/>
      <c r="LWP118" s="73"/>
      <c r="LWQ118" s="73"/>
      <c r="LWR118" s="73"/>
      <c r="LWS118" s="73"/>
      <c r="LWT118" s="73"/>
      <c r="LWU118" s="73"/>
      <c r="LWV118" s="73"/>
      <c r="LWW118" s="73"/>
      <c r="LWX118" s="73"/>
      <c r="LWY118" s="73"/>
      <c r="LWZ118" s="73"/>
      <c r="LXA118" s="73"/>
      <c r="LXB118" s="73"/>
      <c r="LXC118" s="73"/>
      <c r="LXD118" s="73"/>
      <c r="LXE118" s="73"/>
      <c r="LXF118" s="73"/>
      <c r="LXG118" s="73"/>
      <c r="LXH118" s="73"/>
      <c r="LXI118" s="73"/>
      <c r="LXJ118" s="73"/>
      <c r="LXK118" s="73"/>
      <c r="LXL118" s="73"/>
      <c r="LXM118" s="73"/>
      <c r="LXN118" s="73"/>
      <c r="LXO118" s="73"/>
      <c r="LXP118" s="73"/>
      <c r="LXQ118" s="73"/>
      <c r="LXR118" s="73"/>
      <c r="LXS118" s="73"/>
      <c r="LXT118" s="73"/>
      <c r="LXU118" s="73"/>
      <c r="LXV118" s="73"/>
      <c r="LXW118" s="73"/>
      <c r="LXX118" s="73"/>
      <c r="LXY118" s="73"/>
      <c r="LXZ118" s="73"/>
      <c r="LYA118" s="73"/>
      <c r="LYB118" s="73"/>
      <c r="LYC118" s="73"/>
      <c r="LYD118" s="73"/>
      <c r="LYE118" s="73"/>
      <c r="LYF118" s="73"/>
      <c r="LYG118" s="73"/>
      <c r="LYH118" s="73"/>
      <c r="LYI118" s="73"/>
      <c r="LYJ118" s="73"/>
      <c r="LYK118" s="73"/>
      <c r="LYL118" s="73"/>
      <c r="LYM118" s="73"/>
      <c r="LYN118" s="73"/>
      <c r="LYO118" s="73"/>
      <c r="LYP118" s="73"/>
      <c r="LYQ118" s="73"/>
      <c r="LYR118" s="73"/>
      <c r="LYS118" s="73"/>
      <c r="LYT118" s="73"/>
      <c r="LYU118" s="73"/>
      <c r="LYV118" s="73"/>
      <c r="LYW118" s="73"/>
      <c r="LYX118" s="73"/>
      <c r="LYY118" s="73"/>
      <c r="LYZ118" s="73"/>
      <c r="LZA118" s="73"/>
      <c r="LZB118" s="73"/>
      <c r="LZC118" s="73"/>
      <c r="LZD118" s="73"/>
      <c r="LZE118" s="73"/>
      <c r="LZF118" s="73"/>
      <c r="LZG118" s="73"/>
      <c r="LZH118" s="73"/>
      <c r="LZI118" s="73"/>
      <c r="LZJ118" s="73"/>
      <c r="LZK118" s="73"/>
      <c r="LZL118" s="73"/>
      <c r="LZM118" s="73"/>
      <c r="LZN118" s="73"/>
      <c r="LZO118" s="73"/>
      <c r="LZP118" s="73"/>
      <c r="LZQ118" s="73"/>
      <c r="LZR118" s="73"/>
      <c r="LZS118" s="73"/>
      <c r="LZT118" s="73"/>
      <c r="LZU118" s="73"/>
      <c r="LZV118" s="73"/>
      <c r="LZW118" s="73"/>
      <c r="LZX118" s="73"/>
      <c r="LZY118" s="73"/>
      <c r="LZZ118" s="73"/>
      <c r="MAA118" s="73"/>
      <c r="MAB118" s="73"/>
      <c r="MAC118" s="73"/>
      <c r="MAD118" s="73"/>
      <c r="MAE118" s="73"/>
      <c r="MAF118" s="73"/>
      <c r="MAG118" s="73"/>
      <c r="MAH118" s="73"/>
      <c r="MAI118" s="73"/>
      <c r="MAJ118" s="73"/>
      <c r="MAK118" s="73"/>
      <c r="MAL118" s="73"/>
      <c r="MAM118" s="73"/>
      <c r="MAN118" s="73"/>
      <c r="MAO118" s="73"/>
      <c r="MAP118" s="73"/>
      <c r="MAQ118" s="73"/>
      <c r="MAR118" s="73"/>
      <c r="MAS118" s="73"/>
      <c r="MAT118" s="73"/>
      <c r="MAU118" s="73"/>
      <c r="MAV118" s="73"/>
      <c r="MAW118" s="73"/>
      <c r="MAX118" s="73"/>
      <c r="MAY118" s="73"/>
      <c r="MAZ118" s="73"/>
      <c r="MBA118" s="73"/>
      <c r="MBB118" s="73"/>
      <c r="MBC118" s="73"/>
      <c r="MBD118" s="73"/>
      <c r="MBE118" s="73"/>
      <c r="MBF118" s="73"/>
      <c r="MBG118" s="73"/>
      <c r="MBH118" s="73"/>
      <c r="MBI118" s="73"/>
      <c r="MBJ118" s="73"/>
      <c r="MBK118" s="73"/>
      <c r="MBL118" s="73"/>
      <c r="MBM118" s="73"/>
      <c r="MBN118" s="73"/>
      <c r="MBO118" s="73"/>
      <c r="MBP118" s="73"/>
      <c r="MBQ118" s="73"/>
      <c r="MBR118" s="73"/>
      <c r="MBS118" s="73"/>
      <c r="MBT118" s="73"/>
      <c r="MBU118" s="73"/>
      <c r="MBV118" s="73"/>
      <c r="MBW118" s="73"/>
      <c r="MBX118" s="73"/>
      <c r="MBY118" s="73"/>
      <c r="MBZ118" s="73"/>
      <c r="MCA118" s="73"/>
      <c r="MCB118" s="73"/>
      <c r="MCC118" s="73"/>
      <c r="MCD118" s="73"/>
      <c r="MCE118" s="73"/>
      <c r="MCF118" s="73"/>
      <c r="MCG118" s="73"/>
      <c r="MCH118" s="73"/>
      <c r="MCI118" s="73"/>
      <c r="MCJ118" s="73"/>
      <c r="MCK118" s="73"/>
      <c r="MCL118" s="73"/>
      <c r="MCM118" s="73"/>
      <c r="MCN118" s="73"/>
      <c r="MCO118" s="73"/>
      <c r="MCP118" s="73"/>
      <c r="MCQ118" s="73"/>
      <c r="MCR118" s="73"/>
      <c r="MCS118" s="73"/>
      <c r="MCT118" s="73"/>
      <c r="MCU118" s="73"/>
      <c r="MCV118" s="73"/>
      <c r="MCW118" s="73"/>
      <c r="MCX118" s="73"/>
      <c r="MCY118" s="73"/>
      <c r="MCZ118" s="73"/>
      <c r="MDA118" s="73"/>
      <c r="MDB118" s="73"/>
      <c r="MDC118" s="73"/>
      <c r="MDD118" s="73"/>
      <c r="MDE118" s="73"/>
      <c r="MDF118" s="73"/>
      <c r="MDG118" s="73"/>
      <c r="MDH118" s="73"/>
      <c r="MDI118" s="73"/>
      <c r="MDJ118" s="73"/>
      <c r="MDK118" s="73"/>
      <c r="MDL118" s="73"/>
      <c r="MDM118" s="73"/>
      <c r="MDN118" s="73"/>
      <c r="MDO118" s="73"/>
      <c r="MDP118" s="73"/>
      <c r="MDQ118" s="73"/>
      <c r="MDR118" s="73"/>
      <c r="MDS118" s="73"/>
      <c r="MDT118" s="73"/>
      <c r="MDU118" s="73"/>
      <c r="MDV118" s="73"/>
      <c r="MDW118" s="73"/>
      <c r="MDX118" s="73"/>
      <c r="MDY118" s="73"/>
      <c r="MDZ118" s="73"/>
      <c r="MEA118" s="73"/>
      <c r="MEB118" s="73"/>
      <c r="MEC118" s="73"/>
      <c r="MED118" s="73"/>
      <c r="MEE118" s="73"/>
      <c r="MEF118" s="73"/>
      <c r="MEG118" s="73"/>
      <c r="MEH118" s="73"/>
      <c r="MEI118" s="73"/>
      <c r="MEJ118" s="73"/>
      <c r="MEK118" s="73"/>
      <c r="MEL118" s="73"/>
      <c r="MEM118" s="73"/>
      <c r="MEN118" s="73"/>
      <c r="MEO118" s="73"/>
      <c r="MEP118" s="73"/>
      <c r="MEQ118" s="73"/>
      <c r="MER118" s="73"/>
      <c r="MES118" s="73"/>
      <c r="MET118" s="73"/>
      <c r="MEU118" s="73"/>
      <c r="MEV118" s="73"/>
      <c r="MEW118" s="73"/>
      <c r="MEX118" s="73"/>
      <c r="MEY118" s="73"/>
      <c r="MEZ118" s="73"/>
      <c r="MFA118" s="73"/>
      <c r="MFB118" s="73"/>
      <c r="MFC118" s="73"/>
      <c r="MFD118" s="73"/>
      <c r="MFE118" s="73"/>
      <c r="MFF118" s="73"/>
      <c r="MFG118" s="73"/>
      <c r="MFH118" s="73"/>
      <c r="MFI118" s="73"/>
      <c r="MFJ118" s="73"/>
      <c r="MFK118" s="73"/>
      <c r="MFL118" s="73"/>
      <c r="MFM118" s="73"/>
      <c r="MFN118" s="73"/>
      <c r="MFO118" s="73"/>
      <c r="MFP118" s="73"/>
      <c r="MFQ118" s="73"/>
      <c r="MFR118" s="73"/>
      <c r="MFS118" s="73"/>
      <c r="MFT118" s="73"/>
      <c r="MFU118" s="73"/>
      <c r="MFV118" s="73"/>
      <c r="MFW118" s="73"/>
      <c r="MFX118" s="73"/>
      <c r="MFY118" s="73"/>
      <c r="MFZ118" s="73"/>
      <c r="MGA118" s="73"/>
      <c r="MGB118" s="73"/>
      <c r="MGC118" s="73"/>
      <c r="MGD118" s="73"/>
      <c r="MGE118" s="73"/>
      <c r="MGF118" s="73"/>
      <c r="MGG118" s="73"/>
      <c r="MGH118" s="73"/>
      <c r="MGI118" s="73"/>
      <c r="MGJ118" s="73"/>
      <c r="MGK118" s="73"/>
      <c r="MGL118" s="73"/>
      <c r="MGM118" s="73"/>
      <c r="MGN118" s="73"/>
      <c r="MGO118" s="73"/>
      <c r="MGP118" s="73"/>
      <c r="MGQ118" s="73"/>
      <c r="MGR118" s="73"/>
      <c r="MGS118" s="73"/>
      <c r="MGT118" s="73"/>
      <c r="MGU118" s="73"/>
      <c r="MGV118" s="73"/>
      <c r="MGW118" s="73"/>
      <c r="MGX118" s="73"/>
      <c r="MGY118" s="73"/>
      <c r="MGZ118" s="73"/>
      <c r="MHA118" s="73"/>
      <c r="MHB118" s="73"/>
      <c r="MHC118" s="73"/>
      <c r="MHD118" s="73"/>
      <c r="MHE118" s="73"/>
      <c r="MHF118" s="73"/>
      <c r="MHG118" s="73"/>
      <c r="MHH118" s="73"/>
      <c r="MHI118" s="73"/>
      <c r="MHJ118" s="73"/>
      <c r="MHK118" s="73"/>
      <c r="MHL118" s="73"/>
      <c r="MHM118" s="73"/>
      <c r="MHN118" s="73"/>
      <c r="MHO118" s="73"/>
      <c r="MHP118" s="73"/>
      <c r="MHQ118" s="73"/>
      <c r="MHR118" s="73"/>
      <c r="MHS118" s="73"/>
      <c r="MHT118" s="73"/>
      <c r="MHU118" s="73"/>
      <c r="MHV118" s="73"/>
      <c r="MHW118" s="73"/>
      <c r="MHX118" s="73"/>
      <c r="MHY118" s="73"/>
      <c r="MHZ118" s="73"/>
      <c r="MIA118" s="73"/>
      <c r="MIB118" s="73"/>
      <c r="MIC118" s="73"/>
      <c r="MID118" s="73"/>
      <c r="MIE118" s="73"/>
      <c r="MIF118" s="73"/>
      <c r="MIG118" s="73"/>
      <c r="MIH118" s="73"/>
      <c r="MII118" s="73"/>
      <c r="MIJ118" s="73"/>
      <c r="MIK118" s="73"/>
      <c r="MIL118" s="73"/>
      <c r="MIM118" s="73"/>
      <c r="MIN118" s="73"/>
      <c r="MIO118" s="73"/>
      <c r="MIP118" s="73"/>
      <c r="MIQ118" s="73"/>
      <c r="MIR118" s="73"/>
      <c r="MIS118" s="73"/>
      <c r="MIT118" s="73"/>
      <c r="MIU118" s="73"/>
      <c r="MIV118" s="73"/>
      <c r="MIW118" s="73"/>
      <c r="MIX118" s="73"/>
      <c r="MIY118" s="73"/>
      <c r="MIZ118" s="73"/>
      <c r="MJA118" s="73"/>
      <c r="MJB118" s="73"/>
      <c r="MJC118" s="73"/>
      <c r="MJD118" s="73"/>
      <c r="MJE118" s="73"/>
      <c r="MJF118" s="73"/>
      <c r="MJG118" s="73"/>
      <c r="MJH118" s="73"/>
      <c r="MJI118" s="73"/>
      <c r="MJJ118" s="73"/>
      <c r="MJK118" s="73"/>
      <c r="MJL118" s="73"/>
      <c r="MJM118" s="73"/>
      <c r="MJN118" s="73"/>
      <c r="MJO118" s="73"/>
      <c r="MJP118" s="73"/>
      <c r="MJQ118" s="73"/>
      <c r="MJR118" s="73"/>
      <c r="MJS118" s="73"/>
      <c r="MJT118" s="73"/>
      <c r="MJU118" s="73"/>
      <c r="MJV118" s="73"/>
      <c r="MJW118" s="73"/>
      <c r="MJX118" s="73"/>
      <c r="MJY118" s="73"/>
      <c r="MJZ118" s="73"/>
      <c r="MKA118" s="73"/>
      <c r="MKB118" s="73"/>
      <c r="MKC118" s="73"/>
      <c r="MKD118" s="73"/>
      <c r="MKE118" s="73"/>
      <c r="MKF118" s="73"/>
      <c r="MKG118" s="73"/>
      <c r="MKH118" s="73"/>
      <c r="MKI118" s="73"/>
      <c r="MKJ118" s="73"/>
      <c r="MKK118" s="73"/>
      <c r="MKL118" s="73"/>
      <c r="MKM118" s="73"/>
      <c r="MKN118" s="73"/>
      <c r="MKO118" s="73"/>
      <c r="MKP118" s="73"/>
      <c r="MKQ118" s="73"/>
      <c r="MKR118" s="73"/>
      <c r="MKS118" s="73"/>
      <c r="MKT118" s="73"/>
      <c r="MKU118" s="73"/>
      <c r="MKV118" s="73"/>
      <c r="MKW118" s="73"/>
      <c r="MKX118" s="73"/>
      <c r="MKY118" s="73"/>
      <c r="MKZ118" s="73"/>
      <c r="MLA118" s="73"/>
      <c r="MLB118" s="73"/>
      <c r="MLC118" s="73"/>
      <c r="MLD118" s="73"/>
      <c r="MLE118" s="73"/>
      <c r="MLF118" s="73"/>
      <c r="MLG118" s="73"/>
      <c r="MLH118" s="73"/>
      <c r="MLI118" s="73"/>
      <c r="MLJ118" s="73"/>
      <c r="MLK118" s="73"/>
      <c r="MLL118" s="73"/>
      <c r="MLM118" s="73"/>
      <c r="MLN118" s="73"/>
      <c r="MLO118" s="73"/>
      <c r="MLP118" s="73"/>
      <c r="MLQ118" s="73"/>
      <c r="MLR118" s="73"/>
      <c r="MLS118" s="73"/>
      <c r="MLT118" s="73"/>
      <c r="MLU118" s="73"/>
      <c r="MLV118" s="73"/>
      <c r="MLW118" s="73"/>
      <c r="MLX118" s="73"/>
      <c r="MLY118" s="73"/>
      <c r="MLZ118" s="73"/>
      <c r="MMA118" s="73"/>
      <c r="MMB118" s="73"/>
      <c r="MMC118" s="73"/>
      <c r="MMD118" s="73"/>
      <c r="MME118" s="73"/>
      <c r="MMF118" s="73"/>
      <c r="MMG118" s="73"/>
      <c r="MMH118" s="73"/>
      <c r="MMI118" s="73"/>
      <c r="MMJ118" s="73"/>
      <c r="MMK118" s="73"/>
      <c r="MML118" s="73"/>
      <c r="MMM118" s="73"/>
      <c r="MMN118" s="73"/>
      <c r="MMO118" s="73"/>
      <c r="MMP118" s="73"/>
      <c r="MMQ118" s="73"/>
      <c r="MMR118" s="73"/>
      <c r="MMS118" s="73"/>
      <c r="MMT118" s="73"/>
      <c r="MMU118" s="73"/>
      <c r="MMV118" s="73"/>
      <c r="MMW118" s="73"/>
      <c r="MMX118" s="73"/>
      <c r="MMY118" s="73"/>
      <c r="MMZ118" s="73"/>
      <c r="MNA118" s="73"/>
      <c r="MNB118" s="73"/>
      <c r="MNC118" s="73"/>
      <c r="MND118" s="73"/>
      <c r="MNE118" s="73"/>
      <c r="MNF118" s="73"/>
      <c r="MNG118" s="73"/>
      <c r="MNH118" s="73"/>
      <c r="MNI118" s="73"/>
      <c r="MNJ118" s="73"/>
      <c r="MNK118" s="73"/>
      <c r="MNL118" s="73"/>
      <c r="MNM118" s="73"/>
      <c r="MNN118" s="73"/>
      <c r="MNO118" s="73"/>
      <c r="MNP118" s="73"/>
      <c r="MNQ118" s="73"/>
      <c r="MNR118" s="73"/>
      <c r="MNS118" s="73"/>
      <c r="MNT118" s="73"/>
      <c r="MNU118" s="73"/>
      <c r="MNV118" s="73"/>
      <c r="MNW118" s="73"/>
      <c r="MNX118" s="73"/>
      <c r="MNY118" s="73"/>
      <c r="MNZ118" s="73"/>
      <c r="MOA118" s="73"/>
      <c r="MOB118" s="73"/>
      <c r="MOC118" s="73"/>
      <c r="MOD118" s="73"/>
      <c r="MOE118" s="73"/>
      <c r="MOF118" s="73"/>
      <c r="MOG118" s="73"/>
      <c r="MOH118" s="73"/>
      <c r="MOI118" s="73"/>
      <c r="MOJ118" s="73"/>
      <c r="MOK118" s="73"/>
      <c r="MOL118" s="73"/>
      <c r="MOM118" s="73"/>
      <c r="MON118" s="73"/>
      <c r="MOO118" s="73"/>
      <c r="MOP118" s="73"/>
      <c r="MOQ118" s="73"/>
      <c r="MOR118" s="73"/>
      <c r="MOS118" s="73"/>
      <c r="MOT118" s="73"/>
      <c r="MOU118" s="73"/>
      <c r="MOV118" s="73"/>
      <c r="MOW118" s="73"/>
      <c r="MOX118" s="73"/>
      <c r="MOY118" s="73"/>
      <c r="MOZ118" s="73"/>
      <c r="MPA118" s="73"/>
      <c r="MPB118" s="73"/>
      <c r="MPC118" s="73"/>
      <c r="MPD118" s="73"/>
      <c r="MPE118" s="73"/>
      <c r="MPF118" s="73"/>
      <c r="MPG118" s="73"/>
      <c r="MPH118" s="73"/>
      <c r="MPI118" s="73"/>
      <c r="MPJ118" s="73"/>
      <c r="MPK118" s="73"/>
      <c r="MPL118" s="73"/>
      <c r="MPM118" s="73"/>
      <c r="MPN118" s="73"/>
      <c r="MPO118" s="73"/>
      <c r="MPP118" s="73"/>
      <c r="MPQ118" s="73"/>
      <c r="MPR118" s="73"/>
      <c r="MPS118" s="73"/>
      <c r="MPT118" s="73"/>
      <c r="MPU118" s="73"/>
      <c r="MPV118" s="73"/>
      <c r="MPW118" s="73"/>
      <c r="MPX118" s="73"/>
      <c r="MPY118" s="73"/>
      <c r="MPZ118" s="73"/>
      <c r="MQA118" s="73"/>
      <c r="MQB118" s="73"/>
      <c r="MQC118" s="73"/>
      <c r="MQD118" s="73"/>
      <c r="MQE118" s="73"/>
      <c r="MQF118" s="73"/>
      <c r="MQG118" s="73"/>
      <c r="MQH118" s="73"/>
      <c r="MQI118" s="73"/>
      <c r="MQJ118" s="73"/>
      <c r="MQK118" s="73"/>
      <c r="MQL118" s="73"/>
      <c r="MQM118" s="73"/>
      <c r="MQN118" s="73"/>
      <c r="MQO118" s="73"/>
      <c r="MQP118" s="73"/>
      <c r="MQQ118" s="73"/>
      <c r="MQR118" s="73"/>
      <c r="MQS118" s="73"/>
      <c r="MQT118" s="73"/>
      <c r="MQU118" s="73"/>
      <c r="MQV118" s="73"/>
      <c r="MQW118" s="73"/>
      <c r="MQX118" s="73"/>
      <c r="MQY118" s="73"/>
      <c r="MQZ118" s="73"/>
      <c r="MRA118" s="73"/>
      <c r="MRB118" s="73"/>
      <c r="MRC118" s="73"/>
      <c r="MRD118" s="73"/>
      <c r="MRE118" s="73"/>
      <c r="MRF118" s="73"/>
      <c r="MRG118" s="73"/>
      <c r="MRH118" s="73"/>
      <c r="MRI118" s="73"/>
      <c r="MRJ118" s="73"/>
      <c r="MRK118" s="73"/>
      <c r="MRL118" s="73"/>
      <c r="MRM118" s="73"/>
      <c r="MRN118" s="73"/>
      <c r="MRO118" s="73"/>
      <c r="MRP118" s="73"/>
      <c r="MRQ118" s="73"/>
      <c r="MRR118" s="73"/>
      <c r="MRS118" s="73"/>
      <c r="MRT118" s="73"/>
      <c r="MRU118" s="73"/>
      <c r="MRV118" s="73"/>
      <c r="MRW118" s="73"/>
      <c r="MRX118" s="73"/>
      <c r="MRY118" s="73"/>
      <c r="MRZ118" s="73"/>
      <c r="MSA118" s="73"/>
      <c r="MSB118" s="73"/>
      <c r="MSC118" s="73"/>
      <c r="MSD118" s="73"/>
      <c r="MSE118" s="73"/>
      <c r="MSF118" s="73"/>
      <c r="MSG118" s="73"/>
      <c r="MSH118" s="73"/>
      <c r="MSI118" s="73"/>
      <c r="MSJ118" s="73"/>
      <c r="MSK118" s="73"/>
      <c r="MSL118" s="73"/>
      <c r="MSM118" s="73"/>
      <c r="MSN118" s="73"/>
      <c r="MSO118" s="73"/>
      <c r="MSP118" s="73"/>
      <c r="MSQ118" s="73"/>
      <c r="MSR118" s="73"/>
      <c r="MSS118" s="73"/>
      <c r="MST118" s="73"/>
      <c r="MSU118" s="73"/>
      <c r="MSV118" s="73"/>
      <c r="MSW118" s="73"/>
      <c r="MSX118" s="73"/>
      <c r="MSY118" s="73"/>
      <c r="MSZ118" s="73"/>
      <c r="MTA118" s="73"/>
      <c r="MTB118" s="73"/>
      <c r="MTC118" s="73"/>
      <c r="MTD118" s="73"/>
      <c r="MTE118" s="73"/>
      <c r="MTF118" s="73"/>
      <c r="MTG118" s="73"/>
      <c r="MTH118" s="73"/>
      <c r="MTI118" s="73"/>
      <c r="MTJ118" s="73"/>
      <c r="MTK118" s="73"/>
      <c r="MTL118" s="73"/>
      <c r="MTM118" s="73"/>
      <c r="MTN118" s="73"/>
      <c r="MTO118" s="73"/>
      <c r="MTP118" s="73"/>
      <c r="MTQ118" s="73"/>
      <c r="MTR118" s="73"/>
      <c r="MTS118" s="73"/>
      <c r="MTT118" s="73"/>
      <c r="MTU118" s="73"/>
      <c r="MTV118" s="73"/>
      <c r="MTW118" s="73"/>
      <c r="MTX118" s="73"/>
      <c r="MTY118" s="73"/>
      <c r="MTZ118" s="73"/>
      <c r="MUA118" s="73"/>
      <c r="MUB118" s="73"/>
      <c r="MUC118" s="73"/>
      <c r="MUD118" s="73"/>
      <c r="MUE118" s="73"/>
      <c r="MUF118" s="73"/>
      <c r="MUG118" s="73"/>
      <c r="MUH118" s="73"/>
      <c r="MUI118" s="73"/>
      <c r="MUJ118" s="73"/>
      <c r="MUK118" s="73"/>
      <c r="MUL118" s="73"/>
      <c r="MUM118" s="73"/>
      <c r="MUN118" s="73"/>
      <c r="MUO118" s="73"/>
      <c r="MUP118" s="73"/>
      <c r="MUQ118" s="73"/>
      <c r="MUR118" s="73"/>
      <c r="MUS118" s="73"/>
      <c r="MUT118" s="73"/>
      <c r="MUU118" s="73"/>
      <c r="MUV118" s="73"/>
      <c r="MUW118" s="73"/>
      <c r="MUX118" s="73"/>
      <c r="MUY118" s="73"/>
      <c r="MUZ118" s="73"/>
      <c r="MVA118" s="73"/>
      <c r="MVB118" s="73"/>
      <c r="MVC118" s="73"/>
      <c r="MVD118" s="73"/>
      <c r="MVE118" s="73"/>
      <c r="MVF118" s="73"/>
      <c r="MVG118" s="73"/>
      <c r="MVH118" s="73"/>
      <c r="MVI118" s="73"/>
      <c r="MVJ118" s="73"/>
      <c r="MVK118" s="73"/>
      <c r="MVL118" s="73"/>
      <c r="MVM118" s="73"/>
      <c r="MVN118" s="73"/>
      <c r="MVO118" s="73"/>
      <c r="MVP118" s="73"/>
      <c r="MVQ118" s="73"/>
      <c r="MVR118" s="73"/>
      <c r="MVS118" s="73"/>
      <c r="MVT118" s="73"/>
      <c r="MVU118" s="73"/>
      <c r="MVV118" s="73"/>
      <c r="MVW118" s="73"/>
      <c r="MVX118" s="73"/>
      <c r="MVY118" s="73"/>
      <c r="MVZ118" s="73"/>
      <c r="MWA118" s="73"/>
      <c r="MWB118" s="73"/>
      <c r="MWC118" s="73"/>
      <c r="MWD118" s="73"/>
      <c r="MWE118" s="73"/>
      <c r="MWF118" s="73"/>
      <c r="MWG118" s="73"/>
      <c r="MWH118" s="73"/>
      <c r="MWI118" s="73"/>
      <c r="MWJ118" s="73"/>
      <c r="MWK118" s="73"/>
      <c r="MWL118" s="73"/>
      <c r="MWM118" s="73"/>
      <c r="MWN118" s="73"/>
      <c r="MWO118" s="73"/>
      <c r="MWP118" s="73"/>
      <c r="MWQ118" s="73"/>
      <c r="MWR118" s="73"/>
      <c r="MWS118" s="73"/>
      <c r="MWT118" s="73"/>
      <c r="MWU118" s="73"/>
      <c r="MWV118" s="73"/>
      <c r="MWW118" s="73"/>
      <c r="MWX118" s="73"/>
      <c r="MWY118" s="73"/>
      <c r="MWZ118" s="73"/>
      <c r="MXA118" s="73"/>
      <c r="MXB118" s="73"/>
      <c r="MXC118" s="73"/>
      <c r="MXD118" s="73"/>
      <c r="MXE118" s="73"/>
      <c r="MXF118" s="73"/>
      <c r="MXG118" s="73"/>
      <c r="MXH118" s="73"/>
      <c r="MXI118" s="73"/>
      <c r="MXJ118" s="73"/>
      <c r="MXK118" s="73"/>
      <c r="MXL118" s="73"/>
      <c r="MXM118" s="73"/>
      <c r="MXN118" s="73"/>
      <c r="MXO118" s="73"/>
      <c r="MXP118" s="73"/>
      <c r="MXQ118" s="73"/>
      <c r="MXR118" s="73"/>
      <c r="MXS118" s="73"/>
      <c r="MXT118" s="73"/>
      <c r="MXU118" s="73"/>
      <c r="MXV118" s="73"/>
      <c r="MXW118" s="73"/>
      <c r="MXX118" s="73"/>
      <c r="MXY118" s="73"/>
      <c r="MXZ118" s="73"/>
      <c r="MYA118" s="73"/>
      <c r="MYB118" s="73"/>
      <c r="MYC118" s="73"/>
      <c r="MYD118" s="73"/>
      <c r="MYE118" s="73"/>
      <c r="MYF118" s="73"/>
      <c r="MYG118" s="73"/>
      <c r="MYH118" s="73"/>
      <c r="MYI118" s="73"/>
      <c r="MYJ118" s="73"/>
      <c r="MYK118" s="73"/>
      <c r="MYL118" s="73"/>
      <c r="MYM118" s="73"/>
      <c r="MYN118" s="73"/>
      <c r="MYO118" s="73"/>
      <c r="MYP118" s="73"/>
      <c r="MYQ118" s="73"/>
      <c r="MYR118" s="73"/>
      <c r="MYS118" s="73"/>
      <c r="MYT118" s="73"/>
      <c r="MYU118" s="73"/>
      <c r="MYV118" s="73"/>
      <c r="MYW118" s="73"/>
      <c r="MYX118" s="73"/>
      <c r="MYY118" s="73"/>
      <c r="MYZ118" s="73"/>
      <c r="MZA118" s="73"/>
      <c r="MZB118" s="73"/>
      <c r="MZC118" s="73"/>
      <c r="MZD118" s="73"/>
      <c r="MZE118" s="73"/>
      <c r="MZF118" s="73"/>
      <c r="MZG118" s="73"/>
      <c r="MZH118" s="73"/>
      <c r="MZI118" s="73"/>
      <c r="MZJ118" s="73"/>
      <c r="MZK118" s="73"/>
      <c r="MZL118" s="73"/>
      <c r="MZM118" s="73"/>
      <c r="MZN118" s="73"/>
      <c r="MZO118" s="73"/>
      <c r="MZP118" s="73"/>
      <c r="MZQ118" s="73"/>
      <c r="MZR118" s="73"/>
      <c r="MZS118" s="73"/>
      <c r="MZT118" s="73"/>
      <c r="MZU118" s="73"/>
      <c r="MZV118" s="73"/>
      <c r="MZW118" s="73"/>
      <c r="MZX118" s="73"/>
      <c r="MZY118" s="73"/>
      <c r="MZZ118" s="73"/>
      <c r="NAA118" s="73"/>
      <c r="NAB118" s="73"/>
      <c r="NAC118" s="73"/>
      <c r="NAD118" s="73"/>
      <c r="NAE118" s="73"/>
      <c r="NAF118" s="73"/>
      <c r="NAG118" s="73"/>
      <c r="NAH118" s="73"/>
      <c r="NAI118" s="73"/>
      <c r="NAJ118" s="73"/>
      <c r="NAK118" s="73"/>
      <c r="NAL118" s="73"/>
      <c r="NAM118" s="73"/>
      <c r="NAN118" s="73"/>
      <c r="NAO118" s="73"/>
      <c r="NAP118" s="73"/>
      <c r="NAQ118" s="73"/>
      <c r="NAR118" s="73"/>
      <c r="NAS118" s="73"/>
      <c r="NAT118" s="73"/>
      <c r="NAU118" s="73"/>
      <c r="NAV118" s="73"/>
      <c r="NAW118" s="73"/>
      <c r="NAX118" s="73"/>
      <c r="NAY118" s="73"/>
      <c r="NAZ118" s="73"/>
      <c r="NBA118" s="73"/>
      <c r="NBB118" s="73"/>
      <c r="NBC118" s="73"/>
      <c r="NBD118" s="73"/>
      <c r="NBE118" s="73"/>
      <c r="NBF118" s="73"/>
      <c r="NBG118" s="73"/>
      <c r="NBH118" s="73"/>
      <c r="NBI118" s="73"/>
      <c r="NBJ118" s="73"/>
      <c r="NBK118" s="73"/>
      <c r="NBL118" s="73"/>
      <c r="NBM118" s="73"/>
      <c r="NBN118" s="73"/>
      <c r="NBO118" s="73"/>
      <c r="NBP118" s="73"/>
      <c r="NBQ118" s="73"/>
      <c r="NBR118" s="73"/>
      <c r="NBS118" s="73"/>
      <c r="NBT118" s="73"/>
      <c r="NBU118" s="73"/>
      <c r="NBV118" s="73"/>
      <c r="NBW118" s="73"/>
      <c r="NBX118" s="73"/>
      <c r="NBY118" s="73"/>
      <c r="NBZ118" s="73"/>
      <c r="NCA118" s="73"/>
      <c r="NCB118" s="73"/>
      <c r="NCC118" s="73"/>
      <c r="NCD118" s="73"/>
      <c r="NCE118" s="73"/>
      <c r="NCF118" s="73"/>
      <c r="NCG118" s="73"/>
      <c r="NCH118" s="73"/>
      <c r="NCI118" s="73"/>
      <c r="NCJ118" s="73"/>
      <c r="NCK118" s="73"/>
      <c r="NCL118" s="73"/>
      <c r="NCM118" s="73"/>
      <c r="NCN118" s="73"/>
      <c r="NCO118" s="73"/>
      <c r="NCP118" s="73"/>
      <c r="NCQ118" s="73"/>
      <c r="NCR118" s="73"/>
      <c r="NCS118" s="73"/>
      <c r="NCT118" s="73"/>
      <c r="NCU118" s="73"/>
      <c r="NCV118" s="73"/>
      <c r="NCW118" s="73"/>
      <c r="NCX118" s="73"/>
      <c r="NCY118" s="73"/>
      <c r="NCZ118" s="73"/>
      <c r="NDA118" s="73"/>
      <c r="NDB118" s="73"/>
      <c r="NDC118" s="73"/>
      <c r="NDD118" s="73"/>
      <c r="NDE118" s="73"/>
      <c r="NDF118" s="73"/>
      <c r="NDG118" s="73"/>
      <c r="NDH118" s="73"/>
      <c r="NDI118" s="73"/>
      <c r="NDJ118" s="73"/>
      <c r="NDK118" s="73"/>
      <c r="NDL118" s="73"/>
      <c r="NDM118" s="73"/>
      <c r="NDN118" s="73"/>
      <c r="NDO118" s="73"/>
      <c r="NDP118" s="73"/>
      <c r="NDQ118" s="73"/>
      <c r="NDR118" s="73"/>
      <c r="NDS118" s="73"/>
      <c r="NDT118" s="73"/>
      <c r="NDU118" s="73"/>
      <c r="NDV118" s="73"/>
      <c r="NDW118" s="73"/>
      <c r="NDX118" s="73"/>
      <c r="NDY118" s="73"/>
      <c r="NDZ118" s="73"/>
      <c r="NEA118" s="73"/>
      <c r="NEB118" s="73"/>
      <c r="NEC118" s="73"/>
      <c r="NED118" s="73"/>
      <c r="NEE118" s="73"/>
      <c r="NEF118" s="73"/>
      <c r="NEG118" s="73"/>
      <c r="NEH118" s="73"/>
      <c r="NEI118" s="73"/>
      <c r="NEJ118" s="73"/>
      <c r="NEK118" s="73"/>
      <c r="NEL118" s="73"/>
      <c r="NEM118" s="73"/>
      <c r="NEN118" s="73"/>
      <c r="NEO118" s="73"/>
      <c r="NEP118" s="73"/>
      <c r="NEQ118" s="73"/>
      <c r="NER118" s="73"/>
      <c r="NES118" s="73"/>
      <c r="NET118" s="73"/>
      <c r="NEU118" s="73"/>
      <c r="NEV118" s="73"/>
      <c r="NEW118" s="73"/>
      <c r="NEX118" s="73"/>
      <c r="NEY118" s="73"/>
      <c r="NEZ118" s="73"/>
      <c r="NFA118" s="73"/>
      <c r="NFB118" s="73"/>
      <c r="NFC118" s="73"/>
      <c r="NFD118" s="73"/>
      <c r="NFE118" s="73"/>
      <c r="NFF118" s="73"/>
      <c r="NFG118" s="73"/>
      <c r="NFH118" s="73"/>
      <c r="NFI118" s="73"/>
      <c r="NFJ118" s="73"/>
      <c r="NFK118" s="73"/>
      <c r="NFL118" s="73"/>
      <c r="NFM118" s="73"/>
      <c r="NFN118" s="73"/>
      <c r="NFO118" s="73"/>
      <c r="NFP118" s="73"/>
      <c r="NFQ118" s="73"/>
      <c r="NFR118" s="73"/>
      <c r="NFS118" s="73"/>
      <c r="NFT118" s="73"/>
      <c r="NFU118" s="73"/>
      <c r="NFV118" s="73"/>
      <c r="NFW118" s="73"/>
      <c r="NFX118" s="73"/>
      <c r="NFY118" s="73"/>
      <c r="NFZ118" s="73"/>
      <c r="NGA118" s="73"/>
      <c r="NGB118" s="73"/>
      <c r="NGC118" s="73"/>
      <c r="NGD118" s="73"/>
      <c r="NGE118" s="73"/>
      <c r="NGF118" s="73"/>
      <c r="NGG118" s="73"/>
      <c r="NGH118" s="73"/>
      <c r="NGI118" s="73"/>
      <c r="NGJ118" s="73"/>
      <c r="NGK118" s="73"/>
      <c r="NGL118" s="73"/>
      <c r="NGM118" s="73"/>
      <c r="NGN118" s="73"/>
      <c r="NGO118" s="73"/>
      <c r="NGP118" s="73"/>
      <c r="NGQ118" s="73"/>
      <c r="NGR118" s="73"/>
      <c r="NGS118" s="73"/>
      <c r="NGT118" s="73"/>
      <c r="NGU118" s="73"/>
      <c r="NGV118" s="73"/>
      <c r="NGW118" s="73"/>
      <c r="NGX118" s="73"/>
      <c r="NGY118" s="73"/>
      <c r="NGZ118" s="73"/>
      <c r="NHA118" s="73"/>
      <c r="NHB118" s="73"/>
      <c r="NHC118" s="73"/>
      <c r="NHD118" s="73"/>
      <c r="NHE118" s="73"/>
      <c r="NHF118" s="73"/>
      <c r="NHG118" s="73"/>
      <c r="NHH118" s="73"/>
      <c r="NHI118" s="73"/>
      <c r="NHJ118" s="73"/>
      <c r="NHK118" s="73"/>
      <c r="NHL118" s="73"/>
      <c r="NHM118" s="73"/>
      <c r="NHN118" s="73"/>
      <c r="NHO118" s="73"/>
      <c r="NHP118" s="73"/>
      <c r="NHQ118" s="73"/>
      <c r="NHR118" s="73"/>
      <c r="NHS118" s="73"/>
      <c r="NHT118" s="73"/>
      <c r="NHU118" s="73"/>
      <c r="NHV118" s="73"/>
      <c r="NHW118" s="73"/>
      <c r="NHX118" s="73"/>
      <c r="NHY118" s="73"/>
      <c r="NHZ118" s="73"/>
      <c r="NIA118" s="73"/>
      <c r="NIB118" s="73"/>
      <c r="NIC118" s="73"/>
      <c r="NID118" s="73"/>
      <c r="NIE118" s="73"/>
      <c r="NIF118" s="73"/>
      <c r="NIG118" s="73"/>
      <c r="NIH118" s="73"/>
      <c r="NII118" s="73"/>
      <c r="NIJ118" s="73"/>
      <c r="NIK118" s="73"/>
      <c r="NIL118" s="73"/>
      <c r="NIM118" s="73"/>
      <c r="NIN118" s="73"/>
      <c r="NIO118" s="73"/>
      <c r="NIP118" s="73"/>
      <c r="NIQ118" s="73"/>
      <c r="NIR118" s="73"/>
      <c r="NIS118" s="73"/>
      <c r="NIT118" s="73"/>
      <c r="NIU118" s="73"/>
      <c r="NIV118" s="73"/>
      <c r="NIW118" s="73"/>
      <c r="NIX118" s="73"/>
      <c r="NIY118" s="73"/>
      <c r="NIZ118" s="73"/>
      <c r="NJA118" s="73"/>
      <c r="NJB118" s="73"/>
      <c r="NJC118" s="73"/>
      <c r="NJD118" s="73"/>
      <c r="NJE118" s="73"/>
      <c r="NJF118" s="73"/>
      <c r="NJG118" s="73"/>
      <c r="NJH118" s="73"/>
      <c r="NJI118" s="73"/>
      <c r="NJJ118" s="73"/>
      <c r="NJK118" s="73"/>
      <c r="NJL118" s="73"/>
      <c r="NJM118" s="73"/>
      <c r="NJN118" s="73"/>
      <c r="NJO118" s="73"/>
      <c r="NJP118" s="73"/>
      <c r="NJQ118" s="73"/>
      <c r="NJR118" s="73"/>
      <c r="NJS118" s="73"/>
      <c r="NJT118" s="73"/>
      <c r="NJU118" s="73"/>
      <c r="NJV118" s="73"/>
      <c r="NJW118" s="73"/>
      <c r="NJX118" s="73"/>
      <c r="NJY118" s="73"/>
      <c r="NJZ118" s="73"/>
      <c r="NKA118" s="73"/>
      <c r="NKB118" s="73"/>
      <c r="NKC118" s="73"/>
      <c r="NKD118" s="73"/>
      <c r="NKE118" s="73"/>
      <c r="NKF118" s="73"/>
      <c r="NKG118" s="73"/>
      <c r="NKH118" s="73"/>
      <c r="NKI118" s="73"/>
      <c r="NKJ118" s="73"/>
      <c r="NKK118" s="73"/>
      <c r="NKL118" s="73"/>
      <c r="NKM118" s="73"/>
      <c r="NKN118" s="73"/>
      <c r="NKO118" s="73"/>
      <c r="NKP118" s="73"/>
      <c r="NKQ118" s="73"/>
      <c r="NKR118" s="73"/>
      <c r="NKS118" s="73"/>
      <c r="NKT118" s="73"/>
      <c r="NKU118" s="73"/>
      <c r="NKV118" s="73"/>
      <c r="NKW118" s="73"/>
      <c r="NKX118" s="73"/>
      <c r="NKY118" s="73"/>
      <c r="NKZ118" s="73"/>
      <c r="NLA118" s="73"/>
      <c r="NLB118" s="73"/>
      <c r="NLC118" s="73"/>
      <c r="NLD118" s="73"/>
      <c r="NLE118" s="73"/>
      <c r="NLF118" s="73"/>
      <c r="NLG118" s="73"/>
      <c r="NLH118" s="73"/>
      <c r="NLI118" s="73"/>
      <c r="NLJ118" s="73"/>
      <c r="NLK118" s="73"/>
      <c r="NLL118" s="73"/>
      <c r="NLM118" s="73"/>
      <c r="NLN118" s="73"/>
      <c r="NLO118" s="73"/>
      <c r="NLP118" s="73"/>
      <c r="NLQ118" s="73"/>
      <c r="NLR118" s="73"/>
      <c r="NLS118" s="73"/>
      <c r="NLT118" s="73"/>
      <c r="NLU118" s="73"/>
      <c r="NLV118" s="73"/>
      <c r="NLW118" s="73"/>
      <c r="NLX118" s="73"/>
      <c r="NLY118" s="73"/>
      <c r="NLZ118" s="73"/>
      <c r="NMA118" s="73"/>
      <c r="NMB118" s="73"/>
      <c r="NMC118" s="73"/>
      <c r="NMD118" s="73"/>
      <c r="NME118" s="73"/>
      <c r="NMF118" s="73"/>
      <c r="NMG118" s="73"/>
      <c r="NMH118" s="73"/>
      <c r="NMI118" s="73"/>
      <c r="NMJ118" s="73"/>
      <c r="NMK118" s="73"/>
      <c r="NML118" s="73"/>
      <c r="NMM118" s="73"/>
      <c r="NMN118" s="73"/>
      <c r="NMO118" s="73"/>
      <c r="NMP118" s="73"/>
      <c r="NMQ118" s="73"/>
      <c r="NMR118" s="73"/>
      <c r="NMS118" s="73"/>
      <c r="NMT118" s="73"/>
      <c r="NMU118" s="73"/>
      <c r="NMV118" s="73"/>
      <c r="NMW118" s="73"/>
      <c r="NMX118" s="73"/>
      <c r="NMY118" s="73"/>
      <c r="NMZ118" s="73"/>
      <c r="NNA118" s="73"/>
      <c r="NNB118" s="73"/>
      <c r="NNC118" s="73"/>
      <c r="NND118" s="73"/>
      <c r="NNE118" s="73"/>
      <c r="NNF118" s="73"/>
      <c r="NNG118" s="73"/>
      <c r="NNH118" s="73"/>
      <c r="NNI118" s="73"/>
      <c r="NNJ118" s="73"/>
      <c r="NNK118" s="73"/>
      <c r="NNL118" s="73"/>
      <c r="NNM118" s="73"/>
      <c r="NNN118" s="73"/>
      <c r="NNO118" s="73"/>
      <c r="NNP118" s="73"/>
      <c r="NNQ118" s="73"/>
      <c r="NNR118" s="73"/>
      <c r="NNS118" s="73"/>
      <c r="NNT118" s="73"/>
      <c r="NNU118" s="73"/>
      <c r="NNV118" s="73"/>
      <c r="NNW118" s="73"/>
      <c r="NNX118" s="73"/>
      <c r="NNY118" s="73"/>
      <c r="NNZ118" s="73"/>
      <c r="NOA118" s="73"/>
      <c r="NOB118" s="73"/>
      <c r="NOC118" s="73"/>
      <c r="NOD118" s="73"/>
      <c r="NOE118" s="73"/>
      <c r="NOF118" s="73"/>
      <c r="NOG118" s="73"/>
      <c r="NOH118" s="73"/>
      <c r="NOI118" s="73"/>
      <c r="NOJ118" s="73"/>
      <c r="NOK118" s="73"/>
      <c r="NOL118" s="73"/>
      <c r="NOM118" s="73"/>
      <c r="NON118" s="73"/>
      <c r="NOO118" s="73"/>
      <c r="NOP118" s="73"/>
      <c r="NOQ118" s="73"/>
      <c r="NOR118" s="73"/>
      <c r="NOS118" s="73"/>
      <c r="NOT118" s="73"/>
      <c r="NOU118" s="73"/>
      <c r="NOV118" s="73"/>
      <c r="NOW118" s="73"/>
      <c r="NOX118" s="73"/>
      <c r="NOY118" s="73"/>
      <c r="NOZ118" s="73"/>
      <c r="NPA118" s="73"/>
      <c r="NPB118" s="73"/>
      <c r="NPC118" s="73"/>
      <c r="NPD118" s="73"/>
      <c r="NPE118" s="73"/>
      <c r="NPF118" s="73"/>
      <c r="NPG118" s="73"/>
      <c r="NPH118" s="73"/>
      <c r="NPI118" s="73"/>
      <c r="NPJ118" s="73"/>
      <c r="NPK118" s="73"/>
      <c r="NPL118" s="73"/>
      <c r="NPM118" s="73"/>
      <c r="NPN118" s="73"/>
      <c r="NPO118" s="73"/>
      <c r="NPP118" s="73"/>
      <c r="NPQ118" s="73"/>
      <c r="NPR118" s="73"/>
      <c r="NPS118" s="73"/>
      <c r="NPT118" s="73"/>
      <c r="NPU118" s="73"/>
      <c r="NPV118" s="73"/>
      <c r="NPW118" s="73"/>
      <c r="NPX118" s="73"/>
      <c r="NPY118" s="73"/>
      <c r="NPZ118" s="73"/>
      <c r="NQA118" s="73"/>
      <c r="NQB118" s="73"/>
      <c r="NQC118" s="73"/>
      <c r="NQD118" s="73"/>
      <c r="NQE118" s="73"/>
      <c r="NQF118" s="73"/>
      <c r="NQG118" s="73"/>
      <c r="NQH118" s="73"/>
      <c r="NQI118" s="73"/>
      <c r="NQJ118" s="73"/>
      <c r="NQK118" s="73"/>
      <c r="NQL118" s="73"/>
      <c r="NQM118" s="73"/>
      <c r="NQN118" s="73"/>
      <c r="NQO118" s="73"/>
      <c r="NQP118" s="73"/>
      <c r="NQQ118" s="73"/>
      <c r="NQR118" s="73"/>
      <c r="NQS118" s="73"/>
      <c r="NQT118" s="73"/>
      <c r="NQU118" s="73"/>
      <c r="NQV118" s="73"/>
      <c r="NQW118" s="73"/>
      <c r="NQX118" s="73"/>
      <c r="NQY118" s="73"/>
      <c r="NQZ118" s="73"/>
      <c r="NRA118" s="73"/>
      <c r="NRB118" s="73"/>
      <c r="NRC118" s="73"/>
      <c r="NRD118" s="73"/>
      <c r="NRE118" s="73"/>
      <c r="NRF118" s="73"/>
      <c r="NRG118" s="73"/>
      <c r="NRH118" s="73"/>
      <c r="NRI118" s="73"/>
      <c r="NRJ118" s="73"/>
      <c r="NRK118" s="73"/>
      <c r="NRL118" s="73"/>
      <c r="NRM118" s="73"/>
      <c r="NRN118" s="73"/>
      <c r="NRO118" s="73"/>
      <c r="NRP118" s="73"/>
      <c r="NRQ118" s="73"/>
      <c r="NRR118" s="73"/>
      <c r="NRS118" s="73"/>
      <c r="NRT118" s="73"/>
      <c r="NRU118" s="73"/>
      <c r="NRV118" s="73"/>
      <c r="NRW118" s="73"/>
      <c r="NRX118" s="73"/>
      <c r="NRY118" s="73"/>
      <c r="NRZ118" s="73"/>
      <c r="NSA118" s="73"/>
      <c r="NSB118" s="73"/>
      <c r="NSC118" s="73"/>
      <c r="NSD118" s="73"/>
      <c r="NSE118" s="73"/>
      <c r="NSF118" s="73"/>
      <c r="NSG118" s="73"/>
      <c r="NSH118" s="73"/>
      <c r="NSI118" s="73"/>
      <c r="NSJ118" s="73"/>
      <c r="NSK118" s="73"/>
      <c r="NSL118" s="73"/>
      <c r="NSM118" s="73"/>
      <c r="NSN118" s="73"/>
      <c r="NSO118" s="73"/>
      <c r="NSP118" s="73"/>
      <c r="NSQ118" s="73"/>
      <c r="NSR118" s="73"/>
      <c r="NSS118" s="73"/>
      <c r="NST118" s="73"/>
      <c r="NSU118" s="73"/>
      <c r="NSV118" s="73"/>
      <c r="NSW118" s="73"/>
      <c r="NSX118" s="73"/>
      <c r="NSY118" s="73"/>
      <c r="NSZ118" s="73"/>
      <c r="NTA118" s="73"/>
      <c r="NTB118" s="73"/>
      <c r="NTC118" s="73"/>
      <c r="NTD118" s="73"/>
      <c r="NTE118" s="73"/>
      <c r="NTF118" s="73"/>
      <c r="NTG118" s="73"/>
      <c r="NTH118" s="73"/>
      <c r="NTI118" s="73"/>
      <c r="NTJ118" s="73"/>
      <c r="NTK118" s="73"/>
      <c r="NTL118" s="73"/>
      <c r="NTM118" s="73"/>
      <c r="NTN118" s="73"/>
      <c r="NTO118" s="73"/>
      <c r="NTP118" s="73"/>
      <c r="NTQ118" s="73"/>
      <c r="NTR118" s="73"/>
      <c r="NTS118" s="73"/>
      <c r="NTT118" s="73"/>
      <c r="NTU118" s="73"/>
      <c r="NTV118" s="73"/>
      <c r="NTW118" s="73"/>
      <c r="NTX118" s="73"/>
      <c r="NTY118" s="73"/>
      <c r="NTZ118" s="73"/>
      <c r="NUA118" s="73"/>
      <c r="NUB118" s="73"/>
      <c r="NUC118" s="73"/>
      <c r="NUD118" s="73"/>
      <c r="NUE118" s="73"/>
      <c r="NUF118" s="73"/>
      <c r="NUG118" s="73"/>
      <c r="NUH118" s="73"/>
      <c r="NUI118" s="73"/>
      <c r="NUJ118" s="73"/>
      <c r="NUK118" s="73"/>
      <c r="NUL118" s="73"/>
      <c r="NUM118" s="73"/>
      <c r="NUN118" s="73"/>
      <c r="NUO118" s="73"/>
      <c r="NUP118" s="73"/>
      <c r="NUQ118" s="73"/>
      <c r="NUR118" s="73"/>
      <c r="NUS118" s="73"/>
      <c r="NUT118" s="73"/>
      <c r="NUU118" s="73"/>
      <c r="NUV118" s="73"/>
      <c r="NUW118" s="73"/>
      <c r="NUX118" s="73"/>
      <c r="NUY118" s="73"/>
      <c r="NUZ118" s="73"/>
      <c r="NVA118" s="73"/>
      <c r="NVB118" s="73"/>
      <c r="NVC118" s="73"/>
      <c r="NVD118" s="73"/>
      <c r="NVE118" s="73"/>
      <c r="NVF118" s="73"/>
      <c r="NVG118" s="73"/>
      <c r="NVH118" s="73"/>
      <c r="NVI118" s="73"/>
      <c r="NVJ118" s="73"/>
      <c r="NVK118" s="73"/>
      <c r="NVL118" s="73"/>
      <c r="NVM118" s="73"/>
      <c r="NVN118" s="73"/>
      <c r="NVO118" s="73"/>
      <c r="NVP118" s="73"/>
      <c r="NVQ118" s="73"/>
      <c r="NVR118" s="73"/>
      <c r="NVS118" s="73"/>
      <c r="NVT118" s="73"/>
      <c r="NVU118" s="73"/>
      <c r="NVV118" s="73"/>
      <c r="NVW118" s="73"/>
      <c r="NVX118" s="73"/>
      <c r="NVY118" s="73"/>
      <c r="NVZ118" s="73"/>
      <c r="NWA118" s="73"/>
      <c r="NWB118" s="73"/>
      <c r="NWC118" s="73"/>
      <c r="NWD118" s="73"/>
      <c r="NWE118" s="73"/>
      <c r="NWF118" s="73"/>
      <c r="NWG118" s="73"/>
      <c r="NWH118" s="73"/>
      <c r="NWI118" s="73"/>
      <c r="NWJ118" s="73"/>
      <c r="NWK118" s="73"/>
      <c r="NWL118" s="73"/>
      <c r="NWM118" s="73"/>
      <c r="NWN118" s="73"/>
      <c r="NWO118" s="73"/>
      <c r="NWP118" s="73"/>
      <c r="NWQ118" s="73"/>
      <c r="NWR118" s="73"/>
      <c r="NWS118" s="73"/>
      <c r="NWT118" s="73"/>
      <c r="NWU118" s="73"/>
      <c r="NWV118" s="73"/>
      <c r="NWW118" s="73"/>
      <c r="NWX118" s="73"/>
      <c r="NWY118" s="73"/>
      <c r="NWZ118" s="73"/>
      <c r="NXA118" s="73"/>
      <c r="NXB118" s="73"/>
      <c r="NXC118" s="73"/>
      <c r="NXD118" s="73"/>
      <c r="NXE118" s="73"/>
      <c r="NXF118" s="73"/>
      <c r="NXG118" s="73"/>
      <c r="NXH118" s="73"/>
      <c r="NXI118" s="73"/>
      <c r="NXJ118" s="73"/>
      <c r="NXK118" s="73"/>
      <c r="NXL118" s="73"/>
      <c r="NXM118" s="73"/>
      <c r="NXN118" s="73"/>
      <c r="NXO118" s="73"/>
      <c r="NXP118" s="73"/>
      <c r="NXQ118" s="73"/>
      <c r="NXR118" s="73"/>
      <c r="NXS118" s="73"/>
      <c r="NXT118" s="73"/>
      <c r="NXU118" s="73"/>
      <c r="NXV118" s="73"/>
      <c r="NXW118" s="73"/>
      <c r="NXX118" s="73"/>
      <c r="NXY118" s="73"/>
      <c r="NXZ118" s="73"/>
      <c r="NYA118" s="73"/>
      <c r="NYB118" s="73"/>
      <c r="NYC118" s="73"/>
      <c r="NYD118" s="73"/>
      <c r="NYE118" s="73"/>
      <c r="NYF118" s="73"/>
      <c r="NYG118" s="73"/>
      <c r="NYH118" s="73"/>
      <c r="NYI118" s="73"/>
      <c r="NYJ118" s="73"/>
      <c r="NYK118" s="73"/>
      <c r="NYL118" s="73"/>
      <c r="NYM118" s="73"/>
      <c r="NYN118" s="73"/>
      <c r="NYO118" s="73"/>
      <c r="NYP118" s="73"/>
      <c r="NYQ118" s="73"/>
      <c r="NYR118" s="73"/>
      <c r="NYS118" s="73"/>
      <c r="NYT118" s="73"/>
      <c r="NYU118" s="73"/>
      <c r="NYV118" s="73"/>
      <c r="NYW118" s="73"/>
      <c r="NYX118" s="73"/>
      <c r="NYY118" s="73"/>
      <c r="NYZ118" s="73"/>
      <c r="NZA118" s="73"/>
      <c r="NZB118" s="73"/>
      <c r="NZC118" s="73"/>
      <c r="NZD118" s="73"/>
      <c r="NZE118" s="73"/>
      <c r="NZF118" s="73"/>
      <c r="NZG118" s="73"/>
      <c r="NZH118" s="73"/>
      <c r="NZI118" s="73"/>
      <c r="NZJ118" s="73"/>
      <c r="NZK118" s="73"/>
      <c r="NZL118" s="73"/>
      <c r="NZM118" s="73"/>
      <c r="NZN118" s="73"/>
      <c r="NZO118" s="73"/>
      <c r="NZP118" s="73"/>
      <c r="NZQ118" s="73"/>
      <c r="NZR118" s="73"/>
      <c r="NZS118" s="73"/>
      <c r="NZT118" s="73"/>
      <c r="NZU118" s="73"/>
      <c r="NZV118" s="73"/>
      <c r="NZW118" s="73"/>
      <c r="NZX118" s="73"/>
      <c r="NZY118" s="73"/>
      <c r="NZZ118" s="73"/>
      <c r="OAA118" s="73"/>
      <c r="OAB118" s="73"/>
      <c r="OAC118" s="73"/>
      <c r="OAD118" s="73"/>
      <c r="OAE118" s="73"/>
      <c r="OAF118" s="73"/>
      <c r="OAG118" s="73"/>
      <c r="OAH118" s="73"/>
      <c r="OAI118" s="73"/>
      <c r="OAJ118" s="73"/>
      <c r="OAK118" s="73"/>
      <c r="OAL118" s="73"/>
      <c r="OAM118" s="73"/>
      <c r="OAN118" s="73"/>
      <c r="OAO118" s="73"/>
      <c r="OAP118" s="73"/>
      <c r="OAQ118" s="73"/>
      <c r="OAR118" s="73"/>
      <c r="OAS118" s="73"/>
      <c r="OAT118" s="73"/>
      <c r="OAU118" s="73"/>
      <c r="OAV118" s="73"/>
      <c r="OAW118" s="73"/>
      <c r="OAX118" s="73"/>
      <c r="OAY118" s="73"/>
      <c r="OAZ118" s="73"/>
      <c r="OBA118" s="73"/>
      <c r="OBB118" s="73"/>
      <c r="OBC118" s="73"/>
      <c r="OBD118" s="73"/>
      <c r="OBE118" s="73"/>
      <c r="OBF118" s="73"/>
      <c r="OBG118" s="73"/>
      <c r="OBH118" s="73"/>
      <c r="OBI118" s="73"/>
      <c r="OBJ118" s="73"/>
      <c r="OBK118" s="73"/>
      <c r="OBL118" s="73"/>
      <c r="OBM118" s="73"/>
      <c r="OBN118" s="73"/>
      <c r="OBO118" s="73"/>
      <c r="OBP118" s="73"/>
      <c r="OBQ118" s="73"/>
      <c r="OBR118" s="73"/>
      <c r="OBS118" s="73"/>
      <c r="OBT118" s="73"/>
      <c r="OBU118" s="73"/>
      <c r="OBV118" s="73"/>
      <c r="OBW118" s="73"/>
      <c r="OBX118" s="73"/>
      <c r="OBY118" s="73"/>
      <c r="OBZ118" s="73"/>
      <c r="OCA118" s="73"/>
      <c r="OCB118" s="73"/>
      <c r="OCC118" s="73"/>
      <c r="OCD118" s="73"/>
      <c r="OCE118" s="73"/>
      <c r="OCF118" s="73"/>
      <c r="OCG118" s="73"/>
      <c r="OCH118" s="73"/>
      <c r="OCI118" s="73"/>
      <c r="OCJ118" s="73"/>
      <c r="OCK118" s="73"/>
      <c r="OCL118" s="73"/>
      <c r="OCM118" s="73"/>
      <c r="OCN118" s="73"/>
      <c r="OCO118" s="73"/>
      <c r="OCP118" s="73"/>
      <c r="OCQ118" s="73"/>
      <c r="OCR118" s="73"/>
      <c r="OCS118" s="73"/>
      <c r="OCT118" s="73"/>
      <c r="OCU118" s="73"/>
      <c r="OCV118" s="73"/>
      <c r="OCW118" s="73"/>
      <c r="OCX118" s="73"/>
      <c r="OCY118" s="73"/>
      <c r="OCZ118" s="73"/>
      <c r="ODA118" s="73"/>
      <c r="ODB118" s="73"/>
      <c r="ODC118" s="73"/>
      <c r="ODD118" s="73"/>
      <c r="ODE118" s="73"/>
      <c r="ODF118" s="73"/>
      <c r="ODG118" s="73"/>
      <c r="ODH118" s="73"/>
      <c r="ODI118" s="73"/>
      <c r="ODJ118" s="73"/>
      <c r="ODK118" s="73"/>
      <c r="ODL118" s="73"/>
      <c r="ODM118" s="73"/>
      <c r="ODN118" s="73"/>
      <c r="ODO118" s="73"/>
      <c r="ODP118" s="73"/>
      <c r="ODQ118" s="73"/>
      <c r="ODR118" s="73"/>
      <c r="ODS118" s="73"/>
      <c r="ODT118" s="73"/>
      <c r="ODU118" s="73"/>
      <c r="ODV118" s="73"/>
      <c r="ODW118" s="73"/>
      <c r="ODX118" s="73"/>
      <c r="ODY118" s="73"/>
      <c r="ODZ118" s="73"/>
      <c r="OEA118" s="73"/>
      <c r="OEB118" s="73"/>
      <c r="OEC118" s="73"/>
      <c r="OED118" s="73"/>
      <c r="OEE118" s="73"/>
      <c r="OEF118" s="73"/>
      <c r="OEG118" s="73"/>
      <c r="OEH118" s="73"/>
      <c r="OEI118" s="73"/>
      <c r="OEJ118" s="73"/>
      <c r="OEK118" s="73"/>
      <c r="OEL118" s="73"/>
      <c r="OEM118" s="73"/>
      <c r="OEN118" s="73"/>
      <c r="OEO118" s="73"/>
      <c r="OEP118" s="73"/>
      <c r="OEQ118" s="73"/>
      <c r="OER118" s="73"/>
      <c r="OES118" s="73"/>
      <c r="OET118" s="73"/>
      <c r="OEU118" s="73"/>
      <c r="OEV118" s="73"/>
      <c r="OEW118" s="73"/>
      <c r="OEX118" s="73"/>
      <c r="OEY118" s="73"/>
      <c r="OEZ118" s="73"/>
      <c r="OFA118" s="73"/>
      <c r="OFB118" s="73"/>
      <c r="OFC118" s="73"/>
      <c r="OFD118" s="73"/>
      <c r="OFE118" s="73"/>
      <c r="OFF118" s="73"/>
      <c r="OFG118" s="73"/>
      <c r="OFH118" s="73"/>
      <c r="OFI118" s="73"/>
      <c r="OFJ118" s="73"/>
      <c r="OFK118" s="73"/>
      <c r="OFL118" s="73"/>
      <c r="OFM118" s="73"/>
      <c r="OFN118" s="73"/>
      <c r="OFO118" s="73"/>
      <c r="OFP118" s="73"/>
      <c r="OFQ118" s="73"/>
      <c r="OFR118" s="73"/>
      <c r="OFS118" s="73"/>
      <c r="OFT118" s="73"/>
      <c r="OFU118" s="73"/>
      <c r="OFV118" s="73"/>
      <c r="OFW118" s="73"/>
      <c r="OFX118" s="73"/>
      <c r="OFY118" s="73"/>
      <c r="OFZ118" s="73"/>
      <c r="OGA118" s="73"/>
      <c r="OGB118" s="73"/>
      <c r="OGC118" s="73"/>
      <c r="OGD118" s="73"/>
      <c r="OGE118" s="73"/>
      <c r="OGF118" s="73"/>
      <c r="OGG118" s="73"/>
      <c r="OGH118" s="73"/>
      <c r="OGI118" s="73"/>
      <c r="OGJ118" s="73"/>
      <c r="OGK118" s="73"/>
      <c r="OGL118" s="73"/>
      <c r="OGM118" s="73"/>
      <c r="OGN118" s="73"/>
      <c r="OGO118" s="73"/>
      <c r="OGP118" s="73"/>
      <c r="OGQ118" s="73"/>
      <c r="OGR118" s="73"/>
      <c r="OGS118" s="73"/>
      <c r="OGT118" s="73"/>
      <c r="OGU118" s="73"/>
      <c r="OGV118" s="73"/>
      <c r="OGW118" s="73"/>
      <c r="OGX118" s="73"/>
      <c r="OGY118" s="73"/>
      <c r="OGZ118" s="73"/>
      <c r="OHA118" s="73"/>
      <c r="OHB118" s="73"/>
      <c r="OHC118" s="73"/>
      <c r="OHD118" s="73"/>
      <c r="OHE118" s="73"/>
      <c r="OHF118" s="73"/>
      <c r="OHG118" s="73"/>
      <c r="OHH118" s="73"/>
      <c r="OHI118" s="73"/>
      <c r="OHJ118" s="73"/>
      <c r="OHK118" s="73"/>
      <c r="OHL118" s="73"/>
      <c r="OHM118" s="73"/>
      <c r="OHN118" s="73"/>
      <c r="OHO118" s="73"/>
      <c r="OHP118" s="73"/>
      <c r="OHQ118" s="73"/>
      <c r="OHR118" s="73"/>
      <c r="OHS118" s="73"/>
      <c r="OHT118" s="73"/>
      <c r="OHU118" s="73"/>
      <c r="OHV118" s="73"/>
      <c r="OHW118" s="73"/>
      <c r="OHX118" s="73"/>
      <c r="OHY118" s="73"/>
      <c r="OHZ118" s="73"/>
      <c r="OIA118" s="73"/>
      <c r="OIB118" s="73"/>
      <c r="OIC118" s="73"/>
      <c r="OID118" s="73"/>
      <c r="OIE118" s="73"/>
      <c r="OIF118" s="73"/>
      <c r="OIG118" s="73"/>
      <c r="OIH118" s="73"/>
      <c r="OII118" s="73"/>
      <c r="OIJ118" s="73"/>
      <c r="OIK118" s="73"/>
      <c r="OIL118" s="73"/>
      <c r="OIM118" s="73"/>
      <c r="OIN118" s="73"/>
      <c r="OIO118" s="73"/>
      <c r="OIP118" s="73"/>
      <c r="OIQ118" s="73"/>
      <c r="OIR118" s="73"/>
      <c r="OIS118" s="73"/>
      <c r="OIT118" s="73"/>
      <c r="OIU118" s="73"/>
      <c r="OIV118" s="73"/>
      <c r="OIW118" s="73"/>
      <c r="OIX118" s="73"/>
      <c r="OIY118" s="73"/>
      <c r="OIZ118" s="73"/>
      <c r="OJA118" s="73"/>
      <c r="OJB118" s="73"/>
      <c r="OJC118" s="73"/>
      <c r="OJD118" s="73"/>
      <c r="OJE118" s="73"/>
      <c r="OJF118" s="73"/>
      <c r="OJG118" s="73"/>
      <c r="OJH118" s="73"/>
      <c r="OJI118" s="73"/>
      <c r="OJJ118" s="73"/>
      <c r="OJK118" s="73"/>
      <c r="OJL118" s="73"/>
      <c r="OJM118" s="73"/>
      <c r="OJN118" s="73"/>
      <c r="OJO118" s="73"/>
      <c r="OJP118" s="73"/>
      <c r="OJQ118" s="73"/>
      <c r="OJR118" s="73"/>
      <c r="OJS118" s="73"/>
      <c r="OJT118" s="73"/>
      <c r="OJU118" s="73"/>
      <c r="OJV118" s="73"/>
      <c r="OJW118" s="73"/>
      <c r="OJX118" s="73"/>
      <c r="OJY118" s="73"/>
      <c r="OJZ118" s="73"/>
      <c r="OKA118" s="73"/>
      <c r="OKB118" s="73"/>
      <c r="OKC118" s="73"/>
      <c r="OKD118" s="73"/>
      <c r="OKE118" s="73"/>
      <c r="OKF118" s="73"/>
      <c r="OKG118" s="73"/>
      <c r="OKH118" s="73"/>
      <c r="OKI118" s="73"/>
      <c r="OKJ118" s="73"/>
      <c r="OKK118" s="73"/>
      <c r="OKL118" s="73"/>
      <c r="OKM118" s="73"/>
      <c r="OKN118" s="73"/>
      <c r="OKO118" s="73"/>
      <c r="OKP118" s="73"/>
      <c r="OKQ118" s="73"/>
      <c r="OKR118" s="73"/>
      <c r="OKS118" s="73"/>
      <c r="OKT118" s="73"/>
      <c r="OKU118" s="73"/>
      <c r="OKV118" s="73"/>
      <c r="OKW118" s="73"/>
      <c r="OKX118" s="73"/>
      <c r="OKY118" s="73"/>
      <c r="OKZ118" s="73"/>
      <c r="OLA118" s="73"/>
      <c r="OLB118" s="73"/>
      <c r="OLC118" s="73"/>
      <c r="OLD118" s="73"/>
      <c r="OLE118" s="73"/>
      <c r="OLF118" s="73"/>
      <c r="OLG118" s="73"/>
      <c r="OLH118" s="73"/>
      <c r="OLI118" s="73"/>
      <c r="OLJ118" s="73"/>
      <c r="OLK118" s="73"/>
      <c r="OLL118" s="73"/>
      <c r="OLM118" s="73"/>
      <c r="OLN118" s="73"/>
      <c r="OLO118" s="73"/>
      <c r="OLP118" s="73"/>
      <c r="OLQ118" s="73"/>
      <c r="OLR118" s="73"/>
      <c r="OLS118" s="73"/>
      <c r="OLT118" s="73"/>
      <c r="OLU118" s="73"/>
      <c r="OLV118" s="73"/>
      <c r="OLW118" s="73"/>
      <c r="OLX118" s="73"/>
      <c r="OLY118" s="73"/>
      <c r="OLZ118" s="73"/>
      <c r="OMA118" s="73"/>
      <c r="OMB118" s="73"/>
      <c r="OMC118" s="73"/>
      <c r="OMD118" s="73"/>
      <c r="OME118" s="73"/>
      <c r="OMF118" s="73"/>
      <c r="OMG118" s="73"/>
      <c r="OMH118" s="73"/>
      <c r="OMI118" s="73"/>
      <c r="OMJ118" s="73"/>
      <c r="OMK118" s="73"/>
      <c r="OML118" s="73"/>
      <c r="OMM118" s="73"/>
      <c r="OMN118" s="73"/>
      <c r="OMO118" s="73"/>
      <c r="OMP118" s="73"/>
      <c r="OMQ118" s="73"/>
      <c r="OMR118" s="73"/>
      <c r="OMS118" s="73"/>
      <c r="OMT118" s="73"/>
      <c r="OMU118" s="73"/>
      <c r="OMV118" s="73"/>
      <c r="OMW118" s="73"/>
      <c r="OMX118" s="73"/>
      <c r="OMY118" s="73"/>
      <c r="OMZ118" s="73"/>
      <c r="ONA118" s="73"/>
      <c r="ONB118" s="73"/>
      <c r="ONC118" s="73"/>
      <c r="OND118" s="73"/>
      <c r="ONE118" s="73"/>
      <c r="ONF118" s="73"/>
      <c r="ONG118" s="73"/>
      <c r="ONH118" s="73"/>
      <c r="ONI118" s="73"/>
      <c r="ONJ118" s="73"/>
      <c r="ONK118" s="73"/>
      <c r="ONL118" s="73"/>
      <c r="ONM118" s="73"/>
      <c r="ONN118" s="73"/>
      <c r="ONO118" s="73"/>
      <c r="ONP118" s="73"/>
      <c r="ONQ118" s="73"/>
      <c r="ONR118" s="73"/>
      <c r="ONS118" s="73"/>
      <c r="ONT118" s="73"/>
      <c r="ONU118" s="73"/>
      <c r="ONV118" s="73"/>
      <c r="ONW118" s="73"/>
      <c r="ONX118" s="73"/>
      <c r="ONY118" s="73"/>
      <c r="ONZ118" s="73"/>
      <c r="OOA118" s="73"/>
      <c r="OOB118" s="73"/>
      <c r="OOC118" s="73"/>
      <c r="OOD118" s="73"/>
      <c r="OOE118" s="73"/>
      <c r="OOF118" s="73"/>
      <c r="OOG118" s="73"/>
      <c r="OOH118" s="73"/>
      <c r="OOI118" s="73"/>
      <c r="OOJ118" s="73"/>
      <c r="OOK118" s="73"/>
      <c r="OOL118" s="73"/>
      <c r="OOM118" s="73"/>
      <c r="OON118" s="73"/>
      <c r="OOO118" s="73"/>
      <c r="OOP118" s="73"/>
      <c r="OOQ118" s="73"/>
      <c r="OOR118" s="73"/>
      <c r="OOS118" s="73"/>
      <c r="OOT118" s="73"/>
      <c r="OOU118" s="73"/>
      <c r="OOV118" s="73"/>
      <c r="OOW118" s="73"/>
      <c r="OOX118" s="73"/>
      <c r="OOY118" s="73"/>
      <c r="OOZ118" s="73"/>
      <c r="OPA118" s="73"/>
      <c r="OPB118" s="73"/>
      <c r="OPC118" s="73"/>
      <c r="OPD118" s="73"/>
      <c r="OPE118" s="73"/>
      <c r="OPF118" s="73"/>
      <c r="OPG118" s="73"/>
      <c r="OPH118" s="73"/>
      <c r="OPI118" s="73"/>
      <c r="OPJ118" s="73"/>
      <c r="OPK118" s="73"/>
      <c r="OPL118" s="73"/>
      <c r="OPM118" s="73"/>
      <c r="OPN118" s="73"/>
      <c r="OPO118" s="73"/>
      <c r="OPP118" s="73"/>
      <c r="OPQ118" s="73"/>
      <c r="OPR118" s="73"/>
      <c r="OPS118" s="73"/>
      <c r="OPT118" s="73"/>
      <c r="OPU118" s="73"/>
      <c r="OPV118" s="73"/>
      <c r="OPW118" s="73"/>
      <c r="OPX118" s="73"/>
      <c r="OPY118" s="73"/>
      <c r="OPZ118" s="73"/>
      <c r="OQA118" s="73"/>
      <c r="OQB118" s="73"/>
      <c r="OQC118" s="73"/>
      <c r="OQD118" s="73"/>
      <c r="OQE118" s="73"/>
      <c r="OQF118" s="73"/>
      <c r="OQG118" s="73"/>
      <c r="OQH118" s="73"/>
      <c r="OQI118" s="73"/>
      <c r="OQJ118" s="73"/>
      <c r="OQK118" s="73"/>
      <c r="OQL118" s="73"/>
      <c r="OQM118" s="73"/>
      <c r="OQN118" s="73"/>
      <c r="OQO118" s="73"/>
      <c r="OQP118" s="73"/>
      <c r="OQQ118" s="73"/>
      <c r="OQR118" s="73"/>
      <c r="OQS118" s="73"/>
      <c r="OQT118" s="73"/>
      <c r="OQU118" s="73"/>
      <c r="OQV118" s="73"/>
      <c r="OQW118" s="73"/>
      <c r="OQX118" s="73"/>
      <c r="OQY118" s="73"/>
      <c r="OQZ118" s="73"/>
      <c r="ORA118" s="73"/>
      <c r="ORB118" s="73"/>
      <c r="ORC118" s="73"/>
      <c r="ORD118" s="73"/>
      <c r="ORE118" s="73"/>
      <c r="ORF118" s="73"/>
      <c r="ORG118" s="73"/>
      <c r="ORH118" s="73"/>
      <c r="ORI118" s="73"/>
      <c r="ORJ118" s="73"/>
      <c r="ORK118" s="73"/>
      <c r="ORL118" s="73"/>
      <c r="ORM118" s="73"/>
      <c r="ORN118" s="73"/>
      <c r="ORO118" s="73"/>
      <c r="ORP118" s="73"/>
      <c r="ORQ118" s="73"/>
      <c r="ORR118" s="73"/>
      <c r="ORS118" s="73"/>
      <c r="ORT118" s="73"/>
      <c r="ORU118" s="73"/>
      <c r="ORV118" s="73"/>
      <c r="ORW118" s="73"/>
      <c r="ORX118" s="73"/>
      <c r="ORY118" s="73"/>
      <c r="ORZ118" s="73"/>
      <c r="OSA118" s="73"/>
      <c r="OSB118" s="73"/>
      <c r="OSC118" s="73"/>
      <c r="OSD118" s="73"/>
      <c r="OSE118" s="73"/>
      <c r="OSF118" s="73"/>
      <c r="OSG118" s="73"/>
      <c r="OSH118" s="73"/>
      <c r="OSI118" s="73"/>
      <c r="OSJ118" s="73"/>
      <c r="OSK118" s="73"/>
      <c r="OSL118" s="73"/>
      <c r="OSM118" s="73"/>
      <c r="OSN118" s="73"/>
      <c r="OSO118" s="73"/>
      <c r="OSP118" s="73"/>
      <c r="OSQ118" s="73"/>
      <c r="OSR118" s="73"/>
      <c r="OSS118" s="73"/>
      <c r="OST118" s="73"/>
      <c r="OSU118" s="73"/>
      <c r="OSV118" s="73"/>
      <c r="OSW118" s="73"/>
      <c r="OSX118" s="73"/>
      <c r="OSY118" s="73"/>
      <c r="OSZ118" s="73"/>
      <c r="OTA118" s="73"/>
      <c r="OTB118" s="73"/>
      <c r="OTC118" s="73"/>
      <c r="OTD118" s="73"/>
      <c r="OTE118" s="73"/>
      <c r="OTF118" s="73"/>
      <c r="OTG118" s="73"/>
      <c r="OTH118" s="73"/>
      <c r="OTI118" s="73"/>
      <c r="OTJ118" s="73"/>
      <c r="OTK118" s="73"/>
      <c r="OTL118" s="73"/>
      <c r="OTM118" s="73"/>
      <c r="OTN118" s="73"/>
      <c r="OTO118" s="73"/>
      <c r="OTP118" s="73"/>
      <c r="OTQ118" s="73"/>
      <c r="OTR118" s="73"/>
      <c r="OTS118" s="73"/>
      <c r="OTT118" s="73"/>
      <c r="OTU118" s="73"/>
      <c r="OTV118" s="73"/>
      <c r="OTW118" s="73"/>
      <c r="OTX118" s="73"/>
      <c r="OTY118" s="73"/>
      <c r="OTZ118" s="73"/>
      <c r="OUA118" s="73"/>
      <c r="OUB118" s="73"/>
      <c r="OUC118" s="73"/>
      <c r="OUD118" s="73"/>
      <c r="OUE118" s="73"/>
      <c r="OUF118" s="73"/>
      <c r="OUG118" s="73"/>
      <c r="OUH118" s="73"/>
      <c r="OUI118" s="73"/>
      <c r="OUJ118" s="73"/>
      <c r="OUK118" s="73"/>
      <c r="OUL118" s="73"/>
      <c r="OUM118" s="73"/>
      <c r="OUN118" s="73"/>
      <c r="OUO118" s="73"/>
      <c r="OUP118" s="73"/>
      <c r="OUQ118" s="73"/>
      <c r="OUR118" s="73"/>
      <c r="OUS118" s="73"/>
      <c r="OUT118" s="73"/>
      <c r="OUU118" s="73"/>
      <c r="OUV118" s="73"/>
      <c r="OUW118" s="73"/>
      <c r="OUX118" s="73"/>
      <c r="OUY118" s="73"/>
      <c r="OUZ118" s="73"/>
      <c r="OVA118" s="73"/>
      <c r="OVB118" s="73"/>
      <c r="OVC118" s="73"/>
      <c r="OVD118" s="73"/>
      <c r="OVE118" s="73"/>
      <c r="OVF118" s="73"/>
      <c r="OVG118" s="73"/>
      <c r="OVH118" s="73"/>
      <c r="OVI118" s="73"/>
      <c r="OVJ118" s="73"/>
      <c r="OVK118" s="73"/>
      <c r="OVL118" s="73"/>
      <c r="OVM118" s="73"/>
      <c r="OVN118" s="73"/>
      <c r="OVO118" s="73"/>
      <c r="OVP118" s="73"/>
      <c r="OVQ118" s="73"/>
      <c r="OVR118" s="73"/>
      <c r="OVS118" s="73"/>
      <c r="OVT118" s="73"/>
      <c r="OVU118" s="73"/>
      <c r="OVV118" s="73"/>
      <c r="OVW118" s="73"/>
      <c r="OVX118" s="73"/>
      <c r="OVY118" s="73"/>
      <c r="OVZ118" s="73"/>
      <c r="OWA118" s="73"/>
      <c r="OWB118" s="73"/>
      <c r="OWC118" s="73"/>
      <c r="OWD118" s="73"/>
      <c r="OWE118" s="73"/>
      <c r="OWF118" s="73"/>
      <c r="OWG118" s="73"/>
      <c r="OWH118" s="73"/>
      <c r="OWI118" s="73"/>
      <c r="OWJ118" s="73"/>
      <c r="OWK118" s="73"/>
      <c r="OWL118" s="73"/>
      <c r="OWM118" s="73"/>
      <c r="OWN118" s="73"/>
      <c r="OWO118" s="73"/>
      <c r="OWP118" s="73"/>
      <c r="OWQ118" s="73"/>
      <c r="OWR118" s="73"/>
      <c r="OWS118" s="73"/>
      <c r="OWT118" s="73"/>
      <c r="OWU118" s="73"/>
      <c r="OWV118" s="73"/>
      <c r="OWW118" s="73"/>
      <c r="OWX118" s="73"/>
      <c r="OWY118" s="73"/>
      <c r="OWZ118" s="73"/>
      <c r="OXA118" s="73"/>
      <c r="OXB118" s="73"/>
      <c r="OXC118" s="73"/>
      <c r="OXD118" s="73"/>
      <c r="OXE118" s="73"/>
      <c r="OXF118" s="73"/>
      <c r="OXG118" s="73"/>
      <c r="OXH118" s="73"/>
      <c r="OXI118" s="73"/>
      <c r="OXJ118" s="73"/>
      <c r="OXK118" s="73"/>
      <c r="OXL118" s="73"/>
      <c r="OXM118" s="73"/>
      <c r="OXN118" s="73"/>
      <c r="OXO118" s="73"/>
      <c r="OXP118" s="73"/>
      <c r="OXQ118" s="73"/>
      <c r="OXR118" s="73"/>
      <c r="OXS118" s="73"/>
      <c r="OXT118" s="73"/>
      <c r="OXU118" s="73"/>
      <c r="OXV118" s="73"/>
      <c r="OXW118" s="73"/>
      <c r="OXX118" s="73"/>
      <c r="OXY118" s="73"/>
      <c r="OXZ118" s="73"/>
      <c r="OYA118" s="73"/>
      <c r="OYB118" s="73"/>
      <c r="OYC118" s="73"/>
      <c r="OYD118" s="73"/>
      <c r="OYE118" s="73"/>
      <c r="OYF118" s="73"/>
      <c r="OYG118" s="73"/>
      <c r="OYH118" s="73"/>
      <c r="OYI118" s="73"/>
      <c r="OYJ118" s="73"/>
      <c r="OYK118" s="73"/>
      <c r="OYL118" s="73"/>
      <c r="OYM118" s="73"/>
      <c r="OYN118" s="73"/>
      <c r="OYO118" s="73"/>
      <c r="OYP118" s="73"/>
      <c r="OYQ118" s="73"/>
      <c r="OYR118" s="73"/>
      <c r="OYS118" s="73"/>
      <c r="OYT118" s="73"/>
      <c r="OYU118" s="73"/>
      <c r="OYV118" s="73"/>
      <c r="OYW118" s="73"/>
      <c r="OYX118" s="73"/>
      <c r="OYY118" s="73"/>
      <c r="OYZ118" s="73"/>
      <c r="OZA118" s="73"/>
      <c r="OZB118" s="73"/>
      <c r="OZC118" s="73"/>
      <c r="OZD118" s="73"/>
      <c r="OZE118" s="73"/>
      <c r="OZF118" s="73"/>
      <c r="OZG118" s="73"/>
      <c r="OZH118" s="73"/>
      <c r="OZI118" s="73"/>
      <c r="OZJ118" s="73"/>
      <c r="OZK118" s="73"/>
      <c r="OZL118" s="73"/>
      <c r="OZM118" s="73"/>
      <c r="OZN118" s="73"/>
      <c r="OZO118" s="73"/>
      <c r="OZP118" s="73"/>
      <c r="OZQ118" s="73"/>
      <c r="OZR118" s="73"/>
      <c r="OZS118" s="73"/>
      <c r="OZT118" s="73"/>
      <c r="OZU118" s="73"/>
      <c r="OZV118" s="73"/>
      <c r="OZW118" s="73"/>
      <c r="OZX118" s="73"/>
      <c r="OZY118" s="73"/>
      <c r="OZZ118" s="73"/>
      <c r="PAA118" s="73"/>
      <c r="PAB118" s="73"/>
      <c r="PAC118" s="73"/>
      <c r="PAD118" s="73"/>
      <c r="PAE118" s="73"/>
      <c r="PAF118" s="73"/>
      <c r="PAG118" s="73"/>
      <c r="PAH118" s="73"/>
      <c r="PAI118" s="73"/>
      <c r="PAJ118" s="73"/>
      <c r="PAK118" s="73"/>
      <c r="PAL118" s="73"/>
      <c r="PAM118" s="73"/>
      <c r="PAN118" s="73"/>
      <c r="PAO118" s="73"/>
      <c r="PAP118" s="73"/>
      <c r="PAQ118" s="73"/>
      <c r="PAR118" s="73"/>
      <c r="PAS118" s="73"/>
      <c r="PAT118" s="73"/>
      <c r="PAU118" s="73"/>
      <c r="PAV118" s="73"/>
      <c r="PAW118" s="73"/>
      <c r="PAX118" s="73"/>
      <c r="PAY118" s="73"/>
      <c r="PAZ118" s="73"/>
      <c r="PBA118" s="73"/>
      <c r="PBB118" s="73"/>
      <c r="PBC118" s="73"/>
      <c r="PBD118" s="73"/>
      <c r="PBE118" s="73"/>
      <c r="PBF118" s="73"/>
      <c r="PBG118" s="73"/>
      <c r="PBH118" s="73"/>
      <c r="PBI118" s="73"/>
      <c r="PBJ118" s="73"/>
      <c r="PBK118" s="73"/>
      <c r="PBL118" s="73"/>
      <c r="PBM118" s="73"/>
      <c r="PBN118" s="73"/>
      <c r="PBO118" s="73"/>
      <c r="PBP118" s="73"/>
      <c r="PBQ118" s="73"/>
      <c r="PBR118" s="73"/>
      <c r="PBS118" s="73"/>
      <c r="PBT118" s="73"/>
      <c r="PBU118" s="73"/>
      <c r="PBV118" s="73"/>
      <c r="PBW118" s="73"/>
      <c r="PBX118" s="73"/>
      <c r="PBY118" s="73"/>
      <c r="PBZ118" s="73"/>
      <c r="PCA118" s="73"/>
      <c r="PCB118" s="73"/>
      <c r="PCC118" s="73"/>
      <c r="PCD118" s="73"/>
      <c r="PCE118" s="73"/>
      <c r="PCF118" s="73"/>
      <c r="PCG118" s="73"/>
      <c r="PCH118" s="73"/>
      <c r="PCI118" s="73"/>
      <c r="PCJ118" s="73"/>
      <c r="PCK118" s="73"/>
      <c r="PCL118" s="73"/>
      <c r="PCM118" s="73"/>
      <c r="PCN118" s="73"/>
      <c r="PCO118" s="73"/>
      <c r="PCP118" s="73"/>
      <c r="PCQ118" s="73"/>
      <c r="PCR118" s="73"/>
      <c r="PCS118" s="73"/>
      <c r="PCT118" s="73"/>
      <c r="PCU118" s="73"/>
      <c r="PCV118" s="73"/>
      <c r="PCW118" s="73"/>
      <c r="PCX118" s="73"/>
      <c r="PCY118" s="73"/>
      <c r="PCZ118" s="73"/>
      <c r="PDA118" s="73"/>
      <c r="PDB118" s="73"/>
      <c r="PDC118" s="73"/>
      <c r="PDD118" s="73"/>
      <c r="PDE118" s="73"/>
      <c r="PDF118" s="73"/>
      <c r="PDG118" s="73"/>
      <c r="PDH118" s="73"/>
      <c r="PDI118" s="73"/>
      <c r="PDJ118" s="73"/>
      <c r="PDK118" s="73"/>
      <c r="PDL118" s="73"/>
      <c r="PDM118" s="73"/>
      <c r="PDN118" s="73"/>
      <c r="PDO118" s="73"/>
      <c r="PDP118" s="73"/>
      <c r="PDQ118" s="73"/>
      <c r="PDR118" s="73"/>
      <c r="PDS118" s="73"/>
      <c r="PDT118" s="73"/>
      <c r="PDU118" s="73"/>
      <c r="PDV118" s="73"/>
      <c r="PDW118" s="73"/>
      <c r="PDX118" s="73"/>
      <c r="PDY118" s="73"/>
      <c r="PDZ118" s="73"/>
      <c r="PEA118" s="73"/>
      <c r="PEB118" s="73"/>
      <c r="PEC118" s="73"/>
      <c r="PED118" s="73"/>
      <c r="PEE118" s="73"/>
      <c r="PEF118" s="73"/>
      <c r="PEG118" s="73"/>
      <c r="PEH118" s="73"/>
      <c r="PEI118" s="73"/>
      <c r="PEJ118" s="73"/>
      <c r="PEK118" s="73"/>
      <c r="PEL118" s="73"/>
      <c r="PEM118" s="73"/>
      <c r="PEN118" s="73"/>
      <c r="PEO118" s="73"/>
      <c r="PEP118" s="73"/>
      <c r="PEQ118" s="73"/>
      <c r="PER118" s="73"/>
      <c r="PES118" s="73"/>
      <c r="PET118" s="73"/>
      <c r="PEU118" s="73"/>
      <c r="PEV118" s="73"/>
      <c r="PEW118" s="73"/>
      <c r="PEX118" s="73"/>
      <c r="PEY118" s="73"/>
      <c r="PEZ118" s="73"/>
      <c r="PFA118" s="73"/>
      <c r="PFB118" s="73"/>
      <c r="PFC118" s="73"/>
      <c r="PFD118" s="73"/>
      <c r="PFE118" s="73"/>
      <c r="PFF118" s="73"/>
      <c r="PFG118" s="73"/>
      <c r="PFH118" s="73"/>
      <c r="PFI118" s="73"/>
      <c r="PFJ118" s="73"/>
      <c r="PFK118" s="73"/>
      <c r="PFL118" s="73"/>
      <c r="PFM118" s="73"/>
      <c r="PFN118" s="73"/>
      <c r="PFO118" s="73"/>
      <c r="PFP118" s="73"/>
      <c r="PFQ118" s="73"/>
      <c r="PFR118" s="73"/>
      <c r="PFS118" s="73"/>
      <c r="PFT118" s="73"/>
      <c r="PFU118" s="73"/>
      <c r="PFV118" s="73"/>
      <c r="PFW118" s="73"/>
      <c r="PFX118" s="73"/>
      <c r="PFY118" s="73"/>
      <c r="PFZ118" s="73"/>
      <c r="PGA118" s="73"/>
      <c r="PGB118" s="73"/>
      <c r="PGC118" s="73"/>
      <c r="PGD118" s="73"/>
      <c r="PGE118" s="73"/>
      <c r="PGF118" s="73"/>
      <c r="PGG118" s="73"/>
      <c r="PGH118" s="73"/>
      <c r="PGI118" s="73"/>
      <c r="PGJ118" s="73"/>
      <c r="PGK118" s="73"/>
      <c r="PGL118" s="73"/>
      <c r="PGM118" s="73"/>
      <c r="PGN118" s="73"/>
      <c r="PGO118" s="73"/>
      <c r="PGP118" s="73"/>
      <c r="PGQ118" s="73"/>
      <c r="PGR118" s="73"/>
      <c r="PGS118" s="73"/>
      <c r="PGT118" s="73"/>
      <c r="PGU118" s="73"/>
      <c r="PGV118" s="73"/>
      <c r="PGW118" s="73"/>
      <c r="PGX118" s="73"/>
      <c r="PGY118" s="73"/>
      <c r="PGZ118" s="73"/>
      <c r="PHA118" s="73"/>
      <c r="PHB118" s="73"/>
      <c r="PHC118" s="73"/>
      <c r="PHD118" s="73"/>
      <c r="PHE118" s="73"/>
      <c r="PHF118" s="73"/>
      <c r="PHG118" s="73"/>
      <c r="PHH118" s="73"/>
      <c r="PHI118" s="73"/>
      <c r="PHJ118" s="73"/>
      <c r="PHK118" s="73"/>
      <c r="PHL118" s="73"/>
      <c r="PHM118" s="73"/>
      <c r="PHN118" s="73"/>
      <c r="PHO118" s="73"/>
      <c r="PHP118" s="73"/>
      <c r="PHQ118" s="73"/>
      <c r="PHR118" s="73"/>
      <c r="PHS118" s="73"/>
      <c r="PHT118" s="73"/>
      <c r="PHU118" s="73"/>
      <c r="PHV118" s="73"/>
      <c r="PHW118" s="73"/>
      <c r="PHX118" s="73"/>
      <c r="PHY118" s="73"/>
      <c r="PHZ118" s="73"/>
      <c r="PIA118" s="73"/>
      <c r="PIB118" s="73"/>
      <c r="PIC118" s="73"/>
      <c r="PID118" s="73"/>
      <c r="PIE118" s="73"/>
      <c r="PIF118" s="73"/>
      <c r="PIG118" s="73"/>
      <c r="PIH118" s="73"/>
      <c r="PII118" s="73"/>
      <c r="PIJ118" s="73"/>
      <c r="PIK118" s="73"/>
      <c r="PIL118" s="73"/>
      <c r="PIM118" s="73"/>
      <c r="PIN118" s="73"/>
      <c r="PIO118" s="73"/>
      <c r="PIP118" s="73"/>
      <c r="PIQ118" s="73"/>
      <c r="PIR118" s="73"/>
      <c r="PIS118" s="73"/>
      <c r="PIT118" s="73"/>
      <c r="PIU118" s="73"/>
      <c r="PIV118" s="73"/>
      <c r="PIW118" s="73"/>
      <c r="PIX118" s="73"/>
      <c r="PIY118" s="73"/>
      <c r="PIZ118" s="73"/>
      <c r="PJA118" s="73"/>
      <c r="PJB118" s="73"/>
      <c r="PJC118" s="73"/>
      <c r="PJD118" s="73"/>
      <c r="PJE118" s="73"/>
      <c r="PJF118" s="73"/>
      <c r="PJG118" s="73"/>
      <c r="PJH118" s="73"/>
      <c r="PJI118" s="73"/>
      <c r="PJJ118" s="73"/>
      <c r="PJK118" s="73"/>
      <c r="PJL118" s="73"/>
      <c r="PJM118" s="73"/>
      <c r="PJN118" s="73"/>
      <c r="PJO118" s="73"/>
      <c r="PJP118" s="73"/>
      <c r="PJQ118" s="73"/>
      <c r="PJR118" s="73"/>
      <c r="PJS118" s="73"/>
      <c r="PJT118" s="73"/>
      <c r="PJU118" s="73"/>
      <c r="PJV118" s="73"/>
      <c r="PJW118" s="73"/>
      <c r="PJX118" s="73"/>
      <c r="PJY118" s="73"/>
      <c r="PJZ118" s="73"/>
      <c r="PKA118" s="73"/>
      <c r="PKB118" s="73"/>
      <c r="PKC118" s="73"/>
      <c r="PKD118" s="73"/>
      <c r="PKE118" s="73"/>
      <c r="PKF118" s="73"/>
      <c r="PKG118" s="73"/>
      <c r="PKH118" s="73"/>
      <c r="PKI118" s="73"/>
      <c r="PKJ118" s="73"/>
      <c r="PKK118" s="73"/>
      <c r="PKL118" s="73"/>
      <c r="PKM118" s="73"/>
      <c r="PKN118" s="73"/>
      <c r="PKO118" s="73"/>
      <c r="PKP118" s="73"/>
      <c r="PKQ118" s="73"/>
      <c r="PKR118" s="73"/>
      <c r="PKS118" s="73"/>
      <c r="PKT118" s="73"/>
      <c r="PKU118" s="73"/>
      <c r="PKV118" s="73"/>
      <c r="PKW118" s="73"/>
      <c r="PKX118" s="73"/>
      <c r="PKY118" s="73"/>
      <c r="PKZ118" s="73"/>
      <c r="PLA118" s="73"/>
      <c r="PLB118" s="73"/>
      <c r="PLC118" s="73"/>
      <c r="PLD118" s="73"/>
      <c r="PLE118" s="73"/>
      <c r="PLF118" s="73"/>
      <c r="PLG118" s="73"/>
      <c r="PLH118" s="73"/>
      <c r="PLI118" s="73"/>
      <c r="PLJ118" s="73"/>
      <c r="PLK118" s="73"/>
      <c r="PLL118" s="73"/>
      <c r="PLM118" s="73"/>
      <c r="PLN118" s="73"/>
      <c r="PLO118" s="73"/>
      <c r="PLP118" s="73"/>
      <c r="PLQ118" s="73"/>
      <c r="PLR118" s="73"/>
      <c r="PLS118" s="73"/>
      <c r="PLT118" s="73"/>
      <c r="PLU118" s="73"/>
      <c r="PLV118" s="73"/>
      <c r="PLW118" s="73"/>
      <c r="PLX118" s="73"/>
      <c r="PLY118" s="73"/>
      <c r="PLZ118" s="73"/>
      <c r="PMA118" s="73"/>
      <c r="PMB118" s="73"/>
      <c r="PMC118" s="73"/>
      <c r="PMD118" s="73"/>
      <c r="PME118" s="73"/>
      <c r="PMF118" s="73"/>
      <c r="PMG118" s="73"/>
      <c r="PMH118" s="73"/>
      <c r="PMI118" s="73"/>
      <c r="PMJ118" s="73"/>
      <c r="PMK118" s="73"/>
      <c r="PML118" s="73"/>
      <c r="PMM118" s="73"/>
      <c r="PMN118" s="73"/>
      <c r="PMO118" s="73"/>
      <c r="PMP118" s="73"/>
      <c r="PMQ118" s="73"/>
      <c r="PMR118" s="73"/>
      <c r="PMS118" s="73"/>
      <c r="PMT118" s="73"/>
      <c r="PMU118" s="73"/>
      <c r="PMV118" s="73"/>
      <c r="PMW118" s="73"/>
      <c r="PMX118" s="73"/>
      <c r="PMY118" s="73"/>
      <c r="PMZ118" s="73"/>
      <c r="PNA118" s="73"/>
      <c r="PNB118" s="73"/>
      <c r="PNC118" s="73"/>
      <c r="PND118" s="73"/>
      <c r="PNE118" s="73"/>
      <c r="PNF118" s="73"/>
      <c r="PNG118" s="73"/>
      <c r="PNH118" s="73"/>
      <c r="PNI118" s="73"/>
      <c r="PNJ118" s="73"/>
      <c r="PNK118" s="73"/>
      <c r="PNL118" s="73"/>
      <c r="PNM118" s="73"/>
      <c r="PNN118" s="73"/>
      <c r="PNO118" s="73"/>
      <c r="PNP118" s="73"/>
      <c r="PNQ118" s="73"/>
      <c r="PNR118" s="73"/>
      <c r="PNS118" s="73"/>
      <c r="PNT118" s="73"/>
      <c r="PNU118" s="73"/>
      <c r="PNV118" s="73"/>
      <c r="PNW118" s="73"/>
      <c r="PNX118" s="73"/>
      <c r="PNY118" s="73"/>
      <c r="PNZ118" s="73"/>
      <c r="POA118" s="73"/>
      <c r="POB118" s="73"/>
      <c r="POC118" s="73"/>
      <c r="POD118" s="73"/>
      <c r="POE118" s="73"/>
      <c r="POF118" s="73"/>
      <c r="POG118" s="73"/>
      <c r="POH118" s="73"/>
      <c r="POI118" s="73"/>
      <c r="POJ118" s="73"/>
      <c r="POK118" s="73"/>
      <c r="POL118" s="73"/>
      <c r="POM118" s="73"/>
      <c r="PON118" s="73"/>
      <c r="POO118" s="73"/>
      <c r="POP118" s="73"/>
      <c r="POQ118" s="73"/>
      <c r="POR118" s="73"/>
      <c r="POS118" s="73"/>
      <c r="POT118" s="73"/>
      <c r="POU118" s="73"/>
      <c r="POV118" s="73"/>
      <c r="POW118" s="73"/>
      <c r="POX118" s="73"/>
      <c r="POY118" s="73"/>
      <c r="POZ118" s="73"/>
      <c r="PPA118" s="73"/>
      <c r="PPB118" s="73"/>
      <c r="PPC118" s="73"/>
      <c r="PPD118" s="73"/>
      <c r="PPE118" s="73"/>
      <c r="PPF118" s="73"/>
      <c r="PPG118" s="73"/>
      <c r="PPH118" s="73"/>
      <c r="PPI118" s="73"/>
      <c r="PPJ118" s="73"/>
      <c r="PPK118" s="73"/>
      <c r="PPL118" s="73"/>
      <c r="PPM118" s="73"/>
      <c r="PPN118" s="73"/>
      <c r="PPO118" s="73"/>
      <c r="PPP118" s="73"/>
      <c r="PPQ118" s="73"/>
      <c r="PPR118" s="73"/>
      <c r="PPS118" s="73"/>
      <c r="PPT118" s="73"/>
      <c r="PPU118" s="73"/>
      <c r="PPV118" s="73"/>
      <c r="PPW118" s="73"/>
      <c r="PPX118" s="73"/>
      <c r="PPY118" s="73"/>
      <c r="PPZ118" s="73"/>
      <c r="PQA118" s="73"/>
      <c r="PQB118" s="73"/>
      <c r="PQC118" s="73"/>
      <c r="PQD118" s="73"/>
      <c r="PQE118" s="73"/>
      <c r="PQF118" s="73"/>
      <c r="PQG118" s="73"/>
      <c r="PQH118" s="73"/>
      <c r="PQI118" s="73"/>
      <c r="PQJ118" s="73"/>
      <c r="PQK118" s="73"/>
      <c r="PQL118" s="73"/>
      <c r="PQM118" s="73"/>
      <c r="PQN118" s="73"/>
      <c r="PQO118" s="73"/>
      <c r="PQP118" s="73"/>
      <c r="PQQ118" s="73"/>
      <c r="PQR118" s="73"/>
      <c r="PQS118" s="73"/>
      <c r="PQT118" s="73"/>
      <c r="PQU118" s="73"/>
      <c r="PQV118" s="73"/>
      <c r="PQW118" s="73"/>
      <c r="PQX118" s="73"/>
      <c r="PQY118" s="73"/>
      <c r="PQZ118" s="73"/>
      <c r="PRA118" s="73"/>
      <c r="PRB118" s="73"/>
      <c r="PRC118" s="73"/>
      <c r="PRD118" s="73"/>
      <c r="PRE118" s="73"/>
      <c r="PRF118" s="73"/>
      <c r="PRG118" s="73"/>
      <c r="PRH118" s="73"/>
      <c r="PRI118" s="73"/>
      <c r="PRJ118" s="73"/>
      <c r="PRK118" s="73"/>
      <c r="PRL118" s="73"/>
      <c r="PRM118" s="73"/>
      <c r="PRN118" s="73"/>
      <c r="PRO118" s="73"/>
      <c r="PRP118" s="73"/>
      <c r="PRQ118" s="73"/>
      <c r="PRR118" s="73"/>
      <c r="PRS118" s="73"/>
      <c r="PRT118" s="73"/>
      <c r="PRU118" s="73"/>
      <c r="PRV118" s="73"/>
      <c r="PRW118" s="73"/>
      <c r="PRX118" s="73"/>
      <c r="PRY118" s="73"/>
      <c r="PRZ118" s="73"/>
      <c r="PSA118" s="73"/>
      <c r="PSB118" s="73"/>
      <c r="PSC118" s="73"/>
      <c r="PSD118" s="73"/>
      <c r="PSE118" s="73"/>
      <c r="PSF118" s="73"/>
      <c r="PSG118" s="73"/>
      <c r="PSH118" s="73"/>
      <c r="PSI118" s="73"/>
      <c r="PSJ118" s="73"/>
      <c r="PSK118" s="73"/>
      <c r="PSL118" s="73"/>
      <c r="PSM118" s="73"/>
      <c r="PSN118" s="73"/>
      <c r="PSO118" s="73"/>
      <c r="PSP118" s="73"/>
      <c r="PSQ118" s="73"/>
      <c r="PSR118" s="73"/>
      <c r="PSS118" s="73"/>
      <c r="PST118" s="73"/>
      <c r="PSU118" s="73"/>
      <c r="PSV118" s="73"/>
      <c r="PSW118" s="73"/>
      <c r="PSX118" s="73"/>
      <c r="PSY118" s="73"/>
      <c r="PSZ118" s="73"/>
      <c r="PTA118" s="73"/>
      <c r="PTB118" s="73"/>
      <c r="PTC118" s="73"/>
      <c r="PTD118" s="73"/>
      <c r="PTE118" s="73"/>
      <c r="PTF118" s="73"/>
      <c r="PTG118" s="73"/>
      <c r="PTH118" s="73"/>
      <c r="PTI118" s="73"/>
      <c r="PTJ118" s="73"/>
      <c r="PTK118" s="73"/>
      <c r="PTL118" s="73"/>
      <c r="PTM118" s="73"/>
      <c r="PTN118" s="73"/>
      <c r="PTO118" s="73"/>
      <c r="PTP118" s="73"/>
      <c r="PTQ118" s="73"/>
      <c r="PTR118" s="73"/>
      <c r="PTS118" s="73"/>
      <c r="PTT118" s="73"/>
      <c r="PTU118" s="73"/>
      <c r="PTV118" s="73"/>
      <c r="PTW118" s="73"/>
      <c r="PTX118" s="73"/>
      <c r="PTY118" s="73"/>
      <c r="PTZ118" s="73"/>
      <c r="PUA118" s="73"/>
      <c r="PUB118" s="73"/>
      <c r="PUC118" s="73"/>
      <c r="PUD118" s="73"/>
      <c r="PUE118" s="73"/>
      <c r="PUF118" s="73"/>
      <c r="PUG118" s="73"/>
      <c r="PUH118" s="73"/>
      <c r="PUI118" s="73"/>
      <c r="PUJ118" s="73"/>
      <c r="PUK118" s="73"/>
      <c r="PUL118" s="73"/>
      <c r="PUM118" s="73"/>
      <c r="PUN118" s="73"/>
      <c r="PUO118" s="73"/>
      <c r="PUP118" s="73"/>
      <c r="PUQ118" s="73"/>
      <c r="PUR118" s="73"/>
      <c r="PUS118" s="73"/>
      <c r="PUT118" s="73"/>
      <c r="PUU118" s="73"/>
      <c r="PUV118" s="73"/>
      <c r="PUW118" s="73"/>
      <c r="PUX118" s="73"/>
      <c r="PUY118" s="73"/>
      <c r="PUZ118" s="73"/>
      <c r="PVA118" s="73"/>
      <c r="PVB118" s="73"/>
      <c r="PVC118" s="73"/>
      <c r="PVD118" s="73"/>
      <c r="PVE118" s="73"/>
      <c r="PVF118" s="73"/>
      <c r="PVG118" s="73"/>
      <c r="PVH118" s="73"/>
      <c r="PVI118" s="73"/>
      <c r="PVJ118" s="73"/>
      <c r="PVK118" s="73"/>
      <c r="PVL118" s="73"/>
      <c r="PVM118" s="73"/>
      <c r="PVN118" s="73"/>
      <c r="PVO118" s="73"/>
      <c r="PVP118" s="73"/>
      <c r="PVQ118" s="73"/>
      <c r="PVR118" s="73"/>
      <c r="PVS118" s="73"/>
      <c r="PVT118" s="73"/>
      <c r="PVU118" s="73"/>
      <c r="PVV118" s="73"/>
      <c r="PVW118" s="73"/>
      <c r="PVX118" s="73"/>
      <c r="PVY118" s="73"/>
      <c r="PVZ118" s="73"/>
      <c r="PWA118" s="73"/>
      <c r="PWB118" s="73"/>
      <c r="PWC118" s="73"/>
      <c r="PWD118" s="73"/>
      <c r="PWE118" s="73"/>
      <c r="PWF118" s="73"/>
      <c r="PWG118" s="73"/>
      <c r="PWH118" s="73"/>
      <c r="PWI118" s="73"/>
      <c r="PWJ118" s="73"/>
      <c r="PWK118" s="73"/>
      <c r="PWL118" s="73"/>
      <c r="PWM118" s="73"/>
      <c r="PWN118" s="73"/>
      <c r="PWO118" s="73"/>
      <c r="PWP118" s="73"/>
      <c r="PWQ118" s="73"/>
      <c r="PWR118" s="73"/>
      <c r="PWS118" s="73"/>
      <c r="PWT118" s="73"/>
      <c r="PWU118" s="73"/>
      <c r="PWV118" s="73"/>
      <c r="PWW118" s="73"/>
      <c r="PWX118" s="73"/>
      <c r="PWY118" s="73"/>
      <c r="PWZ118" s="73"/>
      <c r="PXA118" s="73"/>
      <c r="PXB118" s="73"/>
      <c r="PXC118" s="73"/>
      <c r="PXD118" s="73"/>
      <c r="PXE118" s="73"/>
      <c r="PXF118" s="73"/>
      <c r="PXG118" s="73"/>
      <c r="PXH118" s="73"/>
      <c r="PXI118" s="73"/>
      <c r="PXJ118" s="73"/>
      <c r="PXK118" s="73"/>
      <c r="PXL118" s="73"/>
      <c r="PXM118" s="73"/>
      <c r="PXN118" s="73"/>
      <c r="PXO118" s="73"/>
      <c r="PXP118" s="73"/>
      <c r="PXQ118" s="73"/>
      <c r="PXR118" s="73"/>
      <c r="PXS118" s="73"/>
      <c r="PXT118" s="73"/>
      <c r="PXU118" s="73"/>
      <c r="PXV118" s="73"/>
      <c r="PXW118" s="73"/>
      <c r="PXX118" s="73"/>
      <c r="PXY118" s="73"/>
      <c r="PXZ118" s="73"/>
      <c r="PYA118" s="73"/>
      <c r="PYB118" s="73"/>
      <c r="PYC118" s="73"/>
      <c r="PYD118" s="73"/>
      <c r="PYE118" s="73"/>
      <c r="PYF118" s="73"/>
      <c r="PYG118" s="73"/>
      <c r="PYH118" s="73"/>
      <c r="PYI118" s="73"/>
      <c r="PYJ118" s="73"/>
      <c r="PYK118" s="73"/>
      <c r="PYL118" s="73"/>
      <c r="PYM118" s="73"/>
      <c r="PYN118" s="73"/>
      <c r="PYO118" s="73"/>
      <c r="PYP118" s="73"/>
      <c r="PYQ118" s="73"/>
      <c r="PYR118" s="73"/>
      <c r="PYS118" s="73"/>
      <c r="PYT118" s="73"/>
      <c r="PYU118" s="73"/>
      <c r="PYV118" s="73"/>
      <c r="PYW118" s="73"/>
      <c r="PYX118" s="73"/>
      <c r="PYY118" s="73"/>
      <c r="PYZ118" s="73"/>
      <c r="PZA118" s="73"/>
      <c r="PZB118" s="73"/>
      <c r="PZC118" s="73"/>
      <c r="PZD118" s="73"/>
      <c r="PZE118" s="73"/>
      <c r="PZF118" s="73"/>
      <c r="PZG118" s="73"/>
      <c r="PZH118" s="73"/>
      <c r="PZI118" s="73"/>
      <c r="PZJ118" s="73"/>
      <c r="PZK118" s="73"/>
      <c r="PZL118" s="73"/>
      <c r="PZM118" s="73"/>
      <c r="PZN118" s="73"/>
      <c r="PZO118" s="73"/>
      <c r="PZP118" s="73"/>
      <c r="PZQ118" s="73"/>
      <c r="PZR118" s="73"/>
      <c r="PZS118" s="73"/>
      <c r="PZT118" s="73"/>
      <c r="PZU118" s="73"/>
      <c r="PZV118" s="73"/>
      <c r="PZW118" s="73"/>
      <c r="PZX118" s="73"/>
      <c r="PZY118" s="73"/>
      <c r="PZZ118" s="73"/>
      <c r="QAA118" s="73"/>
      <c r="QAB118" s="73"/>
      <c r="QAC118" s="73"/>
      <c r="QAD118" s="73"/>
      <c r="QAE118" s="73"/>
      <c r="QAF118" s="73"/>
      <c r="QAG118" s="73"/>
      <c r="QAH118" s="73"/>
      <c r="QAI118" s="73"/>
      <c r="QAJ118" s="73"/>
      <c r="QAK118" s="73"/>
      <c r="QAL118" s="73"/>
      <c r="QAM118" s="73"/>
      <c r="QAN118" s="73"/>
      <c r="QAO118" s="73"/>
      <c r="QAP118" s="73"/>
      <c r="QAQ118" s="73"/>
      <c r="QAR118" s="73"/>
      <c r="QAS118" s="73"/>
      <c r="QAT118" s="73"/>
      <c r="QAU118" s="73"/>
      <c r="QAV118" s="73"/>
      <c r="QAW118" s="73"/>
      <c r="QAX118" s="73"/>
      <c r="QAY118" s="73"/>
      <c r="QAZ118" s="73"/>
      <c r="QBA118" s="73"/>
      <c r="QBB118" s="73"/>
      <c r="QBC118" s="73"/>
      <c r="QBD118" s="73"/>
      <c r="QBE118" s="73"/>
      <c r="QBF118" s="73"/>
      <c r="QBG118" s="73"/>
      <c r="QBH118" s="73"/>
      <c r="QBI118" s="73"/>
      <c r="QBJ118" s="73"/>
      <c r="QBK118" s="73"/>
      <c r="QBL118" s="73"/>
      <c r="QBM118" s="73"/>
      <c r="QBN118" s="73"/>
      <c r="QBO118" s="73"/>
      <c r="QBP118" s="73"/>
      <c r="QBQ118" s="73"/>
      <c r="QBR118" s="73"/>
      <c r="QBS118" s="73"/>
      <c r="QBT118" s="73"/>
      <c r="QBU118" s="73"/>
      <c r="QBV118" s="73"/>
      <c r="QBW118" s="73"/>
      <c r="QBX118" s="73"/>
      <c r="QBY118" s="73"/>
      <c r="QBZ118" s="73"/>
      <c r="QCA118" s="73"/>
      <c r="QCB118" s="73"/>
      <c r="QCC118" s="73"/>
      <c r="QCD118" s="73"/>
      <c r="QCE118" s="73"/>
      <c r="QCF118" s="73"/>
      <c r="QCG118" s="73"/>
      <c r="QCH118" s="73"/>
      <c r="QCI118" s="73"/>
      <c r="QCJ118" s="73"/>
      <c r="QCK118" s="73"/>
      <c r="QCL118" s="73"/>
      <c r="QCM118" s="73"/>
      <c r="QCN118" s="73"/>
      <c r="QCO118" s="73"/>
      <c r="QCP118" s="73"/>
      <c r="QCQ118" s="73"/>
      <c r="QCR118" s="73"/>
      <c r="QCS118" s="73"/>
      <c r="QCT118" s="73"/>
      <c r="QCU118" s="73"/>
      <c r="QCV118" s="73"/>
      <c r="QCW118" s="73"/>
      <c r="QCX118" s="73"/>
      <c r="QCY118" s="73"/>
      <c r="QCZ118" s="73"/>
      <c r="QDA118" s="73"/>
      <c r="QDB118" s="73"/>
      <c r="QDC118" s="73"/>
      <c r="QDD118" s="73"/>
      <c r="QDE118" s="73"/>
      <c r="QDF118" s="73"/>
      <c r="QDG118" s="73"/>
      <c r="QDH118" s="73"/>
      <c r="QDI118" s="73"/>
      <c r="QDJ118" s="73"/>
      <c r="QDK118" s="73"/>
      <c r="QDL118" s="73"/>
      <c r="QDM118" s="73"/>
      <c r="QDN118" s="73"/>
      <c r="QDO118" s="73"/>
      <c r="QDP118" s="73"/>
      <c r="QDQ118" s="73"/>
      <c r="QDR118" s="73"/>
      <c r="QDS118" s="73"/>
      <c r="QDT118" s="73"/>
      <c r="QDU118" s="73"/>
      <c r="QDV118" s="73"/>
      <c r="QDW118" s="73"/>
      <c r="QDX118" s="73"/>
      <c r="QDY118" s="73"/>
      <c r="QDZ118" s="73"/>
      <c r="QEA118" s="73"/>
      <c r="QEB118" s="73"/>
      <c r="QEC118" s="73"/>
      <c r="QED118" s="73"/>
      <c r="QEE118" s="73"/>
      <c r="QEF118" s="73"/>
      <c r="QEG118" s="73"/>
      <c r="QEH118" s="73"/>
      <c r="QEI118" s="73"/>
      <c r="QEJ118" s="73"/>
      <c r="QEK118" s="73"/>
      <c r="QEL118" s="73"/>
      <c r="QEM118" s="73"/>
      <c r="QEN118" s="73"/>
      <c r="QEO118" s="73"/>
      <c r="QEP118" s="73"/>
      <c r="QEQ118" s="73"/>
      <c r="QER118" s="73"/>
      <c r="QES118" s="73"/>
      <c r="QET118" s="73"/>
      <c r="QEU118" s="73"/>
      <c r="QEV118" s="73"/>
      <c r="QEW118" s="73"/>
      <c r="QEX118" s="73"/>
      <c r="QEY118" s="73"/>
      <c r="QEZ118" s="73"/>
      <c r="QFA118" s="73"/>
      <c r="QFB118" s="73"/>
      <c r="QFC118" s="73"/>
      <c r="QFD118" s="73"/>
      <c r="QFE118" s="73"/>
      <c r="QFF118" s="73"/>
      <c r="QFG118" s="73"/>
      <c r="QFH118" s="73"/>
      <c r="QFI118" s="73"/>
      <c r="QFJ118" s="73"/>
      <c r="QFK118" s="73"/>
      <c r="QFL118" s="73"/>
      <c r="QFM118" s="73"/>
      <c r="QFN118" s="73"/>
      <c r="QFO118" s="73"/>
      <c r="QFP118" s="73"/>
      <c r="QFQ118" s="73"/>
      <c r="QFR118" s="73"/>
      <c r="QFS118" s="73"/>
      <c r="QFT118" s="73"/>
      <c r="QFU118" s="73"/>
      <c r="QFV118" s="73"/>
      <c r="QFW118" s="73"/>
      <c r="QFX118" s="73"/>
      <c r="QFY118" s="73"/>
      <c r="QFZ118" s="73"/>
      <c r="QGA118" s="73"/>
      <c r="QGB118" s="73"/>
      <c r="QGC118" s="73"/>
      <c r="QGD118" s="73"/>
      <c r="QGE118" s="73"/>
      <c r="QGF118" s="73"/>
      <c r="QGG118" s="73"/>
      <c r="QGH118" s="73"/>
      <c r="QGI118" s="73"/>
      <c r="QGJ118" s="73"/>
      <c r="QGK118" s="73"/>
      <c r="QGL118" s="73"/>
      <c r="QGM118" s="73"/>
      <c r="QGN118" s="73"/>
      <c r="QGO118" s="73"/>
      <c r="QGP118" s="73"/>
      <c r="QGQ118" s="73"/>
      <c r="QGR118" s="73"/>
      <c r="QGS118" s="73"/>
      <c r="QGT118" s="73"/>
      <c r="QGU118" s="73"/>
      <c r="QGV118" s="73"/>
      <c r="QGW118" s="73"/>
      <c r="QGX118" s="73"/>
      <c r="QGY118" s="73"/>
      <c r="QGZ118" s="73"/>
      <c r="QHA118" s="73"/>
      <c r="QHB118" s="73"/>
      <c r="QHC118" s="73"/>
      <c r="QHD118" s="73"/>
      <c r="QHE118" s="73"/>
      <c r="QHF118" s="73"/>
      <c r="QHG118" s="73"/>
      <c r="QHH118" s="73"/>
      <c r="QHI118" s="73"/>
      <c r="QHJ118" s="73"/>
      <c r="QHK118" s="73"/>
      <c r="QHL118" s="73"/>
      <c r="QHM118" s="73"/>
      <c r="QHN118" s="73"/>
      <c r="QHO118" s="73"/>
      <c r="QHP118" s="73"/>
      <c r="QHQ118" s="73"/>
      <c r="QHR118" s="73"/>
      <c r="QHS118" s="73"/>
      <c r="QHT118" s="73"/>
      <c r="QHU118" s="73"/>
      <c r="QHV118" s="73"/>
      <c r="QHW118" s="73"/>
      <c r="QHX118" s="73"/>
      <c r="QHY118" s="73"/>
      <c r="QHZ118" s="73"/>
      <c r="QIA118" s="73"/>
      <c r="QIB118" s="73"/>
      <c r="QIC118" s="73"/>
      <c r="QID118" s="73"/>
      <c r="QIE118" s="73"/>
      <c r="QIF118" s="73"/>
      <c r="QIG118" s="73"/>
      <c r="QIH118" s="73"/>
      <c r="QII118" s="73"/>
      <c r="QIJ118" s="73"/>
      <c r="QIK118" s="73"/>
      <c r="QIL118" s="73"/>
      <c r="QIM118" s="73"/>
      <c r="QIN118" s="73"/>
      <c r="QIO118" s="73"/>
      <c r="QIP118" s="73"/>
      <c r="QIQ118" s="73"/>
      <c r="QIR118" s="73"/>
      <c r="QIS118" s="73"/>
      <c r="QIT118" s="73"/>
      <c r="QIU118" s="73"/>
      <c r="QIV118" s="73"/>
      <c r="QIW118" s="73"/>
      <c r="QIX118" s="73"/>
      <c r="QIY118" s="73"/>
      <c r="QIZ118" s="73"/>
      <c r="QJA118" s="73"/>
      <c r="QJB118" s="73"/>
      <c r="QJC118" s="73"/>
      <c r="QJD118" s="73"/>
      <c r="QJE118" s="73"/>
      <c r="QJF118" s="73"/>
      <c r="QJG118" s="73"/>
      <c r="QJH118" s="73"/>
      <c r="QJI118" s="73"/>
      <c r="QJJ118" s="73"/>
      <c r="QJK118" s="73"/>
      <c r="QJL118" s="73"/>
      <c r="QJM118" s="73"/>
      <c r="QJN118" s="73"/>
      <c r="QJO118" s="73"/>
      <c r="QJP118" s="73"/>
      <c r="QJQ118" s="73"/>
      <c r="QJR118" s="73"/>
      <c r="QJS118" s="73"/>
      <c r="QJT118" s="73"/>
      <c r="QJU118" s="73"/>
      <c r="QJV118" s="73"/>
      <c r="QJW118" s="73"/>
      <c r="QJX118" s="73"/>
      <c r="QJY118" s="73"/>
      <c r="QJZ118" s="73"/>
      <c r="QKA118" s="73"/>
      <c r="QKB118" s="73"/>
      <c r="QKC118" s="73"/>
      <c r="QKD118" s="73"/>
      <c r="QKE118" s="73"/>
      <c r="QKF118" s="73"/>
      <c r="QKG118" s="73"/>
      <c r="QKH118" s="73"/>
      <c r="QKI118" s="73"/>
      <c r="QKJ118" s="73"/>
      <c r="QKK118" s="73"/>
      <c r="QKL118" s="73"/>
      <c r="QKM118" s="73"/>
      <c r="QKN118" s="73"/>
      <c r="QKO118" s="73"/>
      <c r="QKP118" s="73"/>
      <c r="QKQ118" s="73"/>
      <c r="QKR118" s="73"/>
      <c r="QKS118" s="73"/>
      <c r="QKT118" s="73"/>
      <c r="QKU118" s="73"/>
      <c r="QKV118" s="73"/>
      <c r="QKW118" s="73"/>
      <c r="QKX118" s="73"/>
      <c r="QKY118" s="73"/>
      <c r="QKZ118" s="73"/>
      <c r="QLA118" s="73"/>
      <c r="QLB118" s="73"/>
      <c r="QLC118" s="73"/>
      <c r="QLD118" s="73"/>
      <c r="QLE118" s="73"/>
      <c r="QLF118" s="73"/>
      <c r="QLG118" s="73"/>
      <c r="QLH118" s="73"/>
      <c r="QLI118" s="73"/>
      <c r="QLJ118" s="73"/>
      <c r="QLK118" s="73"/>
      <c r="QLL118" s="73"/>
      <c r="QLM118" s="73"/>
      <c r="QLN118" s="73"/>
      <c r="QLO118" s="73"/>
      <c r="QLP118" s="73"/>
      <c r="QLQ118" s="73"/>
      <c r="QLR118" s="73"/>
      <c r="QLS118" s="73"/>
      <c r="QLT118" s="73"/>
      <c r="QLU118" s="73"/>
      <c r="QLV118" s="73"/>
      <c r="QLW118" s="73"/>
      <c r="QLX118" s="73"/>
      <c r="QLY118" s="73"/>
      <c r="QLZ118" s="73"/>
      <c r="QMA118" s="73"/>
      <c r="QMB118" s="73"/>
      <c r="QMC118" s="73"/>
      <c r="QMD118" s="73"/>
      <c r="QME118" s="73"/>
      <c r="QMF118" s="73"/>
      <c r="QMG118" s="73"/>
      <c r="QMH118" s="73"/>
      <c r="QMI118" s="73"/>
      <c r="QMJ118" s="73"/>
      <c r="QMK118" s="73"/>
      <c r="QML118" s="73"/>
      <c r="QMM118" s="73"/>
      <c r="QMN118" s="73"/>
      <c r="QMO118" s="73"/>
      <c r="QMP118" s="73"/>
      <c r="QMQ118" s="73"/>
      <c r="QMR118" s="73"/>
      <c r="QMS118" s="73"/>
      <c r="QMT118" s="73"/>
      <c r="QMU118" s="73"/>
      <c r="QMV118" s="73"/>
      <c r="QMW118" s="73"/>
      <c r="QMX118" s="73"/>
      <c r="QMY118" s="73"/>
      <c r="QMZ118" s="73"/>
      <c r="QNA118" s="73"/>
      <c r="QNB118" s="73"/>
      <c r="QNC118" s="73"/>
      <c r="QND118" s="73"/>
      <c r="QNE118" s="73"/>
      <c r="QNF118" s="73"/>
      <c r="QNG118" s="73"/>
      <c r="QNH118" s="73"/>
      <c r="QNI118" s="73"/>
      <c r="QNJ118" s="73"/>
      <c r="QNK118" s="73"/>
      <c r="QNL118" s="73"/>
      <c r="QNM118" s="73"/>
      <c r="QNN118" s="73"/>
      <c r="QNO118" s="73"/>
      <c r="QNP118" s="73"/>
      <c r="QNQ118" s="73"/>
      <c r="QNR118" s="73"/>
      <c r="QNS118" s="73"/>
      <c r="QNT118" s="73"/>
      <c r="QNU118" s="73"/>
      <c r="QNV118" s="73"/>
      <c r="QNW118" s="73"/>
      <c r="QNX118" s="73"/>
      <c r="QNY118" s="73"/>
      <c r="QNZ118" s="73"/>
      <c r="QOA118" s="73"/>
      <c r="QOB118" s="73"/>
      <c r="QOC118" s="73"/>
      <c r="QOD118" s="73"/>
      <c r="QOE118" s="73"/>
      <c r="QOF118" s="73"/>
      <c r="QOG118" s="73"/>
      <c r="QOH118" s="73"/>
      <c r="QOI118" s="73"/>
      <c r="QOJ118" s="73"/>
      <c r="QOK118" s="73"/>
      <c r="QOL118" s="73"/>
      <c r="QOM118" s="73"/>
      <c r="QON118" s="73"/>
      <c r="QOO118" s="73"/>
      <c r="QOP118" s="73"/>
      <c r="QOQ118" s="73"/>
      <c r="QOR118" s="73"/>
      <c r="QOS118" s="73"/>
      <c r="QOT118" s="73"/>
      <c r="QOU118" s="73"/>
      <c r="QOV118" s="73"/>
      <c r="QOW118" s="73"/>
      <c r="QOX118" s="73"/>
      <c r="QOY118" s="73"/>
      <c r="QOZ118" s="73"/>
      <c r="QPA118" s="73"/>
      <c r="QPB118" s="73"/>
      <c r="QPC118" s="73"/>
      <c r="QPD118" s="73"/>
      <c r="QPE118" s="73"/>
      <c r="QPF118" s="73"/>
      <c r="QPG118" s="73"/>
      <c r="QPH118" s="73"/>
      <c r="QPI118" s="73"/>
      <c r="QPJ118" s="73"/>
      <c r="QPK118" s="73"/>
      <c r="QPL118" s="73"/>
      <c r="QPM118" s="73"/>
      <c r="QPN118" s="73"/>
      <c r="QPO118" s="73"/>
      <c r="QPP118" s="73"/>
      <c r="QPQ118" s="73"/>
      <c r="QPR118" s="73"/>
      <c r="QPS118" s="73"/>
      <c r="QPT118" s="73"/>
      <c r="QPU118" s="73"/>
      <c r="QPV118" s="73"/>
      <c r="QPW118" s="73"/>
      <c r="QPX118" s="73"/>
      <c r="QPY118" s="73"/>
      <c r="QPZ118" s="73"/>
      <c r="QQA118" s="73"/>
      <c r="QQB118" s="73"/>
      <c r="QQC118" s="73"/>
      <c r="QQD118" s="73"/>
      <c r="QQE118" s="73"/>
      <c r="QQF118" s="73"/>
      <c r="QQG118" s="73"/>
      <c r="QQH118" s="73"/>
      <c r="QQI118" s="73"/>
      <c r="QQJ118" s="73"/>
      <c r="QQK118" s="73"/>
      <c r="QQL118" s="73"/>
      <c r="QQM118" s="73"/>
      <c r="QQN118" s="73"/>
      <c r="QQO118" s="73"/>
      <c r="QQP118" s="73"/>
      <c r="QQQ118" s="73"/>
      <c r="QQR118" s="73"/>
      <c r="QQS118" s="73"/>
      <c r="QQT118" s="73"/>
      <c r="QQU118" s="73"/>
      <c r="QQV118" s="73"/>
      <c r="QQW118" s="73"/>
      <c r="QQX118" s="73"/>
      <c r="QQY118" s="73"/>
      <c r="QQZ118" s="73"/>
      <c r="QRA118" s="73"/>
      <c r="QRB118" s="73"/>
      <c r="QRC118" s="73"/>
      <c r="QRD118" s="73"/>
      <c r="QRE118" s="73"/>
      <c r="QRF118" s="73"/>
      <c r="QRG118" s="73"/>
      <c r="QRH118" s="73"/>
      <c r="QRI118" s="73"/>
      <c r="QRJ118" s="73"/>
      <c r="QRK118" s="73"/>
      <c r="QRL118" s="73"/>
      <c r="QRM118" s="73"/>
      <c r="QRN118" s="73"/>
      <c r="QRO118" s="73"/>
      <c r="QRP118" s="73"/>
      <c r="QRQ118" s="73"/>
      <c r="QRR118" s="73"/>
      <c r="QRS118" s="73"/>
      <c r="QRT118" s="73"/>
      <c r="QRU118" s="73"/>
      <c r="QRV118" s="73"/>
      <c r="QRW118" s="73"/>
      <c r="QRX118" s="73"/>
      <c r="QRY118" s="73"/>
      <c r="QRZ118" s="73"/>
      <c r="QSA118" s="73"/>
      <c r="QSB118" s="73"/>
      <c r="QSC118" s="73"/>
      <c r="QSD118" s="73"/>
      <c r="QSE118" s="73"/>
      <c r="QSF118" s="73"/>
      <c r="QSG118" s="73"/>
      <c r="QSH118" s="73"/>
      <c r="QSI118" s="73"/>
      <c r="QSJ118" s="73"/>
      <c r="QSK118" s="73"/>
      <c r="QSL118" s="73"/>
      <c r="QSM118" s="73"/>
      <c r="QSN118" s="73"/>
      <c r="QSO118" s="73"/>
      <c r="QSP118" s="73"/>
      <c r="QSQ118" s="73"/>
      <c r="QSR118" s="73"/>
      <c r="QSS118" s="73"/>
      <c r="QST118" s="73"/>
      <c r="QSU118" s="73"/>
      <c r="QSV118" s="73"/>
      <c r="QSW118" s="73"/>
      <c r="QSX118" s="73"/>
      <c r="QSY118" s="73"/>
      <c r="QSZ118" s="73"/>
      <c r="QTA118" s="73"/>
      <c r="QTB118" s="73"/>
      <c r="QTC118" s="73"/>
      <c r="QTD118" s="73"/>
      <c r="QTE118" s="73"/>
      <c r="QTF118" s="73"/>
      <c r="QTG118" s="73"/>
      <c r="QTH118" s="73"/>
      <c r="QTI118" s="73"/>
      <c r="QTJ118" s="73"/>
      <c r="QTK118" s="73"/>
      <c r="QTL118" s="73"/>
      <c r="QTM118" s="73"/>
      <c r="QTN118" s="73"/>
      <c r="QTO118" s="73"/>
      <c r="QTP118" s="73"/>
      <c r="QTQ118" s="73"/>
      <c r="QTR118" s="73"/>
      <c r="QTS118" s="73"/>
      <c r="QTT118" s="73"/>
      <c r="QTU118" s="73"/>
      <c r="QTV118" s="73"/>
      <c r="QTW118" s="73"/>
      <c r="QTX118" s="73"/>
      <c r="QTY118" s="73"/>
      <c r="QTZ118" s="73"/>
      <c r="QUA118" s="73"/>
      <c r="QUB118" s="73"/>
      <c r="QUC118" s="73"/>
      <c r="QUD118" s="73"/>
      <c r="QUE118" s="73"/>
      <c r="QUF118" s="73"/>
      <c r="QUG118" s="73"/>
      <c r="QUH118" s="73"/>
      <c r="QUI118" s="73"/>
      <c r="QUJ118" s="73"/>
      <c r="QUK118" s="73"/>
      <c r="QUL118" s="73"/>
      <c r="QUM118" s="73"/>
      <c r="QUN118" s="73"/>
      <c r="QUO118" s="73"/>
      <c r="QUP118" s="73"/>
      <c r="QUQ118" s="73"/>
      <c r="QUR118" s="73"/>
      <c r="QUS118" s="73"/>
      <c r="QUT118" s="73"/>
      <c r="QUU118" s="73"/>
      <c r="QUV118" s="73"/>
      <c r="QUW118" s="73"/>
      <c r="QUX118" s="73"/>
      <c r="QUY118" s="73"/>
      <c r="QUZ118" s="73"/>
      <c r="QVA118" s="73"/>
      <c r="QVB118" s="73"/>
      <c r="QVC118" s="73"/>
      <c r="QVD118" s="73"/>
      <c r="QVE118" s="73"/>
      <c r="QVF118" s="73"/>
      <c r="QVG118" s="73"/>
      <c r="QVH118" s="73"/>
      <c r="QVI118" s="73"/>
      <c r="QVJ118" s="73"/>
      <c r="QVK118" s="73"/>
      <c r="QVL118" s="73"/>
      <c r="QVM118" s="73"/>
      <c r="QVN118" s="73"/>
      <c r="QVO118" s="73"/>
      <c r="QVP118" s="73"/>
      <c r="QVQ118" s="73"/>
      <c r="QVR118" s="73"/>
      <c r="QVS118" s="73"/>
      <c r="QVT118" s="73"/>
      <c r="QVU118" s="73"/>
      <c r="QVV118" s="73"/>
      <c r="QVW118" s="73"/>
      <c r="QVX118" s="73"/>
      <c r="QVY118" s="73"/>
      <c r="QVZ118" s="73"/>
      <c r="QWA118" s="73"/>
      <c r="QWB118" s="73"/>
      <c r="QWC118" s="73"/>
      <c r="QWD118" s="73"/>
      <c r="QWE118" s="73"/>
      <c r="QWF118" s="73"/>
      <c r="QWG118" s="73"/>
      <c r="QWH118" s="73"/>
      <c r="QWI118" s="73"/>
      <c r="QWJ118" s="73"/>
      <c r="QWK118" s="73"/>
      <c r="QWL118" s="73"/>
      <c r="QWM118" s="73"/>
      <c r="QWN118" s="73"/>
      <c r="QWO118" s="73"/>
      <c r="QWP118" s="73"/>
      <c r="QWQ118" s="73"/>
      <c r="QWR118" s="73"/>
      <c r="QWS118" s="73"/>
      <c r="QWT118" s="73"/>
      <c r="QWU118" s="73"/>
      <c r="QWV118" s="73"/>
      <c r="QWW118" s="73"/>
      <c r="QWX118" s="73"/>
      <c r="QWY118" s="73"/>
      <c r="QWZ118" s="73"/>
      <c r="QXA118" s="73"/>
      <c r="QXB118" s="73"/>
      <c r="QXC118" s="73"/>
      <c r="QXD118" s="73"/>
      <c r="QXE118" s="73"/>
      <c r="QXF118" s="73"/>
      <c r="QXG118" s="73"/>
      <c r="QXH118" s="73"/>
      <c r="QXI118" s="73"/>
      <c r="QXJ118" s="73"/>
      <c r="QXK118" s="73"/>
      <c r="QXL118" s="73"/>
      <c r="QXM118" s="73"/>
      <c r="QXN118" s="73"/>
      <c r="QXO118" s="73"/>
      <c r="QXP118" s="73"/>
      <c r="QXQ118" s="73"/>
      <c r="QXR118" s="73"/>
      <c r="QXS118" s="73"/>
      <c r="QXT118" s="73"/>
      <c r="QXU118" s="73"/>
      <c r="QXV118" s="73"/>
      <c r="QXW118" s="73"/>
      <c r="QXX118" s="73"/>
      <c r="QXY118" s="73"/>
      <c r="QXZ118" s="73"/>
      <c r="QYA118" s="73"/>
      <c r="QYB118" s="73"/>
      <c r="QYC118" s="73"/>
      <c r="QYD118" s="73"/>
      <c r="QYE118" s="73"/>
      <c r="QYF118" s="73"/>
      <c r="QYG118" s="73"/>
      <c r="QYH118" s="73"/>
      <c r="QYI118" s="73"/>
      <c r="QYJ118" s="73"/>
      <c r="QYK118" s="73"/>
      <c r="QYL118" s="73"/>
      <c r="QYM118" s="73"/>
      <c r="QYN118" s="73"/>
      <c r="QYO118" s="73"/>
      <c r="QYP118" s="73"/>
      <c r="QYQ118" s="73"/>
      <c r="QYR118" s="73"/>
      <c r="QYS118" s="73"/>
      <c r="QYT118" s="73"/>
      <c r="QYU118" s="73"/>
      <c r="QYV118" s="73"/>
      <c r="QYW118" s="73"/>
      <c r="QYX118" s="73"/>
      <c r="QYY118" s="73"/>
      <c r="QYZ118" s="73"/>
      <c r="QZA118" s="73"/>
      <c r="QZB118" s="73"/>
      <c r="QZC118" s="73"/>
      <c r="QZD118" s="73"/>
      <c r="QZE118" s="73"/>
      <c r="QZF118" s="73"/>
      <c r="QZG118" s="73"/>
      <c r="QZH118" s="73"/>
      <c r="QZI118" s="73"/>
      <c r="QZJ118" s="73"/>
      <c r="QZK118" s="73"/>
      <c r="QZL118" s="73"/>
      <c r="QZM118" s="73"/>
      <c r="QZN118" s="73"/>
      <c r="QZO118" s="73"/>
      <c r="QZP118" s="73"/>
      <c r="QZQ118" s="73"/>
      <c r="QZR118" s="73"/>
      <c r="QZS118" s="73"/>
      <c r="QZT118" s="73"/>
      <c r="QZU118" s="73"/>
      <c r="QZV118" s="73"/>
      <c r="QZW118" s="73"/>
      <c r="QZX118" s="73"/>
      <c r="QZY118" s="73"/>
      <c r="QZZ118" s="73"/>
      <c r="RAA118" s="73"/>
      <c r="RAB118" s="73"/>
      <c r="RAC118" s="73"/>
      <c r="RAD118" s="73"/>
      <c r="RAE118" s="73"/>
      <c r="RAF118" s="73"/>
      <c r="RAG118" s="73"/>
      <c r="RAH118" s="73"/>
      <c r="RAI118" s="73"/>
      <c r="RAJ118" s="73"/>
      <c r="RAK118" s="73"/>
      <c r="RAL118" s="73"/>
      <c r="RAM118" s="73"/>
      <c r="RAN118" s="73"/>
      <c r="RAO118" s="73"/>
      <c r="RAP118" s="73"/>
      <c r="RAQ118" s="73"/>
      <c r="RAR118" s="73"/>
      <c r="RAS118" s="73"/>
      <c r="RAT118" s="73"/>
      <c r="RAU118" s="73"/>
      <c r="RAV118" s="73"/>
      <c r="RAW118" s="73"/>
      <c r="RAX118" s="73"/>
      <c r="RAY118" s="73"/>
      <c r="RAZ118" s="73"/>
      <c r="RBA118" s="73"/>
      <c r="RBB118" s="73"/>
      <c r="RBC118" s="73"/>
      <c r="RBD118" s="73"/>
      <c r="RBE118" s="73"/>
      <c r="RBF118" s="73"/>
      <c r="RBG118" s="73"/>
      <c r="RBH118" s="73"/>
      <c r="RBI118" s="73"/>
      <c r="RBJ118" s="73"/>
      <c r="RBK118" s="73"/>
      <c r="RBL118" s="73"/>
      <c r="RBM118" s="73"/>
      <c r="RBN118" s="73"/>
      <c r="RBO118" s="73"/>
      <c r="RBP118" s="73"/>
      <c r="RBQ118" s="73"/>
      <c r="RBR118" s="73"/>
      <c r="RBS118" s="73"/>
      <c r="RBT118" s="73"/>
      <c r="RBU118" s="73"/>
      <c r="RBV118" s="73"/>
      <c r="RBW118" s="73"/>
      <c r="RBX118" s="73"/>
      <c r="RBY118" s="73"/>
      <c r="RBZ118" s="73"/>
      <c r="RCA118" s="73"/>
      <c r="RCB118" s="73"/>
      <c r="RCC118" s="73"/>
      <c r="RCD118" s="73"/>
      <c r="RCE118" s="73"/>
      <c r="RCF118" s="73"/>
      <c r="RCG118" s="73"/>
      <c r="RCH118" s="73"/>
      <c r="RCI118" s="73"/>
      <c r="RCJ118" s="73"/>
      <c r="RCK118" s="73"/>
      <c r="RCL118" s="73"/>
      <c r="RCM118" s="73"/>
      <c r="RCN118" s="73"/>
      <c r="RCO118" s="73"/>
      <c r="RCP118" s="73"/>
      <c r="RCQ118" s="73"/>
      <c r="RCR118" s="73"/>
      <c r="RCS118" s="73"/>
      <c r="RCT118" s="73"/>
      <c r="RCU118" s="73"/>
      <c r="RCV118" s="73"/>
      <c r="RCW118" s="73"/>
      <c r="RCX118" s="73"/>
      <c r="RCY118" s="73"/>
      <c r="RCZ118" s="73"/>
      <c r="RDA118" s="73"/>
      <c r="RDB118" s="73"/>
      <c r="RDC118" s="73"/>
      <c r="RDD118" s="73"/>
      <c r="RDE118" s="73"/>
      <c r="RDF118" s="73"/>
      <c r="RDG118" s="73"/>
      <c r="RDH118" s="73"/>
      <c r="RDI118" s="73"/>
      <c r="RDJ118" s="73"/>
      <c r="RDK118" s="73"/>
      <c r="RDL118" s="73"/>
      <c r="RDM118" s="73"/>
      <c r="RDN118" s="73"/>
      <c r="RDO118" s="73"/>
      <c r="RDP118" s="73"/>
      <c r="RDQ118" s="73"/>
      <c r="RDR118" s="73"/>
      <c r="RDS118" s="73"/>
      <c r="RDT118" s="73"/>
      <c r="RDU118" s="73"/>
      <c r="RDV118" s="73"/>
      <c r="RDW118" s="73"/>
      <c r="RDX118" s="73"/>
      <c r="RDY118" s="73"/>
      <c r="RDZ118" s="73"/>
      <c r="REA118" s="73"/>
      <c r="REB118" s="73"/>
      <c r="REC118" s="73"/>
      <c r="RED118" s="73"/>
      <c r="REE118" s="73"/>
      <c r="REF118" s="73"/>
      <c r="REG118" s="73"/>
      <c r="REH118" s="73"/>
      <c r="REI118" s="73"/>
      <c r="REJ118" s="73"/>
      <c r="REK118" s="73"/>
      <c r="REL118" s="73"/>
      <c r="REM118" s="73"/>
      <c r="REN118" s="73"/>
      <c r="REO118" s="73"/>
      <c r="REP118" s="73"/>
      <c r="REQ118" s="73"/>
      <c r="RER118" s="73"/>
      <c r="RES118" s="73"/>
      <c r="RET118" s="73"/>
      <c r="REU118" s="73"/>
      <c r="REV118" s="73"/>
      <c r="REW118" s="73"/>
      <c r="REX118" s="73"/>
      <c r="REY118" s="73"/>
      <c r="REZ118" s="73"/>
      <c r="RFA118" s="73"/>
      <c r="RFB118" s="73"/>
      <c r="RFC118" s="73"/>
      <c r="RFD118" s="73"/>
      <c r="RFE118" s="73"/>
      <c r="RFF118" s="73"/>
      <c r="RFG118" s="73"/>
      <c r="RFH118" s="73"/>
      <c r="RFI118" s="73"/>
      <c r="RFJ118" s="73"/>
      <c r="RFK118" s="73"/>
      <c r="RFL118" s="73"/>
      <c r="RFM118" s="73"/>
      <c r="RFN118" s="73"/>
      <c r="RFO118" s="73"/>
      <c r="RFP118" s="73"/>
      <c r="RFQ118" s="73"/>
      <c r="RFR118" s="73"/>
      <c r="RFS118" s="73"/>
      <c r="RFT118" s="73"/>
      <c r="RFU118" s="73"/>
      <c r="RFV118" s="73"/>
      <c r="RFW118" s="73"/>
      <c r="RFX118" s="73"/>
      <c r="RFY118" s="73"/>
      <c r="RFZ118" s="73"/>
      <c r="RGA118" s="73"/>
      <c r="RGB118" s="73"/>
      <c r="RGC118" s="73"/>
      <c r="RGD118" s="73"/>
      <c r="RGE118" s="73"/>
      <c r="RGF118" s="73"/>
      <c r="RGG118" s="73"/>
      <c r="RGH118" s="73"/>
      <c r="RGI118" s="73"/>
      <c r="RGJ118" s="73"/>
      <c r="RGK118" s="73"/>
      <c r="RGL118" s="73"/>
      <c r="RGM118" s="73"/>
      <c r="RGN118" s="73"/>
      <c r="RGO118" s="73"/>
      <c r="RGP118" s="73"/>
      <c r="RGQ118" s="73"/>
      <c r="RGR118" s="73"/>
      <c r="RGS118" s="73"/>
      <c r="RGT118" s="73"/>
      <c r="RGU118" s="73"/>
      <c r="RGV118" s="73"/>
      <c r="RGW118" s="73"/>
      <c r="RGX118" s="73"/>
      <c r="RGY118" s="73"/>
      <c r="RGZ118" s="73"/>
      <c r="RHA118" s="73"/>
      <c r="RHB118" s="73"/>
      <c r="RHC118" s="73"/>
      <c r="RHD118" s="73"/>
      <c r="RHE118" s="73"/>
      <c r="RHF118" s="73"/>
      <c r="RHG118" s="73"/>
      <c r="RHH118" s="73"/>
      <c r="RHI118" s="73"/>
      <c r="RHJ118" s="73"/>
      <c r="RHK118" s="73"/>
      <c r="RHL118" s="73"/>
      <c r="RHM118" s="73"/>
      <c r="RHN118" s="73"/>
      <c r="RHO118" s="73"/>
      <c r="RHP118" s="73"/>
      <c r="RHQ118" s="73"/>
      <c r="RHR118" s="73"/>
      <c r="RHS118" s="73"/>
      <c r="RHT118" s="73"/>
      <c r="RHU118" s="73"/>
      <c r="RHV118" s="73"/>
      <c r="RHW118" s="73"/>
      <c r="RHX118" s="73"/>
      <c r="RHY118" s="73"/>
      <c r="RHZ118" s="73"/>
      <c r="RIA118" s="73"/>
      <c r="RIB118" s="73"/>
      <c r="RIC118" s="73"/>
      <c r="RID118" s="73"/>
      <c r="RIE118" s="73"/>
      <c r="RIF118" s="73"/>
      <c r="RIG118" s="73"/>
      <c r="RIH118" s="73"/>
      <c r="RII118" s="73"/>
      <c r="RIJ118" s="73"/>
      <c r="RIK118" s="73"/>
      <c r="RIL118" s="73"/>
      <c r="RIM118" s="73"/>
      <c r="RIN118" s="73"/>
      <c r="RIO118" s="73"/>
      <c r="RIP118" s="73"/>
      <c r="RIQ118" s="73"/>
      <c r="RIR118" s="73"/>
      <c r="RIS118" s="73"/>
      <c r="RIT118" s="73"/>
      <c r="RIU118" s="73"/>
      <c r="RIV118" s="73"/>
      <c r="RIW118" s="73"/>
      <c r="RIX118" s="73"/>
      <c r="RIY118" s="73"/>
      <c r="RIZ118" s="73"/>
      <c r="RJA118" s="73"/>
      <c r="RJB118" s="73"/>
      <c r="RJC118" s="73"/>
      <c r="RJD118" s="73"/>
      <c r="RJE118" s="73"/>
      <c r="RJF118" s="73"/>
      <c r="RJG118" s="73"/>
      <c r="RJH118" s="73"/>
      <c r="RJI118" s="73"/>
      <c r="RJJ118" s="73"/>
      <c r="RJK118" s="73"/>
      <c r="RJL118" s="73"/>
      <c r="RJM118" s="73"/>
      <c r="RJN118" s="73"/>
      <c r="RJO118" s="73"/>
      <c r="RJP118" s="73"/>
      <c r="RJQ118" s="73"/>
      <c r="RJR118" s="73"/>
      <c r="RJS118" s="73"/>
      <c r="RJT118" s="73"/>
      <c r="RJU118" s="73"/>
      <c r="RJV118" s="73"/>
      <c r="RJW118" s="73"/>
      <c r="RJX118" s="73"/>
      <c r="RJY118" s="73"/>
      <c r="RJZ118" s="73"/>
      <c r="RKA118" s="73"/>
      <c r="RKB118" s="73"/>
      <c r="RKC118" s="73"/>
      <c r="RKD118" s="73"/>
      <c r="RKE118" s="73"/>
      <c r="RKF118" s="73"/>
      <c r="RKG118" s="73"/>
      <c r="RKH118" s="73"/>
      <c r="RKI118" s="73"/>
      <c r="RKJ118" s="73"/>
      <c r="RKK118" s="73"/>
      <c r="RKL118" s="73"/>
      <c r="RKM118" s="73"/>
      <c r="RKN118" s="73"/>
      <c r="RKO118" s="73"/>
      <c r="RKP118" s="73"/>
      <c r="RKQ118" s="73"/>
      <c r="RKR118" s="73"/>
      <c r="RKS118" s="73"/>
      <c r="RKT118" s="73"/>
      <c r="RKU118" s="73"/>
      <c r="RKV118" s="73"/>
      <c r="RKW118" s="73"/>
      <c r="RKX118" s="73"/>
      <c r="RKY118" s="73"/>
      <c r="RKZ118" s="73"/>
      <c r="RLA118" s="73"/>
      <c r="RLB118" s="73"/>
      <c r="RLC118" s="73"/>
      <c r="RLD118" s="73"/>
      <c r="RLE118" s="73"/>
      <c r="RLF118" s="73"/>
      <c r="RLG118" s="73"/>
      <c r="RLH118" s="73"/>
      <c r="RLI118" s="73"/>
      <c r="RLJ118" s="73"/>
      <c r="RLK118" s="73"/>
      <c r="RLL118" s="73"/>
      <c r="RLM118" s="73"/>
      <c r="RLN118" s="73"/>
      <c r="RLO118" s="73"/>
      <c r="RLP118" s="73"/>
      <c r="RLQ118" s="73"/>
      <c r="RLR118" s="73"/>
      <c r="RLS118" s="73"/>
      <c r="RLT118" s="73"/>
      <c r="RLU118" s="73"/>
      <c r="RLV118" s="73"/>
      <c r="RLW118" s="73"/>
      <c r="RLX118" s="73"/>
      <c r="RLY118" s="73"/>
      <c r="RLZ118" s="73"/>
      <c r="RMA118" s="73"/>
      <c r="RMB118" s="73"/>
      <c r="RMC118" s="73"/>
      <c r="RMD118" s="73"/>
      <c r="RME118" s="73"/>
      <c r="RMF118" s="73"/>
      <c r="RMG118" s="73"/>
      <c r="RMH118" s="73"/>
      <c r="RMI118" s="73"/>
      <c r="RMJ118" s="73"/>
      <c r="RMK118" s="73"/>
      <c r="RML118" s="73"/>
      <c r="RMM118" s="73"/>
      <c r="RMN118" s="73"/>
      <c r="RMO118" s="73"/>
      <c r="RMP118" s="73"/>
      <c r="RMQ118" s="73"/>
      <c r="RMR118" s="73"/>
      <c r="RMS118" s="73"/>
      <c r="RMT118" s="73"/>
      <c r="RMU118" s="73"/>
      <c r="RMV118" s="73"/>
      <c r="RMW118" s="73"/>
      <c r="RMX118" s="73"/>
      <c r="RMY118" s="73"/>
      <c r="RMZ118" s="73"/>
      <c r="RNA118" s="73"/>
      <c r="RNB118" s="73"/>
      <c r="RNC118" s="73"/>
      <c r="RND118" s="73"/>
      <c r="RNE118" s="73"/>
      <c r="RNF118" s="73"/>
      <c r="RNG118" s="73"/>
      <c r="RNH118" s="73"/>
      <c r="RNI118" s="73"/>
      <c r="RNJ118" s="73"/>
      <c r="RNK118" s="73"/>
      <c r="RNL118" s="73"/>
      <c r="RNM118" s="73"/>
      <c r="RNN118" s="73"/>
      <c r="RNO118" s="73"/>
      <c r="RNP118" s="73"/>
      <c r="RNQ118" s="73"/>
      <c r="RNR118" s="73"/>
      <c r="RNS118" s="73"/>
      <c r="RNT118" s="73"/>
      <c r="RNU118" s="73"/>
      <c r="RNV118" s="73"/>
      <c r="RNW118" s="73"/>
      <c r="RNX118" s="73"/>
      <c r="RNY118" s="73"/>
      <c r="RNZ118" s="73"/>
      <c r="ROA118" s="73"/>
      <c r="ROB118" s="73"/>
      <c r="ROC118" s="73"/>
      <c r="ROD118" s="73"/>
      <c r="ROE118" s="73"/>
      <c r="ROF118" s="73"/>
      <c r="ROG118" s="73"/>
      <c r="ROH118" s="73"/>
      <c r="ROI118" s="73"/>
      <c r="ROJ118" s="73"/>
      <c r="ROK118" s="73"/>
      <c r="ROL118" s="73"/>
      <c r="ROM118" s="73"/>
      <c r="RON118" s="73"/>
      <c r="ROO118" s="73"/>
      <c r="ROP118" s="73"/>
      <c r="ROQ118" s="73"/>
      <c r="ROR118" s="73"/>
      <c r="ROS118" s="73"/>
      <c r="ROT118" s="73"/>
      <c r="ROU118" s="73"/>
      <c r="ROV118" s="73"/>
      <c r="ROW118" s="73"/>
      <c r="ROX118" s="73"/>
      <c r="ROY118" s="73"/>
      <c r="ROZ118" s="73"/>
      <c r="RPA118" s="73"/>
      <c r="RPB118" s="73"/>
      <c r="RPC118" s="73"/>
      <c r="RPD118" s="73"/>
      <c r="RPE118" s="73"/>
      <c r="RPF118" s="73"/>
      <c r="RPG118" s="73"/>
      <c r="RPH118" s="73"/>
      <c r="RPI118" s="73"/>
      <c r="RPJ118" s="73"/>
      <c r="RPK118" s="73"/>
      <c r="RPL118" s="73"/>
      <c r="RPM118" s="73"/>
      <c r="RPN118" s="73"/>
      <c r="RPO118" s="73"/>
      <c r="RPP118" s="73"/>
      <c r="RPQ118" s="73"/>
      <c r="RPR118" s="73"/>
      <c r="RPS118" s="73"/>
      <c r="RPT118" s="73"/>
      <c r="RPU118" s="73"/>
      <c r="RPV118" s="73"/>
      <c r="RPW118" s="73"/>
      <c r="RPX118" s="73"/>
      <c r="RPY118" s="73"/>
      <c r="RPZ118" s="73"/>
      <c r="RQA118" s="73"/>
      <c r="RQB118" s="73"/>
      <c r="RQC118" s="73"/>
      <c r="RQD118" s="73"/>
      <c r="RQE118" s="73"/>
      <c r="RQF118" s="73"/>
      <c r="RQG118" s="73"/>
      <c r="RQH118" s="73"/>
      <c r="RQI118" s="73"/>
      <c r="RQJ118" s="73"/>
      <c r="RQK118" s="73"/>
      <c r="RQL118" s="73"/>
      <c r="RQM118" s="73"/>
      <c r="RQN118" s="73"/>
      <c r="RQO118" s="73"/>
      <c r="RQP118" s="73"/>
      <c r="RQQ118" s="73"/>
      <c r="RQR118" s="73"/>
      <c r="RQS118" s="73"/>
      <c r="RQT118" s="73"/>
      <c r="RQU118" s="73"/>
      <c r="RQV118" s="73"/>
      <c r="RQW118" s="73"/>
      <c r="RQX118" s="73"/>
      <c r="RQY118" s="73"/>
      <c r="RQZ118" s="73"/>
      <c r="RRA118" s="73"/>
      <c r="RRB118" s="73"/>
      <c r="RRC118" s="73"/>
      <c r="RRD118" s="73"/>
      <c r="RRE118" s="73"/>
      <c r="RRF118" s="73"/>
      <c r="RRG118" s="73"/>
      <c r="RRH118" s="73"/>
      <c r="RRI118" s="73"/>
      <c r="RRJ118" s="73"/>
      <c r="RRK118" s="73"/>
      <c r="RRL118" s="73"/>
      <c r="RRM118" s="73"/>
      <c r="RRN118" s="73"/>
      <c r="RRO118" s="73"/>
      <c r="RRP118" s="73"/>
      <c r="RRQ118" s="73"/>
      <c r="RRR118" s="73"/>
      <c r="RRS118" s="73"/>
      <c r="RRT118" s="73"/>
      <c r="RRU118" s="73"/>
      <c r="RRV118" s="73"/>
      <c r="RRW118" s="73"/>
      <c r="RRX118" s="73"/>
      <c r="RRY118" s="73"/>
      <c r="RRZ118" s="73"/>
      <c r="RSA118" s="73"/>
      <c r="RSB118" s="73"/>
      <c r="RSC118" s="73"/>
      <c r="RSD118" s="73"/>
      <c r="RSE118" s="73"/>
      <c r="RSF118" s="73"/>
      <c r="RSG118" s="73"/>
      <c r="RSH118" s="73"/>
      <c r="RSI118" s="73"/>
      <c r="RSJ118" s="73"/>
      <c r="RSK118" s="73"/>
      <c r="RSL118" s="73"/>
      <c r="RSM118" s="73"/>
      <c r="RSN118" s="73"/>
      <c r="RSO118" s="73"/>
      <c r="RSP118" s="73"/>
      <c r="RSQ118" s="73"/>
      <c r="RSR118" s="73"/>
      <c r="RSS118" s="73"/>
      <c r="RST118" s="73"/>
      <c r="RSU118" s="73"/>
      <c r="RSV118" s="73"/>
      <c r="RSW118" s="73"/>
      <c r="RSX118" s="73"/>
      <c r="RSY118" s="73"/>
      <c r="RSZ118" s="73"/>
      <c r="RTA118" s="73"/>
      <c r="RTB118" s="73"/>
      <c r="RTC118" s="73"/>
      <c r="RTD118" s="73"/>
      <c r="RTE118" s="73"/>
      <c r="RTF118" s="73"/>
      <c r="RTG118" s="73"/>
      <c r="RTH118" s="73"/>
      <c r="RTI118" s="73"/>
      <c r="RTJ118" s="73"/>
      <c r="RTK118" s="73"/>
      <c r="RTL118" s="73"/>
      <c r="RTM118" s="73"/>
      <c r="RTN118" s="73"/>
      <c r="RTO118" s="73"/>
      <c r="RTP118" s="73"/>
      <c r="RTQ118" s="73"/>
      <c r="RTR118" s="73"/>
      <c r="RTS118" s="73"/>
      <c r="RTT118" s="73"/>
      <c r="RTU118" s="73"/>
      <c r="RTV118" s="73"/>
      <c r="RTW118" s="73"/>
      <c r="RTX118" s="73"/>
      <c r="RTY118" s="73"/>
      <c r="RTZ118" s="73"/>
      <c r="RUA118" s="73"/>
      <c r="RUB118" s="73"/>
      <c r="RUC118" s="73"/>
      <c r="RUD118" s="73"/>
      <c r="RUE118" s="73"/>
      <c r="RUF118" s="73"/>
      <c r="RUG118" s="73"/>
      <c r="RUH118" s="73"/>
      <c r="RUI118" s="73"/>
      <c r="RUJ118" s="73"/>
      <c r="RUK118" s="73"/>
      <c r="RUL118" s="73"/>
      <c r="RUM118" s="73"/>
      <c r="RUN118" s="73"/>
      <c r="RUO118" s="73"/>
      <c r="RUP118" s="73"/>
      <c r="RUQ118" s="73"/>
      <c r="RUR118" s="73"/>
      <c r="RUS118" s="73"/>
      <c r="RUT118" s="73"/>
      <c r="RUU118" s="73"/>
      <c r="RUV118" s="73"/>
      <c r="RUW118" s="73"/>
      <c r="RUX118" s="73"/>
      <c r="RUY118" s="73"/>
      <c r="RUZ118" s="73"/>
      <c r="RVA118" s="73"/>
      <c r="RVB118" s="73"/>
      <c r="RVC118" s="73"/>
      <c r="RVD118" s="73"/>
      <c r="RVE118" s="73"/>
      <c r="RVF118" s="73"/>
      <c r="RVG118" s="73"/>
      <c r="RVH118" s="73"/>
      <c r="RVI118" s="73"/>
      <c r="RVJ118" s="73"/>
      <c r="RVK118" s="73"/>
      <c r="RVL118" s="73"/>
      <c r="RVM118" s="73"/>
      <c r="RVN118" s="73"/>
      <c r="RVO118" s="73"/>
      <c r="RVP118" s="73"/>
      <c r="RVQ118" s="73"/>
      <c r="RVR118" s="73"/>
      <c r="RVS118" s="73"/>
      <c r="RVT118" s="73"/>
      <c r="RVU118" s="73"/>
      <c r="RVV118" s="73"/>
      <c r="RVW118" s="73"/>
      <c r="RVX118" s="73"/>
      <c r="RVY118" s="73"/>
      <c r="RVZ118" s="73"/>
      <c r="RWA118" s="73"/>
      <c r="RWB118" s="73"/>
      <c r="RWC118" s="73"/>
      <c r="RWD118" s="73"/>
      <c r="RWE118" s="73"/>
      <c r="RWF118" s="73"/>
      <c r="RWG118" s="73"/>
      <c r="RWH118" s="73"/>
      <c r="RWI118" s="73"/>
      <c r="RWJ118" s="73"/>
      <c r="RWK118" s="73"/>
      <c r="RWL118" s="73"/>
      <c r="RWM118" s="73"/>
      <c r="RWN118" s="73"/>
      <c r="RWO118" s="73"/>
      <c r="RWP118" s="73"/>
      <c r="RWQ118" s="73"/>
      <c r="RWR118" s="73"/>
      <c r="RWS118" s="73"/>
      <c r="RWT118" s="73"/>
      <c r="RWU118" s="73"/>
      <c r="RWV118" s="73"/>
      <c r="RWW118" s="73"/>
      <c r="RWX118" s="73"/>
      <c r="RWY118" s="73"/>
      <c r="RWZ118" s="73"/>
      <c r="RXA118" s="73"/>
      <c r="RXB118" s="73"/>
      <c r="RXC118" s="73"/>
      <c r="RXD118" s="73"/>
      <c r="RXE118" s="73"/>
      <c r="RXF118" s="73"/>
      <c r="RXG118" s="73"/>
      <c r="RXH118" s="73"/>
      <c r="RXI118" s="73"/>
      <c r="RXJ118" s="73"/>
      <c r="RXK118" s="73"/>
      <c r="RXL118" s="73"/>
      <c r="RXM118" s="73"/>
      <c r="RXN118" s="73"/>
      <c r="RXO118" s="73"/>
      <c r="RXP118" s="73"/>
      <c r="RXQ118" s="73"/>
      <c r="RXR118" s="73"/>
      <c r="RXS118" s="73"/>
      <c r="RXT118" s="73"/>
      <c r="RXU118" s="73"/>
      <c r="RXV118" s="73"/>
      <c r="RXW118" s="73"/>
      <c r="RXX118" s="73"/>
      <c r="RXY118" s="73"/>
      <c r="RXZ118" s="73"/>
      <c r="RYA118" s="73"/>
      <c r="RYB118" s="73"/>
      <c r="RYC118" s="73"/>
      <c r="RYD118" s="73"/>
      <c r="RYE118" s="73"/>
      <c r="RYF118" s="73"/>
      <c r="RYG118" s="73"/>
      <c r="RYH118" s="73"/>
      <c r="RYI118" s="73"/>
      <c r="RYJ118" s="73"/>
      <c r="RYK118" s="73"/>
      <c r="RYL118" s="73"/>
      <c r="RYM118" s="73"/>
      <c r="RYN118" s="73"/>
      <c r="RYO118" s="73"/>
      <c r="RYP118" s="73"/>
      <c r="RYQ118" s="73"/>
      <c r="RYR118" s="73"/>
      <c r="RYS118" s="73"/>
      <c r="RYT118" s="73"/>
      <c r="RYU118" s="73"/>
      <c r="RYV118" s="73"/>
      <c r="RYW118" s="73"/>
      <c r="RYX118" s="73"/>
      <c r="RYY118" s="73"/>
      <c r="RYZ118" s="73"/>
      <c r="RZA118" s="73"/>
      <c r="RZB118" s="73"/>
      <c r="RZC118" s="73"/>
      <c r="RZD118" s="73"/>
      <c r="RZE118" s="73"/>
      <c r="RZF118" s="73"/>
      <c r="RZG118" s="73"/>
      <c r="RZH118" s="73"/>
      <c r="RZI118" s="73"/>
      <c r="RZJ118" s="73"/>
      <c r="RZK118" s="73"/>
      <c r="RZL118" s="73"/>
      <c r="RZM118" s="73"/>
      <c r="RZN118" s="73"/>
      <c r="RZO118" s="73"/>
      <c r="RZP118" s="73"/>
      <c r="RZQ118" s="73"/>
      <c r="RZR118" s="73"/>
      <c r="RZS118" s="73"/>
      <c r="RZT118" s="73"/>
      <c r="RZU118" s="73"/>
      <c r="RZV118" s="73"/>
      <c r="RZW118" s="73"/>
      <c r="RZX118" s="73"/>
      <c r="RZY118" s="73"/>
      <c r="RZZ118" s="73"/>
      <c r="SAA118" s="73"/>
      <c r="SAB118" s="73"/>
      <c r="SAC118" s="73"/>
      <c r="SAD118" s="73"/>
      <c r="SAE118" s="73"/>
      <c r="SAF118" s="73"/>
      <c r="SAG118" s="73"/>
      <c r="SAH118" s="73"/>
      <c r="SAI118" s="73"/>
      <c r="SAJ118" s="73"/>
      <c r="SAK118" s="73"/>
      <c r="SAL118" s="73"/>
      <c r="SAM118" s="73"/>
      <c r="SAN118" s="73"/>
      <c r="SAO118" s="73"/>
      <c r="SAP118" s="73"/>
      <c r="SAQ118" s="73"/>
      <c r="SAR118" s="73"/>
      <c r="SAS118" s="73"/>
      <c r="SAT118" s="73"/>
      <c r="SAU118" s="73"/>
      <c r="SAV118" s="73"/>
      <c r="SAW118" s="73"/>
      <c r="SAX118" s="73"/>
      <c r="SAY118" s="73"/>
      <c r="SAZ118" s="73"/>
      <c r="SBA118" s="73"/>
      <c r="SBB118" s="73"/>
      <c r="SBC118" s="73"/>
      <c r="SBD118" s="73"/>
      <c r="SBE118" s="73"/>
      <c r="SBF118" s="73"/>
      <c r="SBG118" s="73"/>
      <c r="SBH118" s="73"/>
      <c r="SBI118" s="73"/>
      <c r="SBJ118" s="73"/>
      <c r="SBK118" s="73"/>
      <c r="SBL118" s="73"/>
      <c r="SBM118" s="73"/>
      <c r="SBN118" s="73"/>
      <c r="SBO118" s="73"/>
      <c r="SBP118" s="73"/>
      <c r="SBQ118" s="73"/>
      <c r="SBR118" s="73"/>
      <c r="SBS118" s="73"/>
      <c r="SBT118" s="73"/>
      <c r="SBU118" s="73"/>
      <c r="SBV118" s="73"/>
      <c r="SBW118" s="73"/>
      <c r="SBX118" s="73"/>
      <c r="SBY118" s="73"/>
      <c r="SBZ118" s="73"/>
      <c r="SCA118" s="73"/>
      <c r="SCB118" s="73"/>
      <c r="SCC118" s="73"/>
      <c r="SCD118" s="73"/>
      <c r="SCE118" s="73"/>
      <c r="SCF118" s="73"/>
      <c r="SCG118" s="73"/>
      <c r="SCH118" s="73"/>
      <c r="SCI118" s="73"/>
      <c r="SCJ118" s="73"/>
      <c r="SCK118" s="73"/>
      <c r="SCL118" s="73"/>
      <c r="SCM118" s="73"/>
      <c r="SCN118" s="73"/>
      <c r="SCO118" s="73"/>
      <c r="SCP118" s="73"/>
      <c r="SCQ118" s="73"/>
      <c r="SCR118" s="73"/>
      <c r="SCS118" s="73"/>
      <c r="SCT118" s="73"/>
      <c r="SCU118" s="73"/>
      <c r="SCV118" s="73"/>
      <c r="SCW118" s="73"/>
      <c r="SCX118" s="73"/>
      <c r="SCY118" s="73"/>
      <c r="SCZ118" s="73"/>
      <c r="SDA118" s="73"/>
      <c r="SDB118" s="73"/>
      <c r="SDC118" s="73"/>
      <c r="SDD118" s="73"/>
      <c r="SDE118" s="73"/>
      <c r="SDF118" s="73"/>
      <c r="SDG118" s="73"/>
      <c r="SDH118" s="73"/>
      <c r="SDI118" s="73"/>
      <c r="SDJ118" s="73"/>
      <c r="SDK118" s="73"/>
      <c r="SDL118" s="73"/>
      <c r="SDM118" s="73"/>
      <c r="SDN118" s="73"/>
      <c r="SDO118" s="73"/>
      <c r="SDP118" s="73"/>
      <c r="SDQ118" s="73"/>
      <c r="SDR118" s="73"/>
      <c r="SDS118" s="73"/>
      <c r="SDT118" s="73"/>
      <c r="SDU118" s="73"/>
      <c r="SDV118" s="73"/>
      <c r="SDW118" s="73"/>
      <c r="SDX118" s="73"/>
      <c r="SDY118" s="73"/>
      <c r="SDZ118" s="73"/>
      <c r="SEA118" s="73"/>
      <c r="SEB118" s="73"/>
      <c r="SEC118" s="73"/>
      <c r="SED118" s="73"/>
      <c r="SEE118" s="73"/>
      <c r="SEF118" s="73"/>
      <c r="SEG118" s="73"/>
      <c r="SEH118" s="73"/>
      <c r="SEI118" s="73"/>
      <c r="SEJ118" s="73"/>
      <c r="SEK118" s="73"/>
      <c r="SEL118" s="73"/>
      <c r="SEM118" s="73"/>
      <c r="SEN118" s="73"/>
      <c r="SEO118" s="73"/>
      <c r="SEP118" s="73"/>
      <c r="SEQ118" s="73"/>
      <c r="SER118" s="73"/>
      <c r="SES118" s="73"/>
      <c r="SET118" s="73"/>
      <c r="SEU118" s="73"/>
      <c r="SEV118" s="73"/>
      <c r="SEW118" s="73"/>
      <c r="SEX118" s="73"/>
      <c r="SEY118" s="73"/>
      <c r="SEZ118" s="73"/>
      <c r="SFA118" s="73"/>
      <c r="SFB118" s="73"/>
      <c r="SFC118" s="73"/>
      <c r="SFD118" s="73"/>
      <c r="SFE118" s="73"/>
      <c r="SFF118" s="73"/>
      <c r="SFG118" s="73"/>
      <c r="SFH118" s="73"/>
      <c r="SFI118" s="73"/>
      <c r="SFJ118" s="73"/>
      <c r="SFK118" s="73"/>
      <c r="SFL118" s="73"/>
      <c r="SFM118" s="73"/>
      <c r="SFN118" s="73"/>
      <c r="SFO118" s="73"/>
      <c r="SFP118" s="73"/>
      <c r="SFQ118" s="73"/>
      <c r="SFR118" s="73"/>
      <c r="SFS118" s="73"/>
      <c r="SFT118" s="73"/>
      <c r="SFU118" s="73"/>
      <c r="SFV118" s="73"/>
      <c r="SFW118" s="73"/>
      <c r="SFX118" s="73"/>
      <c r="SFY118" s="73"/>
      <c r="SFZ118" s="73"/>
      <c r="SGA118" s="73"/>
      <c r="SGB118" s="73"/>
      <c r="SGC118" s="73"/>
      <c r="SGD118" s="73"/>
      <c r="SGE118" s="73"/>
      <c r="SGF118" s="73"/>
      <c r="SGG118" s="73"/>
      <c r="SGH118" s="73"/>
      <c r="SGI118" s="73"/>
      <c r="SGJ118" s="73"/>
      <c r="SGK118" s="73"/>
      <c r="SGL118" s="73"/>
      <c r="SGM118" s="73"/>
      <c r="SGN118" s="73"/>
      <c r="SGO118" s="73"/>
      <c r="SGP118" s="73"/>
      <c r="SGQ118" s="73"/>
      <c r="SGR118" s="73"/>
      <c r="SGS118" s="73"/>
      <c r="SGT118" s="73"/>
      <c r="SGU118" s="73"/>
      <c r="SGV118" s="73"/>
      <c r="SGW118" s="73"/>
      <c r="SGX118" s="73"/>
      <c r="SGY118" s="73"/>
      <c r="SGZ118" s="73"/>
      <c r="SHA118" s="73"/>
      <c r="SHB118" s="73"/>
      <c r="SHC118" s="73"/>
      <c r="SHD118" s="73"/>
      <c r="SHE118" s="73"/>
      <c r="SHF118" s="73"/>
      <c r="SHG118" s="73"/>
      <c r="SHH118" s="73"/>
      <c r="SHI118" s="73"/>
      <c r="SHJ118" s="73"/>
      <c r="SHK118" s="73"/>
      <c r="SHL118" s="73"/>
      <c r="SHM118" s="73"/>
      <c r="SHN118" s="73"/>
      <c r="SHO118" s="73"/>
      <c r="SHP118" s="73"/>
      <c r="SHQ118" s="73"/>
      <c r="SHR118" s="73"/>
      <c r="SHS118" s="73"/>
      <c r="SHT118" s="73"/>
      <c r="SHU118" s="73"/>
      <c r="SHV118" s="73"/>
      <c r="SHW118" s="73"/>
      <c r="SHX118" s="73"/>
      <c r="SHY118" s="73"/>
      <c r="SHZ118" s="73"/>
      <c r="SIA118" s="73"/>
      <c r="SIB118" s="73"/>
      <c r="SIC118" s="73"/>
      <c r="SID118" s="73"/>
      <c r="SIE118" s="73"/>
      <c r="SIF118" s="73"/>
      <c r="SIG118" s="73"/>
      <c r="SIH118" s="73"/>
      <c r="SII118" s="73"/>
      <c r="SIJ118" s="73"/>
      <c r="SIK118" s="73"/>
      <c r="SIL118" s="73"/>
      <c r="SIM118" s="73"/>
      <c r="SIN118" s="73"/>
      <c r="SIO118" s="73"/>
      <c r="SIP118" s="73"/>
      <c r="SIQ118" s="73"/>
      <c r="SIR118" s="73"/>
      <c r="SIS118" s="73"/>
      <c r="SIT118" s="73"/>
      <c r="SIU118" s="73"/>
      <c r="SIV118" s="73"/>
      <c r="SIW118" s="73"/>
      <c r="SIX118" s="73"/>
      <c r="SIY118" s="73"/>
      <c r="SIZ118" s="73"/>
      <c r="SJA118" s="73"/>
      <c r="SJB118" s="73"/>
      <c r="SJC118" s="73"/>
      <c r="SJD118" s="73"/>
      <c r="SJE118" s="73"/>
      <c r="SJF118" s="73"/>
      <c r="SJG118" s="73"/>
      <c r="SJH118" s="73"/>
      <c r="SJI118" s="73"/>
      <c r="SJJ118" s="73"/>
      <c r="SJK118" s="73"/>
      <c r="SJL118" s="73"/>
      <c r="SJM118" s="73"/>
      <c r="SJN118" s="73"/>
      <c r="SJO118" s="73"/>
      <c r="SJP118" s="73"/>
      <c r="SJQ118" s="73"/>
      <c r="SJR118" s="73"/>
      <c r="SJS118" s="73"/>
      <c r="SJT118" s="73"/>
      <c r="SJU118" s="73"/>
      <c r="SJV118" s="73"/>
      <c r="SJW118" s="73"/>
      <c r="SJX118" s="73"/>
      <c r="SJY118" s="73"/>
      <c r="SJZ118" s="73"/>
      <c r="SKA118" s="73"/>
      <c r="SKB118" s="73"/>
      <c r="SKC118" s="73"/>
      <c r="SKD118" s="73"/>
      <c r="SKE118" s="73"/>
      <c r="SKF118" s="73"/>
      <c r="SKG118" s="73"/>
      <c r="SKH118" s="73"/>
      <c r="SKI118" s="73"/>
      <c r="SKJ118" s="73"/>
      <c r="SKK118" s="73"/>
      <c r="SKL118" s="73"/>
      <c r="SKM118" s="73"/>
      <c r="SKN118" s="73"/>
      <c r="SKO118" s="73"/>
      <c r="SKP118" s="73"/>
      <c r="SKQ118" s="73"/>
      <c r="SKR118" s="73"/>
      <c r="SKS118" s="73"/>
      <c r="SKT118" s="73"/>
      <c r="SKU118" s="73"/>
      <c r="SKV118" s="73"/>
      <c r="SKW118" s="73"/>
      <c r="SKX118" s="73"/>
      <c r="SKY118" s="73"/>
      <c r="SKZ118" s="73"/>
      <c r="SLA118" s="73"/>
      <c r="SLB118" s="73"/>
      <c r="SLC118" s="73"/>
      <c r="SLD118" s="73"/>
      <c r="SLE118" s="73"/>
      <c r="SLF118" s="73"/>
      <c r="SLG118" s="73"/>
      <c r="SLH118" s="73"/>
      <c r="SLI118" s="73"/>
      <c r="SLJ118" s="73"/>
      <c r="SLK118" s="73"/>
      <c r="SLL118" s="73"/>
      <c r="SLM118" s="73"/>
      <c r="SLN118" s="73"/>
      <c r="SLO118" s="73"/>
      <c r="SLP118" s="73"/>
      <c r="SLQ118" s="73"/>
      <c r="SLR118" s="73"/>
      <c r="SLS118" s="73"/>
      <c r="SLT118" s="73"/>
      <c r="SLU118" s="73"/>
      <c r="SLV118" s="73"/>
      <c r="SLW118" s="73"/>
      <c r="SLX118" s="73"/>
      <c r="SLY118" s="73"/>
      <c r="SLZ118" s="73"/>
      <c r="SMA118" s="73"/>
      <c r="SMB118" s="73"/>
      <c r="SMC118" s="73"/>
      <c r="SMD118" s="73"/>
      <c r="SME118" s="73"/>
      <c r="SMF118" s="73"/>
      <c r="SMG118" s="73"/>
      <c r="SMH118" s="73"/>
      <c r="SMI118" s="73"/>
      <c r="SMJ118" s="73"/>
      <c r="SMK118" s="73"/>
      <c r="SML118" s="73"/>
      <c r="SMM118" s="73"/>
      <c r="SMN118" s="73"/>
      <c r="SMO118" s="73"/>
      <c r="SMP118" s="73"/>
      <c r="SMQ118" s="73"/>
      <c r="SMR118" s="73"/>
      <c r="SMS118" s="73"/>
      <c r="SMT118" s="73"/>
      <c r="SMU118" s="73"/>
      <c r="SMV118" s="73"/>
      <c r="SMW118" s="73"/>
      <c r="SMX118" s="73"/>
      <c r="SMY118" s="73"/>
      <c r="SMZ118" s="73"/>
      <c r="SNA118" s="73"/>
      <c r="SNB118" s="73"/>
      <c r="SNC118" s="73"/>
      <c r="SND118" s="73"/>
      <c r="SNE118" s="73"/>
      <c r="SNF118" s="73"/>
      <c r="SNG118" s="73"/>
      <c r="SNH118" s="73"/>
      <c r="SNI118" s="73"/>
      <c r="SNJ118" s="73"/>
      <c r="SNK118" s="73"/>
      <c r="SNL118" s="73"/>
      <c r="SNM118" s="73"/>
      <c r="SNN118" s="73"/>
      <c r="SNO118" s="73"/>
      <c r="SNP118" s="73"/>
      <c r="SNQ118" s="73"/>
      <c r="SNR118" s="73"/>
      <c r="SNS118" s="73"/>
      <c r="SNT118" s="73"/>
      <c r="SNU118" s="73"/>
      <c r="SNV118" s="73"/>
      <c r="SNW118" s="73"/>
      <c r="SNX118" s="73"/>
      <c r="SNY118" s="73"/>
      <c r="SNZ118" s="73"/>
      <c r="SOA118" s="73"/>
      <c r="SOB118" s="73"/>
      <c r="SOC118" s="73"/>
      <c r="SOD118" s="73"/>
      <c r="SOE118" s="73"/>
      <c r="SOF118" s="73"/>
      <c r="SOG118" s="73"/>
      <c r="SOH118" s="73"/>
      <c r="SOI118" s="73"/>
      <c r="SOJ118" s="73"/>
      <c r="SOK118" s="73"/>
      <c r="SOL118" s="73"/>
      <c r="SOM118" s="73"/>
      <c r="SON118" s="73"/>
      <c r="SOO118" s="73"/>
      <c r="SOP118" s="73"/>
      <c r="SOQ118" s="73"/>
      <c r="SOR118" s="73"/>
      <c r="SOS118" s="73"/>
      <c r="SOT118" s="73"/>
      <c r="SOU118" s="73"/>
      <c r="SOV118" s="73"/>
      <c r="SOW118" s="73"/>
      <c r="SOX118" s="73"/>
      <c r="SOY118" s="73"/>
      <c r="SOZ118" s="73"/>
      <c r="SPA118" s="73"/>
      <c r="SPB118" s="73"/>
      <c r="SPC118" s="73"/>
      <c r="SPD118" s="73"/>
      <c r="SPE118" s="73"/>
      <c r="SPF118" s="73"/>
      <c r="SPG118" s="73"/>
      <c r="SPH118" s="73"/>
      <c r="SPI118" s="73"/>
      <c r="SPJ118" s="73"/>
      <c r="SPK118" s="73"/>
      <c r="SPL118" s="73"/>
      <c r="SPM118" s="73"/>
      <c r="SPN118" s="73"/>
      <c r="SPO118" s="73"/>
      <c r="SPP118" s="73"/>
      <c r="SPQ118" s="73"/>
      <c r="SPR118" s="73"/>
      <c r="SPS118" s="73"/>
      <c r="SPT118" s="73"/>
      <c r="SPU118" s="73"/>
      <c r="SPV118" s="73"/>
      <c r="SPW118" s="73"/>
      <c r="SPX118" s="73"/>
      <c r="SPY118" s="73"/>
      <c r="SPZ118" s="73"/>
      <c r="SQA118" s="73"/>
      <c r="SQB118" s="73"/>
      <c r="SQC118" s="73"/>
      <c r="SQD118" s="73"/>
      <c r="SQE118" s="73"/>
      <c r="SQF118" s="73"/>
      <c r="SQG118" s="73"/>
      <c r="SQH118" s="73"/>
      <c r="SQI118" s="73"/>
      <c r="SQJ118" s="73"/>
      <c r="SQK118" s="73"/>
      <c r="SQL118" s="73"/>
      <c r="SQM118" s="73"/>
      <c r="SQN118" s="73"/>
      <c r="SQO118" s="73"/>
      <c r="SQP118" s="73"/>
      <c r="SQQ118" s="73"/>
      <c r="SQR118" s="73"/>
      <c r="SQS118" s="73"/>
      <c r="SQT118" s="73"/>
      <c r="SQU118" s="73"/>
      <c r="SQV118" s="73"/>
      <c r="SQW118" s="73"/>
      <c r="SQX118" s="73"/>
      <c r="SQY118" s="73"/>
      <c r="SQZ118" s="73"/>
      <c r="SRA118" s="73"/>
      <c r="SRB118" s="73"/>
      <c r="SRC118" s="73"/>
      <c r="SRD118" s="73"/>
      <c r="SRE118" s="73"/>
      <c r="SRF118" s="73"/>
      <c r="SRG118" s="73"/>
      <c r="SRH118" s="73"/>
      <c r="SRI118" s="73"/>
      <c r="SRJ118" s="73"/>
      <c r="SRK118" s="73"/>
      <c r="SRL118" s="73"/>
      <c r="SRM118" s="73"/>
      <c r="SRN118" s="73"/>
      <c r="SRO118" s="73"/>
      <c r="SRP118" s="73"/>
      <c r="SRQ118" s="73"/>
      <c r="SRR118" s="73"/>
      <c r="SRS118" s="73"/>
      <c r="SRT118" s="73"/>
      <c r="SRU118" s="73"/>
      <c r="SRV118" s="73"/>
      <c r="SRW118" s="73"/>
      <c r="SRX118" s="73"/>
      <c r="SRY118" s="73"/>
      <c r="SRZ118" s="73"/>
      <c r="SSA118" s="73"/>
      <c r="SSB118" s="73"/>
      <c r="SSC118" s="73"/>
      <c r="SSD118" s="73"/>
      <c r="SSE118" s="73"/>
      <c r="SSF118" s="73"/>
      <c r="SSG118" s="73"/>
      <c r="SSH118" s="73"/>
      <c r="SSI118" s="73"/>
      <c r="SSJ118" s="73"/>
      <c r="SSK118" s="73"/>
      <c r="SSL118" s="73"/>
      <c r="SSM118" s="73"/>
      <c r="SSN118" s="73"/>
      <c r="SSO118" s="73"/>
      <c r="SSP118" s="73"/>
      <c r="SSQ118" s="73"/>
      <c r="SSR118" s="73"/>
      <c r="SSS118" s="73"/>
      <c r="SST118" s="73"/>
      <c r="SSU118" s="73"/>
      <c r="SSV118" s="73"/>
      <c r="SSW118" s="73"/>
      <c r="SSX118" s="73"/>
      <c r="SSY118" s="73"/>
      <c r="SSZ118" s="73"/>
      <c r="STA118" s="73"/>
      <c r="STB118" s="73"/>
      <c r="STC118" s="73"/>
      <c r="STD118" s="73"/>
      <c r="STE118" s="73"/>
      <c r="STF118" s="73"/>
      <c r="STG118" s="73"/>
      <c r="STH118" s="73"/>
      <c r="STI118" s="73"/>
      <c r="STJ118" s="73"/>
      <c r="STK118" s="73"/>
      <c r="STL118" s="73"/>
      <c r="STM118" s="73"/>
      <c r="STN118" s="73"/>
      <c r="STO118" s="73"/>
      <c r="STP118" s="73"/>
      <c r="STQ118" s="73"/>
      <c r="STR118" s="73"/>
      <c r="STS118" s="73"/>
      <c r="STT118" s="73"/>
      <c r="STU118" s="73"/>
      <c r="STV118" s="73"/>
      <c r="STW118" s="73"/>
      <c r="STX118" s="73"/>
      <c r="STY118" s="73"/>
      <c r="STZ118" s="73"/>
      <c r="SUA118" s="73"/>
      <c r="SUB118" s="73"/>
      <c r="SUC118" s="73"/>
      <c r="SUD118" s="73"/>
      <c r="SUE118" s="73"/>
      <c r="SUF118" s="73"/>
      <c r="SUG118" s="73"/>
      <c r="SUH118" s="73"/>
      <c r="SUI118" s="73"/>
      <c r="SUJ118" s="73"/>
      <c r="SUK118" s="73"/>
      <c r="SUL118" s="73"/>
      <c r="SUM118" s="73"/>
      <c r="SUN118" s="73"/>
      <c r="SUO118" s="73"/>
      <c r="SUP118" s="73"/>
      <c r="SUQ118" s="73"/>
      <c r="SUR118" s="73"/>
      <c r="SUS118" s="73"/>
      <c r="SUT118" s="73"/>
      <c r="SUU118" s="73"/>
      <c r="SUV118" s="73"/>
      <c r="SUW118" s="73"/>
      <c r="SUX118" s="73"/>
      <c r="SUY118" s="73"/>
      <c r="SUZ118" s="73"/>
      <c r="SVA118" s="73"/>
      <c r="SVB118" s="73"/>
      <c r="SVC118" s="73"/>
      <c r="SVD118" s="73"/>
      <c r="SVE118" s="73"/>
      <c r="SVF118" s="73"/>
      <c r="SVG118" s="73"/>
      <c r="SVH118" s="73"/>
      <c r="SVI118" s="73"/>
      <c r="SVJ118" s="73"/>
      <c r="SVK118" s="73"/>
      <c r="SVL118" s="73"/>
      <c r="SVM118" s="73"/>
      <c r="SVN118" s="73"/>
      <c r="SVO118" s="73"/>
      <c r="SVP118" s="73"/>
      <c r="SVQ118" s="73"/>
      <c r="SVR118" s="73"/>
      <c r="SVS118" s="73"/>
      <c r="SVT118" s="73"/>
      <c r="SVU118" s="73"/>
      <c r="SVV118" s="73"/>
      <c r="SVW118" s="73"/>
      <c r="SVX118" s="73"/>
      <c r="SVY118" s="73"/>
      <c r="SVZ118" s="73"/>
      <c r="SWA118" s="73"/>
      <c r="SWB118" s="73"/>
      <c r="SWC118" s="73"/>
      <c r="SWD118" s="73"/>
      <c r="SWE118" s="73"/>
      <c r="SWF118" s="73"/>
      <c r="SWG118" s="73"/>
      <c r="SWH118" s="73"/>
      <c r="SWI118" s="73"/>
      <c r="SWJ118" s="73"/>
      <c r="SWK118" s="73"/>
      <c r="SWL118" s="73"/>
      <c r="SWM118" s="73"/>
      <c r="SWN118" s="73"/>
      <c r="SWO118" s="73"/>
      <c r="SWP118" s="73"/>
      <c r="SWQ118" s="73"/>
      <c r="SWR118" s="73"/>
      <c r="SWS118" s="73"/>
      <c r="SWT118" s="73"/>
      <c r="SWU118" s="73"/>
      <c r="SWV118" s="73"/>
      <c r="SWW118" s="73"/>
      <c r="SWX118" s="73"/>
      <c r="SWY118" s="73"/>
      <c r="SWZ118" s="73"/>
      <c r="SXA118" s="73"/>
      <c r="SXB118" s="73"/>
      <c r="SXC118" s="73"/>
      <c r="SXD118" s="73"/>
      <c r="SXE118" s="73"/>
      <c r="SXF118" s="73"/>
      <c r="SXG118" s="73"/>
      <c r="SXH118" s="73"/>
      <c r="SXI118" s="73"/>
      <c r="SXJ118" s="73"/>
      <c r="SXK118" s="73"/>
      <c r="SXL118" s="73"/>
      <c r="SXM118" s="73"/>
      <c r="SXN118" s="73"/>
      <c r="SXO118" s="73"/>
      <c r="SXP118" s="73"/>
      <c r="SXQ118" s="73"/>
      <c r="SXR118" s="73"/>
      <c r="SXS118" s="73"/>
      <c r="SXT118" s="73"/>
      <c r="SXU118" s="73"/>
      <c r="SXV118" s="73"/>
      <c r="SXW118" s="73"/>
      <c r="SXX118" s="73"/>
      <c r="SXY118" s="73"/>
      <c r="SXZ118" s="73"/>
      <c r="SYA118" s="73"/>
      <c r="SYB118" s="73"/>
      <c r="SYC118" s="73"/>
      <c r="SYD118" s="73"/>
      <c r="SYE118" s="73"/>
      <c r="SYF118" s="73"/>
      <c r="SYG118" s="73"/>
      <c r="SYH118" s="73"/>
      <c r="SYI118" s="73"/>
      <c r="SYJ118" s="73"/>
      <c r="SYK118" s="73"/>
      <c r="SYL118" s="73"/>
      <c r="SYM118" s="73"/>
      <c r="SYN118" s="73"/>
      <c r="SYO118" s="73"/>
      <c r="SYP118" s="73"/>
      <c r="SYQ118" s="73"/>
      <c r="SYR118" s="73"/>
      <c r="SYS118" s="73"/>
      <c r="SYT118" s="73"/>
      <c r="SYU118" s="73"/>
      <c r="SYV118" s="73"/>
      <c r="SYW118" s="73"/>
      <c r="SYX118" s="73"/>
      <c r="SYY118" s="73"/>
      <c r="SYZ118" s="73"/>
      <c r="SZA118" s="73"/>
      <c r="SZB118" s="73"/>
      <c r="SZC118" s="73"/>
      <c r="SZD118" s="73"/>
      <c r="SZE118" s="73"/>
      <c r="SZF118" s="73"/>
      <c r="SZG118" s="73"/>
      <c r="SZH118" s="73"/>
      <c r="SZI118" s="73"/>
      <c r="SZJ118" s="73"/>
      <c r="SZK118" s="73"/>
      <c r="SZL118" s="73"/>
      <c r="SZM118" s="73"/>
      <c r="SZN118" s="73"/>
      <c r="SZO118" s="73"/>
      <c r="SZP118" s="73"/>
      <c r="SZQ118" s="73"/>
      <c r="SZR118" s="73"/>
      <c r="SZS118" s="73"/>
      <c r="SZT118" s="73"/>
      <c r="SZU118" s="73"/>
      <c r="SZV118" s="73"/>
      <c r="SZW118" s="73"/>
      <c r="SZX118" s="73"/>
      <c r="SZY118" s="73"/>
      <c r="SZZ118" s="73"/>
      <c r="TAA118" s="73"/>
      <c r="TAB118" s="73"/>
      <c r="TAC118" s="73"/>
      <c r="TAD118" s="73"/>
      <c r="TAE118" s="73"/>
      <c r="TAF118" s="73"/>
      <c r="TAG118" s="73"/>
      <c r="TAH118" s="73"/>
      <c r="TAI118" s="73"/>
      <c r="TAJ118" s="73"/>
      <c r="TAK118" s="73"/>
      <c r="TAL118" s="73"/>
      <c r="TAM118" s="73"/>
      <c r="TAN118" s="73"/>
      <c r="TAO118" s="73"/>
      <c r="TAP118" s="73"/>
      <c r="TAQ118" s="73"/>
      <c r="TAR118" s="73"/>
      <c r="TAS118" s="73"/>
      <c r="TAT118" s="73"/>
      <c r="TAU118" s="73"/>
      <c r="TAV118" s="73"/>
      <c r="TAW118" s="73"/>
      <c r="TAX118" s="73"/>
      <c r="TAY118" s="73"/>
      <c r="TAZ118" s="73"/>
      <c r="TBA118" s="73"/>
      <c r="TBB118" s="73"/>
      <c r="TBC118" s="73"/>
      <c r="TBD118" s="73"/>
      <c r="TBE118" s="73"/>
      <c r="TBF118" s="73"/>
      <c r="TBG118" s="73"/>
      <c r="TBH118" s="73"/>
      <c r="TBI118" s="73"/>
      <c r="TBJ118" s="73"/>
      <c r="TBK118" s="73"/>
      <c r="TBL118" s="73"/>
      <c r="TBM118" s="73"/>
      <c r="TBN118" s="73"/>
      <c r="TBO118" s="73"/>
      <c r="TBP118" s="73"/>
      <c r="TBQ118" s="73"/>
      <c r="TBR118" s="73"/>
      <c r="TBS118" s="73"/>
      <c r="TBT118" s="73"/>
      <c r="TBU118" s="73"/>
      <c r="TBV118" s="73"/>
      <c r="TBW118" s="73"/>
      <c r="TBX118" s="73"/>
      <c r="TBY118" s="73"/>
      <c r="TBZ118" s="73"/>
      <c r="TCA118" s="73"/>
      <c r="TCB118" s="73"/>
      <c r="TCC118" s="73"/>
      <c r="TCD118" s="73"/>
      <c r="TCE118" s="73"/>
      <c r="TCF118" s="73"/>
      <c r="TCG118" s="73"/>
      <c r="TCH118" s="73"/>
      <c r="TCI118" s="73"/>
      <c r="TCJ118" s="73"/>
      <c r="TCK118" s="73"/>
      <c r="TCL118" s="73"/>
      <c r="TCM118" s="73"/>
      <c r="TCN118" s="73"/>
      <c r="TCO118" s="73"/>
      <c r="TCP118" s="73"/>
      <c r="TCQ118" s="73"/>
      <c r="TCR118" s="73"/>
      <c r="TCS118" s="73"/>
      <c r="TCT118" s="73"/>
      <c r="TCU118" s="73"/>
      <c r="TCV118" s="73"/>
      <c r="TCW118" s="73"/>
      <c r="TCX118" s="73"/>
      <c r="TCY118" s="73"/>
      <c r="TCZ118" s="73"/>
      <c r="TDA118" s="73"/>
      <c r="TDB118" s="73"/>
      <c r="TDC118" s="73"/>
      <c r="TDD118" s="73"/>
      <c r="TDE118" s="73"/>
      <c r="TDF118" s="73"/>
      <c r="TDG118" s="73"/>
      <c r="TDH118" s="73"/>
      <c r="TDI118" s="73"/>
      <c r="TDJ118" s="73"/>
      <c r="TDK118" s="73"/>
      <c r="TDL118" s="73"/>
      <c r="TDM118" s="73"/>
      <c r="TDN118" s="73"/>
      <c r="TDO118" s="73"/>
      <c r="TDP118" s="73"/>
      <c r="TDQ118" s="73"/>
      <c r="TDR118" s="73"/>
      <c r="TDS118" s="73"/>
      <c r="TDT118" s="73"/>
      <c r="TDU118" s="73"/>
      <c r="TDV118" s="73"/>
      <c r="TDW118" s="73"/>
      <c r="TDX118" s="73"/>
      <c r="TDY118" s="73"/>
      <c r="TDZ118" s="73"/>
      <c r="TEA118" s="73"/>
      <c r="TEB118" s="73"/>
      <c r="TEC118" s="73"/>
      <c r="TED118" s="73"/>
      <c r="TEE118" s="73"/>
      <c r="TEF118" s="73"/>
      <c r="TEG118" s="73"/>
      <c r="TEH118" s="73"/>
      <c r="TEI118" s="73"/>
      <c r="TEJ118" s="73"/>
      <c r="TEK118" s="73"/>
      <c r="TEL118" s="73"/>
      <c r="TEM118" s="73"/>
      <c r="TEN118" s="73"/>
      <c r="TEO118" s="73"/>
      <c r="TEP118" s="73"/>
      <c r="TEQ118" s="73"/>
      <c r="TER118" s="73"/>
      <c r="TES118" s="73"/>
      <c r="TET118" s="73"/>
      <c r="TEU118" s="73"/>
      <c r="TEV118" s="73"/>
      <c r="TEW118" s="73"/>
      <c r="TEX118" s="73"/>
      <c r="TEY118" s="73"/>
      <c r="TEZ118" s="73"/>
      <c r="TFA118" s="73"/>
      <c r="TFB118" s="73"/>
      <c r="TFC118" s="73"/>
      <c r="TFD118" s="73"/>
      <c r="TFE118" s="73"/>
      <c r="TFF118" s="73"/>
      <c r="TFG118" s="73"/>
      <c r="TFH118" s="73"/>
      <c r="TFI118" s="73"/>
      <c r="TFJ118" s="73"/>
      <c r="TFK118" s="73"/>
      <c r="TFL118" s="73"/>
      <c r="TFM118" s="73"/>
      <c r="TFN118" s="73"/>
      <c r="TFO118" s="73"/>
      <c r="TFP118" s="73"/>
      <c r="TFQ118" s="73"/>
      <c r="TFR118" s="73"/>
      <c r="TFS118" s="73"/>
      <c r="TFT118" s="73"/>
      <c r="TFU118" s="73"/>
      <c r="TFV118" s="73"/>
      <c r="TFW118" s="73"/>
      <c r="TFX118" s="73"/>
      <c r="TFY118" s="73"/>
      <c r="TFZ118" s="73"/>
      <c r="TGA118" s="73"/>
      <c r="TGB118" s="73"/>
      <c r="TGC118" s="73"/>
      <c r="TGD118" s="73"/>
      <c r="TGE118" s="73"/>
      <c r="TGF118" s="73"/>
      <c r="TGG118" s="73"/>
      <c r="TGH118" s="73"/>
      <c r="TGI118" s="73"/>
      <c r="TGJ118" s="73"/>
      <c r="TGK118" s="73"/>
      <c r="TGL118" s="73"/>
      <c r="TGM118" s="73"/>
      <c r="TGN118" s="73"/>
      <c r="TGO118" s="73"/>
      <c r="TGP118" s="73"/>
      <c r="TGQ118" s="73"/>
      <c r="TGR118" s="73"/>
      <c r="TGS118" s="73"/>
      <c r="TGT118" s="73"/>
      <c r="TGU118" s="73"/>
      <c r="TGV118" s="73"/>
      <c r="TGW118" s="73"/>
      <c r="TGX118" s="73"/>
      <c r="TGY118" s="73"/>
      <c r="TGZ118" s="73"/>
      <c r="THA118" s="73"/>
      <c r="THB118" s="73"/>
      <c r="THC118" s="73"/>
      <c r="THD118" s="73"/>
      <c r="THE118" s="73"/>
      <c r="THF118" s="73"/>
      <c r="THG118" s="73"/>
      <c r="THH118" s="73"/>
      <c r="THI118" s="73"/>
      <c r="THJ118" s="73"/>
      <c r="THK118" s="73"/>
      <c r="THL118" s="73"/>
      <c r="THM118" s="73"/>
      <c r="THN118" s="73"/>
      <c r="THO118" s="73"/>
      <c r="THP118" s="73"/>
      <c r="THQ118" s="73"/>
      <c r="THR118" s="73"/>
      <c r="THS118" s="73"/>
      <c r="THT118" s="73"/>
      <c r="THU118" s="73"/>
      <c r="THV118" s="73"/>
      <c r="THW118" s="73"/>
      <c r="THX118" s="73"/>
      <c r="THY118" s="73"/>
      <c r="THZ118" s="73"/>
      <c r="TIA118" s="73"/>
      <c r="TIB118" s="73"/>
      <c r="TIC118" s="73"/>
      <c r="TID118" s="73"/>
      <c r="TIE118" s="73"/>
      <c r="TIF118" s="73"/>
      <c r="TIG118" s="73"/>
      <c r="TIH118" s="73"/>
      <c r="TII118" s="73"/>
      <c r="TIJ118" s="73"/>
      <c r="TIK118" s="73"/>
      <c r="TIL118" s="73"/>
      <c r="TIM118" s="73"/>
      <c r="TIN118" s="73"/>
      <c r="TIO118" s="73"/>
      <c r="TIP118" s="73"/>
      <c r="TIQ118" s="73"/>
      <c r="TIR118" s="73"/>
      <c r="TIS118" s="73"/>
      <c r="TIT118" s="73"/>
      <c r="TIU118" s="73"/>
      <c r="TIV118" s="73"/>
      <c r="TIW118" s="73"/>
      <c r="TIX118" s="73"/>
      <c r="TIY118" s="73"/>
      <c r="TIZ118" s="73"/>
      <c r="TJA118" s="73"/>
      <c r="TJB118" s="73"/>
      <c r="TJC118" s="73"/>
      <c r="TJD118" s="73"/>
      <c r="TJE118" s="73"/>
      <c r="TJF118" s="73"/>
      <c r="TJG118" s="73"/>
      <c r="TJH118" s="73"/>
      <c r="TJI118" s="73"/>
      <c r="TJJ118" s="73"/>
      <c r="TJK118" s="73"/>
      <c r="TJL118" s="73"/>
      <c r="TJM118" s="73"/>
      <c r="TJN118" s="73"/>
      <c r="TJO118" s="73"/>
      <c r="TJP118" s="73"/>
      <c r="TJQ118" s="73"/>
      <c r="TJR118" s="73"/>
      <c r="TJS118" s="73"/>
      <c r="TJT118" s="73"/>
      <c r="TJU118" s="73"/>
      <c r="TJV118" s="73"/>
      <c r="TJW118" s="73"/>
      <c r="TJX118" s="73"/>
      <c r="TJY118" s="73"/>
      <c r="TJZ118" s="73"/>
      <c r="TKA118" s="73"/>
      <c r="TKB118" s="73"/>
      <c r="TKC118" s="73"/>
      <c r="TKD118" s="73"/>
      <c r="TKE118" s="73"/>
      <c r="TKF118" s="73"/>
      <c r="TKG118" s="73"/>
      <c r="TKH118" s="73"/>
      <c r="TKI118" s="73"/>
      <c r="TKJ118" s="73"/>
      <c r="TKK118" s="73"/>
      <c r="TKL118" s="73"/>
      <c r="TKM118" s="73"/>
      <c r="TKN118" s="73"/>
      <c r="TKO118" s="73"/>
      <c r="TKP118" s="73"/>
      <c r="TKQ118" s="73"/>
      <c r="TKR118" s="73"/>
      <c r="TKS118" s="73"/>
      <c r="TKT118" s="73"/>
      <c r="TKU118" s="73"/>
      <c r="TKV118" s="73"/>
      <c r="TKW118" s="73"/>
      <c r="TKX118" s="73"/>
      <c r="TKY118" s="73"/>
      <c r="TKZ118" s="73"/>
      <c r="TLA118" s="73"/>
      <c r="TLB118" s="73"/>
      <c r="TLC118" s="73"/>
      <c r="TLD118" s="73"/>
      <c r="TLE118" s="73"/>
      <c r="TLF118" s="73"/>
      <c r="TLG118" s="73"/>
      <c r="TLH118" s="73"/>
      <c r="TLI118" s="73"/>
      <c r="TLJ118" s="73"/>
      <c r="TLK118" s="73"/>
      <c r="TLL118" s="73"/>
      <c r="TLM118" s="73"/>
      <c r="TLN118" s="73"/>
      <c r="TLO118" s="73"/>
      <c r="TLP118" s="73"/>
      <c r="TLQ118" s="73"/>
      <c r="TLR118" s="73"/>
      <c r="TLS118" s="73"/>
      <c r="TLT118" s="73"/>
      <c r="TLU118" s="73"/>
      <c r="TLV118" s="73"/>
      <c r="TLW118" s="73"/>
      <c r="TLX118" s="73"/>
      <c r="TLY118" s="73"/>
      <c r="TLZ118" s="73"/>
      <c r="TMA118" s="73"/>
      <c r="TMB118" s="73"/>
      <c r="TMC118" s="73"/>
      <c r="TMD118" s="73"/>
      <c r="TME118" s="73"/>
      <c r="TMF118" s="73"/>
      <c r="TMG118" s="73"/>
      <c r="TMH118" s="73"/>
      <c r="TMI118" s="73"/>
      <c r="TMJ118" s="73"/>
      <c r="TMK118" s="73"/>
      <c r="TML118" s="73"/>
      <c r="TMM118" s="73"/>
      <c r="TMN118" s="73"/>
      <c r="TMO118" s="73"/>
      <c r="TMP118" s="73"/>
      <c r="TMQ118" s="73"/>
      <c r="TMR118" s="73"/>
      <c r="TMS118" s="73"/>
      <c r="TMT118" s="73"/>
      <c r="TMU118" s="73"/>
      <c r="TMV118" s="73"/>
      <c r="TMW118" s="73"/>
      <c r="TMX118" s="73"/>
      <c r="TMY118" s="73"/>
      <c r="TMZ118" s="73"/>
      <c r="TNA118" s="73"/>
      <c r="TNB118" s="73"/>
      <c r="TNC118" s="73"/>
      <c r="TND118" s="73"/>
      <c r="TNE118" s="73"/>
      <c r="TNF118" s="73"/>
      <c r="TNG118" s="73"/>
      <c r="TNH118" s="73"/>
      <c r="TNI118" s="73"/>
      <c r="TNJ118" s="73"/>
      <c r="TNK118" s="73"/>
      <c r="TNL118" s="73"/>
      <c r="TNM118" s="73"/>
      <c r="TNN118" s="73"/>
      <c r="TNO118" s="73"/>
      <c r="TNP118" s="73"/>
      <c r="TNQ118" s="73"/>
      <c r="TNR118" s="73"/>
      <c r="TNS118" s="73"/>
      <c r="TNT118" s="73"/>
      <c r="TNU118" s="73"/>
      <c r="TNV118" s="73"/>
      <c r="TNW118" s="73"/>
      <c r="TNX118" s="73"/>
      <c r="TNY118" s="73"/>
      <c r="TNZ118" s="73"/>
      <c r="TOA118" s="73"/>
      <c r="TOB118" s="73"/>
      <c r="TOC118" s="73"/>
      <c r="TOD118" s="73"/>
      <c r="TOE118" s="73"/>
      <c r="TOF118" s="73"/>
      <c r="TOG118" s="73"/>
      <c r="TOH118" s="73"/>
      <c r="TOI118" s="73"/>
      <c r="TOJ118" s="73"/>
      <c r="TOK118" s="73"/>
      <c r="TOL118" s="73"/>
      <c r="TOM118" s="73"/>
      <c r="TON118" s="73"/>
      <c r="TOO118" s="73"/>
      <c r="TOP118" s="73"/>
      <c r="TOQ118" s="73"/>
      <c r="TOR118" s="73"/>
      <c r="TOS118" s="73"/>
      <c r="TOT118" s="73"/>
      <c r="TOU118" s="73"/>
      <c r="TOV118" s="73"/>
      <c r="TOW118" s="73"/>
      <c r="TOX118" s="73"/>
      <c r="TOY118" s="73"/>
      <c r="TOZ118" s="73"/>
      <c r="TPA118" s="73"/>
      <c r="TPB118" s="73"/>
      <c r="TPC118" s="73"/>
      <c r="TPD118" s="73"/>
      <c r="TPE118" s="73"/>
      <c r="TPF118" s="73"/>
      <c r="TPG118" s="73"/>
      <c r="TPH118" s="73"/>
      <c r="TPI118" s="73"/>
      <c r="TPJ118" s="73"/>
      <c r="TPK118" s="73"/>
      <c r="TPL118" s="73"/>
      <c r="TPM118" s="73"/>
      <c r="TPN118" s="73"/>
      <c r="TPO118" s="73"/>
      <c r="TPP118" s="73"/>
      <c r="TPQ118" s="73"/>
      <c r="TPR118" s="73"/>
      <c r="TPS118" s="73"/>
      <c r="TPT118" s="73"/>
      <c r="TPU118" s="73"/>
      <c r="TPV118" s="73"/>
      <c r="TPW118" s="73"/>
      <c r="TPX118" s="73"/>
      <c r="TPY118" s="73"/>
      <c r="TPZ118" s="73"/>
      <c r="TQA118" s="73"/>
      <c r="TQB118" s="73"/>
      <c r="TQC118" s="73"/>
      <c r="TQD118" s="73"/>
      <c r="TQE118" s="73"/>
      <c r="TQF118" s="73"/>
      <c r="TQG118" s="73"/>
      <c r="TQH118" s="73"/>
      <c r="TQI118" s="73"/>
      <c r="TQJ118" s="73"/>
      <c r="TQK118" s="73"/>
      <c r="TQL118" s="73"/>
      <c r="TQM118" s="73"/>
      <c r="TQN118" s="73"/>
      <c r="TQO118" s="73"/>
      <c r="TQP118" s="73"/>
      <c r="TQQ118" s="73"/>
      <c r="TQR118" s="73"/>
      <c r="TQS118" s="73"/>
      <c r="TQT118" s="73"/>
      <c r="TQU118" s="73"/>
      <c r="TQV118" s="73"/>
      <c r="TQW118" s="73"/>
      <c r="TQX118" s="73"/>
      <c r="TQY118" s="73"/>
      <c r="TQZ118" s="73"/>
      <c r="TRA118" s="73"/>
      <c r="TRB118" s="73"/>
      <c r="TRC118" s="73"/>
      <c r="TRD118" s="73"/>
      <c r="TRE118" s="73"/>
      <c r="TRF118" s="73"/>
      <c r="TRG118" s="73"/>
      <c r="TRH118" s="73"/>
      <c r="TRI118" s="73"/>
      <c r="TRJ118" s="73"/>
      <c r="TRK118" s="73"/>
      <c r="TRL118" s="73"/>
      <c r="TRM118" s="73"/>
      <c r="TRN118" s="73"/>
      <c r="TRO118" s="73"/>
      <c r="TRP118" s="73"/>
      <c r="TRQ118" s="73"/>
      <c r="TRR118" s="73"/>
      <c r="TRS118" s="73"/>
      <c r="TRT118" s="73"/>
      <c r="TRU118" s="73"/>
      <c r="TRV118" s="73"/>
      <c r="TRW118" s="73"/>
      <c r="TRX118" s="73"/>
      <c r="TRY118" s="73"/>
      <c r="TRZ118" s="73"/>
      <c r="TSA118" s="73"/>
      <c r="TSB118" s="73"/>
      <c r="TSC118" s="73"/>
      <c r="TSD118" s="73"/>
      <c r="TSE118" s="73"/>
      <c r="TSF118" s="73"/>
      <c r="TSG118" s="73"/>
      <c r="TSH118" s="73"/>
      <c r="TSI118" s="73"/>
      <c r="TSJ118" s="73"/>
      <c r="TSK118" s="73"/>
      <c r="TSL118" s="73"/>
      <c r="TSM118" s="73"/>
      <c r="TSN118" s="73"/>
      <c r="TSO118" s="73"/>
      <c r="TSP118" s="73"/>
      <c r="TSQ118" s="73"/>
      <c r="TSR118" s="73"/>
      <c r="TSS118" s="73"/>
      <c r="TST118" s="73"/>
      <c r="TSU118" s="73"/>
      <c r="TSV118" s="73"/>
      <c r="TSW118" s="73"/>
      <c r="TSX118" s="73"/>
      <c r="TSY118" s="73"/>
      <c r="TSZ118" s="73"/>
      <c r="TTA118" s="73"/>
      <c r="TTB118" s="73"/>
      <c r="TTC118" s="73"/>
      <c r="TTD118" s="73"/>
      <c r="TTE118" s="73"/>
      <c r="TTF118" s="73"/>
      <c r="TTG118" s="73"/>
      <c r="TTH118" s="73"/>
      <c r="TTI118" s="73"/>
      <c r="TTJ118" s="73"/>
      <c r="TTK118" s="73"/>
      <c r="TTL118" s="73"/>
      <c r="TTM118" s="73"/>
      <c r="TTN118" s="73"/>
      <c r="TTO118" s="73"/>
      <c r="TTP118" s="73"/>
      <c r="TTQ118" s="73"/>
      <c r="TTR118" s="73"/>
      <c r="TTS118" s="73"/>
      <c r="TTT118" s="73"/>
      <c r="TTU118" s="73"/>
      <c r="TTV118" s="73"/>
      <c r="TTW118" s="73"/>
      <c r="TTX118" s="73"/>
      <c r="TTY118" s="73"/>
      <c r="TTZ118" s="73"/>
      <c r="TUA118" s="73"/>
      <c r="TUB118" s="73"/>
      <c r="TUC118" s="73"/>
      <c r="TUD118" s="73"/>
      <c r="TUE118" s="73"/>
      <c r="TUF118" s="73"/>
      <c r="TUG118" s="73"/>
      <c r="TUH118" s="73"/>
      <c r="TUI118" s="73"/>
      <c r="TUJ118" s="73"/>
      <c r="TUK118" s="73"/>
      <c r="TUL118" s="73"/>
      <c r="TUM118" s="73"/>
      <c r="TUN118" s="73"/>
      <c r="TUO118" s="73"/>
      <c r="TUP118" s="73"/>
      <c r="TUQ118" s="73"/>
      <c r="TUR118" s="73"/>
      <c r="TUS118" s="73"/>
      <c r="TUT118" s="73"/>
      <c r="TUU118" s="73"/>
      <c r="TUV118" s="73"/>
      <c r="TUW118" s="73"/>
      <c r="TUX118" s="73"/>
      <c r="TUY118" s="73"/>
      <c r="TUZ118" s="73"/>
      <c r="TVA118" s="73"/>
      <c r="TVB118" s="73"/>
      <c r="TVC118" s="73"/>
      <c r="TVD118" s="73"/>
      <c r="TVE118" s="73"/>
      <c r="TVF118" s="73"/>
      <c r="TVG118" s="73"/>
      <c r="TVH118" s="73"/>
      <c r="TVI118" s="73"/>
      <c r="TVJ118" s="73"/>
      <c r="TVK118" s="73"/>
      <c r="TVL118" s="73"/>
      <c r="TVM118" s="73"/>
      <c r="TVN118" s="73"/>
      <c r="TVO118" s="73"/>
      <c r="TVP118" s="73"/>
      <c r="TVQ118" s="73"/>
      <c r="TVR118" s="73"/>
      <c r="TVS118" s="73"/>
      <c r="TVT118" s="73"/>
      <c r="TVU118" s="73"/>
      <c r="TVV118" s="73"/>
      <c r="TVW118" s="73"/>
      <c r="TVX118" s="73"/>
      <c r="TVY118" s="73"/>
      <c r="TVZ118" s="73"/>
      <c r="TWA118" s="73"/>
      <c r="TWB118" s="73"/>
      <c r="TWC118" s="73"/>
      <c r="TWD118" s="73"/>
      <c r="TWE118" s="73"/>
      <c r="TWF118" s="73"/>
      <c r="TWG118" s="73"/>
      <c r="TWH118" s="73"/>
      <c r="TWI118" s="73"/>
      <c r="TWJ118" s="73"/>
      <c r="TWK118" s="73"/>
      <c r="TWL118" s="73"/>
      <c r="TWM118" s="73"/>
      <c r="TWN118" s="73"/>
      <c r="TWO118" s="73"/>
      <c r="TWP118" s="73"/>
      <c r="TWQ118" s="73"/>
      <c r="TWR118" s="73"/>
      <c r="TWS118" s="73"/>
      <c r="TWT118" s="73"/>
      <c r="TWU118" s="73"/>
      <c r="TWV118" s="73"/>
      <c r="TWW118" s="73"/>
      <c r="TWX118" s="73"/>
      <c r="TWY118" s="73"/>
      <c r="TWZ118" s="73"/>
      <c r="TXA118" s="73"/>
      <c r="TXB118" s="73"/>
      <c r="TXC118" s="73"/>
      <c r="TXD118" s="73"/>
      <c r="TXE118" s="73"/>
      <c r="TXF118" s="73"/>
      <c r="TXG118" s="73"/>
      <c r="TXH118" s="73"/>
      <c r="TXI118" s="73"/>
      <c r="TXJ118" s="73"/>
      <c r="TXK118" s="73"/>
      <c r="TXL118" s="73"/>
      <c r="TXM118" s="73"/>
      <c r="TXN118" s="73"/>
      <c r="TXO118" s="73"/>
      <c r="TXP118" s="73"/>
      <c r="TXQ118" s="73"/>
      <c r="TXR118" s="73"/>
      <c r="TXS118" s="73"/>
      <c r="TXT118" s="73"/>
      <c r="TXU118" s="73"/>
      <c r="TXV118" s="73"/>
      <c r="TXW118" s="73"/>
      <c r="TXX118" s="73"/>
      <c r="TXY118" s="73"/>
      <c r="TXZ118" s="73"/>
      <c r="TYA118" s="73"/>
      <c r="TYB118" s="73"/>
      <c r="TYC118" s="73"/>
      <c r="TYD118" s="73"/>
      <c r="TYE118" s="73"/>
      <c r="TYF118" s="73"/>
      <c r="TYG118" s="73"/>
      <c r="TYH118" s="73"/>
      <c r="TYI118" s="73"/>
      <c r="TYJ118" s="73"/>
      <c r="TYK118" s="73"/>
      <c r="TYL118" s="73"/>
      <c r="TYM118" s="73"/>
      <c r="TYN118" s="73"/>
      <c r="TYO118" s="73"/>
      <c r="TYP118" s="73"/>
      <c r="TYQ118" s="73"/>
      <c r="TYR118" s="73"/>
      <c r="TYS118" s="73"/>
      <c r="TYT118" s="73"/>
      <c r="TYU118" s="73"/>
      <c r="TYV118" s="73"/>
      <c r="TYW118" s="73"/>
      <c r="TYX118" s="73"/>
      <c r="TYY118" s="73"/>
      <c r="TYZ118" s="73"/>
      <c r="TZA118" s="73"/>
      <c r="TZB118" s="73"/>
      <c r="TZC118" s="73"/>
      <c r="TZD118" s="73"/>
      <c r="TZE118" s="73"/>
      <c r="TZF118" s="73"/>
      <c r="TZG118" s="73"/>
      <c r="TZH118" s="73"/>
      <c r="TZI118" s="73"/>
      <c r="TZJ118" s="73"/>
      <c r="TZK118" s="73"/>
      <c r="TZL118" s="73"/>
      <c r="TZM118" s="73"/>
      <c r="TZN118" s="73"/>
      <c r="TZO118" s="73"/>
      <c r="TZP118" s="73"/>
      <c r="TZQ118" s="73"/>
      <c r="TZR118" s="73"/>
      <c r="TZS118" s="73"/>
      <c r="TZT118" s="73"/>
      <c r="TZU118" s="73"/>
      <c r="TZV118" s="73"/>
      <c r="TZW118" s="73"/>
      <c r="TZX118" s="73"/>
      <c r="TZY118" s="73"/>
      <c r="TZZ118" s="73"/>
      <c r="UAA118" s="73"/>
      <c r="UAB118" s="73"/>
      <c r="UAC118" s="73"/>
      <c r="UAD118" s="73"/>
      <c r="UAE118" s="73"/>
      <c r="UAF118" s="73"/>
      <c r="UAG118" s="73"/>
      <c r="UAH118" s="73"/>
      <c r="UAI118" s="73"/>
      <c r="UAJ118" s="73"/>
      <c r="UAK118" s="73"/>
      <c r="UAL118" s="73"/>
      <c r="UAM118" s="73"/>
      <c r="UAN118" s="73"/>
      <c r="UAO118" s="73"/>
      <c r="UAP118" s="73"/>
      <c r="UAQ118" s="73"/>
      <c r="UAR118" s="73"/>
      <c r="UAS118" s="73"/>
      <c r="UAT118" s="73"/>
      <c r="UAU118" s="73"/>
      <c r="UAV118" s="73"/>
      <c r="UAW118" s="73"/>
      <c r="UAX118" s="73"/>
      <c r="UAY118" s="73"/>
      <c r="UAZ118" s="73"/>
      <c r="UBA118" s="73"/>
      <c r="UBB118" s="73"/>
      <c r="UBC118" s="73"/>
      <c r="UBD118" s="73"/>
      <c r="UBE118" s="73"/>
      <c r="UBF118" s="73"/>
      <c r="UBG118" s="73"/>
      <c r="UBH118" s="73"/>
      <c r="UBI118" s="73"/>
      <c r="UBJ118" s="73"/>
      <c r="UBK118" s="73"/>
      <c r="UBL118" s="73"/>
      <c r="UBM118" s="73"/>
      <c r="UBN118" s="73"/>
      <c r="UBO118" s="73"/>
      <c r="UBP118" s="73"/>
      <c r="UBQ118" s="73"/>
      <c r="UBR118" s="73"/>
      <c r="UBS118" s="73"/>
      <c r="UBT118" s="73"/>
      <c r="UBU118" s="73"/>
      <c r="UBV118" s="73"/>
      <c r="UBW118" s="73"/>
      <c r="UBX118" s="73"/>
      <c r="UBY118" s="73"/>
      <c r="UBZ118" s="73"/>
      <c r="UCA118" s="73"/>
      <c r="UCB118" s="73"/>
      <c r="UCC118" s="73"/>
      <c r="UCD118" s="73"/>
      <c r="UCE118" s="73"/>
      <c r="UCF118" s="73"/>
      <c r="UCG118" s="73"/>
      <c r="UCH118" s="73"/>
      <c r="UCI118" s="73"/>
      <c r="UCJ118" s="73"/>
      <c r="UCK118" s="73"/>
      <c r="UCL118" s="73"/>
      <c r="UCM118" s="73"/>
      <c r="UCN118" s="73"/>
      <c r="UCO118" s="73"/>
      <c r="UCP118" s="73"/>
      <c r="UCQ118" s="73"/>
      <c r="UCR118" s="73"/>
      <c r="UCS118" s="73"/>
      <c r="UCT118" s="73"/>
      <c r="UCU118" s="73"/>
      <c r="UCV118" s="73"/>
      <c r="UCW118" s="73"/>
      <c r="UCX118" s="73"/>
      <c r="UCY118" s="73"/>
      <c r="UCZ118" s="73"/>
      <c r="UDA118" s="73"/>
      <c r="UDB118" s="73"/>
      <c r="UDC118" s="73"/>
      <c r="UDD118" s="73"/>
      <c r="UDE118" s="73"/>
      <c r="UDF118" s="73"/>
      <c r="UDG118" s="73"/>
      <c r="UDH118" s="73"/>
      <c r="UDI118" s="73"/>
      <c r="UDJ118" s="73"/>
      <c r="UDK118" s="73"/>
      <c r="UDL118" s="73"/>
      <c r="UDM118" s="73"/>
      <c r="UDN118" s="73"/>
      <c r="UDO118" s="73"/>
      <c r="UDP118" s="73"/>
      <c r="UDQ118" s="73"/>
      <c r="UDR118" s="73"/>
      <c r="UDS118" s="73"/>
      <c r="UDT118" s="73"/>
      <c r="UDU118" s="73"/>
      <c r="UDV118" s="73"/>
      <c r="UDW118" s="73"/>
      <c r="UDX118" s="73"/>
      <c r="UDY118" s="73"/>
      <c r="UDZ118" s="73"/>
      <c r="UEA118" s="73"/>
      <c r="UEB118" s="73"/>
      <c r="UEC118" s="73"/>
      <c r="UED118" s="73"/>
      <c r="UEE118" s="73"/>
      <c r="UEF118" s="73"/>
      <c r="UEG118" s="73"/>
      <c r="UEH118" s="73"/>
      <c r="UEI118" s="73"/>
      <c r="UEJ118" s="73"/>
      <c r="UEK118" s="73"/>
      <c r="UEL118" s="73"/>
      <c r="UEM118" s="73"/>
      <c r="UEN118" s="73"/>
      <c r="UEO118" s="73"/>
      <c r="UEP118" s="73"/>
      <c r="UEQ118" s="73"/>
      <c r="UER118" s="73"/>
      <c r="UES118" s="73"/>
      <c r="UET118" s="73"/>
      <c r="UEU118" s="73"/>
      <c r="UEV118" s="73"/>
      <c r="UEW118" s="73"/>
      <c r="UEX118" s="73"/>
      <c r="UEY118" s="73"/>
      <c r="UEZ118" s="73"/>
      <c r="UFA118" s="73"/>
      <c r="UFB118" s="73"/>
      <c r="UFC118" s="73"/>
      <c r="UFD118" s="73"/>
      <c r="UFE118" s="73"/>
      <c r="UFF118" s="73"/>
      <c r="UFG118" s="73"/>
      <c r="UFH118" s="73"/>
      <c r="UFI118" s="73"/>
      <c r="UFJ118" s="73"/>
      <c r="UFK118" s="73"/>
      <c r="UFL118" s="73"/>
      <c r="UFM118" s="73"/>
      <c r="UFN118" s="73"/>
      <c r="UFO118" s="73"/>
      <c r="UFP118" s="73"/>
      <c r="UFQ118" s="73"/>
      <c r="UFR118" s="73"/>
      <c r="UFS118" s="73"/>
      <c r="UFT118" s="73"/>
      <c r="UFU118" s="73"/>
      <c r="UFV118" s="73"/>
      <c r="UFW118" s="73"/>
      <c r="UFX118" s="73"/>
      <c r="UFY118" s="73"/>
      <c r="UFZ118" s="73"/>
      <c r="UGA118" s="73"/>
      <c r="UGB118" s="73"/>
      <c r="UGC118" s="73"/>
      <c r="UGD118" s="73"/>
      <c r="UGE118" s="73"/>
      <c r="UGF118" s="73"/>
      <c r="UGG118" s="73"/>
      <c r="UGH118" s="73"/>
      <c r="UGI118" s="73"/>
      <c r="UGJ118" s="73"/>
      <c r="UGK118" s="73"/>
      <c r="UGL118" s="73"/>
      <c r="UGM118" s="73"/>
      <c r="UGN118" s="73"/>
      <c r="UGO118" s="73"/>
      <c r="UGP118" s="73"/>
      <c r="UGQ118" s="73"/>
      <c r="UGR118" s="73"/>
      <c r="UGS118" s="73"/>
      <c r="UGT118" s="73"/>
      <c r="UGU118" s="73"/>
      <c r="UGV118" s="73"/>
      <c r="UGW118" s="73"/>
      <c r="UGX118" s="73"/>
      <c r="UGY118" s="73"/>
      <c r="UGZ118" s="73"/>
      <c r="UHA118" s="73"/>
      <c r="UHB118" s="73"/>
      <c r="UHC118" s="73"/>
      <c r="UHD118" s="73"/>
      <c r="UHE118" s="73"/>
      <c r="UHF118" s="73"/>
      <c r="UHG118" s="73"/>
      <c r="UHH118" s="73"/>
      <c r="UHI118" s="73"/>
      <c r="UHJ118" s="73"/>
      <c r="UHK118" s="73"/>
      <c r="UHL118" s="73"/>
      <c r="UHM118" s="73"/>
      <c r="UHN118" s="73"/>
      <c r="UHO118" s="73"/>
      <c r="UHP118" s="73"/>
      <c r="UHQ118" s="73"/>
      <c r="UHR118" s="73"/>
      <c r="UHS118" s="73"/>
      <c r="UHT118" s="73"/>
      <c r="UHU118" s="73"/>
      <c r="UHV118" s="73"/>
      <c r="UHW118" s="73"/>
      <c r="UHX118" s="73"/>
      <c r="UHY118" s="73"/>
      <c r="UHZ118" s="73"/>
      <c r="UIA118" s="73"/>
      <c r="UIB118" s="73"/>
      <c r="UIC118" s="73"/>
      <c r="UID118" s="73"/>
      <c r="UIE118" s="73"/>
      <c r="UIF118" s="73"/>
      <c r="UIG118" s="73"/>
      <c r="UIH118" s="73"/>
      <c r="UII118" s="73"/>
      <c r="UIJ118" s="73"/>
      <c r="UIK118" s="73"/>
      <c r="UIL118" s="73"/>
      <c r="UIM118" s="73"/>
      <c r="UIN118" s="73"/>
      <c r="UIO118" s="73"/>
      <c r="UIP118" s="73"/>
      <c r="UIQ118" s="73"/>
      <c r="UIR118" s="73"/>
      <c r="UIS118" s="73"/>
      <c r="UIT118" s="73"/>
      <c r="UIU118" s="73"/>
      <c r="UIV118" s="73"/>
      <c r="UIW118" s="73"/>
      <c r="UIX118" s="73"/>
      <c r="UIY118" s="73"/>
      <c r="UIZ118" s="73"/>
      <c r="UJA118" s="73"/>
      <c r="UJB118" s="73"/>
      <c r="UJC118" s="73"/>
      <c r="UJD118" s="73"/>
      <c r="UJE118" s="73"/>
      <c r="UJF118" s="73"/>
      <c r="UJG118" s="73"/>
      <c r="UJH118" s="73"/>
      <c r="UJI118" s="73"/>
      <c r="UJJ118" s="73"/>
      <c r="UJK118" s="73"/>
      <c r="UJL118" s="73"/>
      <c r="UJM118" s="73"/>
      <c r="UJN118" s="73"/>
      <c r="UJO118" s="73"/>
      <c r="UJP118" s="73"/>
      <c r="UJQ118" s="73"/>
      <c r="UJR118" s="73"/>
      <c r="UJS118" s="73"/>
      <c r="UJT118" s="73"/>
      <c r="UJU118" s="73"/>
      <c r="UJV118" s="73"/>
      <c r="UJW118" s="73"/>
      <c r="UJX118" s="73"/>
      <c r="UJY118" s="73"/>
      <c r="UJZ118" s="73"/>
      <c r="UKA118" s="73"/>
      <c r="UKB118" s="73"/>
      <c r="UKC118" s="73"/>
      <c r="UKD118" s="73"/>
      <c r="UKE118" s="73"/>
      <c r="UKF118" s="73"/>
      <c r="UKG118" s="73"/>
      <c r="UKH118" s="73"/>
      <c r="UKI118" s="73"/>
      <c r="UKJ118" s="73"/>
      <c r="UKK118" s="73"/>
      <c r="UKL118" s="73"/>
      <c r="UKM118" s="73"/>
      <c r="UKN118" s="73"/>
      <c r="UKO118" s="73"/>
      <c r="UKP118" s="73"/>
      <c r="UKQ118" s="73"/>
      <c r="UKR118" s="73"/>
      <c r="UKS118" s="73"/>
      <c r="UKT118" s="73"/>
      <c r="UKU118" s="73"/>
      <c r="UKV118" s="73"/>
      <c r="UKW118" s="73"/>
      <c r="UKX118" s="73"/>
      <c r="UKY118" s="73"/>
      <c r="UKZ118" s="73"/>
      <c r="ULA118" s="73"/>
      <c r="ULB118" s="73"/>
      <c r="ULC118" s="73"/>
      <c r="ULD118" s="73"/>
      <c r="ULE118" s="73"/>
      <c r="ULF118" s="73"/>
      <c r="ULG118" s="73"/>
      <c r="ULH118" s="73"/>
      <c r="ULI118" s="73"/>
      <c r="ULJ118" s="73"/>
      <c r="ULK118" s="73"/>
      <c r="ULL118" s="73"/>
      <c r="ULM118" s="73"/>
      <c r="ULN118" s="73"/>
      <c r="ULO118" s="73"/>
      <c r="ULP118" s="73"/>
      <c r="ULQ118" s="73"/>
      <c r="ULR118" s="73"/>
      <c r="ULS118" s="73"/>
      <c r="ULT118" s="73"/>
      <c r="ULU118" s="73"/>
      <c r="ULV118" s="73"/>
      <c r="ULW118" s="73"/>
      <c r="ULX118" s="73"/>
      <c r="ULY118" s="73"/>
      <c r="ULZ118" s="73"/>
      <c r="UMA118" s="73"/>
      <c r="UMB118" s="73"/>
      <c r="UMC118" s="73"/>
      <c r="UMD118" s="73"/>
      <c r="UME118" s="73"/>
      <c r="UMF118" s="73"/>
      <c r="UMG118" s="73"/>
      <c r="UMH118" s="73"/>
      <c r="UMI118" s="73"/>
      <c r="UMJ118" s="73"/>
      <c r="UMK118" s="73"/>
      <c r="UML118" s="73"/>
      <c r="UMM118" s="73"/>
      <c r="UMN118" s="73"/>
      <c r="UMO118" s="73"/>
      <c r="UMP118" s="73"/>
      <c r="UMQ118" s="73"/>
      <c r="UMR118" s="73"/>
      <c r="UMS118" s="73"/>
      <c r="UMT118" s="73"/>
      <c r="UMU118" s="73"/>
      <c r="UMV118" s="73"/>
      <c r="UMW118" s="73"/>
      <c r="UMX118" s="73"/>
      <c r="UMY118" s="73"/>
      <c r="UMZ118" s="73"/>
      <c r="UNA118" s="73"/>
      <c r="UNB118" s="73"/>
      <c r="UNC118" s="73"/>
      <c r="UND118" s="73"/>
      <c r="UNE118" s="73"/>
      <c r="UNF118" s="73"/>
      <c r="UNG118" s="73"/>
      <c r="UNH118" s="73"/>
      <c r="UNI118" s="73"/>
      <c r="UNJ118" s="73"/>
      <c r="UNK118" s="73"/>
      <c r="UNL118" s="73"/>
      <c r="UNM118" s="73"/>
      <c r="UNN118" s="73"/>
      <c r="UNO118" s="73"/>
      <c r="UNP118" s="73"/>
      <c r="UNQ118" s="73"/>
      <c r="UNR118" s="73"/>
      <c r="UNS118" s="73"/>
      <c r="UNT118" s="73"/>
      <c r="UNU118" s="73"/>
      <c r="UNV118" s="73"/>
      <c r="UNW118" s="73"/>
      <c r="UNX118" s="73"/>
      <c r="UNY118" s="73"/>
      <c r="UNZ118" s="73"/>
      <c r="UOA118" s="73"/>
      <c r="UOB118" s="73"/>
      <c r="UOC118" s="73"/>
      <c r="UOD118" s="73"/>
      <c r="UOE118" s="73"/>
      <c r="UOF118" s="73"/>
      <c r="UOG118" s="73"/>
      <c r="UOH118" s="73"/>
      <c r="UOI118" s="73"/>
      <c r="UOJ118" s="73"/>
      <c r="UOK118" s="73"/>
      <c r="UOL118" s="73"/>
      <c r="UOM118" s="73"/>
      <c r="UON118" s="73"/>
      <c r="UOO118" s="73"/>
      <c r="UOP118" s="73"/>
      <c r="UOQ118" s="73"/>
      <c r="UOR118" s="73"/>
      <c r="UOS118" s="73"/>
      <c r="UOT118" s="73"/>
      <c r="UOU118" s="73"/>
      <c r="UOV118" s="73"/>
      <c r="UOW118" s="73"/>
      <c r="UOX118" s="73"/>
      <c r="UOY118" s="73"/>
      <c r="UOZ118" s="73"/>
      <c r="UPA118" s="73"/>
      <c r="UPB118" s="73"/>
      <c r="UPC118" s="73"/>
      <c r="UPD118" s="73"/>
      <c r="UPE118" s="73"/>
      <c r="UPF118" s="73"/>
      <c r="UPG118" s="73"/>
      <c r="UPH118" s="73"/>
      <c r="UPI118" s="73"/>
      <c r="UPJ118" s="73"/>
      <c r="UPK118" s="73"/>
      <c r="UPL118" s="73"/>
      <c r="UPM118" s="73"/>
      <c r="UPN118" s="73"/>
      <c r="UPO118" s="73"/>
      <c r="UPP118" s="73"/>
      <c r="UPQ118" s="73"/>
      <c r="UPR118" s="73"/>
      <c r="UPS118" s="73"/>
      <c r="UPT118" s="73"/>
      <c r="UPU118" s="73"/>
      <c r="UPV118" s="73"/>
      <c r="UPW118" s="73"/>
      <c r="UPX118" s="73"/>
      <c r="UPY118" s="73"/>
      <c r="UPZ118" s="73"/>
      <c r="UQA118" s="73"/>
      <c r="UQB118" s="73"/>
      <c r="UQC118" s="73"/>
      <c r="UQD118" s="73"/>
      <c r="UQE118" s="73"/>
      <c r="UQF118" s="73"/>
      <c r="UQG118" s="73"/>
      <c r="UQH118" s="73"/>
      <c r="UQI118" s="73"/>
      <c r="UQJ118" s="73"/>
      <c r="UQK118" s="73"/>
      <c r="UQL118" s="73"/>
      <c r="UQM118" s="73"/>
      <c r="UQN118" s="73"/>
      <c r="UQO118" s="73"/>
      <c r="UQP118" s="73"/>
      <c r="UQQ118" s="73"/>
      <c r="UQR118" s="73"/>
      <c r="UQS118" s="73"/>
      <c r="UQT118" s="73"/>
      <c r="UQU118" s="73"/>
      <c r="UQV118" s="73"/>
      <c r="UQW118" s="73"/>
      <c r="UQX118" s="73"/>
      <c r="UQY118" s="73"/>
      <c r="UQZ118" s="73"/>
      <c r="URA118" s="73"/>
      <c r="URB118" s="73"/>
      <c r="URC118" s="73"/>
      <c r="URD118" s="73"/>
      <c r="URE118" s="73"/>
      <c r="URF118" s="73"/>
      <c r="URG118" s="73"/>
      <c r="URH118" s="73"/>
      <c r="URI118" s="73"/>
      <c r="URJ118" s="73"/>
      <c r="URK118" s="73"/>
      <c r="URL118" s="73"/>
      <c r="URM118" s="73"/>
      <c r="URN118" s="73"/>
      <c r="URO118" s="73"/>
      <c r="URP118" s="73"/>
      <c r="URQ118" s="73"/>
      <c r="URR118" s="73"/>
      <c r="URS118" s="73"/>
      <c r="URT118" s="73"/>
      <c r="URU118" s="73"/>
      <c r="URV118" s="73"/>
      <c r="URW118" s="73"/>
      <c r="URX118" s="73"/>
      <c r="URY118" s="73"/>
      <c r="URZ118" s="73"/>
      <c r="USA118" s="73"/>
      <c r="USB118" s="73"/>
      <c r="USC118" s="73"/>
      <c r="USD118" s="73"/>
      <c r="USE118" s="73"/>
      <c r="USF118" s="73"/>
      <c r="USG118" s="73"/>
      <c r="USH118" s="73"/>
      <c r="USI118" s="73"/>
      <c r="USJ118" s="73"/>
      <c r="USK118" s="73"/>
      <c r="USL118" s="73"/>
      <c r="USM118" s="73"/>
      <c r="USN118" s="73"/>
      <c r="USO118" s="73"/>
      <c r="USP118" s="73"/>
      <c r="USQ118" s="73"/>
      <c r="USR118" s="73"/>
      <c r="USS118" s="73"/>
      <c r="UST118" s="73"/>
      <c r="USU118" s="73"/>
      <c r="USV118" s="73"/>
      <c r="USW118" s="73"/>
      <c r="USX118" s="73"/>
      <c r="USY118" s="73"/>
      <c r="USZ118" s="73"/>
      <c r="UTA118" s="73"/>
      <c r="UTB118" s="73"/>
      <c r="UTC118" s="73"/>
      <c r="UTD118" s="73"/>
      <c r="UTE118" s="73"/>
      <c r="UTF118" s="73"/>
      <c r="UTG118" s="73"/>
      <c r="UTH118" s="73"/>
      <c r="UTI118" s="73"/>
      <c r="UTJ118" s="73"/>
      <c r="UTK118" s="73"/>
      <c r="UTL118" s="73"/>
      <c r="UTM118" s="73"/>
      <c r="UTN118" s="73"/>
      <c r="UTO118" s="73"/>
      <c r="UTP118" s="73"/>
      <c r="UTQ118" s="73"/>
      <c r="UTR118" s="73"/>
      <c r="UTS118" s="73"/>
      <c r="UTT118" s="73"/>
      <c r="UTU118" s="73"/>
      <c r="UTV118" s="73"/>
      <c r="UTW118" s="73"/>
      <c r="UTX118" s="73"/>
      <c r="UTY118" s="73"/>
      <c r="UTZ118" s="73"/>
      <c r="UUA118" s="73"/>
      <c r="UUB118" s="73"/>
      <c r="UUC118" s="73"/>
      <c r="UUD118" s="73"/>
      <c r="UUE118" s="73"/>
      <c r="UUF118" s="73"/>
      <c r="UUG118" s="73"/>
      <c r="UUH118" s="73"/>
      <c r="UUI118" s="73"/>
      <c r="UUJ118" s="73"/>
      <c r="UUK118" s="73"/>
      <c r="UUL118" s="73"/>
      <c r="UUM118" s="73"/>
      <c r="UUN118" s="73"/>
      <c r="UUO118" s="73"/>
      <c r="UUP118" s="73"/>
      <c r="UUQ118" s="73"/>
      <c r="UUR118" s="73"/>
      <c r="UUS118" s="73"/>
      <c r="UUT118" s="73"/>
      <c r="UUU118" s="73"/>
      <c r="UUV118" s="73"/>
      <c r="UUW118" s="73"/>
      <c r="UUX118" s="73"/>
      <c r="UUY118" s="73"/>
      <c r="UUZ118" s="73"/>
      <c r="UVA118" s="73"/>
      <c r="UVB118" s="73"/>
      <c r="UVC118" s="73"/>
      <c r="UVD118" s="73"/>
      <c r="UVE118" s="73"/>
      <c r="UVF118" s="73"/>
      <c r="UVG118" s="73"/>
      <c r="UVH118" s="73"/>
      <c r="UVI118" s="73"/>
      <c r="UVJ118" s="73"/>
      <c r="UVK118" s="73"/>
      <c r="UVL118" s="73"/>
      <c r="UVM118" s="73"/>
      <c r="UVN118" s="73"/>
      <c r="UVO118" s="73"/>
      <c r="UVP118" s="73"/>
      <c r="UVQ118" s="73"/>
      <c r="UVR118" s="73"/>
      <c r="UVS118" s="73"/>
      <c r="UVT118" s="73"/>
      <c r="UVU118" s="73"/>
      <c r="UVV118" s="73"/>
      <c r="UVW118" s="73"/>
      <c r="UVX118" s="73"/>
      <c r="UVY118" s="73"/>
      <c r="UVZ118" s="73"/>
      <c r="UWA118" s="73"/>
      <c r="UWB118" s="73"/>
      <c r="UWC118" s="73"/>
      <c r="UWD118" s="73"/>
      <c r="UWE118" s="73"/>
      <c r="UWF118" s="73"/>
      <c r="UWG118" s="73"/>
      <c r="UWH118" s="73"/>
      <c r="UWI118" s="73"/>
      <c r="UWJ118" s="73"/>
      <c r="UWK118" s="73"/>
      <c r="UWL118" s="73"/>
      <c r="UWM118" s="73"/>
      <c r="UWN118" s="73"/>
      <c r="UWO118" s="73"/>
      <c r="UWP118" s="73"/>
      <c r="UWQ118" s="73"/>
      <c r="UWR118" s="73"/>
      <c r="UWS118" s="73"/>
      <c r="UWT118" s="73"/>
      <c r="UWU118" s="73"/>
      <c r="UWV118" s="73"/>
      <c r="UWW118" s="73"/>
      <c r="UWX118" s="73"/>
      <c r="UWY118" s="73"/>
      <c r="UWZ118" s="73"/>
      <c r="UXA118" s="73"/>
      <c r="UXB118" s="73"/>
      <c r="UXC118" s="73"/>
      <c r="UXD118" s="73"/>
      <c r="UXE118" s="73"/>
      <c r="UXF118" s="73"/>
      <c r="UXG118" s="73"/>
      <c r="UXH118" s="73"/>
      <c r="UXI118" s="73"/>
      <c r="UXJ118" s="73"/>
      <c r="UXK118" s="73"/>
      <c r="UXL118" s="73"/>
      <c r="UXM118" s="73"/>
      <c r="UXN118" s="73"/>
      <c r="UXO118" s="73"/>
      <c r="UXP118" s="73"/>
      <c r="UXQ118" s="73"/>
      <c r="UXR118" s="73"/>
      <c r="UXS118" s="73"/>
      <c r="UXT118" s="73"/>
      <c r="UXU118" s="73"/>
      <c r="UXV118" s="73"/>
      <c r="UXW118" s="73"/>
      <c r="UXX118" s="73"/>
      <c r="UXY118" s="73"/>
      <c r="UXZ118" s="73"/>
      <c r="UYA118" s="73"/>
      <c r="UYB118" s="73"/>
      <c r="UYC118" s="73"/>
      <c r="UYD118" s="73"/>
      <c r="UYE118" s="73"/>
      <c r="UYF118" s="73"/>
      <c r="UYG118" s="73"/>
      <c r="UYH118" s="73"/>
      <c r="UYI118" s="73"/>
      <c r="UYJ118" s="73"/>
      <c r="UYK118" s="73"/>
      <c r="UYL118" s="73"/>
      <c r="UYM118" s="73"/>
      <c r="UYN118" s="73"/>
      <c r="UYO118" s="73"/>
      <c r="UYP118" s="73"/>
      <c r="UYQ118" s="73"/>
      <c r="UYR118" s="73"/>
      <c r="UYS118" s="73"/>
      <c r="UYT118" s="73"/>
      <c r="UYU118" s="73"/>
      <c r="UYV118" s="73"/>
      <c r="UYW118" s="73"/>
      <c r="UYX118" s="73"/>
      <c r="UYY118" s="73"/>
      <c r="UYZ118" s="73"/>
      <c r="UZA118" s="73"/>
      <c r="UZB118" s="73"/>
      <c r="UZC118" s="73"/>
      <c r="UZD118" s="73"/>
      <c r="UZE118" s="73"/>
      <c r="UZF118" s="73"/>
      <c r="UZG118" s="73"/>
      <c r="UZH118" s="73"/>
      <c r="UZI118" s="73"/>
      <c r="UZJ118" s="73"/>
      <c r="UZK118" s="73"/>
      <c r="UZL118" s="73"/>
      <c r="UZM118" s="73"/>
      <c r="UZN118" s="73"/>
      <c r="UZO118" s="73"/>
      <c r="UZP118" s="73"/>
      <c r="UZQ118" s="73"/>
      <c r="UZR118" s="73"/>
      <c r="UZS118" s="73"/>
      <c r="UZT118" s="73"/>
      <c r="UZU118" s="73"/>
      <c r="UZV118" s="73"/>
      <c r="UZW118" s="73"/>
      <c r="UZX118" s="73"/>
      <c r="UZY118" s="73"/>
      <c r="UZZ118" s="73"/>
      <c r="VAA118" s="73"/>
      <c r="VAB118" s="73"/>
      <c r="VAC118" s="73"/>
      <c r="VAD118" s="73"/>
      <c r="VAE118" s="73"/>
      <c r="VAF118" s="73"/>
      <c r="VAG118" s="73"/>
      <c r="VAH118" s="73"/>
      <c r="VAI118" s="73"/>
      <c r="VAJ118" s="73"/>
      <c r="VAK118" s="73"/>
      <c r="VAL118" s="73"/>
      <c r="VAM118" s="73"/>
      <c r="VAN118" s="73"/>
      <c r="VAO118" s="73"/>
      <c r="VAP118" s="73"/>
      <c r="VAQ118" s="73"/>
      <c r="VAR118" s="73"/>
      <c r="VAS118" s="73"/>
      <c r="VAT118" s="73"/>
      <c r="VAU118" s="73"/>
      <c r="VAV118" s="73"/>
      <c r="VAW118" s="73"/>
      <c r="VAX118" s="73"/>
      <c r="VAY118" s="73"/>
      <c r="VAZ118" s="73"/>
      <c r="VBA118" s="73"/>
      <c r="VBB118" s="73"/>
      <c r="VBC118" s="73"/>
      <c r="VBD118" s="73"/>
      <c r="VBE118" s="73"/>
      <c r="VBF118" s="73"/>
      <c r="VBG118" s="73"/>
      <c r="VBH118" s="73"/>
      <c r="VBI118" s="73"/>
      <c r="VBJ118" s="73"/>
      <c r="VBK118" s="73"/>
      <c r="VBL118" s="73"/>
      <c r="VBM118" s="73"/>
      <c r="VBN118" s="73"/>
      <c r="VBO118" s="73"/>
      <c r="VBP118" s="73"/>
      <c r="VBQ118" s="73"/>
      <c r="VBR118" s="73"/>
      <c r="VBS118" s="73"/>
      <c r="VBT118" s="73"/>
      <c r="VBU118" s="73"/>
      <c r="VBV118" s="73"/>
      <c r="VBW118" s="73"/>
      <c r="VBX118" s="73"/>
      <c r="VBY118" s="73"/>
      <c r="VBZ118" s="73"/>
      <c r="VCA118" s="73"/>
      <c r="VCB118" s="73"/>
      <c r="VCC118" s="73"/>
      <c r="VCD118" s="73"/>
      <c r="VCE118" s="73"/>
      <c r="VCF118" s="73"/>
      <c r="VCG118" s="73"/>
      <c r="VCH118" s="73"/>
      <c r="VCI118" s="73"/>
      <c r="VCJ118" s="73"/>
      <c r="VCK118" s="73"/>
      <c r="VCL118" s="73"/>
      <c r="VCM118" s="73"/>
      <c r="VCN118" s="73"/>
      <c r="VCO118" s="73"/>
      <c r="VCP118" s="73"/>
      <c r="VCQ118" s="73"/>
      <c r="VCR118" s="73"/>
      <c r="VCS118" s="73"/>
      <c r="VCT118" s="73"/>
      <c r="VCU118" s="73"/>
      <c r="VCV118" s="73"/>
      <c r="VCW118" s="73"/>
      <c r="VCX118" s="73"/>
      <c r="VCY118" s="73"/>
      <c r="VCZ118" s="73"/>
      <c r="VDA118" s="73"/>
      <c r="VDB118" s="73"/>
      <c r="VDC118" s="73"/>
      <c r="VDD118" s="73"/>
      <c r="VDE118" s="73"/>
      <c r="VDF118" s="73"/>
      <c r="VDG118" s="73"/>
      <c r="VDH118" s="73"/>
      <c r="VDI118" s="73"/>
      <c r="VDJ118" s="73"/>
      <c r="VDK118" s="73"/>
      <c r="VDL118" s="73"/>
      <c r="VDM118" s="73"/>
      <c r="VDN118" s="73"/>
      <c r="VDO118" s="73"/>
      <c r="VDP118" s="73"/>
      <c r="VDQ118" s="73"/>
      <c r="VDR118" s="73"/>
      <c r="VDS118" s="73"/>
      <c r="VDT118" s="73"/>
      <c r="VDU118" s="73"/>
      <c r="VDV118" s="73"/>
      <c r="VDW118" s="73"/>
      <c r="VDX118" s="73"/>
      <c r="VDY118" s="73"/>
      <c r="VDZ118" s="73"/>
      <c r="VEA118" s="73"/>
      <c r="VEB118" s="73"/>
      <c r="VEC118" s="73"/>
      <c r="VED118" s="73"/>
      <c r="VEE118" s="73"/>
      <c r="VEF118" s="73"/>
      <c r="VEG118" s="73"/>
      <c r="VEH118" s="73"/>
      <c r="VEI118" s="73"/>
      <c r="VEJ118" s="73"/>
      <c r="VEK118" s="73"/>
      <c r="VEL118" s="73"/>
      <c r="VEM118" s="73"/>
      <c r="VEN118" s="73"/>
      <c r="VEO118" s="73"/>
      <c r="VEP118" s="73"/>
      <c r="VEQ118" s="73"/>
      <c r="VER118" s="73"/>
      <c r="VES118" s="73"/>
      <c r="VET118" s="73"/>
      <c r="VEU118" s="73"/>
      <c r="VEV118" s="73"/>
      <c r="VEW118" s="73"/>
      <c r="VEX118" s="73"/>
      <c r="VEY118" s="73"/>
      <c r="VEZ118" s="73"/>
      <c r="VFA118" s="73"/>
      <c r="VFB118" s="73"/>
      <c r="VFC118" s="73"/>
      <c r="VFD118" s="73"/>
      <c r="VFE118" s="73"/>
      <c r="VFF118" s="73"/>
      <c r="VFG118" s="73"/>
      <c r="VFH118" s="73"/>
      <c r="VFI118" s="73"/>
      <c r="VFJ118" s="73"/>
      <c r="VFK118" s="73"/>
      <c r="VFL118" s="73"/>
      <c r="VFM118" s="73"/>
      <c r="VFN118" s="73"/>
      <c r="VFO118" s="73"/>
      <c r="VFP118" s="73"/>
      <c r="VFQ118" s="73"/>
      <c r="VFR118" s="73"/>
      <c r="VFS118" s="73"/>
      <c r="VFT118" s="73"/>
      <c r="VFU118" s="73"/>
      <c r="VFV118" s="73"/>
      <c r="VFW118" s="73"/>
      <c r="VFX118" s="73"/>
      <c r="VFY118" s="73"/>
      <c r="VFZ118" s="73"/>
      <c r="VGA118" s="73"/>
      <c r="VGB118" s="73"/>
      <c r="VGC118" s="73"/>
      <c r="VGD118" s="73"/>
      <c r="VGE118" s="73"/>
      <c r="VGF118" s="73"/>
      <c r="VGG118" s="73"/>
      <c r="VGH118" s="73"/>
      <c r="VGI118" s="73"/>
      <c r="VGJ118" s="73"/>
      <c r="VGK118" s="73"/>
      <c r="VGL118" s="73"/>
      <c r="VGM118" s="73"/>
      <c r="VGN118" s="73"/>
      <c r="VGO118" s="73"/>
      <c r="VGP118" s="73"/>
      <c r="VGQ118" s="73"/>
      <c r="VGR118" s="73"/>
      <c r="VGS118" s="73"/>
      <c r="VGT118" s="73"/>
      <c r="VGU118" s="73"/>
      <c r="VGV118" s="73"/>
      <c r="VGW118" s="73"/>
      <c r="VGX118" s="73"/>
      <c r="VGY118" s="73"/>
      <c r="VGZ118" s="73"/>
      <c r="VHA118" s="73"/>
      <c r="VHB118" s="73"/>
      <c r="VHC118" s="73"/>
      <c r="VHD118" s="73"/>
      <c r="VHE118" s="73"/>
      <c r="VHF118" s="73"/>
      <c r="VHG118" s="73"/>
      <c r="VHH118" s="73"/>
      <c r="VHI118" s="73"/>
      <c r="VHJ118" s="73"/>
      <c r="VHK118" s="73"/>
      <c r="VHL118" s="73"/>
      <c r="VHM118" s="73"/>
      <c r="VHN118" s="73"/>
      <c r="VHO118" s="73"/>
      <c r="VHP118" s="73"/>
      <c r="VHQ118" s="73"/>
      <c r="VHR118" s="73"/>
      <c r="VHS118" s="73"/>
      <c r="VHT118" s="73"/>
      <c r="VHU118" s="73"/>
      <c r="VHV118" s="73"/>
      <c r="VHW118" s="73"/>
      <c r="VHX118" s="73"/>
      <c r="VHY118" s="73"/>
      <c r="VHZ118" s="73"/>
      <c r="VIA118" s="73"/>
      <c r="VIB118" s="73"/>
      <c r="VIC118" s="73"/>
      <c r="VID118" s="73"/>
      <c r="VIE118" s="73"/>
      <c r="VIF118" s="73"/>
      <c r="VIG118" s="73"/>
      <c r="VIH118" s="73"/>
      <c r="VII118" s="73"/>
      <c r="VIJ118" s="73"/>
      <c r="VIK118" s="73"/>
      <c r="VIL118" s="73"/>
      <c r="VIM118" s="73"/>
      <c r="VIN118" s="73"/>
      <c r="VIO118" s="73"/>
      <c r="VIP118" s="73"/>
      <c r="VIQ118" s="73"/>
      <c r="VIR118" s="73"/>
      <c r="VIS118" s="73"/>
      <c r="VIT118" s="73"/>
      <c r="VIU118" s="73"/>
      <c r="VIV118" s="73"/>
      <c r="VIW118" s="73"/>
      <c r="VIX118" s="73"/>
      <c r="VIY118" s="73"/>
      <c r="VIZ118" s="73"/>
      <c r="VJA118" s="73"/>
      <c r="VJB118" s="73"/>
      <c r="VJC118" s="73"/>
      <c r="VJD118" s="73"/>
      <c r="VJE118" s="73"/>
      <c r="VJF118" s="73"/>
      <c r="VJG118" s="73"/>
      <c r="VJH118" s="73"/>
      <c r="VJI118" s="73"/>
      <c r="VJJ118" s="73"/>
      <c r="VJK118" s="73"/>
      <c r="VJL118" s="73"/>
      <c r="VJM118" s="73"/>
      <c r="VJN118" s="73"/>
      <c r="VJO118" s="73"/>
      <c r="VJP118" s="73"/>
      <c r="VJQ118" s="73"/>
      <c r="VJR118" s="73"/>
      <c r="VJS118" s="73"/>
      <c r="VJT118" s="73"/>
      <c r="VJU118" s="73"/>
      <c r="VJV118" s="73"/>
      <c r="VJW118" s="73"/>
      <c r="VJX118" s="73"/>
      <c r="VJY118" s="73"/>
      <c r="VJZ118" s="73"/>
      <c r="VKA118" s="73"/>
      <c r="VKB118" s="73"/>
      <c r="VKC118" s="73"/>
      <c r="VKD118" s="73"/>
      <c r="VKE118" s="73"/>
      <c r="VKF118" s="73"/>
      <c r="VKG118" s="73"/>
      <c r="VKH118" s="73"/>
      <c r="VKI118" s="73"/>
      <c r="VKJ118" s="73"/>
      <c r="VKK118" s="73"/>
      <c r="VKL118" s="73"/>
      <c r="VKM118" s="73"/>
      <c r="VKN118" s="73"/>
      <c r="VKO118" s="73"/>
      <c r="VKP118" s="73"/>
      <c r="VKQ118" s="73"/>
      <c r="VKR118" s="73"/>
      <c r="VKS118" s="73"/>
      <c r="VKT118" s="73"/>
      <c r="VKU118" s="73"/>
      <c r="VKV118" s="73"/>
      <c r="VKW118" s="73"/>
      <c r="VKX118" s="73"/>
      <c r="VKY118" s="73"/>
      <c r="VKZ118" s="73"/>
      <c r="VLA118" s="73"/>
      <c r="VLB118" s="73"/>
      <c r="VLC118" s="73"/>
      <c r="VLD118" s="73"/>
      <c r="VLE118" s="73"/>
      <c r="VLF118" s="73"/>
      <c r="VLG118" s="73"/>
      <c r="VLH118" s="73"/>
      <c r="VLI118" s="73"/>
      <c r="VLJ118" s="73"/>
      <c r="VLK118" s="73"/>
      <c r="VLL118" s="73"/>
      <c r="VLM118" s="73"/>
      <c r="VLN118" s="73"/>
      <c r="VLO118" s="73"/>
      <c r="VLP118" s="73"/>
      <c r="VLQ118" s="73"/>
      <c r="VLR118" s="73"/>
      <c r="VLS118" s="73"/>
      <c r="VLT118" s="73"/>
      <c r="VLU118" s="73"/>
      <c r="VLV118" s="73"/>
      <c r="VLW118" s="73"/>
      <c r="VLX118" s="73"/>
      <c r="VLY118" s="73"/>
      <c r="VLZ118" s="73"/>
      <c r="VMA118" s="73"/>
      <c r="VMB118" s="73"/>
      <c r="VMC118" s="73"/>
      <c r="VMD118" s="73"/>
      <c r="VME118" s="73"/>
      <c r="VMF118" s="73"/>
      <c r="VMG118" s="73"/>
      <c r="VMH118" s="73"/>
      <c r="VMI118" s="73"/>
      <c r="VMJ118" s="73"/>
      <c r="VMK118" s="73"/>
      <c r="VML118" s="73"/>
      <c r="VMM118" s="73"/>
      <c r="VMN118" s="73"/>
      <c r="VMO118" s="73"/>
      <c r="VMP118" s="73"/>
      <c r="VMQ118" s="73"/>
      <c r="VMR118" s="73"/>
      <c r="VMS118" s="73"/>
      <c r="VMT118" s="73"/>
      <c r="VMU118" s="73"/>
      <c r="VMV118" s="73"/>
      <c r="VMW118" s="73"/>
      <c r="VMX118" s="73"/>
      <c r="VMY118" s="73"/>
      <c r="VMZ118" s="73"/>
      <c r="VNA118" s="73"/>
      <c r="VNB118" s="73"/>
      <c r="VNC118" s="73"/>
      <c r="VND118" s="73"/>
      <c r="VNE118" s="73"/>
      <c r="VNF118" s="73"/>
      <c r="VNG118" s="73"/>
      <c r="VNH118" s="73"/>
      <c r="VNI118" s="73"/>
      <c r="VNJ118" s="73"/>
      <c r="VNK118" s="73"/>
      <c r="VNL118" s="73"/>
      <c r="VNM118" s="73"/>
      <c r="VNN118" s="73"/>
      <c r="VNO118" s="73"/>
      <c r="VNP118" s="73"/>
      <c r="VNQ118" s="73"/>
      <c r="VNR118" s="73"/>
      <c r="VNS118" s="73"/>
      <c r="VNT118" s="73"/>
      <c r="VNU118" s="73"/>
      <c r="VNV118" s="73"/>
      <c r="VNW118" s="73"/>
      <c r="VNX118" s="73"/>
      <c r="VNY118" s="73"/>
      <c r="VNZ118" s="73"/>
      <c r="VOA118" s="73"/>
      <c r="VOB118" s="73"/>
      <c r="VOC118" s="73"/>
      <c r="VOD118" s="73"/>
      <c r="VOE118" s="73"/>
      <c r="VOF118" s="73"/>
      <c r="VOG118" s="73"/>
      <c r="VOH118" s="73"/>
      <c r="VOI118" s="73"/>
      <c r="VOJ118" s="73"/>
      <c r="VOK118" s="73"/>
      <c r="VOL118" s="73"/>
      <c r="VOM118" s="73"/>
      <c r="VON118" s="73"/>
      <c r="VOO118" s="73"/>
      <c r="VOP118" s="73"/>
      <c r="VOQ118" s="73"/>
      <c r="VOR118" s="73"/>
      <c r="VOS118" s="73"/>
      <c r="VOT118" s="73"/>
      <c r="VOU118" s="73"/>
      <c r="VOV118" s="73"/>
      <c r="VOW118" s="73"/>
      <c r="VOX118" s="73"/>
      <c r="VOY118" s="73"/>
      <c r="VOZ118" s="73"/>
      <c r="VPA118" s="73"/>
      <c r="VPB118" s="73"/>
      <c r="VPC118" s="73"/>
      <c r="VPD118" s="73"/>
      <c r="VPE118" s="73"/>
      <c r="VPF118" s="73"/>
      <c r="VPG118" s="73"/>
      <c r="VPH118" s="73"/>
      <c r="VPI118" s="73"/>
      <c r="VPJ118" s="73"/>
      <c r="VPK118" s="73"/>
      <c r="VPL118" s="73"/>
      <c r="VPM118" s="73"/>
      <c r="VPN118" s="73"/>
      <c r="VPO118" s="73"/>
      <c r="VPP118" s="73"/>
      <c r="VPQ118" s="73"/>
      <c r="VPR118" s="73"/>
      <c r="VPS118" s="73"/>
      <c r="VPT118" s="73"/>
      <c r="VPU118" s="73"/>
      <c r="VPV118" s="73"/>
      <c r="VPW118" s="73"/>
      <c r="VPX118" s="73"/>
      <c r="VPY118" s="73"/>
      <c r="VPZ118" s="73"/>
      <c r="VQA118" s="73"/>
      <c r="VQB118" s="73"/>
      <c r="VQC118" s="73"/>
      <c r="VQD118" s="73"/>
      <c r="VQE118" s="73"/>
      <c r="VQF118" s="73"/>
      <c r="VQG118" s="73"/>
      <c r="VQH118" s="73"/>
      <c r="VQI118" s="73"/>
      <c r="VQJ118" s="73"/>
      <c r="VQK118" s="73"/>
      <c r="VQL118" s="73"/>
      <c r="VQM118" s="73"/>
      <c r="VQN118" s="73"/>
      <c r="VQO118" s="73"/>
      <c r="VQP118" s="73"/>
      <c r="VQQ118" s="73"/>
      <c r="VQR118" s="73"/>
      <c r="VQS118" s="73"/>
      <c r="VQT118" s="73"/>
      <c r="VQU118" s="73"/>
      <c r="VQV118" s="73"/>
      <c r="VQW118" s="73"/>
      <c r="VQX118" s="73"/>
      <c r="VQY118" s="73"/>
      <c r="VQZ118" s="73"/>
      <c r="VRA118" s="73"/>
      <c r="VRB118" s="73"/>
      <c r="VRC118" s="73"/>
      <c r="VRD118" s="73"/>
      <c r="VRE118" s="73"/>
      <c r="VRF118" s="73"/>
      <c r="VRG118" s="73"/>
      <c r="VRH118" s="73"/>
      <c r="VRI118" s="73"/>
      <c r="VRJ118" s="73"/>
      <c r="VRK118" s="73"/>
      <c r="VRL118" s="73"/>
      <c r="VRM118" s="73"/>
      <c r="VRN118" s="73"/>
      <c r="VRO118" s="73"/>
      <c r="VRP118" s="73"/>
      <c r="VRQ118" s="73"/>
      <c r="VRR118" s="73"/>
      <c r="VRS118" s="73"/>
      <c r="VRT118" s="73"/>
      <c r="VRU118" s="73"/>
      <c r="VRV118" s="73"/>
      <c r="VRW118" s="73"/>
      <c r="VRX118" s="73"/>
      <c r="VRY118" s="73"/>
      <c r="VRZ118" s="73"/>
      <c r="VSA118" s="73"/>
      <c r="VSB118" s="73"/>
      <c r="VSC118" s="73"/>
      <c r="VSD118" s="73"/>
      <c r="VSE118" s="73"/>
      <c r="VSF118" s="73"/>
      <c r="VSG118" s="73"/>
      <c r="VSH118" s="73"/>
      <c r="VSI118" s="73"/>
      <c r="VSJ118" s="73"/>
      <c r="VSK118" s="73"/>
      <c r="VSL118" s="73"/>
      <c r="VSM118" s="73"/>
      <c r="VSN118" s="73"/>
      <c r="VSO118" s="73"/>
      <c r="VSP118" s="73"/>
      <c r="VSQ118" s="73"/>
      <c r="VSR118" s="73"/>
      <c r="VSS118" s="73"/>
      <c r="VST118" s="73"/>
      <c r="VSU118" s="73"/>
      <c r="VSV118" s="73"/>
      <c r="VSW118" s="73"/>
      <c r="VSX118" s="73"/>
      <c r="VSY118" s="73"/>
      <c r="VSZ118" s="73"/>
      <c r="VTA118" s="73"/>
      <c r="VTB118" s="73"/>
      <c r="VTC118" s="73"/>
      <c r="VTD118" s="73"/>
      <c r="VTE118" s="73"/>
      <c r="VTF118" s="73"/>
      <c r="VTG118" s="73"/>
      <c r="VTH118" s="73"/>
      <c r="VTI118" s="73"/>
      <c r="VTJ118" s="73"/>
      <c r="VTK118" s="73"/>
      <c r="VTL118" s="73"/>
      <c r="VTM118" s="73"/>
      <c r="VTN118" s="73"/>
      <c r="VTO118" s="73"/>
      <c r="VTP118" s="73"/>
      <c r="VTQ118" s="73"/>
      <c r="VTR118" s="73"/>
      <c r="VTS118" s="73"/>
      <c r="VTT118" s="73"/>
      <c r="VTU118" s="73"/>
      <c r="VTV118" s="73"/>
      <c r="VTW118" s="73"/>
      <c r="VTX118" s="73"/>
      <c r="VTY118" s="73"/>
      <c r="VTZ118" s="73"/>
      <c r="VUA118" s="73"/>
      <c r="VUB118" s="73"/>
      <c r="VUC118" s="73"/>
      <c r="VUD118" s="73"/>
      <c r="VUE118" s="73"/>
      <c r="VUF118" s="73"/>
      <c r="VUG118" s="73"/>
      <c r="VUH118" s="73"/>
      <c r="VUI118" s="73"/>
      <c r="VUJ118" s="73"/>
      <c r="VUK118" s="73"/>
      <c r="VUL118" s="73"/>
      <c r="VUM118" s="73"/>
      <c r="VUN118" s="73"/>
      <c r="VUO118" s="73"/>
      <c r="VUP118" s="73"/>
      <c r="VUQ118" s="73"/>
      <c r="VUR118" s="73"/>
      <c r="VUS118" s="73"/>
      <c r="VUT118" s="73"/>
      <c r="VUU118" s="73"/>
      <c r="VUV118" s="73"/>
      <c r="VUW118" s="73"/>
      <c r="VUX118" s="73"/>
      <c r="VUY118" s="73"/>
      <c r="VUZ118" s="73"/>
      <c r="VVA118" s="73"/>
      <c r="VVB118" s="73"/>
      <c r="VVC118" s="73"/>
      <c r="VVD118" s="73"/>
      <c r="VVE118" s="73"/>
      <c r="VVF118" s="73"/>
      <c r="VVG118" s="73"/>
      <c r="VVH118" s="73"/>
      <c r="VVI118" s="73"/>
      <c r="VVJ118" s="73"/>
      <c r="VVK118" s="73"/>
      <c r="VVL118" s="73"/>
      <c r="VVM118" s="73"/>
      <c r="VVN118" s="73"/>
      <c r="VVO118" s="73"/>
      <c r="VVP118" s="73"/>
      <c r="VVQ118" s="73"/>
      <c r="VVR118" s="73"/>
      <c r="VVS118" s="73"/>
      <c r="VVT118" s="73"/>
      <c r="VVU118" s="73"/>
      <c r="VVV118" s="73"/>
      <c r="VVW118" s="73"/>
      <c r="VVX118" s="73"/>
      <c r="VVY118" s="73"/>
      <c r="VVZ118" s="73"/>
      <c r="VWA118" s="73"/>
      <c r="VWB118" s="73"/>
      <c r="VWC118" s="73"/>
      <c r="VWD118" s="73"/>
      <c r="VWE118" s="73"/>
      <c r="VWF118" s="73"/>
      <c r="VWG118" s="73"/>
      <c r="VWH118" s="73"/>
      <c r="VWI118" s="73"/>
      <c r="VWJ118" s="73"/>
      <c r="VWK118" s="73"/>
      <c r="VWL118" s="73"/>
      <c r="VWM118" s="73"/>
      <c r="VWN118" s="73"/>
      <c r="VWO118" s="73"/>
      <c r="VWP118" s="73"/>
      <c r="VWQ118" s="73"/>
      <c r="VWR118" s="73"/>
      <c r="VWS118" s="73"/>
      <c r="VWT118" s="73"/>
      <c r="VWU118" s="73"/>
      <c r="VWV118" s="73"/>
      <c r="VWW118" s="73"/>
      <c r="VWX118" s="73"/>
      <c r="VWY118" s="73"/>
      <c r="VWZ118" s="73"/>
      <c r="VXA118" s="73"/>
      <c r="VXB118" s="73"/>
      <c r="VXC118" s="73"/>
      <c r="VXD118" s="73"/>
      <c r="VXE118" s="73"/>
      <c r="VXF118" s="73"/>
      <c r="VXG118" s="73"/>
      <c r="VXH118" s="73"/>
      <c r="VXI118" s="73"/>
      <c r="VXJ118" s="73"/>
      <c r="VXK118" s="73"/>
      <c r="VXL118" s="73"/>
      <c r="VXM118" s="73"/>
      <c r="VXN118" s="73"/>
      <c r="VXO118" s="73"/>
      <c r="VXP118" s="73"/>
      <c r="VXQ118" s="73"/>
      <c r="VXR118" s="73"/>
      <c r="VXS118" s="73"/>
      <c r="VXT118" s="73"/>
      <c r="VXU118" s="73"/>
      <c r="VXV118" s="73"/>
      <c r="VXW118" s="73"/>
      <c r="VXX118" s="73"/>
      <c r="VXY118" s="73"/>
      <c r="VXZ118" s="73"/>
      <c r="VYA118" s="73"/>
      <c r="VYB118" s="73"/>
      <c r="VYC118" s="73"/>
      <c r="VYD118" s="73"/>
      <c r="VYE118" s="73"/>
      <c r="VYF118" s="73"/>
      <c r="VYG118" s="73"/>
      <c r="VYH118" s="73"/>
      <c r="VYI118" s="73"/>
      <c r="VYJ118" s="73"/>
      <c r="VYK118" s="73"/>
      <c r="VYL118" s="73"/>
      <c r="VYM118" s="73"/>
      <c r="VYN118" s="73"/>
      <c r="VYO118" s="73"/>
      <c r="VYP118" s="73"/>
      <c r="VYQ118" s="73"/>
      <c r="VYR118" s="73"/>
      <c r="VYS118" s="73"/>
      <c r="VYT118" s="73"/>
      <c r="VYU118" s="73"/>
      <c r="VYV118" s="73"/>
      <c r="VYW118" s="73"/>
      <c r="VYX118" s="73"/>
      <c r="VYY118" s="73"/>
      <c r="VYZ118" s="73"/>
      <c r="VZA118" s="73"/>
      <c r="VZB118" s="73"/>
      <c r="VZC118" s="73"/>
      <c r="VZD118" s="73"/>
      <c r="VZE118" s="73"/>
      <c r="VZF118" s="73"/>
      <c r="VZG118" s="73"/>
      <c r="VZH118" s="73"/>
      <c r="VZI118" s="73"/>
      <c r="VZJ118" s="73"/>
      <c r="VZK118" s="73"/>
      <c r="VZL118" s="73"/>
      <c r="VZM118" s="73"/>
      <c r="VZN118" s="73"/>
      <c r="VZO118" s="73"/>
      <c r="VZP118" s="73"/>
      <c r="VZQ118" s="73"/>
      <c r="VZR118" s="73"/>
      <c r="VZS118" s="73"/>
      <c r="VZT118" s="73"/>
      <c r="VZU118" s="73"/>
      <c r="VZV118" s="73"/>
      <c r="VZW118" s="73"/>
      <c r="VZX118" s="73"/>
      <c r="VZY118" s="73"/>
      <c r="VZZ118" s="73"/>
      <c r="WAA118" s="73"/>
      <c r="WAB118" s="73"/>
      <c r="WAC118" s="73"/>
      <c r="WAD118" s="73"/>
      <c r="WAE118" s="73"/>
      <c r="WAF118" s="73"/>
      <c r="WAG118" s="73"/>
      <c r="WAH118" s="73"/>
      <c r="WAI118" s="73"/>
      <c r="WAJ118" s="73"/>
      <c r="WAK118" s="73"/>
      <c r="WAL118" s="73"/>
      <c r="WAM118" s="73"/>
      <c r="WAN118" s="73"/>
      <c r="WAO118" s="73"/>
      <c r="WAP118" s="73"/>
      <c r="WAQ118" s="73"/>
      <c r="WAR118" s="73"/>
      <c r="WAS118" s="73"/>
      <c r="WAT118" s="73"/>
      <c r="WAU118" s="73"/>
      <c r="WAV118" s="73"/>
      <c r="WAW118" s="73"/>
      <c r="WAX118" s="73"/>
      <c r="WAY118" s="73"/>
      <c r="WAZ118" s="73"/>
      <c r="WBA118" s="73"/>
      <c r="WBB118" s="73"/>
      <c r="WBC118" s="73"/>
      <c r="WBD118" s="73"/>
      <c r="WBE118" s="73"/>
      <c r="WBF118" s="73"/>
      <c r="WBG118" s="73"/>
      <c r="WBH118" s="73"/>
      <c r="WBI118" s="73"/>
      <c r="WBJ118" s="73"/>
      <c r="WBK118" s="73"/>
      <c r="WBL118" s="73"/>
      <c r="WBM118" s="73"/>
      <c r="WBN118" s="73"/>
      <c r="WBO118" s="73"/>
      <c r="WBP118" s="73"/>
      <c r="WBQ118" s="73"/>
      <c r="WBR118" s="73"/>
      <c r="WBS118" s="73"/>
      <c r="WBT118" s="73"/>
      <c r="WBU118" s="73"/>
      <c r="WBV118" s="73"/>
      <c r="WBW118" s="73"/>
      <c r="WBX118" s="73"/>
      <c r="WBY118" s="73"/>
      <c r="WBZ118" s="73"/>
      <c r="WCA118" s="73"/>
      <c r="WCB118" s="73"/>
      <c r="WCC118" s="73"/>
      <c r="WCD118" s="73"/>
      <c r="WCE118" s="73"/>
      <c r="WCF118" s="73"/>
      <c r="WCG118" s="73"/>
      <c r="WCH118" s="73"/>
      <c r="WCI118" s="73"/>
      <c r="WCJ118" s="73"/>
      <c r="WCK118" s="73"/>
      <c r="WCL118" s="73"/>
      <c r="WCM118" s="73"/>
      <c r="WCN118" s="73"/>
      <c r="WCO118" s="73"/>
      <c r="WCP118" s="73"/>
      <c r="WCQ118" s="73"/>
      <c r="WCR118" s="73"/>
      <c r="WCS118" s="73"/>
      <c r="WCT118" s="73"/>
      <c r="WCU118" s="73"/>
      <c r="WCV118" s="73"/>
      <c r="WCW118" s="73"/>
      <c r="WCX118" s="73"/>
      <c r="WCY118" s="73"/>
      <c r="WCZ118" s="73"/>
      <c r="WDA118" s="73"/>
      <c r="WDB118" s="73"/>
      <c r="WDC118" s="73"/>
      <c r="WDD118" s="73"/>
      <c r="WDE118" s="73"/>
      <c r="WDF118" s="73"/>
      <c r="WDG118" s="73"/>
      <c r="WDH118" s="73"/>
      <c r="WDI118" s="73"/>
      <c r="WDJ118" s="73"/>
      <c r="WDK118" s="73"/>
      <c r="WDL118" s="73"/>
      <c r="WDM118" s="73"/>
      <c r="WDN118" s="73"/>
      <c r="WDO118" s="73"/>
      <c r="WDP118" s="73"/>
      <c r="WDQ118" s="73"/>
      <c r="WDR118" s="73"/>
      <c r="WDS118" s="73"/>
      <c r="WDT118" s="73"/>
      <c r="WDU118" s="73"/>
      <c r="WDV118" s="73"/>
      <c r="WDW118" s="73"/>
      <c r="WDX118" s="73"/>
      <c r="WDY118" s="73"/>
      <c r="WDZ118" s="73"/>
      <c r="WEA118" s="73"/>
      <c r="WEB118" s="73"/>
      <c r="WEC118" s="73"/>
      <c r="WED118" s="73"/>
      <c r="WEE118" s="73"/>
      <c r="WEF118" s="73"/>
      <c r="WEG118" s="73"/>
      <c r="WEH118" s="73"/>
      <c r="WEI118" s="73"/>
      <c r="WEJ118" s="73"/>
      <c r="WEK118" s="73"/>
      <c r="WEL118" s="73"/>
      <c r="WEM118" s="73"/>
      <c r="WEN118" s="73"/>
      <c r="WEO118" s="73"/>
      <c r="WEP118" s="73"/>
      <c r="WEQ118" s="73"/>
      <c r="WER118" s="73"/>
      <c r="WES118" s="73"/>
      <c r="WET118" s="73"/>
      <c r="WEU118" s="73"/>
      <c r="WEV118" s="73"/>
      <c r="WEW118" s="73"/>
      <c r="WEX118" s="73"/>
      <c r="WEY118" s="73"/>
      <c r="WEZ118" s="73"/>
      <c r="WFA118" s="73"/>
      <c r="WFB118" s="73"/>
      <c r="WFC118" s="73"/>
      <c r="WFD118" s="73"/>
      <c r="WFE118" s="73"/>
      <c r="WFF118" s="73"/>
      <c r="WFG118" s="73"/>
      <c r="WFH118" s="73"/>
      <c r="WFI118" s="73"/>
      <c r="WFJ118" s="73"/>
      <c r="WFK118" s="73"/>
      <c r="WFL118" s="73"/>
      <c r="WFM118" s="73"/>
      <c r="WFN118" s="73"/>
      <c r="WFO118" s="73"/>
      <c r="WFP118" s="73"/>
      <c r="WFQ118" s="73"/>
      <c r="WFR118" s="73"/>
      <c r="WFS118" s="73"/>
      <c r="WFT118" s="73"/>
      <c r="WFU118" s="73"/>
      <c r="WFV118" s="73"/>
      <c r="WFW118" s="73"/>
      <c r="WFX118" s="73"/>
      <c r="WFY118" s="73"/>
      <c r="WFZ118" s="73"/>
      <c r="WGA118" s="73"/>
      <c r="WGB118" s="73"/>
      <c r="WGC118" s="73"/>
      <c r="WGD118" s="73"/>
      <c r="WGE118" s="73"/>
      <c r="WGF118" s="73"/>
      <c r="WGG118" s="73"/>
      <c r="WGH118" s="73"/>
      <c r="WGI118" s="73"/>
      <c r="WGJ118" s="73"/>
      <c r="WGK118" s="73"/>
      <c r="WGL118" s="73"/>
      <c r="WGM118" s="73"/>
      <c r="WGN118" s="73"/>
      <c r="WGO118" s="73"/>
      <c r="WGP118" s="73"/>
      <c r="WGQ118" s="73"/>
      <c r="WGR118" s="73"/>
      <c r="WGS118" s="73"/>
      <c r="WGT118" s="73"/>
      <c r="WGU118" s="73"/>
      <c r="WGV118" s="73"/>
      <c r="WGW118" s="73"/>
      <c r="WGX118" s="73"/>
      <c r="WGY118" s="73"/>
      <c r="WGZ118" s="73"/>
      <c r="WHA118" s="73"/>
      <c r="WHB118" s="73"/>
      <c r="WHC118" s="73"/>
      <c r="WHD118" s="73"/>
      <c r="WHE118" s="73"/>
      <c r="WHF118" s="73"/>
      <c r="WHG118" s="73"/>
      <c r="WHH118" s="73"/>
      <c r="WHI118" s="73"/>
      <c r="WHJ118" s="73"/>
      <c r="WHK118" s="73"/>
      <c r="WHL118" s="73"/>
      <c r="WHM118" s="73"/>
      <c r="WHN118" s="73"/>
      <c r="WHO118" s="73"/>
      <c r="WHP118" s="73"/>
      <c r="WHQ118" s="73"/>
      <c r="WHR118" s="73"/>
      <c r="WHS118" s="73"/>
      <c r="WHT118" s="73"/>
      <c r="WHU118" s="73"/>
      <c r="WHV118" s="73"/>
      <c r="WHW118" s="73"/>
      <c r="WHX118" s="73"/>
      <c r="WHY118" s="73"/>
      <c r="WHZ118" s="73"/>
      <c r="WIA118" s="73"/>
      <c r="WIB118" s="73"/>
      <c r="WIC118" s="73"/>
      <c r="WID118" s="73"/>
      <c r="WIE118" s="73"/>
      <c r="WIF118" s="73"/>
      <c r="WIG118" s="73"/>
      <c r="WIH118" s="73"/>
      <c r="WII118" s="73"/>
      <c r="WIJ118" s="73"/>
      <c r="WIK118" s="73"/>
      <c r="WIL118" s="73"/>
      <c r="WIM118" s="73"/>
      <c r="WIN118" s="73"/>
      <c r="WIO118" s="73"/>
      <c r="WIP118" s="73"/>
      <c r="WIQ118" s="73"/>
      <c r="WIR118" s="73"/>
      <c r="WIS118" s="73"/>
      <c r="WIT118" s="73"/>
      <c r="WIU118" s="73"/>
      <c r="WIV118" s="73"/>
      <c r="WIW118" s="73"/>
      <c r="WIX118" s="73"/>
      <c r="WIY118" s="73"/>
      <c r="WIZ118" s="73"/>
      <c r="WJA118" s="73"/>
      <c r="WJB118" s="73"/>
      <c r="WJC118" s="73"/>
      <c r="WJD118" s="73"/>
      <c r="WJE118" s="73"/>
      <c r="WJF118" s="73"/>
      <c r="WJG118" s="73"/>
      <c r="WJH118" s="73"/>
      <c r="WJI118" s="73"/>
      <c r="WJJ118" s="73"/>
      <c r="WJK118" s="73"/>
      <c r="WJL118" s="73"/>
      <c r="WJM118" s="73"/>
      <c r="WJN118" s="73"/>
      <c r="WJO118" s="73"/>
      <c r="WJP118" s="73"/>
      <c r="WJQ118" s="73"/>
      <c r="WJR118" s="73"/>
      <c r="WJS118" s="73"/>
      <c r="WJT118" s="73"/>
      <c r="WJU118" s="73"/>
      <c r="WJV118" s="73"/>
      <c r="WJW118" s="73"/>
      <c r="WJX118" s="73"/>
      <c r="WJY118" s="73"/>
      <c r="WJZ118" s="73"/>
      <c r="WKA118" s="73"/>
      <c r="WKB118" s="73"/>
      <c r="WKC118" s="73"/>
      <c r="WKD118" s="73"/>
      <c r="WKE118" s="73"/>
      <c r="WKF118" s="73"/>
      <c r="WKG118" s="73"/>
      <c r="WKH118" s="73"/>
      <c r="WKI118" s="73"/>
      <c r="WKJ118" s="73"/>
      <c r="WKK118" s="73"/>
      <c r="WKL118" s="73"/>
      <c r="WKM118" s="73"/>
      <c r="WKN118" s="73"/>
      <c r="WKO118" s="73"/>
      <c r="WKP118" s="73"/>
      <c r="WKQ118" s="73"/>
      <c r="WKR118" s="73"/>
      <c r="WKS118" s="73"/>
      <c r="WKT118" s="73"/>
      <c r="WKU118" s="73"/>
      <c r="WKV118" s="73"/>
      <c r="WKW118" s="73"/>
      <c r="WKX118" s="73"/>
      <c r="WKY118" s="73"/>
      <c r="WKZ118" s="73"/>
      <c r="WLA118" s="73"/>
      <c r="WLB118" s="73"/>
      <c r="WLC118" s="73"/>
      <c r="WLD118" s="73"/>
      <c r="WLE118" s="73"/>
      <c r="WLF118" s="73"/>
      <c r="WLG118" s="73"/>
      <c r="WLH118" s="73"/>
      <c r="WLI118" s="73"/>
      <c r="WLJ118" s="73"/>
      <c r="WLK118" s="73"/>
      <c r="WLL118" s="73"/>
      <c r="WLM118" s="73"/>
      <c r="WLN118" s="73"/>
      <c r="WLO118" s="73"/>
      <c r="WLP118" s="73"/>
      <c r="WLQ118" s="73"/>
      <c r="WLR118" s="73"/>
      <c r="WLS118" s="73"/>
      <c r="WLT118" s="73"/>
      <c r="WLU118" s="73"/>
      <c r="WLV118" s="73"/>
      <c r="WLW118" s="73"/>
      <c r="WLX118" s="73"/>
      <c r="WLY118" s="73"/>
      <c r="WLZ118" s="73"/>
      <c r="WMA118" s="73"/>
      <c r="WMB118" s="73"/>
      <c r="WMC118" s="73"/>
      <c r="WMD118" s="73"/>
      <c r="WME118" s="73"/>
      <c r="WMF118" s="73"/>
      <c r="WMG118" s="73"/>
      <c r="WMH118" s="73"/>
      <c r="WMI118" s="73"/>
      <c r="WMJ118" s="73"/>
      <c r="WMK118" s="73"/>
      <c r="WML118" s="73"/>
      <c r="WMM118" s="73"/>
      <c r="WMN118" s="73"/>
      <c r="WMO118" s="73"/>
      <c r="WMP118" s="73"/>
      <c r="WMQ118" s="73"/>
      <c r="WMR118" s="73"/>
      <c r="WMS118" s="73"/>
      <c r="WMT118" s="73"/>
      <c r="WMU118" s="73"/>
      <c r="WMV118" s="73"/>
      <c r="WMW118" s="73"/>
      <c r="WMX118" s="73"/>
      <c r="WMY118" s="73"/>
      <c r="WMZ118" s="73"/>
      <c r="WNA118" s="73"/>
      <c r="WNB118" s="73"/>
      <c r="WNC118" s="73"/>
      <c r="WND118" s="73"/>
      <c r="WNE118" s="73"/>
      <c r="WNF118" s="73"/>
      <c r="WNG118" s="73"/>
      <c r="WNH118" s="73"/>
      <c r="WNI118" s="73"/>
      <c r="WNJ118" s="73"/>
      <c r="WNK118" s="73"/>
      <c r="WNL118" s="73"/>
      <c r="WNM118" s="73"/>
      <c r="WNN118" s="73"/>
      <c r="WNO118" s="73"/>
      <c r="WNP118" s="73"/>
      <c r="WNQ118" s="73"/>
      <c r="WNR118" s="73"/>
      <c r="WNS118" s="73"/>
      <c r="WNT118" s="73"/>
      <c r="WNU118" s="73"/>
      <c r="WNV118" s="73"/>
      <c r="WNW118" s="73"/>
      <c r="WNX118" s="73"/>
      <c r="WNY118" s="73"/>
      <c r="WNZ118" s="73"/>
      <c r="WOA118" s="73"/>
      <c r="WOB118" s="73"/>
      <c r="WOC118" s="73"/>
      <c r="WOD118" s="73"/>
      <c r="WOE118" s="73"/>
      <c r="WOF118" s="73"/>
      <c r="WOG118" s="73"/>
      <c r="WOH118" s="73"/>
      <c r="WOI118" s="73"/>
      <c r="WOJ118" s="73"/>
      <c r="WOK118" s="73"/>
      <c r="WOL118" s="73"/>
      <c r="WOM118" s="73"/>
      <c r="WON118" s="73"/>
      <c r="WOO118" s="73"/>
      <c r="WOP118" s="73"/>
      <c r="WOQ118" s="73"/>
      <c r="WOR118" s="73"/>
      <c r="WOS118" s="73"/>
      <c r="WOT118" s="73"/>
      <c r="WOU118" s="73"/>
      <c r="WOV118" s="73"/>
      <c r="WOW118" s="73"/>
      <c r="WOX118" s="73"/>
      <c r="WOY118" s="73"/>
      <c r="WOZ118" s="73"/>
      <c r="WPA118" s="73"/>
      <c r="WPB118" s="73"/>
      <c r="WPC118" s="73"/>
      <c r="WPD118" s="73"/>
      <c r="WPE118" s="73"/>
      <c r="WPF118" s="73"/>
      <c r="WPG118" s="73"/>
      <c r="WPH118" s="73"/>
      <c r="WPI118" s="73"/>
      <c r="WPJ118" s="73"/>
      <c r="WPK118" s="73"/>
      <c r="WPL118" s="73"/>
      <c r="WPM118" s="73"/>
      <c r="WPN118" s="73"/>
      <c r="WPO118" s="73"/>
      <c r="WPP118" s="73"/>
      <c r="WPQ118" s="73"/>
      <c r="WPR118" s="73"/>
      <c r="WPS118" s="73"/>
      <c r="WPT118" s="73"/>
      <c r="WPU118" s="73"/>
      <c r="WPV118" s="73"/>
      <c r="WPW118" s="73"/>
      <c r="WPX118" s="73"/>
      <c r="WPY118" s="73"/>
      <c r="WPZ118" s="73"/>
      <c r="WQA118" s="73"/>
      <c r="WQB118" s="73"/>
      <c r="WQC118" s="73"/>
      <c r="WQD118" s="73"/>
      <c r="WQE118" s="73"/>
      <c r="WQF118" s="73"/>
      <c r="WQG118" s="73"/>
      <c r="WQH118" s="73"/>
      <c r="WQI118" s="73"/>
      <c r="WQJ118" s="73"/>
      <c r="WQK118" s="73"/>
      <c r="WQL118" s="73"/>
      <c r="WQM118" s="73"/>
      <c r="WQN118" s="73"/>
      <c r="WQO118" s="73"/>
      <c r="WQP118" s="73"/>
      <c r="WQQ118" s="73"/>
      <c r="WQR118" s="73"/>
      <c r="WQS118" s="73"/>
      <c r="WQT118" s="73"/>
      <c r="WQU118" s="73"/>
      <c r="WQV118" s="73"/>
      <c r="WQW118" s="73"/>
      <c r="WQX118" s="73"/>
      <c r="WQY118" s="73"/>
      <c r="WQZ118" s="73"/>
      <c r="WRA118" s="73"/>
      <c r="WRB118" s="73"/>
      <c r="WRC118" s="73"/>
      <c r="WRD118" s="73"/>
      <c r="WRE118" s="73"/>
      <c r="WRF118" s="73"/>
      <c r="WRG118" s="73"/>
      <c r="WRH118" s="73"/>
      <c r="WRI118" s="73"/>
      <c r="WRJ118" s="73"/>
      <c r="WRK118" s="73"/>
      <c r="WRL118" s="73"/>
      <c r="WRM118" s="73"/>
      <c r="WRN118" s="73"/>
      <c r="WRO118" s="73"/>
      <c r="WRP118" s="73"/>
      <c r="WRQ118" s="73"/>
      <c r="WRR118" s="73"/>
      <c r="WRS118" s="73"/>
      <c r="WRT118" s="73"/>
      <c r="WRU118" s="73"/>
      <c r="WRV118" s="73"/>
      <c r="WRW118" s="73"/>
      <c r="WRX118" s="73"/>
      <c r="WRY118" s="73"/>
      <c r="WRZ118" s="73"/>
      <c r="WSA118" s="73"/>
      <c r="WSB118" s="73"/>
      <c r="WSC118" s="73"/>
      <c r="WSD118" s="73"/>
      <c r="WSE118" s="73"/>
      <c r="WSF118" s="73"/>
      <c r="WSG118" s="73"/>
      <c r="WSH118" s="73"/>
      <c r="WSI118" s="73"/>
      <c r="WSJ118" s="73"/>
      <c r="WSK118" s="73"/>
      <c r="WSL118" s="73"/>
      <c r="WSM118" s="73"/>
      <c r="WSN118" s="73"/>
      <c r="WSO118" s="73"/>
      <c r="WSP118" s="73"/>
      <c r="WSQ118" s="73"/>
      <c r="WSR118" s="73"/>
      <c r="WSS118" s="73"/>
      <c r="WST118" s="73"/>
      <c r="WSU118" s="73"/>
      <c r="WSV118" s="73"/>
      <c r="WSW118" s="73"/>
      <c r="WSX118" s="73"/>
      <c r="WSY118" s="73"/>
      <c r="WSZ118" s="73"/>
      <c r="WTA118" s="73"/>
      <c r="WTB118" s="73"/>
      <c r="WTC118" s="73"/>
      <c r="WTD118" s="73"/>
      <c r="WTE118" s="73"/>
      <c r="WTF118" s="73"/>
      <c r="WTG118" s="73"/>
      <c r="WTH118" s="73"/>
      <c r="WTI118" s="73"/>
      <c r="WTJ118" s="73"/>
      <c r="WTK118" s="73"/>
      <c r="WTL118" s="73"/>
      <c r="WTM118" s="73"/>
      <c r="WTN118" s="73"/>
      <c r="WTO118" s="73"/>
      <c r="WTP118" s="73"/>
      <c r="WTQ118" s="73"/>
      <c r="WTR118" s="73"/>
      <c r="WTS118" s="73"/>
      <c r="WTT118" s="73"/>
      <c r="WTU118" s="73"/>
      <c r="WTV118" s="73"/>
      <c r="WTW118" s="73"/>
      <c r="WTX118" s="73"/>
      <c r="WTY118" s="73"/>
      <c r="WTZ118" s="73"/>
      <c r="WUA118" s="73"/>
      <c r="WUB118" s="73"/>
      <c r="WUC118" s="73"/>
      <c r="WUD118" s="73"/>
      <c r="WUE118" s="73"/>
      <c r="WUF118" s="73"/>
      <c r="WUG118" s="73"/>
      <c r="WUH118" s="73"/>
      <c r="WUI118" s="73"/>
      <c r="WUJ118" s="73"/>
      <c r="WUK118" s="73"/>
      <c r="WUL118" s="73"/>
      <c r="WUM118" s="73"/>
      <c r="WUN118" s="73"/>
      <c r="WUO118" s="73"/>
      <c r="WUP118" s="73"/>
      <c r="WUQ118" s="73"/>
      <c r="WUR118" s="73"/>
      <c r="WUS118" s="73"/>
      <c r="WUT118" s="73"/>
      <c r="WUU118" s="73"/>
      <c r="WUV118" s="73"/>
      <c r="WUW118" s="73"/>
      <c r="WUX118" s="73"/>
      <c r="WUY118" s="73"/>
      <c r="WUZ118" s="73"/>
      <c r="WVA118" s="73"/>
      <c r="WVB118" s="73"/>
      <c r="WVC118" s="73"/>
      <c r="WVD118" s="73"/>
      <c r="WVE118" s="73"/>
      <c r="WVF118" s="73"/>
      <c r="WVG118" s="73"/>
      <c r="WVH118" s="73"/>
      <c r="WVI118" s="73"/>
      <c r="WVJ118" s="73"/>
      <c r="WVK118" s="73"/>
      <c r="WVL118" s="73"/>
      <c r="WVM118" s="73"/>
      <c r="WVN118" s="73"/>
      <c r="WVO118" s="73"/>
      <c r="WVP118" s="73"/>
      <c r="WVQ118" s="73"/>
      <c r="WVR118" s="73"/>
      <c r="WVS118" s="73"/>
      <c r="WVT118" s="73"/>
      <c r="WVU118" s="73"/>
      <c r="WVV118" s="73"/>
      <c r="WVW118" s="73"/>
      <c r="WVX118" s="73"/>
      <c r="WVY118" s="73"/>
      <c r="WVZ118" s="73"/>
      <c r="WWA118" s="73"/>
      <c r="WWB118" s="73"/>
      <c r="WWC118" s="73"/>
      <c r="WWD118" s="73"/>
      <c r="WWE118" s="73"/>
      <c r="WWF118" s="73"/>
      <c r="WWG118" s="73"/>
      <c r="WWH118" s="73"/>
      <c r="WWI118" s="73"/>
      <c r="WWJ118" s="73"/>
      <c r="WWK118" s="73"/>
      <c r="WWL118" s="73"/>
      <c r="WWM118" s="73"/>
      <c r="WWN118" s="73"/>
      <c r="WWO118" s="73"/>
      <c r="WWP118" s="73"/>
      <c r="WWQ118" s="73"/>
      <c r="WWR118" s="73"/>
      <c r="WWS118" s="73"/>
      <c r="WWT118" s="73"/>
      <c r="WWU118" s="73"/>
      <c r="WWV118" s="73"/>
      <c r="WWW118" s="73"/>
      <c r="WWX118" s="73"/>
      <c r="WWY118" s="73"/>
      <c r="WWZ118" s="73"/>
      <c r="WXA118" s="73"/>
      <c r="WXB118" s="73"/>
      <c r="WXC118" s="73"/>
      <c r="WXD118" s="73"/>
      <c r="WXE118" s="73"/>
      <c r="WXF118" s="73"/>
      <c r="WXG118" s="73"/>
      <c r="WXH118" s="73"/>
      <c r="WXI118" s="73"/>
      <c r="WXJ118" s="73"/>
      <c r="WXK118" s="73"/>
      <c r="WXL118" s="73"/>
      <c r="WXM118" s="73"/>
      <c r="WXN118" s="73"/>
      <c r="WXO118" s="73"/>
      <c r="WXP118" s="73"/>
      <c r="WXQ118" s="73"/>
      <c r="WXR118" s="73"/>
      <c r="WXS118" s="73"/>
      <c r="WXT118" s="73"/>
      <c r="WXU118" s="73"/>
      <c r="WXV118" s="73"/>
      <c r="WXW118" s="73"/>
      <c r="WXX118" s="73"/>
      <c r="WXY118" s="73"/>
      <c r="WXZ118" s="73"/>
      <c r="WYA118" s="73"/>
      <c r="WYB118" s="73"/>
      <c r="WYC118" s="73"/>
      <c r="WYD118" s="73"/>
      <c r="WYE118" s="73"/>
      <c r="WYF118" s="73"/>
      <c r="WYG118" s="73"/>
      <c r="WYH118" s="73"/>
      <c r="WYI118" s="73"/>
      <c r="WYJ118" s="73"/>
      <c r="WYK118" s="73"/>
      <c r="WYL118" s="73"/>
      <c r="WYM118" s="73"/>
      <c r="WYN118" s="73"/>
      <c r="WYO118" s="73"/>
      <c r="WYP118" s="73"/>
      <c r="WYQ118" s="73"/>
      <c r="WYR118" s="73"/>
      <c r="WYS118" s="73"/>
      <c r="WYT118" s="73"/>
      <c r="WYU118" s="73"/>
      <c r="WYV118" s="73"/>
      <c r="WYW118" s="73"/>
      <c r="WYX118" s="73"/>
      <c r="WYY118" s="73"/>
      <c r="WYZ118" s="73"/>
      <c r="WZA118" s="73"/>
      <c r="WZB118" s="73"/>
      <c r="WZC118" s="73"/>
      <c r="WZD118" s="73"/>
      <c r="WZE118" s="73"/>
      <c r="WZF118" s="73"/>
      <c r="WZG118" s="73"/>
      <c r="WZH118" s="73"/>
      <c r="WZI118" s="73"/>
      <c r="WZJ118" s="73"/>
      <c r="WZK118" s="73"/>
      <c r="WZL118" s="73"/>
      <c r="WZM118" s="73"/>
      <c r="WZN118" s="73"/>
      <c r="WZO118" s="73"/>
      <c r="WZP118" s="73"/>
      <c r="WZQ118" s="73"/>
      <c r="WZR118" s="73"/>
      <c r="WZS118" s="73"/>
      <c r="WZT118" s="73"/>
      <c r="WZU118" s="73"/>
      <c r="WZV118" s="73"/>
      <c r="WZW118" s="73"/>
      <c r="WZX118" s="73"/>
      <c r="WZY118" s="73"/>
      <c r="WZZ118" s="73"/>
      <c r="XAA118" s="73"/>
      <c r="XAB118" s="73"/>
      <c r="XAC118" s="73"/>
      <c r="XAD118" s="73"/>
      <c r="XAE118" s="73"/>
      <c r="XAF118" s="73"/>
      <c r="XAG118" s="73"/>
      <c r="XAH118" s="73"/>
      <c r="XAI118" s="73"/>
      <c r="XAJ118" s="73"/>
      <c r="XAK118" s="73"/>
      <c r="XAL118" s="73"/>
      <c r="XAM118" s="73"/>
      <c r="XAN118" s="73"/>
      <c r="XAO118" s="73"/>
      <c r="XAP118" s="73"/>
      <c r="XAQ118" s="73"/>
      <c r="XAR118" s="73"/>
      <c r="XAS118" s="73"/>
      <c r="XAT118" s="73"/>
      <c r="XAU118" s="73"/>
      <c r="XAV118" s="73"/>
      <c r="XAW118" s="73"/>
      <c r="XAX118" s="73"/>
      <c r="XAY118" s="73"/>
      <c r="XAZ118" s="73"/>
      <c r="XBA118" s="73"/>
      <c r="XBB118" s="73"/>
      <c r="XBC118" s="73"/>
      <c r="XBD118" s="73"/>
      <c r="XBE118" s="73"/>
      <c r="XBF118" s="73"/>
      <c r="XBG118" s="73"/>
      <c r="XBH118" s="73"/>
      <c r="XBI118" s="73"/>
      <c r="XBJ118" s="73"/>
      <c r="XBK118" s="73"/>
      <c r="XBL118" s="73"/>
      <c r="XBM118" s="73"/>
      <c r="XBN118" s="73"/>
      <c r="XBO118" s="73"/>
      <c r="XBP118" s="73"/>
      <c r="XBQ118" s="73"/>
      <c r="XBR118" s="73"/>
      <c r="XBS118" s="73"/>
      <c r="XBT118" s="73"/>
      <c r="XBU118" s="73"/>
      <c r="XBV118" s="73"/>
      <c r="XBW118" s="73"/>
      <c r="XBX118" s="73"/>
      <c r="XBY118" s="73"/>
      <c r="XBZ118" s="73"/>
      <c r="XCA118" s="73"/>
      <c r="XCB118" s="73"/>
      <c r="XCC118" s="73"/>
      <c r="XCD118" s="73"/>
      <c r="XCE118" s="73"/>
      <c r="XCF118" s="73"/>
      <c r="XCG118" s="73"/>
      <c r="XCH118" s="73"/>
      <c r="XCI118" s="73"/>
      <c r="XCJ118" s="73"/>
      <c r="XCK118" s="73"/>
      <c r="XCL118" s="73"/>
      <c r="XCM118" s="73"/>
      <c r="XCN118" s="73"/>
      <c r="XCO118" s="73"/>
      <c r="XCP118" s="73"/>
      <c r="XCQ118" s="73"/>
      <c r="XCR118" s="73"/>
      <c r="XCS118" s="73"/>
      <c r="XCT118" s="73"/>
      <c r="XCU118" s="73"/>
      <c r="XCV118" s="73"/>
      <c r="XCW118" s="73"/>
      <c r="XCX118" s="73"/>
      <c r="XCY118" s="73"/>
      <c r="XCZ118" s="73"/>
      <c r="XDA118" s="73"/>
      <c r="XDB118" s="73"/>
      <c r="XDC118" s="73"/>
      <c r="XDD118" s="73"/>
      <c r="XDE118" s="73"/>
      <c r="XDF118" s="73"/>
      <c r="XDG118" s="73"/>
      <c r="XDH118" s="73"/>
      <c r="XDI118" s="73"/>
      <c r="XDJ118" s="73"/>
      <c r="XDK118" s="73"/>
      <c r="XDL118" s="73"/>
      <c r="XDM118" s="73"/>
      <c r="XDN118" s="73"/>
      <c r="XDO118" s="73"/>
      <c r="XDP118" s="73"/>
      <c r="XDQ118" s="73"/>
      <c r="XDR118" s="73"/>
      <c r="XDS118" s="73"/>
      <c r="XDT118" s="73"/>
      <c r="XDU118" s="73"/>
      <c r="XDV118" s="73"/>
      <c r="XDW118" s="73"/>
      <c r="XDX118" s="73"/>
      <c r="XDY118" s="73"/>
      <c r="XDZ118" s="73"/>
      <c r="XEA118" s="73"/>
      <c r="XEB118" s="73"/>
      <c r="XEC118" s="73"/>
      <c r="XED118" s="73"/>
      <c r="XEE118" s="73"/>
      <c r="XEF118" s="73"/>
      <c r="XEG118" s="73"/>
      <c r="XEH118" s="73"/>
      <c r="XEI118" s="73"/>
      <c r="XEJ118" s="73"/>
      <c r="XEK118" s="73"/>
      <c r="XEL118" s="73"/>
      <c r="XEM118" s="73"/>
      <c r="XEN118" s="73"/>
      <c r="XEO118" s="73"/>
      <c r="XEP118" s="73"/>
    </row>
    <row r="119" spans="1:16370" s="72" customFormat="1" ht="13.5" customHeight="1" x14ac:dyDescent="0.3">
      <c r="A119" s="72" t="e">
        <f>VLOOKUP(C119,'[1]青岛4 (2)'!$C:$D,2,0)</f>
        <v>#N/A</v>
      </c>
      <c r="B119" s="100" t="s">
        <v>1754</v>
      </c>
      <c r="C119" s="101">
        <v>10880037503</v>
      </c>
      <c r="D119" s="105">
        <v>110001307381</v>
      </c>
      <c r="E119" s="102">
        <v>110001307381</v>
      </c>
      <c r="F119" s="100" t="s">
        <v>245</v>
      </c>
      <c r="G119" s="100">
        <v>1000</v>
      </c>
      <c r="H119" s="103">
        <v>1000</v>
      </c>
      <c r="I119" s="104" t="str">
        <f>VLOOKUP(C119,'[2]IE model  海尔产品'!$A$1:$D$65536,4,0)</f>
        <v>1*5</v>
      </c>
      <c r="J119" s="104" cm="1">
        <f t="array" ref="J119">INDEX($A$2:$AF$2,MIN(IF(M119:AF119&lt;&gt;0,COLUMN(M119:AF119))))</f>
        <v>46146</v>
      </c>
      <c r="K119" s="100">
        <v>1400</v>
      </c>
      <c r="L119" s="100"/>
      <c r="M119" s="115"/>
      <c r="N119" s="113"/>
      <c r="O119" s="115">
        <v>1000</v>
      </c>
      <c r="P119" s="137"/>
      <c r="Q119" s="115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15">
        <f t="shared" si="49"/>
        <v>1000</v>
      </c>
      <c r="AH119" s="124">
        <f t="shared" si="50"/>
        <v>0</v>
      </c>
      <c r="AI119" s="130">
        <f>VLOOKUP(E119,[6]Data!$D:$H,5,0)</f>
        <v>46147</v>
      </c>
      <c r="AJ119" s="73"/>
      <c r="AK119" s="138"/>
      <c r="AL119" s="138"/>
      <c r="AM119" s="72" t="e">
        <f>_xlfn.XLOOKUP(C119,'[4]4-30'!$F:$F,'[4]4-30'!$S:$S)</f>
        <v>#N/A</v>
      </c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  <c r="JD119" s="73"/>
      <c r="JE119" s="73"/>
      <c r="JF119" s="73"/>
      <c r="JG119" s="73"/>
      <c r="JH119" s="73"/>
      <c r="JI119" s="73"/>
      <c r="JJ119" s="73"/>
      <c r="JK119" s="73"/>
      <c r="JL119" s="73"/>
      <c r="JM119" s="73"/>
      <c r="JN119" s="73"/>
      <c r="JO119" s="73"/>
      <c r="JP119" s="73"/>
      <c r="JQ119" s="73"/>
      <c r="JR119" s="73"/>
      <c r="JS119" s="73"/>
      <c r="JT119" s="73"/>
      <c r="JU119" s="73"/>
      <c r="JV119" s="73"/>
      <c r="JW119" s="73"/>
      <c r="JX119" s="73"/>
      <c r="JY119" s="73"/>
      <c r="JZ119" s="73"/>
      <c r="KA119" s="73"/>
      <c r="KB119" s="73"/>
      <c r="KC119" s="73"/>
      <c r="KD119" s="73"/>
      <c r="KE119" s="73"/>
      <c r="KF119" s="73"/>
      <c r="KG119" s="73"/>
      <c r="KH119" s="73"/>
      <c r="KI119" s="73"/>
      <c r="KJ119" s="73"/>
      <c r="KK119" s="73"/>
      <c r="KL119" s="73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  <c r="MH119" s="73"/>
      <c r="MI119" s="73"/>
      <c r="MJ119" s="73"/>
      <c r="MK119" s="73"/>
      <c r="ML119" s="73"/>
      <c r="MM119" s="73"/>
      <c r="MN119" s="73"/>
      <c r="MO119" s="73"/>
      <c r="MP119" s="73"/>
      <c r="MQ119" s="73"/>
      <c r="MR119" s="73"/>
      <c r="MS119" s="73"/>
      <c r="MT119" s="73"/>
      <c r="MU119" s="73"/>
      <c r="MV119" s="73"/>
      <c r="MW119" s="73"/>
      <c r="MX119" s="73"/>
      <c r="MY119" s="73"/>
      <c r="MZ119" s="73"/>
      <c r="NA119" s="73"/>
      <c r="NB119" s="73"/>
      <c r="NC119" s="73"/>
      <c r="ND119" s="73"/>
      <c r="NE119" s="73"/>
      <c r="NF119" s="73"/>
      <c r="NG119" s="73"/>
      <c r="NH119" s="73"/>
      <c r="NI119" s="73"/>
      <c r="NJ119" s="73"/>
      <c r="NK119" s="73"/>
      <c r="NL119" s="73"/>
      <c r="NM119" s="73"/>
      <c r="NN119" s="73"/>
      <c r="NO119" s="73"/>
      <c r="NP119" s="73"/>
      <c r="NQ119" s="73"/>
      <c r="NR119" s="73"/>
      <c r="NS119" s="73"/>
      <c r="NT119" s="73"/>
      <c r="NU119" s="73"/>
      <c r="NV119" s="73"/>
      <c r="NW119" s="73"/>
      <c r="NX119" s="73"/>
      <c r="NY119" s="73"/>
      <c r="NZ119" s="73"/>
      <c r="OA119" s="73"/>
      <c r="OB119" s="73"/>
      <c r="OC119" s="73"/>
      <c r="OD119" s="73"/>
      <c r="OE119" s="73"/>
      <c r="OF119" s="73"/>
      <c r="OG119" s="73"/>
      <c r="OH119" s="73"/>
      <c r="OI119" s="73"/>
      <c r="OJ119" s="73"/>
      <c r="OK119" s="73"/>
      <c r="OL119" s="73"/>
      <c r="OM119" s="73"/>
      <c r="ON119" s="73"/>
      <c r="OO119" s="73"/>
      <c r="OP119" s="73"/>
      <c r="OQ119" s="73"/>
      <c r="OR119" s="73"/>
      <c r="OS119" s="73"/>
      <c r="OT119" s="73"/>
      <c r="OU119" s="73"/>
      <c r="OV119" s="73"/>
      <c r="OW119" s="73"/>
      <c r="OX119" s="73"/>
      <c r="OY119" s="73"/>
      <c r="OZ119" s="73"/>
      <c r="PA119" s="73"/>
      <c r="PB119" s="73"/>
      <c r="PC119" s="73"/>
      <c r="PD119" s="73"/>
      <c r="PE119" s="73"/>
      <c r="PF119" s="73"/>
      <c r="PG119" s="73"/>
      <c r="PH119" s="73"/>
      <c r="PI119" s="73"/>
      <c r="PJ119" s="73"/>
      <c r="PK119" s="73"/>
      <c r="PL119" s="73"/>
      <c r="PM119" s="73"/>
      <c r="PN119" s="73"/>
      <c r="PO119" s="73"/>
      <c r="PP119" s="73"/>
      <c r="PQ119" s="73"/>
      <c r="PR119" s="73"/>
      <c r="PS119" s="73"/>
      <c r="PT119" s="73"/>
      <c r="PU119" s="73"/>
      <c r="PV119" s="73"/>
      <c r="PW119" s="73"/>
      <c r="PX119" s="73"/>
      <c r="PY119" s="73"/>
      <c r="PZ119" s="73"/>
      <c r="QA119" s="73"/>
      <c r="QB119" s="73"/>
      <c r="QC119" s="73"/>
      <c r="QD119" s="73"/>
      <c r="QE119" s="73"/>
      <c r="QF119" s="73"/>
      <c r="QG119" s="73"/>
      <c r="QH119" s="73"/>
      <c r="QI119" s="73"/>
      <c r="QJ119" s="73"/>
      <c r="QK119" s="73"/>
      <c r="QL119" s="73"/>
      <c r="QM119" s="73"/>
      <c r="QN119" s="73"/>
      <c r="QO119" s="73"/>
      <c r="QP119" s="73"/>
      <c r="QQ119" s="73"/>
      <c r="QR119" s="73"/>
      <c r="QS119" s="73"/>
      <c r="QT119" s="73"/>
      <c r="QU119" s="73"/>
      <c r="QV119" s="73"/>
      <c r="QW119" s="73"/>
      <c r="QX119" s="73"/>
      <c r="QY119" s="73"/>
      <c r="QZ119" s="73"/>
      <c r="RA119" s="73"/>
      <c r="RB119" s="73"/>
      <c r="RC119" s="73"/>
      <c r="RD119" s="73"/>
      <c r="RE119" s="73"/>
      <c r="RF119" s="73"/>
      <c r="RG119" s="73"/>
      <c r="RH119" s="73"/>
      <c r="RI119" s="73"/>
      <c r="RJ119" s="73"/>
      <c r="RK119" s="73"/>
      <c r="RL119" s="73"/>
      <c r="RM119" s="73"/>
      <c r="RN119" s="73"/>
      <c r="RO119" s="73"/>
      <c r="RP119" s="73"/>
      <c r="RQ119" s="73"/>
      <c r="RR119" s="73"/>
      <c r="RS119" s="73"/>
      <c r="RT119" s="73"/>
      <c r="RU119" s="73"/>
      <c r="RV119" s="73"/>
      <c r="RW119" s="73"/>
      <c r="RX119" s="73"/>
      <c r="RY119" s="73"/>
      <c r="RZ119" s="73"/>
      <c r="SA119" s="73"/>
      <c r="SB119" s="73"/>
      <c r="SC119" s="73"/>
      <c r="SD119" s="73"/>
      <c r="SE119" s="73"/>
      <c r="SF119" s="73"/>
      <c r="SG119" s="73"/>
      <c r="SH119" s="73"/>
      <c r="SI119" s="73"/>
      <c r="SJ119" s="73"/>
      <c r="SK119" s="73"/>
      <c r="SL119" s="73"/>
      <c r="SM119" s="73"/>
      <c r="SN119" s="73"/>
      <c r="SO119" s="73"/>
      <c r="SP119" s="73"/>
      <c r="SQ119" s="73"/>
      <c r="SR119" s="73"/>
      <c r="SS119" s="73"/>
      <c r="ST119" s="73"/>
      <c r="SU119" s="73"/>
      <c r="SV119" s="73"/>
      <c r="SW119" s="73"/>
      <c r="SX119" s="73"/>
      <c r="SY119" s="73"/>
      <c r="SZ119" s="73"/>
      <c r="TA119" s="73"/>
      <c r="TB119" s="73"/>
      <c r="TC119" s="73"/>
      <c r="TD119" s="73"/>
      <c r="TE119" s="73"/>
      <c r="TF119" s="73"/>
      <c r="TG119" s="73"/>
      <c r="TH119" s="73"/>
      <c r="TI119" s="73"/>
      <c r="TJ119" s="73"/>
      <c r="TK119" s="73"/>
      <c r="TL119" s="73"/>
      <c r="TM119" s="73"/>
      <c r="TN119" s="73"/>
      <c r="TO119" s="73"/>
      <c r="TP119" s="73"/>
      <c r="TQ119" s="73"/>
      <c r="TR119" s="73"/>
      <c r="TS119" s="73"/>
      <c r="TT119" s="73"/>
      <c r="TU119" s="73"/>
      <c r="TV119" s="73"/>
      <c r="TW119" s="73"/>
      <c r="TX119" s="73"/>
      <c r="TY119" s="73"/>
      <c r="TZ119" s="73"/>
      <c r="UA119" s="73"/>
      <c r="UB119" s="73"/>
      <c r="UC119" s="73"/>
      <c r="UD119" s="73"/>
      <c r="UE119" s="73"/>
      <c r="UF119" s="73"/>
      <c r="UG119" s="73"/>
      <c r="UH119" s="73"/>
      <c r="UI119" s="73"/>
      <c r="UJ119" s="73"/>
      <c r="UK119" s="73"/>
      <c r="UL119" s="73"/>
      <c r="UM119" s="73"/>
      <c r="UN119" s="73"/>
      <c r="UO119" s="73"/>
      <c r="UP119" s="73"/>
      <c r="UQ119" s="73"/>
      <c r="UR119" s="73"/>
      <c r="US119" s="73"/>
      <c r="UT119" s="73"/>
      <c r="UU119" s="73"/>
      <c r="UV119" s="73"/>
      <c r="UW119" s="73"/>
      <c r="UX119" s="73"/>
      <c r="UY119" s="73"/>
      <c r="UZ119" s="73"/>
      <c r="VA119" s="73"/>
      <c r="VB119" s="73"/>
      <c r="VC119" s="73"/>
      <c r="VD119" s="73"/>
      <c r="VE119" s="73"/>
      <c r="VF119" s="73"/>
      <c r="VG119" s="73"/>
      <c r="VH119" s="73"/>
      <c r="VI119" s="73"/>
      <c r="VJ119" s="73"/>
      <c r="VK119" s="73"/>
      <c r="VL119" s="73"/>
      <c r="VM119" s="73"/>
      <c r="VN119" s="73"/>
      <c r="VO119" s="73"/>
      <c r="VP119" s="73"/>
      <c r="VQ119" s="73"/>
      <c r="VR119" s="73"/>
      <c r="VS119" s="73"/>
      <c r="VT119" s="73"/>
      <c r="VU119" s="73"/>
      <c r="VV119" s="73"/>
      <c r="VW119" s="73"/>
      <c r="VX119" s="73"/>
      <c r="VY119" s="73"/>
      <c r="VZ119" s="73"/>
      <c r="WA119" s="73"/>
      <c r="WB119" s="73"/>
      <c r="WC119" s="73"/>
      <c r="WD119" s="73"/>
      <c r="WE119" s="73"/>
      <c r="WF119" s="73"/>
      <c r="WG119" s="73"/>
      <c r="WH119" s="73"/>
      <c r="WI119" s="73"/>
      <c r="WJ119" s="73"/>
      <c r="WK119" s="73"/>
      <c r="WL119" s="73"/>
      <c r="WM119" s="73"/>
      <c r="WN119" s="73"/>
      <c r="WO119" s="73"/>
      <c r="WP119" s="73"/>
      <c r="WQ119" s="73"/>
      <c r="WR119" s="73"/>
      <c r="WS119" s="73"/>
      <c r="WT119" s="73"/>
      <c r="WU119" s="73"/>
      <c r="WV119" s="73"/>
      <c r="WW119" s="73"/>
      <c r="WX119" s="73"/>
      <c r="WY119" s="73"/>
      <c r="WZ119" s="73"/>
      <c r="XA119" s="73"/>
      <c r="XB119" s="73"/>
      <c r="XC119" s="73"/>
      <c r="XD119" s="73"/>
      <c r="XE119" s="73"/>
      <c r="XF119" s="73"/>
      <c r="XG119" s="73"/>
      <c r="XH119" s="73"/>
      <c r="XI119" s="73"/>
      <c r="XJ119" s="73"/>
      <c r="XK119" s="73"/>
      <c r="XL119" s="73"/>
      <c r="XM119" s="73"/>
      <c r="XN119" s="73"/>
      <c r="XO119" s="73"/>
      <c r="XP119" s="73"/>
      <c r="XQ119" s="73"/>
      <c r="XR119" s="73"/>
      <c r="XS119" s="73"/>
      <c r="XT119" s="73"/>
      <c r="XU119" s="73"/>
      <c r="XV119" s="73"/>
      <c r="XW119" s="73"/>
      <c r="XX119" s="73"/>
      <c r="XY119" s="73"/>
      <c r="XZ119" s="73"/>
      <c r="YA119" s="73"/>
      <c r="YB119" s="73"/>
      <c r="YC119" s="73"/>
      <c r="YD119" s="73"/>
      <c r="YE119" s="73"/>
      <c r="YF119" s="73"/>
      <c r="YG119" s="73"/>
      <c r="YH119" s="73"/>
      <c r="YI119" s="73"/>
      <c r="YJ119" s="73"/>
      <c r="YK119" s="73"/>
      <c r="YL119" s="73"/>
      <c r="YM119" s="73"/>
      <c r="YN119" s="73"/>
      <c r="YO119" s="73"/>
      <c r="YP119" s="73"/>
      <c r="YQ119" s="73"/>
      <c r="YR119" s="73"/>
      <c r="YS119" s="73"/>
      <c r="YT119" s="73"/>
      <c r="YU119" s="73"/>
      <c r="YV119" s="73"/>
      <c r="YW119" s="73"/>
      <c r="YX119" s="73"/>
      <c r="YY119" s="73"/>
      <c r="YZ119" s="73"/>
      <c r="ZA119" s="73"/>
      <c r="ZB119" s="73"/>
      <c r="ZC119" s="73"/>
      <c r="ZD119" s="73"/>
      <c r="ZE119" s="73"/>
      <c r="ZF119" s="73"/>
      <c r="ZG119" s="73"/>
      <c r="ZH119" s="73"/>
      <c r="ZI119" s="73"/>
      <c r="ZJ119" s="73"/>
      <c r="ZK119" s="73"/>
      <c r="ZL119" s="73"/>
      <c r="ZM119" s="73"/>
      <c r="ZN119" s="73"/>
      <c r="ZO119" s="73"/>
      <c r="ZP119" s="73"/>
      <c r="ZQ119" s="73"/>
      <c r="ZR119" s="73"/>
      <c r="ZS119" s="73"/>
      <c r="ZT119" s="73"/>
      <c r="ZU119" s="73"/>
      <c r="ZV119" s="73"/>
      <c r="ZW119" s="73"/>
      <c r="ZX119" s="73"/>
      <c r="ZY119" s="73"/>
      <c r="ZZ119" s="73"/>
      <c r="AAA119" s="73"/>
      <c r="AAB119" s="73"/>
      <c r="AAC119" s="73"/>
      <c r="AAD119" s="73"/>
      <c r="AAE119" s="73"/>
      <c r="AAF119" s="73"/>
      <c r="AAG119" s="73"/>
      <c r="AAH119" s="73"/>
      <c r="AAI119" s="73"/>
      <c r="AAJ119" s="73"/>
      <c r="AAK119" s="73"/>
      <c r="AAL119" s="73"/>
      <c r="AAM119" s="73"/>
      <c r="AAN119" s="73"/>
      <c r="AAO119" s="73"/>
      <c r="AAP119" s="73"/>
      <c r="AAQ119" s="73"/>
      <c r="AAR119" s="73"/>
      <c r="AAS119" s="73"/>
      <c r="AAT119" s="73"/>
      <c r="AAU119" s="73"/>
      <c r="AAV119" s="73"/>
      <c r="AAW119" s="73"/>
      <c r="AAX119" s="73"/>
      <c r="AAY119" s="73"/>
      <c r="AAZ119" s="73"/>
      <c r="ABA119" s="73"/>
      <c r="ABB119" s="73"/>
      <c r="ABC119" s="73"/>
      <c r="ABD119" s="73"/>
      <c r="ABE119" s="73"/>
      <c r="ABF119" s="73"/>
      <c r="ABG119" s="73"/>
      <c r="ABH119" s="73"/>
      <c r="ABI119" s="73"/>
      <c r="ABJ119" s="73"/>
      <c r="ABK119" s="73"/>
      <c r="ABL119" s="73"/>
      <c r="ABM119" s="73"/>
      <c r="ABN119" s="73"/>
      <c r="ABO119" s="73"/>
      <c r="ABP119" s="73"/>
      <c r="ABQ119" s="73"/>
      <c r="ABR119" s="73"/>
      <c r="ABS119" s="73"/>
      <c r="ABT119" s="73"/>
      <c r="ABU119" s="73"/>
      <c r="ABV119" s="73"/>
      <c r="ABW119" s="73"/>
      <c r="ABX119" s="73"/>
      <c r="ABY119" s="73"/>
      <c r="ABZ119" s="73"/>
      <c r="ACA119" s="73"/>
      <c r="ACB119" s="73"/>
      <c r="ACC119" s="73"/>
      <c r="ACD119" s="73"/>
      <c r="ACE119" s="73"/>
      <c r="ACF119" s="73"/>
      <c r="ACG119" s="73"/>
      <c r="ACH119" s="73"/>
      <c r="ACI119" s="73"/>
      <c r="ACJ119" s="73"/>
      <c r="ACK119" s="73"/>
      <c r="ACL119" s="73"/>
      <c r="ACM119" s="73"/>
      <c r="ACN119" s="73"/>
      <c r="ACO119" s="73"/>
      <c r="ACP119" s="73"/>
      <c r="ACQ119" s="73"/>
      <c r="ACR119" s="73"/>
      <c r="ACS119" s="73"/>
      <c r="ACT119" s="73"/>
      <c r="ACU119" s="73"/>
      <c r="ACV119" s="73"/>
      <c r="ACW119" s="73"/>
      <c r="ACX119" s="73"/>
      <c r="ACY119" s="73"/>
      <c r="ACZ119" s="73"/>
      <c r="ADA119" s="73"/>
      <c r="ADB119" s="73"/>
      <c r="ADC119" s="73"/>
      <c r="ADD119" s="73"/>
      <c r="ADE119" s="73"/>
      <c r="ADF119" s="73"/>
      <c r="ADG119" s="73"/>
      <c r="ADH119" s="73"/>
      <c r="ADI119" s="73"/>
      <c r="ADJ119" s="73"/>
      <c r="ADK119" s="73"/>
      <c r="ADL119" s="73"/>
      <c r="ADM119" s="73"/>
      <c r="ADN119" s="73"/>
      <c r="ADO119" s="73"/>
      <c r="ADP119" s="73"/>
      <c r="ADQ119" s="73"/>
      <c r="ADR119" s="73"/>
      <c r="ADS119" s="73"/>
      <c r="ADT119" s="73"/>
      <c r="ADU119" s="73"/>
      <c r="ADV119" s="73"/>
      <c r="ADW119" s="73"/>
      <c r="ADX119" s="73"/>
      <c r="ADY119" s="73"/>
      <c r="ADZ119" s="73"/>
      <c r="AEA119" s="73"/>
      <c r="AEB119" s="73"/>
      <c r="AEC119" s="73"/>
      <c r="AED119" s="73"/>
      <c r="AEE119" s="73"/>
      <c r="AEF119" s="73"/>
      <c r="AEG119" s="73"/>
      <c r="AEH119" s="73"/>
      <c r="AEI119" s="73"/>
      <c r="AEJ119" s="73"/>
      <c r="AEK119" s="73"/>
      <c r="AEL119" s="73"/>
      <c r="AEM119" s="73"/>
      <c r="AEN119" s="73"/>
      <c r="AEO119" s="73"/>
      <c r="AEP119" s="73"/>
      <c r="AEQ119" s="73"/>
      <c r="AER119" s="73"/>
      <c r="AES119" s="73"/>
      <c r="AET119" s="73"/>
      <c r="AEU119" s="73"/>
      <c r="AEV119" s="73"/>
      <c r="AEW119" s="73"/>
      <c r="AEX119" s="73"/>
      <c r="AEY119" s="73"/>
      <c r="AEZ119" s="73"/>
      <c r="AFA119" s="73"/>
      <c r="AFB119" s="73"/>
      <c r="AFC119" s="73"/>
      <c r="AFD119" s="73"/>
      <c r="AFE119" s="73"/>
      <c r="AFF119" s="73"/>
      <c r="AFG119" s="73"/>
      <c r="AFH119" s="73"/>
      <c r="AFI119" s="73"/>
      <c r="AFJ119" s="73"/>
      <c r="AFK119" s="73"/>
      <c r="AFL119" s="73"/>
      <c r="AFM119" s="73"/>
      <c r="AFN119" s="73"/>
      <c r="AFO119" s="73"/>
      <c r="AFP119" s="73"/>
      <c r="AFQ119" s="73"/>
      <c r="AFR119" s="73"/>
      <c r="AFS119" s="73"/>
      <c r="AFT119" s="73"/>
      <c r="AFU119" s="73"/>
      <c r="AFV119" s="73"/>
      <c r="AFW119" s="73"/>
      <c r="AFX119" s="73"/>
      <c r="AFY119" s="73"/>
      <c r="AFZ119" s="73"/>
      <c r="AGA119" s="73"/>
      <c r="AGB119" s="73"/>
      <c r="AGC119" s="73"/>
      <c r="AGD119" s="73"/>
      <c r="AGE119" s="73"/>
      <c r="AGF119" s="73"/>
      <c r="AGG119" s="73"/>
      <c r="AGH119" s="73"/>
      <c r="AGI119" s="73"/>
      <c r="AGJ119" s="73"/>
      <c r="AGK119" s="73"/>
      <c r="AGL119" s="73"/>
      <c r="AGM119" s="73"/>
      <c r="AGN119" s="73"/>
      <c r="AGO119" s="73"/>
      <c r="AGP119" s="73"/>
      <c r="AGQ119" s="73"/>
      <c r="AGR119" s="73"/>
      <c r="AGS119" s="73"/>
      <c r="AGT119" s="73"/>
      <c r="AGU119" s="73"/>
      <c r="AGV119" s="73"/>
      <c r="AGW119" s="73"/>
      <c r="AGX119" s="73"/>
      <c r="AGY119" s="73"/>
      <c r="AGZ119" s="73"/>
      <c r="AHA119" s="73"/>
      <c r="AHB119" s="73"/>
      <c r="AHC119" s="73"/>
      <c r="AHD119" s="73"/>
      <c r="AHE119" s="73"/>
      <c r="AHF119" s="73"/>
      <c r="AHG119" s="73"/>
      <c r="AHH119" s="73"/>
      <c r="AHI119" s="73"/>
      <c r="AHJ119" s="73"/>
      <c r="AHK119" s="73"/>
      <c r="AHL119" s="73"/>
      <c r="AHM119" s="73"/>
      <c r="AHN119" s="73"/>
      <c r="AHO119" s="73"/>
      <c r="AHP119" s="73"/>
      <c r="AHQ119" s="73"/>
      <c r="AHR119" s="73"/>
      <c r="AHS119" s="73"/>
      <c r="AHT119" s="73"/>
      <c r="AHU119" s="73"/>
      <c r="AHV119" s="73"/>
      <c r="AHW119" s="73"/>
      <c r="AHX119" s="73"/>
      <c r="AHY119" s="73"/>
      <c r="AHZ119" s="73"/>
      <c r="AIA119" s="73"/>
      <c r="AIB119" s="73"/>
      <c r="AIC119" s="73"/>
      <c r="AID119" s="73"/>
      <c r="AIE119" s="73"/>
      <c r="AIF119" s="73"/>
      <c r="AIG119" s="73"/>
      <c r="AIH119" s="73"/>
      <c r="AII119" s="73"/>
      <c r="AIJ119" s="73"/>
      <c r="AIK119" s="73"/>
      <c r="AIL119" s="73"/>
      <c r="AIM119" s="73"/>
      <c r="AIN119" s="73"/>
      <c r="AIO119" s="73"/>
      <c r="AIP119" s="73"/>
      <c r="AIQ119" s="73"/>
      <c r="AIR119" s="73"/>
      <c r="AIS119" s="73"/>
      <c r="AIT119" s="73"/>
      <c r="AIU119" s="73"/>
      <c r="AIV119" s="73"/>
      <c r="AIW119" s="73"/>
      <c r="AIX119" s="73"/>
      <c r="AIY119" s="73"/>
      <c r="AIZ119" s="73"/>
      <c r="AJA119" s="73"/>
      <c r="AJB119" s="73"/>
      <c r="AJC119" s="73"/>
      <c r="AJD119" s="73"/>
      <c r="AJE119" s="73"/>
      <c r="AJF119" s="73"/>
      <c r="AJG119" s="73"/>
      <c r="AJH119" s="73"/>
      <c r="AJI119" s="73"/>
      <c r="AJJ119" s="73"/>
      <c r="AJK119" s="73"/>
      <c r="AJL119" s="73"/>
      <c r="AJM119" s="73"/>
      <c r="AJN119" s="73"/>
      <c r="AJO119" s="73"/>
      <c r="AJP119" s="73"/>
      <c r="AJQ119" s="73"/>
      <c r="AJR119" s="73"/>
      <c r="AJS119" s="73"/>
      <c r="AJT119" s="73"/>
      <c r="AJU119" s="73"/>
      <c r="AJV119" s="73"/>
      <c r="AJW119" s="73"/>
      <c r="AJX119" s="73"/>
      <c r="AJY119" s="73"/>
      <c r="AJZ119" s="73"/>
      <c r="AKA119" s="73"/>
      <c r="AKB119" s="73"/>
      <c r="AKC119" s="73"/>
      <c r="AKD119" s="73"/>
      <c r="AKE119" s="73"/>
      <c r="AKF119" s="73"/>
      <c r="AKG119" s="73"/>
      <c r="AKH119" s="73"/>
      <c r="AKI119" s="73"/>
      <c r="AKJ119" s="73"/>
      <c r="AKK119" s="73"/>
      <c r="AKL119" s="73"/>
      <c r="AKM119" s="73"/>
      <c r="AKN119" s="73"/>
      <c r="AKO119" s="73"/>
      <c r="AKP119" s="73"/>
      <c r="AKQ119" s="73"/>
      <c r="AKR119" s="73"/>
      <c r="AKS119" s="73"/>
      <c r="AKT119" s="73"/>
      <c r="AKU119" s="73"/>
      <c r="AKV119" s="73"/>
      <c r="AKW119" s="73"/>
      <c r="AKX119" s="73"/>
      <c r="AKY119" s="73"/>
      <c r="AKZ119" s="73"/>
      <c r="ALA119" s="73"/>
      <c r="ALB119" s="73"/>
      <c r="ALC119" s="73"/>
      <c r="ALD119" s="73"/>
      <c r="ALE119" s="73"/>
      <c r="ALF119" s="73"/>
      <c r="ALG119" s="73"/>
      <c r="ALH119" s="73"/>
      <c r="ALI119" s="73"/>
      <c r="ALJ119" s="73"/>
      <c r="ALK119" s="73"/>
      <c r="ALL119" s="73"/>
      <c r="ALM119" s="73"/>
      <c r="ALN119" s="73"/>
      <c r="ALO119" s="73"/>
      <c r="ALP119" s="73"/>
      <c r="ALQ119" s="73"/>
      <c r="ALR119" s="73"/>
      <c r="ALS119" s="73"/>
      <c r="ALT119" s="73"/>
      <c r="ALU119" s="73"/>
      <c r="ALV119" s="73"/>
      <c r="ALW119" s="73"/>
      <c r="ALX119" s="73"/>
      <c r="ALY119" s="73"/>
      <c r="ALZ119" s="73"/>
      <c r="AMA119" s="73"/>
      <c r="AMB119" s="73"/>
      <c r="AMC119" s="73"/>
      <c r="AMD119" s="73"/>
      <c r="AME119" s="73"/>
      <c r="AMF119" s="73"/>
      <c r="AMG119" s="73"/>
      <c r="AMH119" s="73"/>
      <c r="AMI119" s="73"/>
      <c r="AMJ119" s="73"/>
      <c r="AMK119" s="73"/>
      <c r="AML119" s="73"/>
      <c r="AMM119" s="73"/>
      <c r="AMN119" s="73"/>
      <c r="AMO119" s="73"/>
      <c r="AMP119" s="73"/>
      <c r="AMQ119" s="73"/>
      <c r="AMR119" s="73"/>
      <c r="AMS119" s="73"/>
      <c r="AMT119" s="73"/>
      <c r="AMU119" s="73"/>
      <c r="AMV119" s="73"/>
      <c r="AMW119" s="73"/>
      <c r="AMX119" s="73"/>
      <c r="AMY119" s="73"/>
      <c r="AMZ119" s="73"/>
      <c r="ANA119" s="73"/>
      <c r="ANB119" s="73"/>
      <c r="ANC119" s="73"/>
      <c r="AND119" s="73"/>
      <c r="ANE119" s="73"/>
      <c r="ANF119" s="73"/>
      <c r="ANG119" s="73"/>
      <c r="ANH119" s="73"/>
      <c r="ANI119" s="73"/>
      <c r="ANJ119" s="73"/>
      <c r="ANK119" s="73"/>
      <c r="ANL119" s="73"/>
      <c r="ANM119" s="73"/>
      <c r="ANN119" s="73"/>
      <c r="ANO119" s="73"/>
      <c r="ANP119" s="73"/>
      <c r="ANQ119" s="73"/>
      <c r="ANR119" s="73"/>
      <c r="ANS119" s="73"/>
      <c r="ANT119" s="73"/>
      <c r="ANU119" s="73"/>
      <c r="ANV119" s="73"/>
      <c r="ANW119" s="73"/>
      <c r="ANX119" s="73"/>
      <c r="ANY119" s="73"/>
      <c r="ANZ119" s="73"/>
      <c r="AOA119" s="73"/>
      <c r="AOB119" s="73"/>
      <c r="AOC119" s="73"/>
      <c r="AOD119" s="73"/>
      <c r="AOE119" s="73"/>
      <c r="AOF119" s="73"/>
      <c r="AOG119" s="73"/>
      <c r="AOH119" s="73"/>
      <c r="AOI119" s="73"/>
      <c r="AOJ119" s="73"/>
      <c r="AOK119" s="73"/>
      <c r="AOL119" s="73"/>
      <c r="AOM119" s="73"/>
      <c r="AON119" s="73"/>
      <c r="AOO119" s="73"/>
      <c r="AOP119" s="73"/>
      <c r="AOQ119" s="73"/>
      <c r="AOR119" s="73"/>
      <c r="AOS119" s="73"/>
      <c r="AOT119" s="73"/>
      <c r="AOU119" s="73"/>
      <c r="AOV119" s="73"/>
      <c r="AOW119" s="73"/>
      <c r="AOX119" s="73"/>
      <c r="AOY119" s="73"/>
      <c r="AOZ119" s="73"/>
      <c r="APA119" s="73"/>
      <c r="APB119" s="73"/>
      <c r="APC119" s="73"/>
      <c r="APD119" s="73"/>
      <c r="APE119" s="73"/>
      <c r="APF119" s="73"/>
      <c r="APG119" s="73"/>
      <c r="APH119" s="73"/>
      <c r="API119" s="73"/>
      <c r="APJ119" s="73"/>
      <c r="APK119" s="73"/>
      <c r="APL119" s="73"/>
      <c r="APM119" s="73"/>
      <c r="APN119" s="73"/>
      <c r="APO119" s="73"/>
      <c r="APP119" s="73"/>
      <c r="APQ119" s="73"/>
      <c r="APR119" s="73"/>
      <c r="APS119" s="73"/>
      <c r="APT119" s="73"/>
      <c r="APU119" s="73"/>
      <c r="APV119" s="73"/>
      <c r="APW119" s="73"/>
      <c r="APX119" s="73"/>
      <c r="APY119" s="73"/>
      <c r="APZ119" s="73"/>
      <c r="AQA119" s="73"/>
      <c r="AQB119" s="73"/>
      <c r="AQC119" s="73"/>
      <c r="AQD119" s="73"/>
      <c r="AQE119" s="73"/>
      <c r="AQF119" s="73"/>
      <c r="AQG119" s="73"/>
      <c r="AQH119" s="73"/>
      <c r="AQI119" s="73"/>
      <c r="AQJ119" s="73"/>
      <c r="AQK119" s="73"/>
      <c r="AQL119" s="73"/>
      <c r="AQM119" s="73"/>
      <c r="AQN119" s="73"/>
      <c r="AQO119" s="73"/>
      <c r="AQP119" s="73"/>
      <c r="AQQ119" s="73"/>
      <c r="AQR119" s="73"/>
      <c r="AQS119" s="73"/>
      <c r="AQT119" s="73"/>
      <c r="AQU119" s="73"/>
      <c r="AQV119" s="73"/>
      <c r="AQW119" s="73"/>
      <c r="AQX119" s="73"/>
      <c r="AQY119" s="73"/>
      <c r="AQZ119" s="73"/>
      <c r="ARA119" s="73"/>
      <c r="ARB119" s="73"/>
      <c r="ARC119" s="73"/>
      <c r="ARD119" s="73"/>
      <c r="ARE119" s="73"/>
      <c r="ARF119" s="73"/>
      <c r="ARG119" s="73"/>
      <c r="ARH119" s="73"/>
      <c r="ARI119" s="73"/>
      <c r="ARJ119" s="73"/>
      <c r="ARK119" s="73"/>
      <c r="ARL119" s="73"/>
      <c r="ARM119" s="73"/>
      <c r="ARN119" s="73"/>
      <c r="ARO119" s="73"/>
      <c r="ARP119" s="73"/>
      <c r="ARQ119" s="73"/>
      <c r="ARR119" s="73"/>
      <c r="ARS119" s="73"/>
      <c r="ART119" s="73"/>
      <c r="ARU119" s="73"/>
      <c r="ARV119" s="73"/>
      <c r="ARW119" s="73"/>
      <c r="ARX119" s="73"/>
      <c r="ARY119" s="73"/>
      <c r="ARZ119" s="73"/>
      <c r="ASA119" s="73"/>
      <c r="ASB119" s="73"/>
      <c r="ASC119" s="73"/>
      <c r="ASD119" s="73"/>
      <c r="ASE119" s="73"/>
      <c r="ASF119" s="73"/>
      <c r="ASG119" s="73"/>
      <c r="ASH119" s="73"/>
      <c r="ASI119" s="73"/>
      <c r="ASJ119" s="73"/>
      <c r="ASK119" s="73"/>
      <c r="ASL119" s="73"/>
      <c r="ASM119" s="73"/>
      <c r="ASN119" s="73"/>
      <c r="ASO119" s="73"/>
      <c r="ASP119" s="73"/>
      <c r="ASQ119" s="73"/>
      <c r="ASR119" s="73"/>
      <c r="ASS119" s="73"/>
      <c r="AST119" s="73"/>
      <c r="ASU119" s="73"/>
      <c r="ASV119" s="73"/>
      <c r="ASW119" s="73"/>
      <c r="ASX119" s="73"/>
      <c r="ASY119" s="73"/>
      <c r="ASZ119" s="73"/>
      <c r="ATA119" s="73"/>
      <c r="ATB119" s="73"/>
      <c r="ATC119" s="73"/>
      <c r="ATD119" s="73"/>
      <c r="ATE119" s="73"/>
      <c r="ATF119" s="73"/>
      <c r="ATG119" s="73"/>
      <c r="ATH119" s="73"/>
      <c r="ATI119" s="73"/>
      <c r="ATJ119" s="73"/>
      <c r="ATK119" s="73"/>
      <c r="ATL119" s="73"/>
      <c r="ATM119" s="73"/>
      <c r="ATN119" s="73"/>
      <c r="ATO119" s="73"/>
      <c r="ATP119" s="73"/>
      <c r="ATQ119" s="73"/>
      <c r="ATR119" s="73"/>
      <c r="ATS119" s="73"/>
      <c r="ATT119" s="73"/>
      <c r="ATU119" s="73"/>
      <c r="ATV119" s="73"/>
      <c r="ATW119" s="73"/>
      <c r="ATX119" s="73"/>
      <c r="ATY119" s="73"/>
      <c r="ATZ119" s="73"/>
      <c r="AUA119" s="73"/>
      <c r="AUB119" s="73"/>
      <c r="AUC119" s="73"/>
      <c r="AUD119" s="73"/>
      <c r="AUE119" s="73"/>
      <c r="AUF119" s="73"/>
      <c r="AUG119" s="73"/>
      <c r="AUH119" s="73"/>
      <c r="AUI119" s="73"/>
      <c r="AUJ119" s="73"/>
      <c r="AUK119" s="73"/>
      <c r="AUL119" s="73"/>
      <c r="AUM119" s="73"/>
      <c r="AUN119" s="73"/>
      <c r="AUO119" s="73"/>
      <c r="AUP119" s="73"/>
      <c r="AUQ119" s="73"/>
      <c r="AUR119" s="73"/>
      <c r="AUS119" s="73"/>
      <c r="AUT119" s="73"/>
      <c r="AUU119" s="73"/>
      <c r="AUV119" s="73"/>
      <c r="AUW119" s="73"/>
      <c r="AUX119" s="73"/>
      <c r="AUY119" s="73"/>
      <c r="AUZ119" s="73"/>
      <c r="AVA119" s="73"/>
      <c r="AVB119" s="73"/>
      <c r="AVC119" s="73"/>
      <c r="AVD119" s="73"/>
      <c r="AVE119" s="73"/>
      <c r="AVF119" s="73"/>
      <c r="AVG119" s="73"/>
      <c r="AVH119" s="73"/>
      <c r="AVI119" s="73"/>
      <c r="AVJ119" s="73"/>
      <c r="AVK119" s="73"/>
      <c r="AVL119" s="73"/>
      <c r="AVM119" s="73"/>
      <c r="AVN119" s="73"/>
      <c r="AVO119" s="73"/>
      <c r="AVP119" s="73"/>
      <c r="AVQ119" s="73"/>
      <c r="AVR119" s="73"/>
      <c r="AVS119" s="73"/>
      <c r="AVT119" s="73"/>
      <c r="AVU119" s="73"/>
      <c r="AVV119" s="73"/>
      <c r="AVW119" s="73"/>
      <c r="AVX119" s="73"/>
      <c r="AVY119" s="73"/>
      <c r="AVZ119" s="73"/>
      <c r="AWA119" s="73"/>
      <c r="AWB119" s="73"/>
      <c r="AWC119" s="73"/>
      <c r="AWD119" s="73"/>
      <c r="AWE119" s="73"/>
      <c r="AWF119" s="73"/>
      <c r="AWG119" s="73"/>
      <c r="AWH119" s="73"/>
      <c r="AWI119" s="73"/>
      <c r="AWJ119" s="73"/>
      <c r="AWK119" s="73"/>
      <c r="AWL119" s="73"/>
      <c r="AWM119" s="73"/>
      <c r="AWN119" s="73"/>
      <c r="AWO119" s="73"/>
      <c r="AWP119" s="73"/>
      <c r="AWQ119" s="73"/>
      <c r="AWR119" s="73"/>
      <c r="AWS119" s="73"/>
      <c r="AWT119" s="73"/>
      <c r="AWU119" s="73"/>
      <c r="AWV119" s="73"/>
      <c r="AWW119" s="73"/>
      <c r="AWX119" s="73"/>
      <c r="AWY119" s="73"/>
      <c r="AWZ119" s="73"/>
      <c r="AXA119" s="73"/>
      <c r="AXB119" s="73"/>
      <c r="AXC119" s="73"/>
      <c r="AXD119" s="73"/>
      <c r="AXE119" s="73"/>
      <c r="AXF119" s="73"/>
      <c r="AXG119" s="73"/>
      <c r="AXH119" s="73"/>
      <c r="AXI119" s="73"/>
      <c r="AXJ119" s="73"/>
      <c r="AXK119" s="73"/>
      <c r="AXL119" s="73"/>
      <c r="AXM119" s="73"/>
      <c r="AXN119" s="73"/>
      <c r="AXO119" s="73"/>
      <c r="AXP119" s="73"/>
      <c r="AXQ119" s="73"/>
      <c r="AXR119" s="73"/>
      <c r="AXS119" s="73"/>
      <c r="AXT119" s="73"/>
      <c r="AXU119" s="73"/>
      <c r="AXV119" s="73"/>
      <c r="AXW119" s="73"/>
      <c r="AXX119" s="73"/>
      <c r="AXY119" s="73"/>
      <c r="AXZ119" s="73"/>
      <c r="AYA119" s="73"/>
      <c r="AYB119" s="73"/>
      <c r="AYC119" s="73"/>
      <c r="AYD119" s="73"/>
      <c r="AYE119" s="73"/>
      <c r="AYF119" s="73"/>
      <c r="AYG119" s="73"/>
      <c r="AYH119" s="73"/>
      <c r="AYI119" s="73"/>
      <c r="AYJ119" s="73"/>
      <c r="AYK119" s="73"/>
      <c r="AYL119" s="73"/>
      <c r="AYM119" s="73"/>
      <c r="AYN119" s="73"/>
      <c r="AYO119" s="73"/>
      <c r="AYP119" s="73"/>
      <c r="AYQ119" s="73"/>
      <c r="AYR119" s="73"/>
      <c r="AYS119" s="73"/>
      <c r="AYT119" s="73"/>
      <c r="AYU119" s="73"/>
      <c r="AYV119" s="73"/>
      <c r="AYW119" s="73"/>
      <c r="AYX119" s="73"/>
      <c r="AYY119" s="73"/>
      <c r="AYZ119" s="73"/>
      <c r="AZA119" s="73"/>
      <c r="AZB119" s="73"/>
      <c r="AZC119" s="73"/>
      <c r="AZD119" s="73"/>
      <c r="AZE119" s="73"/>
      <c r="AZF119" s="73"/>
      <c r="AZG119" s="73"/>
      <c r="AZH119" s="73"/>
      <c r="AZI119" s="73"/>
      <c r="AZJ119" s="73"/>
      <c r="AZK119" s="73"/>
      <c r="AZL119" s="73"/>
      <c r="AZM119" s="73"/>
      <c r="AZN119" s="73"/>
      <c r="AZO119" s="73"/>
      <c r="AZP119" s="73"/>
      <c r="AZQ119" s="73"/>
      <c r="AZR119" s="73"/>
      <c r="AZS119" s="73"/>
      <c r="AZT119" s="73"/>
      <c r="AZU119" s="73"/>
      <c r="AZV119" s="73"/>
      <c r="AZW119" s="73"/>
      <c r="AZX119" s="73"/>
      <c r="AZY119" s="73"/>
      <c r="AZZ119" s="73"/>
      <c r="BAA119" s="73"/>
      <c r="BAB119" s="73"/>
      <c r="BAC119" s="73"/>
      <c r="BAD119" s="73"/>
      <c r="BAE119" s="73"/>
      <c r="BAF119" s="73"/>
      <c r="BAG119" s="73"/>
      <c r="BAH119" s="73"/>
      <c r="BAI119" s="73"/>
      <c r="BAJ119" s="73"/>
      <c r="BAK119" s="73"/>
      <c r="BAL119" s="73"/>
      <c r="BAM119" s="73"/>
      <c r="BAN119" s="73"/>
      <c r="BAO119" s="73"/>
      <c r="BAP119" s="73"/>
      <c r="BAQ119" s="73"/>
      <c r="BAR119" s="73"/>
      <c r="BAS119" s="73"/>
      <c r="BAT119" s="73"/>
      <c r="BAU119" s="73"/>
      <c r="BAV119" s="73"/>
      <c r="BAW119" s="73"/>
      <c r="BAX119" s="73"/>
      <c r="BAY119" s="73"/>
      <c r="BAZ119" s="73"/>
      <c r="BBA119" s="73"/>
      <c r="BBB119" s="73"/>
      <c r="BBC119" s="73"/>
      <c r="BBD119" s="73"/>
      <c r="BBE119" s="73"/>
      <c r="BBF119" s="73"/>
      <c r="BBG119" s="73"/>
      <c r="BBH119" s="73"/>
      <c r="BBI119" s="73"/>
      <c r="BBJ119" s="73"/>
      <c r="BBK119" s="73"/>
      <c r="BBL119" s="73"/>
      <c r="BBM119" s="73"/>
      <c r="BBN119" s="73"/>
      <c r="BBO119" s="73"/>
      <c r="BBP119" s="73"/>
      <c r="BBQ119" s="73"/>
      <c r="BBR119" s="73"/>
      <c r="BBS119" s="73"/>
      <c r="BBT119" s="73"/>
      <c r="BBU119" s="73"/>
      <c r="BBV119" s="73"/>
      <c r="BBW119" s="73"/>
      <c r="BBX119" s="73"/>
      <c r="BBY119" s="73"/>
      <c r="BBZ119" s="73"/>
      <c r="BCA119" s="73"/>
      <c r="BCB119" s="73"/>
      <c r="BCC119" s="73"/>
      <c r="BCD119" s="73"/>
      <c r="BCE119" s="73"/>
      <c r="BCF119" s="73"/>
      <c r="BCG119" s="73"/>
      <c r="BCH119" s="73"/>
      <c r="BCI119" s="73"/>
      <c r="BCJ119" s="73"/>
      <c r="BCK119" s="73"/>
      <c r="BCL119" s="73"/>
      <c r="BCM119" s="73"/>
      <c r="BCN119" s="73"/>
      <c r="BCO119" s="73"/>
      <c r="BCP119" s="73"/>
      <c r="BCQ119" s="73"/>
      <c r="BCR119" s="73"/>
      <c r="BCS119" s="73"/>
      <c r="BCT119" s="73"/>
      <c r="BCU119" s="73"/>
      <c r="BCV119" s="73"/>
      <c r="BCW119" s="73"/>
      <c r="BCX119" s="73"/>
      <c r="BCY119" s="73"/>
      <c r="BCZ119" s="73"/>
      <c r="BDA119" s="73"/>
      <c r="BDB119" s="73"/>
      <c r="BDC119" s="73"/>
      <c r="BDD119" s="73"/>
      <c r="BDE119" s="73"/>
      <c r="BDF119" s="73"/>
      <c r="BDG119" s="73"/>
      <c r="BDH119" s="73"/>
      <c r="BDI119" s="73"/>
      <c r="BDJ119" s="73"/>
      <c r="BDK119" s="73"/>
      <c r="BDL119" s="73"/>
      <c r="BDM119" s="73"/>
      <c r="BDN119" s="73"/>
      <c r="BDO119" s="73"/>
      <c r="BDP119" s="73"/>
      <c r="BDQ119" s="73"/>
      <c r="BDR119" s="73"/>
      <c r="BDS119" s="73"/>
      <c r="BDT119" s="73"/>
      <c r="BDU119" s="73"/>
      <c r="BDV119" s="73"/>
      <c r="BDW119" s="73"/>
      <c r="BDX119" s="73"/>
      <c r="BDY119" s="73"/>
      <c r="BDZ119" s="73"/>
      <c r="BEA119" s="73"/>
      <c r="BEB119" s="73"/>
      <c r="BEC119" s="73"/>
      <c r="BED119" s="73"/>
      <c r="BEE119" s="73"/>
      <c r="BEF119" s="73"/>
      <c r="BEG119" s="73"/>
      <c r="BEH119" s="73"/>
      <c r="BEI119" s="73"/>
      <c r="BEJ119" s="73"/>
      <c r="BEK119" s="73"/>
      <c r="BEL119" s="73"/>
      <c r="BEM119" s="73"/>
      <c r="BEN119" s="73"/>
      <c r="BEO119" s="73"/>
      <c r="BEP119" s="73"/>
      <c r="BEQ119" s="73"/>
      <c r="BER119" s="73"/>
      <c r="BES119" s="73"/>
      <c r="BET119" s="73"/>
      <c r="BEU119" s="73"/>
      <c r="BEV119" s="73"/>
      <c r="BEW119" s="73"/>
      <c r="BEX119" s="73"/>
      <c r="BEY119" s="73"/>
      <c r="BEZ119" s="73"/>
      <c r="BFA119" s="73"/>
      <c r="BFB119" s="73"/>
      <c r="BFC119" s="73"/>
      <c r="BFD119" s="73"/>
      <c r="BFE119" s="73"/>
      <c r="BFF119" s="73"/>
      <c r="BFG119" s="73"/>
      <c r="BFH119" s="73"/>
      <c r="BFI119" s="73"/>
      <c r="BFJ119" s="73"/>
      <c r="BFK119" s="73"/>
      <c r="BFL119" s="73"/>
      <c r="BFM119" s="73"/>
      <c r="BFN119" s="73"/>
      <c r="BFO119" s="73"/>
      <c r="BFP119" s="73"/>
      <c r="BFQ119" s="73"/>
      <c r="BFR119" s="73"/>
      <c r="BFS119" s="73"/>
      <c r="BFT119" s="73"/>
      <c r="BFU119" s="73"/>
      <c r="BFV119" s="73"/>
      <c r="BFW119" s="73"/>
      <c r="BFX119" s="73"/>
      <c r="BFY119" s="73"/>
      <c r="BFZ119" s="73"/>
      <c r="BGA119" s="73"/>
      <c r="BGB119" s="73"/>
      <c r="BGC119" s="73"/>
      <c r="BGD119" s="73"/>
      <c r="BGE119" s="73"/>
      <c r="BGF119" s="73"/>
      <c r="BGG119" s="73"/>
      <c r="BGH119" s="73"/>
      <c r="BGI119" s="73"/>
      <c r="BGJ119" s="73"/>
      <c r="BGK119" s="73"/>
      <c r="BGL119" s="73"/>
      <c r="BGM119" s="73"/>
      <c r="BGN119" s="73"/>
      <c r="BGO119" s="73"/>
      <c r="BGP119" s="73"/>
      <c r="BGQ119" s="73"/>
      <c r="BGR119" s="73"/>
      <c r="BGS119" s="73"/>
      <c r="BGT119" s="73"/>
      <c r="BGU119" s="73"/>
      <c r="BGV119" s="73"/>
      <c r="BGW119" s="73"/>
      <c r="BGX119" s="73"/>
      <c r="BGY119" s="73"/>
      <c r="BGZ119" s="73"/>
      <c r="BHA119" s="73"/>
      <c r="BHB119" s="73"/>
      <c r="BHC119" s="73"/>
      <c r="BHD119" s="73"/>
      <c r="BHE119" s="73"/>
      <c r="BHF119" s="73"/>
      <c r="BHG119" s="73"/>
      <c r="BHH119" s="73"/>
      <c r="BHI119" s="73"/>
      <c r="BHJ119" s="73"/>
      <c r="BHK119" s="73"/>
      <c r="BHL119" s="73"/>
      <c r="BHM119" s="73"/>
      <c r="BHN119" s="73"/>
      <c r="BHO119" s="73"/>
      <c r="BHP119" s="73"/>
      <c r="BHQ119" s="73"/>
      <c r="BHR119" s="73"/>
      <c r="BHS119" s="73"/>
      <c r="BHT119" s="73"/>
      <c r="BHU119" s="73"/>
      <c r="BHV119" s="73"/>
      <c r="BHW119" s="73"/>
      <c r="BHX119" s="73"/>
      <c r="BHY119" s="73"/>
      <c r="BHZ119" s="73"/>
      <c r="BIA119" s="73"/>
      <c r="BIB119" s="73"/>
      <c r="BIC119" s="73"/>
      <c r="BID119" s="73"/>
      <c r="BIE119" s="73"/>
      <c r="BIF119" s="73"/>
      <c r="BIG119" s="73"/>
      <c r="BIH119" s="73"/>
      <c r="BII119" s="73"/>
      <c r="BIJ119" s="73"/>
      <c r="BIK119" s="73"/>
      <c r="BIL119" s="73"/>
      <c r="BIM119" s="73"/>
      <c r="BIN119" s="73"/>
      <c r="BIO119" s="73"/>
      <c r="BIP119" s="73"/>
      <c r="BIQ119" s="73"/>
      <c r="BIR119" s="73"/>
      <c r="BIS119" s="73"/>
      <c r="BIT119" s="73"/>
      <c r="BIU119" s="73"/>
      <c r="BIV119" s="73"/>
      <c r="BIW119" s="73"/>
      <c r="BIX119" s="73"/>
      <c r="BIY119" s="73"/>
      <c r="BIZ119" s="73"/>
      <c r="BJA119" s="73"/>
      <c r="BJB119" s="73"/>
      <c r="BJC119" s="73"/>
      <c r="BJD119" s="73"/>
      <c r="BJE119" s="73"/>
      <c r="BJF119" s="73"/>
      <c r="BJG119" s="73"/>
      <c r="BJH119" s="73"/>
      <c r="BJI119" s="73"/>
      <c r="BJJ119" s="73"/>
      <c r="BJK119" s="73"/>
      <c r="BJL119" s="73"/>
      <c r="BJM119" s="73"/>
      <c r="BJN119" s="73"/>
      <c r="BJO119" s="73"/>
      <c r="BJP119" s="73"/>
      <c r="BJQ119" s="73"/>
      <c r="BJR119" s="73"/>
      <c r="BJS119" s="73"/>
      <c r="BJT119" s="73"/>
      <c r="BJU119" s="73"/>
      <c r="BJV119" s="73"/>
      <c r="BJW119" s="73"/>
      <c r="BJX119" s="73"/>
      <c r="BJY119" s="73"/>
      <c r="BJZ119" s="73"/>
      <c r="BKA119" s="73"/>
      <c r="BKB119" s="73"/>
      <c r="BKC119" s="73"/>
      <c r="BKD119" s="73"/>
      <c r="BKE119" s="73"/>
      <c r="BKF119" s="73"/>
      <c r="BKG119" s="73"/>
      <c r="BKH119" s="73"/>
      <c r="BKI119" s="73"/>
      <c r="BKJ119" s="73"/>
      <c r="BKK119" s="73"/>
      <c r="BKL119" s="73"/>
      <c r="BKM119" s="73"/>
      <c r="BKN119" s="73"/>
      <c r="BKO119" s="73"/>
      <c r="BKP119" s="73"/>
      <c r="BKQ119" s="73"/>
      <c r="BKR119" s="73"/>
      <c r="BKS119" s="73"/>
      <c r="BKT119" s="73"/>
      <c r="BKU119" s="73"/>
      <c r="BKV119" s="73"/>
      <c r="BKW119" s="73"/>
      <c r="BKX119" s="73"/>
      <c r="BKY119" s="73"/>
      <c r="BKZ119" s="73"/>
      <c r="BLA119" s="73"/>
      <c r="BLB119" s="73"/>
      <c r="BLC119" s="73"/>
      <c r="BLD119" s="73"/>
      <c r="BLE119" s="73"/>
      <c r="BLF119" s="73"/>
      <c r="BLG119" s="73"/>
      <c r="BLH119" s="73"/>
      <c r="BLI119" s="73"/>
      <c r="BLJ119" s="73"/>
      <c r="BLK119" s="73"/>
      <c r="BLL119" s="73"/>
      <c r="BLM119" s="73"/>
      <c r="BLN119" s="73"/>
      <c r="BLO119" s="73"/>
      <c r="BLP119" s="73"/>
      <c r="BLQ119" s="73"/>
      <c r="BLR119" s="73"/>
      <c r="BLS119" s="73"/>
      <c r="BLT119" s="73"/>
      <c r="BLU119" s="73"/>
      <c r="BLV119" s="73"/>
      <c r="BLW119" s="73"/>
      <c r="BLX119" s="73"/>
      <c r="BLY119" s="73"/>
      <c r="BLZ119" s="73"/>
      <c r="BMA119" s="73"/>
      <c r="BMB119" s="73"/>
      <c r="BMC119" s="73"/>
      <c r="BMD119" s="73"/>
      <c r="BME119" s="73"/>
      <c r="BMF119" s="73"/>
      <c r="BMG119" s="73"/>
      <c r="BMH119" s="73"/>
      <c r="BMI119" s="73"/>
      <c r="BMJ119" s="73"/>
      <c r="BMK119" s="73"/>
      <c r="BML119" s="73"/>
      <c r="BMM119" s="73"/>
      <c r="BMN119" s="73"/>
      <c r="BMO119" s="73"/>
      <c r="BMP119" s="73"/>
      <c r="BMQ119" s="73"/>
      <c r="BMR119" s="73"/>
      <c r="BMS119" s="73"/>
      <c r="BMT119" s="73"/>
      <c r="BMU119" s="73"/>
      <c r="BMV119" s="73"/>
      <c r="BMW119" s="73"/>
      <c r="BMX119" s="73"/>
      <c r="BMY119" s="73"/>
      <c r="BMZ119" s="73"/>
      <c r="BNA119" s="73"/>
      <c r="BNB119" s="73"/>
      <c r="BNC119" s="73"/>
      <c r="BND119" s="73"/>
      <c r="BNE119" s="73"/>
      <c r="BNF119" s="73"/>
      <c r="BNG119" s="73"/>
      <c r="BNH119" s="73"/>
      <c r="BNI119" s="73"/>
      <c r="BNJ119" s="73"/>
      <c r="BNK119" s="73"/>
      <c r="BNL119" s="73"/>
      <c r="BNM119" s="73"/>
      <c r="BNN119" s="73"/>
      <c r="BNO119" s="73"/>
      <c r="BNP119" s="73"/>
      <c r="BNQ119" s="73"/>
      <c r="BNR119" s="73"/>
      <c r="BNS119" s="73"/>
      <c r="BNT119" s="73"/>
      <c r="BNU119" s="73"/>
      <c r="BNV119" s="73"/>
      <c r="BNW119" s="73"/>
      <c r="BNX119" s="73"/>
      <c r="BNY119" s="73"/>
      <c r="BNZ119" s="73"/>
      <c r="BOA119" s="73"/>
      <c r="BOB119" s="73"/>
      <c r="BOC119" s="73"/>
      <c r="BOD119" s="73"/>
      <c r="BOE119" s="73"/>
      <c r="BOF119" s="73"/>
      <c r="BOG119" s="73"/>
      <c r="BOH119" s="73"/>
      <c r="BOI119" s="73"/>
      <c r="BOJ119" s="73"/>
      <c r="BOK119" s="73"/>
      <c r="BOL119" s="73"/>
      <c r="BOM119" s="73"/>
      <c r="BON119" s="73"/>
      <c r="BOO119" s="73"/>
      <c r="BOP119" s="73"/>
      <c r="BOQ119" s="73"/>
      <c r="BOR119" s="73"/>
      <c r="BOS119" s="73"/>
      <c r="BOT119" s="73"/>
      <c r="BOU119" s="73"/>
      <c r="BOV119" s="73"/>
      <c r="BOW119" s="73"/>
      <c r="BOX119" s="73"/>
      <c r="BOY119" s="73"/>
      <c r="BOZ119" s="73"/>
      <c r="BPA119" s="73"/>
      <c r="BPB119" s="73"/>
      <c r="BPC119" s="73"/>
      <c r="BPD119" s="73"/>
      <c r="BPE119" s="73"/>
      <c r="BPF119" s="73"/>
      <c r="BPG119" s="73"/>
      <c r="BPH119" s="73"/>
      <c r="BPI119" s="73"/>
      <c r="BPJ119" s="73"/>
      <c r="BPK119" s="73"/>
      <c r="BPL119" s="73"/>
      <c r="BPM119" s="73"/>
      <c r="BPN119" s="73"/>
      <c r="BPO119" s="73"/>
      <c r="BPP119" s="73"/>
      <c r="BPQ119" s="73"/>
      <c r="BPR119" s="73"/>
      <c r="BPS119" s="73"/>
      <c r="BPT119" s="73"/>
      <c r="BPU119" s="73"/>
      <c r="BPV119" s="73"/>
      <c r="BPW119" s="73"/>
      <c r="BPX119" s="73"/>
      <c r="BPY119" s="73"/>
      <c r="BPZ119" s="73"/>
      <c r="BQA119" s="73"/>
      <c r="BQB119" s="73"/>
      <c r="BQC119" s="73"/>
      <c r="BQD119" s="73"/>
      <c r="BQE119" s="73"/>
      <c r="BQF119" s="73"/>
      <c r="BQG119" s="73"/>
      <c r="BQH119" s="73"/>
      <c r="BQI119" s="73"/>
      <c r="BQJ119" s="73"/>
      <c r="BQK119" s="73"/>
      <c r="BQL119" s="73"/>
      <c r="BQM119" s="73"/>
      <c r="BQN119" s="73"/>
      <c r="BQO119" s="73"/>
      <c r="BQP119" s="73"/>
      <c r="BQQ119" s="73"/>
      <c r="BQR119" s="73"/>
      <c r="BQS119" s="73"/>
      <c r="BQT119" s="73"/>
      <c r="BQU119" s="73"/>
      <c r="BQV119" s="73"/>
      <c r="BQW119" s="73"/>
      <c r="BQX119" s="73"/>
      <c r="BQY119" s="73"/>
      <c r="BQZ119" s="73"/>
      <c r="BRA119" s="73"/>
      <c r="BRB119" s="73"/>
      <c r="BRC119" s="73"/>
      <c r="BRD119" s="73"/>
      <c r="BRE119" s="73"/>
      <c r="BRF119" s="73"/>
      <c r="BRG119" s="73"/>
      <c r="BRH119" s="73"/>
      <c r="BRI119" s="73"/>
      <c r="BRJ119" s="73"/>
      <c r="BRK119" s="73"/>
      <c r="BRL119" s="73"/>
      <c r="BRM119" s="73"/>
      <c r="BRN119" s="73"/>
      <c r="BRO119" s="73"/>
      <c r="BRP119" s="73"/>
      <c r="BRQ119" s="73"/>
      <c r="BRR119" s="73"/>
      <c r="BRS119" s="73"/>
      <c r="BRT119" s="73"/>
      <c r="BRU119" s="73"/>
      <c r="BRV119" s="73"/>
      <c r="BRW119" s="73"/>
      <c r="BRX119" s="73"/>
      <c r="BRY119" s="73"/>
      <c r="BRZ119" s="73"/>
      <c r="BSA119" s="73"/>
      <c r="BSB119" s="73"/>
      <c r="BSC119" s="73"/>
      <c r="BSD119" s="73"/>
      <c r="BSE119" s="73"/>
      <c r="BSF119" s="73"/>
      <c r="BSG119" s="73"/>
      <c r="BSH119" s="73"/>
      <c r="BSI119" s="73"/>
      <c r="BSJ119" s="73"/>
      <c r="BSK119" s="73"/>
      <c r="BSL119" s="73"/>
      <c r="BSM119" s="73"/>
      <c r="BSN119" s="73"/>
      <c r="BSO119" s="73"/>
      <c r="BSP119" s="73"/>
      <c r="BSQ119" s="73"/>
      <c r="BSR119" s="73"/>
      <c r="BSS119" s="73"/>
      <c r="BST119" s="73"/>
      <c r="BSU119" s="73"/>
      <c r="BSV119" s="73"/>
      <c r="BSW119" s="73"/>
      <c r="BSX119" s="73"/>
      <c r="BSY119" s="73"/>
      <c r="BSZ119" s="73"/>
      <c r="BTA119" s="73"/>
      <c r="BTB119" s="73"/>
      <c r="BTC119" s="73"/>
      <c r="BTD119" s="73"/>
      <c r="BTE119" s="73"/>
      <c r="BTF119" s="73"/>
      <c r="BTG119" s="73"/>
      <c r="BTH119" s="73"/>
      <c r="BTI119" s="73"/>
      <c r="BTJ119" s="73"/>
      <c r="BTK119" s="73"/>
      <c r="BTL119" s="73"/>
      <c r="BTM119" s="73"/>
      <c r="BTN119" s="73"/>
      <c r="BTO119" s="73"/>
      <c r="BTP119" s="73"/>
      <c r="BTQ119" s="73"/>
      <c r="BTR119" s="73"/>
      <c r="BTS119" s="73"/>
      <c r="BTT119" s="73"/>
      <c r="BTU119" s="73"/>
      <c r="BTV119" s="73"/>
      <c r="BTW119" s="73"/>
      <c r="BTX119" s="73"/>
      <c r="BTY119" s="73"/>
      <c r="BTZ119" s="73"/>
      <c r="BUA119" s="73"/>
      <c r="BUB119" s="73"/>
      <c r="BUC119" s="73"/>
      <c r="BUD119" s="73"/>
      <c r="BUE119" s="73"/>
      <c r="BUF119" s="73"/>
      <c r="BUG119" s="73"/>
      <c r="BUH119" s="73"/>
      <c r="BUI119" s="73"/>
      <c r="BUJ119" s="73"/>
      <c r="BUK119" s="73"/>
      <c r="BUL119" s="73"/>
      <c r="BUM119" s="73"/>
      <c r="BUN119" s="73"/>
      <c r="BUO119" s="73"/>
      <c r="BUP119" s="73"/>
      <c r="BUQ119" s="73"/>
      <c r="BUR119" s="73"/>
      <c r="BUS119" s="73"/>
      <c r="BUT119" s="73"/>
      <c r="BUU119" s="73"/>
      <c r="BUV119" s="73"/>
      <c r="BUW119" s="73"/>
      <c r="BUX119" s="73"/>
      <c r="BUY119" s="73"/>
      <c r="BUZ119" s="73"/>
      <c r="BVA119" s="73"/>
      <c r="BVB119" s="73"/>
      <c r="BVC119" s="73"/>
      <c r="BVD119" s="73"/>
      <c r="BVE119" s="73"/>
      <c r="BVF119" s="73"/>
      <c r="BVG119" s="73"/>
      <c r="BVH119" s="73"/>
      <c r="BVI119" s="73"/>
      <c r="BVJ119" s="73"/>
      <c r="BVK119" s="73"/>
      <c r="BVL119" s="73"/>
      <c r="BVM119" s="73"/>
      <c r="BVN119" s="73"/>
      <c r="BVO119" s="73"/>
      <c r="BVP119" s="73"/>
      <c r="BVQ119" s="73"/>
      <c r="BVR119" s="73"/>
      <c r="BVS119" s="73"/>
      <c r="BVT119" s="73"/>
      <c r="BVU119" s="73"/>
      <c r="BVV119" s="73"/>
      <c r="BVW119" s="73"/>
      <c r="BVX119" s="73"/>
      <c r="BVY119" s="73"/>
      <c r="BVZ119" s="73"/>
      <c r="BWA119" s="73"/>
      <c r="BWB119" s="73"/>
      <c r="BWC119" s="73"/>
      <c r="BWD119" s="73"/>
      <c r="BWE119" s="73"/>
      <c r="BWF119" s="73"/>
      <c r="BWG119" s="73"/>
      <c r="BWH119" s="73"/>
      <c r="BWI119" s="73"/>
      <c r="BWJ119" s="73"/>
      <c r="BWK119" s="73"/>
      <c r="BWL119" s="73"/>
      <c r="BWM119" s="73"/>
      <c r="BWN119" s="73"/>
      <c r="BWO119" s="73"/>
      <c r="BWP119" s="73"/>
      <c r="BWQ119" s="73"/>
      <c r="BWR119" s="73"/>
      <c r="BWS119" s="73"/>
      <c r="BWT119" s="73"/>
      <c r="BWU119" s="73"/>
      <c r="BWV119" s="73"/>
      <c r="BWW119" s="73"/>
      <c r="BWX119" s="73"/>
      <c r="BWY119" s="73"/>
      <c r="BWZ119" s="73"/>
      <c r="BXA119" s="73"/>
      <c r="BXB119" s="73"/>
      <c r="BXC119" s="73"/>
      <c r="BXD119" s="73"/>
      <c r="BXE119" s="73"/>
      <c r="BXF119" s="73"/>
      <c r="BXG119" s="73"/>
      <c r="BXH119" s="73"/>
      <c r="BXI119" s="73"/>
      <c r="BXJ119" s="73"/>
      <c r="BXK119" s="73"/>
      <c r="BXL119" s="73"/>
      <c r="BXM119" s="73"/>
      <c r="BXN119" s="73"/>
      <c r="BXO119" s="73"/>
      <c r="BXP119" s="73"/>
      <c r="BXQ119" s="73"/>
      <c r="BXR119" s="73"/>
      <c r="BXS119" s="73"/>
      <c r="BXT119" s="73"/>
      <c r="BXU119" s="73"/>
      <c r="BXV119" s="73"/>
      <c r="BXW119" s="73"/>
      <c r="BXX119" s="73"/>
      <c r="BXY119" s="73"/>
      <c r="BXZ119" s="73"/>
      <c r="BYA119" s="73"/>
      <c r="BYB119" s="73"/>
      <c r="BYC119" s="73"/>
      <c r="BYD119" s="73"/>
      <c r="BYE119" s="73"/>
      <c r="BYF119" s="73"/>
      <c r="BYG119" s="73"/>
      <c r="BYH119" s="73"/>
      <c r="BYI119" s="73"/>
      <c r="BYJ119" s="73"/>
      <c r="BYK119" s="73"/>
      <c r="BYL119" s="73"/>
      <c r="BYM119" s="73"/>
      <c r="BYN119" s="73"/>
      <c r="BYO119" s="73"/>
      <c r="BYP119" s="73"/>
      <c r="BYQ119" s="73"/>
      <c r="BYR119" s="73"/>
      <c r="BYS119" s="73"/>
      <c r="BYT119" s="73"/>
      <c r="BYU119" s="73"/>
      <c r="BYV119" s="73"/>
      <c r="BYW119" s="73"/>
      <c r="BYX119" s="73"/>
      <c r="BYY119" s="73"/>
      <c r="BYZ119" s="73"/>
      <c r="BZA119" s="73"/>
      <c r="BZB119" s="73"/>
      <c r="BZC119" s="73"/>
      <c r="BZD119" s="73"/>
      <c r="BZE119" s="73"/>
      <c r="BZF119" s="73"/>
      <c r="BZG119" s="73"/>
      <c r="BZH119" s="73"/>
      <c r="BZI119" s="73"/>
      <c r="BZJ119" s="73"/>
      <c r="BZK119" s="73"/>
      <c r="BZL119" s="73"/>
      <c r="BZM119" s="73"/>
      <c r="BZN119" s="73"/>
      <c r="BZO119" s="73"/>
      <c r="BZP119" s="73"/>
      <c r="BZQ119" s="73"/>
      <c r="BZR119" s="73"/>
      <c r="BZS119" s="73"/>
      <c r="BZT119" s="73"/>
      <c r="BZU119" s="73"/>
      <c r="BZV119" s="73"/>
      <c r="BZW119" s="73"/>
      <c r="BZX119" s="73"/>
      <c r="BZY119" s="73"/>
      <c r="BZZ119" s="73"/>
      <c r="CAA119" s="73"/>
      <c r="CAB119" s="73"/>
      <c r="CAC119" s="73"/>
      <c r="CAD119" s="73"/>
      <c r="CAE119" s="73"/>
      <c r="CAF119" s="73"/>
      <c r="CAG119" s="73"/>
      <c r="CAH119" s="73"/>
      <c r="CAI119" s="73"/>
      <c r="CAJ119" s="73"/>
      <c r="CAK119" s="73"/>
      <c r="CAL119" s="73"/>
      <c r="CAM119" s="73"/>
      <c r="CAN119" s="73"/>
      <c r="CAO119" s="73"/>
      <c r="CAP119" s="73"/>
      <c r="CAQ119" s="73"/>
      <c r="CAR119" s="73"/>
      <c r="CAS119" s="73"/>
      <c r="CAT119" s="73"/>
      <c r="CAU119" s="73"/>
      <c r="CAV119" s="73"/>
      <c r="CAW119" s="73"/>
      <c r="CAX119" s="73"/>
      <c r="CAY119" s="73"/>
      <c r="CAZ119" s="73"/>
      <c r="CBA119" s="73"/>
      <c r="CBB119" s="73"/>
      <c r="CBC119" s="73"/>
      <c r="CBD119" s="73"/>
      <c r="CBE119" s="73"/>
      <c r="CBF119" s="73"/>
      <c r="CBG119" s="73"/>
      <c r="CBH119" s="73"/>
      <c r="CBI119" s="73"/>
      <c r="CBJ119" s="73"/>
      <c r="CBK119" s="73"/>
      <c r="CBL119" s="73"/>
      <c r="CBM119" s="73"/>
      <c r="CBN119" s="73"/>
      <c r="CBO119" s="73"/>
      <c r="CBP119" s="73"/>
      <c r="CBQ119" s="73"/>
      <c r="CBR119" s="73"/>
      <c r="CBS119" s="73"/>
      <c r="CBT119" s="73"/>
      <c r="CBU119" s="73"/>
      <c r="CBV119" s="73"/>
      <c r="CBW119" s="73"/>
      <c r="CBX119" s="73"/>
      <c r="CBY119" s="73"/>
      <c r="CBZ119" s="73"/>
      <c r="CCA119" s="73"/>
      <c r="CCB119" s="73"/>
      <c r="CCC119" s="73"/>
      <c r="CCD119" s="73"/>
      <c r="CCE119" s="73"/>
      <c r="CCF119" s="73"/>
      <c r="CCG119" s="73"/>
      <c r="CCH119" s="73"/>
      <c r="CCI119" s="73"/>
      <c r="CCJ119" s="73"/>
      <c r="CCK119" s="73"/>
      <c r="CCL119" s="73"/>
      <c r="CCM119" s="73"/>
      <c r="CCN119" s="73"/>
      <c r="CCO119" s="73"/>
      <c r="CCP119" s="73"/>
      <c r="CCQ119" s="73"/>
      <c r="CCR119" s="73"/>
      <c r="CCS119" s="73"/>
      <c r="CCT119" s="73"/>
      <c r="CCU119" s="73"/>
      <c r="CCV119" s="73"/>
      <c r="CCW119" s="73"/>
      <c r="CCX119" s="73"/>
      <c r="CCY119" s="73"/>
      <c r="CCZ119" s="73"/>
      <c r="CDA119" s="73"/>
      <c r="CDB119" s="73"/>
      <c r="CDC119" s="73"/>
      <c r="CDD119" s="73"/>
      <c r="CDE119" s="73"/>
      <c r="CDF119" s="73"/>
      <c r="CDG119" s="73"/>
      <c r="CDH119" s="73"/>
      <c r="CDI119" s="73"/>
      <c r="CDJ119" s="73"/>
      <c r="CDK119" s="73"/>
      <c r="CDL119" s="73"/>
      <c r="CDM119" s="73"/>
      <c r="CDN119" s="73"/>
      <c r="CDO119" s="73"/>
      <c r="CDP119" s="73"/>
      <c r="CDQ119" s="73"/>
      <c r="CDR119" s="73"/>
      <c r="CDS119" s="73"/>
      <c r="CDT119" s="73"/>
      <c r="CDU119" s="73"/>
      <c r="CDV119" s="73"/>
      <c r="CDW119" s="73"/>
      <c r="CDX119" s="73"/>
      <c r="CDY119" s="73"/>
      <c r="CDZ119" s="73"/>
      <c r="CEA119" s="73"/>
      <c r="CEB119" s="73"/>
      <c r="CEC119" s="73"/>
      <c r="CED119" s="73"/>
      <c r="CEE119" s="73"/>
      <c r="CEF119" s="73"/>
      <c r="CEG119" s="73"/>
      <c r="CEH119" s="73"/>
      <c r="CEI119" s="73"/>
      <c r="CEJ119" s="73"/>
      <c r="CEK119" s="73"/>
      <c r="CEL119" s="73"/>
      <c r="CEM119" s="73"/>
      <c r="CEN119" s="73"/>
      <c r="CEO119" s="73"/>
      <c r="CEP119" s="73"/>
      <c r="CEQ119" s="73"/>
      <c r="CER119" s="73"/>
      <c r="CES119" s="73"/>
      <c r="CET119" s="73"/>
      <c r="CEU119" s="73"/>
      <c r="CEV119" s="73"/>
      <c r="CEW119" s="73"/>
      <c r="CEX119" s="73"/>
      <c r="CEY119" s="73"/>
      <c r="CEZ119" s="73"/>
      <c r="CFA119" s="73"/>
      <c r="CFB119" s="73"/>
      <c r="CFC119" s="73"/>
      <c r="CFD119" s="73"/>
      <c r="CFE119" s="73"/>
      <c r="CFF119" s="73"/>
      <c r="CFG119" s="73"/>
      <c r="CFH119" s="73"/>
      <c r="CFI119" s="73"/>
      <c r="CFJ119" s="73"/>
      <c r="CFK119" s="73"/>
      <c r="CFL119" s="73"/>
      <c r="CFM119" s="73"/>
      <c r="CFN119" s="73"/>
      <c r="CFO119" s="73"/>
      <c r="CFP119" s="73"/>
      <c r="CFQ119" s="73"/>
      <c r="CFR119" s="73"/>
      <c r="CFS119" s="73"/>
      <c r="CFT119" s="73"/>
      <c r="CFU119" s="73"/>
      <c r="CFV119" s="73"/>
      <c r="CFW119" s="73"/>
      <c r="CFX119" s="73"/>
      <c r="CFY119" s="73"/>
      <c r="CFZ119" s="73"/>
      <c r="CGA119" s="73"/>
      <c r="CGB119" s="73"/>
      <c r="CGC119" s="73"/>
      <c r="CGD119" s="73"/>
      <c r="CGE119" s="73"/>
      <c r="CGF119" s="73"/>
      <c r="CGG119" s="73"/>
      <c r="CGH119" s="73"/>
      <c r="CGI119" s="73"/>
      <c r="CGJ119" s="73"/>
      <c r="CGK119" s="73"/>
      <c r="CGL119" s="73"/>
      <c r="CGM119" s="73"/>
      <c r="CGN119" s="73"/>
      <c r="CGO119" s="73"/>
      <c r="CGP119" s="73"/>
      <c r="CGQ119" s="73"/>
      <c r="CGR119" s="73"/>
      <c r="CGS119" s="73"/>
      <c r="CGT119" s="73"/>
      <c r="CGU119" s="73"/>
      <c r="CGV119" s="73"/>
      <c r="CGW119" s="73"/>
      <c r="CGX119" s="73"/>
      <c r="CGY119" s="73"/>
      <c r="CGZ119" s="73"/>
      <c r="CHA119" s="73"/>
      <c r="CHB119" s="73"/>
      <c r="CHC119" s="73"/>
      <c r="CHD119" s="73"/>
      <c r="CHE119" s="73"/>
      <c r="CHF119" s="73"/>
      <c r="CHG119" s="73"/>
      <c r="CHH119" s="73"/>
      <c r="CHI119" s="73"/>
      <c r="CHJ119" s="73"/>
      <c r="CHK119" s="73"/>
      <c r="CHL119" s="73"/>
      <c r="CHM119" s="73"/>
      <c r="CHN119" s="73"/>
      <c r="CHO119" s="73"/>
      <c r="CHP119" s="73"/>
      <c r="CHQ119" s="73"/>
      <c r="CHR119" s="73"/>
      <c r="CHS119" s="73"/>
      <c r="CHT119" s="73"/>
      <c r="CHU119" s="73"/>
      <c r="CHV119" s="73"/>
      <c r="CHW119" s="73"/>
      <c r="CHX119" s="73"/>
      <c r="CHY119" s="73"/>
      <c r="CHZ119" s="73"/>
      <c r="CIA119" s="73"/>
      <c r="CIB119" s="73"/>
      <c r="CIC119" s="73"/>
      <c r="CID119" s="73"/>
      <c r="CIE119" s="73"/>
      <c r="CIF119" s="73"/>
      <c r="CIG119" s="73"/>
      <c r="CIH119" s="73"/>
      <c r="CII119" s="73"/>
      <c r="CIJ119" s="73"/>
      <c r="CIK119" s="73"/>
      <c r="CIL119" s="73"/>
      <c r="CIM119" s="73"/>
      <c r="CIN119" s="73"/>
      <c r="CIO119" s="73"/>
      <c r="CIP119" s="73"/>
      <c r="CIQ119" s="73"/>
      <c r="CIR119" s="73"/>
      <c r="CIS119" s="73"/>
      <c r="CIT119" s="73"/>
      <c r="CIU119" s="73"/>
      <c r="CIV119" s="73"/>
      <c r="CIW119" s="73"/>
      <c r="CIX119" s="73"/>
      <c r="CIY119" s="73"/>
      <c r="CIZ119" s="73"/>
      <c r="CJA119" s="73"/>
      <c r="CJB119" s="73"/>
      <c r="CJC119" s="73"/>
      <c r="CJD119" s="73"/>
      <c r="CJE119" s="73"/>
      <c r="CJF119" s="73"/>
      <c r="CJG119" s="73"/>
      <c r="CJH119" s="73"/>
      <c r="CJI119" s="73"/>
      <c r="CJJ119" s="73"/>
      <c r="CJK119" s="73"/>
      <c r="CJL119" s="73"/>
      <c r="CJM119" s="73"/>
      <c r="CJN119" s="73"/>
      <c r="CJO119" s="73"/>
      <c r="CJP119" s="73"/>
      <c r="CJQ119" s="73"/>
      <c r="CJR119" s="73"/>
      <c r="CJS119" s="73"/>
      <c r="CJT119" s="73"/>
      <c r="CJU119" s="73"/>
      <c r="CJV119" s="73"/>
      <c r="CJW119" s="73"/>
      <c r="CJX119" s="73"/>
      <c r="CJY119" s="73"/>
      <c r="CJZ119" s="73"/>
      <c r="CKA119" s="73"/>
      <c r="CKB119" s="73"/>
      <c r="CKC119" s="73"/>
      <c r="CKD119" s="73"/>
      <c r="CKE119" s="73"/>
      <c r="CKF119" s="73"/>
      <c r="CKG119" s="73"/>
      <c r="CKH119" s="73"/>
      <c r="CKI119" s="73"/>
      <c r="CKJ119" s="73"/>
      <c r="CKK119" s="73"/>
      <c r="CKL119" s="73"/>
      <c r="CKM119" s="73"/>
      <c r="CKN119" s="73"/>
      <c r="CKO119" s="73"/>
      <c r="CKP119" s="73"/>
      <c r="CKQ119" s="73"/>
      <c r="CKR119" s="73"/>
      <c r="CKS119" s="73"/>
      <c r="CKT119" s="73"/>
      <c r="CKU119" s="73"/>
      <c r="CKV119" s="73"/>
      <c r="CKW119" s="73"/>
      <c r="CKX119" s="73"/>
      <c r="CKY119" s="73"/>
      <c r="CKZ119" s="73"/>
      <c r="CLA119" s="73"/>
      <c r="CLB119" s="73"/>
      <c r="CLC119" s="73"/>
      <c r="CLD119" s="73"/>
      <c r="CLE119" s="73"/>
      <c r="CLF119" s="73"/>
      <c r="CLG119" s="73"/>
      <c r="CLH119" s="73"/>
      <c r="CLI119" s="73"/>
      <c r="CLJ119" s="73"/>
      <c r="CLK119" s="73"/>
      <c r="CLL119" s="73"/>
      <c r="CLM119" s="73"/>
      <c r="CLN119" s="73"/>
      <c r="CLO119" s="73"/>
      <c r="CLP119" s="73"/>
      <c r="CLQ119" s="73"/>
      <c r="CLR119" s="73"/>
      <c r="CLS119" s="73"/>
      <c r="CLT119" s="73"/>
      <c r="CLU119" s="73"/>
      <c r="CLV119" s="73"/>
      <c r="CLW119" s="73"/>
      <c r="CLX119" s="73"/>
      <c r="CLY119" s="73"/>
      <c r="CLZ119" s="73"/>
      <c r="CMA119" s="73"/>
      <c r="CMB119" s="73"/>
      <c r="CMC119" s="73"/>
      <c r="CMD119" s="73"/>
      <c r="CME119" s="73"/>
      <c r="CMF119" s="73"/>
      <c r="CMG119" s="73"/>
      <c r="CMH119" s="73"/>
      <c r="CMI119" s="73"/>
      <c r="CMJ119" s="73"/>
      <c r="CMK119" s="73"/>
      <c r="CML119" s="73"/>
      <c r="CMM119" s="73"/>
      <c r="CMN119" s="73"/>
      <c r="CMO119" s="73"/>
      <c r="CMP119" s="73"/>
      <c r="CMQ119" s="73"/>
      <c r="CMR119" s="73"/>
      <c r="CMS119" s="73"/>
      <c r="CMT119" s="73"/>
      <c r="CMU119" s="73"/>
      <c r="CMV119" s="73"/>
      <c r="CMW119" s="73"/>
      <c r="CMX119" s="73"/>
      <c r="CMY119" s="73"/>
      <c r="CMZ119" s="73"/>
      <c r="CNA119" s="73"/>
      <c r="CNB119" s="73"/>
      <c r="CNC119" s="73"/>
      <c r="CND119" s="73"/>
      <c r="CNE119" s="73"/>
      <c r="CNF119" s="73"/>
      <c r="CNG119" s="73"/>
      <c r="CNH119" s="73"/>
      <c r="CNI119" s="73"/>
      <c r="CNJ119" s="73"/>
      <c r="CNK119" s="73"/>
      <c r="CNL119" s="73"/>
      <c r="CNM119" s="73"/>
      <c r="CNN119" s="73"/>
      <c r="CNO119" s="73"/>
      <c r="CNP119" s="73"/>
      <c r="CNQ119" s="73"/>
      <c r="CNR119" s="73"/>
      <c r="CNS119" s="73"/>
      <c r="CNT119" s="73"/>
      <c r="CNU119" s="73"/>
      <c r="CNV119" s="73"/>
      <c r="CNW119" s="73"/>
      <c r="CNX119" s="73"/>
      <c r="CNY119" s="73"/>
      <c r="CNZ119" s="73"/>
      <c r="COA119" s="73"/>
      <c r="COB119" s="73"/>
      <c r="COC119" s="73"/>
      <c r="COD119" s="73"/>
      <c r="COE119" s="73"/>
      <c r="COF119" s="73"/>
      <c r="COG119" s="73"/>
      <c r="COH119" s="73"/>
      <c r="COI119" s="73"/>
      <c r="COJ119" s="73"/>
      <c r="COK119" s="73"/>
      <c r="COL119" s="73"/>
      <c r="COM119" s="73"/>
      <c r="CON119" s="73"/>
      <c r="COO119" s="73"/>
      <c r="COP119" s="73"/>
      <c r="COQ119" s="73"/>
      <c r="COR119" s="73"/>
      <c r="COS119" s="73"/>
      <c r="COT119" s="73"/>
      <c r="COU119" s="73"/>
      <c r="COV119" s="73"/>
      <c r="COW119" s="73"/>
      <c r="COX119" s="73"/>
      <c r="COY119" s="73"/>
      <c r="COZ119" s="73"/>
      <c r="CPA119" s="73"/>
      <c r="CPB119" s="73"/>
      <c r="CPC119" s="73"/>
      <c r="CPD119" s="73"/>
      <c r="CPE119" s="73"/>
      <c r="CPF119" s="73"/>
      <c r="CPG119" s="73"/>
      <c r="CPH119" s="73"/>
      <c r="CPI119" s="73"/>
      <c r="CPJ119" s="73"/>
      <c r="CPK119" s="73"/>
      <c r="CPL119" s="73"/>
      <c r="CPM119" s="73"/>
      <c r="CPN119" s="73"/>
      <c r="CPO119" s="73"/>
      <c r="CPP119" s="73"/>
      <c r="CPQ119" s="73"/>
      <c r="CPR119" s="73"/>
      <c r="CPS119" s="73"/>
      <c r="CPT119" s="73"/>
      <c r="CPU119" s="73"/>
      <c r="CPV119" s="73"/>
      <c r="CPW119" s="73"/>
      <c r="CPX119" s="73"/>
      <c r="CPY119" s="73"/>
      <c r="CPZ119" s="73"/>
      <c r="CQA119" s="73"/>
      <c r="CQB119" s="73"/>
      <c r="CQC119" s="73"/>
      <c r="CQD119" s="73"/>
      <c r="CQE119" s="73"/>
      <c r="CQF119" s="73"/>
      <c r="CQG119" s="73"/>
      <c r="CQH119" s="73"/>
      <c r="CQI119" s="73"/>
      <c r="CQJ119" s="73"/>
      <c r="CQK119" s="73"/>
      <c r="CQL119" s="73"/>
      <c r="CQM119" s="73"/>
      <c r="CQN119" s="73"/>
      <c r="CQO119" s="73"/>
      <c r="CQP119" s="73"/>
      <c r="CQQ119" s="73"/>
      <c r="CQR119" s="73"/>
      <c r="CQS119" s="73"/>
      <c r="CQT119" s="73"/>
      <c r="CQU119" s="73"/>
      <c r="CQV119" s="73"/>
      <c r="CQW119" s="73"/>
      <c r="CQX119" s="73"/>
      <c r="CQY119" s="73"/>
      <c r="CQZ119" s="73"/>
      <c r="CRA119" s="73"/>
      <c r="CRB119" s="73"/>
      <c r="CRC119" s="73"/>
      <c r="CRD119" s="73"/>
      <c r="CRE119" s="73"/>
      <c r="CRF119" s="73"/>
      <c r="CRG119" s="73"/>
      <c r="CRH119" s="73"/>
      <c r="CRI119" s="73"/>
      <c r="CRJ119" s="73"/>
      <c r="CRK119" s="73"/>
      <c r="CRL119" s="73"/>
      <c r="CRM119" s="73"/>
      <c r="CRN119" s="73"/>
      <c r="CRO119" s="73"/>
      <c r="CRP119" s="73"/>
      <c r="CRQ119" s="73"/>
      <c r="CRR119" s="73"/>
      <c r="CRS119" s="73"/>
      <c r="CRT119" s="73"/>
      <c r="CRU119" s="73"/>
      <c r="CRV119" s="73"/>
      <c r="CRW119" s="73"/>
      <c r="CRX119" s="73"/>
      <c r="CRY119" s="73"/>
      <c r="CRZ119" s="73"/>
      <c r="CSA119" s="73"/>
      <c r="CSB119" s="73"/>
      <c r="CSC119" s="73"/>
      <c r="CSD119" s="73"/>
      <c r="CSE119" s="73"/>
      <c r="CSF119" s="73"/>
      <c r="CSG119" s="73"/>
      <c r="CSH119" s="73"/>
      <c r="CSI119" s="73"/>
      <c r="CSJ119" s="73"/>
      <c r="CSK119" s="73"/>
      <c r="CSL119" s="73"/>
      <c r="CSM119" s="73"/>
      <c r="CSN119" s="73"/>
      <c r="CSO119" s="73"/>
      <c r="CSP119" s="73"/>
      <c r="CSQ119" s="73"/>
      <c r="CSR119" s="73"/>
      <c r="CSS119" s="73"/>
      <c r="CST119" s="73"/>
      <c r="CSU119" s="73"/>
      <c r="CSV119" s="73"/>
      <c r="CSW119" s="73"/>
      <c r="CSX119" s="73"/>
      <c r="CSY119" s="73"/>
      <c r="CSZ119" s="73"/>
      <c r="CTA119" s="73"/>
      <c r="CTB119" s="73"/>
      <c r="CTC119" s="73"/>
      <c r="CTD119" s="73"/>
      <c r="CTE119" s="73"/>
      <c r="CTF119" s="73"/>
      <c r="CTG119" s="73"/>
      <c r="CTH119" s="73"/>
      <c r="CTI119" s="73"/>
      <c r="CTJ119" s="73"/>
      <c r="CTK119" s="73"/>
      <c r="CTL119" s="73"/>
      <c r="CTM119" s="73"/>
      <c r="CTN119" s="73"/>
      <c r="CTO119" s="73"/>
      <c r="CTP119" s="73"/>
      <c r="CTQ119" s="73"/>
      <c r="CTR119" s="73"/>
      <c r="CTS119" s="73"/>
      <c r="CTT119" s="73"/>
      <c r="CTU119" s="73"/>
      <c r="CTV119" s="73"/>
      <c r="CTW119" s="73"/>
      <c r="CTX119" s="73"/>
      <c r="CTY119" s="73"/>
      <c r="CTZ119" s="73"/>
      <c r="CUA119" s="73"/>
      <c r="CUB119" s="73"/>
      <c r="CUC119" s="73"/>
      <c r="CUD119" s="73"/>
      <c r="CUE119" s="73"/>
      <c r="CUF119" s="73"/>
      <c r="CUG119" s="73"/>
      <c r="CUH119" s="73"/>
      <c r="CUI119" s="73"/>
      <c r="CUJ119" s="73"/>
      <c r="CUK119" s="73"/>
      <c r="CUL119" s="73"/>
      <c r="CUM119" s="73"/>
      <c r="CUN119" s="73"/>
      <c r="CUO119" s="73"/>
      <c r="CUP119" s="73"/>
      <c r="CUQ119" s="73"/>
      <c r="CUR119" s="73"/>
      <c r="CUS119" s="73"/>
      <c r="CUT119" s="73"/>
      <c r="CUU119" s="73"/>
      <c r="CUV119" s="73"/>
      <c r="CUW119" s="73"/>
      <c r="CUX119" s="73"/>
      <c r="CUY119" s="73"/>
      <c r="CUZ119" s="73"/>
      <c r="CVA119" s="73"/>
      <c r="CVB119" s="73"/>
      <c r="CVC119" s="73"/>
      <c r="CVD119" s="73"/>
      <c r="CVE119" s="73"/>
      <c r="CVF119" s="73"/>
      <c r="CVG119" s="73"/>
      <c r="CVH119" s="73"/>
      <c r="CVI119" s="73"/>
      <c r="CVJ119" s="73"/>
      <c r="CVK119" s="73"/>
      <c r="CVL119" s="73"/>
      <c r="CVM119" s="73"/>
      <c r="CVN119" s="73"/>
      <c r="CVO119" s="73"/>
      <c r="CVP119" s="73"/>
      <c r="CVQ119" s="73"/>
      <c r="CVR119" s="73"/>
      <c r="CVS119" s="73"/>
      <c r="CVT119" s="73"/>
      <c r="CVU119" s="73"/>
      <c r="CVV119" s="73"/>
      <c r="CVW119" s="73"/>
      <c r="CVX119" s="73"/>
      <c r="CVY119" s="73"/>
      <c r="CVZ119" s="73"/>
      <c r="CWA119" s="73"/>
      <c r="CWB119" s="73"/>
      <c r="CWC119" s="73"/>
      <c r="CWD119" s="73"/>
      <c r="CWE119" s="73"/>
      <c r="CWF119" s="73"/>
      <c r="CWG119" s="73"/>
      <c r="CWH119" s="73"/>
      <c r="CWI119" s="73"/>
      <c r="CWJ119" s="73"/>
      <c r="CWK119" s="73"/>
      <c r="CWL119" s="73"/>
      <c r="CWM119" s="73"/>
      <c r="CWN119" s="73"/>
      <c r="CWO119" s="73"/>
      <c r="CWP119" s="73"/>
      <c r="CWQ119" s="73"/>
      <c r="CWR119" s="73"/>
      <c r="CWS119" s="73"/>
      <c r="CWT119" s="73"/>
      <c r="CWU119" s="73"/>
      <c r="CWV119" s="73"/>
      <c r="CWW119" s="73"/>
      <c r="CWX119" s="73"/>
      <c r="CWY119" s="73"/>
      <c r="CWZ119" s="73"/>
      <c r="CXA119" s="73"/>
      <c r="CXB119" s="73"/>
      <c r="CXC119" s="73"/>
      <c r="CXD119" s="73"/>
      <c r="CXE119" s="73"/>
      <c r="CXF119" s="73"/>
      <c r="CXG119" s="73"/>
      <c r="CXH119" s="73"/>
      <c r="CXI119" s="73"/>
      <c r="CXJ119" s="73"/>
      <c r="CXK119" s="73"/>
      <c r="CXL119" s="73"/>
      <c r="CXM119" s="73"/>
      <c r="CXN119" s="73"/>
      <c r="CXO119" s="73"/>
      <c r="CXP119" s="73"/>
      <c r="CXQ119" s="73"/>
      <c r="CXR119" s="73"/>
      <c r="CXS119" s="73"/>
      <c r="CXT119" s="73"/>
      <c r="CXU119" s="73"/>
      <c r="CXV119" s="73"/>
      <c r="CXW119" s="73"/>
      <c r="CXX119" s="73"/>
      <c r="CXY119" s="73"/>
      <c r="CXZ119" s="73"/>
      <c r="CYA119" s="73"/>
      <c r="CYB119" s="73"/>
      <c r="CYC119" s="73"/>
      <c r="CYD119" s="73"/>
      <c r="CYE119" s="73"/>
      <c r="CYF119" s="73"/>
      <c r="CYG119" s="73"/>
      <c r="CYH119" s="73"/>
      <c r="CYI119" s="73"/>
      <c r="CYJ119" s="73"/>
      <c r="CYK119" s="73"/>
      <c r="CYL119" s="73"/>
      <c r="CYM119" s="73"/>
      <c r="CYN119" s="73"/>
      <c r="CYO119" s="73"/>
      <c r="CYP119" s="73"/>
      <c r="CYQ119" s="73"/>
      <c r="CYR119" s="73"/>
      <c r="CYS119" s="73"/>
      <c r="CYT119" s="73"/>
      <c r="CYU119" s="73"/>
      <c r="CYV119" s="73"/>
      <c r="CYW119" s="73"/>
      <c r="CYX119" s="73"/>
      <c r="CYY119" s="73"/>
      <c r="CYZ119" s="73"/>
      <c r="CZA119" s="73"/>
      <c r="CZB119" s="73"/>
      <c r="CZC119" s="73"/>
      <c r="CZD119" s="73"/>
      <c r="CZE119" s="73"/>
      <c r="CZF119" s="73"/>
      <c r="CZG119" s="73"/>
      <c r="CZH119" s="73"/>
      <c r="CZI119" s="73"/>
      <c r="CZJ119" s="73"/>
      <c r="CZK119" s="73"/>
      <c r="CZL119" s="73"/>
      <c r="CZM119" s="73"/>
      <c r="CZN119" s="73"/>
      <c r="CZO119" s="73"/>
      <c r="CZP119" s="73"/>
      <c r="CZQ119" s="73"/>
      <c r="CZR119" s="73"/>
      <c r="CZS119" s="73"/>
      <c r="CZT119" s="73"/>
      <c r="CZU119" s="73"/>
      <c r="CZV119" s="73"/>
      <c r="CZW119" s="73"/>
      <c r="CZX119" s="73"/>
      <c r="CZY119" s="73"/>
      <c r="CZZ119" s="73"/>
      <c r="DAA119" s="73"/>
      <c r="DAB119" s="73"/>
      <c r="DAC119" s="73"/>
      <c r="DAD119" s="73"/>
      <c r="DAE119" s="73"/>
      <c r="DAF119" s="73"/>
      <c r="DAG119" s="73"/>
      <c r="DAH119" s="73"/>
      <c r="DAI119" s="73"/>
      <c r="DAJ119" s="73"/>
      <c r="DAK119" s="73"/>
      <c r="DAL119" s="73"/>
      <c r="DAM119" s="73"/>
      <c r="DAN119" s="73"/>
      <c r="DAO119" s="73"/>
      <c r="DAP119" s="73"/>
      <c r="DAQ119" s="73"/>
      <c r="DAR119" s="73"/>
      <c r="DAS119" s="73"/>
      <c r="DAT119" s="73"/>
      <c r="DAU119" s="73"/>
      <c r="DAV119" s="73"/>
      <c r="DAW119" s="73"/>
      <c r="DAX119" s="73"/>
      <c r="DAY119" s="73"/>
      <c r="DAZ119" s="73"/>
      <c r="DBA119" s="73"/>
      <c r="DBB119" s="73"/>
      <c r="DBC119" s="73"/>
      <c r="DBD119" s="73"/>
      <c r="DBE119" s="73"/>
      <c r="DBF119" s="73"/>
      <c r="DBG119" s="73"/>
      <c r="DBH119" s="73"/>
      <c r="DBI119" s="73"/>
      <c r="DBJ119" s="73"/>
      <c r="DBK119" s="73"/>
      <c r="DBL119" s="73"/>
      <c r="DBM119" s="73"/>
      <c r="DBN119" s="73"/>
      <c r="DBO119" s="73"/>
      <c r="DBP119" s="73"/>
      <c r="DBQ119" s="73"/>
      <c r="DBR119" s="73"/>
      <c r="DBS119" s="73"/>
      <c r="DBT119" s="73"/>
      <c r="DBU119" s="73"/>
      <c r="DBV119" s="73"/>
      <c r="DBW119" s="73"/>
      <c r="DBX119" s="73"/>
      <c r="DBY119" s="73"/>
      <c r="DBZ119" s="73"/>
      <c r="DCA119" s="73"/>
      <c r="DCB119" s="73"/>
      <c r="DCC119" s="73"/>
      <c r="DCD119" s="73"/>
      <c r="DCE119" s="73"/>
      <c r="DCF119" s="73"/>
      <c r="DCG119" s="73"/>
      <c r="DCH119" s="73"/>
      <c r="DCI119" s="73"/>
      <c r="DCJ119" s="73"/>
      <c r="DCK119" s="73"/>
      <c r="DCL119" s="73"/>
      <c r="DCM119" s="73"/>
      <c r="DCN119" s="73"/>
      <c r="DCO119" s="73"/>
      <c r="DCP119" s="73"/>
      <c r="DCQ119" s="73"/>
      <c r="DCR119" s="73"/>
      <c r="DCS119" s="73"/>
      <c r="DCT119" s="73"/>
      <c r="DCU119" s="73"/>
      <c r="DCV119" s="73"/>
      <c r="DCW119" s="73"/>
      <c r="DCX119" s="73"/>
      <c r="DCY119" s="73"/>
      <c r="DCZ119" s="73"/>
      <c r="DDA119" s="73"/>
      <c r="DDB119" s="73"/>
      <c r="DDC119" s="73"/>
      <c r="DDD119" s="73"/>
      <c r="DDE119" s="73"/>
      <c r="DDF119" s="73"/>
      <c r="DDG119" s="73"/>
      <c r="DDH119" s="73"/>
      <c r="DDI119" s="73"/>
      <c r="DDJ119" s="73"/>
      <c r="DDK119" s="73"/>
      <c r="DDL119" s="73"/>
      <c r="DDM119" s="73"/>
      <c r="DDN119" s="73"/>
      <c r="DDO119" s="73"/>
      <c r="DDP119" s="73"/>
      <c r="DDQ119" s="73"/>
      <c r="DDR119" s="73"/>
      <c r="DDS119" s="73"/>
      <c r="DDT119" s="73"/>
      <c r="DDU119" s="73"/>
      <c r="DDV119" s="73"/>
      <c r="DDW119" s="73"/>
      <c r="DDX119" s="73"/>
      <c r="DDY119" s="73"/>
      <c r="DDZ119" s="73"/>
      <c r="DEA119" s="73"/>
      <c r="DEB119" s="73"/>
      <c r="DEC119" s="73"/>
      <c r="DED119" s="73"/>
      <c r="DEE119" s="73"/>
      <c r="DEF119" s="73"/>
      <c r="DEG119" s="73"/>
      <c r="DEH119" s="73"/>
      <c r="DEI119" s="73"/>
      <c r="DEJ119" s="73"/>
      <c r="DEK119" s="73"/>
      <c r="DEL119" s="73"/>
      <c r="DEM119" s="73"/>
      <c r="DEN119" s="73"/>
      <c r="DEO119" s="73"/>
      <c r="DEP119" s="73"/>
      <c r="DEQ119" s="73"/>
      <c r="DER119" s="73"/>
      <c r="DES119" s="73"/>
      <c r="DET119" s="73"/>
      <c r="DEU119" s="73"/>
      <c r="DEV119" s="73"/>
      <c r="DEW119" s="73"/>
      <c r="DEX119" s="73"/>
      <c r="DEY119" s="73"/>
      <c r="DEZ119" s="73"/>
      <c r="DFA119" s="73"/>
      <c r="DFB119" s="73"/>
      <c r="DFC119" s="73"/>
      <c r="DFD119" s="73"/>
      <c r="DFE119" s="73"/>
      <c r="DFF119" s="73"/>
      <c r="DFG119" s="73"/>
      <c r="DFH119" s="73"/>
      <c r="DFI119" s="73"/>
      <c r="DFJ119" s="73"/>
      <c r="DFK119" s="73"/>
      <c r="DFL119" s="73"/>
      <c r="DFM119" s="73"/>
      <c r="DFN119" s="73"/>
      <c r="DFO119" s="73"/>
      <c r="DFP119" s="73"/>
      <c r="DFQ119" s="73"/>
      <c r="DFR119" s="73"/>
      <c r="DFS119" s="73"/>
      <c r="DFT119" s="73"/>
      <c r="DFU119" s="73"/>
      <c r="DFV119" s="73"/>
      <c r="DFW119" s="73"/>
      <c r="DFX119" s="73"/>
      <c r="DFY119" s="73"/>
      <c r="DFZ119" s="73"/>
      <c r="DGA119" s="73"/>
      <c r="DGB119" s="73"/>
      <c r="DGC119" s="73"/>
      <c r="DGD119" s="73"/>
      <c r="DGE119" s="73"/>
      <c r="DGF119" s="73"/>
      <c r="DGG119" s="73"/>
      <c r="DGH119" s="73"/>
      <c r="DGI119" s="73"/>
      <c r="DGJ119" s="73"/>
      <c r="DGK119" s="73"/>
      <c r="DGL119" s="73"/>
      <c r="DGM119" s="73"/>
      <c r="DGN119" s="73"/>
      <c r="DGO119" s="73"/>
      <c r="DGP119" s="73"/>
      <c r="DGQ119" s="73"/>
      <c r="DGR119" s="73"/>
      <c r="DGS119" s="73"/>
      <c r="DGT119" s="73"/>
      <c r="DGU119" s="73"/>
      <c r="DGV119" s="73"/>
      <c r="DGW119" s="73"/>
      <c r="DGX119" s="73"/>
      <c r="DGY119" s="73"/>
      <c r="DGZ119" s="73"/>
      <c r="DHA119" s="73"/>
      <c r="DHB119" s="73"/>
      <c r="DHC119" s="73"/>
      <c r="DHD119" s="73"/>
      <c r="DHE119" s="73"/>
      <c r="DHF119" s="73"/>
      <c r="DHG119" s="73"/>
      <c r="DHH119" s="73"/>
      <c r="DHI119" s="73"/>
      <c r="DHJ119" s="73"/>
      <c r="DHK119" s="73"/>
      <c r="DHL119" s="73"/>
      <c r="DHM119" s="73"/>
      <c r="DHN119" s="73"/>
      <c r="DHO119" s="73"/>
      <c r="DHP119" s="73"/>
      <c r="DHQ119" s="73"/>
      <c r="DHR119" s="73"/>
      <c r="DHS119" s="73"/>
      <c r="DHT119" s="73"/>
      <c r="DHU119" s="73"/>
      <c r="DHV119" s="73"/>
      <c r="DHW119" s="73"/>
      <c r="DHX119" s="73"/>
      <c r="DHY119" s="73"/>
      <c r="DHZ119" s="73"/>
      <c r="DIA119" s="73"/>
      <c r="DIB119" s="73"/>
      <c r="DIC119" s="73"/>
      <c r="DID119" s="73"/>
      <c r="DIE119" s="73"/>
      <c r="DIF119" s="73"/>
      <c r="DIG119" s="73"/>
      <c r="DIH119" s="73"/>
      <c r="DII119" s="73"/>
      <c r="DIJ119" s="73"/>
      <c r="DIK119" s="73"/>
      <c r="DIL119" s="73"/>
      <c r="DIM119" s="73"/>
      <c r="DIN119" s="73"/>
      <c r="DIO119" s="73"/>
      <c r="DIP119" s="73"/>
      <c r="DIQ119" s="73"/>
      <c r="DIR119" s="73"/>
      <c r="DIS119" s="73"/>
      <c r="DIT119" s="73"/>
      <c r="DIU119" s="73"/>
      <c r="DIV119" s="73"/>
      <c r="DIW119" s="73"/>
      <c r="DIX119" s="73"/>
      <c r="DIY119" s="73"/>
      <c r="DIZ119" s="73"/>
      <c r="DJA119" s="73"/>
      <c r="DJB119" s="73"/>
      <c r="DJC119" s="73"/>
      <c r="DJD119" s="73"/>
      <c r="DJE119" s="73"/>
      <c r="DJF119" s="73"/>
      <c r="DJG119" s="73"/>
      <c r="DJH119" s="73"/>
      <c r="DJI119" s="73"/>
      <c r="DJJ119" s="73"/>
      <c r="DJK119" s="73"/>
      <c r="DJL119" s="73"/>
      <c r="DJM119" s="73"/>
      <c r="DJN119" s="73"/>
      <c r="DJO119" s="73"/>
      <c r="DJP119" s="73"/>
      <c r="DJQ119" s="73"/>
      <c r="DJR119" s="73"/>
      <c r="DJS119" s="73"/>
      <c r="DJT119" s="73"/>
      <c r="DJU119" s="73"/>
      <c r="DJV119" s="73"/>
      <c r="DJW119" s="73"/>
      <c r="DJX119" s="73"/>
      <c r="DJY119" s="73"/>
      <c r="DJZ119" s="73"/>
      <c r="DKA119" s="73"/>
      <c r="DKB119" s="73"/>
      <c r="DKC119" s="73"/>
      <c r="DKD119" s="73"/>
      <c r="DKE119" s="73"/>
      <c r="DKF119" s="73"/>
      <c r="DKG119" s="73"/>
      <c r="DKH119" s="73"/>
      <c r="DKI119" s="73"/>
      <c r="DKJ119" s="73"/>
      <c r="DKK119" s="73"/>
      <c r="DKL119" s="73"/>
      <c r="DKM119" s="73"/>
      <c r="DKN119" s="73"/>
      <c r="DKO119" s="73"/>
      <c r="DKP119" s="73"/>
      <c r="DKQ119" s="73"/>
      <c r="DKR119" s="73"/>
      <c r="DKS119" s="73"/>
      <c r="DKT119" s="73"/>
      <c r="DKU119" s="73"/>
      <c r="DKV119" s="73"/>
      <c r="DKW119" s="73"/>
      <c r="DKX119" s="73"/>
      <c r="DKY119" s="73"/>
      <c r="DKZ119" s="73"/>
      <c r="DLA119" s="73"/>
      <c r="DLB119" s="73"/>
      <c r="DLC119" s="73"/>
      <c r="DLD119" s="73"/>
      <c r="DLE119" s="73"/>
      <c r="DLF119" s="73"/>
      <c r="DLG119" s="73"/>
      <c r="DLH119" s="73"/>
      <c r="DLI119" s="73"/>
      <c r="DLJ119" s="73"/>
      <c r="DLK119" s="73"/>
      <c r="DLL119" s="73"/>
      <c r="DLM119" s="73"/>
      <c r="DLN119" s="73"/>
      <c r="DLO119" s="73"/>
      <c r="DLP119" s="73"/>
      <c r="DLQ119" s="73"/>
      <c r="DLR119" s="73"/>
      <c r="DLS119" s="73"/>
      <c r="DLT119" s="73"/>
      <c r="DLU119" s="73"/>
      <c r="DLV119" s="73"/>
      <c r="DLW119" s="73"/>
      <c r="DLX119" s="73"/>
      <c r="DLY119" s="73"/>
      <c r="DLZ119" s="73"/>
      <c r="DMA119" s="73"/>
      <c r="DMB119" s="73"/>
      <c r="DMC119" s="73"/>
      <c r="DMD119" s="73"/>
      <c r="DME119" s="73"/>
      <c r="DMF119" s="73"/>
      <c r="DMG119" s="73"/>
      <c r="DMH119" s="73"/>
      <c r="DMI119" s="73"/>
      <c r="DMJ119" s="73"/>
      <c r="DMK119" s="73"/>
      <c r="DML119" s="73"/>
      <c r="DMM119" s="73"/>
      <c r="DMN119" s="73"/>
      <c r="DMO119" s="73"/>
      <c r="DMP119" s="73"/>
      <c r="DMQ119" s="73"/>
      <c r="DMR119" s="73"/>
      <c r="DMS119" s="73"/>
      <c r="DMT119" s="73"/>
      <c r="DMU119" s="73"/>
      <c r="DMV119" s="73"/>
      <c r="DMW119" s="73"/>
      <c r="DMX119" s="73"/>
      <c r="DMY119" s="73"/>
      <c r="DMZ119" s="73"/>
      <c r="DNA119" s="73"/>
      <c r="DNB119" s="73"/>
      <c r="DNC119" s="73"/>
      <c r="DND119" s="73"/>
      <c r="DNE119" s="73"/>
      <c r="DNF119" s="73"/>
      <c r="DNG119" s="73"/>
      <c r="DNH119" s="73"/>
      <c r="DNI119" s="73"/>
      <c r="DNJ119" s="73"/>
      <c r="DNK119" s="73"/>
      <c r="DNL119" s="73"/>
      <c r="DNM119" s="73"/>
      <c r="DNN119" s="73"/>
      <c r="DNO119" s="73"/>
      <c r="DNP119" s="73"/>
      <c r="DNQ119" s="73"/>
      <c r="DNR119" s="73"/>
      <c r="DNS119" s="73"/>
      <c r="DNT119" s="73"/>
      <c r="DNU119" s="73"/>
      <c r="DNV119" s="73"/>
      <c r="DNW119" s="73"/>
      <c r="DNX119" s="73"/>
      <c r="DNY119" s="73"/>
      <c r="DNZ119" s="73"/>
      <c r="DOA119" s="73"/>
      <c r="DOB119" s="73"/>
      <c r="DOC119" s="73"/>
      <c r="DOD119" s="73"/>
      <c r="DOE119" s="73"/>
      <c r="DOF119" s="73"/>
      <c r="DOG119" s="73"/>
      <c r="DOH119" s="73"/>
      <c r="DOI119" s="73"/>
      <c r="DOJ119" s="73"/>
      <c r="DOK119" s="73"/>
      <c r="DOL119" s="73"/>
      <c r="DOM119" s="73"/>
      <c r="DON119" s="73"/>
      <c r="DOO119" s="73"/>
      <c r="DOP119" s="73"/>
      <c r="DOQ119" s="73"/>
      <c r="DOR119" s="73"/>
      <c r="DOS119" s="73"/>
      <c r="DOT119" s="73"/>
      <c r="DOU119" s="73"/>
      <c r="DOV119" s="73"/>
      <c r="DOW119" s="73"/>
      <c r="DOX119" s="73"/>
      <c r="DOY119" s="73"/>
      <c r="DOZ119" s="73"/>
      <c r="DPA119" s="73"/>
      <c r="DPB119" s="73"/>
      <c r="DPC119" s="73"/>
      <c r="DPD119" s="73"/>
      <c r="DPE119" s="73"/>
      <c r="DPF119" s="73"/>
      <c r="DPG119" s="73"/>
      <c r="DPH119" s="73"/>
      <c r="DPI119" s="73"/>
      <c r="DPJ119" s="73"/>
      <c r="DPK119" s="73"/>
      <c r="DPL119" s="73"/>
      <c r="DPM119" s="73"/>
      <c r="DPN119" s="73"/>
      <c r="DPO119" s="73"/>
      <c r="DPP119" s="73"/>
      <c r="DPQ119" s="73"/>
      <c r="DPR119" s="73"/>
      <c r="DPS119" s="73"/>
      <c r="DPT119" s="73"/>
      <c r="DPU119" s="73"/>
      <c r="DPV119" s="73"/>
      <c r="DPW119" s="73"/>
      <c r="DPX119" s="73"/>
      <c r="DPY119" s="73"/>
      <c r="DPZ119" s="73"/>
      <c r="DQA119" s="73"/>
      <c r="DQB119" s="73"/>
      <c r="DQC119" s="73"/>
      <c r="DQD119" s="73"/>
      <c r="DQE119" s="73"/>
      <c r="DQF119" s="73"/>
      <c r="DQG119" s="73"/>
      <c r="DQH119" s="73"/>
      <c r="DQI119" s="73"/>
      <c r="DQJ119" s="73"/>
      <c r="DQK119" s="73"/>
      <c r="DQL119" s="73"/>
      <c r="DQM119" s="73"/>
      <c r="DQN119" s="73"/>
      <c r="DQO119" s="73"/>
      <c r="DQP119" s="73"/>
      <c r="DQQ119" s="73"/>
      <c r="DQR119" s="73"/>
      <c r="DQS119" s="73"/>
      <c r="DQT119" s="73"/>
      <c r="DQU119" s="73"/>
      <c r="DQV119" s="73"/>
      <c r="DQW119" s="73"/>
      <c r="DQX119" s="73"/>
      <c r="DQY119" s="73"/>
      <c r="DQZ119" s="73"/>
      <c r="DRA119" s="73"/>
      <c r="DRB119" s="73"/>
      <c r="DRC119" s="73"/>
      <c r="DRD119" s="73"/>
      <c r="DRE119" s="73"/>
      <c r="DRF119" s="73"/>
      <c r="DRG119" s="73"/>
      <c r="DRH119" s="73"/>
      <c r="DRI119" s="73"/>
      <c r="DRJ119" s="73"/>
      <c r="DRK119" s="73"/>
      <c r="DRL119" s="73"/>
      <c r="DRM119" s="73"/>
      <c r="DRN119" s="73"/>
      <c r="DRO119" s="73"/>
      <c r="DRP119" s="73"/>
      <c r="DRQ119" s="73"/>
      <c r="DRR119" s="73"/>
      <c r="DRS119" s="73"/>
      <c r="DRT119" s="73"/>
      <c r="DRU119" s="73"/>
      <c r="DRV119" s="73"/>
      <c r="DRW119" s="73"/>
      <c r="DRX119" s="73"/>
      <c r="DRY119" s="73"/>
      <c r="DRZ119" s="73"/>
      <c r="DSA119" s="73"/>
      <c r="DSB119" s="73"/>
      <c r="DSC119" s="73"/>
      <c r="DSD119" s="73"/>
      <c r="DSE119" s="73"/>
      <c r="DSF119" s="73"/>
      <c r="DSG119" s="73"/>
      <c r="DSH119" s="73"/>
      <c r="DSI119" s="73"/>
      <c r="DSJ119" s="73"/>
      <c r="DSK119" s="73"/>
      <c r="DSL119" s="73"/>
      <c r="DSM119" s="73"/>
      <c r="DSN119" s="73"/>
      <c r="DSO119" s="73"/>
      <c r="DSP119" s="73"/>
      <c r="DSQ119" s="73"/>
      <c r="DSR119" s="73"/>
      <c r="DSS119" s="73"/>
      <c r="DST119" s="73"/>
      <c r="DSU119" s="73"/>
      <c r="DSV119" s="73"/>
      <c r="DSW119" s="73"/>
      <c r="DSX119" s="73"/>
      <c r="DSY119" s="73"/>
      <c r="DSZ119" s="73"/>
      <c r="DTA119" s="73"/>
      <c r="DTB119" s="73"/>
      <c r="DTC119" s="73"/>
      <c r="DTD119" s="73"/>
      <c r="DTE119" s="73"/>
      <c r="DTF119" s="73"/>
      <c r="DTG119" s="73"/>
      <c r="DTH119" s="73"/>
      <c r="DTI119" s="73"/>
      <c r="DTJ119" s="73"/>
      <c r="DTK119" s="73"/>
      <c r="DTL119" s="73"/>
      <c r="DTM119" s="73"/>
      <c r="DTN119" s="73"/>
      <c r="DTO119" s="73"/>
      <c r="DTP119" s="73"/>
      <c r="DTQ119" s="73"/>
      <c r="DTR119" s="73"/>
      <c r="DTS119" s="73"/>
      <c r="DTT119" s="73"/>
      <c r="DTU119" s="73"/>
      <c r="DTV119" s="73"/>
      <c r="DTW119" s="73"/>
      <c r="DTX119" s="73"/>
      <c r="DTY119" s="73"/>
      <c r="DTZ119" s="73"/>
      <c r="DUA119" s="73"/>
      <c r="DUB119" s="73"/>
      <c r="DUC119" s="73"/>
      <c r="DUD119" s="73"/>
      <c r="DUE119" s="73"/>
      <c r="DUF119" s="73"/>
      <c r="DUG119" s="73"/>
      <c r="DUH119" s="73"/>
      <c r="DUI119" s="73"/>
      <c r="DUJ119" s="73"/>
      <c r="DUK119" s="73"/>
      <c r="DUL119" s="73"/>
      <c r="DUM119" s="73"/>
      <c r="DUN119" s="73"/>
      <c r="DUO119" s="73"/>
      <c r="DUP119" s="73"/>
      <c r="DUQ119" s="73"/>
      <c r="DUR119" s="73"/>
      <c r="DUS119" s="73"/>
      <c r="DUT119" s="73"/>
      <c r="DUU119" s="73"/>
      <c r="DUV119" s="73"/>
      <c r="DUW119" s="73"/>
      <c r="DUX119" s="73"/>
      <c r="DUY119" s="73"/>
      <c r="DUZ119" s="73"/>
      <c r="DVA119" s="73"/>
      <c r="DVB119" s="73"/>
      <c r="DVC119" s="73"/>
      <c r="DVD119" s="73"/>
      <c r="DVE119" s="73"/>
      <c r="DVF119" s="73"/>
      <c r="DVG119" s="73"/>
      <c r="DVH119" s="73"/>
      <c r="DVI119" s="73"/>
      <c r="DVJ119" s="73"/>
      <c r="DVK119" s="73"/>
      <c r="DVL119" s="73"/>
      <c r="DVM119" s="73"/>
      <c r="DVN119" s="73"/>
      <c r="DVO119" s="73"/>
      <c r="DVP119" s="73"/>
      <c r="DVQ119" s="73"/>
      <c r="DVR119" s="73"/>
      <c r="DVS119" s="73"/>
      <c r="DVT119" s="73"/>
      <c r="DVU119" s="73"/>
      <c r="DVV119" s="73"/>
      <c r="DVW119" s="73"/>
      <c r="DVX119" s="73"/>
      <c r="DVY119" s="73"/>
      <c r="DVZ119" s="73"/>
      <c r="DWA119" s="73"/>
      <c r="DWB119" s="73"/>
      <c r="DWC119" s="73"/>
      <c r="DWD119" s="73"/>
      <c r="DWE119" s="73"/>
      <c r="DWF119" s="73"/>
      <c r="DWG119" s="73"/>
      <c r="DWH119" s="73"/>
      <c r="DWI119" s="73"/>
      <c r="DWJ119" s="73"/>
      <c r="DWK119" s="73"/>
      <c r="DWL119" s="73"/>
      <c r="DWM119" s="73"/>
      <c r="DWN119" s="73"/>
      <c r="DWO119" s="73"/>
      <c r="DWP119" s="73"/>
      <c r="DWQ119" s="73"/>
      <c r="DWR119" s="73"/>
      <c r="DWS119" s="73"/>
      <c r="DWT119" s="73"/>
      <c r="DWU119" s="73"/>
      <c r="DWV119" s="73"/>
      <c r="DWW119" s="73"/>
      <c r="DWX119" s="73"/>
      <c r="DWY119" s="73"/>
      <c r="DWZ119" s="73"/>
      <c r="DXA119" s="73"/>
      <c r="DXB119" s="73"/>
      <c r="DXC119" s="73"/>
      <c r="DXD119" s="73"/>
      <c r="DXE119" s="73"/>
      <c r="DXF119" s="73"/>
      <c r="DXG119" s="73"/>
      <c r="DXH119" s="73"/>
      <c r="DXI119" s="73"/>
      <c r="DXJ119" s="73"/>
      <c r="DXK119" s="73"/>
      <c r="DXL119" s="73"/>
      <c r="DXM119" s="73"/>
      <c r="DXN119" s="73"/>
      <c r="DXO119" s="73"/>
      <c r="DXP119" s="73"/>
      <c r="DXQ119" s="73"/>
      <c r="DXR119" s="73"/>
      <c r="DXS119" s="73"/>
      <c r="DXT119" s="73"/>
      <c r="DXU119" s="73"/>
      <c r="DXV119" s="73"/>
      <c r="DXW119" s="73"/>
      <c r="DXX119" s="73"/>
      <c r="DXY119" s="73"/>
      <c r="DXZ119" s="73"/>
      <c r="DYA119" s="73"/>
      <c r="DYB119" s="73"/>
      <c r="DYC119" s="73"/>
      <c r="DYD119" s="73"/>
      <c r="DYE119" s="73"/>
      <c r="DYF119" s="73"/>
      <c r="DYG119" s="73"/>
      <c r="DYH119" s="73"/>
      <c r="DYI119" s="73"/>
      <c r="DYJ119" s="73"/>
      <c r="DYK119" s="73"/>
      <c r="DYL119" s="73"/>
      <c r="DYM119" s="73"/>
      <c r="DYN119" s="73"/>
      <c r="DYO119" s="73"/>
      <c r="DYP119" s="73"/>
      <c r="DYQ119" s="73"/>
      <c r="DYR119" s="73"/>
      <c r="DYS119" s="73"/>
      <c r="DYT119" s="73"/>
      <c r="DYU119" s="73"/>
      <c r="DYV119" s="73"/>
      <c r="DYW119" s="73"/>
      <c r="DYX119" s="73"/>
      <c r="DYY119" s="73"/>
      <c r="DYZ119" s="73"/>
      <c r="DZA119" s="73"/>
      <c r="DZB119" s="73"/>
      <c r="DZC119" s="73"/>
      <c r="DZD119" s="73"/>
      <c r="DZE119" s="73"/>
      <c r="DZF119" s="73"/>
      <c r="DZG119" s="73"/>
      <c r="DZH119" s="73"/>
      <c r="DZI119" s="73"/>
      <c r="DZJ119" s="73"/>
      <c r="DZK119" s="73"/>
      <c r="DZL119" s="73"/>
      <c r="DZM119" s="73"/>
      <c r="DZN119" s="73"/>
      <c r="DZO119" s="73"/>
      <c r="DZP119" s="73"/>
      <c r="DZQ119" s="73"/>
      <c r="DZR119" s="73"/>
      <c r="DZS119" s="73"/>
      <c r="DZT119" s="73"/>
      <c r="DZU119" s="73"/>
      <c r="DZV119" s="73"/>
      <c r="DZW119" s="73"/>
      <c r="DZX119" s="73"/>
      <c r="DZY119" s="73"/>
      <c r="DZZ119" s="73"/>
      <c r="EAA119" s="73"/>
      <c r="EAB119" s="73"/>
      <c r="EAC119" s="73"/>
      <c r="EAD119" s="73"/>
      <c r="EAE119" s="73"/>
      <c r="EAF119" s="73"/>
      <c r="EAG119" s="73"/>
      <c r="EAH119" s="73"/>
      <c r="EAI119" s="73"/>
      <c r="EAJ119" s="73"/>
      <c r="EAK119" s="73"/>
      <c r="EAL119" s="73"/>
      <c r="EAM119" s="73"/>
      <c r="EAN119" s="73"/>
      <c r="EAO119" s="73"/>
      <c r="EAP119" s="73"/>
      <c r="EAQ119" s="73"/>
      <c r="EAR119" s="73"/>
      <c r="EAS119" s="73"/>
      <c r="EAT119" s="73"/>
      <c r="EAU119" s="73"/>
      <c r="EAV119" s="73"/>
      <c r="EAW119" s="73"/>
      <c r="EAX119" s="73"/>
      <c r="EAY119" s="73"/>
      <c r="EAZ119" s="73"/>
      <c r="EBA119" s="73"/>
      <c r="EBB119" s="73"/>
      <c r="EBC119" s="73"/>
      <c r="EBD119" s="73"/>
      <c r="EBE119" s="73"/>
      <c r="EBF119" s="73"/>
      <c r="EBG119" s="73"/>
      <c r="EBH119" s="73"/>
      <c r="EBI119" s="73"/>
      <c r="EBJ119" s="73"/>
      <c r="EBK119" s="73"/>
      <c r="EBL119" s="73"/>
      <c r="EBM119" s="73"/>
      <c r="EBN119" s="73"/>
      <c r="EBO119" s="73"/>
      <c r="EBP119" s="73"/>
      <c r="EBQ119" s="73"/>
      <c r="EBR119" s="73"/>
      <c r="EBS119" s="73"/>
      <c r="EBT119" s="73"/>
      <c r="EBU119" s="73"/>
      <c r="EBV119" s="73"/>
      <c r="EBW119" s="73"/>
      <c r="EBX119" s="73"/>
      <c r="EBY119" s="73"/>
      <c r="EBZ119" s="73"/>
      <c r="ECA119" s="73"/>
      <c r="ECB119" s="73"/>
      <c r="ECC119" s="73"/>
      <c r="ECD119" s="73"/>
      <c r="ECE119" s="73"/>
      <c r="ECF119" s="73"/>
      <c r="ECG119" s="73"/>
      <c r="ECH119" s="73"/>
      <c r="ECI119" s="73"/>
      <c r="ECJ119" s="73"/>
      <c r="ECK119" s="73"/>
      <c r="ECL119" s="73"/>
      <c r="ECM119" s="73"/>
      <c r="ECN119" s="73"/>
      <c r="ECO119" s="73"/>
      <c r="ECP119" s="73"/>
      <c r="ECQ119" s="73"/>
      <c r="ECR119" s="73"/>
      <c r="ECS119" s="73"/>
      <c r="ECT119" s="73"/>
      <c r="ECU119" s="73"/>
      <c r="ECV119" s="73"/>
      <c r="ECW119" s="73"/>
      <c r="ECX119" s="73"/>
      <c r="ECY119" s="73"/>
      <c r="ECZ119" s="73"/>
      <c r="EDA119" s="73"/>
      <c r="EDB119" s="73"/>
      <c r="EDC119" s="73"/>
      <c r="EDD119" s="73"/>
      <c r="EDE119" s="73"/>
      <c r="EDF119" s="73"/>
      <c r="EDG119" s="73"/>
      <c r="EDH119" s="73"/>
      <c r="EDI119" s="73"/>
      <c r="EDJ119" s="73"/>
      <c r="EDK119" s="73"/>
      <c r="EDL119" s="73"/>
      <c r="EDM119" s="73"/>
      <c r="EDN119" s="73"/>
      <c r="EDO119" s="73"/>
      <c r="EDP119" s="73"/>
      <c r="EDQ119" s="73"/>
      <c r="EDR119" s="73"/>
      <c r="EDS119" s="73"/>
      <c r="EDT119" s="73"/>
      <c r="EDU119" s="73"/>
      <c r="EDV119" s="73"/>
      <c r="EDW119" s="73"/>
      <c r="EDX119" s="73"/>
      <c r="EDY119" s="73"/>
      <c r="EDZ119" s="73"/>
      <c r="EEA119" s="73"/>
      <c r="EEB119" s="73"/>
      <c r="EEC119" s="73"/>
      <c r="EED119" s="73"/>
      <c r="EEE119" s="73"/>
      <c r="EEF119" s="73"/>
      <c r="EEG119" s="73"/>
      <c r="EEH119" s="73"/>
      <c r="EEI119" s="73"/>
      <c r="EEJ119" s="73"/>
      <c r="EEK119" s="73"/>
      <c r="EEL119" s="73"/>
      <c r="EEM119" s="73"/>
      <c r="EEN119" s="73"/>
      <c r="EEO119" s="73"/>
      <c r="EEP119" s="73"/>
      <c r="EEQ119" s="73"/>
      <c r="EER119" s="73"/>
      <c r="EES119" s="73"/>
      <c r="EET119" s="73"/>
      <c r="EEU119" s="73"/>
      <c r="EEV119" s="73"/>
      <c r="EEW119" s="73"/>
      <c r="EEX119" s="73"/>
      <c r="EEY119" s="73"/>
      <c r="EEZ119" s="73"/>
      <c r="EFA119" s="73"/>
      <c r="EFB119" s="73"/>
      <c r="EFC119" s="73"/>
      <c r="EFD119" s="73"/>
      <c r="EFE119" s="73"/>
      <c r="EFF119" s="73"/>
      <c r="EFG119" s="73"/>
      <c r="EFH119" s="73"/>
      <c r="EFI119" s="73"/>
      <c r="EFJ119" s="73"/>
      <c r="EFK119" s="73"/>
      <c r="EFL119" s="73"/>
      <c r="EFM119" s="73"/>
      <c r="EFN119" s="73"/>
      <c r="EFO119" s="73"/>
      <c r="EFP119" s="73"/>
      <c r="EFQ119" s="73"/>
      <c r="EFR119" s="73"/>
      <c r="EFS119" s="73"/>
      <c r="EFT119" s="73"/>
      <c r="EFU119" s="73"/>
      <c r="EFV119" s="73"/>
      <c r="EFW119" s="73"/>
      <c r="EFX119" s="73"/>
      <c r="EFY119" s="73"/>
      <c r="EFZ119" s="73"/>
      <c r="EGA119" s="73"/>
      <c r="EGB119" s="73"/>
      <c r="EGC119" s="73"/>
      <c r="EGD119" s="73"/>
      <c r="EGE119" s="73"/>
      <c r="EGF119" s="73"/>
      <c r="EGG119" s="73"/>
      <c r="EGH119" s="73"/>
      <c r="EGI119" s="73"/>
      <c r="EGJ119" s="73"/>
      <c r="EGK119" s="73"/>
      <c r="EGL119" s="73"/>
      <c r="EGM119" s="73"/>
      <c r="EGN119" s="73"/>
      <c r="EGO119" s="73"/>
      <c r="EGP119" s="73"/>
      <c r="EGQ119" s="73"/>
      <c r="EGR119" s="73"/>
      <c r="EGS119" s="73"/>
      <c r="EGT119" s="73"/>
      <c r="EGU119" s="73"/>
      <c r="EGV119" s="73"/>
      <c r="EGW119" s="73"/>
      <c r="EGX119" s="73"/>
      <c r="EGY119" s="73"/>
      <c r="EGZ119" s="73"/>
      <c r="EHA119" s="73"/>
      <c r="EHB119" s="73"/>
      <c r="EHC119" s="73"/>
      <c r="EHD119" s="73"/>
      <c r="EHE119" s="73"/>
      <c r="EHF119" s="73"/>
      <c r="EHG119" s="73"/>
      <c r="EHH119" s="73"/>
      <c r="EHI119" s="73"/>
      <c r="EHJ119" s="73"/>
      <c r="EHK119" s="73"/>
      <c r="EHL119" s="73"/>
      <c r="EHM119" s="73"/>
      <c r="EHN119" s="73"/>
      <c r="EHO119" s="73"/>
      <c r="EHP119" s="73"/>
      <c r="EHQ119" s="73"/>
      <c r="EHR119" s="73"/>
      <c r="EHS119" s="73"/>
      <c r="EHT119" s="73"/>
      <c r="EHU119" s="73"/>
      <c r="EHV119" s="73"/>
      <c r="EHW119" s="73"/>
      <c r="EHX119" s="73"/>
      <c r="EHY119" s="73"/>
      <c r="EHZ119" s="73"/>
      <c r="EIA119" s="73"/>
      <c r="EIB119" s="73"/>
      <c r="EIC119" s="73"/>
      <c r="EID119" s="73"/>
      <c r="EIE119" s="73"/>
      <c r="EIF119" s="73"/>
      <c r="EIG119" s="73"/>
      <c r="EIH119" s="73"/>
      <c r="EII119" s="73"/>
      <c r="EIJ119" s="73"/>
      <c r="EIK119" s="73"/>
      <c r="EIL119" s="73"/>
      <c r="EIM119" s="73"/>
      <c r="EIN119" s="73"/>
      <c r="EIO119" s="73"/>
      <c r="EIP119" s="73"/>
      <c r="EIQ119" s="73"/>
      <c r="EIR119" s="73"/>
      <c r="EIS119" s="73"/>
      <c r="EIT119" s="73"/>
      <c r="EIU119" s="73"/>
      <c r="EIV119" s="73"/>
      <c r="EIW119" s="73"/>
      <c r="EIX119" s="73"/>
      <c r="EIY119" s="73"/>
      <c r="EIZ119" s="73"/>
      <c r="EJA119" s="73"/>
      <c r="EJB119" s="73"/>
      <c r="EJC119" s="73"/>
      <c r="EJD119" s="73"/>
      <c r="EJE119" s="73"/>
      <c r="EJF119" s="73"/>
      <c r="EJG119" s="73"/>
      <c r="EJH119" s="73"/>
      <c r="EJI119" s="73"/>
      <c r="EJJ119" s="73"/>
      <c r="EJK119" s="73"/>
      <c r="EJL119" s="73"/>
      <c r="EJM119" s="73"/>
      <c r="EJN119" s="73"/>
      <c r="EJO119" s="73"/>
      <c r="EJP119" s="73"/>
      <c r="EJQ119" s="73"/>
      <c r="EJR119" s="73"/>
      <c r="EJS119" s="73"/>
      <c r="EJT119" s="73"/>
      <c r="EJU119" s="73"/>
      <c r="EJV119" s="73"/>
      <c r="EJW119" s="73"/>
      <c r="EJX119" s="73"/>
      <c r="EJY119" s="73"/>
      <c r="EJZ119" s="73"/>
      <c r="EKA119" s="73"/>
      <c r="EKB119" s="73"/>
      <c r="EKC119" s="73"/>
      <c r="EKD119" s="73"/>
      <c r="EKE119" s="73"/>
      <c r="EKF119" s="73"/>
      <c r="EKG119" s="73"/>
      <c r="EKH119" s="73"/>
      <c r="EKI119" s="73"/>
      <c r="EKJ119" s="73"/>
      <c r="EKK119" s="73"/>
      <c r="EKL119" s="73"/>
      <c r="EKM119" s="73"/>
      <c r="EKN119" s="73"/>
      <c r="EKO119" s="73"/>
      <c r="EKP119" s="73"/>
      <c r="EKQ119" s="73"/>
      <c r="EKR119" s="73"/>
      <c r="EKS119" s="73"/>
      <c r="EKT119" s="73"/>
      <c r="EKU119" s="73"/>
      <c r="EKV119" s="73"/>
      <c r="EKW119" s="73"/>
      <c r="EKX119" s="73"/>
      <c r="EKY119" s="73"/>
      <c r="EKZ119" s="73"/>
      <c r="ELA119" s="73"/>
      <c r="ELB119" s="73"/>
      <c r="ELC119" s="73"/>
      <c r="ELD119" s="73"/>
      <c r="ELE119" s="73"/>
      <c r="ELF119" s="73"/>
      <c r="ELG119" s="73"/>
      <c r="ELH119" s="73"/>
      <c r="ELI119" s="73"/>
      <c r="ELJ119" s="73"/>
      <c r="ELK119" s="73"/>
      <c r="ELL119" s="73"/>
      <c r="ELM119" s="73"/>
      <c r="ELN119" s="73"/>
      <c r="ELO119" s="73"/>
      <c r="ELP119" s="73"/>
      <c r="ELQ119" s="73"/>
      <c r="ELR119" s="73"/>
      <c r="ELS119" s="73"/>
      <c r="ELT119" s="73"/>
      <c r="ELU119" s="73"/>
      <c r="ELV119" s="73"/>
      <c r="ELW119" s="73"/>
      <c r="ELX119" s="73"/>
      <c r="ELY119" s="73"/>
      <c r="ELZ119" s="73"/>
      <c r="EMA119" s="73"/>
      <c r="EMB119" s="73"/>
      <c r="EMC119" s="73"/>
      <c r="EMD119" s="73"/>
      <c r="EME119" s="73"/>
      <c r="EMF119" s="73"/>
      <c r="EMG119" s="73"/>
      <c r="EMH119" s="73"/>
      <c r="EMI119" s="73"/>
      <c r="EMJ119" s="73"/>
      <c r="EMK119" s="73"/>
      <c r="EML119" s="73"/>
      <c r="EMM119" s="73"/>
      <c r="EMN119" s="73"/>
      <c r="EMO119" s="73"/>
      <c r="EMP119" s="73"/>
      <c r="EMQ119" s="73"/>
      <c r="EMR119" s="73"/>
      <c r="EMS119" s="73"/>
      <c r="EMT119" s="73"/>
      <c r="EMU119" s="73"/>
      <c r="EMV119" s="73"/>
      <c r="EMW119" s="73"/>
      <c r="EMX119" s="73"/>
      <c r="EMY119" s="73"/>
      <c r="EMZ119" s="73"/>
      <c r="ENA119" s="73"/>
      <c r="ENB119" s="73"/>
      <c r="ENC119" s="73"/>
      <c r="END119" s="73"/>
      <c r="ENE119" s="73"/>
      <c r="ENF119" s="73"/>
      <c r="ENG119" s="73"/>
      <c r="ENH119" s="73"/>
      <c r="ENI119" s="73"/>
      <c r="ENJ119" s="73"/>
      <c r="ENK119" s="73"/>
      <c r="ENL119" s="73"/>
      <c r="ENM119" s="73"/>
      <c r="ENN119" s="73"/>
      <c r="ENO119" s="73"/>
      <c r="ENP119" s="73"/>
      <c r="ENQ119" s="73"/>
      <c r="ENR119" s="73"/>
      <c r="ENS119" s="73"/>
      <c r="ENT119" s="73"/>
      <c r="ENU119" s="73"/>
      <c r="ENV119" s="73"/>
      <c r="ENW119" s="73"/>
      <c r="ENX119" s="73"/>
      <c r="ENY119" s="73"/>
      <c r="ENZ119" s="73"/>
      <c r="EOA119" s="73"/>
      <c r="EOB119" s="73"/>
      <c r="EOC119" s="73"/>
      <c r="EOD119" s="73"/>
      <c r="EOE119" s="73"/>
      <c r="EOF119" s="73"/>
      <c r="EOG119" s="73"/>
      <c r="EOH119" s="73"/>
      <c r="EOI119" s="73"/>
      <c r="EOJ119" s="73"/>
      <c r="EOK119" s="73"/>
      <c r="EOL119" s="73"/>
      <c r="EOM119" s="73"/>
      <c r="EON119" s="73"/>
      <c r="EOO119" s="73"/>
      <c r="EOP119" s="73"/>
      <c r="EOQ119" s="73"/>
      <c r="EOR119" s="73"/>
      <c r="EOS119" s="73"/>
      <c r="EOT119" s="73"/>
      <c r="EOU119" s="73"/>
      <c r="EOV119" s="73"/>
      <c r="EOW119" s="73"/>
      <c r="EOX119" s="73"/>
      <c r="EOY119" s="73"/>
      <c r="EOZ119" s="73"/>
      <c r="EPA119" s="73"/>
      <c r="EPB119" s="73"/>
      <c r="EPC119" s="73"/>
      <c r="EPD119" s="73"/>
      <c r="EPE119" s="73"/>
      <c r="EPF119" s="73"/>
      <c r="EPG119" s="73"/>
      <c r="EPH119" s="73"/>
      <c r="EPI119" s="73"/>
      <c r="EPJ119" s="73"/>
      <c r="EPK119" s="73"/>
      <c r="EPL119" s="73"/>
      <c r="EPM119" s="73"/>
      <c r="EPN119" s="73"/>
      <c r="EPO119" s="73"/>
      <c r="EPP119" s="73"/>
      <c r="EPQ119" s="73"/>
      <c r="EPR119" s="73"/>
      <c r="EPS119" s="73"/>
      <c r="EPT119" s="73"/>
      <c r="EPU119" s="73"/>
      <c r="EPV119" s="73"/>
      <c r="EPW119" s="73"/>
      <c r="EPX119" s="73"/>
      <c r="EPY119" s="73"/>
      <c r="EPZ119" s="73"/>
      <c r="EQA119" s="73"/>
      <c r="EQB119" s="73"/>
      <c r="EQC119" s="73"/>
      <c r="EQD119" s="73"/>
      <c r="EQE119" s="73"/>
      <c r="EQF119" s="73"/>
      <c r="EQG119" s="73"/>
      <c r="EQH119" s="73"/>
      <c r="EQI119" s="73"/>
      <c r="EQJ119" s="73"/>
      <c r="EQK119" s="73"/>
      <c r="EQL119" s="73"/>
      <c r="EQM119" s="73"/>
      <c r="EQN119" s="73"/>
      <c r="EQO119" s="73"/>
      <c r="EQP119" s="73"/>
      <c r="EQQ119" s="73"/>
      <c r="EQR119" s="73"/>
      <c r="EQS119" s="73"/>
      <c r="EQT119" s="73"/>
      <c r="EQU119" s="73"/>
      <c r="EQV119" s="73"/>
      <c r="EQW119" s="73"/>
      <c r="EQX119" s="73"/>
      <c r="EQY119" s="73"/>
      <c r="EQZ119" s="73"/>
      <c r="ERA119" s="73"/>
      <c r="ERB119" s="73"/>
      <c r="ERC119" s="73"/>
      <c r="ERD119" s="73"/>
      <c r="ERE119" s="73"/>
      <c r="ERF119" s="73"/>
      <c r="ERG119" s="73"/>
      <c r="ERH119" s="73"/>
      <c r="ERI119" s="73"/>
      <c r="ERJ119" s="73"/>
      <c r="ERK119" s="73"/>
      <c r="ERL119" s="73"/>
      <c r="ERM119" s="73"/>
      <c r="ERN119" s="73"/>
      <c r="ERO119" s="73"/>
      <c r="ERP119" s="73"/>
      <c r="ERQ119" s="73"/>
      <c r="ERR119" s="73"/>
      <c r="ERS119" s="73"/>
      <c r="ERT119" s="73"/>
      <c r="ERU119" s="73"/>
      <c r="ERV119" s="73"/>
      <c r="ERW119" s="73"/>
      <c r="ERX119" s="73"/>
      <c r="ERY119" s="73"/>
      <c r="ERZ119" s="73"/>
      <c r="ESA119" s="73"/>
      <c r="ESB119" s="73"/>
      <c r="ESC119" s="73"/>
      <c r="ESD119" s="73"/>
      <c r="ESE119" s="73"/>
      <c r="ESF119" s="73"/>
      <c r="ESG119" s="73"/>
      <c r="ESH119" s="73"/>
      <c r="ESI119" s="73"/>
      <c r="ESJ119" s="73"/>
      <c r="ESK119" s="73"/>
      <c r="ESL119" s="73"/>
      <c r="ESM119" s="73"/>
      <c r="ESN119" s="73"/>
      <c r="ESO119" s="73"/>
      <c r="ESP119" s="73"/>
      <c r="ESQ119" s="73"/>
      <c r="ESR119" s="73"/>
      <c r="ESS119" s="73"/>
      <c r="EST119" s="73"/>
      <c r="ESU119" s="73"/>
      <c r="ESV119" s="73"/>
      <c r="ESW119" s="73"/>
      <c r="ESX119" s="73"/>
      <c r="ESY119" s="73"/>
      <c r="ESZ119" s="73"/>
      <c r="ETA119" s="73"/>
      <c r="ETB119" s="73"/>
      <c r="ETC119" s="73"/>
      <c r="ETD119" s="73"/>
      <c r="ETE119" s="73"/>
      <c r="ETF119" s="73"/>
      <c r="ETG119" s="73"/>
      <c r="ETH119" s="73"/>
      <c r="ETI119" s="73"/>
      <c r="ETJ119" s="73"/>
      <c r="ETK119" s="73"/>
      <c r="ETL119" s="73"/>
      <c r="ETM119" s="73"/>
      <c r="ETN119" s="73"/>
      <c r="ETO119" s="73"/>
      <c r="ETP119" s="73"/>
      <c r="ETQ119" s="73"/>
      <c r="ETR119" s="73"/>
      <c r="ETS119" s="73"/>
      <c r="ETT119" s="73"/>
      <c r="ETU119" s="73"/>
      <c r="ETV119" s="73"/>
      <c r="ETW119" s="73"/>
      <c r="ETX119" s="73"/>
      <c r="ETY119" s="73"/>
      <c r="ETZ119" s="73"/>
      <c r="EUA119" s="73"/>
      <c r="EUB119" s="73"/>
      <c r="EUC119" s="73"/>
      <c r="EUD119" s="73"/>
      <c r="EUE119" s="73"/>
      <c r="EUF119" s="73"/>
      <c r="EUG119" s="73"/>
      <c r="EUH119" s="73"/>
      <c r="EUI119" s="73"/>
      <c r="EUJ119" s="73"/>
      <c r="EUK119" s="73"/>
      <c r="EUL119" s="73"/>
      <c r="EUM119" s="73"/>
      <c r="EUN119" s="73"/>
      <c r="EUO119" s="73"/>
      <c r="EUP119" s="73"/>
      <c r="EUQ119" s="73"/>
      <c r="EUR119" s="73"/>
      <c r="EUS119" s="73"/>
      <c r="EUT119" s="73"/>
      <c r="EUU119" s="73"/>
      <c r="EUV119" s="73"/>
      <c r="EUW119" s="73"/>
      <c r="EUX119" s="73"/>
      <c r="EUY119" s="73"/>
      <c r="EUZ119" s="73"/>
      <c r="EVA119" s="73"/>
      <c r="EVB119" s="73"/>
      <c r="EVC119" s="73"/>
      <c r="EVD119" s="73"/>
      <c r="EVE119" s="73"/>
      <c r="EVF119" s="73"/>
      <c r="EVG119" s="73"/>
      <c r="EVH119" s="73"/>
      <c r="EVI119" s="73"/>
      <c r="EVJ119" s="73"/>
      <c r="EVK119" s="73"/>
      <c r="EVL119" s="73"/>
      <c r="EVM119" s="73"/>
      <c r="EVN119" s="73"/>
      <c r="EVO119" s="73"/>
      <c r="EVP119" s="73"/>
      <c r="EVQ119" s="73"/>
      <c r="EVR119" s="73"/>
      <c r="EVS119" s="73"/>
      <c r="EVT119" s="73"/>
      <c r="EVU119" s="73"/>
      <c r="EVV119" s="73"/>
      <c r="EVW119" s="73"/>
      <c r="EVX119" s="73"/>
      <c r="EVY119" s="73"/>
      <c r="EVZ119" s="73"/>
      <c r="EWA119" s="73"/>
      <c r="EWB119" s="73"/>
      <c r="EWC119" s="73"/>
      <c r="EWD119" s="73"/>
      <c r="EWE119" s="73"/>
      <c r="EWF119" s="73"/>
      <c r="EWG119" s="73"/>
      <c r="EWH119" s="73"/>
      <c r="EWI119" s="73"/>
      <c r="EWJ119" s="73"/>
      <c r="EWK119" s="73"/>
      <c r="EWL119" s="73"/>
      <c r="EWM119" s="73"/>
      <c r="EWN119" s="73"/>
      <c r="EWO119" s="73"/>
      <c r="EWP119" s="73"/>
      <c r="EWQ119" s="73"/>
      <c r="EWR119" s="73"/>
      <c r="EWS119" s="73"/>
      <c r="EWT119" s="73"/>
      <c r="EWU119" s="73"/>
      <c r="EWV119" s="73"/>
      <c r="EWW119" s="73"/>
      <c r="EWX119" s="73"/>
      <c r="EWY119" s="73"/>
      <c r="EWZ119" s="73"/>
      <c r="EXA119" s="73"/>
      <c r="EXB119" s="73"/>
      <c r="EXC119" s="73"/>
      <c r="EXD119" s="73"/>
      <c r="EXE119" s="73"/>
      <c r="EXF119" s="73"/>
      <c r="EXG119" s="73"/>
      <c r="EXH119" s="73"/>
      <c r="EXI119" s="73"/>
      <c r="EXJ119" s="73"/>
      <c r="EXK119" s="73"/>
      <c r="EXL119" s="73"/>
      <c r="EXM119" s="73"/>
      <c r="EXN119" s="73"/>
      <c r="EXO119" s="73"/>
      <c r="EXP119" s="73"/>
      <c r="EXQ119" s="73"/>
      <c r="EXR119" s="73"/>
      <c r="EXS119" s="73"/>
      <c r="EXT119" s="73"/>
      <c r="EXU119" s="73"/>
      <c r="EXV119" s="73"/>
      <c r="EXW119" s="73"/>
      <c r="EXX119" s="73"/>
      <c r="EXY119" s="73"/>
      <c r="EXZ119" s="73"/>
      <c r="EYA119" s="73"/>
      <c r="EYB119" s="73"/>
      <c r="EYC119" s="73"/>
      <c r="EYD119" s="73"/>
      <c r="EYE119" s="73"/>
      <c r="EYF119" s="73"/>
      <c r="EYG119" s="73"/>
      <c r="EYH119" s="73"/>
      <c r="EYI119" s="73"/>
      <c r="EYJ119" s="73"/>
      <c r="EYK119" s="73"/>
      <c r="EYL119" s="73"/>
      <c r="EYM119" s="73"/>
      <c r="EYN119" s="73"/>
      <c r="EYO119" s="73"/>
      <c r="EYP119" s="73"/>
      <c r="EYQ119" s="73"/>
      <c r="EYR119" s="73"/>
      <c r="EYS119" s="73"/>
      <c r="EYT119" s="73"/>
      <c r="EYU119" s="73"/>
      <c r="EYV119" s="73"/>
      <c r="EYW119" s="73"/>
      <c r="EYX119" s="73"/>
      <c r="EYY119" s="73"/>
      <c r="EYZ119" s="73"/>
      <c r="EZA119" s="73"/>
      <c r="EZB119" s="73"/>
      <c r="EZC119" s="73"/>
      <c r="EZD119" s="73"/>
      <c r="EZE119" s="73"/>
      <c r="EZF119" s="73"/>
      <c r="EZG119" s="73"/>
      <c r="EZH119" s="73"/>
      <c r="EZI119" s="73"/>
      <c r="EZJ119" s="73"/>
      <c r="EZK119" s="73"/>
      <c r="EZL119" s="73"/>
      <c r="EZM119" s="73"/>
      <c r="EZN119" s="73"/>
      <c r="EZO119" s="73"/>
      <c r="EZP119" s="73"/>
      <c r="EZQ119" s="73"/>
      <c r="EZR119" s="73"/>
      <c r="EZS119" s="73"/>
      <c r="EZT119" s="73"/>
      <c r="EZU119" s="73"/>
      <c r="EZV119" s="73"/>
      <c r="EZW119" s="73"/>
      <c r="EZX119" s="73"/>
      <c r="EZY119" s="73"/>
      <c r="EZZ119" s="73"/>
      <c r="FAA119" s="73"/>
      <c r="FAB119" s="73"/>
      <c r="FAC119" s="73"/>
      <c r="FAD119" s="73"/>
      <c r="FAE119" s="73"/>
      <c r="FAF119" s="73"/>
      <c r="FAG119" s="73"/>
      <c r="FAH119" s="73"/>
      <c r="FAI119" s="73"/>
      <c r="FAJ119" s="73"/>
      <c r="FAK119" s="73"/>
      <c r="FAL119" s="73"/>
      <c r="FAM119" s="73"/>
      <c r="FAN119" s="73"/>
      <c r="FAO119" s="73"/>
      <c r="FAP119" s="73"/>
      <c r="FAQ119" s="73"/>
      <c r="FAR119" s="73"/>
      <c r="FAS119" s="73"/>
      <c r="FAT119" s="73"/>
      <c r="FAU119" s="73"/>
      <c r="FAV119" s="73"/>
      <c r="FAW119" s="73"/>
      <c r="FAX119" s="73"/>
      <c r="FAY119" s="73"/>
      <c r="FAZ119" s="73"/>
      <c r="FBA119" s="73"/>
      <c r="FBB119" s="73"/>
      <c r="FBC119" s="73"/>
      <c r="FBD119" s="73"/>
      <c r="FBE119" s="73"/>
      <c r="FBF119" s="73"/>
      <c r="FBG119" s="73"/>
      <c r="FBH119" s="73"/>
      <c r="FBI119" s="73"/>
      <c r="FBJ119" s="73"/>
      <c r="FBK119" s="73"/>
      <c r="FBL119" s="73"/>
      <c r="FBM119" s="73"/>
      <c r="FBN119" s="73"/>
      <c r="FBO119" s="73"/>
      <c r="FBP119" s="73"/>
      <c r="FBQ119" s="73"/>
      <c r="FBR119" s="73"/>
      <c r="FBS119" s="73"/>
      <c r="FBT119" s="73"/>
      <c r="FBU119" s="73"/>
      <c r="FBV119" s="73"/>
      <c r="FBW119" s="73"/>
      <c r="FBX119" s="73"/>
      <c r="FBY119" s="73"/>
      <c r="FBZ119" s="73"/>
      <c r="FCA119" s="73"/>
      <c r="FCB119" s="73"/>
      <c r="FCC119" s="73"/>
      <c r="FCD119" s="73"/>
      <c r="FCE119" s="73"/>
      <c r="FCF119" s="73"/>
      <c r="FCG119" s="73"/>
      <c r="FCH119" s="73"/>
      <c r="FCI119" s="73"/>
      <c r="FCJ119" s="73"/>
      <c r="FCK119" s="73"/>
      <c r="FCL119" s="73"/>
      <c r="FCM119" s="73"/>
      <c r="FCN119" s="73"/>
      <c r="FCO119" s="73"/>
      <c r="FCP119" s="73"/>
      <c r="FCQ119" s="73"/>
      <c r="FCR119" s="73"/>
      <c r="FCS119" s="73"/>
      <c r="FCT119" s="73"/>
      <c r="FCU119" s="73"/>
      <c r="FCV119" s="73"/>
      <c r="FCW119" s="73"/>
      <c r="FCX119" s="73"/>
      <c r="FCY119" s="73"/>
      <c r="FCZ119" s="73"/>
      <c r="FDA119" s="73"/>
      <c r="FDB119" s="73"/>
      <c r="FDC119" s="73"/>
      <c r="FDD119" s="73"/>
      <c r="FDE119" s="73"/>
      <c r="FDF119" s="73"/>
      <c r="FDG119" s="73"/>
      <c r="FDH119" s="73"/>
      <c r="FDI119" s="73"/>
      <c r="FDJ119" s="73"/>
      <c r="FDK119" s="73"/>
      <c r="FDL119" s="73"/>
      <c r="FDM119" s="73"/>
      <c r="FDN119" s="73"/>
      <c r="FDO119" s="73"/>
      <c r="FDP119" s="73"/>
      <c r="FDQ119" s="73"/>
      <c r="FDR119" s="73"/>
      <c r="FDS119" s="73"/>
      <c r="FDT119" s="73"/>
      <c r="FDU119" s="73"/>
      <c r="FDV119" s="73"/>
      <c r="FDW119" s="73"/>
      <c r="FDX119" s="73"/>
      <c r="FDY119" s="73"/>
      <c r="FDZ119" s="73"/>
      <c r="FEA119" s="73"/>
      <c r="FEB119" s="73"/>
      <c r="FEC119" s="73"/>
      <c r="FED119" s="73"/>
      <c r="FEE119" s="73"/>
      <c r="FEF119" s="73"/>
      <c r="FEG119" s="73"/>
      <c r="FEH119" s="73"/>
      <c r="FEI119" s="73"/>
      <c r="FEJ119" s="73"/>
      <c r="FEK119" s="73"/>
      <c r="FEL119" s="73"/>
      <c r="FEM119" s="73"/>
      <c r="FEN119" s="73"/>
      <c r="FEO119" s="73"/>
      <c r="FEP119" s="73"/>
      <c r="FEQ119" s="73"/>
      <c r="FER119" s="73"/>
      <c r="FES119" s="73"/>
      <c r="FET119" s="73"/>
      <c r="FEU119" s="73"/>
      <c r="FEV119" s="73"/>
      <c r="FEW119" s="73"/>
      <c r="FEX119" s="73"/>
      <c r="FEY119" s="73"/>
      <c r="FEZ119" s="73"/>
      <c r="FFA119" s="73"/>
      <c r="FFB119" s="73"/>
      <c r="FFC119" s="73"/>
      <c r="FFD119" s="73"/>
      <c r="FFE119" s="73"/>
      <c r="FFF119" s="73"/>
      <c r="FFG119" s="73"/>
      <c r="FFH119" s="73"/>
      <c r="FFI119" s="73"/>
      <c r="FFJ119" s="73"/>
      <c r="FFK119" s="73"/>
      <c r="FFL119" s="73"/>
      <c r="FFM119" s="73"/>
      <c r="FFN119" s="73"/>
      <c r="FFO119" s="73"/>
      <c r="FFP119" s="73"/>
      <c r="FFQ119" s="73"/>
      <c r="FFR119" s="73"/>
      <c r="FFS119" s="73"/>
      <c r="FFT119" s="73"/>
      <c r="FFU119" s="73"/>
      <c r="FFV119" s="73"/>
      <c r="FFW119" s="73"/>
      <c r="FFX119" s="73"/>
      <c r="FFY119" s="73"/>
      <c r="FFZ119" s="73"/>
      <c r="FGA119" s="73"/>
      <c r="FGB119" s="73"/>
      <c r="FGC119" s="73"/>
      <c r="FGD119" s="73"/>
      <c r="FGE119" s="73"/>
      <c r="FGF119" s="73"/>
      <c r="FGG119" s="73"/>
      <c r="FGH119" s="73"/>
      <c r="FGI119" s="73"/>
      <c r="FGJ119" s="73"/>
      <c r="FGK119" s="73"/>
      <c r="FGL119" s="73"/>
      <c r="FGM119" s="73"/>
      <c r="FGN119" s="73"/>
      <c r="FGO119" s="73"/>
      <c r="FGP119" s="73"/>
      <c r="FGQ119" s="73"/>
      <c r="FGR119" s="73"/>
      <c r="FGS119" s="73"/>
      <c r="FGT119" s="73"/>
      <c r="FGU119" s="73"/>
      <c r="FGV119" s="73"/>
      <c r="FGW119" s="73"/>
      <c r="FGX119" s="73"/>
      <c r="FGY119" s="73"/>
      <c r="FGZ119" s="73"/>
      <c r="FHA119" s="73"/>
      <c r="FHB119" s="73"/>
      <c r="FHC119" s="73"/>
      <c r="FHD119" s="73"/>
      <c r="FHE119" s="73"/>
      <c r="FHF119" s="73"/>
      <c r="FHG119" s="73"/>
      <c r="FHH119" s="73"/>
      <c r="FHI119" s="73"/>
      <c r="FHJ119" s="73"/>
      <c r="FHK119" s="73"/>
      <c r="FHL119" s="73"/>
      <c r="FHM119" s="73"/>
      <c r="FHN119" s="73"/>
      <c r="FHO119" s="73"/>
      <c r="FHP119" s="73"/>
      <c r="FHQ119" s="73"/>
      <c r="FHR119" s="73"/>
      <c r="FHS119" s="73"/>
      <c r="FHT119" s="73"/>
      <c r="FHU119" s="73"/>
      <c r="FHV119" s="73"/>
      <c r="FHW119" s="73"/>
      <c r="FHX119" s="73"/>
      <c r="FHY119" s="73"/>
      <c r="FHZ119" s="73"/>
      <c r="FIA119" s="73"/>
      <c r="FIB119" s="73"/>
      <c r="FIC119" s="73"/>
      <c r="FID119" s="73"/>
      <c r="FIE119" s="73"/>
      <c r="FIF119" s="73"/>
      <c r="FIG119" s="73"/>
      <c r="FIH119" s="73"/>
      <c r="FII119" s="73"/>
      <c r="FIJ119" s="73"/>
      <c r="FIK119" s="73"/>
      <c r="FIL119" s="73"/>
      <c r="FIM119" s="73"/>
      <c r="FIN119" s="73"/>
      <c r="FIO119" s="73"/>
      <c r="FIP119" s="73"/>
      <c r="FIQ119" s="73"/>
      <c r="FIR119" s="73"/>
      <c r="FIS119" s="73"/>
      <c r="FIT119" s="73"/>
      <c r="FIU119" s="73"/>
      <c r="FIV119" s="73"/>
      <c r="FIW119" s="73"/>
      <c r="FIX119" s="73"/>
      <c r="FIY119" s="73"/>
      <c r="FIZ119" s="73"/>
      <c r="FJA119" s="73"/>
      <c r="FJB119" s="73"/>
      <c r="FJC119" s="73"/>
      <c r="FJD119" s="73"/>
      <c r="FJE119" s="73"/>
      <c r="FJF119" s="73"/>
      <c r="FJG119" s="73"/>
      <c r="FJH119" s="73"/>
      <c r="FJI119" s="73"/>
      <c r="FJJ119" s="73"/>
      <c r="FJK119" s="73"/>
      <c r="FJL119" s="73"/>
      <c r="FJM119" s="73"/>
      <c r="FJN119" s="73"/>
      <c r="FJO119" s="73"/>
      <c r="FJP119" s="73"/>
      <c r="FJQ119" s="73"/>
      <c r="FJR119" s="73"/>
      <c r="FJS119" s="73"/>
      <c r="FJT119" s="73"/>
      <c r="FJU119" s="73"/>
      <c r="FJV119" s="73"/>
      <c r="FJW119" s="73"/>
      <c r="FJX119" s="73"/>
      <c r="FJY119" s="73"/>
      <c r="FJZ119" s="73"/>
      <c r="FKA119" s="73"/>
      <c r="FKB119" s="73"/>
      <c r="FKC119" s="73"/>
      <c r="FKD119" s="73"/>
      <c r="FKE119" s="73"/>
      <c r="FKF119" s="73"/>
      <c r="FKG119" s="73"/>
      <c r="FKH119" s="73"/>
      <c r="FKI119" s="73"/>
      <c r="FKJ119" s="73"/>
      <c r="FKK119" s="73"/>
      <c r="FKL119" s="73"/>
      <c r="FKM119" s="73"/>
      <c r="FKN119" s="73"/>
      <c r="FKO119" s="73"/>
      <c r="FKP119" s="73"/>
      <c r="FKQ119" s="73"/>
      <c r="FKR119" s="73"/>
      <c r="FKS119" s="73"/>
      <c r="FKT119" s="73"/>
      <c r="FKU119" s="73"/>
      <c r="FKV119" s="73"/>
      <c r="FKW119" s="73"/>
      <c r="FKX119" s="73"/>
      <c r="FKY119" s="73"/>
      <c r="FKZ119" s="73"/>
      <c r="FLA119" s="73"/>
      <c r="FLB119" s="73"/>
      <c r="FLC119" s="73"/>
      <c r="FLD119" s="73"/>
      <c r="FLE119" s="73"/>
      <c r="FLF119" s="73"/>
      <c r="FLG119" s="73"/>
      <c r="FLH119" s="73"/>
      <c r="FLI119" s="73"/>
      <c r="FLJ119" s="73"/>
      <c r="FLK119" s="73"/>
      <c r="FLL119" s="73"/>
      <c r="FLM119" s="73"/>
      <c r="FLN119" s="73"/>
      <c r="FLO119" s="73"/>
      <c r="FLP119" s="73"/>
      <c r="FLQ119" s="73"/>
      <c r="FLR119" s="73"/>
      <c r="FLS119" s="73"/>
      <c r="FLT119" s="73"/>
      <c r="FLU119" s="73"/>
      <c r="FLV119" s="73"/>
      <c r="FLW119" s="73"/>
      <c r="FLX119" s="73"/>
      <c r="FLY119" s="73"/>
      <c r="FLZ119" s="73"/>
      <c r="FMA119" s="73"/>
      <c r="FMB119" s="73"/>
      <c r="FMC119" s="73"/>
      <c r="FMD119" s="73"/>
      <c r="FME119" s="73"/>
      <c r="FMF119" s="73"/>
      <c r="FMG119" s="73"/>
      <c r="FMH119" s="73"/>
      <c r="FMI119" s="73"/>
      <c r="FMJ119" s="73"/>
      <c r="FMK119" s="73"/>
      <c r="FML119" s="73"/>
      <c r="FMM119" s="73"/>
      <c r="FMN119" s="73"/>
      <c r="FMO119" s="73"/>
      <c r="FMP119" s="73"/>
      <c r="FMQ119" s="73"/>
      <c r="FMR119" s="73"/>
      <c r="FMS119" s="73"/>
      <c r="FMT119" s="73"/>
      <c r="FMU119" s="73"/>
      <c r="FMV119" s="73"/>
      <c r="FMW119" s="73"/>
      <c r="FMX119" s="73"/>
      <c r="FMY119" s="73"/>
      <c r="FMZ119" s="73"/>
      <c r="FNA119" s="73"/>
      <c r="FNB119" s="73"/>
      <c r="FNC119" s="73"/>
      <c r="FND119" s="73"/>
      <c r="FNE119" s="73"/>
      <c r="FNF119" s="73"/>
      <c r="FNG119" s="73"/>
      <c r="FNH119" s="73"/>
      <c r="FNI119" s="73"/>
      <c r="FNJ119" s="73"/>
      <c r="FNK119" s="73"/>
      <c r="FNL119" s="73"/>
      <c r="FNM119" s="73"/>
      <c r="FNN119" s="73"/>
      <c r="FNO119" s="73"/>
      <c r="FNP119" s="73"/>
      <c r="FNQ119" s="73"/>
      <c r="FNR119" s="73"/>
      <c r="FNS119" s="73"/>
      <c r="FNT119" s="73"/>
      <c r="FNU119" s="73"/>
      <c r="FNV119" s="73"/>
      <c r="FNW119" s="73"/>
      <c r="FNX119" s="73"/>
      <c r="FNY119" s="73"/>
      <c r="FNZ119" s="73"/>
      <c r="FOA119" s="73"/>
      <c r="FOB119" s="73"/>
      <c r="FOC119" s="73"/>
      <c r="FOD119" s="73"/>
      <c r="FOE119" s="73"/>
      <c r="FOF119" s="73"/>
      <c r="FOG119" s="73"/>
      <c r="FOH119" s="73"/>
      <c r="FOI119" s="73"/>
      <c r="FOJ119" s="73"/>
      <c r="FOK119" s="73"/>
      <c r="FOL119" s="73"/>
      <c r="FOM119" s="73"/>
      <c r="FON119" s="73"/>
      <c r="FOO119" s="73"/>
      <c r="FOP119" s="73"/>
      <c r="FOQ119" s="73"/>
      <c r="FOR119" s="73"/>
      <c r="FOS119" s="73"/>
      <c r="FOT119" s="73"/>
      <c r="FOU119" s="73"/>
      <c r="FOV119" s="73"/>
      <c r="FOW119" s="73"/>
      <c r="FOX119" s="73"/>
      <c r="FOY119" s="73"/>
      <c r="FOZ119" s="73"/>
      <c r="FPA119" s="73"/>
      <c r="FPB119" s="73"/>
      <c r="FPC119" s="73"/>
      <c r="FPD119" s="73"/>
      <c r="FPE119" s="73"/>
      <c r="FPF119" s="73"/>
      <c r="FPG119" s="73"/>
      <c r="FPH119" s="73"/>
      <c r="FPI119" s="73"/>
      <c r="FPJ119" s="73"/>
      <c r="FPK119" s="73"/>
      <c r="FPL119" s="73"/>
      <c r="FPM119" s="73"/>
      <c r="FPN119" s="73"/>
      <c r="FPO119" s="73"/>
      <c r="FPP119" s="73"/>
      <c r="FPQ119" s="73"/>
      <c r="FPR119" s="73"/>
      <c r="FPS119" s="73"/>
      <c r="FPT119" s="73"/>
      <c r="FPU119" s="73"/>
      <c r="FPV119" s="73"/>
      <c r="FPW119" s="73"/>
      <c r="FPX119" s="73"/>
      <c r="FPY119" s="73"/>
      <c r="FPZ119" s="73"/>
      <c r="FQA119" s="73"/>
      <c r="FQB119" s="73"/>
      <c r="FQC119" s="73"/>
      <c r="FQD119" s="73"/>
      <c r="FQE119" s="73"/>
      <c r="FQF119" s="73"/>
      <c r="FQG119" s="73"/>
      <c r="FQH119" s="73"/>
      <c r="FQI119" s="73"/>
      <c r="FQJ119" s="73"/>
      <c r="FQK119" s="73"/>
      <c r="FQL119" s="73"/>
      <c r="FQM119" s="73"/>
      <c r="FQN119" s="73"/>
      <c r="FQO119" s="73"/>
      <c r="FQP119" s="73"/>
      <c r="FQQ119" s="73"/>
      <c r="FQR119" s="73"/>
      <c r="FQS119" s="73"/>
      <c r="FQT119" s="73"/>
      <c r="FQU119" s="73"/>
      <c r="FQV119" s="73"/>
      <c r="FQW119" s="73"/>
      <c r="FQX119" s="73"/>
      <c r="FQY119" s="73"/>
      <c r="FQZ119" s="73"/>
      <c r="FRA119" s="73"/>
      <c r="FRB119" s="73"/>
      <c r="FRC119" s="73"/>
      <c r="FRD119" s="73"/>
      <c r="FRE119" s="73"/>
      <c r="FRF119" s="73"/>
      <c r="FRG119" s="73"/>
      <c r="FRH119" s="73"/>
      <c r="FRI119" s="73"/>
      <c r="FRJ119" s="73"/>
      <c r="FRK119" s="73"/>
      <c r="FRL119" s="73"/>
      <c r="FRM119" s="73"/>
      <c r="FRN119" s="73"/>
      <c r="FRO119" s="73"/>
      <c r="FRP119" s="73"/>
      <c r="FRQ119" s="73"/>
      <c r="FRR119" s="73"/>
      <c r="FRS119" s="73"/>
      <c r="FRT119" s="73"/>
      <c r="FRU119" s="73"/>
      <c r="FRV119" s="73"/>
      <c r="FRW119" s="73"/>
      <c r="FRX119" s="73"/>
      <c r="FRY119" s="73"/>
      <c r="FRZ119" s="73"/>
      <c r="FSA119" s="73"/>
      <c r="FSB119" s="73"/>
      <c r="FSC119" s="73"/>
      <c r="FSD119" s="73"/>
      <c r="FSE119" s="73"/>
      <c r="FSF119" s="73"/>
      <c r="FSG119" s="73"/>
      <c r="FSH119" s="73"/>
      <c r="FSI119" s="73"/>
      <c r="FSJ119" s="73"/>
      <c r="FSK119" s="73"/>
      <c r="FSL119" s="73"/>
      <c r="FSM119" s="73"/>
      <c r="FSN119" s="73"/>
      <c r="FSO119" s="73"/>
      <c r="FSP119" s="73"/>
      <c r="FSQ119" s="73"/>
      <c r="FSR119" s="73"/>
      <c r="FSS119" s="73"/>
      <c r="FST119" s="73"/>
      <c r="FSU119" s="73"/>
      <c r="FSV119" s="73"/>
      <c r="FSW119" s="73"/>
      <c r="FSX119" s="73"/>
      <c r="FSY119" s="73"/>
      <c r="FSZ119" s="73"/>
      <c r="FTA119" s="73"/>
      <c r="FTB119" s="73"/>
      <c r="FTC119" s="73"/>
      <c r="FTD119" s="73"/>
      <c r="FTE119" s="73"/>
      <c r="FTF119" s="73"/>
      <c r="FTG119" s="73"/>
      <c r="FTH119" s="73"/>
      <c r="FTI119" s="73"/>
      <c r="FTJ119" s="73"/>
      <c r="FTK119" s="73"/>
      <c r="FTL119" s="73"/>
      <c r="FTM119" s="73"/>
      <c r="FTN119" s="73"/>
      <c r="FTO119" s="73"/>
      <c r="FTP119" s="73"/>
      <c r="FTQ119" s="73"/>
      <c r="FTR119" s="73"/>
      <c r="FTS119" s="73"/>
      <c r="FTT119" s="73"/>
      <c r="FTU119" s="73"/>
      <c r="FTV119" s="73"/>
      <c r="FTW119" s="73"/>
      <c r="FTX119" s="73"/>
      <c r="FTY119" s="73"/>
      <c r="FTZ119" s="73"/>
      <c r="FUA119" s="73"/>
      <c r="FUB119" s="73"/>
      <c r="FUC119" s="73"/>
      <c r="FUD119" s="73"/>
      <c r="FUE119" s="73"/>
      <c r="FUF119" s="73"/>
      <c r="FUG119" s="73"/>
      <c r="FUH119" s="73"/>
      <c r="FUI119" s="73"/>
      <c r="FUJ119" s="73"/>
      <c r="FUK119" s="73"/>
      <c r="FUL119" s="73"/>
      <c r="FUM119" s="73"/>
      <c r="FUN119" s="73"/>
      <c r="FUO119" s="73"/>
      <c r="FUP119" s="73"/>
      <c r="FUQ119" s="73"/>
      <c r="FUR119" s="73"/>
      <c r="FUS119" s="73"/>
      <c r="FUT119" s="73"/>
      <c r="FUU119" s="73"/>
      <c r="FUV119" s="73"/>
      <c r="FUW119" s="73"/>
      <c r="FUX119" s="73"/>
      <c r="FUY119" s="73"/>
      <c r="FUZ119" s="73"/>
      <c r="FVA119" s="73"/>
      <c r="FVB119" s="73"/>
      <c r="FVC119" s="73"/>
      <c r="FVD119" s="73"/>
      <c r="FVE119" s="73"/>
      <c r="FVF119" s="73"/>
      <c r="FVG119" s="73"/>
      <c r="FVH119" s="73"/>
      <c r="FVI119" s="73"/>
      <c r="FVJ119" s="73"/>
      <c r="FVK119" s="73"/>
      <c r="FVL119" s="73"/>
      <c r="FVM119" s="73"/>
      <c r="FVN119" s="73"/>
      <c r="FVO119" s="73"/>
      <c r="FVP119" s="73"/>
      <c r="FVQ119" s="73"/>
      <c r="FVR119" s="73"/>
      <c r="FVS119" s="73"/>
      <c r="FVT119" s="73"/>
      <c r="FVU119" s="73"/>
      <c r="FVV119" s="73"/>
      <c r="FVW119" s="73"/>
      <c r="FVX119" s="73"/>
      <c r="FVY119" s="73"/>
      <c r="FVZ119" s="73"/>
      <c r="FWA119" s="73"/>
      <c r="FWB119" s="73"/>
      <c r="FWC119" s="73"/>
      <c r="FWD119" s="73"/>
      <c r="FWE119" s="73"/>
      <c r="FWF119" s="73"/>
      <c r="FWG119" s="73"/>
      <c r="FWH119" s="73"/>
      <c r="FWI119" s="73"/>
      <c r="FWJ119" s="73"/>
      <c r="FWK119" s="73"/>
      <c r="FWL119" s="73"/>
      <c r="FWM119" s="73"/>
      <c r="FWN119" s="73"/>
      <c r="FWO119" s="73"/>
      <c r="FWP119" s="73"/>
      <c r="FWQ119" s="73"/>
      <c r="FWR119" s="73"/>
      <c r="FWS119" s="73"/>
      <c r="FWT119" s="73"/>
      <c r="FWU119" s="73"/>
      <c r="FWV119" s="73"/>
      <c r="FWW119" s="73"/>
      <c r="FWX119" s="73"/>
      <c r="FWY119" s="73"/>
      <c r="FWZ119" s="73"/>
      <c r="FXA119" s="73"/>
      <c r="FXB119" s="73"/>
      <c r="FXC119" s="73"/>
      <c r="FXD119" s="73"/>
      <c r="FXE119" s="73"/>
      <c r="FXF119" s="73"/>
      <c r="FXG119" s="73"/>
      <c r="FXH119" s="73"/>
      <c r="FXI119" s="73"/>
      <c r="FXJ119" s="73"/>
      <c r="FXK119" s="73"/>
      <c r="FXL119" s="73"/>
      <c r="FXM119" s="73"/>
      <c r="FXN119" s="73"/>
      <c r="FXO119" s="73"/>
      <c r="FXP119" s="73"/>
      <c r="FXQ119" s="73"/>
      <c r="FXR119" s="73"/>
      <c r="FXS119" s="73"/>
      <c r="FXT119" s="73"/>
      <c r="FXU119" s="73"/>
      <c r="FXV119" s="73"/>
      <c r="FXW119" s="73"/>
      <c r="FXX119" s="73"/>
      <c r="FXY119" s="73"/>
      <c r="FXZ119" s="73"/>
      <c r="FYA119" s="73"/>
      <c r="FYB119" s="73"/>
      <c r="FYC119" s="73"/>
      <c r="FYD119" s="73"/>
      <c r="FYE119" s="73"/>
      <c r="FYF119" s="73"/>
      <c r="FYG119" s="73"/>
      <c r="FYH119" s="73"/>
      <c r="FYI119" s="73"/>
      <c r="FYJ119" s="73"/>
      <c r="FYK119" s="73"/>
      <c r="FYL119" s="73"/>
      <c r="FYM119" s="73"/>
      <c r="FYN119" s="73"/>
      <c r="FYO119" s="73"/>
      <c r="FYP119" s="73"/>
      <c r="FYQ119" s="73"/>
      <c r="FYR119" s="73"/>
      <c r="FYS119" s="73"/>
      <c r="FYT119" s="73"/>
      <c r="FYU119" s="73"/>
      <c r="FYV119" s="73"/>
      <c r="FYW119" s="73"/>
      <c r="FYX119" s="73"/>
      <c r="FYY119" s="73"/>
      <c r="FYZ119" s="73"/>
      <c r="FZA119" s="73"/>
      <c r="FZB119" s="73"/>
      <c r="FZC119" s="73"/>
      <c r="FZD119" s="73"/>
      <c r="FZE119" s="73"/>
      <c r="FZF119" s="73"/>
      <c r="FZG119" s="73"/>
      <c r="FZH119" s="73"/>
      <c r="FZI119" s="73"/>
      <c r="FZJ119" s="73"/>
      <c r="FZK119" s="73"/>
      <c r="FZL119" s="73"/>
      <c r="FZM119" s="73"/>
      <c r="FZN119" s="73"/>
      <c r="FZO119" s="73"/>
      <c r="FZP119" s="73"/>
      <c r="FZQ119" s="73"/>
      <c r="FZR119" s="73"/>
      <c r="FZS119" s="73"/>
      <c r="FZT119" s="73"/>
      <c r="FZU119" s="73"/>
      <c r="FZV119" s="73"/>
      <c r="FZW119" s="73"/>
      <c r="FZX119" s="73"/>
      <c r="FZY119" s="73"/>
      <c r="FZZ119" s="73"/>
      <c r="GAA119" s="73"/>
      <c r="GAB119" s="73"/>
      <c r="GAC119" s="73"/>
      <c r="GAD119" s="73"/>
      <c r="GAE119" s="73"/>
      <c r="GAF119" s="73"/>
      <c r="GAG119" s="73"/>
      <c r="GAH119" s="73"/>
      <c r="GAI119" s="73"/>
      <c r="GAJ119" s="73"/>
      <c r="GAK119" s="73"/>
      <c r="GAL119" s="73"/>
      <c r="GAM119" s="73"/>
      <c r="GAN119" s="73"/>
      <c r="GAO119" s="73"/>
      <c r="GAP119" s="73"/>
      <c r="GAQ119" s="73"/>
      <c r="GAR119" s="73"/>
      <c r="GAS119" s="73"/>
      <c r="GAT119" s="73"/>
      <c r="GAU119" s="73"/>
      <c r="GAV119" s="73"/>
      <c r="GAW119" s="73"/>
      <c r="GAX119" s="73"/>
      <c r="GAY119" s="73"/>
      <c r="GAZ119" s="73"/>
      <c r="GBA119" s="73"/>
      <c r="GBB119" s="73"/>
      <c r="GBC119" s="73"/>
      <c r="GBD119" s="73"/>
      <c r="GBE119" s="73"/>
      <c r="GBF119" s="73"/>
      <c r="GBG119" s="73"/>
      <c r="GBH119" s="73"/>
      <c r="GBI119" s="73"/>
      <c r="GBJ119" s="73"/>
      <c r="GBK119" s="73"/>
      <c r="GBL119" s="73"/>
      <c r="GBM119" s="73"/>
      <c r="GBN119" s="73"/>
      <c r="GBO119" s="73"/>
      <c r="GBP119" s="73"/>
      <c r="GBQ119" s="73"/>
      <c r="GBR119" s="73"/>
      <c r="GBS119" s="73"/>
      <c r="GBT119" s="73"/>
      <c r="GBU119" s="73"/>
      <c r="GBV119" s="73"/>
      <c r="GBW119" s="73"/>
      <c r="GBX119" s="73"/>
      <c r="GBY119" s="73"/>
      <c r="GBZ119" s="73"/>
      <c r="GCA119" s="73"/>
      <c r="GCB119" s="73"/>
      <c r="GCC119" s="73"/>
      <c r="GCD119" s="73"/>
      <c r="GCE119" s="73"/>
      <c r="GCF119" s="73"/>
      <c r="GCG119" s="73"/>
      <c r="GCH119" s="73"/>
      <c r="GCI119" s="73"/>
      <c r="GCJ119" s="73"/>
      <c r="GCK119" s="73"/>
      <c r="GCL119" s="73"/>
      <c r="GCM119" s="73"/>
      <c r="GCN119" s="73"/>
      <c r="GCO119" s="73"/>
      <c r="GCP119" s="73"/>
      <c r="GCQ119" s="73"/>
      <c r="GCR119" s="73"/>
      <c r="GCS119" s="73"/>
      <c r="GCT119" s="73"/>
      <c r="GCU119" s="73"/>
      <c r="GCV119" s="73"/>
      <c r="GCW119" s="73"/>
      <c r="GCX119" s="73"/>
      <c r="GCY119" s="73"/>
      <c r="GCZ119" s="73"/>
      <c r="GDA119" s="73"/>
      <c r="GDB119" s="73"/>
      <c r="GDC119" s="73"/>
      <c r="GDD119" s="73"/>
      <c r="GDE119" s="73"/>
      <c r="GDF119" s="73"/>
      <c r="GDG119" s="73"/>
      <c r="GDH119" s="73"/>
      <c r="GDI119" s="73"/>
      <c r="GDJ119" s="73"/>
      <c r="GDK119" s="73"/>
      <c r="GDL119" s="73"/>
      <c r="GDM119" s="73"/>
      <c r="GDN119" s="73"/>
      <c r="GDO119" s="73"/>
      <c r="GDP119" s="73"/>
      <c r="GDQ119" s="73"/>
      <c r="GDR119" s="73"/>
      <c r="GDS119" s="73"/>
      <c r="GDT119" s="73"/>
      <c r="GDU119" s="73"/>
      <c r="GDV119" s="73"/>
      <c r="GDW119" s="73"/>
      <c r="GDX119" s="73"/>
      <c r="GDY119" s="73"/>
      <c r="GDZ119" s="73"/>
      <c r="GEA119" s="73"/>
      <c r="GEB119" s="73"/>
      <c r="GEC119" s="73"/>
      <c r="GED119" s="73"/>
      <c r="GEE119" s="73"/>
      <c r="GEF119" s="73"/>
      <c r="GEG119" s="73"/>
      <c r="GEH119" s="73"/>
      <c r="GEI119" s="73"/>
      <c r="GEJ119" s="73"/>
      <c r="GEK119" s="73"/>
      <c r="GEL119" s="73"/>
      <c r="GEM119" s="73"/>
      <c r="GEN119" s="73"/>
      <c r="GEO119" s="73"/>
      <c r="GEP119" s="73"/>
      <c r="GEQ119" s="73"/>
      <c r="GER119" s="73"/>
      <c r="GES119" s="73"/>
      <c r="GET119" s="73"/>
      <c r="GEU119" s="73"/>
      <c r="GEV119" s="73"/>
      <c r="GEW119" s="73"/>
      <c r="GEX119" s="73"/>
      <c r="GEY119" s="73"/>
      <c r="GEZ119" s="73"/>
      <c r="GFA119" s="73"/>
      <c r="GFB119" s="73"/>
      <c r="GFC119" s="73"/>
      <c r="GFD119" s="73"/>
      <c r="GFE119" s="73"/>
      <c r="GFF119" s="73"/>
      <c r="GFG119" s="73"/>
      <c r="GFH119" s="73"/>
      <c r="GFI119" s="73"/>
      <c r="GFJ119" s="73"/>
      <c r="GFK119" s="73"/>
      <c r="GFL119" s="73"/>
      <c r="GFM119" s="73"/>
      <c r="GFN119" s="73"/>
      <c r="GFO119" s="73"/>
      <c r="GFP119" s="73"/>
      <c r="GFQ119" s="73"/>
      <c r="GFR119" s="73"/>
      <c r="GFS119" s="73"/>
      <c r="GFT119" s="73"/>
      <c r="GFU119" s="73"/>
      <c r="GFV119" s="73"/>
      <c r="GFW119" s="73"/>
      <c r="GFX119" s="73"/>
      <c r="GFY119" s="73"/>
      <c r="GFZ119" s="73"/>
      <c r="GGA119" s="73"/>
      <c r="GGB119" s="73"/>
      <c r="GGC119" s="73"/>
      <c r="GGD119" s="73"/>
      <c r="GGE119" s="73"/>
      <c r="GGF119" s="73"/>
      <c r="GGG119" s="73"/>
      <c r="GGH119" s="73"/>
      <c r="GGI119" s="73"/>
      <c r="GGJ119" s="73"/>
      <c r="GGK119" s="73"/>
      <c r="GGL119" s="73"/>
      <c r="GGM119" s="73"/>
      <c r="GGN119" s="73"/>
      <c r="GGO119" s="73"/>
      <c r="GGP119" s="73"/>
      <c r="GGQ119" s="73"/>
      <c r="GGR119" s="73"/>
      <c r="GGS119" s="73"/>
      <c r="GGT119" s="73"/>
      <c r="GGU119" s="73"/>
      <c r="GGV119" s="73"/>
      <c r="GGW119" s="73"/>
      <c r="GGX119" s="73"/>
      <c r="GGY119" s="73"/>
      <c r="GGZ119" s="73"/>
      <c r="GHA119" s="73"/>
      <c r="GHB119" s="73"/>
      <c r="GHC119" s="73"/>
      <c r="GHD119" s="73"/>
      <c r="GHE119" s="73"/>
      <c r="GHF119" s="73"/>
      <c r="GHG119" s="73"/>
      <c r="GHH119" s="73"/>
      <c r="GHI119" s="73"/>
      <c r="GHJ119" s="73"/>
      <c r="GHK119" s="73"/>
      <c r="GHL119" s="73"/>
      <c r="GHM119" s="73"/>
      <c r="GHN119" s="73"/>
      <c r="GHO119" s="73"/>
      <c r="GHP119" s="73"/>
      <c r="GHQ119" s="73"/>
      <c r="GHR119" s="73"/>
      <c r="GHS119" s="73"/>
      <c r="GHT119" s="73"/>
      <c r="GHU119" s="73"/>
      <c r="GHV119" s="73"/>
      <c r="GHW119" s="73"/>
      <c r="GHX119" s="73"/>
      <c r="GHY119" s="73"/>
      <c r="GHZ119" s="73"/>
      <c r="GIA119" s="73"/>
      <c r="GIB119" s="73"/>
      <c r="GIC119" s="73"/>
      <c r="GID119" s="73"/>
      <c r="GIE119" s="73"/>
      <c r="GIF119" s="73"/>
      <c r="GIG119" s="73"/>
      <c r="GIH119" s="73"/>
      <c r="GII119" s="73"/>
      <c r="GIJ119" s="73"/>
      <c r="GIK119" s="73"/>
      <c r="GIL119" s="73"/>
      <c r="GIM119" s="73"/>
      <c r="GIN119" s="73"/>
      <c r="GIO119" s="73"/>
      <c r="GIP119" s="73"/>
      <c r="GIQ119" s="73"/>
      <c r="GIR119" s="73"/>
      <c r="GIS119" s="73"/>
      <c r="GIT119" s="73"/>
      <c r="GIU119" s="73"/>
      <c r="GIV119" s="73"/>
      <c r="GIW119" s="73"/>
      <c r="GIX119" s="73"/>
      <c r="GIY119" s="73"/>
      <c r="GIZ119" s="73"/>
      <c r="GJA119" s="73"/>
      <c r="GJB119" s="73"/>
      <c r="GJC119" s="73"/>
      <c r="GJD119" s="73"/>
      <c r="GJE119" s="73"/>
      <c r="GJF119" s="73"/>
      <c r="GJG119" s="73"/>
      <c r="GJH119" s="73"/>
      <c r="GJI119" s="73"/>
      <c r="GJJ119" s="73"/>
      <c r="GJK119" s="73"/>
      <c r="GJL119" s="73"/>
      <c r="GJM119" s="73"/>
      <c r="GJN119" s="73"/>
      <c r="GJO119" s="73"/>
      <c r="GJP119" s="73"/>
      <c r="GJQ119" s="73"/>
      <c r="GJR119" s="73"/>
      <c r="GJS119" s="73"/>
      <c r="GJT119" s="73"/>
      <c r="GJU119" s="73"/>
      <c r="GJV119" s="73"/>
      <c r="GJW119" s="73"/>
      <c r="GJX119" s="73"/>
      <c r="GJY119" s="73"/>
      <c r="GJZ119" s="73"/>
      <c r="GKA119" s="73"/>
      <c r="GKB119" s="73"/>
      <c r="GKC119" s="73"/>
      <c r="GKD119" s="73"/>
      <c r="GKE119" s="73"/>
      <c r="GKF119" s="73"/>
      <c r="GKG119" s="73"/>
      <c r="GKH119" s="73"/>
      <c r="GKI119" s="73"/>
      <c r="GKJ119" s="73"/>
      <c r="GKK119" s="73"/>
      <c r="GKL119" s="73"/>
      <c r="GKM119" s="73"/>
      <c r="GKN119" s="73"/>
      <c r="GKO119" s="73"/>
      <c r="GKP119" s="73"/>
      <c r="GKQ119" s="73"/>
      <c r="GKR119" s="73"/>
      <c r="GKS119" s="73"/>
      <c r="GKT119" s="73"/>
      <c r="GKU119" s="73"/>
      <c r="GKV119" s="73"/>
      <c r="GKW119" s="73"/>
      <c r="GKX119" s="73"/>
      <c r="GKY119" s="73"/>
      <c r="GKZ119" s="73"/>
      <c r="GLA119" s="73"/>
      <c r="GLB119" s="73"/>
      <c r="GLC119" s="73"/>
      <c r="GLD119" s="73"/>
      <c r="GLE119" s="73"/>
      <c r="GLF119" s="73"/>
      <c r="GLG119" s="73"/>
      <c r="GLH119" s="73"/>
      <c r="GLI119" s="73"/>
      <c r="GLJ119" s="73"/>
      <c r="GLK119" s="73"/>
      <c r="GLL119" s="73"/>
      <c r="GLM119" s="73"/>
      <c r="GLN119" s="73"/>
      <c r="GLO119" s="73"/>
      <c r="GLP119" s="73"/>
      <c r="GLQ119" s="73"/>
      <c r="GLR119" s="73"/>
      <c r="GLS119" s="73"/>
      <c r="GLT119" s="73"/>
      <c r="GLU119" s="73"/>
      <c r="GLV119" s="73"/>
      <c r="GLW119" s="73"/>
      <c r="GLX119" s="73"/>
      <c r="GLY119" s="73"/>
      <c r="GLZ119" s="73"/>
      <c r="GMA119" s="73"/>
      <c r="GMB119" s="73"/>
      <c r="GMC119" s="73"/>
      <c r="GMD119" s="73"/>
      <c r="GME119" s="73"/>
      <c r="GMF119" s="73"/>
      <c r="GMG119" s="73"/>
      <c r="GMH119" s="73"/>
      <c r="GMI119" s="73"/>
      <c r="GMJ119" s="73"/>
      <c r="GMK119" s="73"/>
      <c r="GML119" s="73"/>
      <c r="GMM119" s="73"/>
      <c r="GMN119" s="73"/>
      <c r="GMO119" s="73"/>
      <c r="GMP119" s="73"/>
      <c r="GMQ119" s="73"/>
      <c r="GMR119" s="73"/>
      <c r="GMS119" s="73"/>
      <c r="GMT119" s="73"/>
      <c r="GMU119" s="73"/>
      <c r="GMV119" s="73"/>
      <c r="GMW119" s="73"/>
      <c r="GMX119" s="73"/>
      <c r="GMY119" s="73"/>
      <c r="GMZ119" s="73"/>
      <c r="GNA119" s="73"/>
      <c r="GNB119" s="73"/>
      <c r="GNC119" s="73"/>
      <c r="GND119" s="73"/>
      <c r="GNE119" s="73"/>
      <c r="GNF119" s="73"/>
      <c r="GNG119" s="73"/>
      <c r="GNH119" s="73"/>
      <c r="GNI119" s="73"/>
      <c r="GNJ119" s="73"/>
      <c r="GNK119" s="73"/>
      <c r="GNL119" s="73"/>
      <c r="GNM119" s="73"/>
      <c r="GNN119" s="73"/>
      <c r="GNO119" s="73"/>
      <c r="GNP119" s="73"/>
      <c r="GNQ119" s="73"/>
      <c r="GNR119" s="73"/>
      <c r="GNS119" s="73"/>
      <c r="GNT119" s="73"/>
      <c r="GNU119" s="73"/>
      <c r="GNV119" s="73"/>
      <c r="GNW119" s="73"/>
      <c r="GNX119" s="73"/>
      <c r="GNY119" s="73"/>
      <c r="GNZ119" s="73"/>
      <c r="GOA119" s="73"/>
      <c r="GOB119" s="73"/>
      <c r="GOC119" s="73"/>
      <c r="GOD119" s="73"/>
      <c r="GOE119" s="73"/>
      <c r="GOF119" s="73"/>
      <c r="GOG119" s="73"/>
      <c r="GOH119" s="73"/>
      <c r="GOI119" s="73"/>
      <c r="GOJ119" s="73"/>
      <c r="GOK119" s="73"/>
      <c r="GOL119" s="73"/>
      <c r="GOM119" s="73"/>
      <c r="GON119" s="73"/>
      <c r="GOO119" s="73"/>
      <c r="GOP119" s="73"/>
      <c r="GOQ119" s="73"/>
      <c r="GOR119" s="73"/>
      <c r="GOS119" s="73"/>
      <c r="GOT119" s="73"/>
      <c r="GOU119" s="73"/>
      <c r="GOV119" s="73"/>
      <c r="GOW119" s="73"/>
      <c r="GOX119" s="73"/>
      <c r="GOY119" s="73"/>
      <c r="GOZ119" s="73"/>
      <c r="GPA119" s="73"/>
      <c r="GPB119" s="73"/>
      <c r="GPC119" s="73"/>
      <c r="GPD119" s="73"/>
      <c r="GPE119" s="73"/>
      <c r="GPF119" s="73"/>
      <c r="GPG119" s="73"/>
      <c r="GPH119" s="73"/>
      <c r="GPI119" s="73"/>
      <c r="GPJ119" s="73"/>
      <c r="GPK119" s="73"/>
      <c r="GPL119" s="73"/>
      <c r="GPM119" s="73"/>
      <c r="GPN119" s="73"/>
      <c r="GPO119" s="73"/>
      <c r="GPP119" s="73"/>
      <c r="GPQ119" s="73"/>
      <c r="GPR119" s="73"/>
      <c r="GPS119" s="73"/>
      <c r="GPT119" s="73"/>
      <c r="GPU119" s="73"/>
      <c r="GPV119" s="73"/>
      <c r="GPW119" s="73"/>
      <c r="GPX119" s="73"/>
      <c r="GPY119" s="73"/>
      <c r="GPZ119" s="73"/>
      <c r="GQA119" s="73"/>
      <c r="GQB119" s="73"/>
      <c r="GQC119" s="73"/>
      <c r="GQD119" s="73"/>
      <c r="GQE119" s="73"/>
      <c r="GQF119" s="73"/>
      <c r="GQG119" s="73"/>
      <c r="GQH119" s="73"/>
      <c r="GQI119" s="73"/>
      <c r="GQJ119" s="73"/>
      <c r="GQK119" s="73"/>
      <c r="GQL119" s="73"/>
      <c r="GQM119" s="73"/>
      <c r="GQN119" s="73"/>
      <c r="GQO119" s="73"/>
      <c r="GQP119" s="73"/>
      <c r="GQQ119" s="73"/>
      <c r="GQR119" s="73"/>
      <c r="GQS119" s="73"/>
      <c r="GQT119" s="73"/>
      <c r="GQU119" s="73"/>
      <c r="GQV119" s="73"/>
      <c r="GQW119" s="73"/>
      <c r="GQX119" s="73"/>
      <c r="GQY119" s="73"/>
      <c r="GQZ119" s="73"/>
      <c r="GRA119" s="73"/>
      <c r="GRB119" s="73"/>
      <c r="GRC119" s="73"/>
      <c r="GRD119" s="73"/>
      <c r="GRE119" s="73"/>
      <c r="GRF119" s="73"/>
      <c r="GRG119" s="73"/>
      <c r="GRH119" s="73"/>
      <c r="GRI119" s="73"/>
      <c r="GRJ119" s="73"/>
      <c r="GRK119" s="73"/>
      <c r="GRL119" s="73"/>
      <c r="GRM119" s="73"/>
      <c r="GRN119" s="73"/>
      <c r="GRO119" s="73"/>
      <c r="GRP119" s="73"/>
      <c r="GRQ119" s="73"/>
      <c r="GRR119" s="73"/>
      <c r="GRS119" s="73"/>
      <c r="GRT119" s="73"/>
      <c r="GRU119" s="73"/>
      <c r="GRV119" s="73"/>
      <c r="GRW119" s="73"/>
      <c r="GRX119" s="73"/>
      <c r="GRY119" s="73"/>
      <c r="GRZ119" s="73"/>
      <c r="GSA119" s="73"/>
      <c r="GSB119" s="73"/>
      <c r="GSC119" s="73"/>
      <c r="GSD119" s="73"/>
      <c r="GSE119" s="73"/>
      <c r="GSF119" s="73"/>
      <c r="GSG119" s="73"/>
      <c r="GSH119" s="73"/>
      <c r="GSI119" s="73"/>
      <c r="GSJ119" s="73"/>
      <c r="GSK119" s="73"/>
      <c r="GSL119" s="73"/>
      <c r="GSM119" s="73"/>
      <c r="GSN119" s="73"/>
      <c r="GSO119" s="73"/>
      <c r="GSP119" s="73"/>
      <c r="GSQ119" s="73"/>
      <c r="GSR119" s="73"/>
      <c r="GSS119" s="73"/>
      <c r="GST119" s="73"/>
      <c r="GSU119" s="73"/>
      <c r="GSV119" s="73"/>
      <c r="GSW119" s="73"/>
      <c r="GSX119" s="73"/>
      <c r="GSY119" s="73"/>
      <c r="GSZ119" s="73"/>
      <c r="GTA119" s="73"/>
      <c r="GTB119" s="73"/>
      <c r="GTC119" s="73"/>
      <c r="GTD119" s="73"/>
      <c r="GTE119" s="73"/>
      <c r="GTF119" s="73"/>
      <c r="GTG119" s="73"/>
      <c r="GTH119" s="73"/>
      <c r="GTI119" s="73"/>
      <c r="GTJ119" s="73"/>
      <c r="GTK119" s="73"/>
      <c r="GTL119" s="73"/>
      <c r="GTM119" s="73"/>
      <c r="GTN119" s="73"/>
      <c r="GTO119" s="73"/>
      <c r="GTP119" s="73"/>
      <c r="GTQ119" s="73"/>
      <c r="GTR119" s="73"/>
      <c r="GTS119" s="73"/>
      <c r="GTT119" s="73"/>
      <c r="GTU119" s="73"/>
      <c r="GTV119" s="73"/>
      <c r="GTW119" s="73"/>
      <c r="GTX119" s="73"/>
      <c r="GTY119" s="73"/>
      <c r="GTZ119" s="73"/>
      <c r="GUA119" s="73"/>
      <c r="GUB119" s="73"/>
      <c r="GUC119" s="73"/>
      <c r="GUD119" s="73"/>
      <c r="GUE119" s="73"/>
      <c r="GUF119" s="73"/>
      <c r="GUG119" s="73"/>
      <c r="GUH119" s="73"/>
      <c r="GUI119" s="73"/>
      <c r="GUJ119" s="73"/>
      <c r="GUK119" s="73"/>
      <c r="GUL119" s="73"/>
      <c r="GUM119" s="73"/>
      <c r="GUN119" s="73"/>
      <c r="GUO119" s="73"/>
      <c r="GUP119" s="73"/>
      <c r="GUQ119" s="73"/>
      <c r="GUR119" s="73"/>
      <c r="GUS119" s="73"/>
      <c r="GUT119" s="73"/>
      <c r="GUU119" s="73"/>
      <c r="GUV119" s="73"/>
      <c r="GUW119" s="73"/>
      <c r="GUX119" s="73"/>
      <c r="GUY119" s="73"/>
      <c r="GUZ119" s="73"/>
      <c r="GVA119" s="73"/>
      <c r="GVB119" s="73"/>
      <c r="GVC119" s="73"/>
      <c r="GVD119" s="73"/>
      <c r="GVE119" s="73"/>
      <c r="GVF119" s="73"/>
      <c r="GVG119" s="73"/>
      <c r="GVH119" s="73"/>
      <c r="GVI119" s="73"/>
      <c r="GVJ119" s="73"/>
      <c r="GVK119" s="73"/>
      <c r="GVL119" s="73"/>
      <c r="GVM119" s="73"/>
      <c r="GVN119" s="73"/>
      <c r="GVO119" s="73"/>
      <c r="GVP119" s="73"/>
      <c r="GVQ119" s="73"/>
      <c r="GVR119" s="73"/>
      <c r="GVS119" s="73"/>
      <c r="GVT119" s="73"/>
      <c r="GVU119" s="73"/>
      <c r="GVV119" s="73"/>
      <c r="GVW119" s="73"/>
      <c r="GVX119" s="73"/>
      <c r="GVY119" s="73"/>
      <c r="GVZ119" s="73"/>
      <c r="GWA119" s="73"/>
      <c r="GWB119" s="73"/>
      <c r="GWC119" s="73"/>
      <c r="GWD119" s="73"/>
      <c r="GWE119" s="73"/>
      <c r="GWF119" s="73"/>
      <c r="GWG119" s="73"/>
      <c r="GWH119" s="73"/>
      <c r="GWI119" s="73"/>
      <c r="GWJ119" s="73"/>
      <c r="GWK119" s="73"/>
      <c r="GWL119" s="73"/>
      <c r="GWM119" s="73"/>
      <c r="GWN119" s="73"/>
      <c r="GWO119" s="73"/>
      <c r="GWP119" s="73"/>
      <c r="GWQ119" s="73"/>
      <c r="GWR119" s="73"/>
      <c r="GWS119" s="73"/>
      <c r="GWT119" s="73"/>
      <c r="GWU119" s="73"/>
      <c r="GWV119" s="73"/>
      <c r="GWW119" s="73"/>
      <c r="GWX119" s="73"/>
      <c r="GWY119" s="73"/>
      <c r="GWZ119" s="73"/>
      <c r="GXA119" s="73"/>
      <c r="GXB119" s="73"/>
      <c r="GXC119" s="73"/>
      <c r="GXD119" s="73"/>
      <c r="GXE119" s="73"/>
      <c r="GXF119" s="73"/>
      <c r="GXG119" s="73"/>
      <c r="GXH119" s="73"/>
      <c r="GXI119" s="73"/>
      <c r="GXJ119" s="73"/>
      <c r="GXK119" s="73"/>
      <c r="GXL119" s="73"/>
      <c r="GXM119" s="73"/>
      <c r="GXN119" s="73"/>
      <c r="GXO119" s="73"/>
      <c r="GXP119" s="73"/>
      <c r="GXQ119" s="73"/>
      <c r="GXR119" s="73"/>
      <c r="GXS119" s="73"/>
      <c r="GXT119" s="73"/>
      <c r="GXU119" s="73"/>
      <c r="GXV119" s="73"/>
      <c r="GXW119" s="73"/>
      <c r="GXX119" s="73"/>
      <c r="GXY119" s="73"/>
      <c r="GXZ119" s="73"/>
      <c r="GYA119" s="73"/>
      <c r="GYB119" s="73"/>
      <c r="GYC119" s="73"/>
      <c r="GYD119" s="73"/>
      <c r="GYE119" s="73"/>
      <c r="GYF119" s="73"/>
      <c r="GYG119" s="73"/>
      <c r="GYH119" s="73"/>
      <c r="GYI119" s="73"/>
      <c r="GYJ119" s="73"/>
      <c r="GYK119" s="73"/>
      <c r="GYL119" s="73"/>
      <c r="GYM119" s="73"/>
      <c r="GYN119" s="73"/>
      <c r="GYO119" s="73"/>
      <c r="GYP119" s="73"/>
      <c r="GYQ119" s="73"/>
      <c r="GYR119" s="73"/>
      <c r="GYS119" s="73"/>
      <c r="GYT119" s="73"/>
      <c r="GYU119" s="73"/>
      <c r="GYV119" s="73"/>
      <c r="GYW119" s="73"/>
      <c r="GYX119" s="73"/>
      <c r="GYY119" s="73"/>
      <c r="GYZ119" s="73"/>
      <c r="GZA119" s="73"/>
      <c r="GZB119" s="73"/>
      <c r="GZC119" s="73"/>
      <c r="GZD119" s="73"/>
      <c r="GZE119" s="73"/>
      <c r="GZF119" s="73"/>
      <c r="GZG119" s="73"/>
      <c r="GZH119" s="73"/>
      <c r="GZI119" s="73"/>
      <c r="GZJ119" s="73"/>
      <c r="GZK119" s="73"/>
      <c r="GZL119" s="73"/>
      <c r="GZM119" s="73"/>
      <c r="GZN119" s="73"/>
      <c r="GZO119" s="73"/>
      <c r="GZP119" s="73"/>
      <c r="GZQ119" s="73"/>
      <c r="GZR119" s="73"/>
      <c r="GZS119" s="73"/>
      <c r="GZT119" s="73"/>
      <c r="GZU119" s="73"/>
      <c r="GZV119" s="73"/>
      <c r="GZW119" s="73"/>
      <c r="GZX119" s="73"/>
      <c r="GZY119" s="73"/>
      <c r="GZZ119" s="73"/>
      <c r="HAA119" s="73"/>
      <c r="HAB119" s="73"/>
      <c r="HAC119" s="73"/>
      <c r="HAD119" s="73"/>
      <c r="HAE119" s="73"/>
      <c r="HAF119" s="73"/>
      <c r="HAG119" s="73"/>
      <c r="HAH119" s="73"/>
      <c r="HAI119" s="73"/>
      <c r="HAJ119" s="73"/>
      <c r="HAK119" s="73"/>
      <c r="HAL119" s="73"/>
      <c r="HAM119" s="73"/>
      <c r="HAN119" s="73"/>
      <c r="HAO119" s="73"/>
      <c r="HAP119" s="73"/>
      <c r="HAQ119" s="73"/>
      <c r="HAR119" s="73"/>
      <c r="HAS119" s="73"/>
      <c r="HAT119" s="73"/>
      <c r="HAU119" s="73"/>
      <c r="HAV119" s="73"/>
      <c r="HAW119" s="73"/>
      <c r="HAX119" s="73"/>
      <c r="HAY119" s="73"/>
      <c r="HAZ119" s="73"/>
      <c r="HBA119" s="73"/>
      <c r="HBB119" s="73"/>
      <c r="HBC119" s="73"/>
      <c r="HBD119" s="73"/>
      <c r="HBE119" s="73"/>
      <c r="HBF119" s="73"/>
      <c r="HBG119" s="73"/>
      <c r="HBH119" s="73"/>
      <c r="HBI119" s="73"/>
      <c r="HBJ119" s="73"/>
      <c r="HBK119" s="73"/>
      <c r="HBL119" s="73"/>
      <c r="HBM119" s="73"/>
      <c r="HBN119" s="73"/>
      <c r="HBO119" s="73"/>
      <c r="HBP119" s="73"/>
      <c r="HBQ119" s="73"/>
      <c r="HBR119" s="73"/>
      <c r="HBS119" s="73"/>
      <c r="HBT119" s="73"/>
      <c r="HBU119" s="73"/>
      <c r="HBV119" s="73"/>
      <c r="HBW119" s="73"/>
      <c r="HBX119" s="73"/>
      <c r="HBY119" s="73"/>
      <c r="HBZ119" s="73"/>
      <c r="HCA119" s="73"/>
      <c r="HCB119" s="73"/>
      <c r="HCC119" s="73"/>
      <c r="HCD119" s="73"/>
      <c r="HCE119" s="73"/>
      <c r="HCF119" s="73"/>
      <c r="HCG119" s="73"/>
      <c r="HCH119" s="73"/>
      <c r="HCI119" s="73"/>
      <c r="HCJ119" s="73"/>
      <c r="HCK119" s="73"/>
      <c r="HCL119" s="73"/>
      <c r="HCM119" s="73"/>
      <c r="HCN119" s="73"/>
      <c r="HCO119" s="73"/>
      <c r="HCP119" s="73"/>
      <c r="HCQ119" s="73"/>
      <c r="HCR119" s="73"/>
      <c r="HCS119" s="73"/>
      <c r="HCT119" s="73"/>
      <c r="HCU119" s="73"/>
      <c r="HCV119" s="73"/>
      <c r="HCW119" s="73"/>
      <c r="HCX119" s="73"/>
      <c r="HCY119" s="73"/>
      <c r="HCZ119" s="73"/>
      <c r="HDA119" s="73"/>
      <c r="HDB119" s="73"/>
      <c r="HDC119" s="73"/>
      <c r="HDD119" s="73"/>
      <c r="HDE119" s="73"/>
      <c r="HDF119" s="73"/>
      <c r="HDG119" s="73"/>
      <c r="HDH119" s="73"/>
      <c r="HDI119" s="73"/>
      <c r="HDJ119" s="73"/>
      <c r="HDK119" s="73"/>
      <c r="HDL119" s="73"/>
      <c r="HDM119" s="73"/>
      <c r="HDN119" s="73"/>
      <c r="HDO119" s="73"/>
      <c r="HDP119" s="73"/>
      <c r="HDQ119" s="73"/>
      <c r="HDR119" s="73"/>
      <c r="HDS119" s="73"/>
      <c r="HDT119" s="73"/>
      <c r="HDU119" s="73"/>
      <c r="HDV119" s="73"/>
      <c r="HDW119" s="73"/>
      <c r="HDX119" s="73"/>
      <c r="HDY119" s="73"/>
      <c r="HDZ119" s="73"/>
      <c r="HEA119" s="73"/>
      <c r="HEB119" s="73"/>
      <c r="HEC119" s="73"/>
      <c r="HED119" s="73"/>
      <c r="HEE119" s="73"/>
      <c r="HEF119" s="73"/>
      <c r="HEG119" s="73"/>
      <c r="HEH119" s="73"/>
      <c r="HEI119" s="73"/>
      <c r="HEJ119" s="73"/>
      <c r="HEK119" s="73"/>
      <c r="HEL119" s="73"/>
      <c r="HEM119" s="73"/>
      <c r="HEN119" s="73"/>
      <c r="HEO119" s="73"/>
      <c r="HEP119" s="73"/>
      <c r="HEQ119" s="73"/>
      <c r="HER119" s="73"/>
      <c r="HES119" s="73"/>
      <c r="HET119" s="73"/>
      <c r="HEU119" s="73"/>
      <c r="HEV119" s="73"/>
      <c r="HEW119" s="73"/>
      <c r="HEX119" s="73"/>
      <c r="HEY119" s="73"/>
      <c r="HEZ119" s="73"/>
      <c r="HFA119" s="73"/>
      <c r="HFB119" s="73"/>
      <c r="HFC119" s="73"/>
      <c r="HFD119" s="73"/>
      <c r="HFE119" s="73"/>
      <c r="HFF119" s="73"/>
      <c r="HFG119" s="73"/>
      <c r="HFH119" s="73"/>
      <c r="HFI119" s="73"/>
      <c r="HFJ119" s="73"/>
      <c r="HFK119" s="73"/>
      <c r="HFL119" s="73"/>
      <c r="HFM119" s="73"/>
      <c r="HFN119" s="73"/>
      <c r="HFO119" s="73"/>
      <c r="HFP119" s="73"/>
      <c r="HFQ119" s="73"/>
      <c r="HFR119" s="73"/>
      <c r="HFS119" s="73"/>
      <c r="HFT119" s="73"/>
      <c r="HFU119" s="73"/>
      <c r="HFV119" s="73"/>
      <c r="HFW119" s="73"/>
      <c r="HFX119" s="73"/>
      <c r="HFY119" s="73"/>
      <c r="HFZ119" s="73"/>
      <c r="HGA119" s="73"/>
      <c r="HGB119" s="73"/>
      <c r="HGC119" s="73"/>
      <c r="HGD119" s="73"/>
      <c r="HGE119" s="73"/>
      <c r="HGF119" s="73"/>
      <c r="HGG119" s="73"/>
      <c r="HGH119" s="73"/>
      <c r="HGI119" s="73"/>
      <c r="HGJ119" s="73"/>
      <c r="HGK119" s="73"/>
      <c r="HGL119" s="73"/>
      <c r="HGM119" s="73"/>
      <c r="HGN119" s="73"/>
      <c r="HGO119" s="73"/>
      <c r="HGP119" s="73"/>
      <c r="HGQ119" s="73"/>
      <c r="HGR119" s="73"/>
      <c r="HGS119" s="73"/>
      <c r="HGT119" s="73"/>
      <c r="HGU119" s="73"/>
      <c r="HGV119" s="73"/>
      <c r="HGW119" s="73"/>
      <c r="HGX119" s="73"/>
      <c r="HGY119" s="73"/>
      <c r="HGZ119" s="73"/>
      <c r="HHA119" s="73"/>
      <c r="HHB119" s="73"/>
      <c r="HHC119" s="73"/>
      <c r="HHD119" s="73"/>
      <c r="HHE119" s="73"/>
      <c r="HHF119" s="73"/>
      <c r="HHG119" s="73"/>
      <c r="HHH119" s="73"/>
      <c r="HHI119" s="73"/>
      <c r="HHJ119" s="73"/>
      <c r="HHK119" s="73"/>
      <c r="HHL119" s="73"/>
      <c r="HHM119" s="73"/>
      <c r="HHN119" s="73"/>
      <c r="HHO119" s="73"/>
      <c r="HHP119" s="73"/>
      <c r="HHQ119" s="73"/>
      <c r="HHR119" s="73"/>
      <c r="HHS119" s="73"/>
      <c r="HHT119" s="73"/>
      <c r="HHU119" s="73"/>
      <c r="HHV119" s="73"/>
      <c r="HHW119" s="73"/>
      <c r="HHX119" s="73"/>
      <c r="HHY119" s="73"/>
      <c r="HHZ119" s="73"/>
      <c r="HIA119" s="73"/>
      <c r="HIB119" s="73"/>
      <c r="HIC119" s="73"/>
      <c r="HID119" s="73"/>
      <c r="HIE119" s="73"/>
      <c r="HIF119" s="73"/>
      <c r="HIG119" s="73"/>
      <c r="HIH119" s="73"/>
      <c r="HII119" s="73"/>
      <c r="HIJ119" s="73"/>
      <c r="HIK119" s="73"/>
      <c r="HIL119" s="73"/>
      <c r="HIM119" s="73"/>
      <c r="HIN119" s="73"/>
      <c r="HIO119" s="73"/>
      <c r="HIP119" s="73"/>
      <c r="HIQ119" s="73"/>
      <c r="HIR119" s="73"/>
      <c r="HIS119" s="73"/>
      <c r="HIT119" s="73"/>
      <c r="HIU119" s="73"/>
      <c r="HIV119" s="73"/>
      <c r="HIW119" s="73"/>
      <c r="HIX119" s="73"/>
      <c r="HIY119" s="73"/>
      <c r="HIZ119" s="73"/>
      <c r="HJA119" s="73"/>
      <c r="HJB119" s="73"/>
      <c r="HJC119" s="73"/>
      <c r="HJD119" s="73"/>
      <c r="HJE119" s="73"/>
      <c r="HJF119" s="73"/>
      <c r="HJG119" s="73"/>
      <c r="HJH119" s="73"/>
      <c r="HJI119" s="73"/>
      <c r="HJJ119" s="73"/>
      <c r="HJK119" s="73"/>
      <c r="HJL119" s="73"/>
      <c r="HJM119" s="73"/>
      <c r="HJN119" s="73"/>
      <c r="HJO119" s="73"/>
      <c r="HJP119" s="73"/>
      <c r="HJQ119" s="73"/>
      <c r="HJR119" s="73"/>
      <c r="HJS119" s="73"/>
      <c r="HJT119" s="73"/>
      <c r="HJU119" s="73"/>
      <c r="HJV119" s="73"/>
      <c r="HJW119" s="73"/>
      <c r="HJX119" s="73"/>
      <c r="HJY119" s="73"/>
      <c r="HJZ119" s="73"/>
      <c r="HKA119" s="73"/>
      <c r="HKB119" s="73"/>
      <c r="HKC119" s="73"/>
      <c r="HKD119" s="73"/>
      <c r="HKE119" s="73"/>
      <c r="HKF119" s="73"/>
      <c r="HKG119" s="73"/>
      <c r="HKH119" s="73"/>
      <c r="HKI119" s="73"/>
      <c r="HKJ119" s="73"/>
      <c r="HKK119" s="73"/>
      <c r="HKL119" s="73"/>
      <c r="HKM119" s="73"/>
      <c r="HKN119" s="73"/>
      <c r="HKO119" s="73"/>
      <c r="HKP119" s="73"/>
      <c r="HKQ119" s="73"/>
      <c r="HKR119" s="73"/>
      <c r="HKS119" s="73"/>
      <c r="HKT119" s="73"/>
      <c r="HKU119" s="73"/>
      <c r="HKV119" s="73"/>
      <c r="HKW119" s="73"/>
      <c r="HKX119" s="73"/>
      <c r="HKY119" s="73"/>
      <c r="HKZ119" s="73"/>
      <c r="HLA119" s="73"/>
      <c r="HLB119" s="73"/>
      <c r="HLC119" s="73"/>
      <c r="HLD119" s="73"/>
      <c r="HLE119" s="73"/>
      <c r="HLF119" s="73"/>
      <c r="HLG119" s="73"/>
      <c r="HLH119" s="73"/>
      <c r="HLI119" s="73"/>
      <c r="HLJ119" s="73"/>
      <c r="HLK119" s="73"/>
      <c r="HLL119" s="73"/>
      <c r="HLM119" s="73"/>
      <c r="HLN119" s="73"/>
      <c r="HLO119" s="73"/>
      <c r="HLP119" s="73"/>
      <c r="HLQ119" s="73"/>
      <c r="HLR119" s="73"/>
      <c r="HLS119" s="73"/>
      <c r="HLT119" s="73"/>
      <c r="HLU119" s="73"/>
      <c r="HLV119" s="73"/>
      <c r="HLW119" s="73"/>
      <c r="HLX119" s="73"/>
      <c r="HLY119" s="73"/>
      <c r="HLZ119" s="73"/>
      <c r="HMA119" s="73"/>
      <c r="HMB119" s="73"/>
      <c r="HMC119" s="73"/>
      <c r="HMD119" s="73"/>
      <c r="HME119" s="73"/>
      <c r="HMF119" s="73"/>
      <c r="HMG119" s="73"/>
      <c r="HMH119" s="73"/>
      <c r="HMI119" s="73"/>
      <c r="HMJ119" s="73"/>
      <c r="HMK119" s="73"/>
      <c r="HML119" s="73"/>
      <c r="HMM119" s="73"/>
      <c r="HMN119" s="73"/>
      <c r="HMO119" s="73"/>
      <c r="HMP119" s="73"/>
      <c r="HMQ119" s="73"/>
      <c r="HMR119" s="73"/>
      <c r="HMS119" s="73"/>
      <c r="HMT119" s="73"/>
      <c r="HMU119" s="73"/>
      <c r="HMV119" s="73"/>
      <c r="HMW119" s="73"/>
      <c r="HMX119" s="73"/>
      <c r="HMY119" s="73"/>
      <c r="HMZ119" s="73"/>
      <c r="HNA119" s="73"/>
      <c r="HNB119" s="73"/>
      <c r="HNC119" s="73"/>
      <c r="HND119" s="73"/>
      <c r="HNE119" s="73"/>
      <c r="HNF119" s="73"/>
      <c r="HNG119" s="73"/>
      <c r="HNH119" s="73"/>
      <c r="HNI119" s="73"/>
      <c r="HNJ119" s="73"/>
      <c r="HNK119" s="73"/>
      <c r="HNL119" s="73"/>
      <c r="HNM119" s="73"/>
      <c r="HNN119" s="73"/>
      <c r="HNO119" s="73"/>
      <c r="HNP119" s="73"/>
      <c r="HNQ119" s="73"/>
      <c r="HNR119" s="73"/>
      <c r="HNS119" s="73"/>
      <c r="HNT119" s="73"/>
      <c r="HNU119" s="73"/>
      <c r="HNV119" s="73"/>
      <c r="HNW119" s="73"/>
      <c r="HNX119" s="73"/>
      <c r="HNY119" s="73"/>
      <c r="HNZ119" s="73"/>
      <c r="HOA119" s="73"/>
      <c r="HOB119" s="73"/>
      <c r="HOC119" s="73"/>
      <c r="HOD119" s="73"/>
      <c r="HOE119" s="73"/>
      <c r="HOF119" s="73"/>
      <c r="HOG119" s="73"/>
      <c r="HOH119" s="73"/>
      <c r="HOI119" s="73"/>
      <c r="HOJ119" s="73"/>
      <c r="HOK119" s="73"/>
      <c r="HOL119" s="73"/>
      <c r="HOM119" s="73"/>
      <c r="HON119" s="73"/>
      <c r="HOO119" s="73"/>
      <c r="HOP119" s="73"/>
      <c r="HOQ119" s="73"/>
      <c r="HOR119" s="73"/>
      <c r="HOS119" s="73"/>
      <c r="HOT119" s="73"/>
      <c r="HOU119" s="73"/>
      <c r="HOV119" s="73"/>
      <c r="HOW119" s="73"/>
      <c r="HOX119" s="73"/>
      <c r="HOY119" s="73"/>
      <c r="HOZ119" s="73"/>
      <c r="HPA119" s="73"/>
      <c r="HPB119" s="73"/>
      <c r="HPC119" s="73"/>
      <c r="HPD119" s="73"/>
      <c r="HPE119" s="73"/>
      <c r="HPF119" s="73"/>
      <c r="HPG119" s="73"/>
      <c r="HPH119" s="73"/>
      <c r="HPI119" s="73"/>
      <c r="HPJ119" s="73"/>
      <c r="HPK119" s="73"/>
      <c r="HPL119" s="73"/>
      <c r="HPM119" s="73"/>
      <c r="HPN119" s="73"/>
      <c r="HPO119" s="73"/>
      <c r="HPP119" s="73"/>
      <c r="HPQ119" s="73"/>
      <c r="HPR119" s="73"/>
      <c r="HPS119" s="73"/>
      <c r="HPT119" s="73"/>
      <c r="HPU119" s="73"/>
      <c r="HPV119" s="73"/>
      <c r="HPW119" s="73"/>
      <c r="HPX119" s="73"/>
      <c r="HPY119" s="73"/>
      <c r="HPZ119" s="73"/>
      <c r="HQA119" s="73"/>
      <c r="HQB119" s="73"/>
      <c r="HQC119" s="73"/>
      <c r="HQD119" s="73"/>
      <c r="HQE119" s="73"/>
      <c r="HQF119" s="73"/>
      <c r="HQG119" s="73"/>
      <c r="HQH119" s="73"/>
      <c r="HQI119" s="73"/>
      <c r="HQJ119" s="73"/>
      <c r="HQK119" s="73"/>
      <c r="HQL119" s="73"/>
      <c r="HQM119" s="73"/>
      <c r="HQN119" s="73"/>
      <c r="HQO119" s="73"/>
      <c r="HQP119" s="73"/>
      <c r="HQQ119" s="73"/>
      <c r="HQR119" s="73"/>
      <c r="HQS119" s="73"/>
      <c r="HQT119" s="73"/>
      <c r="HQU119" s="73"/>
      <c r="HQV119" s="73"/>
      <c r="HQW119" s="73"/>
      <c r="HQX119" s="73"/>
      <c r="HQY119" s="73"/>
      <c r="HQZ119" s="73"/>
      <c r="HRA119" s="73"/>
      <c r="HRB119" s="73"/>
      <c r="HRC119" s="73"/>
      <c r="HRD119" s="73"/>
      <c r="HRE119" s="73"/>
      <c r="HRF119" s="73"/>
      <c r="HRG119" s="73"/>
      <c r="HRH119" s="73"/>
      <c r="HRI119" s="73"/>
      <c r="HRJ119" s="73"/>
      <c r="HRK119" s="73"/>
      <c r="HRL119" s="73"/>
      <c r="HRM119" s="73"/>
      <c r="HRN119" s="73"/>
      <c r="HRO119" s="73"/>
      <c r="HRP119" s="73"/>
      <c r="HRQ119" s="73"/>
      <c r="HRR119" s="73"/>
      <c r="HRS119" s="73"/>
      <c r="HRT119" s="73"/>
      <c r="HRU119" s="73"/>
      <c r="HRV119" s="73"/>
      <c r="HRW119" s="73"/>
      <c r="HRX119" s="73"/>
      <c r="HRY119" s="73"/>
      <c r="HRZ119" s="73"/>
      <c r="HSA119" s="73"/>
      <c r="HSB119" s="73"/>
      <c r="HSC119" s="73"/>
      <c r="HSD119" s="73"/>
      <c r="HSE119" s="73"/>
      <c r="HSF119" s="73"/>
      <c r="HSG119" s="73"/>
      <c r="HSH119" s="73"/>
      <c r="HSI119" s="73"/>
      <c r="HSJ119" s="73"/>
      <c r="HSK119" s="73"/>
      <c r="HSL119" s="73"/>
      <c r="HSM119" s="73"/>
      <c r="HSN119" s="73"/>
      <c r="HSO119" s="73"/>
      <c r="HSP119" s="73"/>
      <c r="HSQ119" s="73"/>
      <c r="HSR119" s="73"/>
      <c r="HSS119" s="73"/>
      <c r="HST119" s="73"/>
      <c r="HSU119" s="73"/>
      <c r="HSV119" s="73"/>
      <c r="HSW119" s="73"/>
      <c r="HSX119" s="73"/>
      <c r="HSY119" s="73"/>
      <c r="HSZ119" s="73"/>
      <c r="HTA119" s="73"/>
      <c r="HTB119" s="73"/>
      <c r="HTC119" s="73"/>
      <c r="HTD119" s="73"/>
      <c r="HTE119" s="73"/>
      <c r="HTF119" s="73"/>
      <c r="HTG119" s="73"/>
      <c r="HTH119" s="73"/>
      <c r="HTI119" s="73"/>
      <c r="HTJ119" s="73"/>
      <c r="HTK119" s="73"/>
      <c r="HTL119" s="73"/>
      <c r="HTM119" s="73"/>
      <c r="HTN119" s="73"/>
      <c r="HTO119" s="73"/>
      <c r="HTP119" s="73"/>
      <c r="HTQ119" s="73"/>
      <c r="HTR119" s="73"/>
      <c r="HTS119" s="73"/>
      <c r="HTT119" s="73"/>
      <c r="HTU119" s="73"/>
      <c r="HTV119" s="73"/>
      <c r="HTW119" s="73"/>
      <c r="HTX119" s="73"/>
      <c r="HTY119" s="73"/>
      <c r="HTZ119" s="73"/>
      <c r="HUA119" s="73"/>
      <c r="HUB119" s="73"/>
      <c r="HUC119" s="73"/>
      <c r="HUD119" s="73"/>
      <c r="HUE119" s="73"/>
      <c r="HUF119" s="73"/>
      <c r="HUG119" s="73"/>
      <c r="HUH119" s="73"/>
      <c r="HUI119" s="73"/>
      <c r="HUJ119" s="73"/>
      <c r="HUK119" s="73"/>
      <c r="HUL119" s="73"/>
      <c r="HUM119" s="73"/>
      <c r="HUN119" s="73"/>
      <c r="HUO119" s="73"/>
      <c r="HUP119" s="73"/>
      <c r="HUQ119" s="73"/>
      <c r="HUR119" s="73"/>
      <c r="HUS119" s="73"/>
      <c r="HUT119" s="73"/>
      <c r="HUU119" s="73"/>
      <c r="HUV119" s="73"/>
      <c r="HUW119" s="73"/>
      <c r="HUX119" s="73"/>
      <c r="HUY119" s="73"/>
      <c r="HUZ119" s="73"/>
      <c r="HVA119" s="73"/>
      <c r="HVB119" s="73"/>
      <c r="HVC119" s="73"/>
      <c r="HVD119" s="73"/>
      <c r="HVE119" s="73"/>
      <c r="HVF119" s="73"/>
      <c r="HVG119" s="73"/>
      <c r="HVH119" s="73"/>
      <c r="HVI119" s="73"/>
      <c r="HVJ119" s="73"/>
      <c r="HVK119" s="73"/>
      <c r="HVL119" s="73"/>
      <c r="HVM119" s="73"/>
      <c r="HVN119" s="73"/>
      <c r="HVO119" s="73"/>
      <c r="HVP119" s="73"/>
      <c r="HVQ119" s="73"/>
      <c r="HVR119" s="73"/>
      <c r="HVS119" s="73"/>
      <c r="HVT119" s="73"/>
      <c r="HVU119" s="73"/>
      <c r="HVV119" s="73"/>
      <c r="HVW119" s="73"/>
      <c r="HVX119" s="73"/>
      <c r="HVY119" s="73"/>
      <c r="HVZ119" s="73"/>
      <c r="HWA119" s="73"/>
      <c r="HWB119" s="73"/>
      <c r="HWC119" s="73"/>
      <c r="HWD119" s="73"/>
      <c r="HWE119" s="73"/>
      <c r="HWF119" s="73"/>
      <c r="HWG119" s="73"/>
      <c r="HWH119" s="73"/>
      <c r="HWI119" s="73"/>
      <c r="HWJ119" s="73"/>
      <c r="HWK119" s="73"/>
      <c r="HWL119" s="73"/>
      <c r="HWM119" s="73"/>
      <c r="HWN119" s="73"/>
      <c r="HWO119" s="73"/>
      <c r="HWP119" s="73"/>
      <c r="HWQ119" s="73"/>
      <c r="HWR119" s="73"/>
      <c r="HWS119" s="73"/>
      <c r="HWT119" s="73"/>
      <c r="HWU119" s="73"/>
      <c r="HWV119" s="73"/>
      <c r="HWW119" s="73"/>
      <c r="HWX119" s="73"/>
      <c r="HWY119" s="73"/>
      <c r="HWZ119" s="73"/>
      <c r="HXA119" s="73"/>
      <c r="HXB119" s="73"/>
      <c r="HXC119" s="73"/>
      <c r="HXD119" s="73"/>
      <c r="HXE119" s="73"/>
      <c r="HXF119" s="73"/>
      <c r="HXG119" s="73"/>
      <c r="HXH119" s="73"/>
      <c r="HXI119" s="73"/>
      <c r="HXJ119" s="73"/>
      <c r="HXK119" s="73"/>
      <c r="HXL119" s="73"/>
      <c r="HXM119" s="73"/>
      <c r="HXN119" s="73"/>
      <c r="HXO119" s="73"/>
      <c r="HXP119" s="73"/>
      <c r="HXQ119" s="73"/>
      <c r="HXR119" s="73"/>
      <c r="HXS119" s="73"/>
      <c r="HXT119" s="73"/>
      <c r="HXU119" s="73"/>
      <c r="HXV119" s="73"/>
      <c r="HXW119" s="73"/>
      <c r="HXX119" s="73"/>
      <c r="HXY119" s="73"/>
      <c r="HXZ119" s="73"/>
      <c r="HYA119" s="73"/>
      <c r="HYB119" s="73"/>
      <c r="HYC119" s="73"/>
      <c r="HYD119" s="73"/>
      <c r="HYE119" s="73"/>
      <c r="HYF119" s="73"/>
      <c r="HYG119" s="73"/>
      <c r="HYH119" s="73"/>
      <c r="HYI119" s="73"/>
      <c r="HYJ119" s="73"/>
      <c r="HYK119" s="73"/>
      <c r="HYL119" s="73"/>
      <c r="HYM119" s="73"/>
      <c r="HYN119" s="73"/>
      <c r="HYO119" s="73"/>
      <c r="HYP119" s="73"/>
      <c r="HYQ119" s="73"/>
      <c r="HYR119" s="73"/>
      <c r="HYS119" s="73"/>
      <c r="HYT119" s="73"/>
      <c r="HYU119" s="73"/>
      <c r="HYV119" s="73"/>
      <c r="HYW119" s="73"/>
      <c r="HYX119" s="73"/>
      <c r="HYY119" s="73"/>
      <c r="HYZ119" s="73"/>
      <c r="HZA119" s="73"/>
      <c r="HZB119" s="73"/>
      <c r="HZC119" s="73"/>
      <c r="HZD119" s="73"/>
      <c r="HZE119" s="73"/>
      <c r="HZF119" s="73"/>
      <c r="HZG119" s="73"/>
      <c r="HZH119" s="73"/>
      <c r="HZI119" s="73"/>
      <c r="HZJ119" s="73"/>
      <c r="HZK119" s="73"/>
      <c r="HZL119" s="73"/>
      <c r="HZM119" s="73"/>
      <c r="HZN119" s="73"/>
      <c r="HZO119" s="73"/>
      <c r="HZP119" s="73"/>
      <c r="HZQ119" s="73"/>
      <c r="HZR119" s="73"/>
      <c r="HZS119" s="73"/>
      <c r="HZT119" s="73"/>
      <c r="HZU119" s="73"/>
      <c r="HZV119" s="73"/>
      <c r="HZW119" s="73"/>
      <c r="HZX119" s="73"/>
      <c r="HZY119" s="73"/>
      <c r="HZZ119" s="73"/>
      <c r="IAA119" s="73"/>
      <c r="IAB119" s="73"/>
      <c r="IAC119" s="73"/>
      <c r="IAD119" s="73"/>
      <c r="IAE119" s="73"/>
      <c r="IAF119" s="73"/>
      <c r="IAG119" s="73"/>
      <c r="IAH119" s="73"/>
      <c r="IAI119" s="73"/>
      <c r="IAJ119" s="73"/>
      <c r="IAK119" s="73"/>
      <c r="IAL119" s="73"/>
      <c r="IAM119" s="73"/>
      <c r="IAN119" s="73"/>
      <c r="IAO119" s="73"/>
      <c r="IAP119" s="73"/>
      <c r="IAQ119" s="73"/>
      <c r="IAR119" s="73"/>
      <c r="IAS119" s="73"/>
      <c r="IAT119" s="73"/>
      <c r="IAU119" s="73"/>
      <c r="IAV119" s="73"/>
      <c r="IAW119" s="73"/>
      <c r="IAX119" s="73"/>
      <c r="IAY119" s="73"/>
      <c r="IAZ119" s="73"/>
      <c r="IBA119" s="73"/>
      <c r="IBB119" s="73"/>
      <c r="IBC119" s="73"/>
      <c r="IBD119" s="73"/>
      <c r="IBE119" s="73"/>
      <c r="IBF119" s="73"/>
      <c r="IBG119" s="73"/>
      <c r="IBH119" s="73"/>
      <c r="IBI119" s="73"/>
      <c r="IBJ119" s="73"/>
      <c r="IBK119" s="73"/>
      <c r="IBL119" s="73"/>
      <c r="IBM119" s="73"/>
      <c r="IBN119" s="73"/>
      <c r="IBO119" s="73"/>
      <c r="IBP119" s="73"/>
      <c r="IBQ119" s="73"/>
      <c r="IBR119" s="73"/>
      <c r="IBS119" s="73"/>
      <c r="IBT119" s="73"/>
      <c r="IBU119" s="73"/>
      <c r="IBV119" s="73"/>
      <c r="IBW119" s="73"/>
      <c r="IBX119" s="73"/>
      <c r="IBY119" s="73"/>
      <c r="IBZ119" s="73"/>
      <c r="ICA119" s="73"/>
      <c r="ICB119" s="73"/>
      <c r="ICC119" s="73"/>
      <c r="ICD119" s="73"/>
      <c r="ICE119" s="73"/>
      <c r="ICF119" s="73"/>
      <c r="ICG119" s="73"/>
      <c r="ICH119" s="73"/>
      <c r="ICI119" s="73"/>
      <c r="ICJ119" s="73"/>
      <c r="ICK119" s="73"/>
      <c r="ICL119" s="73"/>
      <c r="ICM119" s="73"/>
      <c r="ICN119" s="73"/>
      <c r="ICO119" s="73"/>
      <c r="ICP119" s="73"/>
      <c r="ICQ119" s="73"/>
      <c r="ICR119" s="73"/>
      <c r="ICS119" s="73"/>
      <c r="ICT119" s="73"/>
      <c r="ICU119" s="73"/>
      <c r="ICV119" s="73"/>
      <c r="ICW119" s="73"/>
      <c r="ICX119" s="73"/>
      <c r="ICY119" s="73"/>
      <c r="ICZ119" s="73"/>
      <c r="IDA119" s="73"/>
      <c r="IDB119" s="73"/>
      <c r="IDC119" s="73"/>
      <c r="IDD119" s="73"/>
      <c r="IDE119" s="73"/>
      <c r="IDF119" s="73"/>
      <c r="IDG119" s="73"/>
      <c r="IDH119" s="73"/>
      <c r="IDI119" s="73"/>
      <c r="IDJ119" s="73"/>
      <c r="IDK119" s="73"/>
      <c r="IDL119" s="73"/>
      <c r="IDM119" s="73"/>
      <c r="IDN119" s="73"/>
      <c r="IDO119" s="73"/>
      <c r="IDP119" s="73"/>
      <c r="IDQ119" s="73"/>
      <c r="IDR119" s="73"/>
      <c r="IDS119" s="73"/>
      <c r="IDT119" s="73"/>
      <c r="IDU119" s="73"/>
      <c r="IDV119" s="73"/>
      <c r="IDW119" s="73"/>
      <c r="IDX119" s="73"/>
      <c r="IDY119" s="73"/>
      <c r="IDZ119" s="73"/>
      <c r="IEA119" s="73"/>
      <c r="IEB119" s="73"/>
      <c r="IEC119" s="73"/>
      <c r="IED119" s="73"/>
      <c r="IEE119" s="73"/>
      <c r="IEF119" s="73"/>
      <c r="IEG119" s="73"/>
      <c r="IEH119" s="73"/>
      <c r="IEI119" s="73"/>
      <c r="IEJ119" s="73"/>
      <c r="IEK119" s="73"/>
      <c r="IEL119" s="73"/>
      <c r="IEM119" s="73"/>
      <c r="IEN119" s="73"/>
      <c r="IEO119" s="73"/>
      <c r="IEP119" s="73"/>
      <c r="IEQ119" s="73"/>
      <c r="IER119" s="73"/>
      <c r="IES119" s="73"/>
      <c r="IET119" s="73"/>
      <c r="IEU119" s="73"/>
      <c r="IEV119" s="73"/>
      <c r="IEW119" s="73"/>
      <c r="IEX119" s="73"/>
      <c r="IEY119" s="73"/>
      <c r="IEZ119" s="73"/>
      <c r="IFA119" s="73"/>
      <c r="IFB119" s="73"/>
      <c r="IFC119" s="73"/>
      <c r="IFD119" s="73"/>
      <c r="IFE119" s="73"/>
      <c r="IFF119" s="73"/>
      <c r="IFG119" s="73"/>
      <c r="IFH119" s="73"/>
      <c r="IFI119" s="73"/>
      <c r="IFJ119" s="73"/>
      <c r="IFK119" s="73"/>
      <c r="IFL119" s="73"/>
      <c r="IFM119" s="73"/>
      <c r="IFN119" s="73"/>
      <c r="IFO119" s="73"/>
      <c r="IFP119" s="73"/>
      <c r="IFQ119" s="73"/>
      <c r="IFR119" s="73"/>
      <c r="IFS119" s="73"/>
      <c r="IFT119" s="73"/>
      <c r="IFU119" s="73"/>
      <c r="IFV119" s="73"/>
      <c r="IFW119" s="73"/>
      <c r="IFX119" s="73"/>
      <c r="IFY119" s="73"/>
      <c r="IFZ119" s="73"/>
      <c r="IGA119" s="73"/>
      <c r="IGB119" s="73"/>
      <c r="IGC119" s="73"/>
      <c r="IGD119" s="73"/>
      <c r="IGE119" s="73"/>
      <c r="IGF119" s="73"/>
      <c r="IGG119" s="73"/>
      <c r="IGH119" s="73"/>
      <c r="IGI119" s="73"/>
      <c r="IGJ119" s="73"/>
      <c r="IGK119" s="73"/>
      <c r="IGL119" s="73"/>
      <c r="IGM119" s="73"/>
      <c r="IGN119" s="73"/>
      <c r="IGO119" s="73"/>
      <c r="IGP119" s="73"/>
      <c r="IGQ119" s="73"/>
      <c r="IGR119" s="73"/>
      <c r="IGS119" s="73"/>
      <c r="IGT119" s="73"/>
      <c r="IGU119" s="73"/>
      <c r="IGV119" s="73"/>
      <c r="IGW119" s="73"/>
      <c r="IGX119" s="73"/>
      <c r="IGY119" s="73"/>
      <c r="IGZ119" s="73"/>
      <c r="IHA119" s="73"/>
      <c r="IHB119" s="73"/>
      <c r="IHC119" s="73"/>
      <c r="IHD119" s="73"/>
      <c r="IHE119" s="73"/>
      <c r="IHF119" s="73"/>
      <c r="IHG119" s="73"/>
      <c r="IHH119" s="73"/>
      <c r="IHI119" s="73"/>
      <c r="IHJ119" s="73"/>
      <c r="IHK119" s="73"/>
      <c r="IHL119" s="73"/>
      <c r="IHM119" s="73"/>
      <c r="IHN119" s="73"/>
      <c r="IHO119" s="73"/>
      <c r="IHP119" s="73"/>
      <c r="IHQ119" s="73"/>
      <c r="IHR119" s="73"/>
      <c r="IHS119" s="73"/>
      <c r="IHT119" s="73"/>
      <c r="IHU119" s="73"/>
      <c r="IHV119" s="73"/>
      <c r="IHW119" s="73"/>
      <c r="IHX119" s="73"/>
      <c r="IHY119" s="73"/>
      <c r="IHZ119" s="73"/>
      <c r="IIA119" s="73"/>
      <c r="IIB119" s="73"/>
      <c r="IIC119" s="73"/>
      <c r="IID119" s="73"/>
      <c r="IIE119" s="73"/>
      <c r="IIF119" s="73"/>
      <c r="IIG119" s="73"/>
      <c r="IIH119" s="73"/>
      <c r="III119" s="73"/>
      <c r="IIJ119" s="73"/>
      <c r="IIK119" s="73"/>
      <c r="IIL119" s="73"/>
      <c r="IIM119" s="73"/>
      <c r="IIN119" s="73"/>
      <c r="IIO119" s="73"/>
      <c r="IIP119" s="73"/>
      <c r="IIQ119" s="73"/>
      <c r="IIR119" s="73"/>
      <c r="IIS119" s="73"/>
      <c r="IIT119" s="73"/>
      <c r="IIU119" s="73"/>
      <c r="IIV119" s="73"/>
      <c r="IIW119" s="73"/>
      <c r="IIX119" s="73"/>
      <c r="IIY119" s="73"/>
      <c r="IIZ119" s="73"/>
      <c r="IJA119" s="73"/>
      <c r="IJB119" s="73"/>
      <c r="IJC119" s="73"/>
      <c r="IJD119" s="73"/>
      <c r="IJE119" s="73"/>
      <c r="IJF119" s="73"/>
      <c r="IJG119" s="73"/>
      <c r="IJH119" s="73"/>
      <c r="IJI119" s="73"/>
      <c r="IJJ119" s="73"/>
      <c r="IJK119" s="73"/>
      <c r="IJL119" s="73"/>
      <c r="IJM119" s="73"/>
      <c r="IJN119" s="73"/>
      <c r="IJO119" s="73"/>
      <c r="IJP119" s="73"/>
      <c r="IJQ119" s="73"/>
      <c r="IJR119" s="73"/>
      <c r="IJS119" s="73"/>
      <c r="IJT119" s="73"/>
      <c r="IJU119" s="73"/>
      <c r="IJV119" s="73"/>
      <c r="IJW119" s="73"/>
      <c r="IJX119" s="73"/>
      <c r="IJY119" s="73"/>
      <c r="IJZ119" s="73"/>
      <c r="IKA119" s="73"/>
      <c r="IKB119" s="73"/>
      <c r="IKC119" s="73"/>
      <c r="IKD119" s="73"/>
      <c r="IKE119" s="73"/>
      <c r="IKF119" s="73"/>
      <c r="IKG119" s="73"/>
      <c r="IKH119" s="73"/>
      <c r="IKI119" s="73"/>
      <c r="IKJ119" s="73"/>
      <c r="IKK119" s="73"/>
      <c r="IKL119" s="73"/>
      <c r="IKM119" s="73"/>
      <c r="IKN119" s="73"/>
      <c r="IKO119" s="73"/>
      <c r="IKP119" s="73"/>
      <c r="IKQ119" s="73"/>
      <c r="IKR119" s="73"/>
      <c r="IKS119" s="73"/>
      <c r="IKT119" s="73"/>
      <c r="IKU119" s="73"/>
      <c r="IKV119" s="73"/>
      <c r="IKW119" s="73"/>
      <c r="IKX119" s="73"/>
      <c r="IKY119" s="73"/>
      <c r="IKZ119" s="73"/>
      <c r="ILA119" s="73"/>
      <c r="ILB119" s="73"/>
      <c r="ILC119" s="73"/>
      <c r="ILD119" s="73"/>
      <c r="ILE119" s="73"/>
      <c r="ILF119" s="73"/>
      <c r="ILG119" s="73"/>
      <c r="ILH119" s="73"/>
      <c r="ILI119" s="73"/>
      <c r="ILJ119" s="73"/>
      <c r="ILK119" s="73"/>
      <c r="ILL119" s="73"/>
      <c r="ILM119" s="73"/>
      <c r="ILN119" s="73"/>
      <c r="ILO119" s="73"/>
      <c r="ILP119" s="73"/>
      <c r="ILQ119" s="73"/>
      <c r="ILR119" s="73"/>
      <c r="ILS119" s="73"/>
      <c r="ILT119" s="73"/>
      <c r="ILU119" s="73"/>
      <c r="ILV119" s="73"/>
      <c r="ILW119" s="73"/>
      <c r="ILX119" s="73"/>
      <c r="ILY119" s="73"/>
      <c r="ILZ119" s="73"/>
      <c r="IMA119" s="73"/>
      <c r="IMB119" s="73"/>
      <c r="IMC119" s="73"/>
      <c r="IMD119" s="73"/>
      <c r="IME119" s="73"/>
      <c r="IMF119" s="73"/>
      <c r="IMG119" s="73"/>
      <c r="IMH119" s="73"/>
      <c r="IMI119" s="73"/>
      <c r="IMJ119" s="73"/>
      <c r="IMK119" s="73"/>
      <c r="IML119" s="73"/>
      <c r="IMM119" s="73"/>
      <c r="IMN119" s="73"/>
      <c r="IMO119" s="73"/>
      <c r="IMP119" s="73"/>
      <c r="IMQ119" s="73"/>
      <c r="IMR119" s="73"/>
      <c r="IMS119" s="73"/>
      <c r="IMT119" s="73"/>
      <c r="IMU119" s="73"/>
      <c r="IMV119" s="73"/>
      <c r="IMW119" s="73"/>
      <c r="IMX119" s="73"/>
      <c r="IMY119" s="73"/>
      <c r="IMZ119" s="73"/>
      <c r="INA119" s="73"/>
      <c r="INB119" s="73"/>
      <c r="INC119" s="73"/>
      <c r="IND119" s="73"/>
      <c r="INE119" s="73"/>
      <c r="INF119" s="73"/>
      <c r="ING119" s="73"/>
      <c r="INH119" s="73"/>
      <c r="INI119" s="73"/>
      <c r="INJ119" s="73"/>
      <c r="INK119" s="73"/>
      <c r="INL119" s="73"/>
      <c r="INM119" s="73"/>
      <c r="INN119" s="73"/>
      <c r="INO119" s="73"/>
      <c r="INP119" s="73"/>
      <c r="INQ119" s="73"/>
      <c r="INR119" s="73"/>
      <c r="INS119" s="73"/>
      <c r="INT119" s="73"/>
      <c r="INU119" s="73"/>
      <c r="INV119" s="73"/>
      <c r="INW119" s="73"/>
      <c r="INX119" s="73"/>
      <c r="INY119" s="73"/>
      <c r="INZ119" s="73"/>
      <c r="IOA119" s="73"/>
      <c r="IOB119" s="73"/>
      <c r="IOC119" s="73"/>
      <c r="IOD119" s="73"/>
      <c r="IOE119" s="73"/>
      <c r="IOF119" s="73"/>
      <c r="IOG119" s="73"/>
      <c r="IOH119" s="73"/>
      <c r="IOI119" s="73"/>
      <c r="IOJ119" s="73"/>
      <c r="IOK119" s="73"/>
      <c r="IOL119" s="73"/>
      <c r="IOM119" s="73"/>
      <c r="ION119" s="73"/>
      <c r="IOO119" s="73"/>
      <c r="IOP119" s="73"/>
      <c r="IOQ119" s="73"/>
      <c r="IOR119" s="73"/>
      <c r="IOS119" s="73"/>
      <c r="IOT119" s="73"/>
      <c r="IOU119" s="73"/>
      <c r="IOV119" s="73"/>
      <c r="IOW119" s="73"/>
      <c r="IOX119" s="73"/>
      <c r="IOY119" s="73"/>
      <c r="IOZ119" s="73"/>
      <c r="IPA119" s="73"/>
      <c r="IPB119" s="73"/>
      <c r="IPC119" s="73"/>
      <c r="IPD119" s="73"/>
      <c r="IPE119" s="73"/>
      <c r="IPF119" s="73"/>
      <c r="IPG119" s="73"/>
      <c r="IPH119" s="73"/>
      <c r="IPI119" s="73"/>
      <c r="IPJ119" s="73"/>
      <c r="IPK119" s="73"/>
      <c r="IPL119" s="73"/>
      <c r="IPM119" s="73"/>
      <c r="IPN119" s="73"/>
      <c r="IPO119" s="73"/>
      <c r="IPP119" s="73"/>
      <c r="IPQ119" s="73"/>
      <c r="IPR119" s="73"/>
      <c r="IPS119" s="73"/>
      <c r="IPT119" s="73"/>
      <c r="IPU119" s="73"/>
      <c r="IPV119" s="73"/>
      <c r="IPW119" s="73"/>
      <c r="IPX119" s="73"/>
      <c r="IPY119" s="73"/>
      <c r="IPZ119" s="73"/>
      <c r="IQA119" s="73"/>
      <c r="IQB119" s="73"/>
      <c r="IQC119" s="73"/>
      <c r="IQD119" s="73"/>
      <c r="IQE119" s="73"/>
      <c r="IQF119" s="73"/>
      <c r="IQG119" s="73"/>
      <c r="IQH119" s="73"/>
      <c r="IQI119" s="73"/>
      <c r="IQJ119" s="73"/>
      <c r="IQK119" s="73"/>
      <c r="IQL119" s="73"/>
      <c r="IQM119" s="73"/>
      <c r="IQN119" s="73"/>
      <c r="IQO119" s="73"/>
      <c r="IQP119" s="73"/>
      <c r="IQQ119" s="73"/>
      <c r="IQR119" s="73"/>
      <c r="IQS119" s="73"/>
      <c r="IQT119" s="73"/>
      <c r="IQU119" s="73"/>
      <c r="IQV119" s="73"/>
      <c r="IQW119" s="73"/>
      <c r="IQX119" s="73"/>
      <c r="IQY119" s="73"/>
      <c r="IQZ119" s="73"/>
      <c r="IRA119" s="73"/>
      <c r="IRB119" s="73"/>
      <c r="IRC119" s="73"/>
      <c r="IRD119" s="73"/>
      <c r="IRE119" s="73"/>
      <c r="IRF119" s="73"/>
      <c r="IRG119" s="73"/>
      <c r="IRH119" s="73"/>
      <c r="IRI119" s="73"/>
      <c r="IRJ119" s="73"/>
      <c r="IRK119" s="73"/>
      <c r="IRL119" s="73"/>
      <c r="IRM119" s="73"/>
      <c r="IRN119" s="73"/>
      <c r="IRO119" s="73"/>
      <c r="IRP119" s="73"/>
      <c r="IRQ119" s="73"/>
      <c r="IRR119" s="73"/>
      <c r="IRS119" s="73"/>
      <c r="IRT119" s="73"/>
      <c r="IRU119" s="73"/>
      <c r="IRV119" s="73"/>
      <c r="IRW119" s="73"/>
      <c r="IRX119" s="73"/>
      <c r="IRY119" s="73"/>
      <c r="IRZ119" s="73"/>
      <c r="ISA119" s="73"/>
      <c r="ISB119" s="73"/>
      <c r="ISC119" s="73"/>
      <c r="ISD119" s="73"/>
      <c r="ISE119" s="73"/>
      <c r="ISF119" s="73"/>
      <c r="ISG119" s="73"/>
      <c r="ISH119" s="73"/>
      <c r="ISI119" s="73"/>
      <c r="ISJ119" s="73"/>
      <c r="ISK119" s="73"/>
      <c r="ISL119" s="73"/>
      <c r="ISM119" s="73"/>
      <c r="ISN119" s="73"/>
      <c r="ISO119" s="73"/>
      <c r="ISP119" s="73"/>
      <c r="ISQ119" s="73"/>
      <c r="ISR119" s="73"/>
      <c r="ISS119" s="73"/>
      <c r="IST119" s="73"/>
      <c r="ISU119" s="73"/>
      <c r="ISV119" s="73"/>
      <c r="ISW119" s="73"/>
      <c r="ISX119" s="73"/>
      <c r="ISY119" s="73"/>
      <c r="ISZ119" s="73"/>
      <c r="ITA119" s="73"/>
      <c r="ITB119" s="73"/>
      <c r="ITC119" s="73"/>
      <c r="ITD119" s="73"/>
      <c r="ITE119" s="73"/>
      <c r="ITF119" s="73"/>
      <c r="ITG119" s="73"/>
      <c r="ITH119" s="73"/>
      <c r="ITI119" s="73"/>
      <c r="ITJ119" s="73"/>
      <c r="ITK119" s="73"/>
      <c r="ITL119" s="73"/>
      <c r="ITM119" s="73"/>
      <c r="ITN119" s="73"/>
      <c r="ITO119" s="73"/>
      <c r="ITP119" s="73"/>
      <c r="ITQ119" s="73"/>
      <c r="ITR119" s="73"/>
      <c r="ITS119" s="73"/>
      <c r="ITT119" s="73"/>
      <c r="ITU119" s="73"/>
      <c r="ITV119" s="73"/>
      <c r="ITW119" s="73"/>
      <c r="ITX119" s="73"/>
      <c r="ITY119" s="73"/>
      <c r="ITZ119" s="73"/>
      <c r="IUA119" s="73"/>
      <c r="IUB119" s="73"/>
      <c r="IUC119" s="73"/>
      <c r="IUD119" s="73"/>
      <c r="IUE119" s="73"/>
      <c r="IUF119" s="73"/>
      <c r="IUG119" s="73"/>
      <c r="IUH119" s="73"/>
      <c r="IUI119" s="73"/>
      <c r="IUJ119" s="73"/>
      <c r="IUK119" s="73"/>
      <c r="IUL119" s="73"/>
      <c r="IUM119" s="73"/>
      <c r="IUN119" s="73"/>
      <c r="IUO119" s="73"/>
      <c r="IUP119" s="73"/>
      <c r="IUQ119" s="73"/>
      <c r="IUR119" s="73"/>
      <c r="IUS119" s="73"/>
      <c r="IUT119" s="73"/>
      <c r="IUU119" s="73"/>
      <c r="IUV119" s="73"/>
      <c r="IUW119" s="73"/>
      <c r="IUX119" s="73"/>
      <c r="IUY119" s="73"/>
      <c r="IUZ119" s="73"/>
      <c r="IVA119" s="73"/>
      <c r="IVB119" s="73"/>
      <c r="IVC119" s="73"/>
      <c r="IVD119" s="73"/>
      <c r="IVE119" s="73"/>
      <c r="IVF119" s="73"/>
      <c r="IVG119" s="73"/>
      <c r="IVH119" s="73"/>
      <c r="IVI119" s="73"/>
      <c r="IVJ119" s="73"/>
      <c r="IVK119" s="73"/>
      <c r="IVL119" s="73"/>
      <c r="IVM119" s="73"/>
      <c r="IVN119" s="73"/>
      <c r="IVO119" s="73"/>
      <c r="IVP119" s="73"/>
      <c r="IVQ119" s="73"/>
      <c r="IVR119" s="73"/>
      <c r="IVS119" s="73"/>
      <c r="IVT119" s="73"/>
      <c r="IVU119" s="73"/>
      <c r="IVV119" s="73"/>
      <c r="IVW119" s="73"/>
      <c r="IVX119" s="73"/>
      <c r="IVY119" s="73"/>
      <c r="IVZ119" s="73"/>
      <c r="IWA119" s="73"/>
      <c r="IWB119" s="73"/>
      <c r="IWC119" s="73"/>
      <c r="IWD119" s="73"/>
      <c r="IWE119" s="73"/>
      <c r="IWF119" s="73"/>
      <c r="IWG119" s="73"/>
      <c r="IWH119" s="73"/>
      <c r="IWI119" s="73"/>
      <c r="IWJ119" s="73"/>
      <c r="IWK119" s="73"/>
      <c r="IWL119" s="73"/>
      <c r="IWM119" s="73"/>
      <c r="IWN119" s="73"/>
      <c r="IWO119" s="73"/>
      <c r="IWP119" s="73"/>
      <c r="IWQ119" s="73"/>
      <c r="IWR119" s="73"/>
      <c r="IWS119" s="73"/>
      <c r="IWT119" s="73"/>
      <c r="IWU119" s="73"/>
      <c r="IWV119" s="73"/>
      <c r="IWW119" s="73"/>
      <c r="IWX119" s="73"/>
      <c r="IWY119" s="73"/>
      <c r="IWZ119" s="73"/>
      <c r="IXA119" s="73"/>
      <c r="IXB119" s="73"/>
      <c r="IXC119" s="73"/>
      <c r="IXD119" s="73"/>
      <c r="IXE119" s="73"/>
      <c r="IXF119" s="73"/>
      <c r="IXG119" s="73"/>
      <c r="IXH119" s="73"/>
      <c r="IXI119" s="73"/>
      <c r="IXJ119" s="73"/>
      <c r="IXK119" s="73"/>
      <c r="IXL119" s="73"/>
      <c r="IXM119" s="73"/>
      <c r="IXN119" s="73"/>
      <c r="IXO119" s="73"/>
      <c r="IXP119" s="73"/>
      <c r="IXQ119" s="73"/>
      <c r="IXR119" s="73"/>
      <c r="IXS119" s="73"/>
      <c r="IXT119" s="73"/>
      <c r="IXU119" s="73"/>
      <c r="IXV119" s="73"/>
      <c r="IXW119" s="73"/>
      <c r="IXX119" s="73"/>
      <c r="IXY119" s="73"/>
      <c r="IXZ119" s="73"/>
      <c r="IYA119" s="73"/>
      <c r="IYB119" s="73"/>
      <c r="IYC119" s="73"/>
      <c r="IYD119" s="73"/>
      <c r="IYE119" s="73"/>
      <c r="IYF119" s="73"/>
      <c r="IYG119" s="73"/>
      <c r="IYH119" s="73"/>
      <c r="IYI119" s="73"/>
      <c r="IYJ119" s="73"/>
      <c r="IYK119" s="73"/>
      <c r="IYL119" s="73"/>
      <c r="IYM119" s="73"/>
      <c r="IYN119" s="73"/>
      <c r="IYO119" s="73"/>
      <c r="IYP119" s="73"/>
      <c r="IYQ119" s="73"/>
      <c r="IYR119" s="73"/>
      <c r="IYS119" s="73"/>
      <c r="IYT119" s="73"/>
      <c r="IYU119" s="73"/>
      <c r="IYV119" s="73"/>
      <c r="IYW119" s="73"/>
      <c r="IYX119" s="73"/>
      <c r="IYY119" s="73"/>
      <c r="IYZ119" s="73"/>
      <c r="IZA119" s="73"/>
      <c r="IZB119" s="73"/>
      <c r="IZC119" s="73"/>
      <c r="IZD119" s="73"/>
      <c r="IZE119" s="73"/>
      <c r="IZF119" s="73"/>
      <c r="IZG119" s="73"/>
      <c r="IZH119" s="73"/>
      <c r="IZI119" s="73"/>
      <c r="IZJ119" s="73"/>
      <c r="IZK119" s="73"/>
      <c r="IZL119" s="73"/>
      <c r="IZM119" s="73"/>
      <c r="IZN119" s="73"/>
      <c r="IZO119" s="73"/>
      <c r="IZP119" s="73"/>
      <c r="IZQ119" s="73"/>
      <c r="IZR119" s="73"/>
      <c r="IZS119" s="73"/>
      <c r="IZT119" s="73"/>
      <c r="IZU119" s="73"/>
      <c r="IZV119" s="73"/>
      <c r="IZW119" s="73"/>
      <c r="IZX119" s="73"/>
      <c r="IZY119" s="73"/>
      <c r="IZZ119" s="73"/>
      <c r="JAA119" s="73"/>
      <c r="JAB119" s="73"/>
      <c r="JAC119" s="73"/>
      <c r="JAD119" s="73"/>
      <c r="JAE119" s="73"/>
      <c r="JAF119" s="73"/>
      <c r="JAG119" s="73"/>
      <c r="JAH119" s="73"/>
      <c r="JAI119" s="73"/>
      <c r="JAJ119" s="73"/>
      <c r="JAK119" s="73"/>
      <c r="JAL119" s="73"/>
      <c r="JAM119" s="73"/>
      <c r="JAN119" s="73"/>
      <c r="JAO119" s="73"/>
      <c r="JAP119" s="73"/>
      <c r="JAQ119" s="73"/>
      <c r="JAR119" s="73"/>
      <c r="JAS119" s="73"/>
      <c r="JAT119" s="73"/>
      <c r="JAU119" s="73"/>
      <c r="JAV119" s="73"/>
      <c r="JAW119" s="73"/>
      <c r="JAX119" s="73"/>
      <c r="JAY119" s="73"/>
      <c r="JAZ119" s="73"/>
      <c r="JBA119" s="73"/>
      <c r="JBB119" s="73"/>
      <c r="JBC119" s="73"/>
      <c r="JBD119" s="73"/>
      <c r="JBE119" s="73"/>
      <c r="JBF119" s="73"/>
      <c r="JBG119" s="73"/>
      <c r="JBH119" s="73"/>
      <c r="JBI119" s="73"/>
      <c r="JBJ119" s="73"/>
      <c r="JBK119" s="73"/>
      <c r="JBL119" s="73"/>
      <c r="JBM119" s="73"/>
      <c r="JBN119" s="73"/>
      <c r="JBO119" s="73"/>
      <c r="JBP119" s="73"/>
      <c r="JBQ119" s="73"/>
      <c r="JBR119" s="73"/>
      <c r="JBS119" s="73"/>
      <c r="JBT119" s="73"/>
      <c r="JBU119" s="73"/>
      <c r="JBV119" s="73"/>
      <c r="JBW119" s="73"/>
      <c r="JBX119" s="73"/>
      <c r="JBY119" s="73"/>
      <c r="JBZ119" s="73"/>
      <c r="JCA119" s="73"/>
      <c r="JCB119" s="73"/>
      <c r="JCC119" s="73"/>
      <c r="JCD119" s="73"/>
      <c r="JCE119" s="73"/>
      <c r="JCF119" s="73"/>
      <c r="JCG119" s="73"/>
      <c r="JCH119" s="73"/>
      <c r="JCI119" s="73"/>
      <c r="JCJ119" s="73"/>
      <c r="JCK119" s="73"/>
      <c r="JCL119" s="73"/>
      <c r="JCM119" s="73"/>
      <c r="JCN119" s="73"/>
      <c r="JCO119" s="73"/>
      <c r="JCP119" s="73"/>
      <c r="JCQ119" s="73"/>
      <c r="JCR119" s="73"/>
      <c r="JCS119" s="73"/>
      <c r="JCT119" s="73"/>
      <c r="JCU119" s="73"/>
      <c r="JCV119" s="73"/>
      <c r="JCW119" s="73"/>
      <c r="JCX119" s="73"/>
      <c r="JCY119" s="73"/>
      <c r="JCZ119" s="73"/>
      <c r="JDA119" s="73"/>
      <c r="JDB119" s="73"/>
      <c r="JDC119" s="73"/>
      <c r="JDD119" s="73"/>
      <c r="JDE119" s="73"/>
      <c r="JDF119" s="73"/>
      <c r="JDG119" s="73"/>
      <c r="JDH119" s="73"/>
      <c r="JDI119" s="73"/>
      <c r="JDJ119" s="73"/>
      <c r="JDK119" s="73"/>
      <c r="JDL119" s="73"/>
      <c r="JDM119" s="73"/>
      <c r="JDN119" s="73"/>
      <c r="JDO119" s="73"/>
      <c r="JDP119" s="73"/>
      <c r="JDQ119" s="73"/>
      <c r="JDR119" s="73"/>
      <c r="JDS119" s="73"/>
      <c r="JDT119" s="73"/>
      <c r="JDU119" s="73"/>
      <c r="JDV119" s="73"/>
      <c r="JDW119" s="73"/>
      <c r="JDX119" s="73"/>
      <c r="JDY119" s="73"/>
      <c r="JDZ119" s="73"/>
      <c r="JEA119" s="73"/>
      <c r="JEB119" s="73"/>
      <c r="JEC119" s="73"/>
      <c r="JED119" s="73"/>
      <c r="JEE119" s="73"/>
      <c r="JEF119" s="73"/>
      <c r="JEG119" s="73"/>
      <c r="JEH119" s="73"/>
      <c r="JEI119" s="73"/>
      <c r="JEJ119" s="73"/>
      <c r="JEK119" s="73"/>
      <c r="JEL119" s="73"/>
      <c r="JEM119" s="73"/>
      <c r="JEN119" s="73"/>
      <c r="JEO119" s="73"/>
      <c r="JEP119" s="73"/>
      <c r="JEQ119" s="73"/>
      <c r="JER119" s="73"/>
      <c r="JES119" s="73"/>
      <c r="JET119" s="73"/>
      <c r="JEU119" s="73"/>
      <c r="JEV119" s="73"/>
      <c r="JEW119" s="73"/>
      <c r="JEX119" s="73"/>
      <c r="JEY119" s="73"/>
      <c r="JEZ119" s="73"/>
      <c r="JFA119" s="73"/>
      <c r="JFB119" s="73"/>
      <c r="JFC119" s="73"/>
      <c r="JFD119" s="73"/>
      <c r="JFE119" s="73"/>
      <c r="JFF119" s="73"/>
      <c r="JFG119" s="73"/>
      <c r="JFH119" s="73"/>
      <c r="JFI119" s="73"/>
      <c r="JFJ119" s="73"/>
      <c r="JFK119" s="73"/>
      <c r="JFL119" s="73"/>
      <c r="JFM119" s="73"/>
      <c r="JFN119" s="73"/>
      <c r="JFO119" s="73"/>
      <c r="JFP119" s="73"/>
      <c r="JFQ119" s="73"/>
      <c r="JFR119" s="73"/>
      <c r="JFS119" s="73"/>
      <c r="JFT119" s="73"/>
      <c r="JFU119" s="73"/>
      <c r="JFV119" s="73"/>
      <c r="JFW119" s="73"/>
      <c r="JFX119" s="73"/>
      <c r="JFY119" s="73"/>
      <c r="JFZ119" s="73"/>
      <c r="JGA119" s="73"/>
      <c r="JGB119" s="73"/>
      <c r="JGC119" s="73"/>
      <c r="JGD119" s="73"/>
      <c r="JGE119" s="73"/>
      <c r="JGF119" s="73"/>
      <c r="JGG119" s="73"/>
      <c r="JGH119" s="73"/>
      <c r="JGI119" s="73"/>
      <c r="JGJ119" s="73"/>
      <c r="JGK119" s="73"/>
      <c r="JGL119" s="73"/>
      <c r="JGM119" s="73"/>
      <c r="JGN119" s="73"/>
      <c r="JGO119" s="73"/>
      <c r="JGP119" s="73"/>
      <c r="JGQ119" s="73"/>
      <c r="JGR119" s="73"/>
      <c r="JGS119" s="73"/>
      <c r="JGT119" s="73"/>
      <c r="JGU119" s="73"/>
      <c r="JGV119" s="73"/>
      <c r="JGW119" s="73"/>
      <c r="JGX119" s="73"/>
      <c r="JGY119" s="73"/>
      <c r="JGZ119" s="73"/>
      <c r="JHA119" s="73"/>
      <c r="JHB119" s="73"/>
      <c r="JHC119" s="73"/>
      <c r="JHD119" s="73"/>
      <c r="JHE119" s="73"/>
      <c r="JHF119" s="73"/>
      <c r="JHG119" s="73"/>
      <c r="JHH119" s="73"/>
      <c r="JHI119" s="73"/>
      <c r="JHJ119" s="73"/>
      <c r="JHK119" s="73"/>
      <c r="JHL119" s="73"/>
      <c r="JHM119" s="73"/>
      <c r="JHN119" s="73"/>
      <c r="JHO119" s="73"/>
      <c r="JHP119" s="73"/>
      <c r="JHQ119" s="73"/>
      <c r="JHR119" s="73"/>
      <c r="JHS119" s="73"/>
      <c r="JHT119" s="73"/>
      <c r="JHU119" s="73"/>
      <c r="JHV119" s="73"/>
      <c r="JHW119" s="73"/>
      <c r="JHX119" s="73"/>
      <c r="JHY119" s="73"/>
      <c r="JHZ119" s="73"/>
      <c r="JIA119" s="73"/>
      <c r="JIB119" s="73"/>
      <c r="JIC119" s="73"/>
      <c r="JID119" s="73"/>
      <c r="JIE119" s="73"/>
      <c r="JIF119" s="73"/>
      <c r="JIG119" s="73"/>
      <c r="JIH119" s="73"/>
      <c r="JII119" s="73"/>
      <c r="JIJ119" s="73"/>
      <c r="JIK119" s="73"/>
      <c r="JIL119" s="73"/>
      <c r="JIM119" s="73"/>
      <c r="JIN119" s="73"/>
      <c r="JIO119" s="73"/>
      <c r="JIP119" s="73"/>
      <c r="JIQ119" s="73"/>
      <c r="JIR119" s="73"/>
      <c r="JIS119" s="73"/>
      <c r="JIT119" s="73"/>
      <c r="JIU119" s="73"/>
      <c r="JIV119" s="73"/>
      <c r="JIW119" s="73"/>
      <c r="JIX119" s="73"/>
      <c r="JIY119" s="73"/>
      <c r="JIZ119" s="73"/>
      <c r="JJA119" s="73"/>
      <c r="JJB119" s="73"/>
      <c r="JJC119" s="73"/>
      <c r="JJD119" s="73"/>
      <c r="JJE119" s="73"/>
      <c r="JJF119" s="73"/>
      <c r="JJG119" s="73"/>
      <c r="JJH119" s="73"/>
      <c r="JJI119" s="73"/>
      <c r="JJJ119" s="73"/>
      <c r="JJK119" s="73"/>
      <c r="JJL119" s="73"/>
      <c r="JJM119" s="73"/>
      <c r="JJN119" s="73"/>
      <c r="JJO119" s="73"/>
      <c r="JJP119" s="73"/>
      <c r="JJQ119" s="73"/>
      <c r="JJR119" s="73"/>
      <c r="JJS119" s="73"/>
      <c r="JJT119" s="73"/>
      <c r="JJU119" s="73"/>
      <c r="JJV119" s="73"/>
      <c r="JJW119" s="73"/>
      <c r="JJX119" s="73"/>
      <c r="JJY119" s="73"/>
      <c r="JJZ119" s="73"/>
      <c r="JKA119" s="73"/>
      <c r="JKB119" s="73"/>
      <c r="JKC119" s="73"/>
      <c r="JKD119" s="73"/>
      <c r="JKE119" s="73"/>
      <c r="JKF119" s="73"/>
      <c r="JKG119" s="73"/>
      <c r="JKH119" s="73"/>
      <c r="JKI119" s="73"/>
      <c r="JKJ119" s="73"/>
      <c r="JKK119" s="73"/>
      <c r="JKL119" s="73"/>
      <c r="JKM119" s="73"/>
      <c r="JKN119" s="73"/>
      <c r="JKO119" s="73"/>
      <c r="JKP119" s="73"/>
      <c r="JKQ119" s="73"/>
      <c r="JKR119" s="73"/>
      <c r="JKS119" s="73"/>
      <c r="JKT119" s="73"/>
      <c r="JKU119" s="73"/>
      <c r="JKV119" s="73"/>
      <c r="JKW119" s="73"/>
      <c r="JKX119" s="73"/>
      <c r="JKY119" s="73"/>
      <c r="JKZ119" s="73"/>
      <c r="JLA119" s="73"/>
      <c r="JLB119" s="73"/>
      <c r="JLC119" s="73"/>
      <c r="JLD119" s="73"/>
      <c r="JLE119" s="73"/>
      <c r="JLF119" s="73"/>
      <c r="JLG119" s="73"/>
      <c r="JLH119" s="73"/>
      <c r="JLI119" s="73"/>
      <c r="JLJ119" s="73"/>
      <c r="JLK119" s="73"/>
      <c r="JLL119" s="73"/>
      <c r="JLM119" s="73"/>
      <c r="JLN119" s="73"/>
      <c r="JLO119" s="73"/>
      <c r="JLP119" s="73"/>
      <c r="JLQ119" s="73"/>
      <c r="JLR119" s="73"/>
      <c r="JLS119" s="73"/>
      <c r="JLT119" s="73"/>
      <c r="JLU119" s="73"/>
      <c r="JLV119" s="73"/>
      <c r="JLW119" s="73"/>
      <c r="JLX119" s="73"/>
      <c r="JLY119" s="73"/>
      <c r="JLZ119" s="73"/>
      <c r="JMA119" s="73"/>
      <c r="JMB119" s="73"/>
      <c r="JMC119" s="73"/>
      <c r="JMD119" s="73"/>
      <c r="JME119" s="73"/>
      <c r="JMF119" s="73"/>
      <c r="JMG119" s="73"/>
      <c r="JMH119" s="73"/>
      <c r="JMI119" s="73"/>
      <c r="JMJ119" s="73"/>
      <c r="JMK119" s="73"/>
      <c r="JML119" s="73"/>
      <c r="JMM119" s="73"/>
      <c r="JMN119" s="73"/>
      <c r="JMO119" s="73"/>
      <c r="JMP119" s="73"/>
      <c r="JMQ119" s="73"/>
      <c r="JMR119" s="73"/>
      <c r="JMS119" s="73"/>
      <c r="JMT119" s="73"/>
      <c r="JMU119" s="73"/>
      <c r="JMV119" s="73"/>
      <c r="JMW119" s="73"/>
      <c r="JMX119" s="73"/>
      <c r="JMY119" s="73"/>
      <c r="JMZ119" s="73"/>
      <c r="JNA119" s="73"/>
      <c r="JNB119" s="73"/>
      <c r="JNC119" s="73"/>
      <c r="JND119" s="73"/>
      <c r="JNE119" s="73"/>
      <c r="JNF119" s="73"/>
      <c r="JNG119" s="73"/>
      <c r="JNH119" s="73"/>
      <c r="JNI119" s="73"/>
      <c r="JNJ119" s="73"/>
      <c r="JNK119" s="73"/>
      <c r="JNL119" s="73"/>
      <c r="JNM119" s="73"/>
      <c r="JNN119" s="73"/>
      <c r="JNO119" s="73"/>
      <c r="JNP119" s="73"/>
      <c r="JNQ119" s="73"/>
      <c r="JNR119" s="73"/>
      <c r="JNS119" s="73"/>
      <c r="JNT119" s="73"/>
      <c r="JNU119" s="73"/>
      <c r="JNV119" s="73"/>
      <c r="JNW119" s="73"/>
      <c r="JNX119" s="73"/>
      <c r="JNY119" s="73"/>
      <c r="JNZ119" s="73"/>
      <c r="JOA119" s="73"/>
      <c r="JOB119" s="73"/>
      <c r="JOC119" s="73"/>
      <c r="JOD119" s="73"/>
      <c r="JOE119" s="73"/>
      <c r="JOF119" s="73"/>
      <c r="JOG119" s="73"/>
      <c r="JOH119" s="73"/>
      <c r="JOI119" s="73"/>
      <c r="JOJ119" s="73"/>
      <c r="JOK119" s="73"/>
      <c r="JOL119" s="73"/>
      <c r="JOM119" s="73"/>
      <c r="JON119" s="73"/>
      <c r="JOO119" s="73"/>
      <c r="JOP119" s="73"/>
      <c r="JOQ119" s="73"/>
      <c r="JOR119" s="73"/>
      <c r="JOS119" s="73"/>
      <c r="JOT119" s="73"/>
      <c r="JOU119" s="73"/>
      <c r="JOV119" s="73"/>
      <c r="JOW119" s="73"/>
      <c r="JOX119" s="73"/>
      <c r="JOY119" s="73"/>
      <c r="JOZ119" s="73"/>
      <c r="JPA119" s="73"/>
      <c r="JPB119" s="73"/>
      <c r="JPC119" s="73"/>
      <c r="JPD119" s="73"/>
      <c r="JPE119" s="73"/>
      <c r="JPF119" s="73"/>
      <c r="JPG119" s="73"/>
      <c r="JPH119" s="73"/>
      <c r="JPI119" s="73"/>
      <c r="JPJ119" s="73"/>
      <c r="JPK119" s="73"/>
      <c r="JPL119" s="73"/>
      <c r="JPM119" s="73"/>
      <c r="JPN119" s="73"/>
      <c r="JPO119" s="73"/>
      <c r="JPP119" s="73"/>
      <c r="JPQ119" s="73"/>
      <c r="JPR119" s="73"/>
      <c r="JPS119" s="73"/>
      <c r="JPT119" s="73"/>
      <c r="JPU119" s="73"/>
      <c r="JPV119" s="73"/>
      <c r="JPW119" s="73"/>
      <c r="JPX119" s="73"/>
      <c r="JPY119" s="73"/>
      <c r="JPZ119" s="73"/>
      <c r="JQA119" s="73"/>
      <c r="JQB119" s="73"/>
      <c r="JQC119" s="73"/>
      <c r="JQD119" s="73"/>
      <c r="JQE119" s="73"/>
      <c r="JQF119" s="73"/>
      <c r="JQG119" s="73"/>
      <c r="JQH119" s="73"/>
      <c r="JQI119" s="73"/>
      <c r="JQJ119" s="73"/>
      <c r="JQK119" s="73"/>
      <c r="JQL119" s="73"/>
      <c r="JQM119" s="73"/>
      <c r="JQN119" s="73"/>
      <c r="JQO119" s="73"/>
      <c r="JQP119" s="73"/>
      <c r="JQQ119" s="73"/>
      <c r="JQR119" s="73"/>
      <c r="JQS119" s="73"/>
      <c r="JQT119" s="73"/>
      <c r="JQU119" s="73"/>
      <c r="JQV119" s="73"/>
      <c r="JQW119" s="73"/>
      <c r="JQX119" s="73"/>
      <c r="JQY119" s="73"/>
      <c r="JQZ119" s="73"/>
      <c r="JRA119" s="73"/>
      <c r="JRB119" s="73"/>
      <c r="JRC119" s="73"/>
      <c r="JRD119" s="73"/>
      <c r="JRE119" s="73"/>
      <c r="JRF119" s="73"/>
      <c r="JRG119" s="73"/>
      <c r="JRH119" s="73"/>
      <c r="JRI119" s="73"/>
      <c r="JRJ119" s="73"/>
      <c r="JRK119" s="73"/>
      <c r="JRL119" s="73"/>
      <c r="JRM119" s="73"/>
      <c r="JRN119" s="73"/>
      <c r="JRO119" s="73"/>
      <c r="JRP119" s="73"/>
      <c r="JRQ119" s="73"/>
      <c r="JRR119" s="73"/>
      <c r="JRS119" s="73"/>
      <c r="JRT119" s="73"/>
      <c r="JRU119" s="73"/>
      <c r="JRV119" s="73"/>
      <c r="JRW119" s="73"/>
      <c r="JRX119" s="73"/>
      <c r="JRY119" s="73"/>
      <c r="JRZ119" s="73"/>
      <c r="JSA119" s="73"/>
      <c r="JSB119" s="73"/>
      <c r="JSC119" s="73"/>
      <c r="JSD119" s="73"/>
      <c r="JSE119" s="73"/>
      <c r="JSF119" s="73"/>
      <c r="JSG119" s="73"/>
      <c r="JSH119" s="73"/>
      <c r="JSI119" s="73"/>
      <c r="JSJ119" s="73"/>
      <c r="JSK119" s="73"/>
      <c r="JSL119" s="73"/>
      <c r="JSM119" s="73"/>
      <c r="JSN119" s="73"/>
      <c r="JSO119" s="73"/>
      <c r="JSP119" s="73"/>
      <c r="JSQ119" s="73"/>
      <c r="JSR119" s="73"/>
      <c r="JSS119" s="73"/>
      <c r="JST119" s="73"/>
      <c r="JSU119" s="73"/>
      <c r="JSV119" s="73"/>
      <c r="JSW119" s="73"/>
      <c r="JSX119" s="73"/>
      <c r="JSY119" s="73"/>
      <c r="JSZ119" s="73"/>
      <c r="JTA119" s="73"/>
      <c r="JTB119" s="73"/>
      <c r="JTC119" s="73"/>
      <c r="JTD119" s="73"/>
      <c r="JTE119" s="73"/>
      <c r="JTF119" s="73"/>
      <c r="JTG119" s="73"/>
      <c r="JTH119" s="73"/>
      <c r="JTI119" s="73"/>
      <c r="JTJ119" s="73"/>
      <c r="JTK119" s="73"/>
      <c r="JTL119" s="73"/>
      <c r="JTM119" s="73"/>
      <c r="JTN119" s="73"/>
      <c r="JTO119" s="73"/>
      <c r="JTP119" s="73"/>
      <c r="JTQ119" s="73"/>
      <c r="JTR119" s="73"/>
      <c r="JTS119" s="73"/>
      <c r="JTT119" s="73"/>
      <c r="JTU119" s="73"/>
      <c r="JTV119" s="73"/>
      <c r="JTW119" s="73"/>
      <c r="JTX119" s="73"/>
      <c r="JTY119" s="73"/>
      <c r="JTZ119" s="73"/>
      <c r="JUA119" s="73"/>
      <c r="JUB119" s="73"/>
      <c r="JUC119" s="73"/>
      <c r="JUD119" s="73"/>
      <c r="JUE119" s="73"/>
      <c r="JUF119" s="73"/>
      <c r="JUG119" s="73"/>
      <c r="JUH119" s="73"/>
      <c r="JUI119" s="73"/>
      <c r="JUJ119" s="73"/>
      <c r="JUK119" s="73"/>
      <c r="JUL119" s="73"/>
      <c r="JUM119" s="73"/>
      <c r="JUN119" s="73"/>
      <c r="JUO119" s="73"/>
      <c r="JUP119" s="73"/>
      <c r="JUQ119" s="73"/>
      <c r="JUR119" s="73"/>
      <c r="JUS119" s="73"/>
      <c r="JUT119" s="73"/>
      <c r="JUU119" s="73"/>
      <c r="JUV119" s="73"/>
      <c r="JUW119" s="73"/>
      <c r="JUX119" s="73"/>
      <c r="JUY119" s="73"/>
      <c r="JUZ119" s="73"/>
      <c r="JVA119" s="73"/>
      <c r="JVB119" s="73"/>
      <c r="JVC119" s="73"/>
      <c r="JVD119" s="73"/>
      <c r="JVE119" s="73"/>
      <c r="JVF119" s="73"/>
      <c r="JVG119" s="73"/>
      <c r="JVH119" s="73"/>
      <c r="JVI119" s="73"/>
      <c r="JVJ119" s="73"/>
      <c r="JVK119" s="73"/>
      <c r="JVL119" s="73"/>
      <c r="JVM119" s="73"/>
      <c r="JVN119" s="73"/>
      <c r="JVO119" s="73"/>
      <c r="JVP119" s="73"/>
      <c r="JVQ119" s="73"/>
      <c r="JVR119" s="73"/>
      <c r="JVS119" s="73"/>
      <c r="JVT119" s="73"/>
      <c r="JVU119" s="73"/>
      <c r="JVV119" s="73"/>
      <c r="JVW119" s="73"/>
      <c r="JVX119" s="73"/>
      <c r="JVY119" s="73"/>
      <c r="JVZ119" s="73"/>
      <c r="JWA119" s="73"/>
      <c r="JWB119" s="73"/>
      <c r="JWC119" s="73"/>
      <c r="JWD119" s="73"/>
      <c r="JWE119" s="73"/>
      <c r="JWF119" s="73"/>
      <c r="JWG119" s="73"/>
      <c r="JWH119" s="73"/>
      <c r="JWI119" s="73"/>
      <c r="JWJ119" s="73"/>
      <c r="JWK119" s="73"/>
      <c r="JWL119" s="73"/>
      <c r="JWM119" s="73"/>
      <c r="JWN119" s="73"/>
      <c r="JWO119" s="73"/>
      <c r="JWP119" s="73"/>
      <c r="JWQ119" s="73"/>
      <c r="JWR119" s="73"/>
      <c r="JWS119" s="73"/>
      <c r="JWT119" s="73"/>
      <c r="JWU119" s="73"/>
      <c r="JWV119" s="73"/>
      <c r="JWW119" s="73"/>
      <c r="JWX119" s="73"/>
      <c r="JWY119" s="73"/>
      <c r="JWZ119" s="73"/>
      <c r="JXA119" s="73"/>
      <c r="JXB119" s="73"/>
      <c r="JXC119" s="73"/>
      <c r="JXD119" s="73"/>
      <c r="JXE119" s="73"/>
      <c r="JXF119" s="73"/>
      <c r="JXG119" s="73"/>
      <c r="JXH119" s="73"/>
      <c r="JXI119" s="73"/>
      <c r="JXJ119" s="73"/>
      <c r="JXK119" s="73"/>
      <c r="JXL119" s="73"/>
      <c r="JXM119" s="73"/>
      <c r="JXN119" s="73"/>
      <c r="JXO119" s="73"/>
      <c r="JXP119" s="73"/>
      <c r="JXQ119" s="73"/>
      <c r="JXR119" s="73"/>
      <c r="JXS119" s="73"/>
      <c r="JXT119" s="73"/>
      <c r="JXU119" s="73"/>
      <c r="JXV119" s="73"/>
      <c r="JXW119" s="73"/>
      <c r="JXX119" s="73"/>
      <c r="JXY119" s="73"/>
      <c r="JXZ119" s="73"/>
      <c r="JYA119" s="73"/>
      <c r="JYB119" s="73"/>
      <c r="JYC119" s="73"/>
      <c r="JYD119" s="73"/>
      <c r="JYE119" s="73"/>
      <c r="JYF119" s="73"/>
      <c r="JYG119" s="73"/>
      <c r="JYH119" s="73"/>
      <c r="JYI119" s="73"/>
      <c r="JYJ119" s="73"/>
      <c r="JYK119" s="73"/>
      <c r="JYL119" s="73"/>
      <c r="JYM119" s="73"/>
      <c r="JYN119" s="73"/>
      <c r="JYO119" s="73"/>
      <c r="JYP119" s="73"/>
      <c r="JYQ119" s="73"/>
      <c r="JYR119" s="73"/>
      <c r="JYS119" s="73"/>
      <c r="JYT119" s="73"/>
      <c r="JYU119" s="73"/>
      <c r="JYV119" s="73"/>
      <c r="JYW119" s="73"/>
      <c r="JYX119" s="73"/>
      <c r="JYY119" s="73"/>
      <c r="JYZ119" s="73"/>
      <c r="JZA119" s="73"/>
      <c r="JZB119" s="73"/>
      <c r="JZC119" s="73"/>
      <c r="JZD119" s="73"/>
      <c r="JZE119" s="73"/>
      <c r="JZF119" s="73"/>
      <c r="JZG119" s="73"/>
      <c r="JZH119" s="73"/>
      <c r="JZI119" s="73"/>
      <c r="JZJ119" s="73"/>
      <c r="JZK119" s="73"/>
      <c r="JZL119" s="73"/>
      <c r="JZM119" s="73"/>
      <c r="JZN119" s="73"/>
      <c r="JZO119" s="73"/>
      <c r="JZP119" s="73"/>
      <c r="JZQ119" s="73"/>
      <c r="JZR119" s="73"/>
      <c r="JZS119" s="73"/>
      <c r="JZT119" s="73"/>
      <c r="JZU119" s="73"/>
      <c r="JZV119" s="73"/>
      <c r="JZW119" s="73"/>
      <c r="JZX119" s="73"/>
      <c r="JZY119" s="73"/>
      <c r="JZZ119" s="73"/>
      <c r="KAA119" s="73"/>
      <c r="KAB119" s="73"/>
      <c r="KAC119" s="73"/>
      <c r="KAD119" s="73"/>
      <c r="KAE119" s="73"/>
      <c r="KAF119" s="73"/>
      <c r="KAG119" s="73"/>
      <c r="KAH119" s="73"/>
      <c r="KAI119" s="73"/>
      <c r="KAJ119" s="73"/>
      <c r="KAK119" s="73"/>
      <c r="KAL119" s="73"/>
      <c r="KAM119" s="73"/>
      <c r="KAN119" s="73"/>
      <c r="KAO119" s="73"/>
      <c r="KAP119" s="73"/>
      <c r="KAQ119" s="73"/>
      <c r="KAR119" s="73"/>
      <c r="KAS119" s="73"/>
      <c r="KAT119" s="73"/>
      <c r="KAU119" s="73"/>
      <c r="KAV119" s="73"/>
      <c r="KAW119" s="73"/>
      <c r="KAX119" s="73"/>
      <c r="KAY119" s="73"/>
      <c r="KAZ119" s="73"/>
      <c r="KBA119" s="73"/>
      <c r="KBB119" s="73"/>
      <c r="KBC119" s="73"/>
      <c r="KBD119" s="73"/>
      <c r="KBE119" s="73"/>
      <c r="KBF119" s="73"/>
      <c r="KBG119" s="73"/>
      <c r="KBH119" s="73"/>
      <c r="KBI119" s="73"/>
      <c r="KBJ119" s="73"/>
      <c r="KBK119" s="73"/>
      <c r="KBL119" s="73"/>
      <c r="KBM119" s="73"/>
      <c r="KBN119" s="73"/>
      <c r="KBO119" s="73"/>
      <c r="KBP119" s="73"/>
      <c r="KBQ119" s="73"/>
      <c r="KBR119" s="73"/>
      <c r="KBS119" s="73"/>
      <c r="KBT119" s="73"/>
      <c r="KBU119" s="73"/>
      <c r="KBV119" s="73"/>
      <c r="KBW119" s="73"/>
      <c r="KBX119" s="73"/>
      <c r="KBY119" s="73"/>
      <c r="KBZ119" s="73"/>
      <c r="KCA119" s="73"/>
      <c r="KCB119" s="73"/>
      <c r="KCC119" s="73"/>
      <c r="KCD119" s="73"/>
      <c r="KCE119" s="73"/>
      <c r="KCF119" s="73"/>
      <c r="KCG119" s="73"/>
      <c r="KCH119" s="73"/>
      <c r="KCI119" s="73"/>
      <c r="KCJ119" s="73"/>
      <c r="KCK119" s="73"/>
      <c r="KCL119" s="73"/>
      <c r="KCM119" s="73"/>
      <c r="KCN119" s="73"/>
      <c r="KCO119" s="73"/>
      <c r="KCP119" s="73"/>
      <c r="KCQ119" s="73"/>
      <c r="KCR119" s="73"/>
      <c r="KCS119" s="73"/>
      <c r="KCT119" s="73"/>
      <c r="KCU119" s="73"/>
      <c r="KCV119" s="73"/>
      <c r="KCW119" s="73"/>
      <c r="KCX119" s="73"/>
      <c r="KCY119" s="73"/>
      <c r="KCZ119" s="73"/>
      <c r="KDA119" s="73"/>
      <c r="KDB119" s="73"/>
      <c r="KDC119" s="73"/>
      <c r="KDD119" s="73"/>
      <c r="KDE119" s="73"/>
      <c r="KDF119" s="73"/>
      <c r="KDG119" s="73"/>
      <c r="KDH119" s="73"/>
      <c r="KDI119" s="73"/>
      <c r="KDJ119" s="73"/>
      <c r="KDK119" s="73"/>
      <c r="KDL119" s="73"/>
      <c r="KDM119" s="73"/>
      <c r="KDN119" s="73"/>
      <c r="KDO119" s="73"/>
      <c r="KDP119" s="73"/>
      <c r="KDQ119" s="73"/>
      <c r="KDR119" s="73"/>
      <c r="KDS119" s="73"/>
      <c r="KDT119" s="73"/>
      <c r="KDU119" s="73"/>
      <c r="KDV119" s="73"/>
      <c r="KDW119" s="73"/>
      <c r="KDX119" s="73"/>
      <c r="KDY119" s="73"/>
      <c r="KDZ119" s="73"/>
      <c r="KEA119" s="73"/>
      <c r="KEB119" s="73"/>
      <c r="KEC119" s="73"/>
      <c r="KED119" s="73"/>
      <c r="KEE119" s="73"/>
      <c r="KEF119" s="73"/>
      <c r="KEG119" s="73"/>
      <c r="KEH119" s="73"/>
      <c r="KEI119" s="73"/>
      <c r="KEJ119" s="73"/>
      <c r="KEK119" s="73"/>
      <c r="KEL119" s="73"/>
      <c r="KEM119" s="73"/>
      <c r="KEN119" s="73"/>
      <c r="KEO119" s="73"/>
      <c r="KEP119" s="73"/>
      <c r="KEQ119" s="73"/>
      <c r="KER119" s="73"/>
      <c r="KES119" s="73"/>
      <c r="KET119" s="73"/>
      <c r="KEU119" s="73"/>
      <c r="KEV119" s="73"/>
      <c r="KEW119" s="73"/>
      <c r="KEX119" s="73"/>
      <c r="KEY119" s="73"/>
      <c r="KEZ119" s="73"/>
      <c r="KFA119" s="73"/>
      <c r="KFB119" s="73"/>
      <c r="KFC119" s="73"/>
      <c r="KFD119" s="73"/>
      <c r="KFE119" s="73"/>
      <c r="KFF119" s="73"/>
      <c r="KFG119" s="73"/>
      <c r="KFH119" s="73"/>
      <c r="KFI119" s="73"/>
      <c r="KFJ119" s="73"/>
      <c r="KFK119" s="73"/>
      <c r="KFL119" s="73"/>
      <c r="KFM119" s="73"/>
      <c r="KFN119" s="73"/>
      <c r="KFO119" s="73"/>
      <c r="KFP119" s="73"/>
      <c r="KFQ119" s="73"/>
      <c r="KFR119" s="73"/>
      <c r="KFS119" s="73"/>
      <c r="KFT119" s="73"/>
      <c r="KFU119" s="73"/>
      <c r="KFV119" s="73"/>
      <c r="KFW119" s="73"/>
      <c r="KFX119" s="73"/>
      <c r="KFY119" s="73"/>
      <c r="KFZ119" s="73"/>
      <c r="KGA119" s="73"/>
      <c r="KGB119" s="73"/>
      <c r="KGC119" s="73"/>
      <c r="KGD119" s="73"/>
      <c r="KGE119" s="73"/>
      <c r="KGF119" s="73"/>
      <c r="KGG119" s="73"/>
      <c r="KGH119" s="73"/>
      <c r="KGI119" s="73"/>
      <c r="KGJ119" s="73"/>
      <c r="KGK119" s="73"/>
      <c r="KGL119" s="73"/>
      <c r="KGM119" s="73"/>
      <c r="KGN119" s="73"/>
      <c r="KGO119" s="73"/>
      <c r="KGP119" s="73"/>
      <c r="KGQ119" s="73"/>
      <c r="KGR119" s="73"/>
      <c r="KGS119" s="73"/>
      <c r="KGT119" s="73"/>
      <c r="KGU119" s="73"/>
      <c r="KGV119" s="73"/>
      <c r="KGW119" s="73"/>
      <c r="KGX119" s="73"/>
      <c r="KGY119" s="73"/>
      <c r="KGZ119" s="73"/>
      <c r="KHA119" s="73"/>
      <c r="KHB119" s="73"/>
      <c r="KHC119" s="73"/>
      <c r="KHD119" s="73"/>
      <c r="KHE119" s="73"/>
      <c r="KHF119" s="73"/>
      <c r="KHG119" s="73"/>
      <c r="KHH119" s="73"/>
      <c r="KHI119" s="73"/>
      <c r="KHJ119" s="73"/>
      <c r="KHK119" s="73"/>
      <c r="KHL119" s="73"/>
      <c r="KHM119" s="73"/>
      <c r="KHN119" s="73"/>
      <c r="KHO119" s="73"/>
      <c r="KHP119" s="73"/>
      <c r="KHQ119" s="73"/>
      <c r="KHR119" s="73"/>
      <c r="KHS119" s="73"/>
      <c r="KHT119" s="73"/>
      <c r="KHU119" s="73"/>
      <c r="KHV119" s="73"/>
      <c r="KHW119" s="73"/>
      <c r="KHX119" s="73"/>
      <c r="KHY119" s="73"/>
      <c r="KHZ119" s="73"/>
      <c r="KIA119" s="73"/>
      <c r="KIB119" s="73"/>
      <c r="KIC119" s="73"/>
      <c r="KID119" s="73"/>
      <c r="KIE119" s="73"/>
      <c r="KIF119" s="73"/>
      <c r="KIG119" s="73"/>
      <c r="KIH119" s="73"/>
      <c r="KII119" s="73"/>
      <c r="KIJ119" s="73"/>
      <c r="KIK119" s="73"/>
      <c r="KIL119" s="73"/>
      <c r="KIM119" s="73"/>
      <c r="KIN119" s="73"/>
      <c r="KIO119" s="73"/>
      <c r="KIP119" s="73"/>
      <c r="KIQ119" s="73"/>
      <c r="KIR119" s="73"/>
      <c r="KIS119" s="73"/>
      <c r="KIT119" s="73"/>
      <c r="KIU119" s="73"/>
      <c r="KIV119" s="73"/>
      <c r="KIW119" s="73"/>
      <c r="KIX119" s="73"/>
      <c r="KIY119" s="73"/>
      <c r="KIZ119" s="73"/>
      <c r="KJA119" s="73"/>
      <c r="KJB119" s="73"/>
      <c r="KJC119" s="73"/>
      <c r="KJD119" s="73"/>
      <c r="KJE119" s="73"/>
      <c r="KJF119" s="73"/>
      <c r="KJG119" s="73"/>
      <c r="KJH119" s="73"/>
      <c r="KJI119" s="73"/>
      <c r="KJJ119" s="73"/>
      <c r="KJK119" s="73"/>
      <c r="KJL119" s="73"/>
      <c r="KJM119" s="73"/>
      <c r="KJN119" s="73"/>
      <c r="KJO119" s="73"/>
      <c r="KJP119" s="73"/>
      <c r="KJQ119" s="73"/>
      <c r="KJR119" s="73"/>
      <c r="KJS119" s="73"/>
      <c r="KJT119" s="73"/>
      <c r="KJU119" s="73"/>
      <c r="KJV119" s="73"/>
      <c r="KJW119" s="73"/>
      <c r="KJX119" s="73"/>
      <c r="KJY119" s="73"/>
      <c r="KJZ119" s="73"/>
      <c r="KKA119" s="73"/>
      <c r="KKB119" s="73"/>
      <c r="KKC119" s="73"/>
      <c r="KKD119" s="73"/>
      <c r="KKE119" s="73"/>
      <c r="KKF119" s="73"/>
      <c r="KKG119" s="73"/>
      <c r="KKH119" s="73"/>
      <c r="KKI119" s="73"/>
      <c r="KKJ119" s="73"/>
      <c r="KKK119" s="73"/>
      <c r="KKL119" s="73"/>
      <c r="KKM119" s="73"/>
      <c r="KKN119" s="73"/>
      <c r="KKO119" s="73"/>
      <c r="KKP119" s="73"/>
      <c r="KKQ119" s="73"/>
      <c r="KKR119" s="73"/>
      <c r="KKS119" s="73"/>
      <c r="KKT119" s="73"/>
      <c r="KKU119" s="73"/>
      <c r="KKV119" s="73"/>
      <c r="KKW119" s="73"/>
      <c r="KKX119" s="73"/>
      <c r="KKY119" s="73"/>
      <c r="KKZ119" s="73"/>
      <c r="KLA119" s="73"/>
      <c r="KLB119" s="73"/>
      <c r="KLC119" s="73"/>
      <c r="KLD119" s="73"/>
      <c r="KLE119" s="73"/>
      <c r="KLF119" s="73"/>
      <c r="KLG119" s="73"/>
      <c r="KLH119" s="73"/>
      <c r="KLI119" s="73"/>
      <c r="KLJ119" s="73"/>
      <c r="KLK119" s="73"/>
      <c r="KLL119" s="73"/>
      <c r="KLM119" s="73"/>
      <c r="KLN119" s="73"/>
      <c r="KLO119" s="73"/>
      <c r="KLP119" s="73"/>
      <c r="KLQ119" s="73"/>
      <c r="KLR119" s="73"/>
      <c r="KLS119" s="73"/>
      <c r="KLT119" s="73"/>
      <c r="KLU119" s="73"/>
      <c r="KLV119" s="73"/>
      <c r="KLW119" s="73"/>
      <c r="KLX119" s="73"/>
      <c r="KLY119" s="73"/>
      <c r="KLZ119" s="73"/>
      <c r="KMA119" s="73"/>
      <c r="KMB119" s="73"/>
      <c r="KMC119" s="73"/>
      <c r="KMD119" s="73"/>
      <c r="KME119" s="73"/>
      <c r="KMF119" s="73"/>
      <c r="KMG119" s="73"/>
      <c r="KMH119" s="73"/>
      <c r="KMI119" s="73"/>
      <c r="KMJ119" s="73"/>
      <c r="KMK119" s="73"/>
      <c r="KML119" s="73"/>
      <c r="KMM119" s="73"/>
      <c r="KMN119" s="73"/>
      <c r="KMO119" s="73"/>
      <c r="KMP119" s="73"/>
      <c r="KMQ119" s="73"/>
      <c r="KMR119" s="73"/>
      <c r="KMS119" s="73"/>
      <c r="KMT119" s="73"/>
      <c r="KMU119" s="73"/>
      <c r="KMV119" s="73"/>
      <c r="KMW119" s="73"/>
      <c r="KMX119" s="73"/>
      <c r="KMY119" s="73"/>
      <c r="KMZ119" s="73"/>
      <c r="KNA119" s="73"/>
      <c r="KNB119" s="73"/>
      <c r="KNC119" s="73"/>
      <c r="KND119" s="73"/>
      <c r="KNE119" s="73"/>
      <c r="KNF119" s="73"/>
      <c r="KNG119" s="73"/>
      <c r="KNH119" s="73"/>
      <c r="KNI119" s="73"/>
      <c r="KNJ119" s="73"/>
      <c r="KNK119" s="73"/>
      <c r="KNL119" s="73"/>
      <c r="KNM119" s="73"/>
      <c r="KNN119" s="73"/>
      <c r="KNO119" s="73"/>
      <c r="KNP119" s="73"/>
      <c r="KNQ119" s="73"/>
      <c r="KNR119" s="73"/>
      <c r="KNS119" s="73"/>
      <c r="KNT119" s="73"/>
      <c r="KNU119" s="73"/>
      <c r="KNV119" s="73"/>
      <c r="KNW119" s="73"/>
      <c r="KNX119" s="73"/>
      <c r="KNY119" s="73"/>
      <c r="KNZ119" s="73"/>
      <c r="KOA119" s="73"/>
      <c r="KOB119" s="73"/>
      <c r="KOC119" s="73"/>
      <c r="KOD119" s="73"/>
      <c r="KOE119" s="73"/>
      <c r="KOF119" s="73"/>
      <c r="KOG119" s="73"/>
      <c r="KOH119" s="73"/>
      <c r="KOI119" s="73"/>
      <c r="KOJ119" s="73"/>
      <c r="KOK119" s="73"/>
      <c r="KOL119" s="73"/>
      <c r="KOM119" s="73"/>
      <c r="KON119" s="73"/>
      <c r="KOO119" s="73"/>
      <c r="KOP119" s="73"/>
      <c r="KOQ119" s="73"/>
      <c r="KOR119" s="73"/>
      <c r="KOS119" s="73"/>
      <c r="KOT119" s="73"/>
      <c r="KOU119" s="73"/>
      <c r="KOV119" s="73"/>
      <c r="KOW119" s="73"/>
      <c r="KOX119" s="73"/>
      <c r="KOY119" s="73"/>
      <c r="KOZ119" s="73"/>
      <c r="KPA119" s="73"/>
      <c r="KPB119" s="73"/>
      <c r="KPC119" s="73"/>
      <c r="KPD119" s="73"/>
      <c r="KPE119" s="73"/>
      <c r="KPF119" s="73"/>
      <c r="KPG119" s="73"/>
      <c r="KPH119" s="73"/>
      <c r="KPI119" s="73"/>
      <c r="KPJ119" s="73"/>
      <c r="KPK119" s="73"/>
      <c r="KPL119" s="73"/>
      <c r="KPM119" s="73"/>
      <c r="KPN119" s="73"/>
      <c r="KPO119" s="73"/>
      <c r="KPP119" s="73"/>
      <c r="KPQ119" s="73"/>
      <c r="KPR119" s="73"/>
      <c r="KPS119" s="73"/>
      <c r="KPT119" s="73"/>
      <c r="KPU119" s="73"/>
      <c r="KPV119" s="73"/>
      <c r="KPW119" s="73"/>
      <c r="KPX119" s="73"/>
      <c r="KPY119" s="73"/>
      <c r="KPZ119" s="73"/>
      <c r="KQA119" s="73"/>
      <c r="KQB119" s="73"/>
      <c r="KQC119" s="73"/>
      <c r="KQD119" s="73"/>
      <c r="KQE119" s="73"/>
      <c r="KQF119" s="73"/>
      <c r="KQG119" s="73"/>
      <c r="KQH119" s="73"/>
      <c r="KQI119" s="73"/>
      <c r="KQJ119" s="73"/>
      <c r="KQK119" s="73"/>
      <c r="KQL119" s="73"/>
      <c r="KQM119" s="73"/>
      <c r="KQN119" s="73"/>
      <c r="KQO119" s="73"/>
      <c r="KQP119" s="73"/>
      <c r="KQQ119" s="73"/>
      <c r="KQR119" s="73"/>
      <c r="KQS119" s="73"/>
      <c r="KQT119" s="73"/>
      <c r="KQU119" s="73"/>
      <c r="KQV119" s="73"/>
      <c r="KQW119" s="73"/>
      <c r="KQX119" s="73"/>
      <c r="KQY119" s="73"/>
      <c r="KQZ119" s="73"/>
      <c r="KRA119" s="73"/>
      <c r="KRB119" s="73"/>
      <c r="KRC119" s="73"/>
      <c r="KRD119" s="73"/>
      <c r="KRE119" s="73"/>
      <c r="KRF119" s="73"/>
      <c r="KRG119" s="73"/>
      <c r="KRH119" s="73"/>
      <c r="KRI119" s="73"/>
      <c r="KRJ119" s="73"/>
      <c r="KRK119" s="73"/>
      <c r="KRL119" s="73"/>
      <c r="KRM119" s="73"/>
      <c r="KRN119" s="73"/>
      <c r="KRO119" s="73"/>
      <c r="KRP119" s="73"/>
      <c r="KRQ119" s="73"/>
      <c r="KRR119" s="73"/>
      <c r="KRS119" s="73"/>
      <c r="KRT119" s="73"/>
      <c r="KRU119" s="73"/>
      <c r="KRV119" s="73"/>
      <c r="KRW119" s="73"/>
      <c r="KRX119" s="73"/>
      <c r="KRY119" s="73"/>
      <c r="KRZ119" s="73"/>
      <c r="KSA119" s="73"/>
      <c r="KSB119" s="73"/>
      <c r="KSC119" s="73"/>
      <c r="KSD119" s="73"/>
      <c r="KSE119" s="73"/>
      <c r="KSF119" s="73"/>
      <c r="KSG119" s="73"/>
      <c r="KSH119" s="73"/>
      <c r="KSI119" s="73"/>
      <c r="KSJ119" s="73"/>
      <c r="KSK119" s="73"/>
      <c r="KSL119" s="73"/>
      <c r="KSM119" s="73"/>
      <c r="KSN119" s="73"/>
      <c r="KSO119" s="73"/>
      <c r="KSP119" s="73"/>
      <c r="KSQ119" s="73"/>
      <c r="KSR119" s="73"/>
      <c r="KSS119" s="73"/>
      <c r="KST119" s="73"/>
      <c r="KSU119" s="73"/>
      <c r="KSV119" s="73"/>
      <c r="KSW119" s="73"/>
      <c r="KSX119" s="73"/>
      <c r="KSY119" s="73"/>
      <c r="KSZ119" s="73"/>
      <c r="KTA119" s="73"/>
      <c r="KTB119" s="73"/>
      <c r="KTC119" s="73"/>
      <c r="KTD119" s="73"/>
      <c r="KTE119" s="73"/>
      <c r="KTF119" s="73"/>
      <c r="KTG119" s="73"/>
      <c r="KTH119" s="73"/>
      <c r="KTI119" s="73"/>
      <c r="KTJ119" s="73"/>
      <c r="KTK119" s="73"/>
      <c r="KTL119" s="73"/>
      <c r="KTM119" s="73"/>
      <c r="KTN119" s="73"/>
      <c r="KTO119" s="73"/>
      <c r="KTP119" s="73"/>
      <c r="KTQ119" s="73"/>
      <c r="KTR119" s="73"/>
      <c r="KTS119" s="73"/>
      <c r="KTT119" s="73"/>
      <c r="KTU119" s="73"/>
      <c r="KTV119" s="73"/>
      <c r="KTW119" s="73"/>
      <c r="KTX119" s="73"/>
      <c r="KTY119" s="73"/>
      <c r="KTZ119" s="73"/>
      <c r="KUA119" s="73"/>
      <c r="KUB119" s="73"/>
      <c r="KUC119" s="73"/>
      <c r="KUD119" s="73"/>
      <c r="KUE119" s="73"/>
      <c r="KUF119" s="73"/>
      <c r="KUG119" s="73"/>
      <c r="KUH119" s="73"/>
      <c r="KUI119" s="73"/>
      <c r="KUJ119" s="73"/>
      <c r="KUK119" s="73"/>
      <c r="KUL119" s="73"/>
      <c r="KUM119" s="73"/>
      <c r="KUN119" s="73"/>
      <c r="KUO119" s="73"/>
      <c r="KUP119" s="73"/>
      <c r="KUQ119" s="73"/>
      <c r="KUR119" s="73"/>
      <c r="KUS119" s="73"/>
      <c r="KUT119" s="73"/>
      <c r="KUU119" s="73"/>
      <c r="KUV119" s="73"/>
      <c r="KUW119" s="73"/>
      <c r="KUX119" s="73"/>
      <c r="KUY119" s="73"/>
      <c r="KUZ119" s="73"/>
      <c r="KVA119" s="73"/>
      <c r="KVB119" s="73"/>
      <c r="KVC119" s="73"/>
      <c r="KVD119" s="73"/>
      <c r="KVE119" s="73"/>
      <c r="KVF119" s="73"/>
      <c r="KVG119" s="73"/>
      <c r="KVH119" s="73"/>
      <c r="KVI119" s="73"/>
      <c r="KVJ119" s="73"/>
      <c r="KVK119" s="73"/>
      <c r="KVL119" s="73"/>
      <c r="KVM119" s="73"/>
      <c r="KVN119" s="73"/>
      <c r="KVO119" s="73"/>
      <c r="KVP119" s="73"/>
      <c r="KVQ119" s="73"/>
      <c r="KVR119" s="73"/>
      <c r="KVS119" s="73"/>
      <c r="KVT119" s="73"/>
      <c r="KVU119" s="73"/>
      <c r="KVV119" s="73"/>
      <c r="KVW119" s="73"/>
      <c r="KVX119" s="73"/>
      <c r="KVY119" s="73"/>
      <c r="KVZ119" s="73"/>
      <c r="KWA119" s="73"/>
      <c r="KWB119" s="73"/>
      <c r="KWC119" s="73"/>
      <c r="KWD119" s="73"/>
      <c r="KWE119" s="73"/>
      <c r="KWF119" s="73"/>
      <c r="KWG119" s="73"/>
      <c r="KWH119" s="73"/>
      <c r="KWI119" s="73"/>
      <c r="KWJ119" s="73"/>
      <c r="KWK119" s="73"/>
      <c r="KWL119" s="73"/>
      <c r="KWM119" s="73"/>
      <c r="KWN119" s="73"/>
      <c r="KWO119" s="73"/>
      <c r="KWP119" s="73"/>
      <c r="KWQ119" s="73"/>
      <c r="KWR119" s="73"/>
      <c r="KWS119" s="73"/>
      <c r="KWT119" s="73"/>
      <c r="KWU119" s="73"/>
      <c r="KWV119" s="73"/>
      <c r="KWW119" s="73"/>
      <c r="KWX119" s="73"/>
      <c r="KWY119" s="73"/>
      <c r="KWZ119" s="73"/>
      <c r="KXA119" s="73"/>
      <c r="KXB119" s="73"/>
      <c r="KXC119" s="73"/>
      <c r="KXD119" s="73"/>
      <c r="KXE119" s="73"/>
      <c r="KXF119" s="73"/>
      <c r="KXG119" s="73"/>
      <c r="KXH119" s="73"/>
      <c r="KXI119" s="73"/>
      <c r="KXJ119" s="73"/>
      <c r="KXK119" s="73"/>
      <c r="KXL119" s="73"/>
      <c r="KXM119" s="73"/>
      <c r="KXN119" s="73"/>
      <c r="KXO119" s="73"/>
      <c r="KXP119" s="73"/>
      <c r="KXQ119" s="73"/>
      <c r="KXR119" s="73"/>
      <c r="KXS119" s="73"/>
      <c r="KXT119" s="73"/>
      <c r="KXU119" s="73"/>
      <c r="KXV119" s="73"/>
      <c r="KXW119" s="73"/>
      <c r="KXX119" s="73"/>
      <c r="KXY119" s="73"/>
      <c r="KXZ119" s="73"/>
      <c r="KYA119" s="73"/>
      <c r="KYB119" s="73"/>
      <c r="KYC119" s="73"/>
      <c r="KYD119" s="73"/>
      <c r="KYE119" s="73"/>
      <c r="KYF119" s="73"/>
      <c r="KYG119" s="73"/>
      <c r="KYH119" s="73"/>
      <c r="KYI119" s="73"/>
      <c r="KYJ119" s="73"/>
      <c r="KYK119" s="73"/>
      <c r="KYL119" s="73"/>
      <c r="KYM119" s="73"/>
      <c r="KYN119" s="73"/>
      <c r="KYO119" s="73"/>
      <c r="KYP119" s="73"/>
      <c r="KYQ119" s="73"/>
      <c r="KYR119" s="73"/>
      <c r="KYS119" s="73"/>
      <c r="KYT119" s="73"/>
      <c r="KYU119" s="73"/>
      <c r="KYV119" s="73"/>
      <c r="KYW119" s="73"/>
      <c r="KYX119" s="73"/>
      <c r="KYY119" s="73"/>
      <c r="KYZ119" s="73"/>
      <c r="KZA119" s="73"/>
      <c r="KZB119" s="73"/>
      <c r="KZC119" s="73"/>
      <c r="KZD119" s="73"/>
      <c r="KZE119" s="73"/>
      <c r="KZF119" s="73"/>
      <c r="KZG119" s="73"/>
      <c r="KZH119" s="73"/>
      <c r="KZI119" s="73"/>
      <c r="KZJ119" s="73"/>
      <c r="KZK119" s="73"/>
      <c r="KZL119" s="73"/>
      <c r="KZM119" s="73"/>
      <c r="KZN119" s="73"/>
      <c r="KZO119" s="73"/>
      <c r="KZP119" s="73"/>
      <c r="KZQ119" s="73"/>
      <c r="KZR119" s="73"/>
      <c r="KZS119" s="73"/>
      <c r="KZT119" s="73"/>
      <c r="KZU119" s="73"/>
      <c r="KZV119" s="73"/>
      <c r="KZW119" s="73"/>
      <c r="KZX119" s="73"/>
      <c r="KZY119" s="73"/>
      <c r="KZZ119" s="73"/>
      <c r="LAA119" s="73"/>
      <c r="LAB119" s="73"/>
      <c r="LAC119" s="73"/>
      <c r="LAD119" s="73"/>
      <c r="LAE119" s="73"/>
      <c r="LAF119" s="73"/>
      <c r="LAG119" s="73"/>
      <c r="LAH119" s="73"/>
      <c r="LAI119" s="73"/>
      <c r="LAJ119" s="73"/>
      <c r="LAK119" s="73"/>
      <c r="LAL119" s="73"/>
      <c r="LAM119" s="73"/>
      <c r="LAN119" s="73"/>
      <c r="LAO119" s="73"/>
      <c r="LAP119" s="73"/>
      <c r="LAQ119" s="73"/>
      <c r="LAR119" s="73"/>
      <c r="LAS119" s="73"/>
      <c r="LAT119" s="73"/>
      <c r="LAU119" s="73"/>
      <c r="LAV119" s="73"/>
      <c r="LAW119" s="73"/>
      <c r="LAX119" s="73"/>
      <c r="LAY119" s="73"/>
      <c r="LAZ119" s="73"/>
      <c r="LBA119" s="73"/>
      <c r="LBB119" s="73"/>
      <c r="LBC119" s="73"/>
      <c r="LBD119" s="73"/>
      <c r="LBE119" s="73"/>
      <c r="LBF119" s="73"/>
      <c r="LBG119" s="73"/>
      <c r="LBH119" s="73"/>
      <c r="LBI119" s="73"/>
      <c r="LBJ119" s="73"/>
      <c r="LBK119" s="73"/>
      <c r="LBL119" s="73"/>
      <c r="LBM119" s="73"/>
      <c r="LBN119" s="73"/>
      <c r="LBO119" s="73"/>
      <c r="LBP119" s="73"/>
      <c r="LBQ119" s="73"/>
      <c r="LBR119" s="73"/>
      <c r="LBS119" s="73"/>
      <c r="LBT119" s="73"/>
      <c r="LBU119" s="73"/>
      <c r="LBV119" s="73"/>
      <c r="LBW119" s="73"/>
      <c r="LBX119" s="73"/>
      <c r="LBY119" s="73"/>
      <c r="LBZ119" s="73"/>
      <c r="LCA119" s="73"/>
      <c r="LCB119" s="73"/>
      <c r="LCC119" s="73"/>
      <c r="LCD119" s="73"/>
      <c r="LCE119" s="73"/>
      <c r="LCF119" s="73"/>
      <c r="LCG119" s="73"/>
      <c r="LCH119" s="73"/>
      <c r="LCI119" s="73"/>
      <c r="LCJ119" s="73"/>
      <c r="LCK119" s="73"/>
      <c r="LCL119" s="73"/>
      <c r="LCM119" s="73"/>
      <c r="LCN119" s="73"/>
      <c r="LCO119" s="73"/>
      <c r="LCP119" s="73"/>
      <c r="LCQ119" s="73"/>
      <c r="LCR119" s="73"/>
      <c r="LCS119" s="73"/>
      <c r="LCT119" s="73"/>
      <c r="LCU119" s="73"/>
      <c r="LCV119" s="73"/>
      <c r="LCW119" s="73"/>
      <c r="LCX119" s="73"/>
      <c r="LCY119" s="73"/>
      <c r="LCZ119" s="73"/>
      <c r="LDA119" s="73"/>
      <c r="LDB119" s="73"/>
      <c r="LDC119" s="73"/>
      <c r="LDD119" s="73"/>
      <c r="LDE119" s="73"/>
      <c r="LDF119" s="73"/>
      <c r="LDG119" s="73"/>
      <c r="LDH119" s="73"/>
      <c r="LDI119" s="73"/>
      <c r="LDJ119" s="73"/>
      <c r="LDK119" s="73"/>
      <c r="LDL119" s="73"/>
      <c r="LDM119" s="73"/>
      <c r="LDN119" s="73"/>
      <c r="LDO119" s="73"/>
      <c r="LDP119" s="73"/>
      <c r="LDQ119" s="73"/>
      <c r="LDR119" s="73"/>
      <c r="LDS119" s="73"/>
      <c r="LDT119" s="73"/>
      <c r="LDU119" s="73"/>
      <c r="LDV119" s="73"/>
      <c r="LDW119" s="73"/>
      <c r="LDX119" s="73"/>
      <c r="LDY119" s="73"/>
      <c r="LDZ119" s="73"/>
      <c r="LEA119" s="73"/>
      <c r="LEB119" s="73"/>
      <c r="LEC119" s="73"/>
      <c r="LED119" s="73"/>
      <c r="LEE119" s="73"/>
      <c r="LEF119" s="73"/>
      <c r="LEG119" s="73"/>
      <c r="LEH119" s="73"/>
      <c r="LEI119" s="73"/>
      <c r="LEJ119" s="73"/>
      <c r="LEK119" s="73"/>
      <c r="LEL119" s="73"/>
      <c r="LEM119" s="73"/>
      <c r="LEN119" s="73"/>
      <c r="LEO119" s="73"/>
      <c r="LEP119" s="73"/>
      <c r="LEQ119" s="73"/>
      <c r="LER119" s="73"/>
      <c r="LES119" s="73"/>
      <c r="LET119" s="73"/>
      <c r="LEU119" s="73"/>
      <c r="LEV119" s="73"/>
      <c r="LEW119" s="73"/>
      <c r="LEX119" s="73"/>
      <c r="LEY119" s="73"/>
      <c r="LEZ119" s="73"/>
      <c r="LFA119" s="73"/>
      <c r="LFB119" s="73"/>
      <c r="LFC119" s="73"/>
      <c r="LFD119" s="73"/>
      <c r="LFE119" s="73"/>
      <c r="LFF119" s="73"/>
      <c r="LFG119" s="73"/>
      <c r="LFH119" s="73"/>
      <c r="LFI119" s="73"/>
      <c r="LFJ119" s="73"/>
      <c r="LFK119" s="73"/>
      <c r="LFL119" s="73"/>
      <c r="LFM119" s="73"/>
      <c r="LFN119" s="73"/>
      <c r="LFO119" s="73"/>
      <c r="LFP119" s="73"/>
      <c r="LFQ119" s="73"/>
      <c r="LFR119" s="73"/>
      <c r="LFS119" s="73"/>
      <c r="LFT119" s="73"/>
      <c r="LFU119" s="73"/>
      <c r="LFV119" s="73"/>
      <c r="LFW119" s="73"/>
      <c r="LFX119" s="73"/>
      <c r="LFY119" s="73"/>
      <c r="LFZ119" s="73"/>
      <c r="LGA119" s="73"/>
      <c r="LGB119" s="73"/>
      <c r="LGC119" s="73"/>
      <c r="LGD119" s="73"/>
      <c r="LGE119" s="73"/>
      <c r="LGF119" s="73"/>
      <c r="LGG119" s="73"/>
      <c r="LGH119" s="73"/>
      <c r="LGI119" s="73"/>
      <c r="LGJ119" s="73"/>
      <c r="LGK119" s="73"/>
      <c r="LGL119" s="73"/>
      <c r="LGM119" s="73"/>
      <c r="LGN119" s="73"/>
      <c r="LGO119" s="73"/>
      <c r="LGP119" s="73"/>
      <c r="LGQ119" s="73"/>
      <c r="LGR119" s="73"/>
      <c r="LGS119" s="73"/>
      <c r="LGT119" s="73"/>
      <c r="LGU119" s="73"/>
      <c r="LGV119" s="73"/>
      <c r="LGW119" s="73"/>
      <c r="LGX119" s="73"/>
      <c r="LGY119" s="73"/>
      <c r="LGZ119" s="73"/>
      <c r="LHA119" s="73"/>
      <c r="LHB119" s="73"/>
      <c r="LHC119" s="73"/>
      <c r="LHD119" s="73"/>
      <c r="LHE119" s="73"/>
      <c r="LHF119" s="73"/>
      <c r="LHG119" s="73"/>
      <c r="LHH119" s="73"/>
      <c r="LHI119" s="73"/>
      <c r="LHJ119" s="73"/>
      <c r="LHK119" s="73"/>
      <c r="LHL119" s="73"/>
      <c r="LHM119" s="73"/>
      <c r="LHN119" s="73"/>
      <c r="LHO119" s="73"/>
      <c r="LHP119" s="73"/>
      <c r="LHQ119" s="73"/>
      <c r="LHR119" s="73"/>
      <c r="LHS119" s="73"/>
      <c r="LHT119" s="73"/>
      <c r="LHU119" s="73"/>
      <c r="LHV119" s="73"/>
      <c r="LHW119" s="73"/>
      <c r="LHX119" s="73"/>
      <c r="LHY119" s="73"/>
      <c r="LHZ119" s="73"/>
      <c r="LIA119" s="73"/>
      <c r="LIB119" s="73"/>
      <c r="LIC119" s="73"/>
      <c r="LID119" s="73"/>
      <c r="LIE119" s="73"/>
      <c r="LIF119" s="73"/>
      <c r="LIG119" s="73"/>
      <c r="LIH119" s="73"/>
      <c r="LII119" s="73"/>
      <c r="LIJ119" s="73"/>
      <c r="LIK119" s="73"/>
      <c r="LIL119" s="73"/>
      <c r="LIM119" s="73"/>
      <c r="LIN119" s="73"/>
      <c r="LIO119" s="73"/>
      <c r="LIP119" s="73"/>
      <c r="LIQ119" s="73"/>
      <c r="LIR119" s="73"/>
      <c r="LIS119" s="73"/>
      <c r="LIT119" s="73"/>
      <c r="LIU119" s="73"/>
      <c r="LIV119" s="73"/>
      <c r="LIW119" s="73"/>
      <c r="LIX119" s="73"/>
      <c r="LIY119" s="73"/>
      <c r="LIZ119" s="73"/>
      <c r="LJA119" s="73"/>
      <c r="LJB119" s="73"/>
      <c r="LJC119" s="73"/>
      <c r="LJD119" s="73"/>
      <c r="LJE119" s="73"/>
      <c r="LJF119" s="73"/>
      <c r="LJG119" s="73"/>
      <c r="LJH119" s="73"/>
      <c r="LJI119" s="73"/>
      <c r="LJJ119" s="73"/>
      <c r="LJK119" s="73"/>
      <c r="LJL119" s="73"/>
      <c r="LJM119" s="73"/>
      <c r="LJN119" s="73"/>
      <c r="LJO119" s="73"/>
      <c r="LJP119" s="73"/>
      <c r="LJQ119" s="73"/>
      <c r="LJR119" s="73"/>
      <c r="LJS119" s="73"/>
      <c r="LJT119" s="73"/>
      <c r="LJU119" s="73"/>
      <c r="LJV119" s="73"/>
      <c r="LJW119" s="73"/>
      <c r="LJX119" s="73"/>
      <c r="LJY119" s="73"/>
      <c r="LJZ119" s="73"/>
      <c r="LKA119" s="73"/>
      <c r="LKB119" s="73"/>
      <c r="LKC119" s="73"/>
      <c r="LKD119" s="73"/>
      <c r="LKE119" s="73"/>
      <c r="LKF119" s="73"/>
      <c r="LKG119" s="73"/>
      <c r="LKH119" s="73"/>
      <c r="LKI119" s="73"/>
      <c r="LKJ119" s="73"/>
      <c r="LKK119" s="73"/>
      <c r="LKL119" s="73"/>
      <c r="LKM119" s="73"/>
      <c r="LKN119" s="73"/>
      <c r="LKO119" s="73"/>
      <c r="LKP119" s="73"/>
      <c r="LKQ119" s="73"/>
      <c r="LKR119" s="73"/>
      <c r="LKS119" s="73"/>
      <c r="LKT119" s="73"/>
      <c r="LKU119" s="73"/>
      <c r="LKV119" s="73"/>
      <c r="LKW119" s="73"/>
      <c r="LKX119" s="73"/>
      <c r="LKY119" s="73"/>
      <c r="LKZ119" s="73"/>
      <c r="LLA119" s="73"/>
      <c r="LLB119" s="73"/>
      <c r="LLC119" s="73"/>
      <c r="LLD119" s="73"/>
      <c r="LLE119" s="73"/>
      <c r="LLF119" s="73"/>
      <c r="LLG119" s="73"/>
      <c r="LLH119" s="73"/>
      <c r="LLI119" s="73"/>
      <c r="LLJ119" s="73"/>
      <c r="LLK119" s="73"/>
      <c r="LLL119" s="73"/>
      <c r="LLM119" s="73"/>
      <c r="LLN119" s="73"/>
      <c r="LLO119" s="73"/>
      <c r="LLP119" s="73"/>
      <c r="LLQ119" s="73"/>
      <c r="LLR119" s="73"/>
      <c r="LLS119" s="73"/>
      <c r="LLT119" s="73"/>
      <c r="LLU119" s="73"/>
      <c r="LLV119" s="73"/>
      <c r="LLW119" s="73"/>
      <c r="LLX119" s="73"/>
      <c r="LLY119" s="73"/>
      <c r="LLZ119" s="73"/>
      <c r="LMA119" s="73"/>
      <c r="LMB119" s="73"/>
      <c r="LMC119" s="73"/>
      <c r="LMD119" s="73"/>
      <c r="LME119" s="73"/>
      <c r="LMF119" s="73"/>
      <c r="LMG119" s="73"/>
      <c r="LMH119" s="73"/>
      <c r="LMI119" s="73"/>
      <c r="LMJ119" s="73"/>
      <c r="LMK119" s="73"/>
      <c r="LML119" s="73"/>
      <c r="LMM119" s="73"/>
      <c r="LMN119" s="73"/>
      <c r="LMO119" s="73"/>
      <c r="LMP119" s="73"/>
      <c r="LMQ119" s="73"/>
      <c r="LMR119" s="73"/>
      <c r="LMS119" s="73"/>
      <c r="LMT119" s="73"/>
      <c r="LMU119" s="73"/>
      <c r="LMV119" s="73"/>
      <c r="LMW119" s="73"/>
      <c r="LMX119" s="73"/>
      <c r="LMY119" s="73"/>
      <c r="LMZ119" s="73"/>
      <c r="LNA119" s="73"/>
      <c r="LNB119" s="73"/>
      <c r="LNC119" s="73"/>
      <c r="LND119" s="73"/>
      <c r="LNE119" s="73"/>
      <c r="LNF119" s="73"/>
      <c r="LNG119" s="73"/>
      <c r="LNH119" s="73"/>
      <c r="LNI119" s="73"/>
      <c r="LNJ119" s="73"/>
      <c r="LNK119" s="73"/>
      <c r="LNL119" s="73"/>
      <c r="LNM119" s="73"/>
      <c r="LNN119" s="73"/>
      <c r="LNO119" s="73"/>
      <c r="LNP119" s="73"/>
      <c r="LNQ119" s="73"/>
      <c r="LNR119" s="73"/>
      <c r="LNS119" s="73"/>
      <c r="LNT119" s="73"/>
      <c r="LNU119" s="73"/>
      <c r="LNV119" s="73"/>
      <c r="LNW119" s="73"/>
      <c r="LNX119" s="73"/>
      <c r="LNY119" s="73"/>
      <c r="LNZ119" s="73"/>
      <c r="LOA119" s="73"/>
      <c r="LOB119" s="73"/>
      <c r="LOC119" s="73"/>
      <c r="LOD119" s="73"/>
      <c r="LOE119" s="73"/>
      <c r="LOF119" s="73"/>
      <c r="LOG119" s="73"/>
      <c r="LOH119" s="73"/>
      <c r="LOI119" s="73"/>
      <c r="LOJ119" s="73"/>
      <c r="LOK119" s="73"/>
      <c r="LOL119" s="73"/>
      <c r="LOM119" s="73"/>
      <c r="LON119" s="73"/>
      <c r="LOO119" s="73"/>
      <c r="LOP119" s="73"/>
      <c r="LOQ119" s="73"/>
      <c r="LOR119" s="73"/>
      <c r="LOS119" s="73"/>
      <c r="LOT119" s="73"/>
      <c r="LOU119" s="73"/>
      <c r="LOV119" s="73"/>
      <c r="LOW119" s="73"/>
      <c r="LOX119" s="73"/>
      <c r="LOY119" s="73"/>
      <c r="LOZ119" s="73"/>
      <c r="LPA119" s="73"/>
      <c r="LPB119" s="73"/>
      <c r="LPC119" s="73"/>
      <c r="LPD119" s="73"/>
      <c r="LPE119" s="73"/>
      <c r="LPF119" s="73"/>
      <c r="LPG119" s="73"/>
      <c r="LPH119" s="73"/>
      <c r="LPI119" s="73"/>
      <c r="LPJ119" s="73"/>
      <c r="LPK119" s="73"/>
      <c r="LPL119" s="73"/>
      <c r="LPM119" s="73"/>
      <c r="LPN119" s="73"/>
      <c r="LPO119" s="73"/>
      <c r="LPP119" s="73"/>
      <c r="LPQ119" s="73"/>
      <c r="LPR119" s="73"/>
      <c r="LPS119" s="73"/>
      <c r="LPT119" s="73"/>
      <c r="LPU119" s="73"/>
      <c r="LPV119" s="73"/>
      <c r="LPW119" s="73"/>
      <c r="LPX119" s="73"/>
      <c r="LPY119" s="73"/>
      <c r="LPZ119" s="73"/>
      <c r="LQA119" s="73"/>
      <c r="LQB119" s="73"/>
      <c r="LQC119" s="73"/>
      <c r="LQD119" s="73"/>
      <c r="LQE119" s="73"/>
      <c r="LQF119" s="73"/>
      <c r="LQG119" s="73"/>
      <c r="LQH119" s="73"/>
      <c r="LQI119" s="73"/>
      <c r="LQJ119" s="73"/>
      <c r="LQK119" s="73"/>
      <c r="LQL119" s="73"/>
      <c r="LQM119" s="73"/>
      <c r="LQN119" s="73"/>
      <c r="LQO119" s="73"/>
      <c r="LQP119" s="73"/>
      <c r="LQQ119" s="73"/>
      <c r="LQR119" s="73"/>
      <c r="LQS119" s="73"/>
      <c r="LQT119" s="73"/>
      <c r="LQU119" s="73"/>
      <c r="LQV119" s="73"/>
      <c r="LQW119" s="73"/>
      <c r="LQX119" s="73"/>
      <c r="LQY119" s="73"/>
      <c r="LQZ119" s="73"/>
      <c r="LRA119" s="73"/>
      <c r="LRB119" s="73"/>
      <c r="LRC119" s="73"/>
      <c r="LRD119" s="73"/>
      <c r="LRE119" s="73"/>
      <c r="LRF119" s="73"/>
      <c r="LRG119" s="73"/>
      <c r="LRH119" s="73"/>
      <c r="LRI119" s="73"/>
      <c r="LRJ119" s="73"/>
      <c r="LRK119" s="73"/>
      <c r="LRL119" s="73"/>
      <c r="LRM119" s="73"/>
      <c r="LRN119" s="73"/>
      <c r="LRO119" s="73"/>
      <c r="LRP119" s="73"/>
      <c r="LRQ119" s="73"/>
      <c r="LRR119" s="73"/>
      <c r="LRS119" s="73"/>
      <c r="LRT119" s="73"/>
      <c r="LRU119" s="73"/>
      <c r="LRV119" s="73"/>
      <c r="LRW119" s="73"/>
      <c r="LRX119" s="73"/>
      <c r="LRY119" s="73"/>
      <c r="LRZ119" s="73"/>
      <c r="LSA119" s="73"/>
      <c r="LSB119" s="73"/>
      <c r="LSC119" s="73"/>
      <c r="LSD119" s="73"/>
      <c r="LSE119" s="73"/>
      <c r="LSF119" s="73"/>
      <c r="LSG119" s="73"/>
      <c r="LSH119" s="73"/>
      <c r="LSI119" s="73"/>
      <c r="LSJ119" s="73"/>
      <c r="LSK119" s="73"/>
      <c r="LSL119" s="73"/>
      <c r="LSM119" s="73"/>
      <c r="LSN119" s="73"/>
      <c r="LSO119" s="73"/>
      <c r="LSP119" s="73"/>
      <c r="LSQ119" s="73"/>
      <c r="LSR119" s="73"/>
      <c r="LSS119" s="73"/>
      <c r="LST119" s="73"/>
      <c r="LSU119" s="73"/>
      <c r="LSV119" s="73"/>
      <c r="LSW119" s="73"/>
      <c r="LSX119" s="73"/>
      <c r="LSY119" s="73"/>
      <c r="LSZ119" s="73"/>
      <c r="LTA119" s="73"/>
      <c r="LTB119" s="73"/>
      <c r="LTC119" s="73"/>
      <c r="LTD119" s="73"/>
      <c r="LTE119" s="73"/>
      <c r="LTF119" s="73"/>
      <c r="LTG119" s="73"/>
      <c r="LTH119" s="73"/>
      <c r="LTI119" s="73"/>
      <c r="LTJ119" s="73"/>
      <c r="LTK119" s="73"/>
      <c r="LTL119" s="73"/>
      <c r="LTM119" s="73"/>
      <c r="LTN119" s="73"/>
      <c r="LTO119" s="73"/>
      <c r="LTP119" s="73"/>
      <c r="LTQ119" s="73"/>
      <c r="LTR119" s="73"/>
      <c r="LTS119" s="73"/>
      <c r="LTT119" s="73"/>
      <c r="LTU119" s="73"/>
      <c r="LTV119" s="73"/>
      <c r="LTW119" s="73"/>
      <c r="LTX119" s="73"/>
      <c r="LTY119" s="73"/>
      <c r="LTZ119" s="73"/>
      <c r="LUA119" s="73"/>
      <c r="LUB119" s="73"/>
      <c r="LUC119" s="73"/>
      <c r="LUD119" s="73"/>
      <c r="LUE119" s="73"/>
      <c r="LUF119" s="73"/>
      <c r="LUG119" s="73"/>
      <c r="LUH119" s="73"/>
      <c r="LUI119" s="73"/>
      <c r="LUJ119" s="73"/>
      <c r="LUK119" s="73"/>
      <c r="LUL119" s="73"/>
      <c r="LUM119" s="73"/>
      <c r="LUN119" s="73"/>
      <c r="LUO119" s="73"/>
      <c r="LUP119" s="73"/>
      <c r="LUQ119" s="73"/>
      <c r="LUR119" s="73"/>
      <c r="LUS119" s="73"/>
      <c r="LUT119" s="73"/>
      <c r="LUU119" s="73"/>
      <c r="LUV119" s="73"/>
      <c r="LUW119" s="73"/>
      <c r="LUX119" s="73"/>
      <c r="LUY119" s="73"/>
      <c r="LUZ119" s="73"/>
      <c r="LVA119" s="73"/>
      <c r="LVB119" s="73"/>
      <c r="LVC119" s="73"/>
      <c r="LVD119" s="73"/>
      <c r="LVE119" s="73"/>
      <c r="LVF119" s="73"/>
      <c r="LVG119" s="73"/>
      <c r="LVH119" s="73"/>
      <c r="LVI119" s="73"/>
      <c r="LVJ119" s="73"/>
      <c r="LVK119" s="73"/>
      <c r="LVL119" s="73"/>
      <c r="LVM119" s="73"/>
      <c r="LVN119" s="73"/>
      <c r="LVO119" s="73"/>
      <c r="LVP119" s="73"/>
      <c r="LVQ119" s="73"/>
      <c r="LVR119" s="73"/>
      <c r="LVS119" s="73"/>
      <c r="LVT119" s="73"/>
      <c r="LVU119" s="73"/>
      <c r="LVV119" s="73"/>
      <c r="LVW119" s="73"/>
      <c r="LVX119" s="73"/>
      <c r="LVY119" s="73"/>
      <c r="LVZ119" s="73"/>
      <c r="LWA119" s="73"/>
      <c r="LWB119" s="73"/>
      <c r="LWC119" s="73"/>
      <c r="LWD119" s="73"/>
      <c r="LWE119" s="73"/>
      <c r="LWF119" s="73"/>
      <c r="LWG119" s="73"/>
      <c r="LWH119" s="73"/>
      <c r="LWI119" s="73"/>
      <c r="LWJ119" s="73"/>
      <c r="LWK119" s="73"/>
      <c r="LWL119" s="73"/>
      <c r="LWM119" s="73"/>
      <c r="LWN119" s="73"/>
      <c r="LWO119" s="73"/>
      <c r="LWP119" s="73"/>
      <c r="LWQ119" s="73"/>
      <c r="LWR119" s="73"/>
      <c r="LWS119" s="73"/>
      <c r="LWT119" s="73"/>
      <c r="LWU119" s="73"/>
      <c r="LWV119" s="73"/>
      <c r="LWW119" s="73"/>
      <c r="LWX119" s="73"/>
      <c r="LWY119" s="73"/>
      <c r="LWZ119" s="73"/>
      <c r="LXA119" s="73"/>
      <c r="LXB119" s="73"/>
      <c r="LXC119" s="73"/>
      <c r="LXD119" s="73"/>
      <c r="LXE119" s="73"/>
      <c r="LXF119" s="73"/>
      <c r="LXG119" s="73"/>
      <c r="LXH119" s="73"/>
      <c r="LXI119" s="73"/>
      <c r="LXJ119" s="73"/>
      <c r="LXK119" s="73"/>
      <c r="LXL119" s="73"/>
      <c r="LXM119" s="73"/>
      <c r="LXN119" s="73"/>
      <c r="LXO119" s="73"/>
      <c r="LXP119" s="73"/>
      <c r="LXQ119" s="73"/>
      <c r="LXR119" s="73"/>
      <c r="LXS119" s="73"/>
      <c r="LXT119" s="73"/>
      <c r="LXU119" s="73"/>
      <c r="LXV119" s="73"/>
      <c r="LXW119" s="73"/>
      <c r="LXX119" s="73"/>
      <c r="LXY119" s="73"/>
      <c r="LXZ119" s="73"/>
      <c r="LYA119" s="73"/>
      <c r="LYB119" s="73"/>
      <c r="LYC119" s="73"/>
      <c r="LYD119" s="73"/>
      <c r="LYE119" s="73"/>
      <c r="LYF119" s="73"/>
      <c r="LYG119" s="73"/>
      <c r="LYH119" s="73"/>
      <c r="LYI119" s="73"/>
      <c r="LYJ119" s="73"/>
      <c r="LYK119" s="73"/>
      <c r="LYL119" s="73"/>
      <c r="LYM119" s="73"/>
      <c r="LYN119" s="73"/>
      <c r="LYO119" s="73"/>
      <c r="LYP119" s="73"/>
      <c r="LYQ119" s="73"/>
      <c r="LYR119" s="73"/>
      <c r="LYS119" s="73"/>
      <c r="LYT119" s="73"/>
      <c r="LYU119" s="73"/>
      <c r="LYV119" s="73"/>
      <c r="LYW119" s="73"/>
      <c r="LYX119" s="73"/>
      <c r="LYY119" s="73"/>
      <c r="LYZ119" s="73"/>
      <c r="LZA119" s="73"/>
      <c r="LZB119" s="73"/>
      <c r="LZC119" s="73"/>
      <c r="LZD119" s="73"/>
      <c r="LZE119" s="73"/>
      <c r="LZF119" s="73"/>
      <c r="LZG119" s="73"/>
      <c r="LZH119" s="73"/>
      <c r="LZI119" s="73"/>
      <c r="LZJ119" s="73"/>
      <c r="LZK119" s="73"/>
      <c r="LZL119" s="73"/>
      <c r="LZM119" s="73"/>
      <c r="LZN119" s="73"/>
      <c r="LZO119" s="73"/>
      <c r="LZP119" s="73"/>
      <c r="LZQ119" s="73"/>
      <c r="LZR119" s="73"/>
      <c r="LZS119" s="73"/>
      <c r="LZT119" s="73"/>
      <c r="LZU119" s="73"/>
      <c r="LZV119" s="73"/>
      <c r="LZW119" s="73"/>
      <c r="LZX119" s="73"/>
      <c r="LZY119" s="73"/>
      <c r="LZZ119" s="73"/>
      <c r="MAA119" s="73"/>
      <c r="MAB119" s="73"/>
      <c r="MAC119" s="73"/>
      <c r="MAD119" s="73"/>
      <c r="MAE119" s="73"/>
      <c r="MAF119" s="73"/>
      <c r="MAG119" s="73"/>
      <c r="MAH119" s="73"/>
      <c r="MAI119" s="73"/>
      <c r="MAJ119" s="73"/>
      <c r="MAK119" s="73"/>
      <c r="MAL119" s="73"/>
      <c r="MAM119" s="73"/>
      <c r="MAN119" s="73"/>
      <c r="MAO119" s="73"/>
      <c r="MAP119" s="73"/>
      <c r="MAQ119" s="73"/>
      <c r="MAR119" s="73"/>
      <c r="MAS119" s="73"/>
      <c r="MAT119" s="73"/>
      <c r="MAU119" s="73"/>
      <c r="MAV119" s="73"/>
      <c r="MAW119" s="73"/>
      <c r="MAX119" s="73"/>
      <c r="MAY119" s="73"/>
      <c r="MAZ119" s="73"/>
      <c r="MBA119" s="73"/>
      <c r="MBB119" s="73"/>
      <c r="MBC119" s="73"/>
      <c r="MBD119" s="73"/>
      <c r="MBE119" s="73"/>
      <c r="MBF119" s="73"/>
      <c r="MBG119" s="73"/>
      <c r="MBH119" s="73"/>
      <c r="MBI119" s="73"/>
      <c r="MBJ119" s="73"/>
      <c r="MBK119" s="73"/>
      <c r="MBL119" s="73"/>
      <c r="MBM119" s="73"/>
      <c r="MBN119" s="73"/>
      <c r="MBO119" s="73"/>
      <c r="MBP119" s="73"/>
      <c r="MBQ119" s="73"/>
      <c r="MBR119" s="73"/>
      <c r="MBS119" s="73"/>
      <c r="MBT119" s="73"/>
      <c r="MBU119" s="73"/>
      <c r="MBV119" s="73"/>
      <c r="MBW119" s="73"/>
      <c r="MBX119" s="73"/>
      <c r="MBY119" s="73"/>
      <c r="MBZ119" s="73"/>
      <c r="MCA119" s="73"/>
      <c r="MCB119" s="73"/>
      <c r="MCC119" s="73"/>
      <c r="MCD119" s="73"/>
      <c r="MCE119" s="73"/>
      <c r="MCF119" s="73"/>
      <c r="MCG119" s="73"/>
      <c r="MCH119" s="73"/>
      <c r="MCI119" s="73"/>
      <c r="MCJ119" s="73"/>
      <c r="MCK119" s="73"/>
      <c r="MCL119" s="73"/>
      <c r="MCM119" s="73"/>
      <c r="MCN119" s="73"/>
      <c r="MCO119" s="73"/>
      <c r="MCP119" s="73"/>
      <c r="MCQ119" s="73"/>
      <c r="MCR119" s="73"/>
      <c r="MCS119" s="73"/>
      <c r="MCT119" s="73"/>
      <c r="MCU119" s="73"/>
      <c r="MCV119" s="73"/>
      <c r="MCW119" s="73"/>
      <c r="MCX119" s="73"/>
      <c r="MCY119" s="73"/>
      <c r="MCZ119" s="73"/>
      <c r="MDA119" s="73"/>
      <c r="MDB119" s="73"/>
      <c r="MDC119" s="73"/>
      <c r="MDD119" s="73"/>
      <c r="MDE119" s="73"/>
      <c r="MDF119" s="73"/>
      <c r="MDG119" s="73"/>
      <c r="MDH119" s="73"/>
      <c r="MDI119" s="73"/>
      <c r="MDJ119" s="73"/>
      <c r="MDK119" s="73"/>
      <c r="MDL119" s="73"/>
      <c r="MDM119" s="73"/>
      <c r="MDN119" s="73"/>
      <c r="MDO119" s="73"/>
      <c r="MDP119" s="73"/>
      <c r="MDQ119" s="73"/>
      <c r="MDR119" s="73"/>
      <c r="MDS119" s="73"/>
      <c r="MDT119" s="73"/>
      <c r="MDU119" s="73"/>
      <c r="MDV119" s="73"/>
      <c r="MDW119" s="73"/>
      <c r="MDX119" s="73"/>
      <c r="MDY119" s="73"/>
      <c r="MDZ119" s="73"/>
      <c r="MEA119" s="73"/>
      <c r="MEB119" s="73"/>
      <c r="MEC119" s="73"/>
      <c r="MED119" s="73"/>
      <c r="MEE119" s="73"/>
      <c r="MEF119" s="73"/>
      <c r="MEG119" s="73"/>
      <c r="MEH119" s="73"/>
      <c r="MEI119" s="73"/>
      <c r="MEJ119" s="73"/>
      <c r="MEK119" s="73"/>
      <c r="MEL119" s="73"/>
      <c r="MEM119" s="73"/>
      <c r="MEN119" s="73"/>
      <c r="MEO119" s="73"/>
      <c r="MEP119" s="73"/>
      <c r="MEQ119" s="73"/>
      <c r="MER119" s="73"/>
      <c r="MES119" s="73"/>
      <c r="MET119" s="73"/>
      <c r="MEU119" s="73"/>
      <c r="MEV119" s="73"/>
      <c r="MEW119" s="73"/>
      <c r="MEX119" s="73"/>
      <c r="MEY119" s="73"/>
      <c r="MEZ119" s="73"/>
      <c r="MFA119" s="73"/>
      <c r="MFB119" s="73"/>
      <c r="MFC119" s="73"/>
      <c r="MFD119" s="73"/>
      <c r="MFE119" s="73"/>
      <c r="MFF119" s="73"/>
      <c r="MFG119" s="73"/>
      <c r="MFH119" s="73"/>
      <c r="MFI119" s="73"/>
      <c r="MFJ119" s="73"/>
      <c r="MFK119" s="73"/>
      <c r="MFL119" s="73"/>
      <c r="MFM119" s="73"/>
      <c r="MFN119" s="73"/>
      <c r="MFO119" s="73"/>
      <c r="MFP119" s="73"/>
      <c r="MFQ119" s="73"/>
      <c r="MFR119" s="73"/>
      <c r="MFS119" s="73"/>
      <c r="MFT119" s="73"/>
      <c r="MFU119" s="73"/>
      <c r="MFV119" s="73"/>
      <c r="MFW119" s="73"/>
      <c r="MFX119" s="73"/>
      <c r="MFY119" s="73"/>
      <c r="MFZ119" s="73"/>
      <c r="MGA119" s="73"/>
      <c r="MGB119" s="73"/>
      <c r="MGC119" s="73"/>
      <c r="MGD119" s="73"/>
      <c r="MGE119" s="73"/>
      <c r="MGF119" s="73"/>
      <c r="MGG119" s="73"/>
      <c r="MGH119" s="73"/>
      <c r="MGI119" s="73"/>
      <c r="MGJ119" s="73"/>
      <c r="MGK119" s="73"/>
      <c r="MGL119" s="73"/>
      <c r="MGM119" s="73"/>
      <c r="MGN119" s="73"/>
      <c r="MGO119" s="73"/>
      <c r="MGP119" s="73"/>
      <c r="MGQ119" s="73"/>
      <c r="MGR119" s="73"/>
      <c r="MGS119" s="73"/>
      <c r="MGT119" s="73"/>
      <c r="MGU119" s="73"/>
      <c r="MGV119" s="73"/>
      <c r="MGW119" s="73"/>
      <c r="MGX119" s="73"/>
      <c r="MGY119" s="73"/>
      <c r="MGZ119" s="73"/>
      <c r="MHA119" s="73"/>
      <c r="MHB119" s="73"/>
      <c r="MHC119" s="73"/>
      <c r="MHD119" s="73"/>
      <c r="MHE119" s="73"/>
      <c r="MHF119" s="73"/>
      <c r="MHG119" s="73"/>
      <c r="MHH119" s="73"/>
      <c r="MHI119" s="73"/>
      <c r="MHJ119" s="73"/>
      <c r="MHK119" s="73"/>
      <c r="MHL119" s="73"/>
      <c r="MHM119" s="73"/>
      <c r="MHN119" s="73"/>
      <c r="MHO119" s="73"/>
      <c r="MHP119" s="73"/>
      <c r="MHQ119" s="73"/>
      <c r="MHR119" s="73"/>
      <c r="MHS119" s="73"/>
      <c r="MHT119" s="73"/>
      <c r="MHU119" s="73"/>
      <c r="MHV119" s="73"/>
      <c r="MHW119" s="73"/>
      <c r="MHX119" s="73"/>
      <c r="MHY119" s="73"/>
      <c r="MHZ119" s="73"/>
      <c r="MIA119" s="73"/>
      <c r="MIB119" s="73"/>
      <c r="MIC119" s="73"/>
      <c r="MID119" s="73"/>
      <c r="MIE119" s="73"/>
      <c r="MIF119" s="73"/>
      <c r="MIG119" s="73"/>
      <c r="MIH119" s="73"/>
      <c r="MII119" s="73"/>
      <c r="MIJ119" s="73"/>
      <c r="MIK119" s="73"/>
      <c r="MIL119" s="73"/>
      <c r="MIM119" s="73"/>
      <c r="MIN119" s="73"/>
      <c r="MIO119" s="73"/>
      <c r="MIP119" s="73"/>
      <c r="MIQ119" s="73"/>
      <c r="MIR119" s="73"/>
      <c r="MIS119" s="73"/>
      <c r="MIT119" s="73"/>
      <c r="MIU119" s="73"/>
      <c r="MIV119" s="73"/>
      <c r="MIW119" s="73"/>
      <c r="MIX119" s="73"/>
      <c r="MIY119" s="73"/>
      <c r="MIZ119" s="73"/>
      <c r="MJA119" s="73"/>
      <c r="MJB119" s="73"/>
      <c r="MJC119" s="73"/>
      <c r="MJD119" s="73"/>
      <c r="MJE119" s="73"/>
      <c r="MJF119" s="73"/>
      <c r="MJG119" s="73"/>
      <c r="MJH119" s="73"/>
      <c r="MJI119" s="73"/>
      <c r="MJJ119" s="73"/>
      <c r="MJK119" s="73"/>
      <c r="MJL119" s="73"/>
      <c r="MJM119" s="73"/>
      <c r="MJN119" s="73"/>
      <c r="MJO119" s="73"/>
      <c r="MJP119" s="73"/>
      <c r="MJQ119" s="73"/>
      <c r="MJR119" s="73"/>
      <c r="MJS119" s="73"/>
      <c r="MJT119" s="73"/>
      <c r="MJU119" s="73"/>
      <c r="MJV119" s="73"/>
      <c r="MJW119" s="73"/>
      <c r="MJX119" s="73"/>
      <c r="MJY119" s="73"/>
      <c r="MJZ119" s="73"/>
      <c r="MKA119" s="73"/>
      <c r="MKB119" s="73"/>
      <c r="MKC119" s="73"/>
      <c r="MKD119" s="73"/>
      <c r="MKE119" s="73"/>
      <c r="MKF119" s="73"/>
      <c r="MKG119" s="73"/>
      <c r="MKH119" s="73"/>
      <c r="MKI119" s="73"/>
      <c r="MKJ119" s="73"/>
      <c r="MKK119" s="73"/>
      <c r="MKL119" s="73"/>
      <c r="MKM119" s="73"/>
      <c r="MKN119" s="73"/>
      <c r="MKO119" s="73"/>
      <c r="MKP119" s="73"/>
      <c r="MKQ119" s="73"/>
      <c r="MKR119" s="73"/>
      <c r="MKS119" s="73"/>
      <c r="MKT119" s="73"/>
      <c r="MKU119" s="73"/>
      <c r="MKV119" s="73"/>
      <c r="MKW119" s="73"/>
      <c r="MKX119" s="73"/>
      <c r="MKY119" s="73"/>
      <c r="MKZ119" s="73"/>
      <c r="MLA119" s="73"/>
      <c r="MLB119" s="73"/>
      <c r="MLC119" s="73"/>
      <c r="MLD119" s="73"/>
      <c r="MLE119" s="73"/>
      <c r="MLF119" s="73"/>
      <c r="MLG119" s="73"/>
      <c r="MLH119" s="73"/>
      <c r="MLI119" s="73"/>
      <c r="MLJ119" s="73"/>
      <c r="MLK119" s="73"/>
      <c r="MLL119" s="73"/>
      <c r="MLM119" s="73"/>
      <c r="MLN119" s="73"/>
      <c r="MLO119" s="73"/>
      <c r="MLP119" s="73"/>
      <c r="MLQ119" s="73"/>
      <c r="MLR119" s="73"/>
      <c r="MLS119" s="73"/>
      <c r="MLT119" s="73"/>
      <c r="MLU119" s="73"/>
      <c r="MLV119" s="73"/>
      <c r="MLW119" s="73"/>
      <c r="MLX119" s="73"/>
      <c r="MLY119" s="73"/>
      <c r="MLZ119" s="73"/>
      <c r="MMA119" s="73"/>
      <c r="MMB119" s="73"/>
      <c r="MMC119" s="73"/>
      <c r="MMD119" s="73"/>
      <c r="MME119" s="73"/>
      <c r="MMF119" s="73"/>
      <c r="MMG119" s="73"/>
      <c r="MMH119" s="73"/>
      <c r="MMI119" s="73"/>
      <c r="MMJ119" s="73"/>
      <c r="MMK119" s="73"/>
      <c r="MML119" s="73"/>
      <c r="MMM119" s="73"/>
      <c r="MMN119" s="73"/>
      <c r="MMO119" s="73"/>
      <c r="MMP119" s="73"/>
      <c r="MMQ119" s="73"/>
      <c r="MMR119" s="73"/>
      <c r="MMS119" s="73"/>
      <c r="MMT119" s="73"/>
      <c r="MMU119" s="73"/>
      <c r="MMV119" s="73"/>
      <c r="MMW119" s="73"/>
      <c r="MMX119" s="73"/>
      <c r="MMY119" s="73"/>
      <c r="MMZ119" s="73"/>
      <c r="MNA119" s="73"/>
      <c r="MNB119" s="73"/>
      <c r="MNC119" s="73"/>
      <c r="MND119" s="73"/>
      <c r="MNE119" s="73"/>
      <c r="MNF119" s="73"/>
      <c r="MNG119" s="73"/>
      <c r="MNH119" s="73"/>
      <c r="MNI119" s="73"/>
      <c r="MNJ119" s="73"/>
      <c r="MNK119" s="73"/>
      <c r="MNL119" s="73"/>
      <c r="MNM119" s="73"/>
      <c r="MNN119" s="73"/>
      <c r="MNO119" s="73"/>
      <c r="MNP119" s="73"/>
      <c r="MNQ119" s="73"/>
      <c r="MNR119" s="73"/>
      <c r="MNS119" s="73"/>
      <c r="MNT119" s="73"/>
      <c r="MNU119" s="73"/>
      <c r="MNV119" s="73"/>
      <c r="MNW119" s="73"/>
      <c r="MNX119" s="73"/>
      <c r="MNY119" s="73"/>
      <c r="MNZ119" s="73"/>
      <c r="MOA119" s="73"/>
      <c r="MOB119" s="73"/>
      <c r="MOC119" s="73"/>
      <c r="MOD119" s="73"/>
      <c r="MOE119" s="73"/>
      <c r="MOF119" s="73"/>
      <c r="MOG119" s="73"/>
      <c r="MOH119" s="73"/>
      <c r="MOI119" s="73"/>
      <c r="MOJ119" s="73"/>
      <c r="MOK119" s="73"/>
      <c r="MOL119" s="73"/>
      <c r="MOM119" s="73"/>
      <c r="MON119" s="73"/>
      <c r="MOO119" s="73"/>
      <c r="MOP119" s="73"/>
      <c r="MOQ119" s="73"/>
      <c r="MOR119" s="73"/>
      <c r="MOS119" s="73"/>
      <c r="MOT119" s="73"/>
      <c r="MOU119" s="73"/>
      <c r="MOV119" s="73"/>
      <c r="MOW119" s="73"/>
      <c r="MOX119" s="73"/>
      <c r="MOY119" s="73"/>
      <c r="MOZ119" s="73"/>
      <c r="MPA119" s="73"/>
      <c r="MPB119" s="73"/>
      <c r="MPC119" s="73"/>
      <c r="MPD119" s="73"/>
      <c r="MPE119" s="73"/>
      <c r="MPF119" s="73"/>
      <c r="MPG119" s="73"/>
      <c r="MPH119" s="73"/>
      <c r="MPI119" s="73"/>
      <c r="MPJ119" s="73"/>
      <c r="MPK119" s="73"/>
      <c r="MPL119" s="73"/>
      <c r="MPM119" s="73"/>
      <c r="MPN119" s="73"/>
      <c r="MPO119" s="73"/>
      <c r="MPP119" s="73"/>
      <c r="MPQ119" s="73"/>
      <c r="MPR119" s="73"/>
      <c r="MPS119" s="73"/>
      <c r="MPT119" s="73"/>
      <c r="MPU119" s="73"/>
      <c r="MPV119" s="73"/>
      <c r="MPW119" s="73"/>
      <c r="MPX119" s="73"/>
      <c r="MPY119" s="73"/>
      <c r="MPZ119" s="73"/>
      <c r="MQA119" s="73"/>
      <c r="MQB119" s="73"/>
      <c r="MQC119" s="73"/>
      <c r="MQD119" s="73"/>
      <c r="MQE119" s="73"/>
      <c r="MQF119" s="73"/>
      <c r="MQG119" s="73"/>
      <c r="MQH119" s="73"/>
      <c r="MQI119" s="73"/>
      <c r="MQJ119" s="73"/>
      <c r="MQK119" s="73"/>
      <c r="MQL119" s="73"/>
      <c r="MQM119" s="73"/>
      <c r="MQN119" s="73"/>
      <c r="MQO119" s="73"/>
      <c r="MQP119" s="73"/>
      <c r="MQQ119" s="73"/>
      <c r="MQR119" s="73"/>
      <c r="MQS119" s="73"/>
      <c r="MQT119" s="73"/>
      <c r="MQU119" s="73"/>
      <c r="MQV119" s="73"/>
      <c r="MQW119" s="73"/>
      <c r="MQX119" s="73"/>
      <c r="MQY119" s="73"/>
      <c r="MQZ119" s="73"/>
      <c r="MRA119" s="73"/>
      <c r="MRB119" s="73"/>
      <c r="MRC119" s="73"/>
      <c r="MRD119" s="73"/>
      <c r="MRE119" s="73"/>
      <c r="MRF119" s="73"/>
      <c r="MRG119" s="73"/>
      <c r="MRH119" s="73"/>
      <c r="MRI119" s="73"/>
      <c r="MRJ119" s="73"/>
      <c r="MRK119" s="73"/>
      <c r="MRL119" s="73"/>
      <c r="MRM119" s="73"/>
      <c r="MRN119" s="73"/>
      <c r="MRO119" s="73"/>
      <c r="MRP119" s="73"/>
      <c r="MRQ119" s="73"/>
      <c r="MRR119" s="73"/>
      <c r="MRS119" s="73"/>
      <c r="MRT119" s="73"/>
      <c r="MRU119" s="73"/>
      <c r="MRV119" s="73"/>
      <c r="MRW119" s="73"/>
      <c r="MRX119" s="73"/>
      <c r="MRY119" s="73"/>
      <c r="MRZ119" s="73"/>
      <c r="MSA119" s="73"/>
      <c r="MSB119" s="73"/>
      <c r="MSC119" s="73"/>
      <c r="MSD119" s="73"/>
      <c r="MSE119" s="73"/>
      <c r="MSF119" s="73"/>
      <c r="MSG119" s="73"/>
      <c r="MSH119" s="73"/>
      <c r="MSI119" s="73"/>
      <c r="MSJ119" s="73"/>
      <c r="MSK119" s="73"/>
      <c r="MSL119" s="73"/>
      <c r="MSM119" s="73"/>
      <c r="MSN119" s="73"/>
      <c r="MSO119" s="73"/>
      <c r="MSP119" s="73"/>
      <c r="MSQ119" s="73"/>
      <c r="MSR119" s="73"/>
      <c r="MSS119" s="73"/>
      <c r="MST119" s="73"/>
      <c r="MSU119" s="73"/>
      <c r="MSV119" s="73"/>
      <c r="MSW119" s="73"/>
      <c r="MSX119" s="73"/>
      <c r="MSY119" s="73"/>
      <c r="MSZ119" s="73"/>
      <c r="MTA119" s="73"/>
      <c r="MTB119" s="73"/>
      <c r="MTC119" s="73"/>
      <c r="MTD119" s="73"/>
      <c r="MTE119" s="73"/>
      <c r="MTF119" s="73"/>
      <c r="MTG119" s="73"/>
      <c r="MTH119" s="73"/>
      <c r="MTI119" s="73"/>
      <c r="MTJ119" s="73"/>
      <c r="MTK119" s="73"/>
      <c r="MTL119" s="73"/>
      <c r="MTM119" s="73"/>
      <c r="MTN119" s="73"/>
      <c r="MTO119" s="73"/>
      <c r="MTP119" s="73"/>
      <c r="MTQ119" s="73"/>
      <c r="MTR119" s="73"/>
      <c r="MTS119" s="73"/>
      <c r="MTT119" s="73"/>
      <c r="MTU119" s="73"/>
      <c r="MTV119" s="73"/>
      <c r="MTW119" s="73"/>
      <c r="MTX119" s="73"/>
      <c r="MTY119" s="73"/>
      <c r="MTZ119" s="73"/>
      <c r="MUA119" s="73"/>
      <c r="MUB119" s="73"/>
      <c r="MUC119" s="73"/>
      <c r="MUD119" s="73"/>
      <c r="MUE119" s="73"/>
      <c r="MUF119" s="73"/>
      <c r="MUG119" s="73"/>
      <c r="MUH119" s="73"/>
      <c r="MUI119" s="73"/>
      <c r="MUJ119" s="73"/>
      <c r="MUK119" s="73"/>
      <c r="MUL119" s="73"/>
      <c r="MUM119" s="73"/>
      <c r="MUN119" s="73"/>
      <c r="MUO119" s="73"/>
      <c r="MUP119" s="73"/>
      <c r="MUQ119" s="73"/>
      <c r="MUR119" s="73"/>
      <c r="MUS119" s="73"/>
      <c r="MUT119" s="73"/>
      <c r="MUU119" s="73"/>
      <c r="MUV119" s="73"/>
      <c r="MUW119" s="73"/>
      <c r="MUX119" s="73"/>
      <c r="MUY119" s="73"/>
      <c r="MUZ119" s="73"/>
      <c r="MVA119" s="73"/>
      <c r="MVB119" s="73"/>
      <c r="MVC119" s="73"/>
      <c r="MVD119" s="73"/>
      <c r="MVE119" s="73"/>
      <c r="MVF119" s="73"/>
      <c r="MVG119" s="73"/>
      <c r="MVH119" s="73"/>
      <c r="MVI119" s="73"/>
      <c r="MVJ119" s="73"/>
      <c r="MVK119" s="73"/>
      <c r="MVL119" s="73"/>
      <c r="MVM119" s="73"/>
      <c r="MVN119" s="73"/>
      <c r="MVO119" s="73"/>
      <c r="MVP119" s="73"/>
      <c r="MVQ119" s="73"/>
      <c r="MVR119" s="73"/>
      <c r="MVS119" s="73"/>
      <c r="MVT119" s="73"/>
      <c r="MVU119" s="73"/>
      <c r="MVV119" s="73"/>
      <c r="MVW119" s="73"/>
      <c r="MVX119" s="73"/>
      <c r="MVY119" s="73"/>
      <c r="MVZ119" s="73"/>
      <c r="MWA119" s="73"/>
      <c r="MWB119" s="73"/>
      <c r="MWC119" s="73"/>
      <c r="MWD119" s="73"/>
      <c r="MWE119" s="73"/>
      <c r="MWF119" s="73"/>
      <c r="MWG119" s="73"/>
      <c r="MWH119" s="73"/>
      <c r="MWI119" s="73"/>
      <c r="MWJ119" s="73"/>
      <c r="MWK119" s="73"/>
      <c r="MWL119" s="73"/>
      <c r="MWM119" s="73"/>
      <c r="MWN119" s="73"/>
      <c r="MWO119" s="73"/>
      <c r="MWP119" s="73"/>
      <c r="MWQ119" s="73"/>
      <c r="MWR119" s="73"/>
      <c r="MWS119" s="73"/>
      <c r="MWT119" s="73"/>
      <c r="MWU119" s="73"/>
      <c r="MWV119" s="73"/>
      <c r="MWW119" s="73"/>
      <c r="MWX119" s="73"/>
      <c r="MWY119" s="73"/>
      <c r="MWZ119" s="73"/>
      <c r="MXA119" s="73"/>
      <c r="MXB119" s="73"/>
      <c r="MXC119" s="73"/>
      <c r="MXD119" s="73"/>
      <c r="MXE119" s="73"/>
      <c r="MXF119" s="73"/>
      <c r="MXG119" s="73"/>
      <c r="MXH119" s="73"/>
      <c r="MXI119" s="73"/>
      <c r="MXJ119" s="73"/>
      <c r="MXK119" s="73"/>
      <c r="MXL119" s="73"/>
      <c r="MXM119" s="73"/>
      <c r="MXN119" s="73"/>
      <c r="MXO119" s="73"/>
      <c r="MXP119" s="73"/>
      <c r="MXQ119" s="73"/>
      <c r="MXR119" s="73"/>
      <c r="MXS119" s="73"/>
      <c r="MXT119" s="73"/>
      <c r="MXU119" s="73"/>
      <c r="MXV119" s="73"/>
      <c r="MXW119" s="73"/>
      <c r="MXX119" s="73"/>
      <c r="MXY119" s="73"/>
      <c r="MXZ119" s="73"/>
      <c r="MYA119" s="73"/>
      <c r="MYB119" s="73"/>
      <c r="MYC119" s="73"/>
      <c r="MYD119" s="73"/>
      <c r="MYE119" s="73"/>
      <c r="MYF119" s="73"/>
      <c r="MYG119" s="73"/>
      <c r="MYH119" s="73"/>
      <c r="MYI119" s="73"/>
      <c r="MYJ119" s="73"/>
      <c r="MYK119" s="73"/>
      <c r="MYL119" s="73"/>
      <c r="MYM119" s="73"/>
      <c r="MYN119" s="73"/>
      <c r="MYO119" s="73"/>
      <c r="MYP119" s="73"/>
      <c r="MYQ119" s="73"/>
      <c r="MYR119" s="73"/>
      <c r="MYS119" s="73"/>
      <c r="MYT119" s="73"/>
      <c r="MYU119" s="73"/>
      <c r="MYV119" s="73"/>
      <c r="MYW119" s="73"/>
      <c r="MYX119" s="73"/>
      <c r="MYY119" s="73"/>
      <c r="MYZ119" s="73"/>
      <c r="MZA119" s="73"/>
      <c r="MZB119" s="73"/>
      <c r="MZC119" s="73"/>
      <c r="MZD119" s="73"/>
      <c r="MZE119" s="73"/>
      <c r="MZF119" s="73"/>
      <c r="MZG119" s="73"/>
      <c r="MZH119" s="73"/>
      <c r="MZI119" s="73"/>
      <c r="MZJ119" s="73"/>
      <c r="MZK119" s="73"/>
      <c r="MZL119" s="73"/>
      <c r="MZM119" s="73"/>
      <c r="MZN119" s="73"/>
      <c r="MZO119" s="73"/>
      <c r="MZP119" s="73"/>
      <c r="MZQ119" s="73"/>
      <c r="MZR119" s="73"/>
      <c r="MZS119" s="73"/>
      <c r="MZT119" s="73"/>
      <c r="MZU119" s="73"/>
      <c r="MZV119" s="73"/>
      <c r="MZW119" s="73"/>
      <c r="MZX119" s="73"/>
      <c r="MZY119" s="73"/>
      <c r="MZZ119" s="73"/>
      <c r="NAA119" s="73"/>
      <c r="NAB119" s="73"/>
      <c r="NAC119" s="73"/>
      <c r="NAD119" s="73"/>
      <c r="NAE119" s="73"/>
      <c r="NAF119" s="73"/>
      <c r="NAG119" s="73"/>
      <c r="NAH119" s="73"/>
      <c r="NAI119" s="73"/>
      <c r="NAJ119" s="73"/>
      <c r="NAK119" s="73"/>
      <c r="NAL119" s="73"/>
      <c r="NAM119" s="73"/>
      <c r="NAN119" s="73"/>
      <c r="NAO119" s="73"/>
      <c r="NAP119" s="73"/>
      <c r="NAQ119" s="73"/>
      <c r="NAR119" s="73"/>
      <c r="NAS119" s="73"/>
      <c r="NAT119" s="73"/>
      <c r="NAU119" s="73"/>
      <c r="NAV119" s="73"/>
      <c r="NAW119" s="73"/>
      <c r="NAX119" s="73"/>
      <c r="NAY119" s="73"/>
      <c r="NAZ119" s="73"/>
      <c r="NBA119" s="73"/>
      <c r="NBB119" s="73"/>
      <c r="NBC119" s="73"/>
      <c r="NBD119" s="73"/>
      <c r="NBE119" s="73"/>
      <c r="NBF119" s="73"/>
      <c r="NBG119" s="73"/>
      <c r="NBH119" s="73"/>
      <c r="NBI119" s="73"/>
      <c r="NBJ119" s="73"/>
      <c r="NBK119" s="73"/>
      <c r="NBL119" s="73"/>
      <c r="NBM119" s="73"/>
      <c r="NBN119" s="73"/>
      <c r="NBO119" s="73"/>
      <c r="NBP119" s="73"/>
      <c r="NBQ119" s="73"/>
      <c r="NBR119" s="73"/>
      <c r="NBS119" s="73"/>
      <c r="NBT119" s="73"/>
      <c r="NBU119" s="73"/>
      <c r="NBV119" s="73"/>
      <c r="NBW119" s="73"/>
      <c r="NBX119" s="73"/>
      <c r="NBY119" s="73"/>
      <c r="NBZ119" s="73"/>
      <c r="NCA119" s="73"/>
      <c r="NCB119" s="73"/>
      <c r="NCC119" s="73"/>
      <c r="NCD119" s="73"/>
      <c r="NCE119" s="73"/>
      <c r="NCF119" s="73"/>
      <c r="NCG119" s="73"/>
      <c r="NCH119" s="73"/>
      <c r="NCI119" s="73"/>
      <c r="NCJ119" s="73"/>
      <c r="NCK119" s="73"/>
      <c r="NCL119" s="73"/>
      <c r="NCM119" s="73"/>
      <c r="NCN119" s="73"/>
      <c r="NCO119" s="73"/>
      <c r="NCP119" s="73"/>
      <c r="NCQ119" s="73"/>
      <c r="NCR119" s="73"/>
      <c r="NCS119" s="73"/>
      <c r="NCT119" s="73"/>
      <c r="NCU119" s="73"/>
      <c r="NCV119" s="73"/>
      <c r="NCW119" s="73"/>
      <c r="NCX119" s="73"/>
      <c r="NCY119" s="73"/>
      <c r="NCZ119" s="73"/>
      <c r="NDA119" s="73"/>
      <c r="NDB119" s="73"/>
      <c r="NDC119" s="73"/>
      <c r="NDD119" s="73"/>
      <c r="NDE119" s="73"/>
      <c r="NDF119" s="73"/>
      <c r="NDG119" s="73"/>
      <c r="NDH119" s="73"/>
      <c r="NDI119" s="73"/>
      <c r="NDJ119" s="73"/>
      <c r="NDK119" s="73"/>
      <c r="NDL119" s="73"/>
      <c r="NDM119" s="73"/>
      <c r="NDN119" s="73"/>
      <c r="NDO119" s="73"/>
      <c r="NDP119" s="73"/>
      <c r="NDQ119" s="73"/>
      <c r="NDR119" s="73"/>
      <c r="NDS119" s="73"/>
      <c r="NDT119" s="73"/>
      <c r="NDU119" s="73"/>
      <c r="NDV119" s="73"/>
      <c r="NDW119" s="73"/>
      <c r="NDX119" s="73"/>
      <c r="NDY119" s="73"/>
      <c r="NDZ119" s="73"/>
      <c r="NEA119" s="73"/>
      <c r="NEB119" s="73"/>
      <c r="NEC119" s="73"/>
      <c r="NED119" s="73"/>
      <c r="NEE119" s="73"/>
      <c r="NEF119" s="73"/>
      <c r="NEG119" s="73"/>
      <c r="NEH119" s="73"/>
      <c r="NEI119" s="73"/>
      <c r="NEJ119" s="73"/>
      <c r="NEK119" s="73"/>
      <c r="NEL119" s="73"/>
      <c r="NEM119" s="73"/>
      <c r="NEN119" s="73"/>
      <c r="NEO119" s="73"/>
      <c r="NEP119" s="73"/>
      <c r="NEQ119" s="73"/>
      <c r="NER119" s="73"/>
      <c r="NES119" s="73"/>
      <c r="NET119" s="73"/>
      <c r="NEU119" s="73"/>
      <c r="NEV119" s="73"/>
      <c r="NEW119" s="73"/>
      <c r="NEX119" s="73"/>
      <c r="NEY119" s="73"/>
      <c r="NEZ119" s="73"/>
      <c r="NFA119" s="73"/>
      <c r="NFB119" s="73"/>
      <c r="NFC119" s="73"/>
      <c r="NFD119" s="73"/>
      <c r="NFE119" s="73"/>
      <c r="NFF119" s="73"/>
      <c r="NFG119" s="73"/>
      <c r="NFH119" s="73"/>
      <c r="NFI119" s="73"/>
      <c r="NFJ119" s="73"/>
      <c r="NFK119" s="73"/>
      <c r="NFL119" s="73"/>
      <c r="NFM119" s="73"/>
      <c r="NFN119" s="73"/>
      <c r="NFO119" s="73"/>
      <c r="NFP119" s="73"/>
      <c r="NFQ119" s="73"/>
      <c r="NFR119" s="73"/>
      <c r="NFS119" s="73"/>
      <c r="NFT119" s="73"/>
      <c r="NFU119" s="73"/>
      <c r="NFV119" s="73"/>
      <c r="NFW119" s="73"/>
      <c r="NFX119" s="73"/>
      <c r="NFY119" s="73"/>
      <c r="NFZ119" s="73"/>
      <c r="NGA119" s="73"/>
      <c r="NGB119" s="73"/>
      <c r="NGC119" s="73"/>
      <c r="NGD119" s="73"/>
      <c r="NGE119" s="73"/>
      <c r="NGF119" s="73"/>
      <c r="NGG119" s="73"/>
      <c r="NGH119" s="73"/>
      <c r="NGI119" s="73"/>
      <c r="NGJ119" s="73"/>
      <c r="NGK119" s="73"/>
      <c r="NGL119" s="73"/>
      <c r="NGM119" s="73"/>
      <c r="NGN119" s="73"/>
      <c r="NGO119" s="73"/>
      <c r="NGP119" s="73"/>
      <c r="NGQ119" s="73"/>
      <c r="NGR119" s="73"/>
      <c r="NGS119" s="73"/>
      <c r="NGT119" s="73"/>
      <c r="NGU119" s="73"/>
      <c r="NGV119" s="73"/>
      <c r="NGW119" s="73"/>
      <c r="NGX119" s="73"/>
      <c r="NGY119" s="73"/>
      <c r="NGZ119" s="73"/>
      <c r="NHA119" s="73"/>
      <c r="NHB119" s="73"/>
      <c r="NHC119" s="73"/>
      <c r="NHD119" s="73"/>
      <c r="NHE119" s="73"/>
      <c r="NHF119" s="73"/>
      <c r="NHG119" s="73"/>
      <c r="NHH119" s="73"/>
      <c r="NHI119" s="73"/>
      <c r="NHJ119" s="73"/>
      <c r="NHK119" s="73"/>
      <c r="NHL119" s="73"/>
      <c r="NHM119" s="73"/>
      <c r="NHN119" s="73"/>
      <c r="NHO119" s="73"/>
      <c r="NHP119" s="73"/>
      <c r="NHQ119" s="73"/>
      <c r="NHR119" s="73"/>
      <c r="NHS119" s="73"/>
      <c r="NHT119" s="73"/>
      <c r="NHU119" s="73"/>
      <c r="NHV119" s="73"/>
      <c r="NHW119" s="73"/>
      <c r="NHX119" s="73"/>
      <c r="NHY119" s="73"/>
      <c r="NHZ119" s="73"/>
      <c r="NIA119" s="73"/>
      <c r="NIB119" s="73"/>
      <c r="NIC119" s="73"/>
      <c r="NID119" s="73"/>
      <c r="NIE119" s="73"/>
      <c r="NIF119" s="73"/>
      <c r="NIG119" s="73"/>
      <c r="NIH119" s="73"/>
      <c r="NII119" s="73"/>
      <c r="NIJ119" s="73"/>
      <c r="NIK119" s="73"/>
      <c r="NIL119" s="73"/>
      <c r="NIM119" s="73"/>
      <c r="NIN119" s="73"/>
      <c r="NIO119" s="73"/>
      <c r="NIP119" s="73"/>
      <c r="NIQ119" s="73"/>
      <c r="NIR119" s="73"/>
      <c r="NIS119" s="73"/>
      <c r="NIT119" s="73"/>
      <c r="NIU119" s="73"/>
      <c r="NIV119" s="73"/>
      <c r="NIW119" s="73"/>
      <c r="NIX119" s="73"/>
      <c r="NIY119" s="73"/>
      <c r="NIZ119" s="73"/>
      <c r="NJA119" s="73"/>
      <c r="NJB119" s="73"/>
      <c r="NJC119" s="73"/>
      <c r="NJD119" s="73"/>
      <c r="NJE119" s="73"/>
      <c r="NJF119" s="73"/>
      <c r="NJG119" s="73"/>
      <c r="NJH119" s="73"/>
      <c r="NJI119" s="73"/>
      <c r="NJJ119" s="73"/>
      <c r="NJK119" s="73"/>
      <c r="NJL119" s="73"/>
      <c r="NJM119" s="73"/>
      <c r="NJN119" s="73"/>
      <c r="NJO119" s="73"/>
      <c r="NJP119" s="73"/>
      <c r="NJQ119" s="73"/>
      <c r="NJR119" s="73"/>
      <c r="NJS119" s="73"/>
      <c r="NJT119" s="73"/>
      <c r="NJU119" s="73"/>
      <c r="NJV119" s="73"/>
      <c r="NJW119" s="73"/>
      <c r="NJX119" s="73"/>
      <c r="NJY119" s="73"/>
      <c r="NJZ119" s="73"/>
      <c r="NKA119" s="73"/>
      <c r="NKB119" s="73"/>
      <c r="NKC119" s="73"/>
      <c r="NKD119" s="73"/>
      <c r="NKE119" s="73"/>
      <c r="NKF119" s="73"/>
      <c r="NKG119" s="73"/>
      <c r="NKH119" s="73"/>
      <c r="NKI119" s="73"/>
      <c r="NKJ119" s="73"/>
      <c r="NKK119" s="73"/>
      <c r="NKL119" s="73"/>
      <c r="NKM119" s="73"/>
      <c r="NKN119" s="73"/>
      <c r="NKO119" s="73"/>
      <c r="NKP119" s="73"/>
      <c r="NKQ119" s="73"/>
      <c r="NKR119" s="73"/>
      <c r="NKS119" s="73"/>
      <c r="NKT119" s="73"/>
      <c r="NKU119" s="73"/>
      <c r="NKV119" s="73"/>
      <c r="NKW119" s="73"/>
      <c r="NKX119" s="73"/>
      <c r="NKY119" s="73"/>
      <c r="NKZ119" s="73"/>
      <c r="NLA119" s="73"/>
      <c r="NLB119" s="73"/>
      <c r="NLC119" s="73"/>
      <c r="NLD119" s="73"/>
      <c r="NLE119" s="73"/>
      <c r="NLF119" s="73"/>
      <c r="NLG119" s="73"/>
      <c r="NLH119" s="73"/>
      <c r="NLI119" s="73"/>
      <c r="NLJ119" s="73"/>
      <c r="NLK119" s="73"/>
      <c r="NLL119" s="73"/>
      <c r="NLM119" s="73"/>
      <c r="NLN119" s="73"/>
      <c r="NLO119" s="73"/>
      <c r="NLP119" s="73"/>
      <c r="NLQ119" s="73"/>
      <c r="NLR119" s="73"/>
      <c r="NLS119" s="73"/>
      <c r="NLT119" s="73"/>
      <c r="NLU119" s="73"/>
      <c r="NLV119" s="73"/>
      <c r="NLW119" s="73"/>
      <c r="NLX119" s="73"/>
      <c r="NLY119" s="73"/>
      <c r="NLZ119" s="73"/>
      <c r="NMA119" s="73"/>
      <c r="NMB119" s="73"/>
      <c r="NMC119" s="73"/>
      <c r="NMD119" s="73"/>
      <c r="NME119" s="73"/>
      <c r="NMF119" s="73"/>
      <c r="NMG119" s="73"/>
      <c r="NMH119" s="73"/>
      <c r="NMI119" s="73"/>
      <c r="NMJ119" s="73"/>
      <c r="NMK119" s="73"/>
      <c r="NML119" s="73"/>
      <c r="NMM119" s="73"/>
      <c r="NMN119" s="73"/>
      <c r="NMO119" s="73"/>
      <c r="NMP119" s="73"/>
      <c r="NMQ119" s="73"/>
      <c r="NMR119" s="73"/>
      <c r="NMS119" s="73"/>
      <c r="NMT119" s="73"/>
      <c r="NMU119" s="73"/>
      <c r="NMV119" s="73"/>
      <c r="NMW119" s="73"/>
      <c r="NMX119" s="73"/>
      <c r="NMY119" s="73"/>
      <c r="NMZ119" s="73"/>
      <c r="NNA119" s="73"/>
      <c r="NNB119" s="73"/>
      <c r="NNC119" s="73"/>
      <c r="NND119" s="73"/>
      <c r="NNE119" s="73"/>
      <c r="NNF119" s="73"/>
      <c r="NNG119" s="73"/>
      <c r="NNH119" s="73"/>
      <c r="NNI119" s="73"/>
      <c r="NNJ119" s="73"/>
      <c r="NNK119" s="73"/>
      <c r="NNL119" s="73"/>
      <c r="NNM119" s="73"/>
      <c r="NNN119" s="73"/>
      <c r="NNO119" s="73"/>
      <c r="NNP119" s="73"/>
      <c r="NNQ119" s="73"/>
      <c r="NNR119" s="73"/>
      <c r="NNS119" s="73"/>
      <c r="NNT119" s="73"/>
      <c r="NNU119" s="73"/>
      <c r="NNV119" s="73"/>
      <c r="NNW119" s="73"/>
      <c r="NNX119" s="73"/>
      <c r="NNY119" s="73"/>
      <c r="NNZ119" s="73"/>
      <c r="NOA119" s="73"/>
      <c r="NOB119" s="73"/>
      <c r="NOC119" s="73"/>
      <c r="NOD119" s="73"/>
      <c r="NOE119" s="73"/>
      <c r="NOF119" s="73"/>
      <c r="NOG119" s="73"/>
      <c r="NOH119" s="73"/>
      <c r="NOI119" s="73"/>
      <c r="NOJ119" s="73"/>
      <c r="NOK119" s="73"/>
      <c r="NOL119" s="73"/>
      <c r="NOM119" s="73"/>
      <c r="NON119" s="73"/>
      <c r="NOO119" s="73"/>
      <c r="NOP119" s="73"/>
      <c r="NOQ119" s="73"/>
      <c r="NOR119" s="73"/>
      <c r="NOS119" s="73"/>
      <c r="NOT119" s="73"/>
      <c r="NOU119" s="73"/>
      <c r="NOV119" s="73"/>
      <c r="NOW119" s="73"/>
      <c r="NOX119" s="73"/>
      <c r="NOY119" s="73"/>
      <c r="NOZ119" s="73"/>
      <c r="NPA119" s="73"/>
      <c r="NPB119" s="73"/>
      <c r="NPC119" s="73"/>
      <c r="NPD119" s="73"/>
      <c r="NPE119" s="73"/>
      <c r="NPF119" s="73"/>
      <c r="NPG119" s="73"/>
      <c r="NPH119" s="73"/>
      <c r="NPI119" s="73"/>
      <c r="NPJ119" s="73"/>
      <c r="NPK119" s="73"/>
      <c r="NPL119" s="73"/>
      <c r="NPM119" s="73"/>
      <c r="NPN119" s="73"/>
      <c r="NPO119" s="73"/>
      <c r="NPP119" s="73"/>
      <c r="NPQ119" s="73"/>
      <c r="NPR119" s="73"/>
      <c r="NPS119" s="73"/>
      <c r="NPT119" s="73"/>
      <c r="NPU119" s="73"/>
      <c r="NPV119" s="73"/>
      <c r="NPW119" s="73"/>
      <c r="NPX119" s="73"/>
      <c r="NPY119" s="73"/>
      <c r="NPZ119" s="73"/>
      <c r="NQA119" s="73"/>
      <c r="NQB119" s="73"/>
      <c r="NQC119" s="73"/>
      <c r="NQD119" s="73"/>
      <c r="NQE119" s="73"/>
      <c r="NQF119" s="73"/>
      <c r="NQG119" s="73"/>
      <c r="NQH119" s="73"/>
      <c r="NQI119" s="73"/>
      <c r="NQJ119" s="73"/>
      <c r="NQK119" s="73"/>
      <c r="NQL119" s="73"/>
      <c r="NQM119" s="73"/>
      <c r="NQN119" s="73"/>
      <c r="NQO119" s="73"/>
      <c r="NQP119" s="73"/>
      <c r="NQQ119" s="73"/>
      <c r="NQR119" s="73"/>
      <c r="NQS119" s="73"/>
      <c r="NQT119" s="73"/>
      <c r="NQU119" s="73"/>
      <c r="NQV119" s="73"/>
      <c r="NQW119" s="73"/>
      <c r="NQX119" s="73"/>
      <c r="NQY119" s="73"/>
      <c r="NQZ119" s="73"/>
      <c r="NRA119" s="73"/>
      <c r="NRB119" s="73"/>
      <c r="NRC119" s="73"/>
      <c r="NRD119" s="73"/>
      <c r="NRE119" s="73"/>
      <c r="NRF119" s="73"/>
      <c r="NRG119" s="73"/>
      <c r="NRH119" s="73"/>
      <c r="NRI119" s="73"/>
      <c r="NRJ119" s="73"/>
      <c r="NRK119" s="73"/>
      <c r="NRL119" s="73"/>
      <c r="NRM119" s="73"/>
      <c r="NRN119" s="73"/>
      <c r="NRO119" s="73"/>
      <c r="NRP119" s="73"/>
      <c r="NRQ119" s="73"/>
      <c r="NRR119" s="73"/>
      <c r="NRS119" s="73"/>
      <c r="NRT119" s="73"/>
      <c r="NRU119" s="73"/>
      <c r="NRV119" s="73"/>
      <c r="NRW119" s="73"/>
      <c r="NRX119" s="73"/>
      <c r="NRY119" s="73"/>
      <c r="NRZ119" s="73"/>
      <c r="NSA119" s="73"/>
      <c r="NSB119" s="73"/>
      <c r="NSC119" s="73"/>
      <c r="NSD119" s="73"/>
      <c r="NSE119" s="73"/>
      <c r="NSF119" s="73"/>
      <c r="NSG119" s="73"/>
      <c r="NSH119" s="73"/>
      <c r="NSI119" s="73"/>
      <c r="NSJ119" s="73"/>
      <c r="NSK119" s="73"/>
      <c r="NSL119" s="73"/>
      <c r="NSM119" s="73"/>
      <c r="NSN119" s="73"/>
      <c r="NSO119" s="73"/>
      <c r="NSP119" s="73"/>
      <c r="NSQ119" s="73"/>
      <c r="NSR119" s="73"/>
      <c r="NSS119" s="73"/>
      <c r="NST119" s="73"/>
      <c r="NSU119" s="73"/>
      <c r="NSV119" s="73"/>
      <c r="NSW119" s="73"/>
      <c r="NSX119" s="73"/>
      <c r="NSY119" s="73"/>
      <c r="NSZ119" s="73"/>
      <c r="NTA119" s="73"/>
      <c r="NTB119" s="73"/>
      <c r="NTC119" s="73"/>
      <c r="NTD119" s="73"/>
      <c r="NTE119" s="73"/>
      <c r="NTF119" s="73"/>
      <c r="NTG119" s="73"/>
      <c r="NTH119" s="73"/>
      <c r="NTI119" s="73"/>
      <c r="NTJ119" s="73"/>
      <c r="NTK119" s="73"/>
      <c r="NTL119" s="73"/>
      <c r="NTM119" s="73"/>
      <c r="NTN119" s="73"/>
      <c r="NTO119" s="73"/>
      <c r="NTP119" s="73"/>
      <c r="NTQ119" s="73"/>
      <c r="NTR119" s="73"/>
      <c r="NTS119" s="73"/>
      <c r="NTT119" s="73"/>
      <c r="NTU119" s="73"/>
      <c r="NTV119" s="73"/>
      <c r="NTW119" s="73"/>
      <c r="NTX119" s="73"/>
      <c r="NTY119" s="73"/>
      <c r="NTZ119" s="73"/>
      <c r="NUA119" s="73"/>
      <c r="NUB119" s="73"/>
      <c r="NUC119" s="73"/>
      <c r="NUD119" s="73"/>
      <c r="NUE119" s="73"/>
      <c r="NUF119" s="73"/>
      <c r="NUG119" s="73"/>
      <c r="NUH119" s="73"/>
      <c r="NUI119" s="73"/>
      <c r="NUJ119" s="73"/>
      <c r="NUK119" s="73"/>
      <c r="NUL119" s="73"/>
      <c r="NUM119" s="73"/>
      <c r="NUN119" s="73"/>
      <c r="NUO119" s="73"/>
      <c r="NUP119" s="73"/>
      <c r="NUQ119" s="73"/>
      <c r="NUR119" s="73"/>
      <c r="NUS119" s="73"/>
      <c r="NUT119" s="73"/>
      <c r="NUU119" s="73"/>
      <c r="NUV119" s="73"/>
      <c r="NUW119" s="73"/>
      <c r="NUX119" s="73"/>
      <c r="NUY119" s="73"/>
      <c r="NUZ119" s="73"/>
      <c r="NVA119" s="73"/>
      <c r="NVB119" s="73"/>
      <c r="NVC119" s="73"/>
      <c r="NVD119" s="73"/>
      <c r="NVE119" s="73"/>
      <c r="NVF119" s="73"/>
      <c r="NVG119" s="73"/>
      <c r="NVH119" s="73"/>
      <c r="NVI119" s="73"/>
      <c r="NVJ119" s="73"/>
      <c r="NVK119" s="73"/>
      <c r="NVL119" s="73"/>
      <c r="NVM119" s="73"/>
      <c r="NVN119" s="73"/>
      <c r="NVO119" s="73"/>
      <c r="NVP119" s="73"/>
      <c r="NVQ119" s="73"/>
      <c r="NVR119" s="73"/>
      <c r="NVS119" s="73"/>
      <c r="NVT119" s="73"/>
      <c r="NVU119" s="73"/>
      <c r="NVV119" s="73"/>
      <c r="NVW119" s="73"/>
      <c r="NVX119" s="73"/>
      <c r="NVY119" s="73"/>
      <c r="NVZ119" s="73"/>
      <c r="NWA119" s="73"/>
      <c r="NWB119" s="73"/>
      <c r="NWC119" s="73"/>
      <c r="NWD119" s="73"/>
      <c r="NWE119" s="73"/>
      <c r="NWF119" s="73"/>
      <c r="NWG119" s="73"/>
      <c r="NWH119" s="73"/>
      <c r="NWI119" s="73"/>
      <c r="NWJ119" s="73"/>
      <c r="NWK119" s="73"/>
      <c r="NWL119" s="73"/>
      <c r="NWM119" s="73"/>
      <c r="NWN119" s="73"/>
      <c r="NWO119" s="73"/>
      <c r="NWP119" s="73"/>
      <c r="NWQ119" s="73"/>
      <c r="NWR119" s="73"/>
      <c r="NWS119" s="73"/>
      <c r="NWT119" s="73"/>
      <c r="NWU119" s="73"/>
      <c r="NWV119" s="73"/>
      <c r="NWW119" s="73"/>
      <c r="NWX119" s="73"/>
      <c r="NWY119" s="73"/>
      <c r="NWZ119" s="73"/>
      <c r="NXA119" s="73"/>
      <c r="NXB119" s="73"/>
      <c r="NXC119" s="73"/>
      <c r="NXD119" s="73"/>
      <c r="NXE119" s="73"/>
      <c r="NXF119" s="73"/>
      <c r="NXG119" s="73"/>
      <c r="NXH119" s="73"/>
      <c r="NXI119" s="73"/>
      <c r="NXJ119" s="73"/>
      <c r="NXK119" s="73"/>
      <c r="NXL119" s="73"/>
      <c r="NXM119" s="73"/>
      <c r="NXN119" s="73"/>
      <c r="NXO119" s="73"/>
      <c r="NXP119" s="73"/>
      <c r="NXQ119" s="73"/>
      <c r="NXR119" s="73"/>
      <c r="NXS119" s="73"/>
      <c r="NXT119" s="73"/>
      <c r="NXU119" s="73"/>
      <c r="NXV119" s="73"/>
      <c r="NXW119" s="73"/>
      <c r="NXX119" s="73"/>
      <c r="NXY119" s="73"/>
      <c r="NXZ119" s="73"/>
      <c r="NYA119" s="73"/>
      <c r="NYB119" s="73"/>
      <c r="NYC119" s="73"/>
      <c r="NYD119" s="73"/>
      <c r="NYE119" s="73"/>
      <c r="NYF119" s="73"/>
      <c r="NYG119" s="73"/>
      <c r="NYH119" s="73"/>
      <c r="NYI119" s="73"/>
      <c r="NYJ119" s="73"/>
      <c r="NYK119" s="73"/>
      <c r="NYL119" s="73"/>
      <c r="NYM119" s="73"/>
      <c r="NYN119" s="73"/>
      <c r="NYO119" s="73"/>
      <c r="NYP119" s="73"/>
      <c r="NYQ119" s="73"/>
      <c r="NYR119" s="73"/>
      <c r="NYS119" s="73"/>
      <c r="NYT119" s="73"/>
      <c r="NYU119" s="73"/>
      <c r="NYV119" s="73"/>
      <c r="NYW119" s="73"/>
      <c r="NYX119" s="73"/>
      <c r="NYY119" s="73"/>
      <c r="NYZ119" s="73"/>
      <c r="NZA119" s="73"/>
      <c r="NZB119" s="73"/>
      <c r="NZC119" s="73"/>
      <c r="NZD119" s="73"/>
      <c r="NZE119" s="73"/>
      <c r="NZF119" s="73"/>
      <c r="NZG119" s="73"/>
      <c r="NZH119" s="73"/>
      <c r="NZI119" s="73"/>
      <c r="NZJ119" s="73"/>
      <c r="NZK119" s="73"/>
      <c r="NZL119" s="73"/>
      <c r="NZM119" s="73"/>
      <c r="NZN119" s="73"/>
      <c r="NZO119" s="73"/>
      <c r="NZP119" s="73"/>
      <c r="NZQ119" s="73"/>
      <c r="NZR119" s="73"/>
      <c r="NZS119" s="73"/>
      <c r="NZT119" s="73"/>
      <c r="NZU119" s="73"/>
      <c r="NZV119" s="73"/>
      <c r="NZW119" s="73"/>
      <c r="NZX119" s="73"/>
      <c r="NZY119" s="73"/>
      <c r="NZZ119" s="73"/>
      <c r="OAA119" s="73"/>
      <c r="OAB119" s="73"/>
      <c r="OAC119" s="73"/>
      <c r="OAD119" s="73"/>
      <c r="OAE119" s="73"/>
      <c r="OAF119" s="73"/>
      <c r="OAG119" s="73"/>
      <c r="OAH119" s="73"/>
      <c r="OAI119" s="73"/>
      <c r="OAJ119" s="73"/>
      <c r="OAK119" s="73"/>
      <c r="OAL119" s="73"/>
      <c r="OAM119" s="73"/>
      <c r="OAN119" s="73"/>
      <c r="OAO119" s="73"/>
      <c r="OAP119" s="73"/>
      <c r="OAQ119" s="73"/>
      <c r="OAR119" s="73"/>
      <c r="OAS119" s="73"/>
      <c r="OAT119" s="73"/>
      <c r="OAU119" s="73"/>
      <c r="OAV119" s="73"/>
      <c r="OAW119" s="73"/>
      <c r="OAX119" s="73"/>
      <c r="OAY119" s="73"/>
      <c r="OAZ119" s="73"/>
      <c r="OBA119" s="73"/>
      <c r="OBB119" s="73"/>
      <c r="OBC119" s="73"/>
      <c r="OBD119" s="73"/>
      <c r="OBE119" s="73"/>
      <c r="OBF119" s="73"/>
      <c r="OBG119" s="73"/>
      <c r="OBH119" s="73"/>
      <c r="OBI119" s="73"/>
      <c r="OBJ119" s="73"/>
      <c r="OBK119" s="73"/>
      <c r="OBL119" s="73"/>
      <c r="OBM119" s="73"/>
      <c r="OBN119" s="73"/>
      <c r="OBO119" s="73"/>
      <c r="OBP119" s="73"/>
      <c r="OBQ119" s="73"/>
      <c r="OBR119" s="73"/>
      <c r="OBS119" s="73"/>
      <c r="OBT119" s="73"/>
      <c r="OBU119" s="73"/>
      <c r="OBV119" s="73"/>
      <c r="OBW119" s="73"/>
      <c r="OBX119" s="73"/>
      <c r="OBY119" s="73"/>
      <c r="OBZ119" s="73"/>
      <c r="OCA119" s="73"/>
      <c r="OCB119" s="73"/>
      <c r="OCC119" s="73"/>
      <c r="OCD119" s="73"/>
      <c r="OCE119" s="73"/>
      <c r="OCF119" s="73"/>
      <c r="OCG119" s="73"/>
      <c r="OCH119" s="73"/>
      <c r="OCI119" s="73"/>
      <c r="OCJ119" s="73"/>
      <c r="OCK119" s="73"/>
      <c r="OCL119" s="73"/>
      <c r="OCM119" s="73"/>
      <c r="OCN119" s="73"/>
      <c r="OCO119" s="73"/>
      <c r="OCP119" s="73"/>
      <c r="OCQ119" s="73"/>
      <c r="OCR119" s="73"/>
      <c r="OCS119" s="73"/>
      <c r="OCT119" s="73"/>
      <c r="OCU119" s="73"/>
      <c r="OCV119" s="73"/>
      <c r="OCW119" s="73"/>
      <c r="OCX119" s="73"/>
      <c r="OCY119" s="73"/>
      <c r="OCZ119" s="73"/>
      <c r="ODA119" s="73"/>
      <c r="ODB119" s="73"/>
      <c r="ODC119" s="73"/>
      <c r="ODD119" s="73"/>
      <c r="ODE119" s="73"/>
      <c r="ODF119" s="73"/>
      <c r="ODG119" s="73"/>
      <c r="ODH119" s="73"/>
      <c r="ODI119" s="73"/>
      <c r="ODJ119" s="73"/>
      <c r="ODK119" s="73"/>
      <c r="ODL119" s="73"/>
      <c r="ODM119" s="73"/>
      <c r="ODN119" s="73"/>
      <c r="ODO119" s="73"/>
      <c r="ODP119" s="73"/>
      <c r="ODQ119" s="73"/>
      <c r="ODR119" s="73"/>
      <c r="ODS119" s="73"/>
      <c r="ODT119" s="73"/>
      <c r="ODU119" s="73"/>
      <c r="ODV119" s="73"/>
      <c r="ODW119" s="73"/>
      <c r="ODX119" s="73"/>
      <c r="ODY119" s="73"/>
      <c r="ODZ119" s="73"/>
      <c r="OEA119" s="73"/>
      <c r="OEB119" s="73"/>
      <c r="OEC119" s="73"/>
      <c r="OED119" s="73"/>
      <c r="OEE119" s="73"/>
      <c r="OEF119" s="73"/>
      <c r="OEG119" s="73"/>
      <c r="OEH119" s="73"/>
      <c r="OEI119" s="73"/>
      <c r="OEJ119" s="73"/>
      <c r="OEK119" s="73"/>
      <c r="OEL119" s="73"/>
      <c r="OEM119" s="73"/>
      <c r="OEN119" s="73"/>
      <c r="OEO119" s="73"/>
      <c r="OEP119" s="73"/>
      <c r="OEQ119" s="73"/>
      <c r="OER119" s="73"/>
      <c r="OES119" s="73"/>
      <c r="OET119" s="73"/>
      <c r="OEU119" s="73"/>
      <c r="OEV119" s="73"/>
      <c r="OEW119" s="73"/>
      <c r="OEX119" s="73"/>
      <c r="OEY119" s="73"/>
      <c r="OEZ119" s="73"/>
      <c r="OFA119" s="73"/>
      <c r="OFB119" s="73"/>
      <c r="OFC119" s="73"/>
      <c r="OFD119" s="73"/>
      <c r="OFE119" s="73"/>
      <c r="OFF119" s="73"/>
      <c r="OFG119" s="73"/>
      <c r="OFH119" s="73"/>
      <c r="OFI119" s="73"/>
      <c r="OFJ119" s="73"/>
      <c r="OFK119" s="73"/>
      <c r="OFL119" s="73"/>
      <c r="OFM119" s="73"/>
      <c r="OFN119" s="73"/>
      <c r="OFO119" s="73"/>
      <c r="OFP119" s="73"/>
      <c r="OFQ119" s="73"/>
      <c r="OFR119" s="73"/>
      <c r="OFS119" s="73"/>
      <c r="OFT119" s="73"/>
      <c r="OFU119" s="73"/>
      <c r="OFV119" s="73"/>
      <c r="OFW119" s="73"/>
      <c r="OFX119" s="73"/>
      <c r="OFY119" s="73"/>
      <c r="OFZ119" s="73"/>
      <c r="OGA119" s="73"/>
      <c r="OGB119" s="73"/>
      <c r="OGC119" s="73"/>
      <c r="OGD119" s="73"/>
      <c r="OGE119" s="73"/>
      <c r="OGF119" s="73"/>
      <c r="OGG119" s="73"/>
      <c r="OGH119" s="73"/>
      <c r="OGI119" s="73"/>
      <c r="OGJ119" s="73"/>
      <c r="OGK119" s="73"/>
      <c r="OGL119" s="73"/>
      <c r="OGM119" s="73"/>
      <c r="OGN119" s="73"/>
      <c r="OGO119" s="73"/>
      <c r="OGP119" s="73"/>
      <c r="OGQ119" s="73"/>
      <c r="OGR119" s="73"/>
      <c r="OGS119" s="73"/>
      <c r="OGT119" s="73"/>
      <c r="OGU119" s="73"/>
      <c r="OGV119" s="73"/>
      <c r="OGW119" s="73"/>
      <c r="OGX119" s="73"/>
      <c r="OGY119" s="73"/>
      <c r="OGZ119" s="73"/>
      <c r="OHA119" s="73"/>
      <c r="OHB119" s="73"/>
      <c r="OHC119" s="73"/>
      <c r="OHD119" s="73"/>
      <c r="OHE119" s="73"/>
      <c r="OHF119" s="73"/>
      <c r="OHG119" s="73"/>
      <c r="OHH119" s="73"/>
      <c r="OHI119" s="73"/>
      <c r="OHJ119" s="73"/>
      <c r="OHK119" s="73"/>
      <c r="OHL119" s="73"/>
      <c r="OHM119" s="73"/>
      <c r="OHN119" s="73"/>
      <c r="OHO119" s="73"/>
      <c r="OHP119" s="73"/>
      <c r="OHQ119" s="73"/>
      <c r="OHR119" s="73"/>
      <c r="OHS119" s="73"/>
      <c r="OHT119" s="73"/>
      <c r="OHU119" s="73"/>
      <c r="OHV119" s="73"/>
      <c r="OHW119" s="73"/>
      <c r="OHX119" s="73"/>
      <c r="OHY119" s="73"/>
      <c r="OHZ119" s="73"/>
      <c r="OIA119" s="73"/>
      <c r="OIB119" s="73"/>
      <c r="OIC119" s="73"/>
      <c r="OID119" s="73"/>
      <c r="OIE119" s="73"/>
      <c r="OIF119" s="73"/>
      <c r="OIG119" s="73"/>
      <c r="OIH119" s="73"/>
      <c r="OII119" s="73"/>
      <c r="OIJ119" s="73"/>
      <c r="OIK119" s="73"/>
      <c r="OIL119" s="73"/>
      <c r="OIM119" s="73"/>
      <c r="OIN119" s="73"/>
      <c r="OIO119" s="73"/>
      <c r="OIP119" s="73"/>
      <c r="OIQ119" s="73"/>
      <c r="OIR119" s="73"/>
      <c r="OIS119" s="73"/>
      <c r="OIT119" s="73"/>
      <c r="OIU119" s="73"/>
      <c r="OIV119" s="73"/>
      <c r="OIW119" s="73"/>
      <c r="OIX119" s="73"/>
      <c r="OIY119" s="73"/>
      <c r="OIZ119" s="73"/>
      <c r="OJA119" s="73"/>
      <c r="OJB119" s="73"/>
      <c r="OJC119" s="73"/>
      <c r="OJD119" s="73"/>
      <c r="OJE119" s="73"/>
      <c r="OJF119" s="73"/>
      <c r="OJG119" s="73"/>
      <c r="OJH119" s="73"/>
      <c r="OJI119" s="73"/>
      <c r="OJJ119" s="73"/>
      <c r="OJK119" s="73"/>
      <c r="OJL119" s="73"/>
      <c r="OJM119" s="73"/>
      <c r="OJN119" s="73"/>
      <c r="OJO119" s="73"/>
      <c r="OJP119" s="73"/>
      <c r="OJQ119" s="73"/>
      <c r="OJR119" s="73"/>
      <c r="OJS119" s="73"/>
      <c r="OJT119" s="73"/>
      <c r="OJU119" s="73"/>
      <c r="OJV119" s="73"/>
      <c r="OJW119" s="73"/>
      <c r="OJX119" s="73"/>
      <c r="OJY119" s="73"/>
      <c r="OJZ119" s="73"/>
      <c r="OKA119" s="73"/>
      <c r="OKB119" s="73"/>
      <c r="OKC119" s="73"/>
      <c r="OKD119" s="73"/>
      <c r="OKE119" s="73"/>
      <c r="OKF119" s="73"/>
      <c r="OKG119" s="73"/>
      <c r="OKH119" s="73"/>
      <c r="OKI119" s="73"/>
      <c r="OKJ119" s="73"/>
      <c r="OKK119" s="73"/>
      <c r="OKL119" s="73"/>
      <c r="OKM119" s="73"/>
      <c r="OKN119" s="73"/>
      <c r="OKO119" s="73"/>
      <c r="OKP119" s="73"/>
      <c r="OKQ119" s="73"/>
      <c r="OKR119" s="73"/>
      <c r="OKS119" s="73"/>
      <c r="OKT119" s="73"/>
      <c r="OKU119" s="73"/>
      <c r="OKV119" s="73"/>
      <c r="OKW119" s="73"/>
      <c r="OKX119" s="73"/>
      <c r="OKY119" s="73"/>
      <c r="OKZ119" s="73"/>
      <c r="OLA119" s="73"/>
      <c r="OLB119" s="73"/>
      <c r="OLC119" s="73"/>
      <c r="OLD119" s="73"/>
      <c r="OLE119" s="73"/>
      <c r="OLF119" s="73"/>
      <c r="OLG119" s="73"/>
      <c r="OLH119" s="73"/>
      <c r="OLI119" s="73"/>
      <c r="OLJ119" s="73"/>
      <c r="OLK119" s="73"/>
      <c r="OLL119" s="73"/>
      <c r="OLM119" s="73"/>
      <c r="OLN119" s="73"/>
      <c r="OLO119" s="73"/>
      <c r="OLP119" s="73"/>
      <c r="OLQ119" s="73"/>
      <c r="OLR119" s="73"/>
      <c r="OLS119" s="73"/>
      <c r="OLT119" s="73"/>
      <c r="OLU119" s="73"/>
      <c r="OLV119" s="73"/>
      <c r="OLW119" s="73"/>
      <c r="OLX119" s="73"/>
      <c r="OLY119" s="73"/>
      <c r="OLZ119" s="73"/>
      <c r="OMA119" s="73"/>
      <c r="OMB119" s="73"/>
      <c r="OMC119" s="73"/>
      <c r="OMD119" s="73"/>
      <c r="OME119" s="73"/>
      <c r="OMF119" s="73"/>
      <c r="OMG119" s="73"/>
      <c r="OMH119" s="73"/>
      <c r="OMI119" s="73"/>
      <c r="OMJ119" s="73"/>
      <c r="OMK119" s="73"/>
      <c r="OML119" s="73"/>
      <c r="OMM119" s="73"/>
      <c r="OMN119" s="73"/>
      <c r="OMO119" s="73"/>
      <c r="OMP119" s="73"/>
      <c r="OMQ119" s="73"/>
      <c r="OMR119" s="73"/>
      <c r="OMS119" s="73"/>
      <c r="OMT119" s="73"/>
      <c r="OMU119" s="73"/>
      <c r="OMV119" s="73"/>
      <c r="OMW119" s="73"/>
      <c r="OMX119" s="73"/>
      <c r="OMY119" s="73"/>
      <c r="OMZ119" s="73"/>
      <c r="ONA119" s="73"/>
      <c r="ONB119" s="73"/>
      <c r="ONC119" s="73"/>
      <c r="OND119" s="73"/>
      <c r="ONE119" s="73"/>
      <c r="ONF119" s="73"/>
      <c r="ONG119" s="73"/>
      <c r="ONH119" s="73"/>
      <c r="ONI119" s="73"/>
      <c r="ONJ119" s="73"/>
      <c r="ONK119" s="73"/>
      <c r="ONL119" s="73"/>
      <c r="ONM119" s="73"/>
      <c r="ONN119" s="73"/>
      <c r="ONO119" s="73"/>
      <c r="ONP119" s="73"/>
      <c r="ONQ119" s="73"/>
      <c r="ONR119" s="73"/>
      <c r="ONS119" s="73"/>
      <c r="ONT119" s="73"/>
      <c r="ONU119" s="73"/>
      <c r="ONV119" s="73"/>
      <c r="ONW119" s="73"/>
      <c r="ONX119" s="73"/>
      <c r="ONY119" s="73"/>
      <c r="ONZ119" s="73"/>
      <c r="OOA119" s="73"/>
      <c r="OOB119" s="73"/>
      <c r="OOC119" s="73"/>
      <c r="OOD119" s="73"/>
      <c r="OOE119" s="73"/>
      <c r="OOF119" s="73"/>
      <c r="OOG119" s="73"/>
      <c r="OOH119" s="73"/>
      <c r="OOI119" s="73"/>
      <c r="OOJ119" s="73"/>
      <c r="OOK119" s="73"/>
      <c r="OOL119" s="73"/>
      <c r="OOM119" s="73"/>
      <c r="OON119" s="73"/>
      <c r="OOO119" s="73"/>
      <c r="OOP119" s="73"/>
      <c r="OOQ119" s="73"/>
      <c r="OOR119" s="73"/>
      <c r="OOS119" s="73"/>
      <c r="OOT119" s="73"/>
      <c r="OOU119" s="73"/>
      <c r="OOV119" s="73"/>
      <c r="OOW119" s="73"/>
      <c r="OOX119" s="73"/>
      <c r="OOY119" s="73"/>
      <c r="OOZ119" s="73"/>
      <c r="OPA119" s="73"/>
      <c r="OPB119" s="73"/>
      <c r="OPC119" s="73"/>
      <c r="OPD119" s="73"/>
      <c r="OPE119" s="73"/>
      <c r="OPF119" s="73"/>
      <c r="OPG119" s="73"/>
      <c r="OPH119" s="73"/>
      <c r="OPI119" s="73"/>
      <c r="OPJ119" s="73"/>
      <c r="OPK119" s="73"/>
      <c r="OPL119" s="73"/>
      <c r="OPM119" s="73"/>
      <c r="OPN119" s="73"/>
      <c r="OPO119" s="73"/>
      <c r="OPP119" s="73"/>
      <c r="OPQ119" s="73"/>
      <c r="OPR119" s="73"/>
      <c r="OPS119" s="73"/>
      <c r="OPT119" s="73"/>
      <c r="OPU119" s="73"/>
      <c r="OPV119" s="73"/>
      <c r="OPW119" s="73"/>
      <c r="OPX119" s="73"/>
      <c r="OPY119" s="73"/>
      <c r="OPZ119" s="73"/>
      <c r="OQA119" s="73"/>
      <c r="OQB119" s="73"/>
      <c r="OQC119" s="73"/>
      <c r="OQD119" s="73"/>
      <c r="OQE119" s="73"/>
      <c r="OQF119" s="73"/>
      <c r="OQG119" s="73"/>
      <c r="OQH119" s="73"/>
      <c r="OQI119" s="73"/>
      <c r="OQJ119" s="73"/>
      <c r="OQK119" s="73"/>
      <c r="OQL119" s="73"/>
      <c r="OQM119" s="73"/>
      <c r="OQN119" s="73"/>
      <c r="OQO119" s="73"/>
      <c r="OQP119" s="73"/>
      <c r="OQQ119" s="73"/>
      <c r="OQR119" s="73"/>
      <c r="OQS119" s="73"/>
      <c r="OQT119" s="73"/>
      <c r="OQU119" s="73"/>
      <c r="OQV119" s="73"/>
      <c r="OQW119" s="73"/>
      <c r="OQX119" s="73"/>
      <c r="OQY119" s="73"/>
      <c r="OQZ119" s="73"/>
      <c r="ORA119" s="73"/>
      <c r="ORB119" s="73"/>
      <c r="ORC119" s="73"/>
      <c r="ORD119" s="73"/>
      <c r="ORE119" s="73"/>
      <c r="ORF119" s="73"/>
      <c r="ORG119" s="73"/>
      <c r="ORH119" s="73"/>
      <c r="ORI119" s="73"/>
      <c r="ORJ119" s="73"/>
      <c r="ORK119" s="73"/>
      <c r="ORL119" s="73"/>
      <c r="ORM119" s="73"/>
      <c r="ORN119" s="73"/>
      <c r="ORO119" s="73"/>
      <c r="ORP119" s="73"/>
      <c r="ORQ119" s="73"/>
      <c r="ORR119" s="73"/>
      <c r="ORS119" s="73"/>
      <c r="ORT119" s="73"/>
      <c r="ORU119" s="73"/>
      <c r="ORV119" s="73"/>
      <c r="ORW119" s="73"/>
      <c r="ORX119" s="73"/>
      <c r="ORY119" s="73"/>
      <c r="ORZ119" s="73"/>
      <c r="OSA119" s="73"/>
      <c r="OSB119" s="73"/>
      <c r="OSC119" s="73"/>
      <c r="OSD119" s="73"/>
      <c r="OSE119" s="73"/>
      <c r="OSF119" s="73"/>
      <c r="OSG119" s="73"/>
      <c r="OSH119" s="73"/>
      <c r="OSI119" s="73"/>
      <c r="OSJ119" s="73"/>
      <c r="OSK119" s="73"/>
      <c r="OSL119" s="73"/>
      <c r="OSM119" s="73"/>
      <c r="OSN119" s="73"/>
      <c r="OSO119" s="73"/>
      <c r="OSP119" s="73"/>
      <c r="OSQ119" s="73"/>
      <c r="OSR119" s="73"/>
      <c r="OSS119" s="73"/>
      <c r="OST119" s="73"/>
      <c r="OSU119" s="73"/>
      <c r="OSV119" s="73"/>
      <c r="OSW119" s="73"/>
      <c r="OSX119" s="73"/>
      <c r="OSY119" s="73"/>
      <c r="OSZ119" s="73"/>
      <c r="OTA119" s="73"/>
      <c r="OTB119" s="73"/>
      <c r="OTC119" s="73"/>
      <c r="OTD119" s="73"/>
      <c r="OTE119" s="73"/>
      <c r="OTF119" s="73"/>
      <c r="OTG119" s="73"/>
      <c r="OTH119" s="73"/>
      <c r="OTI119" s="73"/>
      <c r="OTJ119" s="73"/>
      <c r="OTK119" s="73"/>
      <c r="OTL119" s="73"/>
      <c r="OTM119" s="73"/>
      <c r="OTN119" s="73"/>
      <c r="OTO119" s="73"/>
      <c r="OTP119" s="73"/>
      <c r="OTQ119" s="73"/>
      <c r="OTR119" s="73"/>
      <c r="OTS119" s="73"/>
      <c r="OTT119" s="73"/>
      <c r="OTU119" s="73"/>
      <c r="OTV119" s="73"/>
      <c r="OTW119" s="73"/>
      <c r="OTX119" s="73"/>
      <c r="OTY119" s="73"/>
      <c r="OTZ119" s="73"/>
      <c r="OUA119" s="73"/>
      <c r="OUB119" s="73"/>
      <c r="OUC119" s="73"/>
      <c r="OUD119" s="73"/>
      <c r="OUE119" s="73"/>
      <c r="OUF119" s="73"/>
      <c r="OUG119" s="73"/>
      <c r="OUH119" s="73"/>
      <c r="OUI119" s="73"/>
      <c r="OUJ119" s="73"/>
      <c r="OUK119" s="73"/>
      <c r="OUL119" s="73"/>
      <c r="OUM119" s="73"/>
      <c r="OUN119" s="73"/>
      <c r="OUO119" s="73"/>
      <c r="OUP119" s="73"/>
      <c r="OUQ119" s="73"/>
      <c r="OUR119" s="73"/>
      <c r="OUS119" s="73"/>
      <c r="OUT119" s="73"/>
      <c r="OUU119" s="73"/>
      <c r="OUV119" s="73"/>
      <c r="OUW119" s="73"/>
      <c r="OUX119" s="73"/>
      <c r="OUY119" s="73"/>
      <c r="OUZ119" s="73"/>
      <c r="OVA119" s="73"/>
      <c r="OVB119" s="73"/>
      <c r="OVC119" s="73"/>
      <c r="OVD119" s="73"/>
      <c r="OVE119" s="73"/>
      <c r="OVF119" s="73"/>
      <c r="OVG119" s="73"/>
      <c r="OVH119" s="73"/>
      <c r="OVI119" s="73"/>
      <c r="OVJ119" s="73"/>
      <c r="OVK119" s="73"/>
      <c r="OVL119" s="73"/>
      <c r="OVM119" s="73"/>
      <c r="OVN119" s="73"/>
      <c r="OVO119" s="73"/>
      <c r="OVP119" s="73"/>
      <c r="OVQ119" s="73"/>
      <c r="OVR119" s="73"/>
      <c r="OVS119" s="73"/>
      <c r="OVT119" s="73"/>
      <c r="OVU119" s="73"/>
      <c r="OVV119" s="73"/>
      <c r="OVW119" s="73"/>
      <c r="OVX119" s="73"/>
      <c r="OVY119" s="73"/>
      <c r="OVZ119" s="73"/>
      <c r="OWA119" s="73"/>
      <c r="OWB119" s="73"/>
      <c r="OWC119" s="73"/>
      <c r="OWD119" s="73"/>
      <c r="OWE119" s="73"/>
      <c r="OWF119" s="73"/>
      <c r="OWG119" s="73"/>
      <c r="OWH119" s="73"/>
      <c r="OWI119" s="73"/>
      <c r="OWJ119" s="73"/>
      <c r="OWK119" s="73"/>
      <c r="OWL119" s="73"/>
      <c r="OWM119" s="73"/>
      <c r="OWN119" s="73"/>
      <c r="OWO119" s="73"/>
      <c r="OWP119" s="73"/>
      <c r="OWQ119" s="73"/>
      <c r="OWR119" s="73"/>
      <c r="OWS119" s="73"/>
      <c r="OWT119" s="73"/>
      <c r="OWU119" s="73"/>
      <c r="OWV119" s="73"/>
      <c r="OWW119" s="73"/>
      <c r="OWX119" s="73"/>
      <c r="OWY119" s="73"/>
      <c r="OWZ119" s="73"/>
      <c r="OXA119" s="73"/>
      <c r="OXB119" s="73"/>
      <c r="OXC119" s="73"/>
      <c r="OXD119" s="73"/>
      <c r="OXE119" s="73"/>
      <c r="OXF119" s="73"/>
      <c r="OXG119" s="73"/>
      <c r="OXH119" s="73"/>
      <c r="OXI119" s="73"/>
      <c r="OXJ119" s="73"/>
      <c r="OXK119" s="73"/>
      <c r="OXL119" s="73"/>
      <c r="OXM119" s="73"/>
      <c r="OXN119" s="73"/>
      <c r="OXO119" s="73"/>
      <c r="OXP119" s="73"/>
      <c r="OXQ119" s="73"/>
      <c r="OXR119" s="73"/>
      <c r="OXS119" s="73"/>
      <c r="OXT119" s="73"/>
      <c r="OXU119" s="73"/>
      <c r="OXV119" s="73"/>
      <c r="OXW119" s="73"/>
      <c r="OXX119" s="73"/>
      <c r="OXY119" s="73"/>
      <c r="OXZ119" s="73"/>
      <c r="OYA119" s="73"/>
      <c r="OYB119" s="73"/>
      <c r="OYC119" s="73"/>
      <c r="OYD119" s="73"/>
      <c r="OYE119" s="73"/>
      <c r="OYF119" s="73"/>
      <c r="OYG119" s="73"/>
      <c r="OYH119" s="73"/>
      <c r="OYI119" s="73"/>
      <c r="OYJ119" s="73"/>
      <c r="OYK119" s="73"/>
      <c r="OYL119" s="73"/>
      <c r="OYM119" s="73"/>
      <c r="OYN119" s="73"/>
      <c r="OYO119" s="73"/>
      <c r="OYP119" s="73"/>
      <c r="OYQ119" s="73"/>
      <c r="OYR119" s="73"/>
      <c r="OYS119" s="73"/>
      <c r="OYT119" s="73"/>
      <c r="OYU119" s="73"/>
      <c r="OYV119" s="73"/>
      <c r="OYW119" s="73"/>
      <c r="OYX119" s="73"/>
      <c r="OYY119" s="73"/>
      <c r="OYZ119" s="73"/>
      <c r="OZA119" s="73"/>
      <c r="OZB119" s="73"/>
      <c r="OZC119" s="73"/>
      <c r="OZD119" s="73"/>
      <c r="OZE119" s="73"/>
      <c r="OZF119" s="73"/>
      <c r="OZG119" s="73"/>
      <c r="OZH119" s="73"/>
      <c r="OZI119" s="73"/>
      <c r="OZJ119" s="73"/>
      <c r="OZK119" s="73"/>
      <c r="OZL119" s="73"/>
      <c r="OZM119" s="73"/>
      <c r="OZN119" s="73"/>
      <c r="OZO119" s="73"/>
      <c r="OZP119" s="73"/>
      <c r="OZQ119" s="73"/>
      <c r="OZR119" s="73"/>
      <c r="OZS119" s="73"/>
      <c r="OZT119" s="73"/>
      <c r="OZU119" s="73"/>
      <c r="OZV119" s="73"/>
      <c r="OZW119" s="73"/>
      <c r="OZX119" s="73"/>
      <c r="OZY119" s="73"/>
      <c r="OZZ119" s="73"/>
      <c r="PAA119" s="73"/>
      <c r="PAB119" s="73"/>
      <c r="PAC119" s="73"/>
      <c r="PAD119" s="73"/>
      <c r="PAE119" s="73"/>
      <c r="PAF119" s="73"/>
      <c r="PAG119" s="73"/>
      <c r="PAH119" s="73"/>
      <c r="PAI119" s="73"/>
      <c r="PAJ119" s="73"/>
      <c r="PAK119" s="73"/>
      <c r="PAL119" s="73"/>
      <c r="PAM119" s="73"/>
      <c r="PAN119" s="73"/>
      <c r="PAO119" s="73"/>
      <c r="PAP119" s="73"/>
      <c r="PAQ119" s="73"/>
      <c r="PAR119" s="73"/>
      <c r="PAS119" s="73"/>
      <c r="PAT119" s="73"/>
      <c r="PAU119" s="73"/>
      <c r="PAV119" s="73"/>
      <c r="PAW119" s="73"/>
      <c r="PAX119" s="73"/>
      <c r="PAY119" s="73"/>
      <c r="PAZ119" s="73"/>
      <c r="PBA119" s="73"/>
      <c r="PBB119" s="73"/>
      <c r="PBC119" s="73"/>
      <c r="PBD119" s="73"/>
      <c r="PBE119" s="73"/>
      <c r="PBF119" s="73"/>
      <c r="PBG119" s="73"/>
      <c r="PBH119" s="73"/>
      <c r="PBI119" s="73"/>
      <c r="PBJ119" s="73"/>
      <c r="PBK119" s="73"/>
      <c r="PBL119" s="73"/>
      <c r="PBM119" s="73"/>
      <c r="PBN119" s="73"/>
      <c r="PBO119" s="73"/>
      <c r="PBP119" s="73"/>
      <c r="PBQ119" s="73"/>
      <c r="PBR119" s="73"/>
      <c r="PBS119" s="73"/>
      <c r="PBT119" s="73"/>
      <c r="PBU119" s="73"/>
      <c r="PBV119" s="73"/>
      <c r="PBW119" s="73"/>
      <c r="PBX119" s="73"/>
      <c r="PBY119" s="73"/>
      <c r="PBZ119" s="73"/>
      <c r="PCA119" s="73"/>
      <c r="PCB119" s="73"/>
      <c r="PCC119" s="73"/>
      <c r="PCD119" s="73"/>
      <c r="PCE119" s="73"/>
      <c r="PCF119" s="73"/>
      <c r="PCG119" s="73"/>
      <c r="PCH119" s="73"/>
      <c r="PCI119" s="73"/>
      <c r="PCJ119" s="73"/>
      <c r="PCK119" s="73"/>
      <c r="PCL119" s="73"/>
      <c r="PCM119" s="73"/>
      <c r="PCN119" s="73"/>
      <c r="PCO119" s="73"/>
      <c r="PCP119" s="73"/>
      <c r="PCQ119" s="73"/>
      <c r="PCR119" s="73"/>
      <c r="PCS119" s="73"/>
      <c r="PCT119" s="73"/>
      <c r="PCU119" s="73"/>
      <c r="PCV119" s="73"/>
      <c r="PCW119" s="73"/>
      <c r="PCX119" s="73"/>
      <c r="PCY119" s="73"/>
      <c r="PCZ119" s="73"/>
      <c r="PDA119" s="73"/>
      <c r="PDB119" s="73"/>
      <c r="PDC119" s="73"/>
      <c r="PDD119" s="73"/>
      <c r="PDE119" s="73"/>
      <c r="PDF119" s="73"/>
      <c r="PDG119" s="73"/>
      <c r="PDH119" s="73"/>
      <c r="PDI119" s="73"/>
      <c r="PDJ119" s="73"/>
      <c r="PDK119" s="73"/>
      <c r="PDL119" s="73"/>
      <c r="PDM119" s="73"/>
      <c r="PDN119" s="73"/>
      <c r="PDO119" s="73"/>
      <c r="PDP119" s="73"/>
      <c r="PDQ119" s="73"/>
      <c r="PDR119" s="73"/>
      <c r="PDS119" s="73"/>
      <c r="PDT119" s="73"/>
      <c r="PDU119" s="73"/>
      <c r="PDV119" s="73"/>
      <c r="PDW119" s="73"/>
      <c r="PDX119" s="73"/>
      <c r="PDY119" s="73"/>
      <c r="PDZ119" s="73"/>
      <c r="PEA119" s="73"/>
      <c r="PEB119" s="73"/>
      <c r="PEC119" s="73"/>
      <c r="PED119" s="73"/>
      <c r="PEE119" s="73"/>
      <c r="PEF119" s="73"/>
      <c r="PEG119" s="73"/>
      <c r="PEH119" s="73"/>
      <c r="PEI119" s="73"/>
      <c r="PEJ119" s="73"/>
      <c r="PEK119" s="73"/>
      <c r="PEL119" s="73"/>
      <c r="PEM119" s="73"/>
      <c r="PEN119" s="73"/>
      <c r="PEO119" s="73"/>
      <c r="PEP119" s="73"/>
      <c r="PEQ119" s="73"/>
      <c r="PER119" s="73"/>
      <c r="PES119" s="73"/>
      <c r="PET119" s="73"/>
      <c r="PEU119" s="73"/>
      <c r="PEV119" s="73"/>
      <c r="PEW119" s="73"/>
      <c r="PEX119" s="73"/>
      <c r="PEY119" s="73"/>
      <c r="PEZ119" s="73"/>
      <c r="PFA119" s="73"/>
      <c r="PFB119" s="73"/>
      <c r="PFC119" s="73"/>
      <c r="PFD119" s="73"/>
      <c r="PFE119" s="73"/>
      <c r="PFF119" s="73"/>
      <c r="PFG119" s="73"/>
      <c r="PFH119" s="73"/>
      <c r="PFI119" s="73"/>
      <c r="PFJ119" s="73"/>
      <c r="PFK119" s="73"/>
      <c r="PFL119" s="73"/>
      <c r="PFM119" s="73"/>
      <c r="PFN119" s="73"/>
      <c r="PFO119" s="73"/>
      <c r="PFP119" s="73"/>
      <c r="PFQ119" s="73"/>
      <c r="PFR119" s="73"/>
      <c r="PFS119" s="73"/>
      <c r="PFT119" s="73"/>
      <c r="PFU119" s="73"/>
      <c r="PFV119" s="73"/>
      <c r="PFW119" s="73"/>
      <c r="PFX119" s="73"/>
      <c r="PFY119" s="73"/>
      <c r="PFZ119" s="73"/>
      <c r="PGA119" s="73"/>
      <c r="PGB119" s="73"/>
      <c r="PGC119" s="73"/>
      <c r="PGD119" s="73"/>
      <c r="PGE119" s="73"/>
      <c r="PGF119" s="73"/>
      <c r="PGG119" s="73"/>
      <c r="PGH119" s="73"/>
      <c r="PGI119" s="73"/>
      <c r="PGJ119" s="73"/>
      <c r="PGK119" s="73"/>
      <c r="PGL119" s="73"/>
      <c r="PGM119" s="73"/>
      <c r="PGN119" s="73"/>
      <c r="PGO119" s="73"/>
      <c r="PGP119" s="73"/>
      <c r="PGQ119" s="73"/>
      <c r="PGR119" s="73"/>
      <c r="PGS119" s="73"/>
      <c r="PGT119" s="73"/>
      <c r="PGU119" s="73"/>
      <c r="PGV119" s="73"/>
      <c r="PGW119" s="73"/>
      <c r="PGX119" s="73"/>
      <c r="PGY119" s="73"/>
      <c r="PGZ119" s="73"/>
      <c r="PHA119" s="73"/>
      <c r="PHB119" s="73"/>
      <c r="PHC119" s="73"/>
      <c r="PHD119" s="73"/>
      <c r="PHE119" s="73"/>
      <c r="PHF119" s="73"/>
      <c r="PHG119" s="73"/>
      <c r="PHH119" s="73"/>
      <c r="PHI119" s="73"/>
      <c r="PHJ119" s="73"/>
      <c r="PHK119" s="73"/>
      <c r="PHL119" s="73"/>
      <c r="PHM119" s="73"/>
      <c r="PHN119" s="73"/>
      <c r="PHO119" s="73"/>
      <c r="PHP119" s="73"/>
      <c r="PHQ119" s="73"/>
      <c r="PHR119" s="73"/>
      <c r="PHS119" s="73"/>
      <c r="PHT119" s="73"/>
      <c r="PHU119" s="73"/>
      <c r="PHV119" s="73"/>
      <c r="PHW119" s="73"/>
      <c r="PHX119" s="73"/>
      <c r="PHY119" s="73"/>
      <c r="PHZ119" s="73"/>
      <c r="PIA119" s="73"/>
      <c r="PIB119" s="73"/>
      <c r="PIC119" s="73"/>
      <c r="PID119" s="73"/>
      <c r="PIE119" s="73"/>
      <c r="PIF119" s="73"/>
      <c r="PIG119" s="73"/>
      <c r="PIH119" s="73"/>
      <c r="PII119" s="73"/>
      <c r="PIJ119" s="73"/>
      <c r="PIK119" s="73"/>
      <c r="PIL119" s="73"/>
      <c r="PIM119" s="73"/>
      <c r="PIN119" s="73"/>
      <c r="PIO119" s="73"/>
      <c r="PIP119" s="73"/>
      <c r="PIQ119" s="73"/>
      <c r="PIR119" s="73"/>
      <c r="PIS119" s="73"/>
      <c r="PIT119" s="73"/>
      <c r="PIU119" s="73"/>
      <c r="PIV119" s="73"/>
      <c r="PIW119" s="73"/>
      <c r="PIX119" s="73"/>
      <c r="PIY119" s="73"/>
      <c r="PIZ119" s="73"/>
      <c r="PJA119" s="73"/>
      <c r="PJB119" s="73"/>
      <c r="PJC119" s="73"/>
      <c r="PJD119" s="73"/>
      <c r="PJE119" s="73"/>
      <c r="PJF119" s="73"/>
      <c r="PJG119" s="73"/>
      <c r="PJH119" s="73"/>
      <c r="PJI119" s="73"/>
      <c r="PJJ119" s="73"/>
      <c r="PJK119" s="73"/>
      <c r="PJL119" s="73"/>
      <c r="PJM119" s="73"/>
      <c r="PJN119" s="73"/>
      <c r="PJO119" s="73"/>
      <c r="PJP119" s="73"/>
      <c r="PJQ119" s="73"/>
      <c r="PJR119" s="73"/>
      <c r="PJS119" s="73"/>
      <c r="PJT119" s="73"/>
      <c r="PJU119" s="73"/>
      <c r="PJV119" s="73"/>
      <c r="PJW119" s="73"/>
      <c r="PJX119" s="73"/>
      <c r="PJY119" s="73"/>
      <c r="PJZ119" s="73"/>
      <c r="PKA119" s="73"/>
      <c r="PKB119" s="73"/>
      <c r="PKC119" s="73"/>
      <c r="PKD119" s="73"/>
      <c r="PKE119" s="73"/>
      <c r="PKF119" s="73"/>
      <c r="PKG119" s="73"/>
      <c r="PKH119" s="73"/>
      <c r="PKI119" s="73"/>
      <c r="PKJ119" s="73"/>
      <c r="PKK119" s="73"/>
      <c r="PKL119" s="73"/>
      <c r="PKM119" s="73"/>
      <c r="PKN119" s="73"/>
      <c r="PKO119" s="73"/>
      <c r="PKP119" s="73"/>
      <c r="PKQ119" s="73"/>
      <c r="PKR119" s="73"/>
      <c r="PKS119" s="73"/>
      <c r="PKT119" s="73"/>
      <c r="PKU119" s="73"/>
      <c r="PKV119" s="73"/>
      <c r="PKW119" s="73"/>
      <c r="PKX119" s="73"/>
      <c r="PKY119" s="73"/>
      <c r="PKZ119" s="73"/>
      <c r="PLA119" s="73"/>
      <c r="PLB119" s="73"/>
      <c r="PLC119" s="73"/>
      <c r="PLD119" s="73"/>
      <c r="PLE119" s="73"/>
      <c r="PLF119" s="73"/>
      <c r="PLG119" s="73"/>
      <c r="PLH119" s="73"/>
      <c r="PLI119" s="73"/>
      <c r="PLJ119" s="73"/>
      <c r="PLK119" s="73"/>
      <c r="PLL119" s="73"/>
      <c r="PLM119" s="73"/>
      <c r="PLN119" s="73"/>
      <c r="PLO119" s="73"/>
      <c r="PLP119" s="73"/>
      <c r="PLQ119" s="73"/>
      <c r="PLR119" s="73"/>
      <c r="PLS119" s="73"/>
      <c r="PLT119" s="73"/>
      <c r="PLU119" s="73"/>
      <c r="PLV119" s="73"/>
      <c r="PLW119" s="73"/>
      <c r="PLX119" s="73"/>
      <c r="PLY119" s="73"/>
      <c r="PLZ119" s="73"/>
      <c r="PMA119" s="73"/>
      <c r="PMB119" s="73"/>
      <c r="PMC119" s="73"/>
      <c r="PMD119" s="73"/>
      <c r="PME119" s="73"/>
      <c r="PMF119" s="73"/>
      <c r="PMG119" s="73"/>
      <c r="PMH119" s="73"/>
      <c r="PMI119" s="73"/>
      <c r="PMJ119" s="73"/>
      <c r="PMK119" s="73"/>
      <c r="PML119" s="73"/>
      <c r="PMM119" s="73"/>
      <c r="PMN119" s="73"/>
      <c r="PMO119" s="73"/>
      <c r="PMP119" s="73"/>
      <c r="PMQ119" s="73"/>
      <c r="PMR119" s="73"/>
      <c r="PMS119" s="73"/>
      <c r="PMT119" s="73"/>
      <c r="PMU119" s="73"/>
      <c r="PMV119" s="73"/>
      <c r="PMW119" s="73"/>
      <c r="PMX119" s="73"/>
      <c r="PMY119" s="73"/>
      <c r="PMZ119" s="73"/>
      <c r="PNA119" s="73"/>
      <c r="PNB119" s="73"/>
      <c r="PNC119" s="73"/>
      <c r="PND119" s="73"/>
      <c r="PNE119" s="73"/>
      <c r="PNF119" s="73"/>
      <c r="PNG119" s="73"/>
      <c r="PNH119" s="73"/>
      <c r="PNI119" s="73"/>
      <c r="PNJ119" s="73"/>
      <c r="PNK119" s="73"/>
      <c r="PNL119" s="73"/>
      <c r="PNM119" s="73"/>
      <c r="PNN119" s="73"/>
      <c r="PNO119" s="73"/>
      <c r="PNP119" s="73"/>
      <c r="PNQ119" s="73"/>
      <c r="PNR119" s="73"/>
      <c r="PNS119" s="73"/>
      <c r="PNT119" s="73"/>
      <c r="PNU119" s="73"/>
      <c r="PNV119" s="73"/>
      <c r="PNW119" s="73"/>
      <c r="PNX119" s="73"/>
      <c r="PNY119" s="73"/>
      <c r="PNZ119" s="73"/>
      <c r="POA119" s="73"/>
      <c r="POB119" s="73"/>
      <c r="POC119" s="73"/>
      <c r="POD119" s="73"/>
      <c r="POE119" s="73"/>
      <c r="POF119" s="73"/>
      <c r="POG119" s="73"/>
      <c r="POH119" s="73"/>
      <c r="POI119" s="73"/>
      <c r="POJ119" s="73"/>
      <c r="POK119" s="73"/>
      <c r="POL119" s="73"/>
      <c r="POM119" s="73"/>
      <c r="PON119" s="73"/>
      <c r="POO119" s="73"/>
      <c r="POP119" s="73"/>
      <c r="POQ119" s="73"/>
      <c r="POR119" s="73"/>
      <c r="POS119" s="73"/>
      <c r="POT119" s="73"/>
      <c r="POU119" s="73"/>
      <c r="POV119" s="73"/>
      <c r="POW119" s="73"/>
      <c r="POX119" s="73"/>
      <c r="POY119" s="73"/>
      <c r="POZ119" s="73"/>
      <c r="PPA119" s="73"/>
      <c r="PPB119" s="73"/>
      <c r="PPC119" s="73"/>
      <c r="PPD119" s="73"/>
      <c r="PPE119" s="73"/>
      <c r="PPF119" s="73"/>
      <c r="PPG119" s="73"/>
      <c r="PPH119" s="73"/>
      <c r="PPI119" s="73"/>
      <c r="PPJ119" s="73"/>
      <c r="PPK119" s="73"/>
      <c r="PPL119" s="73"/>
      <c r="PPM119" s="73"/>
      <c r="PPN119" s="73"/>
      <c r="PPO119" s="73"/>
      <c r="PPP119" s="73"/>
      <c r="PPQ119" s="73"/>
      <c r="PPR119" s="73"/>
      <c r="PPS119" s="73"/>
      <c r="PPT119" s="73"/>
      <c r="PPU119" s="73"/>
      <c r="PPV119" s="73"/>
      <c r="PPW119" s="73"/>
      <c r="PPX119" s="73"/>
      <c r="PPY119" s="73"/>
      <c r="PPZ119" s="73"/>
      <c r="PQA119" s="73"/>
      <c r="PQB119" s="73"/>
      <c r="PQC119" s="73"/>
      <c r="PQD119" s="73"/>
      <c r="PQE119" s="73"/>
      <c r="PQF119" s="73"/>
      <c r="PQG119" s="73"/>
      <c r="PQH119" s="73"/>
      <c r="PQI119" s="73"/>
      <c r="PQJ119" s="73"/>
      <c r="PQK119" s="73"/>
      <c r="PQL119" s="73"/>
      <c r="PQM119" s="73"/>
      <c r="PQN119" s="73"/>
      <c r="PQO119" s="73"/>
      <c r="PQP119" s="73"/>
      <c r="PQQ119" s="73"/>
      <c r="PQR119" s="73"/>
      <c r="PQS119" s="73"/>
      <c r="PQT119" s="73"/>
      <c r="PQU119" s="73"/>
      <c r="PQV119" s="73"/>
      <c r="PQW119" s="73"/>
      <c r="PQX119" s="73"/>
      <c r="PQY119" s="73"/>
      <c r="PQZ119" s="73"/>
      <c r="PRA119" s="73"/>
      <c r="PRB119" s="73"/>
      <c r="PRC119" s="73"/>
      <c r="PRD119" s="73"/>
      <c r="PRE119" s="73"/>
      <c r="PRF119" s="73"/>
      <c r="PRG119" s="73"/>
      <c r="PRH119" s="73"/>
      <c r="PRI119" s="73"/>
      <c r="PRJ119" s="73"/>
      <c r="PRK119" s="73"/>
      <c r="PRL119" s="73"/>
      <c r="PRM119" s="73"/>
      <c r="PRN119" s="73"/>
      <c r="PRO119" s="73"/>
      <c r="PRP119" s="73"/>
      <c r="PRQ119" s="73"/>
      <c r="PRR119" s="73"/>
      <c r="PRS119" s="73"/>
      <c r="PRT119" s="73"/>
      <c r="PRU119" s="73"/>
      <c r="PRV119" s="73"/>
      <c r="PRW119" s="73"/>
      <c r="PRX119" s="73"/>
      <c r="PRY119" s="73"/>
      <c r="PRZ119" s="73"/>
      <c r="PSA119" s="73"/>
      <c r="PSB119" s="73"/>
      <c r="PSC119" s="73"/>
      <c r="PSD119" s="73"/>
      <c r="PSE119" s="73"/>
      <c r="PSF119" s="73"/>
      <c r="PSG119" s="73"/>
      <c r="PSH119" s="73"/>
      <c r="PSI119" s="73"/>
      <c r="PSJ119" s="73"/>
      <c r="PSK119" s="73"/>
      <c r="PSL119" s="73"/>
      <c r="PSM119" s="73"/>
      <c r="PSN119" s="73"/>
      <c r="PSO119" s="73"/>
      <c r="PSP119" s="73"/>
      <c r="PSQ119" s="73"/>
      <c r="PSR119" s="73"/>
      <c r="PSS119" s="73"/>
      <c r="PST119" s="73"/>
      <c r="PSU119" s="73"/>
      <c r="PSV119" s="73"/>
      <c r="PSW119" s="73"/>
      <c r="PSX119" s="73"/>
      <c r="PSY119" s="73"/>
      <c r="PSZ119" s="73"/>
      <c r="PTA119" s="73"/>
      <c r="PTB119" s="73"/>
      <c r="PTC119" s="73"/>
      <c r="PTD119" s="73"/>
      <c r="PTE119" s="73"/>
      <c r="PTF119" s="73"/>
      <c r="PTG119" s="73"/>
      <c r="PTH119" s="73"/>
      <c r="PTI119" s="73"/>
      <c r="PTJ119" s="73"/>
      <c r="PTK119" s="73"/>
      <c r="PTL119" s="73"/>
      <c r="PTM119" s="73"/>
      <c r="PTN119" s="73"/>
      <c r="PTO119" s="73"/>
      <c r="PTP119" s="73"/>
      <c r="PTQ119" s="73"/>
      <c r="PTR119" s="73"/>
      <c r="PTS119" s="73"/>
      <c r="PTT119" s="73"/>
      <c r="PTU119" s="73"/>
      <c r="PTV119" s="73"/>
      <c r="PTW119" s="73"/>
      <c r="PTX119" s="73"/>
      <c r="PTY119" s="73"/>
      <c r="PTZ119" s="73"/>
      <c r="PUA119" s="73"/>
      <c r="PUB119" s="73"/>
      <c r="PUC119" s="73"/>
      <c r="PUD119" s="73"/>
      <c r="PUE119" s="73"/>
      <c r="PUF119" s="73"/>
      <c r="PUG119" s="73"/>
      <c r="PUH119" s="73"/>
      <c r="PUI119" s="73"/>
      <c r="PUJ119" s="73"/>
      <c r="PUK119" s="73"/>
      <c r="PUL119" s="73"/>
      <c r="PUM119" s="73"/>
      <c r="PUN119" s="73"/>
      <c r="PUO119" s="73"/>
      <c r="PUP119" s="73"/>
      <c r="PUQ119" s="73"/>
      <c r="PUR119" s="73"/>
      <c r="PUS119" s="73"/>
      <c r="PUT119" s="73"/>
      <c r="PUU119" s="73"/>
      <c r="PUV119" s="73"/>
      <c r="PUW119" s="73"/>
      <c r="PUX119" s="73"/>
      <c r="PUY119" s="73"/>
      <c r="PUZ119" s="73"/>
      <c r="PVA119" s="73"/>
      <c r="PVB119" s="73"/>
      <c r="PVC119" s="73"/>
      <c r="PVD119" s="73"/>
      <c r="PVE119" s="73"/>
      <c r="PVF119" s="73"/>
      <c r="PVG119" s="73"/>
      <c r="PVH119" s="73"/>
      <c r="PVI119" s="73"/>
      <c r="PVJ119" s="73"/>
      <c r="PVK119" s="73"/>
      <c r="PVL119" s="73"/>
      <c r="PVM119" s="73"/>
      <c r="PVN119" s="73"/>
      <c r="PVO119" s="73"/>
      <c r="PVP119" s="73"/>
      <c r="PVQ119" s="73"/>
      <c r="PVR119" s="73"/>
      <c r="PVS119" s="73"/>
      <c r="PVT119" s="73"/>
      <c r="PVU119" s="73"/>
      <c r="PVV119" s="73"/>
      <c r="PVW119" s="73"/>
      <c r="PVX119" s="73"/>
      <c r="PVY119" s="73"/>
      <c r="PVZ119" s="73"/>
      <c r="PWA119" s="73"/>
      <c r="PWB119" s="73"/>
      <c r="PWC119" s="73"/>
      <c r="PWD119" s="73"/>
      <c r="PWE119" s="73"/>
      <c r="PWF119" s="73"/>
      <c r="PWG119" s="73"/>
      <c r="PWH119" s="73"/>
      <c r="PWI119" s="73"/>
      <c r="PWJ119" s="73"/>
      <c r="PWK119" s="73"/>
      <c r="PWL119" s="73"/>
      <c r="PWM119" s="73"/>
      <c r="PWN119" s="73"/>
      <c r="PWO119" s="73"/>
      <c r="PWP119" s="73"/>
      <c r="PWQ119" s="73"/>
      <c r="PWR119" s="73"/>
      <c r="PWS119" s="73"/>
      <c r="PWT119" s="73"/>
      <c r="PWU119" s="73"/>
      <c r="PWV119" s="73"/>
      <c r="PWW119" s="73"/>
      <c r="PWX119" s="73"/>
      <c r="PWY119" s="73"/>
      <c r="PWZ119" s="73"/>
      <c r="PXA119" s="73"/>
      <c r="PXB119" s="73"/>
      <c r="PXC119" s="73"/>
      <c r="PXD119" s="73"/>
      <c r="PXE119" s="73"/>
      <c r="PXF119" s="73"/>
      <c r="PXG119" s="73"/>
      <c r="PXH119" s="73"/>
      <c r="PXI119" s="73"/>
      <c r="PXJ119" s="73"/>
      <c r="PXK119" s="73"/>
      <c r="PXL119" s="73"/>
      <c r="PXM119" s="73"/>
      <c r="PXN119" s="73"/>
      <c r="PXO119" s="73"/>
      <c r="PXP119" s="73"/>
      <c r="PXQ119" s="73"/>
      <c r="PXR119" s="73"/>
      <c r="PXS119" s="73"/>
      <c r="PXT119" s="73"/>
      <c r="PXU119" s="73"/>
      <c r="PXV119" s="73"/>
      <c r="PXW119" s="73"/>
      <c r="PXX119" s="73"/>
      <c r="PXY119" s="73"/>
      <c r="PXZ119" s="73"/>
      <c r="PYA119" s="73"/>
      <c r="PYB119" s="73"/>
      <c r="PYC119" s="73"/>
      <c r="PYD119" s="73"/>
      <c r="PYE119" s="73"/>
      <c r="PYF119" s="73"/>
      <c r="PYG119" s="73"/>
      <c r="PYH119" s="73"/>
      <c r="PYI119" s="73"/>
      <c r="PYJ119" s="73"/>
      <c r="PYK119" s="73"/>
      <c r="PYL119" s="73"/>
      <c r="PYM119" s="73"/>
      <c r="PYN119" s="73"/>
      <c r="PYO119" s="73"/>
      <c r="PYP119" s="73"/>
      <c r="PYQ119" s="73"/>
      <c r="PYR119" s="73"/>
      <c r="PYS119" s="73"/>
      <c r="PYT119" s="73"/>
      <c r="PYU119" s="73"/>
      <c r="PYV119" s="73"/>
      <c r="PYW119" s="73"/>
      <c r="PYX119" s="73"/>
      <c r="PYY119" s="73"/>
      <c r="PYZ119" s="73"/>
      <c r="PZA119" s="73"/>
      <c r="PZB119" s="73"/>
      <c r="PZC119" s="73"/>
      <c r="PZD119" s="73"/>
      <c r="PZE119" s="73"/>
      <c r="PZF119" s="73"/>
      <c r="PZG119" s="73"/>
      <c r="PZH119" s="73"/>
      <c r="PZI119" s="73"/>
      <c r="PZJ119" s="73"/>
      <c r="PZK119" s="73"/>
      <c r="PZL119" s="73"/>
      <c r="PZM119" s="73"/>
      <c r="PZN119" s="73"/>
      <c r="PZO119" s="73"/>
      <c r="PZP119" s="73"/>
      <c r="PZQ119" s="73"/>
      <c r="PZR119" s="73"/>
      <c r="PZS119" s="73"/>
      <c r="PZT119" s="73"/>
      <c r="PZU119" s="73"/>
      <c r="PZV119" s="73"/>
      <c r="PZW119" s="73"/>
      <c r="PZX119" s="73"/>
      <c r="PZY119" s="73"/>
      <c r="PZZ119" s="73"/>
      <c r="QAA119" s="73"/>
      <c r="QAB119" s="73"/>
      <c r="QAC119" s="73"/>
      <c r="QAD119" s="73"/>
      <c r="QAE119" s="73"/>
      <c r="QAF119" s="73"/>
      <c r="QAG119" s="73"/>
      <c r="QAH119" s="73"/>
      <c r="QAI119" s="73"/>
      <c r="QAJ119" s="73"/>
      <c r="QAK119" s="73"/>
      <c r="QAL119" s="73"/>
      <c r="QAM119" s="73"/>
      <c r="QAN119" s="73"/>
      <c r="QAO119" s="73"/>
      <c r="QAP119" s="73"/>
      <c r="QAQ119" s="73"/>
      <c r="QAR119" s="73"/>
      <c r="QAS119" s="73"/>
      <c r="QAT119" s="73"/>
      <c r="QAU119" s="73"/>
      <c r="QAV119" s="73"/>
      <c r="QAW119" s="73"/>
      <c r="QAX119" s="73"/>
      <c r="QAY119" s="73"/>
      <c r="QAZ119" s="73"/>
      <c r="QBA119" s="73"/>
      <c r="QBB119" s="73"/>
      <c r="QBC119" s="73"/>
      <c r="QBD119" s="73"/>
      <c r="QBE119" s="73"/>
      <c r="QBF119" s="73"/>
      <c r="QBG119" s="73"/>
      <c r="QBH119" s="73"/>
      <c r="QBI119" s="73"/>
      <c r="QBJ119" s="73"/>
      <c r="QBK119" s="73"/>
      <c r="QBL119" s="73"/>
      <c r="QBM119" s="73"/>
      <c r="QBN119" s="73"/>
      <c r="QBO119" s="73"/>
      <c r="QBP119" s="73"/>
      <c r="QBQ119" s="73"/>
      <c r="QBR119" s="73"/>
      <c r="QBS119" s="73"/>
      <c r="QBT119" s="73"/>
      <c r="QBU119" s="73"/>
      <c r="QBV119" s="73"/>
      <c r="QBW119" s="73"/>
      <c r="QBX119" s="73"/>
      <c r="QBY119" s="73"/>
      <c r="QBZ119" s="73"/>
      <c r="QCA119" s="73"/>
      <c r="QCB119" s="73"/>
      <c r="QCC119" s="73"/>
      <c r="QCD119" s="73"/>
      <c r="QCE119" s="73"/>
      <c r="QCF119" s="73"/>
      <c r="QCG119" s="73"/>
      <c r="QCH119" s="73"/>
      <c r="QCI119" s="73"/>
      <c r="QCJ119" s="73"/>
      <c r="QCK119" s="73"/>
      <c r="QCL119" s="73"/>
      <c r="QCM119" s="73"/>
      <c r="QCN119" s="73"/>
      <c r="QCO119" s="73"/>
      <c r="QCP119" s="73"/>
      <c r="QCQ119" s="73"/>
      <c r="QCR119" s="73"/>
      <c r="QCS119" s="73"/>
      <c r="QCT119" s="73"/>
      <c r="QCU119" s="73"/>
      <c r="QCV119" s="73"/>
      <c r="QCW119" s="73"/>
      <c r="QCX119" s="73"/>
      <c r="QCY119" s="73"/>
      <c r="QCZ119" s="73"/>
      <c r="QDA119" s="73"/>
      <c r="QDB119" s="73"/>
      <c r="QDC119" s="73"/>
      <c r="QDD119" s="73"/>
      <c r="QDE119" s="73"/>
      <c r="QDF119" s="73"/>
      <c r="QDG119" s="73"/>
      <c r="QDH119" s="73"/>
      <c r="QDI119" s="73"/>
      <c r="QDJ119" s="73"/>
      <c r="QDK119" s="73"/>
      <c r="QDL119" s="73"/>
      <c r="QDM119" s="73"/>
      <c r="QDN119" s="73"/>
      <c r="QDO119" s="73"/>
      <c r="QDP119" s="73"/>
      <c r="QDQ119" s="73"/>
      <c r="QDR119" s="73"/>
      <c r="QDS119" s="73"/>
      <c r="QDT119" s="73"/>
      <c r="QDU119" s="73"/>
      <c r="QDV119" s="73"/>
      <c r="QDW119" s="73"/>
      <c r="QDX119" s="73"/>
      <c r="QDY119" s="73"/>
      <c r="QDZ119" s="73"/>
      <c r="QEA119" s="73"/>
      <c r="QEB119" s="73"/>
      <c r="QEC119" s="73"/>
      <c r="QED119" s="73"/>
      <c r="QEE119" s="73"/>
      <c r="QEF119" s="73"/>
      <c r="QEG119" s="73"/>
      <c r="QEH119" s="73"/>
      <c r="QEI119" s="73"/>
      <c r="QEJ119" s="73"/>
      <c r="QEK119" s="73"/>
      <c r="QEL119" s="73"/>
      <c r="QEM119" s="73"/>
      <c r="QEN119" s="73"/>
      <c r="QEO119" s="73"/>
      <c r="QEP119" s="73"/>
      <c r="QEQ119" s="73"/>
      <c r="QER119" s="73"/>
      <c r="QES119" s="73"/>
      <c r="QET119" s="73"/>
      <c r="QEU119" s="73"/>
      <c r="QEV119" s="73"/>
      <c r="QEW119" s="73"/>
      <c r="QEX119" s="73"/>
      <c r="QEY119" s="73"/>
      <c r="QEZ119" s="73"/>
      <c r="QFA119" s="73"/>
      <c r="QFB119" s="73"/>
      <c r="QFC119" s="73"/>
      <c r="QFD119" s="73"/>
      <c r="QFE119" s="73"/>
      <c r="QFF119" s="73"/>
      <c r="QFG119" s="73"/>
      <c r="QFH119" s="73"/>
      <c r="QFI119" s="73"/>
      <c r="QFJ119" s="73"/>
      <c r="QFK119" s="73"/>
      <c r="QFL119" s="73"/>
      <c r="QFM119" s="73"/>
      <c r="QFN119" s="73"/>
      <c r="QFO119" s="73"/>
      <c r="QFP119" s="73"/>
      <c r="QFQ119" s="73"/>
      <c r="QFR119" s="73"/>
      <c r="QFS119" s="73"/>
      <c r="QFT119" s="73"/>
      <c r="QFU119" s="73"/>
      <c r="QFV119" s="73"/>
      <c r="QFW119" s="73"/>
      <c r="QFX119" s="73"/>
      <c r="QFY119" s="73"/>
      <c r="QFZ119" s="73"/>
      <c r="QGA119" s="73"/>
      <c r="QGB119" s="73"/>
      <c r="QGC119" s="73"/>
      <c r="QGD119" s="73"/>
      <c r="QGE119" s="73"/>
      <c r="QGF119" s="73"/>
      <c r="QGG119" s="73"/>
      <c r="QGH119" s="73"/>
      <c r="QGI119" s="73"/>
      <c r="QGJ119" s="73"/>
      <c r="QGK119" s="73"/>
      <c r="QGL119" s="73"/>
      <c r="QGM119" s="73"/>
      <c r="QGN119" s="73"/>
      <c r="QGO119" s="73"/>
      <c r="QGP119" s="73"/>
      <c r="QGQ119" s="73"/>
      <c r="QGR119" s="73"/>
      <c r="QGS119" s="73"/>
      <c r="QGT119" s="73"/>
      <c r="QGU119" s="73"/>
      <c r="QGV119" s="73"/>
      <c r="QGW119" s="73"/>
      <c r="QGX119" s="73"/>
      <c r="QGY119" s="73"/>
      <c r="QGZ119" s="73"/>
      <c r="QHA119" s="73"/>
      <c r="QHB119" s="73"/>
      <c r="QHC119" s="73"/>
      <c r="QHD119" s="73"/>
      <c r="QHE119" s="73"/>
      <c r="QHF119" s="73"/>
      <c r="QHG119" s="73"/>
      <c r="QHH119" s="73"/>
      <c r="QHI119" s="73"/>
      <c r="QHJ119" s="73"/>
      <c r="QHK119" s="73"/>
      <c r="QHL119" s="73"/>
      <c r="QHM119" s="73"/>
      <c r="QHN119" s="73"/>
      <c r="QHO119" s="73"/>
      <c r="QHP119" s="73"/>
      <c r="QHQ119" s="73"/>
      <c r="QHR119" s="73"/>
      <c r="QHS119" s="73"/>
      <c r="QHT119" s="73"/>
      <c r="QHU119" s="73"/>
      <c r="QHV119" s="73"/>
      <c r="QHW119" s="73"/>
      <c r="QHX119" s="73"/>
      <c r="QHY119" s="73"/>
      <c r="QHZ119" s="73"/>
      <c r="QIA119" s="73"/>
      <c r="QIB119" s="73"/>
      <c r="QIC119" s="73"/>
      <c r="QID119" s="73"/>
      <c r="QIE119" s="73"/>
      <c r="QIF119" s="73"/>
      <c r="QIG119" s="73"/>
      <c r="QIH119" s="73"/>
      <c r="QII119" s="73"/>
      <c r="QIJ119" s="73"/>
      <c r="QIK119" s="73"/>
      <c r="QIL119" s="73"/>
      <c r="QIM119" s="73"/>
      <c r="QIN119" s="73"/>
      <c r="QIO119" s="73"/>
      <c r="QIP119" s="73"/>
      <c r="QIQ119" s="73"/>
      <c r="QIR119" s="73"/>
      <c r="QIS119" s="73"/>
      <c r="QIT119" s="73"/>
      <c r="QIU119" s="73"/>
      <c r="QIV119" s="73"/>
      <c r="QIW119" s="73"/>
      <c r="QIX119" s="73"/>
      <c r="QIY119" s="73"/>
      <c r="QIZ119" s="73"/>
      <c r="QJA119" s="73"/>
      <c r="QJB119" s="73"/>
      <c r="QJC119" s="73"/>
      <c r="QJD119" s="73"/>
      <c r="QJE119" s="73"/>
      <c r="QJF119" s="73"/>
      <c r="QJG119" s="73"/>
      <c r="QJH119" s="73"/>
      <c r="QJI119" s="73"/>
      <c r="QJJ119" s="73"/>
      <c r="QJK119" s="73"/>
      <c r="QJL119" s="73"/>
      <c r="QJM119" s="73"/>
      <c r="QJN119" s="73"/>
      <c r="QJO119" s="73"/>
      <c r="QJP119" s="73"/>
      <c r="QJQ119" s="73"/>
      <c r="QJR119" s="73"/>
      <c r="QJS119" s="73"/>
      <c r="QJT119" s="73"/>
      <c r="QJU119" s="73"/>
      <c r="QJV119" s="73"/>
      <c r="QJW119" s="73"/>
      <c r="QJX119" s="73"/>
      <c r="QJY119" s="73"/>
      <c r="QJZ119" s="73"/>
      <c r="QKA119" s="73"/>
      <c r="QKB119" s="73"/>
      <c r="QKC119" s="73"/>
      <c r="QKD119" s="73"/>
      <c r="QKE119" s="73"/>
      <c r="QKF119" s="73"/>
      <c r="QKG119" s="73"/>
      <c r="QKH119" s="73"/>
      <c r="QKI119" s="73"/>
      <c r="QKJ119" s="73"/>
      <c r="QKK119" s="73"/>
      <c r="QKL119" s="73"/>
      <c r="QKM119" s="73"/>
      <c r="QKN119" s="73"/>
      <c r="QKO119" s="73"/>
      <c r="QKP119" s="73"/>
      <c r="QKQ119" s="73"/>
      <c r="QKR119" s="73"/>
      <c r="QKS119" s="73"/>
      <c r="QKT119" s="73"/>
      <c r="QKU119" s="73"/>
      <c r="QKV119" s="73"/>
      <c r="QKW119" s="73"/>
      <c r="QKX119" s="73"/>
      <c r="QKY119" s="73"/>
      <c r="QKZ119" s="73"/>
      <c r="QLA119" s="73"/>
      <c r="QLB119" s="73"/>
      <c r="QLC119" s="73"/>
      <c r="QLD119" s="73"/>
      <c r="QLE119" s="73"/>
      <c r="QLF119" s="73"/>
      <c r="QLG119" s="73"/>
      <c r="QLH119" s="73"/>
      <c r="QLI119" s="73"/>
      <c r="QLJ119" s="73"/>
      <c r="QLK119" s="73"/>
      <c r="QLL119" s="73"/>
      <c r="QLM119" s="73"/>
      <c r="QLN119" s="73"/>
      <c r="QLO119" s="73"/>
      <c r="QLP119" s="73"/>
      <c r="QLQ119" s="73"/>
      <c r="QLR119" s="73"/>
      <c r="QLS119" s="73"/>
      <c r="QLT119" s="73"/>
      <c r="QLU119" s="73"/>
      <c r="QLV119" s="73"/>
      <c r="QLW119" s="73"/>
      <c r="QLX119" s="73"/>
      <c r="QLY119" s="73"/>
      <c r="QLZ119" s="73"/>
      <c r="QMA119" s="73"/>
      <c r="QMB119" s="73"/>
      <c r="QMC119" s="73"/>
      <c r="QMD119" s="73"/>
      <c r="QME119" s="73"/>
      <c r="QMF119" s="73"/>
      <c r="QMG119" s="73"/>
      <c r="QMH119" s="73"/>
      <c r="QMI119" s="73"/>
      <c r="QMJ119" s="73"/>
      <c r="QMK119" s="73"/>
      <c r="QML119" s="73"/>
      <c r="QMM119" s="73"/>
      <c r="QMN119" s="73"/>
      <c r="QMO119" s="73"/>
      <c r="QMP119" s="73"/>
      <c r="QMQ119" s="73"/>
      <c r="QMR119" s="73"/>
      <c r="QMS119" s="73"/>
      <c r="QMT119" s="73"/>
      <c r="QMU119" s="73"/>
      <c r="QMV119" s="73"/>
      <c r="QMW119" s="73"/>
      <c r="QMX119" s="73"/>
      <c r="QMY119" s="73"/>
      <c r="QMZ119" s="73"/>
      <c r="QNA119" s="73"/>
      <c r="QNB119" s="73"/>
      <c r="QNC119" s="73"/>
      <c r="QND119" s="73"/>
      <c r="QNE119" s="73"/>
      <c r="QNF119" s="73"/>
      <c r="QNG119" s="73"/>
      <c r="QNH119" s="73"/>
      <c r="QNI119" s="73"/>
      <c r="QNJ119" s="73"/>
      <c r="QNK119" s="73"/>
      <c r="QNL119" s="73"/>
      <c r="QNM119" s="73"/>
      <c r="QNN119" s="73"/>
      <c r="QNO119" s="73"/>
      <c r="QNP119" s="73"/>
      <c r="QNQ119" s="73"/>
      <c r="QNR119" s="73"/>
      <c r="QNS119" s="73"/>
      <c r="QNT119" s="73"/>
      <c r="QNU119" s="73"/>
      <c r="QNV119" s="73"/>
      <c r="QNW119" s="73"/>
      <c r="QNX119" s="73"/>
      <c r="QNY119" s="73"/>
      <c r="QNZ119" s="73"/>
      <c r="QOA119" s="73"/>
      <c r="QOB119" s="73"/>
      <c r="QOC119" s="73"/>
      <c r="QOD119" s="73"/>
      <c r="QOE119" s="73"/>
      <c r="QOF119" s="73"/>
      <c r="QOG119" s="73"/>
      <c r="QOH119" s="73"/>
      <c r="QOI119" s="73"/>
      <c r="QOJ119" s="73"/>
      <c r="QOK119" s="73"/>
      <c r="QOL119" s="73"/>
      <c r="QOM119" s="73"/>
      <c r="QON119" s="73"/>
      <c r="QOO119" s="73"/>
      <c r="QOP119" s="73"/>
      <c r="QOQ119" s="73"/>
      <c r="QOR119" s="73"/>
      <c r="QOS119" s="73"/>
      <c r="QOT119" s="73"/>
      <c r="QOU119" s="73"/>
      <c r="QOV119" s="73"/>
      <c r="QOW119" s="73"/>
      <c r="QOX119" s="73"/>
      <c r="QOY119" s="73"/>
      <c r="QOZ119" s="73"/>
      <c r="QPA119" s="73"/>
      <c r="QPB119" s="73"/>
      <c r="QPC119" s="73"/>
      <c r="QPD119" s="73"/>
      <c r="QPE119" s="73"/>
      <c r="QPF119" s="73"/>
      <c r="QPG119" s="73"/>
      <c r="QPH119" s="73"/>
      <c r="QPI119" s="73"/>
      <c r="QPJ119" s="73"/>
      <c r="QPK119" s="73"/>
      <c r="QPL119" s="73"/>
      <c r="QPM119" s="73"/>
      <c r="QPN119" s="73"/>
      <c r="QPO119" s="73"/>
      <c r="QPP119" s="73"/>
      <c r="QPQ119" s="73"/>
      <c r="QPR119" s="73"/>
      <c r="QPS119" s="73"/>
      <c r="QPT119" s="73"/>
      <c r="QPU119" s="73"/>
      <c r="QPV119" s="73"/>
      <c r="QPW119" s="73"/>
      <c r="QPX119" s="73"/>
      <c r="QPY119" s="73"/>
      <c r="QPZ119" s="73"/>
      <c r="QQA119" s="73"/>
      <c r="QQB119" s="73"/>
      <c r="QQC119" s="73"/>
      <c r="QQD119" s="73"/>
      <c r="QQE119" s="73"/>
      <c r="QQF119" s="73"/>
      <c r="QQG119" s="73"/>
      <c r="QQH119" s="73"/>
      <c r="QQI119" s="73"/>
      <c r="QQJ119" s="73"/>
      <c r="QQK119" s="73"/>
      <c r="QQL119" s="73"/>
      <c r="QQM119" s="73"/>
      <c r="QQN119" s="73"/>
      <c r="QQO119" s="73"/>
      <c r="QQP119" s="73"/>
      <c r="QQQ119" s="73"/>
      <c r="QQR119" s="73"/>
      <c r="QQS119" s="73"/>
      <c r="QQT119" s="73"/>
      <c r="QQU119" s="73"/>
      <c r="QQV119" s="73"/>
      <c r="QQW119" s="73"/>
      <c r="QQX119" s="73"/>
      <c r="QQY119" s="73"/>
      <c r="QQZ119" s="73"/>
      <c r="QRA119" s="73"/>
      <c r="QRB119" s="73"/>
      <c r="QRC119" s="73"/>
      <c r="QRD119" s="73"/>
      <c r="QRE119" s="73"/>
      <c r="QRF119" s="73"/>
      <c r="QRG119" s="73"/>
      <c r="QRH119" s="73"/>
      <c r="QRI119" s="73"/>
      <c r="QRJ119" s="73"/>
      <c r="QRK119" s="73"/>
      <c r="QRL119" s="73"/>
      <c r="QRM119" s="73"/>
      <c r="QRN119" s="73"/>
      <c r="QRO119" s="73"/>
      <c r="QRP119" s="73"/>
      <c r="QRQ119" s="73"/>
      <c r="QRR119" s="73"/>
      <c r="QRS119" s="73"/>
      <c r="QRT119" s="73"/>
      <c r="QRU119" s="73"/>
      <c r="QRV119" s="73"/>
      <c r="QRW119" s="73"/>
      <c r="QRX119" s="73"/>
      <c r="QRY119" s="73"/>
      <c r="QRZ119" s="73"/>
      <c r="QSA119" s="73"/>
      <c r="QSB119" s="73"/>
      <c r="QSC119" s="73"/>
      <c r="QSD119" s="73"/>
      <c r="QSE119" s="73"/>
      <c r="QSF119" s="73"/>
      <c r="QSG119" s="73"/>
      <c r="QSH119" s="73"/>
      <c r="QSI119" s="73"/>
      <c r="QSJ119" s="73"/>
      <c r="QSK119" s="73"/>
      <c r="QSL119" s="73"/>
      <c r="QSM119" s="73"/>
      <c r="QSN119" s="73"/>
      <c r="QSO119" s="73"/>
      <c r="QSP119" s="73"/>
      <c r="QSQ119" s="73"/>
      <c r="QSR119" s="73"/>
      <c r="QSS119" s="73"/>
      <c r="QST119" s="73"/>
      <c r="QSU119" s="73"/>
      <c r="QSV119" s="73"/>
      <c r="QSW119" s="73"/>
      <c r="QSX119" s="73"/>
      <c r="QSY119" s="73"/>
      <c r="QSZ119" s="73"/>
      <c r="QTA119" s="73"/>
      <c r="QTB119" s="73"/>
      <c r="QTC119" s="73"/>
      <c r="QTD119" s="73"/>
      <c r="QTE119" s="73"/>
      <c r="QTF119" s="73"/>
      <c r="QTG119" s="73"/>
      <c r="QTH119" s="73"/>
      <c r="QTI119" s="73"/>
      <c r="QTJ119" s="73"/>
      <c r="QTK119" s="73"/>
      <c r="QTL119" s="73"/>
      <c r="QTM119" s="73"/>
      <c r="QTN119" s="73"/>
      <c r="QTO119" s="73"/>
      <c r="QTP119" s="73"/>
      <c r="QTQ119" s="73"/>
      <c r="QTR119" s="73"/>
      <c r="QTS119" s="73"/>
      <c r="QTT119" s="73"/>
      <c r="QTU119" s="73"/>
      <c r="QTV119" s="73"/>
      <c r="QTW119" s="73"/>
      <c r="QTX119" s="73"/>
      <c r="QTY119" s="73"/>
      <c r="QTZ119" s="73"/>
      <c r="QUA119" s="73"/>
      <c r="QUB119" s="73"/>
      <c r="QUC119" s="73"/>
      <c r="QUD119" s="73"/>
      <c r="QUE119" s="73"/>
      <c r="QUF119" s="73"/>
      <c r="QUG119" s="73"/>
      <c r="QUH119" s="73"/>
      <c r="QUI119" s="73"/>
      <c r="QUJ119" s="73"/>
      <c r="QUK119" s="73"/>
      <c r="QUL119" s="73"/>
      <c r="QUM119" s="73"/>
      <c r="QUN119" s="73"/>
      <c r="QUO119" s="73"/>
      <c r="QUP119" s="73"/>
      <c r="QUQ119" s="73"/>
      <c r="QUR119" s="73"/>
      <c r="QUS119" s="73"/>
      <c r="QUT119" s="73"/>
      <c r="QUU119" s="73"/>
      <c r="QUV119" s="73"/>
      <c r="QUW119" s="73"/>
      <c r="QUX119" s="73"/>
      <c r="QUY119" s="73"/>
      <c r="QUZ119" s="73"/>
      <c r="QVA119" s="73"/>
      <c r="QVB119" s="73"/>
      <c r="QVC119" s="73"/>
      <c r="QVD119" s="73"/>
      <c r="QVE119" s="73"/>
      <c r="QVF119" s="73"/>
      <c r="QVG119" s="73"/>
      <c r="QVH119" s="73"/>
      <c r="QVI119" s="73"/>
      <c r="QVJ119" s="73"/>
      <c r="QVK119" s="73"/>
      <c r="QVL119" s="73"/>
      <c r="QVM119" s="73"/>
      <c r="QVN119" s="73"/>
      <c r="QVO119" s="73"/>
      <c r="QVP119" s="73"/>
      <c r="QVQ119" s="73"/>
      <c r="QVR119" s="73"/>
      <c r="QVS119" s="73"/>
      <c r="QVT119" s="73"/>
      <c r="QVU119" s="73"/>
      <c r="QVV119" s="73"/>
      <c r="QVW119" s="73"/>
      <c r="QVX119" s="73"/>
      <c r="QVY119" s="73"/>
      <c r="QVZ119" s="73"/>
      <c r="QWA119" s="73"/>
      <c r="QWB119" s="73"/>
      <c r="QWC119" s="73"/>
      <c r="QWD119" s="73"/>
      <c r="QWE119" s="73"/>
      <c r="QWF119" s="73"/>
      <c r="QWG119" s="73"/>
      <c r="QWH119" s="73"/>
      <c r="QWI119" s="73"/>
      <c r="QWJ119" s="73"/>
      <c r="QWK119" s="73"/>
      <c r="QWL119" s="73"/>
      <c r="QWM119" s="73"/>
      <c r="QWN119" s="73"/>
      <c r="QWO119" s="73"/>
      <c r="QWP119" s="73"/>
      <c r="QWQ119" s="73"/>
      <c r="QWR119" s="73"/>
      <c r="QWS119" s="73"/>
      <c r="QWT119" s="73"/>
      <c r="QWU119" s="73"/>
      <c r="QWV119" s="73"/>
      <c r="QWW119" s="73"/>
      <c r="QWX119" s="73"/>
      <c r="QWY119" s="73"/>
      <c r="QWZ119" s="73"/>
      <c r="QXA119" s="73"/>
      <c r="QXB119" s="73"/>
      <c r="QXC119" s="73"/>
      <c r="QXD119" s="73"/>
      <c r="QXE119" s="73"/>
      <c r="QXF119" s="73"/>
      <c r="QXG119" s="73"/>
      <c r="QXH119" s="73"/>
      <c r="QXI119" s="73"/>
      <c r="QXJ119" s="73"/>
      <c r="QXK119" s="73"/>
      <c r="QXL119" s="73"/>
      <c r="QXM119" s="73"/>
      <c r="QXN119" s="73"/>
      <c r="QXO119" s="73"/>
      <c r="QXP119" s="73"/>
      <c r="QXQ119" s="73"/>
      <c r="QXR119" s="73"/>
      <c r="QXS119" s="73"/>
      <c r="QXT119" s="73"/>
      <c r="QXU119" s="73"/>
      <c r="QXV119" s="73"/>
      <c r="QXW119" s="73"/>
      <c r="QXX119" s="73"/>
      <c r="QXY119" s="73"/>
      <c r="QXZ119" s="73"/>
      <c r="QYA119" s="73"/>
      <c r="QYB119" s="73"/>
      <c r="QYC119" s="73"/>
      <c r="QYD119" s="73"/>
      <c r="QYE119" s="73"/>
      <c r="QYF119" s="73"/>
      <c r="QYG119" s="73"/>
      <c r="QYH119" s="73"/>
      <c r="QYI119" s="73"/>
      <c r="QYJ119" s="73"/>
      <c r="QYK119" s="73"/>
      <c r="QYL119" s="73"/>
      <c r="QYM119" s="73"/>
      <c r="QYN119" s="73"/>
      <c r="QYO119" s="73"/>
      <c r="QYP119" s="73"/>
      <c r="QYQ119" s="73"/>
      <c r="QYR119" s="73"/>
      <c r="QYS119" s="73"/>
      <c r="QYT119" s="73"/>
      <c r="QYU119" s="73"/>
      <c r="QYV119" s="73"/>
      <c r="QYW119" s="73"/>
      <c r="QYX119" s="73"/>
      <c r="QYY119" s="73"/>
      <c r="QYZ119" s="73"/>
      <c r="QZA119" s="73"/>
      <c r="QZB119" s="73"/>
      <c r="QZC119" s="73"/>
      <c r="QZD119" s="73"/>
      <c r="QZE119" s="73"/>
      <c r="QZF119" s="73"/>
      <c r="QZG119" s="73"/>
      <c r="QZH119" s="73"/>
      <c r="QZI119" s="73"/>
      <c r="QZJ119" s="73"/>
      <c r="QZK119" s="73"/>
      <c r="QZL119" s="73"/>
      <c r="QZM119" s="73"/>
      <c r="QZN119" s="73"/>
      <c r="QZO119" s="73"/>
      <c r="QZP119" s="73"/>
      <c r="QZQ119" s="73"/>
      <c r="QZR119" s="73"/>
      <c r="QZS119" s="73"/>
      <c r="QZT119" s="73"/>
      <c r="QZU119" s="73"/>
      <c r="QZV119" s="73"/>
      <c r="QZW119" s="73"/>
      <c r="QZX119" s="73"/>
      <c r="QZY119" s="73"/>
      <c r="QZZ119" s="73"/>
      <c r="RAA119" s="73"/>
      <c r="RAB119" s="73"/>
      <c r="RAC119" s="73"/>
      <c r="RAD119" s="73"/>
      <c r="RAE119" s="73"/>
      <c r="RAF119" s="73"/>
      <c r="RAG119" s="73"/>
      <c r="RAH119" s="73"/>
      <c r="RAI119" s="73"/>
      <c r="RAJ119" s="73"/>
      <c r="RAK119" s="73"/>
      <c r="RAL119" s="73"/>
      <c r="RAM119" s="73"/>
      <c r="RAN119" s="73"/>
      <c r="RAO119" s="73"/>
      <c r="RAP119" s="73"/>
      <c r="RAQ119" s="73"/>
      <c r="RAR119" s="73"/>
      <c r="RAS119" s="73"/>
      <c r="RAT119" s="73"/>
      <c r="RAU119" s="73"/>
      <c r="RAV119" s="73"/>
      <c r="RAW119" s="73"/>
      <c r="RAX119" s="73"/>
      <c r="RAY119" s="73"/>
      <c r="RAZ119" s="73"/>
      <c r="RBA119" s="73"/>
      <c r="RBB119" s="73"/>
      <c r="RBC119" s="73"/>
      <c r="RBD119" s="73"/>
      <c r="RBE119" s="73"/>
      <c r="RBF119" s="73"/>
      <c r="RBG119" s="73"/>
      <c r="RBH119" s="73"/>
      <c r="RBI119" s="73"/>
      <c r="RBJ119" s="73"/>
      <c r="RBK119" s="73"/>
      <c r="RBL119" s="73"/>
      <c r="RBM119" s="73"/>
      <c r="RBN119" s="73"/>
      <c r="RBO119" s="73"/>
      <c r="RBP119" s="73"/>
      <c r="RBQ119" s="73"/>
      <c r="RBR119" s="73"/>
      <c r="RBS119" s="73"/>
      <c r="RBT119" s="73"/>
      <c r="RBU119" s="73"/>
      <c r="RBV119" s="73"/>
      <c r="RBW119" s="73"/>
      <c r="RBX119" s="73"/>
      <c r="RBY119" s="73"/>
      <c r="RBZ119" s="73"/>
      <c r="RCA119" s="73"/>
      <c r="RCB119" s="73"/>
      <c r="RCC119" s="73"/>
      <c r="RCD119" s="73"/>
      <c r="RCE119" s="73"/>
      <c r="RCF119" s="73"/>
      <c r="RCG119" s="73"/>
      <c r="RCH119" s="73"/>
      <c r="RCI119" s="73"/>
      <c r="RCJ119" s="73"/>
      <c r="RCK119" s="73"/>
      <c r="RCL119" s="73"/>
      <c r="RCM119" s="73"/>
      <c r="RCN119" s="73"/>
      <c r="RCO119" s="73"/>
      <c r="RCP119" s="73"/>
      <c r="RCQ119" s="73"/>
      <c r="RCR119" s="73"/>
      <c r="RCS119" s="73"/>
      <c r="RCT119" s="73"/>
      <c r="RCU119" s="73"/>
      <c r="RCV119" s="73"/>
      <c r="RCW119" s="73"/>
      <c r="RCX119" s="73"/>
      <c r="RCY119" s="73"/>
      <c r="RCZ119" s="73"/>
      <c r="RDA119" s="73"/>
      <c r="RDB119" s="73"/>
      <c r="RDC119" s="73"/>
      <c r="RDD119" s="73"/>
      <c r="RDE119" s="73"/>
      <c r="RDF119" s="73"/>
      <c r="RDG119" s="73"/>
      <c r="RDH119" s="73"/>
      <c r="RDI119" s="73"/>
      <c r="RDJ119" s="73"/>
      <c r="RDK119" s="73"/>
      <c r="RDL119" s="73"/>
      <c r="RDM119" s="73"/>
      <c r="RDN119" s="73"/>
      <c r="RDO119" s="73"/>
      <c r="RDP119" s="73"/>
      <c r="RDQ119" s="73"/>
      <c r="RDR119" s="73"/>
      <c r="RDS119" s="73"/>
      <c r="RDT119" s="73"/>
      <c r="RDU119" s="73"/>
      <c r="RDV119" s="73"/>
      <c r="RDW119" s="73"/>
      <c r="RDX119" s="73"/>
      <c r="RDY119" s="73"/>
      <c r="RDZ119" s="73"/>
      <c r="REA119" s="73"/>
      <c r="REB119" s="73"/>
      <c r="REC119" s="73"/>
      <c r="RED119" s="73"/>
      <c r="REE119" s="73"/>
      <c r="REF119" s="73"/>
      <c r="REG119" s="73"/>
      <c r="REH119" s="73"/>
      <c r="REI119" s="73"/>
      <c r="REJ119" s="73"/>
      <c r="REK119" s="73"/>
      <c r="REL119" s="73"/>
      <c r="REM119" s="73"/>
      <c r="REN119" s="73"/>
      <c r="REO119" s="73"/>
      <c r="REP119" s="73"/>
      <c r="REQ119" s="73"/>
      <c r="RER119" s="73"/>
      <c r="RES119" s="73"/>
      <c r="RET119" s="73"/>
      <c r="REU119" s="73"/>
      <c r="REV119" s="73"/>
      <c r="REW119" s="73"/>
      <c r="REX119" s="73"/>
      <c r="REY119" s="73"/>
      <c r="REZ119" s="73"/>
      <c r="RFA119" s="73"/>
      <c r="RFB119" s="73"/>
      <c r="RFC119" s="73"/>
      <c r="RFD119" s="73"/>
      <c r="RFE119" s="73"/>
      <c r="RFF119" s="73"/>
      <c r="RFG119" s="73"/>
      <c r="RFH119" s="73"/>
      <c r="RFI119" s="73"/>
      <c r="RFJ119" s="73"/>
      <c r="RFK119" s="73"/>
      <c r="RFL119" s="73"/>
      <c r="RFM119" s="73"/>
      <c r="RFN119" s="73"/>
      <c r="RFO119" s="73"/>
      <c r="RFP119" s="73"/>
      <c r="RFQ119" s="73"/>
      <c r="RFR119" s="73"/>
      <c r="RFS119" s="73"/>
      <c r="RFT119" s="73"/>
      <c r="RFU119" s="73"/>
      <c r="RFV119" s="73"/>
      <c r="RFW119" s="73"/>
      <c r="RFX119" s="73"/>
      <c r="RFY119" s="73"/>
      <c r="RFZ119" s="73"/>
      <c r="RGA119" s="73"/>
      <c r="RGB119" s="73"/>
      <c r="RGC119" s="73"/>
      <c r="RGD119" s="73"/>
      <c r="RGE119" s="73"/>
      <c r="RGF119" s="73"/>
      <c r="RGG119" s="73"/>
      <c r="RGH119" s="73"/>
      <c r="RGI119" s="73"/>
      <c r="RGJ119" s="73"/>
      <c r="RGK119" s="73"/>
      <c r="RGL119" s="73"/>
      <c r="RGM119" s="73"/>
      <c r="RGN119" s="73"/>
      <c r="RGO119" s="73"/>
      <c r="RGP119" s="73"/>
      <c r="RGQ119" s="73"/>
      <c r="RGR119" s="73"/>
      <c r="RGS119" s="73"/>
      <c r="RGT119" s="73"/>
      <c r="RGU119" s="73"/>
      <c r="RGV119" s="73"/>
      <c r="RGW119" s="73"/>
      <c r="RGX119" s="73"/>
      <c r="RGY119" s="73"/>
      <c r="RGZ119" s="73"/>
      <c r="RHA119" s="73"/>
      <c r="RHB119" s="73"/>
      <c r="RHC119" s="73"/>
      <c r="RHD119" s="73"/>
      <c r="RHE119" s="73"/>
      <c r="RHF119" s="73"/>
      <c r="RHG119" s="73"/>
      <c r="RHH119" s="73"/>
      <c r="RHI119" s="73"/>
      <c r="RHJ119" s="73"/>
      <c r="RHK119" s="73"/>
      <c r="RHL119" s="73"/>
      <c r="RHM119" s="73"/>
      <c r="RHN119" s="73"/>
      <c r="RHO119" s="73"/>
      <c r="RHP119" s="73"/>
      <c r="RHQ119" s="73"/>
      <c r="RHR119" s="73"/>
      <c r="RHS119" s="73"/>
      <c r="RHT119" s="73"/>
      <c r="RHU119" s="73"/>
      <c r="RHV119" s="73"/>
      <c r="RHW119" s="73"/>
      <c r="RHX119" s="73"/>
      <c r="RHY119" s="73"/>
      <c r="RHZ119" s="73"/>
      <c r="RIA119" s="73"/>
      <c r="RIB119" s="73"/>
      <c r="RIC119" s="73"/>
      <c r="RID119" s="73"/>
      <c r="RIE119" s="73"/>
      <c r="RIF119" s="73"/>
      <c r="RIG119" s="73"/>
      <c r="RIH119" s="73"/>
      <c r="RII119" s="73"/>
      <c r="RIJ119" s="73"/>
      <c r="RIK119" s="73"/>
      <c r="RIL119" s="73"/>
      <c r="RIM119" s="73"/>
      <c r="RIN119" s="73"/>
      <c r="RIO119" s="73"/>
      <c r="RIP119" s="73"/>
      <c r="RIQ119" s="73"/>
      <c r="RIR119" s="73"/>
      <c r="RIS119" s="73"/>
      <c r="RIT119" s="73"/>
      <c r="RIU119" s="73"/>
      <c r="RIV119" s="73"/>
      <c r="RIW119" s="73"/>
      <c r="RIX119" s="73"/>
      <c r="RIY119" s="73"/>
      <c r="RIZ119" s="73"/>
      <c r="RJA119" s="73"/>
      <c r="RJB119" s="73"/>
      <c r="RJC119" s="73"/>
      <c r="RJD119" s="73"/>
      <c r="RJE119" s="73"/>
      <c r="RJF119" s="73"/>
      <c r="RJG119" s="73"/>
      <c r="RJH119" s="73"/>
      <c r="RJI119" s="73"/>
      <c r="RJJ119" s="73"/>
      <c r="RJK119" s="73"/>
      <c r="RJL119" s="73"/>
      <c r="RJM119" s="73"/>
      <c r="RJN119" s="73"/>
      <c r="RJO119" s="73"/>
      <c r="RJP119" s="73"/>
      <c r="RJQ119" s="73"/>
      <c r="RJR119" s="73"/>
      <c r="RJS119" s="73"/>
      <c r="RJT119" s="73"/>
      <c r="RJU119" s="73"/>
      <c r="RJV119" s="73"/>
      <c r="RJW119" s="73"/>
      <c r="RJX119" s="73"/>
      <c r="RJY119" s="73"/>
      <c r="RJZ119" s="73"/>
      <c r="RKA119" s="73"/>
      <c r="RKB119" s="73"/>
      <c r="RKC119" s="73"/>
      <c r="RKD119" s="73"/>
      <c r="RKE119" s="73"/>
      <c r="RKF119" s="73"/>
      <c r="RKG119" s="73"/>
      <c r="RKH119" s="73"/>
      <c r="RKI119" s="73"/>
      <c r="RKJ119" s="73"/>
      <c r="RKK119" s="73"/>
      <c r="RKL119" s="73"/>
      <c r="RKM119" s="73"/>
      <c r="RKN119" s="73"/>
      <c r="RKO119" s="73"/>
      <c r="RKP119" s="73"/>
      <c r="RKQ119" s="73"/>
      <c r="RKR119" s="73"/>
      <c r="RKS119" s="73"/>
      <c r="RKT119" s="73"/>
      <c r="RKU119" s="73"/>
      <c r="RKV119" s="73"/>
      <c r="RKW119" s="73"/>
      <c r="RKX119" s="73"/>
      <c r="RKY119" s="73"/>
      <c r="RKZ119" s="73"/>
      <c r="RLA119" s="73"/>
      <c r="RLB119" s="73"/>
      <c r="RLC119" s="73"/>
      <c r="RLD119" s="73"/>
      <c r="RLE119" s="73"/>
      <c r="RLF119" s="73"/>
      <c r="RLG119" s="73"/>
      <c r="RLH119" s="73"/>
      <c r="RLI119" s="73"/>
      <c r="RLJ119" s="73"/>
      <c r="RLK119" s="73"/>
      <c r="RLL119" s="73"/>
      <c r="RLM119" s="73"/>
      <c r="RLN119" s="73"/>
      <c r="RLO119" s="73"/>
      <c r="RLP119" s="73"/>
      <c r="RLQ119" s="73"/>
      <c r="RLR119" s="73"/>
      <c r="RLS119" s="73"/>
      <c r="RLT119" s="73"/>
      <c r="RLU119" s="73"/>
      <c r="RLV119" s="73"/>
      <c r="RLW119" s="73"/>
      <c r="RLX119" s="73"/>
      <c r="RLY119" s="73"/>
      <c r="RLZ119" s="73"/>
      <c r="RMA119" s="73"/>
      <c r="RMB119" s="73"/>
      <c r="RMC119" s="73"/>
      <c r="RMD119" s="73"/>
      <c r="RME119" s="73"/>
      <c r="RMF119" s="73"/>
      <c r="RMG119" s="73"/>
      <c r="RMH119" s="73"/>
      <c r="RMI119" s="73"/>
      <c r="RMJ119" s="73"/>
      <c r="RMK119" s="73"/>
      <c r="RML119" s="73"/>
      <c r="RMM119" s="73"/>
      <c r="RMN119" s="73"/>
      <c r="RMO119" s="73"/>
      <c r="RMP119" s="73"/>
      <c r="RMQ119" s="73"/>
      <c r="RMR119" s="73"/>
      <c r="RMS119" s="73"/>
      <c r="RMT119" s="73"/>
      <c r="RMU119" s="73"/>
      <c r="RMV119" s="73"/>
      <c r="RMW119" s="73"/>
      <c r="RMX119" s="73"/>
      <c r="RMY119" s="73"/>
      <c r="RMZ119" s="73"/>
      <c r="RNA119" s="73"/>
      <c r="RNB119" s="73"/>
      <c r="RNC119" s="73"/>
      <c r="RND119" s="73"/>
      <c r="RNE119" s="73"/>
      <c r="RNF119" s="73"/>
      <c r="RNG119" s="73"/>
      <c r="RNH119" s="73"/>
      <c r="RNI119" s="73"/>
      <c r="RNJ119" s="73"/>
      <c r="RNK119" s="73"/>
      <c r="RNL119" s="73"/>
      <c r="RNM119" s="73"/>
      <c r="RNN119" s="73"/>
      <c r="RNO119" s="73"/>
      <c r="RNP119" s="73"/>
      <c r="RNQ119" s="73"/>
      <c r="RNR119" s="73"/>
      <c r="RNS119" s="73"/>
      <c r="RNT119" s="73"/>
      <c r="RNU119" s="73"/>
      <c r="RNV119" s="73"/>
      <c r="RNW119" s="73"/>
      <c r="RNX119" s="73"/>
      <c r="RNY119" s="73"/>
      <c r="RNZ119" s="73"/>
      <c r="ROA119" s="73"/>
      <c r="ROB119" s="73"/>
      <c r="ROC119" s="73"/>
      <c r="ROD119" s="73"/>
      <c r="ROE119" s="73"/>
      <c r="ROF119" s="73"/>
      <c r="ROG119" s="73"/>
      <c r="ROH119" s="73"/>
      <c r="ROI119" s="73"/>
      <c r="ROJ119" s="73"/>
      <c r="ROK119" s="73"/>
      <c r="ROL119" s="73"/>
      <c r="ROM119" s="73"/>
      <c r="RON119" s="73"/>
      <c r="ROO119" s="73"/>
      <c r="ROP119" s="73"/>
      <c r="ROQ119" s="73"/>
      <c r="ROR119" s="73"/>
      <c r="ROS119" s="73"/>
      <c r="ROT119" s="73"/>
      <c r="ROU119" s="73"/>
      <c r="ROV119" s="73"/>
      <c r="ROW119" s="73"/>
      <c r="ROX119" s="73"/>
      <c r="ROY119" s="73"/>
      <c r="ROZ119" s="73"/>
      <c r="RPA119" s="73"/>
      <c r="RPB119" s="73"/>
      <c r="RPC119" s="73"/>
      <c r="RPD119" s="73"/>
      <c r="RPE119" s="73"/>
      <c r="RPF119" s="73"/>
      <c r="RPG119" s="73"/>
      <c r="RPH119" s="73"/>
      <c r="RPI119" s="73"/>
      <c r="RPJ119" s="73"/>
      <c r="RPK119" s="73"/>
      <c r="RPL119" s="73"/>
      <c r="RPM119" s="73"/>
      <c r="RPN119" s="73"/>
      <c r="RPO119" s="73"/>
      <c r="RPP119" s="73"/>
      <c r="RPQ119" s="73"/>
      <c r="RPR119" s="73"/>
      <c r="RPS119" s="73"/>
      <c r="RPT119" s="73"/>
      <c r="RPU119" s="73"/>
      <c r="RPV119" s="73"/>
      <c r="RPW119" s="73"/>
      <c r="RPX119" s="73"/>
      <c r="RPY119" s="73"/>
      <c r="RPZ119" s="73"/>
      <c r="RQA119" s="73"/>
      <c r="RQB119" s="73"/>
      <c r="RQC119" s="73"/>
      <c r="RQD119" s="73"/>
      <c r="RQE119" s="73"/>
      <c r="RQF119" s="73"/>
      <c r="RQG119" s="73"/>
      <c r="RQH119" s="73"/>
      <c r="RQI119" s="73"/>
      <c r="RQJ119" s="73"/>
      <c r="RQK119" s="73"/>
      <c r="RQL119" s="73"/>
      <c r="RQM119" s="73"/>
      <c r="RQN119" s="73"/>
      <c r="RQO119" s="73"/>
      <c r="RQP119" s="73"/>
      <c r="RQQ119" s="73"/>
      <c r="RQR119" s="73"/>
      <c r="RQS119" s="73"/>
      <c r="RQT119" s="73"/>
      <c r="RQU119" s="73"/>
      <c r="RQV119" s="73"/>
      <c r="RQW119" s="73"/>
      <c r="RQX119" s="73"/>
      <c r="RQY119" s="73"/>
      <c r="RQZ119" s="73"/>
      <c r="RRA119" s="73"/>
      <c r="RRB119" s="73"/>
      <c r="RRC119" s="73"/>
      <c r="RRD119" s="73"/>
      <c r="RRE119" s="73"/>
      <c r="RRF119" s="73"/>
      <c r="RRG119" s="73"/>
      <c r="RRH119" s="73"/>
      <c r="RRI119" s="73"/>
      <c r="RRJ119" s="73"/>
      <c r="RRK119" s="73"/>
      <c r="RRL119" s="73"/>
      <c r="RRM119" s="73"/>
      <c r="RRN119" s="73"/>
      <c r="RRO119" s="73"/>
      <c r="RRP119" s="73"/>
      <c r="RRQ119" s="73"/>
      <c r="RRR119" s="73"/>
      <c r="RRS119" s="73"/>
      <c r="RRT119" s="73"/>
      <c r="RRU119" s="73"/>
      <c r="RRV119" s="73"/>
      <c r="RRW119" s="73"/>
      <c r="RRX119" s="73"/>
      <c r="RRY119" s="73"/>
      <c r="RRZ119" s="73"/>
      <c r="RSA119" s="73"/>
      <c r="RSB119" s="73"/>
      <c r="RSC119" s="73"/>
      <c r="RSD119" s="73"/>
      <c r="RSE119" s="73"/>
      <c r="RSF119" s="73"/>
      <c r="RSG119" s="73"/>
      <c r="RSH119" s="73"/>
      <c r="RSI119" s="73"/>
      <c r="RSJ119" s="73"/>
      <c r="RSK119" s="73"/>
      <c r="RSL119" s="73"/>
      <c r="RSM119" s="73"/>
      <c r="RSN119" s="73"/>
      <c r="RSO119" s="73"/>
      <c r="RSP119" s="73"/>
      <c r="RSQ119" s="73"/>
      <c r="RSR119" s="73"/>
      <c r="RSS119" s="73"/>
      <c r="RST119" s="73"/>
      <c r="RSU119" s="73"/>
      <c r="RSV119" s="73"/>
      <c r="RSW119" s="73"/>
      <c r="RSX119" s="73"/>
      <c r="RSY119" s="73"/>
      <c r="RSZ119" s="73"/>
      <c r="RTA119" s="73"/>
      <c r="RTB119" s="73"/>
      <c r="RTC119" s="73"/>
      <c r="RTD119" s="73"/>
      <c r="RTE119" s="73"/>
      <c r="RTF119" s="73"/>
      <c r="RTG119" s="73"/>
      <c r="RTH119" s="73"/>
      <c r="RTI119" s="73"/>
      <c r="RTJ119" s="73"/>
      <c r="RTK119" s="73"/>
      <c r="RTL119" s="73"/>
      <c r="RTM119" s="73"/>
      <c r="RTN119" s="73"/>
      <c r="RTO119" s="73"/>
      <c r="RTP119" s="73"/>
      <c r="RTQ119" s="73"/>
      <c r="RTR119" s="73"/>
      <c r="RTS119" s="73"/>
      <c r="RTT119" s="73"/>
      <c r="RTU119" s="73"/>
      <c r="RTV119" s="73"/>
      <c r="RTW119" s="73"/>
      <c r="RTX119" s="73"/>
      <c r="RTY119" s="73"/>
      <c r="RTZ119" s="73"/>
      <c r="RUA119" s="73"/>
      <c r="RUB119" s="73"/>
      <c r="RUC119" s="73"/>
      <c r="RUD119" s="73"/>
      <c r="RUE119" s="73"/>
      <c r="RUF119" s="73"/>
      <c r="RUG119" s="73"/>
      <c r="RUH119" s="73"/>
      <c r="RUI119" s="73"/>
      <c r="RUJ119" s="73"/>
      <c r="RUK119" s="73"/>
      <c r="RUL119" s="73"/>
      <c r="RUM119" s="73"/>
      <c r="RUN119" s="73"/>
      <c r="RUO119" s="73"/>
      <c r="RUP119" s="73"/>
      <c r="RUQ119" s="73"/>
      <c r="RUR119" s="73"/>
      <c r="RUS119" s="73"/>
      <c r="RUT119" s="73"/>
      <c r="RUU119" s="73"/>
      <c r="RUV119" s="73"/>
      <c r="RUW119" s="73"/>
      <c r="RUX119" s="73"/>
      <c r="RUY119" s="73"/>
      <c r="RUZ119" s="73"/>
      <c r="RVA119" s="73"/>
      <c r="RVB119" s="73"/>
      <c r="RVC119" s="73"/>
      <c r="RVD119" s="73"/>
      <c r="RVE119" s="73"/>
      <c r="RVF119" s="73"/>
      <c r="RVG119" s="73"/>
      <c r="RVH119" s="73"/>
      <c r="RVI119" s="73"/>
      <c r="RVJ119" s="73"/>
      <c r="RVK119" s="73"/>
      <c r="RVL119" s="73"/>
      <c r="RVM119" s="73"/>
      <c r="RVN119" s="73"/>
      <c r="RVO119" s="73"/>
      <c r="RVP119" s="73"/>
      <c r="RVQ119" s="73"/>
      <c r="RVR119" s="73"/>
      <c r="RVS119" s="73"/>
      <c r="RVT119" s="73"/>
      <c r="RVU119" s="73"/>
      <c r="RVV119" s="73"/>
      <c r="RVW119" s="73"/>
      <c r="RVX119" s="73"/>
      <c r="RVY119" s="73"/>
      <c r="RVZ119" s="73"/>
      <c r="RWA119" s="73"/>
      <c r="RWB119" s="73"/>
      <c r="RWC119" s="73"/>
      <c r="RWD119" s="73"/>
      <c r="RWE119" s="73"/>
      <c r="RWF119" s="73"/>
      <c r="RWG119" s="73"/>
      <c r="RWH119" s="73"/>
      <c r="RWI119" s="73"/>
      <c r="RWJ119" s="73"/>
      <c r="RWK119" s="73"/>
      <c r="RWL119" s="73"/>
      <c r="RWM119" s="73"/>
      <c r="RWN119" s="73"/>
      <c r="RWO119" s="73"/>
      <c r="RWP119" s="73"/>
      <c r="RWQ119" s="73"/>
      <c r="RWR119" s="73"/>
      <c r="RWS119" s="73"/>
      <c r="RWT119" s="73"/>
      <c r="RWU119" s="73"/>
      <c r="RWV119" s="73"/>
      <c r="RWW119" s="73"/>
      <c r="RWX119" s="73"/>
      <c r="RWY119" s="73"/>
      <c r="RWZ119" s="73"/>
      <c r="RXA119" s="73"/>
      <c r="RXB119" s="73"/>
      <c r="RXC119" s="73"/>
      <c r="RXD119" s="73"/>
      <c r="RXE119" s="73"/>
      <c r="RXF119" s="73"/>
      <c r="RXG119" s="73"/>
      <c r="RXH119" s="73"/>
      <c r="RXI119" s="73"/>
      <c r="RXJ119" s="73"/>
      <c r="RXK119" s="73"/>
      <c r="RXL119" s="73"/>
      <c r="RXM119" s="73"/>
      <c r="RXN119" s="73"/>
      <c r="RXO119" s="73"/>
      <c r="RXP119" s="73"/>
      <c r="RXQ119" s="73"/>
      <c r="RXR119" s="73"/>
      <c r="RXS119" s="73"/>
      <c r="RXT119" s="73"/>
      <c r="RXU119" s="73"/>
      <c r="RXV119" s="73"/>
      <c r="RXW119" s="73"/>
      <c r="RXX119" s="73"/>
      <c r="RXY119" s="73"/>
      <c r="RXZ119" s="73"/>
      <c r="RYA119" s="73"/>
      <c r="RYB119" s="73"/>
      <c r="RYC119" s="73"/>
      <c r="RYD119" s="73"/>
      <c r="RYE119" s="73"/>
      <c r="RYF119" s="73"/>
      <c r="RYG119" s="73"/>
      <c r="RYH119" s="73"/>
      <c r="RYI119" s="73"/>
      <c r="RYJ119" s="73"/>
      <c r="RYK119" s="73"/>
      <c r="RYL119" s="73"/>
      <c r="RYM119" s="73"/>
      <c r="RYN119" s="73"/>
      <c r="RYO119" s="73"/>
      <c r="RYP119" s="73"/>
      <c r="RYQ119" s="73"/>
      <c r="RYR119" s="73"/>
      <c r="RYS119" s="73"/>
      <c r="RYT119" s="73"/>
      <c r="RYU119" s="73"/>
      <c r="RYV119" s="73"/>
      <c r="RYW119" s="73"/>
      <c r="RYX119" s="73"/>
      <c r="RYY119" s="73"/>
      <c r="RYZ119" s="73"/>
      <c r="RZA119" s="73"/>
      <c r="RZB119" s="73"/>
      <c r="RZC119" s="73"/>
      <c r="RZD119" s="73"/>
      <c r="RZE119" s="73"/>
      <c r="RZF119" s="73"/>
      <c r="RZG119" s="73"/>
      <c r="RZH119" s="73"/>
      <c r="RZI119" s="73"/>
      <c r="RZJ119" s="73"/>
      <c r="RZK119" s="73"/>
      <c r="RZL119" s="73"/>
      <c r="RZM119" s="73"/>
      <c r="RZN119" s="73"/>
      <c r="RZO119" s="73"/>
      <c r="RZP119" s="73"/>
      <c r="RZQ119" s="73"/>
      <c r="RZR119" s="73"/>
      <c r="RZS119" s="73"/>
      <c r="RZT119" s="73"/>
      <c r="RZU119" s="73"/>
      <c r="RZV119" s="73"/>
      <c r="RZW119" s="73"/>
      <c r="RZX119" s="73"/>
      <c r="RZY119" s="73"/>
      <c r="RZZ119" s="73"/>
      <c r="SAA119" s="73"/>
      <c r="SAB119" s="73"/>
      <c r="SAC119" s="73"/>
      <c r="SAD119" s="73"/>
      <c r="SAE119" s="73"/>
      <c r="SAF119" s="73"/>
      <c r="SAG119" s="73"/>
      <c r="SAH119" s="73"/>
      <c r="SAI119" s="73"/>
      <c r="SAJ119" s="73"/>
      <c r="SAK119" s="73"/>
      <c r="SAL119" s="73"/>
      <c r="SAM119" s="73"/>
      <c r="SAN119" s="73"/>
      <c r="SAO119" s="73"/>
      <c r="SAP119" s="73"/>
      <c r="SAQ119" s="73"/>
      <c r="SAR119" s="73"/>
      <c r="SAS119" s="73"/>
      <c r="SAT119" s="73"/>
      <c r="SAU119" s="73"/>
      <c r="SAV119" s="73"/>
      <c r="SAW119" s="73"/>
      <c r="SAX119" s="73"/>
      <c r="SAY119" s="73"/>
      <c r="SAZ119" s="73"/>
      <c r="SBA119" s="73"/>
      <c r="SBB119" s="73"/>
      <c r="SBC119" s="73"/>
      <c r="SBD119" s="73"/>
      <c r="SBE119" s="73"/>
      <c r="SBF119" s="73"/>
      <c r="SBG119" s="73"/>
      <c r="SBH119" s="73"/>
      <c r="SBI119" s="73"/>
      <c r="SBJ119" s="73"/>
      <c r="SBK119" s="73"/>
      <c r="SBL119" s="73"/>
      <c r="SBM119" s="73"/>
      <c r="SBN119" s="73"/>
      <c r="SBO119" s="73"/>
      <c r="SBP119" s="73"/>
      <c r="SBQ119" s="73"/>
      <c r="SBR119" s="73"/>
      <c r="SBS119" s="73"/>
      <c r="SBT119" s="73"/>
      <c r="SBU119" s="73"/>
      <c r="SBV119" s="73"/>
      <c r="SBW119" s="73"/>
      <c r="SBX119" s="73"/>
      <c r="SBY119" s="73"/>
      <c r="SBZ119" s="73"/>
      <c r="SCA119" s="73"/>
      <c r="SCB119" s="73"/>
      <c r="SCC119" s="73"/>
      <c r="SCD119" s="73"/>
      <c r="SCE119" s="73"/>
      <c r="SCF119" s="73"/>
      <c r="SCG119" s="73"/>
      <c r="SCH119" s="73"/>
      <c r="SCI119" s="73"/>
      <c r="SCJ119" s="73"/>
      <c r="SCK119" s="73"/>
      <c r="SCL119" s="73"/>
      <c r="SCM119" s="73"/>
      <c r="SCN119" s="73"/>
      <c r="SCO119" s="73"/>
      <c r="SCP119" s="73"/>
      <c r="SCQ119" s="73"/>
      <c r="SCR119" s="73"/>
      <c r="SCS119" s="73"/>
      <c r="SCT119" s="73"/>
      <c r="SCU119" s="73"/>
      <c r="SCV119" s="73"/>
      <c r="SCW119" s="73"/>
      <c r="SCX119" s="73"/>
      <c r="SCY119" s="73"/>
      <c r="SCZ119" s="73"/>
      <c r="SDA119" s="73"/>
      <c r="SDB119" s="73"/>
      <c r="SDC119" s="73"/>
      <c r="SDD119" s="73"/>
      <c r="SDE119" s="73"/>
      <c r="SDF119" s="73"/>
      <c r="SDG119" s="73"/>
      <c r="SDH119" s="73"/>
      <c r="SDI119" s="73"/>
      <c r="SDJ119" s="73"/>
      <c r="SDK119" s="73"/>
      <c r="SDL119" s="73"/>
      <c r="SDM119" s="73"/>
      <c r="SDN119" s="73"/>
      <c r="SDO119" s="73"/>
      <c r="SDP119" s="73"/>
      <c r="SDQ119" s="73"/>
      <c r="SDR119" s="73"/>
      <c r="SDS119" s="73"/>
      <c r="SDT119" s="73"/>
      <c r="SDU119" s="73"/>
      <c r="SDV119" s="73"/>
      <c r="SDW119" s="73"/>
      <c r="SDX119" s="73"/>
      <c r="SDY119" s="73"/>
      <c r="SDZ119" s="73"/>
      <c r="SEA119" s="73"/>
      <c r="SEB119" s="73"/>
      <c r="SEC119" s="73"/>
      <c r="SED119" s="73"/>
      <c r="SEE119" s="73"/>
      <c r="SEF119" s="73"/>
      <c r="SEG119" s="73"/>
      <c r="SEH119" s="73"/>
      <c r="SEI119" s="73"/>
      <c r="SEJ119" s="73"/>
      <c r="SEK119" s="73"/>
      <c r="SEL119" s="73"/>
      <c r="SEM119" s="73"/>
      <c r="SEN119" s="73"/>
      <c r="SEO119" s="73"/>
      <c r="SEP119" s="73"/>
      <c r="SEQ119" s="73"/>
      <c r="SER119" s="73"/>
      <c r="SES119" s="73"/>
      <c r="SET119" s="73"/>
      <c r="SEU119" s="73"/>
      <c r="SEV119" s="73"/>
      <c r="SEW119" s="73"/>
      <c r="SEX119" s="73"/>
      <c r="SEY119" s="73"/>
      <c r="SEZ119" s="73"/>
      <c r="SFA119" s="73"/>
      <c r="SFB119" s="73"/>
      <c r="SFC119" s="73"/>
      <c r="SFD119" s="73"/>
      <c r="SFE119" s="73"/>
      <c r="SFF119" s="73"/>
      <c r="SFG119" s="73"/>
      <c r="SFH119" s="73"/>
      <c r="SFI119" s="73"/>
      <c r="SFJ119" s="73"/>
      <c r="SFK119" s="73"/>
      <c r="SFL119" s="73"/>
      <c r="SFM119" s="73"/>
      <c r="SFN119" s="73"/>
      <c r="SFO119" s="73"/>
      <c r="SFP119" s="73"/>
      <c r="SFQ119" s="73"/>
      <c r="SFR119" s="73"/>
      <c r="SFS119" s="73"/>
      <c r="SFT119" s="73"/>
      <c r="SFU119" s="73"/>
      <c r="SFV119" s="73"/>
      <c r="SFW119" s="73"/>
      <c r="SFX119" s="73"/>
      <c r="SFY119" s="73"/>
      <c r="SFZ119" s="73"/>
      <c r="SGA119" s="73"/>
      <c r="SGB119" s="73"/>
      <c r="SGC119" s="73"/>
      <c r="SGD119" s="73"/>
      <c r="SGE119" s="73"/>
      <c r="SGF119" s="73"/>
      <c r="SGG119" s="73"/>
      <c r="SGH119" s="73"/>
      <c r="SGI119" s="73"/>
      <c r="SGJ119" s="73"/>
      <c r="SGK119" s="73"/>
      <c r="SGL119" s="73"/>
      <c r="SGM119" s="73"/>
      <c r="SGN119" s="73"/>
      <c r="SGO119" s="73"/>
      <c r="SGP119" s="73"/>
      <c r="SGQ119" s="73"/>
      <c r="SGR119" s="73"/>
      <c r="SGS119" s="73"/>
      <c r="SGT119" s="73"/>
      <c r="SGU119" s="73"/>
      <c r="SGV119" s="73"/>
      <c r="SGW119" s="73"/>
      <c r="SGX119" s="73"/>
      <c r="SGY119" s="73"/>
      <c r="SGZ119" s="73"/>
      <c r="SHA119" s="73"/>
      <c r="SHB119" s="73"/>
      <c r="SHC119" s="73"/>
      <c r="SHD119" s="73"/>
      <c r="SHE119" s="73"/>
      <c r="SHF119" s="73"/>
      <c r="SHG119" s="73"/>
      <c r="SHH119" s="73"/>
      <c r="SHI119" s="73"/>
      <c r="SHJ119" s="73"/>
      <c r="SHK119" s="73"/>
      <c r="SHL119" s="73"/>
      <c r="SHM119" s="73"/>
      <c r="SHN119" s="73"/>
      <c r="SHO119" s="73"/>
      <c r="SHP119" s="73"/>
      <c r="SHQ119" s="73"/>
      <c r="SHR119" s="73"/>
      <c r="SHS119" s="73"/>
      <c r="SHT119" s="73"/>
      <c r="SHU119" s="73"/>
      <c r="SHV119" s="73"/>
      <c r="SHW119" s="73"/>
      <c r="SHX119" s="73"/>
      <c r="SHY119" s="73"/>
      <c r="SHZ119" s="73"/>
      <c r="SIA119" s="73"/>
      <c r="SIB119" s="73"/>
      <c r="SIC119" s="73"/>
      <c r="SID119" s="73"/>
      <c r="SIE119" s="73"/>
      <c r="SIF119" s="73"/>
      <c r="SIG119" s="73"/>
      <c r="SIH119" s="73"/>
      <c r="SII119" s="73"/>
      <c r="SIJ119" s="73"/>
      <c r="SIK119" s="73"/>
      <c r="SIL119" s="73"/>
      <c r="SIM119" s="73"/>
      <c r="SIN119" s="73"/>
      <c r="SIO119" s="73"/>
      <c r="SIP119" s="73"/>
      <c r="SIQ119" s="73"/>
      <c r="SIR119" s="73"/>
      <c r="SIS119" s="73"/>
      <c r="SIT119" s="73"/>
      <c r="SIU119" s="73"/>
      <c r="SIV119" s="73"/>
      <c r="SIW119" s="73"/>
      <c r="SIX119" s="73"/>
      <c r="SIY119" s="73"/>
      <c r="SIZ119" s="73"/>
      <c r="SJA119" s="73"/>
      <c r="SJB119" s="73"/>
      <c r="SJC119" s="73"/>
      <c r="SJD119" s="73"/>
      <c r="SJE119" s="73"/>
      <c r="SJF119" s="73"/>
      <c r="SJG119" s="73"/>
      <c r="SJH119" s="73"/>
      <c r="SJI119" s="73"/>
      <c r="SJJ119" s="73"/>
      <c r="SJK119" s="73"/>
      <c r="SJL119" s="73"/>
      <c r="SJM119" s="73"/>
      <c r="SJN119" s="73"/>
      <c r="SJO119" s="73"/>
      <c r="SJP119" s="73"/>
      <c r="SJQ119" s="73"/>
      <c r="SJR119" s="73"/>
      <c r="SJS119" s="73"/>
      <c r="SJT119" s="73"/>
      <c r="SJU119" s="73"/>
      <c r="SJV119" s="73"/>
      <c r="SJW119" s="73"/>
      <c r="SJX119" s="73"/>
      <c r="SJY119" s="73"/>
      <c r="SJZ119" s="73"/>
      <c r="SKA119" s="73"/>
      <c r="SKB119" s="73"/>
      <c r="SKC119" s="73"/>
      <c r="SKD119" s="73"/>
      <c r="SKE119" s="73"/>
      <c r="SKF119" s="73"/>
      <c r="SKG119" s="73"/>
      <c r="SKH119" s="73"/>
      <c r="SKI119" s="73"/>
      <c r="SKJ119" s="73"/>
      <c r="SKK119" s="73"/>
      <c r="SKL119" s="73"/>
      <c r="SKM119" s="73"/>
      <c r="SKN119" s="73"/>
      <c r="SKO119" s="73"/>
      <c r="SKP119" s="73"/>
      <c r="SKQ119" s="73"/>
      <c r="SKR119" s="73"/>
      <c r="SKS119" s="73"/>
      <c r="SKT119" s="73"/>
      <c r="SKU119" s="73"/>
      <c r="SKV119" s="73"/>
      <c r="SKW119" s="73"/>
      <c r="SKX119" s="73"/>
      <c r="SKY119" s="73"/>
      <c r="SKZ119" s="73"/>
      <c r="SLA119" s="73"/>
      <c r="SLB119" s="73"/>
      <c r="SLC119" s="73"/>
      <c r="SLD119" s="73"/>
      <c r="SLE119" s="73"/>
      <c r="SLF119" s="73"/>
      <c r="SLG119" s="73"/>
      <c r="SLH119" s="73"/>
      <c r="SLI119" s="73"/>
      <c r="SLJ119" s="73"/>
      <c r="SLK119" s="73"/>
      <c r="SLL119" s="73"/>
      <c r="SLM119" s="73"/>
      <c r="SLN119" s="73"/>
      <c r="SLO119" s="73"/>
      <c r="SLP119" s="73"/>
      <c r="SLQ119" s="73"/>
      <c r="SLR119" s="73"/>
      <c r="SLS119" s="73"/>
      <c r="SLT119" s="73"/>
      <c r="SLU119" s="73"/>
      <c r="SLV119" s="73"/>
      <c r="SLW119" s="73"/>
      <c r="SLX119" s="73"/>
      <c r="SLY119" s="73"/>
      <c r="SLZ119" s="73"/>
      <c r="SMA119" s="73"/>
      <c r="SMB119" s="73"/>
      <c r="SMC119" s="73"/>
      <c r="SMD119" s="73"/>
      <c r="SME119" s="73"/>
      <c r="SMF119" s="73"/>
      <c r="SMG119" s="73"/>
      <c r="SMH119" s="73"/>
      <c r="SMI119" s="73"/>
      <c r="SMJ119" s="73"/>
      <c r="SMK119" s="73"/>
      <c r="SML119" s="73"/>
      <c r="SMM119" s="73"/>
      <c r="SMN119" s="73"/>
      <c r="SMO119" s="73"/>
      <c r="SMP119" s="73"/>
      <c r="SMQ119" s="73"/>
      <c r="SMR119" s="73"/>
      <c r="SMS119" s="73"/>
      <c r="SMT119" s="73"/>
      <c r="SMU119" s="73"/>
      <c r="SMV119" s="73"/>
      <c r="SMW119" s="73"/>
      <c r="SMX119" s="73"/>
      <c r="SMY119" s="73"/>
      <c r="SMZ119" s="73"/>
      <c r="SNA119" s="73"/>
      <c r="SNB119" s="73"/>
      <c r="SNC119" s="73"/>
      <c r="SND119" s="73"/>
      <c r="SNE119" s="73"/>
      <c r="SNF119" s="73"/>
      <c r="SNG119" s="73"/>
      <c r="SNH119" s="73"/>
      <c r="SNI119" s="73"/>
      <c r="SNJ119" s="73"/>
      <c r="SNK119" s="73"/>
      <c r="SNL119" s="73"/>
      <c r="SNM119" s="73"/>
      <c r="SNN119" s="73"/>
      <c r="SNO119" s="73"/>
      <c r="SNP119" s="73"/>
      <c r="SNQ119" s="73"/>
      <c r="SNR119" s="73"/>
      <c r="SNS119" s="73"/>
      <c r="SNT119" s="73"/>
      <c r="SNU119" s="73"/>
      <c r="SNV119" s="73"/>
      <c r="SNW119" s="73"/>
      <c r="SNX119" s="73"/>
      <c r="SNY119" s="73"/>
      <c r="SNZ119" s="73"/>
      <c r="SOA119" s="73"/>
      <c r="SOB119" s="73"/>
      <c r="SOC119" s="73"/>
      <c r="SOD119" s="73"/>
      <c r="SOE119" s="73"/>
      <c r="SOF119" s="73"/>
      <c r="SOG119" s="73"/>
      <c r="SOH119" s="73"/>
      <c r="SOI119" s="73"/>
      <c r="SOJ119" s="73"/>
      <c r="SOK119" s="73"/>
      <c r="SOL119" s="73"/>
      <c r="SOM119" s="73"/>
      <c r="SON119" s="73"/>
      <c r="SOO119" s="73"/>
      <c r="SOP119" s="73"/>
      <c r="SOQ119" s="73"/>
      <c r="SOR119" s="73"/>
      <c r="SOS119" s="73"/>
      <c r="SOT119" s="73"/>
      <c r="SOU119" s="73"/>
      <c r="SOV119" s="73"/>
      <c r="SOW119" s="73"/>
      <c r="SOX119" s="73"/>
      <c r="SOY119" s="73"/>
      <c r="SOZ119" s="73"/>
      <c r="SPA119" s="73"/>
      <c r="SPB119" s="73"/>
      <c r="SPC119" s="73"/>
      <c r="SPD119" s="73"/>
      <c r="SPE119" s="73"/>
      <c r="SPF119" s="73"/>
      <c r="SPG119" s="73"/>
      <c r="SPH119" s="73"/>
      <c r="SPI119" s="73"/>
      <c r="SPJ119" s="73"/>
      <c r="SPK119" s="73"/>
      <c r="SPL119" s="73"/>
      <c r="SPM119" s="73"/>
      <c r="SPN119" s="73"/>
      <c r="SPO119" s="73"/>
      <c r="SPP119" s="73"/>
      <c r="SPQ119" s="73"/>
      <c r="SPR119" s="73"/>
      <c r="SPS119" s="73"/>
      <c r="SPT119" s="73"/>
      <c r="SPU119" s="73"/>
      <c r="SPV119" s="73"/>
      <c r="SPW119" s="73"/>
      <c r="SPX119" s="73"/>
      <c r="SPY119" s="73"/>
      <c r="SPZ119" s="73"/>
      <c r="SQA119" s="73"/>
      <c r="SQB119" s="73"/>
      <c r="SQC119" s="73"/>
      <c r="SQD119" s="73"/>
      <c r="SQE119" s="73"/>
      <c r="SQF119" s="73"/>
      <c r="SQG119" s="73"/>
      <c r="SQH119" s="73"/>
      <c r="SQI119" s="73"/>
      <c r="SQJ119" s="73"/>
      <c r="SQK119" s="73"/>
      <c r="SQL119" s="73"/>
      <c r="SQM119" s="73"/>
      <c r="SQN119" s="73"/>
      <c r="SQO119" s="73"/>
      <c r="SQP119" s="73"/>
      <c r="SQQ119" s="73"/>
      <c r="SQR119" s="73"/>
      <c r="SQS119" s="73"/>
      <c r="SQT119" s="73"/>
      <c r="SQU119" s="73"/>
      <c r="SQV119" s="73"/>
      <c r="SQW119" s="73"/>
      <c r="SQX119" s="73"/>
      <c r="SQY119" s="73"/>
      <c r="SQZ119" s="73"/>
      <c r="SRA119" s="73"/>
      <c r="SRB119" s="73"/>
      <c r="SRC119" s="73"/>
      <c r="SRD119" s="73"/>
      <c r="SRE119" s="73"/>
      <c r="SRF119" s="73"/>
      <c r="SRG119" s="73"/>
      <c r="SRH119" s="73"/>
      <c r="SRI119" s="73"/>
      <c r="SRJ119" s="73"/>
      <c r="SRK119" s="73"/>
      <c r="SRL119" s="73"/>
      <c r="SRM119" s="73"/>
      <c r="SRN119" s="73"/>
      <c r="SRO119" s="73"/>
      <c r="SRP119" s="73"/>
      <c r="SRQ119" s="73"/>
      <c r="SRR119" s="73"/>
      <c r="SRS119" s="73"/>
      <c r="SRT119" s="73"/>
      <c r="SRU119" s="73"/>
      <c r="SRV119" s="73"/>
      <c r="SRW119" s="73"/>
      <c r="SRX119" s="73"/>
      <c r="SRY119" s="73"/>
      <c r="SRZ119" s="73"/>
      <c r="SSA119" s="73"/>
      <c r="SSB119" s="73"/>
      <c r="SSC119" s="73"/>
      <c r="SSD119" s="73"/>
      <c r="SSE119" s="73"/>
      <c r="SSF119" s="73"/>
      <c r="SSG119" s="73"/>
      <c r="SSH119" s="73"/>
      <c r="SSI119" s="73"/>
      <c r="SSJ119" s="73"/>
      <c r="SSK119" s="73"/>
      <c r="SSL119" s="73"/>
      <c r="SSM119" s="73"/>
      <c r="SSN119" s="73"/>
      <c r="SSO119" s="73"/>
      <c r="SSP119" s="73"/>
      <c r="SSQ119" s="73"/>
      <c r="SSR119" s="73"/>
      <c r="SSS119" s="73"/>
      <c r="SST119" s="73"/>
      <c r="SSU119" s="73"/>
      <c r="SSV119" s="73"/>
      <c r="SSW119" s="73"/>
      <c r="SSX119" s="73"/>
      <c r="SSY119" s="73"/>
      <c r="SSZ119" s="73"/>
      <c r="STA119" s="73"/>
      <c r="STB119" s="73"/>
      <c r="STC119" s="73"/>
      <c r="STD119" s="73"/>
      <c r="STE119" s="73"/>
      <c r="STF119" s="73"/>
      <c r="STG119" s="73"/>
      <c r="STH119" s="73"/>
      <c r="STI119" s="73"/>
      <c r="STJ119" s="73"/>
      <c r="STK119" s="73"/>
      <c r="STL119" s="73"/>
      <c r="STM119" s="73"/>
      <c r="STN119" s="73"/>
      <c r="STO119" s="73"/>
      <c r="STP119" s="73"/>
      <c r="STQ119" s="73"/>
      <c r="STR119" s="73"/>
      <c r="STS119" s="73"/>
      <c r="STT119" s="73"/>
      <c r="STU119" s="73"/>
      <c r="STV119" s="73"/>
      <c r="STW119" s="73"/>
      <c r="STX119" s="73"/>
      <c r="STY119" s="73"/>
      <c r="STZ119" s="73"/>
      <c r="SUA119" s="73"/>
      <c r="SUB119" s="73"/>
      <c r="SUC119" s="73"/>
      <c r="SUD119" s="73"/>
      <c r="SUE119" s="73"/>
      <c r="SUF119" s="73"/>
      <c r="SUG119" s="73"/>
      <c r="SUH119" s="73"/>
      <c r="SUI119" s="73"/>
      <c r="SUJ119" s="73"/>
      <c r="SUK119" s="73"/>
      <c r="SUL119" s="73"/>
      <c r="SUM119" s="73"/>
      <c r="SUN119" s="73"/>
      <c r="SUO119" s="73"/>
      <c r="SUP119" s="73"/>
      <c r="SUQ119" s="73"/>
      <c r="SUR119" s="73"/>
      <c r="SUS119" s="73"/>
      <c r="SUT119" s="73"/>
      <c r="SUU119" s="73"/>
      <c r="SUV119" s="73"/>
      <c r="SUW119" s="73"/>
      <c r="SUX119" s="73"/>
      <c r="SUY119" s="73"/>
      <c r="SUZ119" s="73"/>
      <c r="SVA119" s="73"/>
      <c r="SVB119" s="73"/>
      <c r="SVC119" s="73"/>
      <c r="SVD119" s="73"/>
      <c r="SVE119" s="73"/>
      <c r="SVF119" s="73"/>
      <c r="SVG119" s="73"/>
      <c r="SVH119" s="73"/>
      <c r="SVI119" s="73"/>
      <c r="SVJ119" s="73"/>
      <c r="SVK119" s="73"/>
      <c r="SVL119" s="73"/>
      <c r="SVM119" s="73"/>
      <c r="SVN119" s="73"/>
      <c r="SVO119" s="73"/>
      <c r="SVP119" s="73"/>
      <c r="SVQ119" s="73"/>
      <c r="SVR119" s="73"/>
      <c r="SVS119" s="73"/>
      <c r="SVT119" s="73"/>
      <c r="SVU119" s="73"/>
      <c r="SVV119" s="73"/>
      <c r="SVW119" s="73"/>
      <c r="SVX119" s="73"/>
      <c r="SVY119" s="73"/>
      <c r="SVZ119" s="73"/>
      <c r="SWA119" s="73"/>
      <c r="SWB119" s="73"/>
      <c r="SWC119" s="73"/>
      <c r="SWD119" s="73"/>
      <c r="SWE119" s="73"/>
      <c r="SWF119" s="73"/>
      <c r="SWG119" s="73"/>
      <c r="SWH119" s="73"/>
      <c r="SWI119" s="73"/>
      <c r="SWJ119" s="73"/>
      <c r="SWK119" s="73"/>
      <c r="SWL119" s="73"/>
      <c r="SWM119" s="73"/>
      <c r="SWN119" s="73"/>
      <c r="SWO119" s="73"/>
      <c r="SWP119" s="73"/>
      <c r="SWQ119" s="73"/>
      <c r="SWR119" s="73"/>
      <c r="SWS119" s="73"/>
      <c r="SWT119" s="73"/>
      <c r="SWU119" s="73"/>
      <c r="SWV119" s="73"/>
      <c r="SWW119" s="73"/>
      <c r="SWX119" s="73"/>
      <c r="SWY119" s="73"/>
      <c r="SWZ119" s="73"/>
      <c r="SXA119" s="73"/>
      <c r="SXB119" s="73"/>
      <c r="SXC119" s="73"/>
      <c r="SXD119" s="73"/>
      <c r="SXE119" s="73"/>
      <c r="SXF119" s="73"/>
      <c r="SXG119" s="73"/>
      <c r="SXH119" s="73"/>
      <c r="SXI119" s="73"/>
      <c r="SXJ119" s="73"/>
      <c r="SXK119" s="73"/>
      <c r="SXL119" s="73"/>
      <c r="SXM119" s="73"/>
      <c r="SXN119" s="73"/>
      <c r="SXO119" s="73"/>
      <c r="SXP119" s="73"/>
      <c r="SXQ119" s="73"/>
      <c r="SXR119" s="73"/>
      <c r="SXS119" s="73"/>
      <c r="SXT119" s="73"/>
      <c r="SXU119" s="73"/>
      <c r="SXV119" s="73"/>
      <c r="SXW119" s="73"/>
      <c r="SXX119" s="73"/>
      <c r="SXY119" s="73"/>
      <c r="SXZ119" s="73"/>
      <c r="SYA119" s="73"/>
      <c r="SYB119" s="73"/>
      <c r="SYC119" s="73"/>
      <c r="SYD119" s="73"/>
      <c r="SYE119" s="73"/>
      <c r="SYF119" s="73"/>
      <c r="SYG119" s="73"/>
      <c r="SYH119" s="73"/>
      <c r="SYI119" s="73"/>
      <c r="SYJ119" s="73"/>
      <c r="SYK119" s="73"/>
      <c r="SYL119" s="73"/>
      <c r="SYM119" s="73"/>
      <c r="SYN119" s="73"/>
      <c r="SYO119" s="73"/>
      <c r="SYP119" s="73"/>
      <c r="SYQ119" s="73"/>
      <c r="SYR119" s="73"/>
      <c r="SYS119" s="73"/>
      <c r="SYT119" s="73"/>
      <c r="SYU119" s="73"/>
      <c r="SYV119" s="73"/>
      <c r="SYW119" s="73"/>
      <c r="SYX119" s="73"/>
      <c r="SYY119" s="73"/>
      <c r="SYZ119" s="73"/>
      <c r="SZA119" s="73"/>
      <c r="SZB119" s="73"/>
      <c r="SZC119" s="73"/>
      <c r="SZD119" s="73"/>
      <c r="SZE119" s="73"/>
      <c r="SZF119" s="73"/>
      <c r="SZG119" s="73"/>
      <c r="SZH119" s="73"/>
      <c r="SZI119" s="73"/>
      <c r="SZJ119" s="73"/>
      <c r="SZK119" s="73"/>
      <c r="SZL119" s="73"/>
      <c r="SZM119" s="73"/>
      <c r="SZN119" s="73"/>
      <c r="SZO119" s="73"/>
      <c r="SZP119" s="73"/>
      <c r="SZQ119" s="73"/>
      <c r="SZR119" s="73"/>
      <c r="SZS119" s="73"/>
      <c r="SZT119" s="73"/>
      <c r="SZU119" s="73"/>
      <c r="SZV119" s="73"/>
      <c r="SZW119" s="73"/>
      <c r="SZX119" s="73"/>
      <c r="SZY119" s="73"/>
      <c r="SZZ119" s="73"/>
      <c r="TAA119" s="73"/>
      <c r="TAB119" s="73"/>
      <c r="TAC119" s="73"/>
      <c r="TAD119" s="73"/>
      <c r="TAE119" s="73"/>
      <c r="TAF119" s="73"/>
      <c r="TAG119" s="73"/>
      <c r="TAH119" s="73"/>
      <c r="TAI119" s="73"/>
      <c r="TAJ119" s="73"/>
      <c r="TAK119" s="73"/>
      <c r="TAL119" s="73"/>
      <c r="TAM119" s="73"/>
      <c r="TAN119" s="73"/>
      <c r="TAO119" s="73"/>
      <c r="TAP119" s="73"/>
      <c r="TAQ119" s="73"/>
      <c r="TAR119" s="73"/>
      <c r="TAS119" s="73"/>
      <c r="TAT119" s="73"/>
      <c r="TAU119" s="73"/>
      <c r="TAV119" s="73"/>
      <c r="TAW119" s="73"/>
      <c r="TAX119" s="73"/>
      <c r="TAY119" s="73"/>
      <c r="TAZ119" s="73"/>
      <c r="TBA119" s="73"/>
      <c r="TBB119" s="73"/>
      <c r="TBC119" s="73"/>
      <c r="TBD119" s="73"/>
      <c r="TBE119" s="73"/>
      <c r="TBF119" s="73"/>
      <c r="TBG119" s="73"/>
      <c r="TBH119" s="73"/>
      <c r="TBI119" s="73"/>
      <c r="TBJ119" s="73"/>
      <c r="TBK119" s="73"/>
      <c r="TBL119" s="73"/>
      <c r="TBM119" s="73"/>
      <c r="TBN119" s="73"/>
      <c r="TBO119" s="73"/>
      <c r="TBP119" s="73"/>
      <c r="TBQ119" s="73"/>
      <c r="TBR119" s="73"/>
      <c r="TBS119" s="73"/>
      <c r="TBT119" s="73"/>
      <c r="TBU119" s="73"/>
      <c r="TBV119" s="73"/>
      <c r="TBW119" s="73"/>
      <c r="TBX119" s="73"/>
      <c r="TBY119" s="73"/>
      <c r="TBZ119" s="73"/>
      <c r="TCA119" s="73"/>
      <c r="TCB119" s="73"/>
      <c r="TCC119" s="73"/>
      <c r="TCD119" s="73"/>
      <c r="TCE119" s="73"/>
      <c r="TCF119" s="73"/>
      <c r="TCG119" s="73"/>
      <c r="TCH119" s="73"/>
      <c r="TCI119" s="73"/>
      <c r="TCJ119" s="73"/>
      <c r="TCK119" s="73"/>
      <c r="TCL119" s="73"/>
      <c r="TCM119" s="73"/>
      <c r="TCN119" s="73"/>
      <c r="TCO119" s="73"/>
      <c r="TCP119" s="73"/>
      <c r="TCQ119" s="73"/>
      <c r="TCR119" s="73"/>
      <c r="TCS119" s="73"/>
      <c r="TCT119" s="73"/>
      <c r="TCU119" s="73"/>
      <c r="TCV119" s="73"/>
      <c r="TCW119" s="73"/>
      <c r="TCX119" s="73"/>
      <c r="TCY119" s="73"/>
      <c r="TCZ119" s="73"/>
      <c r="TDA119" s="73"/>
      <c r="TDB119" s="73"/>
      <c r="TDC119" s="73"/>
      <c r="TDD119" s="73"/>
      <c r="TDE119" s="73"/>
      <c r="TDF119" s="73"/>
      <c r="TDG119" s="73"/>
      <c r="TDH119" s="73"/>
      <c r="TDI119" s="73"/>
      <c r="TDJ119" s="73"/>
      <c r="TDK119" s="73"/>
      <c r="TDL119" s="73"/>
      <c r="TDM119" s="73"/>
      <c r="TDN119" s="73"/>
      <c r="TDO119" s="73"/>
      <c r="TDP119" s="73"/>
      <c r="TDQ119" s="73"/>
      <c r="TDR119" s="73"/>
      <c r="TDS119" s="73"/>
      <c r="TDT119" s="73"/>
      <c r="TDU119" s="73"/>
      <c r="TDV119" s="73"/>
      <c r="TDW119" s="73"/>
      <c r="TDX119" s="73"/>
      <c r="TDY119" s="73"/>
      <c r="TDZ119" s="73"/>
      <c r="TEA119" s="73"/>
      <c r="TEB119" s="73"/>
      <c r="TEC119" s="73"/>
      <c r="TED119" s="73"/>
      <c r="TEE119" s="73"/>
      <c r="TEF119" s="73"/>
      <c r="TEG119" s="73"/>
      <c r="TEH119" s="73"/>
      <c r="TEI119" s="73"/>
      <c r="TEJ119" s="73"/>
      <c r="TEK119" s="73"/>
      <c r="TEL119" s="73"/>
      <c r="TEM119" s="73"/>
      <c r="TEN119" s="73"/>
      <c r="TEO119" s="73"/>
      <c r="TEP119" s="73"/>
      <c r="TEQ119" s="73"/>
      <c r="TER119" s="73"/>
      <c r="TES119" s="73"/>
      <c r="TET119" s="73"/>
      <c r="TEU119" s="73"/>
      <c r="TEV119" s="73"/>
      <c r="TEW119" s="73"/>
      <c r="TEX119" s="73"/>
      <c r="TEY119" s="73"/>
      <c r="TEZ119" s="73"/>
      <c r="TFA119" s="73"/>
      <c r="TFB119" s="73"/>
      <c r="TFC119" s="73"/>
      <c r="TFD119" s="73"/>
      <c r="TFE119" s="73"/>
      <c r="TFF119" s="73"/>
      <c r="TFG119" s="73"/>
      <c r="TFH119" s="73"/>
      <c r="TFI119" s="73"/>
      <c r="TFJ119" s="73"/>
      <c r="TFK119" s="73"/>
      <c r="TFL119" s="73"/>
      <c r="TFM119" s="73"/>
      <c r="TFN119" s="73"/>
      <c r="TFO119" s="73"/>
      <c r="TFP119" s="73"/>
      <c r="TFQ119" s="73"/>
      <c r="TFR119" s="73"/>
      <c r="TFS119" s="73"/>
      <c r="TFT119" s="73"/>
      <c r="TFU119" s="73"/>
      <c r="TFV119" s="73"/>
      <c r="TFW119" s="73"/>
      <c r="TFX119" s="73"/>
      <c r="TFY119" s="73"/>
      <c r="TFZ119" s="73"/>
      <c r="TGA119" s="73"/>
      <c r="TGB119" s="73"/>
      <c r="TGC119" s="73"/>
      <c r="TGD119" s="73"/>
      <c r="TGE119" s="73"/>
      <c r="TGF119" s="73"/>
      <c r="TGG119" s="73"/>
      <c r="TGH119" s="73"/>
      <c r="TGI119" s="73"/>
      <c r="TGJ119" s="73"/>
      <c r="TGK119" s="73"/>
      <c r="TGL119" s="73"/>
      <c r="TGM119" s="73"/>
      <c r="TGN119" s="73"/>
      <c r="TGO119" s="73"/>
      <c r="TGP119" s="73"/>
      <c r="TGQ119" s="73"/>
      <c r="TGR119" s="73"/>
      <c r="TGS119" s="73"/>
      <c r="TGT119" s="73"/>
      <c r="TGU119" s="73"/>
      <c r="TGV119" s="73"/>
      <c r="TGW119" s="73"/>
      <c r="TGX119" s="73"/>
      <c r="TGY119" s="73"/>
      <c r="TGZ119" s="73"/>
      <c r="THA119" s="73"/>
      <c r="THB119" s="73"/>
      <c r="THC119" s="73"/>
      <c r="THD119" s="73"/>
      <c r="THE119" s="73"/>
      <c r="THF119" s="73"/>
      <c r="THG119" s="73"/>
      <c r="THH119" s="73"/>
      <c r="THI119" s="73"/>
      <c r="THJ119" s="73"/>
      <c r="THK119" s="73"/>
      <c r="THL119" s="73"/>
      <c r="THM119" s="73"/>
      <c r="THN119" s="73"/>
      <c r="THO119" s="73"/>
      <c r="THP119" s="73"/>
      <c r="THQ119" s="73"/>
      <c r="THR119" s="73"/>
      <c r="THS119" s="73"/>
      <c r="THT119" s="73"/>
      <c r="THU119" s="73"/>
      <c r="THV119" s="73"/>
      <c r="THW119" s="73"/>
      <c r="THX119" s="73"/>
      <c r="THY119" s="73"/>
      <c r="THZ119" s="73"/>
      <c r="TIA119" s="73"/>
      <c r="TIB119" s="73"/>
      <c r="TIC119" s="73"/>
      <c r="TID119" s="73"/>
      <c r="TIE119" s="73"/>
      <c r="TIF119" s="73"/>
      <c r="TIG119" s="73"/>
      <c r="TIH119" s="73"/>
      <c r="TII119" s="73"/>
      <c r="TIJ119" s="73"/>
      <c r="TIK119" s="73"/>
      <c r="TIL119" s="73"/>
      <c r="TIM119" s="73"/>
      <c r="TIN119" s="73"/>
      <c r="TIO119" s="73"/>
      <c r="TIP119" s="73"/>
      <c r="TIQ119" s="73"/>
      <c r="TIR119" s="73"/>
      <c r="TIS119" s="73"/>
      <c r="TIT119" s="73"/>
      <c r="TIU119" s="73"/>
      <c r="TIV119" s="73"/>
      <c r="TIW119" s="73"/>
      <c r="TIX119" s="73"/>
      <c r="TIY119" s="73"/>
      <c r="TIZ119" s="73"/>
      <c r="TJA119" s="73"/>
      <c r="TJB119" s="73"/>
      <c r="TJC119" s="73"/>
      <c r="TJD119" s="73"/>
      <c r="TJE119" s="73"/>
      <c r="TJF119" s="73"/>
      <c r="TJG119" s="73"/>
      <c r="TJH119" s="73"/>
      <c r="TJI119" s="73"/>
      <c r="TJJ119" s="73"/>
      <c r="TJK119" s="73"/>
      <c r="TJL119" s="73"/>
      <c r="TJM119" s="73"/>
      <c r="TJN119" s="73"/>
      <c r="TJO119" s="73"/>
      <c r="TJP119" s="73"/>
      <c r="TJQ119" s="73"/>
      <c r="TJR119" s="73"/>
      <c r="TJS119" s="73"/>
      <c r="TJT119" s="73"/>
      <c r="TJU119" s="73"/>
      <c r="TJV119" s="73"/>
      <c r="TJW119" s="73"/>
      <c r="TJX119" s="73"/>
      <c r="TJY119" s="73"/>
      <c r="TJZ119" s="73"/>
      <c r="TKA119" s="73"/>
      <c r="TKB119" s="73"/>
      <c r="TKC119" s="73"/>
      <c r="TKD119" s="73"/>
      <c r="TKE119" s="73"/>
      <c r="TKF119" s="73"/>
      <c r="TKG119" s="73"/>
      <c r="TKH119" s="73"/>
      <c r="TKI119" s="73"/>
      <c r="TKJ119" s="73"/>
      <c r="TKK119" s="73"/>
      <c r="TKL119" s="73"/>
      <c r="TKM119" s="73"/>
      <c r="TKN119" s="73"/>
      <c r="TKO119" s="73"/>
      <c r="TKP119" s="73"/>
      <c r="TKQ119" s="73"/>
      <c r="TKR119" s="73"/>
      <c r="TKS119" s="73"/>
      <c r="TKT119" s="73"/>
      <c r="TKU119" s="73"/>
      <c r="TKV119" s="73"/>
      <c r="TKW119" s="73"/>
      <c r="TKX119" s="73"/>
      <c r="TKY119" s="73"/>
      <c r="TKZ119" s="73"/>
      <c r="TLA119" s="73"/>
      <c r="TLB119" s="73"/>
      <c r="TLC119" s="73"/>
      <c r="TLD119" s="73"/>
      <c r="TLE119" s="73"/>
      <c r="TLF119" s="73"/>
      <c r="TLG119" s="73"/>
      <c r="TLH119" s="73"/>
      <c r="TLI119" s="73"/>
      <c r="TLJ119" s="73"/>
      <c r="TLK119" s="73"/>
      <c r="TLL119" s="73"/>
      <c r="TLM119" s="73"/>
      <c r="TLN119" s="73"/>
      <c r="TLO119" s="73"/>
      <c r="TLP119" s="73"/>
      <c r="TLQ119" s="73"/>
      <c r="TLR119" s="73"/>
      <c r="TLS119" s="73"/>
      <c r="TLT119" s="73"/>
      <c r="TLU119" s="73"/>
      <c r="TLV119" s="73"/>
      <c r="TLW119" s="73"/>
      <c r="TLX119" s="73"/>
      <c r="TLY119" s="73"/>
      <c r="TLZ119" s="73"/>
      <c r="TMA119" s="73"/>
      <c r="TMB119" s="73"/>
      <c r="TMC119" s="73"/>
      <c r="TMD119" s="73"/>
      <c r="TME119" s="73"/>
      <c r="TMF119" s="73"/>
      <c r="TMG119" s="73"/>
      <c r="TMH119" s="73"/>
      <c r="TMI119" s="73"/>
      <c r="TMJ119" s="73"/>
      <c r="TMK119" s="73"/>
      <c r="TML119" s="73"/>
      <c r="TMM119" s="73"/>
      <c r="TMN119" s="73"/>
      <c r="TMO119" s="73"/>
      <c r="TMP119" s="73"/>
      <c r="TMQ119" s="73"/>
      <c r="TMR119" s="73"/>
      <c r="TMS119" s="73"/>
      <c r="TMT119" s="73"/>
      <c r="TMU119" s="73"/>
      <c r="TMV119" s="73"/>
      <c r="TMW119" s="73"/>
      <c r="TMX119" s="73"/>
      <c r="TMY119" s="73"/>
      <c r="TMZ119" s="73"/>
      <c r="TNA119" s="73"/>
      <c r="TNB119" s="73"/>
      <c r="TNC119" s="73"/>
      <c r="TND119" s="73"/>
      <c r="TNE119" s="73"/>
      <c r="TNF119" s="73"/>
      <c r="TNG119" s="73"/>
      <c r="TNH119" s="73"/>
      <c r="TNI119" s="73"/>
      <c r="TNJ119" s="73"/>
      <c r="TNK119" s="73"/>
      <c r="TNL119" s="73"/>
      <c r="TNM119" s="73"/>
      <c r="TNN119" s="73"/>
      <c r="TNO119" s="73"/>
      <c r="TNP119" s="73"/>
      <c r="TNQ119" s="73"/>
      <c r="TNR119" s="73"/>
      <c r="TNS119" s="73"/>
      <c r="TNT119" s="73"/>
      <c r="TNU119" s="73"/>
      <c r="TNV119" s="73"/>
      <c r="TNW119" s="73"/>
      <c r="TNX119" s="73"/>
      <c r="TNY119" s="73"/>
      <c r="TNZ119" s="73"/>
      <c r="TOA119" s="73"/>
      <c r="TOB119" s="73"/>
      <c r="TOC119" s="73"/>
      <c r="TOD119" s="73"/>
      <c r="TOE119" s="73"/>
      <c r="TOF119" s="73"/>
      <c r="TOG119" s="73"/>
      <c r="TOH119" s="73"/>
      <c r="TOI119" s="73"/>
      <c r="TOJ119" s="73"/>
      <c r="TOK119" s="73"/>
      <c r="TOL119" s="73"/>
      <c r="TOM119" s="73"/>
      <c r="TON119" s="73"/>
      <c r="TOO119" s="73"/>
      <c r="TOP119" s="73"/>
      <c r="TOQ119" s="73"/>
      <c r="TOR119" s="73"/>
      <c r="TOS119" s="73"/>
      <c r="TOT119" s="73"/>
      <c r="TOU119" s="73"/>
      <c r="TOV119" s="73"/>
      <c r="TOW119" s="73"/>
      <c r="TOX119" s="73"/>
      <c r="TOY119" s="73"/>
      <c r="TOZ119" s="73"/>
      <c r="TPA119" s="73"/>
      <c r="TPB119" s="73"/>
      <c r="TPC119" s="73"/>
      <c r="TPD119" s="73"/>
      <c r="TPE119" s="73"/>
      <c r="TPF119" s="73"/>
      <c r="TPG119" s="73"/>
      <c r="TPH119" s="73"/>
      <c r="TPI119" s="73"/>
      <c r="TPJ119" s="73"/>
      <c r="TPK119" s="73"/>
      <c r="TPL119" s="73"/>
      <c r="TPM119" s="73"/>
      <c r="TPN119" s="73"/>
      <c r="TPO119" s="73"/>
      <c r="TPP119" s="73"/>
      <c r="TPQ119" s="73"/>
      <c r="TPR119" s="73"/>
      <c r="TPS119" s="73"/>
      <c r="TPT119" s="73"/>
      <c r="TPU119" s="73"/>
      <c r="TPV119" s="73"/>
      <c r="TPW119" s="73"/>
      <c r="TPX119" s="73"/>
      <c r="TPY119" s="73"/>
      <c r="TPZ119" s="73"/>
      <c r="TQA119" s="73"/>
      <c r="TQB119" s="73"/>
      <c r="TQC119" s="73"/>
      <c r="TQD119" s="73"/>
      <c r="TQE119" s="73"/>
      <c r="TQF119" s="73"/>
      <c r="TQG119" s="73"/>
      <c r="TQH119" s="73"/>
      <c r="TQI119" s="73"/>
      <c r="TQJ119" s="73"/>
      <c r="TQK119" s="73"/>
      <c r="TQL119" s="73"/>
      <c r="TQM119" s="73"/>
      <c r="TQN119" s="73"/>
      <c r="TQO119" s="73"/>
      <c r="TQP119" s="73"/>
      <c r="TQQ119" s="73"/>
      <c r="TQR119" s="73"/>
      <c r="TQS119" s="73"/>
      <c r="TQT119" s="73"/>
      <c r="TQU119" s="73"/>
      <c r="TQV119" s="73"/>
      <c r="TQW119" s="73"/>
      <c r="TQX119" s="73"/>
      <c r="TQY119" s="73"/>
      <c r="TQZ119" s="73"/>
      <c r="TRA119" s="73"/>
      <c r="TRB119" s="73"/>
      <c r="TRC119" s="73"/>
      <c r="TRD119" s="73"/>
      <c r="TRE119" s="73"/>
      <c r="TRF119" s="73"/>
      <c r="TRG119" s="73"/>
      <c r="TRH119" s="73"/>
      <c r="TRI119" s="73"/>
      <c r="TRJ119" s="73"/>
      <c r="TRK119" s="73"/>
      <c r="TRL119" s="73"/>
      <c r="TRM119" s="73"/>
      <c r="TRN119" s="73"/>
      <c r="TRO119" s="73"/>
      <c r="TRP119" s="73"/>
      <c r="TRQ119" s="73"/>
      <c r="TRR119" s="73"/>
      <c r="TRS119" s="73"/>
      <c r="TRT119" s="73"/>
      <c r="TRU119" s="73"/>
      <c r="TRV119" s="73"/>
      <c r="TRW119" s="73"/>
      <c r="TRX119" s="73"/>
      <c r="TRY119" s="73"/>
      <c r="TRZ119" s="73"/>
      <c r="TSA119" s="73"/>
      <c r="TSB119" s="73"/>
      <c r="TSC119" s="73"/>
      <c r="TSD119" s="73"/>
      <c r="TSE119" s="73"/>
      <c r="TSF119" s="73"/>
      <c r="TSG119" s="73"/>
      <c r="TSH119" s="73"/>
      <c r="TSI119" s="73"/>
      <c r="TSJ119" s="73"/>
      <c r="TSK119" s="73"/>
      <c r="TSL119" s="73"/>
      <c r="TSM119" s="73"/>
      <c r="TSN119" s="73"/>
      <c r="TSO119" s="73"/>
      <c r="TSP119" s="73"/>
      <c r="TSQ119" s="73"/>
      <c r="TSR119" s="73"/>
      <c r="TSS119" s="73"/>
      <c r="TST119" s="73"/>
      <c r="TSU119" s="73"/>
      <c r="TSV119" s="73"/>
      <c r="TSW119" s="73"/>
      <c r="TSX119" s="73"/>
      <c r="TSY119" s="73"/>
      <c r="TSZ119" s="73"/>
      <c r="TTA119" s="73"/>
      <c r="TTB119" s="73"/>
      <c r="TTC119" s="73"/>
      <c r="TTD119" s="73"/>
      <c r="TTE119" s="73"/>
      <c r="TTF119" s="73"/>
      <c r="TTG119" s="73"/>
      <c r="TTH119" s="73"/>
      <c r="TTI119" s="73"/>
      <c r="TTJ119" s="73"/>
      <c r="TTK119" s="73"/>
      <c r="TTL119" s="73"/>
      <c r="TTM119" s="73"/>
      <c r="TTN119" s="73"/>
      <c r="TTO119" s="73"/>
      <c r="TTP119" s="73"/>
      <c r="TTQ119" s="73"/>
      <c r="TTR119" s="73"/>
      <c r="TTS119" s="73"/>
      <c r="TTT119" s="73"/>
      <c r="TTU119" s="73"/>
      <c r="TTV119" s="73"/>
      <c r="TTW119" s="73"/>
      <c r="TTX119" s="73"/>
      <c r="TTY119" s="73"/>
      <c r="TTZ119" s="73"/>
      <c r="TUA119" s="73"/>
      <c r="TUB119" s="73"/>
      <c r="TUC119" s="73"/>
      <c r="TUD119" s="73"/>
      <c r="TUE119" s="73"/>
      <c r="TUF119" s="73"/>
      <c r="TUG119" s="73"/>
      <c r="TUH119" s="73"/>
      <c r="TUI119" s="73"/>
      <c r="TUJ119" s="73"/>
      <c r="TUK119" s="73"/>
      <c r="TUL119" s="73"/>
      <c r="TUM119" s="73"/>
      <c r="TUN119" s="73"/>
      <c r="TUO119" s="73"/>
      <c r="TUP119" s="73"/>
      <c r="TUQ119" s="73"/>
      <c r="TUR119" s="73"/>
      <c r="TUS119" s="73"/>
      <c r="TUT119" s="73"/>
      <c r="TUU119" s="73"/>
      <c r="TUV119" s="73"/>
      <c r="TUW119" s="73"/>
      <c r="TUX119" s="73"/>
      <c r="TUY119" s="73"/>
      <c r="TUZ119" s="73"/>
      <c r="TVA119" s="73"/>
      <c r="TVB119" s="73"/>
      <c r="TVC119" s="73"/>
      <c r="TVD119" s="73"/>
      <c r="TVE119" s="73"/>
      <c r="TVF119" s="73"/>
      <c r="TVG119" s="73"/>
      <c r="TVH119" s="73"/>
      <c r="TVI119" s="73"/>
      <c r="TVJ119" s="73"/>
      <c r="TVK119" s="73"/>
      <c r="TVL119" s="73"/>
      <c r="TVM119" s="73"/>
      <c r="TVN119" s="73"/>
      <c r="TVO119" s="73"/>
      <c r="TVP119" s="73"/>
      <c r="TVQ119" s="73"/>
      <c r="TVR119" s="73"/>
      <c r="TVS119" s="73"/>
      <c r="TVT119" s="73"/>
      <c r="TVU119" s="73"/>
      <c r="TVV119" s="73"/>
      <c r="TVW119" s="73"/>
      <c r="TVX119" s="73"/>
      <c r="TVY119" s="73"/>
      <c r="TVZ119" s="73"/>
      <c r="TWA119" s="73"/>
      <c r="TWB119" s="73"/>
      <c r="TWC119" s="73"/>
      <c r="TWD119" s="73"/>
      <c r="TWE119" s="73"/>
      <c r="TWF119" s="73"/>
      <c r="TWG119" s="73"/>
      <c r="TWH119" s="73"/>
      <c r="TWI119" s="73"/>
      <c r="TWJ119" s="73"/>
      <c r="TWK119" s="73"/>
      <c r="TWL119" s="73"/>
      <c r="TWM119" s="73"/>
      <c r="TWN119" s="73"/>
      <c r="TWO119" s="73"/>
      <c r="TWP119" s="73"/>
      <c r="TWQ119" s="73"/>
      <c r="TWR119" s="73"/>
      <c r="TWS119" s="73"/>
      <c r="TWT119" s="73"/>
      <c r="TWU119" s="73"/>
      <c r="TWV119" s="73"/>
      <c r="TWW119" s="73"/>
      <c r="TWX119" s="73"/>
      <c r="TWY119" s="73"/>
      <c r="TWZ119" s="73"/>
      <c r="TXA119" s="73"/>
      <c r="TXB119" s="73"/>
      <c r="TXC119" s="73"/>
      <c r="TXD119" s="73"/>
      <c r="TXE119" s="73"/>
      <c r="TXF119" s="73"/>
      <c r="TXG119" s="73"/>
      <c r="TXH119" s="73"/>
      <c r="TXI119" s="73"/>
      <c r="TXJ119" s="73"/>
      <c r="TXK119" s="73"/>
      <c r="TXL119" s="73"/>
      <c r="TXM119" s="73"/>
      <c r="TXN119" s="73"/>
      <c r="TXO119" s="73"/>
      <c r="TXP119" s="73"/>
      <c r="TXQ119" s="73"/>
      <c r="TXR119" s="73"/>
      <c r="TXS119" s="73"/>
      <c r="TXT119" s="73"/>
      <c r="TXU119" s="73"/>
      <c r="TXV119" s="73"/>
      <c r="TXW119" s="73"/>
      <c r="TXX119" s="73"/>
      <c r="TXY119" s="73"/>
      <c r="TXZ119" s="73"/>
      <c r="TYA119" s="73"/>
      <c r="TYB119" s="73"/>
      <c r="TYC119" s="73"/>
      <c r="TYD119" s="73"/>
      <c r="TYE119" s="73"/>
      <c r="TYF119" s="73"/>
      <c r="TYG119" s="73"/>
      <c r="TYH119" s="73"/>
      <c r="TYI119" s="73"/>
      <c r="TYJ119" s="73"/>
      <c r="TYK119" s="73"/>
      <c r="TYL119" s="73"/>
      <c r="TYM119" s="73"/>
      <c r="TYN119" s="73"/>
      <c r="TYO119" s="73"/>
      <c r="TYP119" s="73"/>
      <c r="TYQ119" s="73"/>
      <c r="TYR119" s="73"/>
      <c r="TYS119" s="73"/>
      <c r="TYT119" s="73"/>
      <c r="TYU119" s="73"/>
      <c r="TYV119" s="73"/>
      <c r="TYW119" s="73"/>
      <c r="TYX119" s="73"/>
      <c r="TYY119" s="73"/>
      <c r="TYZ119" s="73"/>
      <c r="TZA119" s="73"/>
      <c r="TZB119" s="73"/>
      <c r="TZC119" s="73"/>
      <c r="TZD119" s="73"/>
      <c r="TZE119" s="73"/>
      <c r="TZF119" s="73"/>
      <c r="TZG119" s="73"/>
      <c r="TZH119" s="73"/>
      <c r="TZI119" s="73"/>
      <c r="TZJ119" s="73"/>
      <c r="TZK119" s="73"/>
      <c r="TZL119" s="73"/>
      <c r="TZM119" s="73"/>
      <c r="TZN119" s="73"/>
      <c r="TZO119" s="73"/>
      <c r="TZP119" s="73"/>
      <c r="TZQ119" s="73"/>
      <c r="TZR119" s="73"/>
      <c r="TZS119" s="73"/>
      <c r="TZT119" s="73"/>
      <c r="TZU119" s="73"/>
      <c r="TZV119" s="73"/>
      <c r="TZW119" s="73"/>
      <c r="TZX119" s="73"/>
      <c r="TZY119" s="73"/>
      <c r="TZZ119" s="73"/>
      <c r="UAA119" s="73"/>
      <c r="UAB119" s="73"/>
      <c r="UAC119" s="73"/>
      <c r="UAD119" s="73"/>
      <c r="UAE119" s="73"/>
      <c r="UAF119" s="73"/>
      <c r="UAG119" s="73"/>
      <c r="UAH119" s="73"/>
      <c r="UAI119" s="73"/>
      <c r="UAJ119" s="73"/>
      <c r="UAK119" s="73"/>
      <c r="UAL119" s="73"/>
      <c r="UAM119" s="73"/>
      <c r="UAN119" s="73"/>
      <c r="UAO119" s="73"/>
      <c r="UAP119" s="73"/>
      <c r="UAQ119" s="73"/>
      <c r="UAR119" s="73"/>
      <c r="UAS119" s="73"/>
      <c r="UAT119" s="73"/>
      <c r="UAU119" s="73"/>
      <c r="UAV119" s="73"/>
      <c r="UAW119" s="73"/>
      <c r="UAX119" s="73"/>
      <c r="UAY119" s="73"/>
      <c r="UAZ119" s="73"/>
      <c r="UBA119" s="73"/>
      <c r="UBB119" s="73"/>
      <c r="UBC119" s="73"/>
      <c r="UBD119" s="73"/>
      <c r="UBE119" s="73"/>
      <c r="UBF119" s="73"/>
      <c r="UBG119" s="73"/>
      <c r="UBH119" s="73"/>
      <c r="UBI119" s="73"/>
      <c r="UBJ119" s="73"/>
      <c r="UBK119" s="73"/>
      <c r="UBL119" s="73"/>
      <c r="UBM119" s="73"/>
      <c r="UBN119" s="73"/>
      <c r="UBO119" s="73"/>
      <c r="UBP119" s="73"/>
      <c r="UBQ119" s="73"/>
      <c r="UBR119" s="73"/>
      <c r="UBS119" s="73"/>
      <c r="UBT119" s="73"/>
      <c r="UBU119" s="73"/>
      <c r="UBV119" s="73"/>
      <c r="UBW119" s="73"/>
      <c r="UBX119" s="73"/>
      <c r="UBY119" s="73"/>
      <c r="UBZ119" s="73"/>
      <c r="UCA119" s="73"/>
      <c r="UCB119" s="73"/>
      <c r="UCC119" s="73"/>
      <c r="UCD119" s="73"/>
      <c r="UCE119" s="73"/>
      <c r="UCF119" s="73"/>
      <c r="UCG119" s="73"/>
      <c r="UCH119" s="73"/>
      <c r="UCI119" s="73"/>
      <c r="UCJ119" s="73"/>
      <c r="UCK119" s="73"/>
      <c r="UCL119" s="73"/>
      <c r="UCM119" s="73"/>
      <c r="UCN119" s="73"/>
      <c r="UCO119" s="73"/>
      <c r="UCP119" s="73"/>
      <c r="UCQ119" s="73"/>
      <c r="UCR119" s="73"/>
      <c r="UCS119" s="73"/>
      <c r="UCT119" s="73"/>
      <c r="UCU119" s="73"/>
      <c r="UCV119" s="73"/>
      <c r="UCW119" s="73"/>
      <c r="UCX119" s="73"/>
      <c r="UCY119" s="73"/>
      <c r="UCZ119" s="73"/>
      <c r="UDA119" s="73"/>
      <c r="UDB119" s="73"/>
      <c r="UDC119" s="73"/>
      <c r="UDD119" s="73"/>
      <c r="UDE119" s="73"/>
      <c r="UDF119" s="73"/>
      <c r="UDG119" s="73"/>
      <c r="UDH119" s="73"/>
      <c r="UDI119" s="73"/>
      <c r="UDJ119" s="73"/>
      <c r="UDK119" s="73"/>
      <c r="UDL119" s="73"/>
      <c r="UDM119" s="73"/>
      <c r="UDN119" s="73"/>
      <c r="UDO119" s="73"/>
      <c r="UDP119" s="73"/>
      <c r="UDQ119" s="73"/>
      <c r="UDR119" s="73"/>
      <c r="UDS119" s="73"/>
      <c r="UDT119" s="73"/>
      <c r="UDU119" s="73"/>
      <c r="UDV119" s="73"/>
      <c r="UDW119" s="73"/>
      <c r="UDX119" s="73"/>
      <c r="UDY119" s="73"/>
      <c r="UDZ119" s="73"/>
      <c r="UEA119" s="73"/>
      <c r="UEB119" s="73"/>
      <c r="UEC119" s="73"/>
      <c r="UED119" s="73"/>
      <c r="UEE119" s="73"/>
      <c r="UEF119" s="73"/>
      <c r="UEG119" s="73"/>
      <c r="UEH119" s="73"/>
      <c r="UEI119" s="73"/>
      <c r="UEJ119" s="73"/>
      <c r="UEK119" s="73"/>
      <c r="UEL119" s="73"/>
      <c r="UEM119" s="73"/>
      <c r="UEN119" s="73"/>
      <c r="UEO119" s="73"/>
      <c r="UEP119" s="73"/>
      <c r="UEQ119" s="73"/>
      <c r="UER119" s="73"/>
      <c r="UES119" s="73"/>
      <c r="UET119" s="73"/>
      <c r="UEU119" s="73"/>
      <c r="UEV119" s="73"/>
      <c r="UEW119" s="73"/>
      <c r="UEX119" s="73"/>
      <c r="UEY119" s="73"/>
      <c r="UEZ119" s="73"/>
      <c r="UFA119" s="73"/>
      <c r="UFB119" s="73"/>
      <c r="UFC119" s="73"/>
      <c r="UFD119" s="73"/>
      <c r="UFE119" s="73"/>
      <c r="UFF119" s="73"/>
      <c r="UFG119" s="73"/>
      <c r="UFH119" s="73"/>
      <c r="UFI119" s="73"/>
      <c r="UFJ119" s="73"/>
      <c r="UFK119" s="73"/>
      <c r="UFL119" s="73"/>
      <c r="UFM119" s="73"/>
      <c r="UFN119" s="73"/>
      <c r="UFO119" s="73"/>
      <c r="UFP119" s="73"/>
      <c r="UFQ119" s="73"/>
      <c r="UFR119" s="73"/>
      <c r="UFS119" s="73"/>
      <c r="UFT119" s="73"/>
      <c r="UFU119" s="73"/>
      <c r="UFV119" s="73"/>
      <c r="UFW119" s="73"/>
      <c r="UFX119" s="73"/>
      <c r="UFY119" s="73"/>
      <c r="UFZ119" s="73"/>
      <c r="UGA119" s="73"/>
      <c r="UGB119" s="73"/>
      <c r="UGC119" s="73"/>
      <c r="UGD119" s="73"/>
      <c r="UGE119" s="73"/>
      <c r="UGF119" s="73"/>
      <c r="UGG119" s="73"/>
      <c r="UGH119" s="73"/>
      <c r="UGI119" s="73"/>
      <c r="UGJ119" s="73"/>
      <c r="UGK119" s="73"/>
      <c r="UGL119" s="73"/>
      <c r="UGM119" s="73"/>
      <c r="UGN119" s="73"/>
      <c r="UGO119" s="73"/>
      <c r="UGP119" s="73"/>
      <c r="UGQ119" s="73"/>
      <c r="UGR119" s="73"/>
      <c r="UGS119" s="73"/>
      <c r="UGT119" s="73"/>
      <c r="UGU119" s="73"/>
      <c r="UGV119" s="73"/>
      <c r="UGW119" s="73"/>
      <c r="UGX119" s="73"/>
      <c r="UGY119" s="73"/>
      <c r="UGZ119" s="73"/>
      <c r="UHA119" s="73"/>
      <c r="UHB119" s="73"/>
      <c r="UHC119" s="73"/>
      <c r="UHD119" s="73"/>
      <c r="UHE119" s="73"/>
      <c r="UHF119" s="73"/>
      <c r="UHG119" s="73"/>
      <c r="UHH119" s="73"/>
      <c r="UHI119" s="73"/>
      <c r="UHJ119" s="73"/>
      <c r="UHK119" s="73"/>
      <c r="UHL119" s="73"/>
      <c r="UHM119" s="73"/>
      <c r="UHN119" s="73"/>
      <c r="UHO119" s="73"/>
      <c r="UHP119" s="73"/>
      <c r="UHQ119" s="73"/>
      <c r="UHR119" s="73"/>
      <c r="UHS119" s="73"/>
      <c r="UHT119" s="73"/>
      <c r="UHU119" s="73"/>
      <c r="UHV119" s="73"/>
      <c r="UHW119" s="73"/>
      <c r="UHX119" s="73"/>
      <c r="UHY119" s="73"/>
      <c r="UHZ119" s="73"/>
      <c r="UIA119" s="73"/>
      <c r="UIB119" s="73"/>
      <c r="UIC119" s="73"/>
      <c r="UID119" s="73"/>
      <c r="UIE119" s="73"/>
      <c r="UIF119" s="73"/>
      <c r="UIG119" s="73"/>
      <c r="UIH119" s="73"/>
      <c r="UII119" s="73"/>
      <c r="UIJ119" s="73"/>
      <c r="UIK119" s="73"/>
      <c r="UIL119" s="73"/>
      <c r="UIM119" s="73"/>
      <c r="UIN119" s="73"/>
      <c r="UIO119" s="73"/>
      <c r="UIP119" s="73"/>
      <c r="UIQ119" s="73"/>
      <c r="UIR119" s="73"/>
      <c r="UIS119" s="73"/>
      <c r="UIT119" s="73"/>
      <c r="UIU119" s="73"/>
      <c r="UIV119" s="73"/>
      <c r="UIW119" s="73"/>
      <c r="UIX119" s="73"/>
      <c r="UIY119" s="73"/>
      <c r="UIZ119" s="73"/>
      <c r="UJA119" s="73"/>
      <c r="UJB119" s="73"/>
      <c r="UJC119" s="73"/>
      <c r="UJD119" s="73"/>
      <c r="UJE119" s="73"/>
      <c r="UJF119" s="73"/>
      <c r="UJG119" s="73"/>
      <c r="UJH119" s="73"/>
      <c r="UJI119" s="73"/>
      <c r="UJJ119" s="73"/>
      <c r="UJK119" s="73"/>
      <c r="UJL119" s="73"/>
      <c r="UJM119" s="73"/>
      <c r="UJN119" s="73"/>
      <c r="UJO119" s="73"/>
      <c r="UJP119" s="73"/>
      <c r="UJQ119" s="73"/>
      <c r="UJR119" s="73"/>
      <c r="UJS119" s="73"/>
      <c r="UJT119" s="73"/>
      <c r="UJU119" s="73"/>
      <c r="UJV119" s="73"/>
      <c r="UJW119" s="73"/>
      <c r="UJX119" s="73"/>
      <c r="UJY119" s="73"/>
      <c r="UJZ119" s="73"/>
      <c r="UKA119" s="73"/>
      <c r="UKB119" s="73"/>
      <c r="UKC119" s="73"/>
      <c r="UKD119" s="73"/>
      <c r="UKE119" s="73"/>
      <c r="UKF119" s="73"/>
      <c r="UKG119" s="73"/>
      <c r="UKH119" s="73"/>
      <c r="UKI119" s="73"/>
      <c r="UKJ119" s="73"/>
      <c r="UKK119" s="73"/>
      <c r="UKL119" s="73"/>
      <c r="UKM119" s="73"/>
      <c r="UKN119" s="73"/>
      <c r="UKO119" s="73"/>
      <c r="UKP119" s="73"/>
      <c r="UKQ119" s="73"/>
      <c r="UKR119" s="73"/>
      <c r="UKS119" s="73"/>
      <c r="UKT119" s="73"/>
      <c r="UKU119" s="73"/>
      <c r="UKV119" s="73"/>
      <c r="UKW119" s="73"/>
      <c r="UKX119" s="73"/>
      <c r="UKY119" s="73"/>
      <c r="UKZ119" s="73"/>
      <c r="ULA119" s="73"/>
      <c r="ULB119" s="73"/>
      <c r="ULC119" s="73"/>
      <c r="ULD119" s="73"/>
      <c r="ULE119" s="73"/>
      <c r="ULF119" s="73"/>
      <c r="ULG119" s="73"/>
      <c r="ULH119" s="73"/>
      <c r="ULI119" s="73"/>
      <c r="ULJ119" s="73"/>
      <c r="ULK119" s="73"/>
      <c r="ULL119" s="73"/>
      <c r="ULM119" s="73"/>
      <c r="ULN119" s="73"/>
      <c r="ULO119" s="73"/>
      <c r="ULP119" s="73"/>
      <c r="ULQ119" s="73"/>
      <c r="ULR119" s="73"/>
      <c r="ULS119" s="73"/>
      <c r="ULT119" s="73"/>
      <c r="ULU119" s="73"/>
      <c r="ULV119" s="73"/>
      <c r="ULW119" s="73"/>
      <c r="ULX119" s="73"/>
      <c r="ULY119" s="73"/>
      <c r="ULZ119" s="73"/>
      <c r="UMA119" s="73"/>
      <c r="UMB119" s="73"/>
      <c r="UMC119" s="73"/>
      <c r="UMD119" s="73"/>
      <c r="UME119" s="73"/>
      <c r="UMF119" s="73"/>
      <c r="UMG119" s="73"/>
      <c r="UMH119" s="73"/>
      <c r="UMI119" s="73"/>
      <c r="UMJ119" s="73"/>
      <c r="UMK119" s="73"/>
      <c r="UML119" s="73"/>
      <c r="UMM119" s="73"/>
      <c r="UMN119" s="73"/>
      <c r="UMO119" s="73"/>
      <c r="UMP119" s="73"/>
      <c r="UMQ119" s="73"/>
      <c r="UMR119" s="73"/>
      <c r="UMS119" s="73"/>
      <c r="UMT119" s="73"/>
      <c r="UMU119" s="73"/>
      <c r="UMV119" s="73"/>
      <c r="UMW119" s="73"/>
      <c r="UMX119" s="73"/>
      <c r="UMY119" s="73"/>
      <c r="UMZ119" s="73"/>
      <c r="UNA119" s="73"/>
      <c r="UNB119" s="73"/>
      <c r="UNC119" s="73"/>
      <c r="UND119" s="73"/>
      <c r="UNE119" s="73"/>
      <c r="UNF119" s="73"/>
      <c r="UNG119" s="73"/>
      <c r="UNH119" s="73"/>
      <c r="UNI119" s="73"/>
      <c r="UNJ119" s="73"/>
      <c r="UNK119" s="73"/>
      <c r="UNL119" s="73"/>
      <c r="UNM119" s="73"/>
      <c r="UNN119" s="73"/>
      <c r="UNO119" s="73"/>
      <c r="UNP119" s="73"/>
      <c r="UNQ119" s="73"/>
      <c r="UNR119" s="73"/>
      <c r="UNS119" s="73"/>
      <c r="UNT119" s="73"/>
      <c r="UNU119" s="73"/>
      <c r="UNV119" s="73"/>
      <c r="UNW119" s="73"/>
      <c r="UNX119" s="73"/>
      <c r="UNY119" s="73"/>
      <c r="UNZ119" s="73"/>
      <c r="UOA119" s="73"/>
      <c r="UOB119" s="73"/>
      <c r="UOC119" s="73"/>
      <c r="UOD119" s="73"/>
      <c r="UOE119" s="73"/>
      <c r="UOF119" s="73"/>
      <c r="UOG119" s="73"/>
      <c r="UOH119" s="73"/>
      <c r="UOI119" s="73"/>
      <c r="UOJ119" s="73"/>
      <c r="UOK119" s="73"/>
      <c r="UOL119" s="73"/>
      <c r="UOM119" s="73"/>
      <c r="UON119" s="73"/>
      <c r="UOO119" s="73"/>
      <c r="UOP119" s="73"/>
      <c r="UOQ119" s="73"/>
      <c r="UOR119" s="73"/>
      <c r="UOS119" s="73"/>
      <c r="UOT119" s="73"/>
      <c r="UOU119" s="73"/>
      <c r="UOV119" s="73"/>
      <c r="UOW119" s="73"/>
      <c r="UOX119" s="73"/>
      <c r="UOY119" s="73"/>
      <c r="UOZ119" s="73"/>
      <c r="UPA119" s="73"/>
      <c r="UPB119" s="73"/>
      <c r="UPC119" s="73"/>
      <c r="UPD119" s="73"/>
      <c r="UPE119" s="73"/>
      <c r="UPF119" s="73"/>
      <c r="UPG119" s="73"/>
      <c r="UPH119" s="73"/>
      <c r="UPI119" s="73"/>
      <c r="UPJ119" s="73"/>
      <c r="UPK119" s="73"/>
      <c r="UPL119" s="73"/>
      <c r="UPM119" s="73"/>
      <c r="UPN119" s="73"/>
      <c r="UPO119" s="73"/>
      <c r="UPP119" s="73"/>
      <c r="UPQ119" s="73"/>
      <c r="UPR119" s="73"/>
      <c r="UPS119" s="73"/>
      <c r="UPT119" s="73"/>
      <c r="UPU119" s="73"/>
      <c r="UPV119" s="73"/>
      <c r="UPW119" s="73"/>
      <c r="UPX119" s="73"/>
      <c r="UPY119" s="73"/>
      <c r="UPZ119" s="73"/>
      <c r="UQA119" s="73"/>
      <c r="UQB119" s="73"/>
      <c r="UQC119" s="73"/>
      <c r="UQD119" s="73"/>
      <c r="UQE119" s="73"/>
      <c r="UQF119" s="73"/>
      <c r="UQG119" s="73"/>
      <c r="UQH119" s="73"/>
      <c r="UQI119" s="73"/>
      <c r="UQJ119" s="73"/>
      <c r="UQK119" s="73"/>
      <c r="UQL119" s="73"/>
      <c r="UQM119" s="73"/>
      <c r="UQN119" s="73"/>
      <c r="UQO119" s="73"/>
      <c r="UQP119" s="73"/>
      <c r="UQQ119" s="73"/>
      <c r="UQR119" s="73"/>
      <c r="UQS119" s="73"/>
      <c r="UQT119" s="73"/>
      <c r="UQU119" s="73"/>
      <c r="UQV119" s="73"/>
      <c r="UQW119" s="73"/>
      <c r="UQX119" s="73"/>
      <c r="UQY119" s="73"/>
      <c r="UQZ119" s="73"/>
      <c r="URA119" s="73"/>
      <c r="URB119" s="73"/>
      <c r="URC119" s="73"/>
      <c r="URD119" s="73"/>
      <c r="URE119" s="73"/>
      <c r="URF119" s="73"/>
      <c r="URG119" s="73"/>
      <c r="URH119" s="73"/>
      <c r="URI119" s="73"/>
      <c r="URJ119" s="73"/>
      <c r="URK119" s="73"/>
      <c r="URL119" s="73"/>
      <c r="URM119" s="73"/>
      <c r="URN119" s="73"/>
      <c r="URO119" s="73"/>
      <c r="URP119" s="73"/>
      <c r="URQ119" s="73"/>
      <c r="URR119" s="73"/>
      <c r="URS119" s="73"/>
      <c r="URT119" s="73"/>
      <c r="URU119" s="73"/>
      <c r="URV119" s="73"/>
      <c r="URW119" s="73"/>
      <c r="URX119" s="73"/>
      <c r="URY119" s="73"/>
      <c r="URZ119" s="73"/>
      <c r="USA119" s="73"/>
      <c r="USB119" s="73"/>
      <c r="USC119" s="73"/>
      <c r="USD119" s="73"/>
      <c r="USE119" s="73"/>
      <c r="USF119" s="73"/>
      <c r="USG119" s="73"/>
      <c r="USH119" s="73"/>
      <c r="USI119" s="73"/>
      <c r="USJ119" s="73"/>
      <c r="USK119" s="73"/>
      <c r="USL119" s="73"/>
      <c r="USM119" s="73"/>
      <c r="USN119" s="73"/>
      <c r="USO119" s="73"/>
      <c r="USP119" s="73"/>
      <c r="USQ119" s="73"/>
      <c r="USR119" s="73"/>
      <c r="USS119" s="73"/>
      <c r="UST119" s="73"/>
      <c r="USU119" s="73"/>
      <c r="USV119" s="73"/>
      <c r="USW119" s="73"/>
      <c r="USX119" s="73"/>
      <c r="USY119" s="73"/>
      <c r="USZ119" s="73"/>
      <c r="UTA119" s="73"/>
      <c r="UTB119" s="73"/>
      <c r="UTC119" s="73"/>
      <c r="UTD119" s="73"/>
      <c r="UTE119" s="73"/>
      <c r="UTF119" s="73"/>
      <c r="UTG119" s="73"/>
      <c r="UTH119" s="73"/>
      <c r="UTI119" s="73"/>
      <c r="UTJ119" s="73"/>
      <c r="UTK119" s="73"/>
      <c r="UTL119" s="73"/>
      <c r="UTM119" s="73"/>
      <c r="UTN119" s="73"/>
      <c r="UTO119" s="73"/>
      <c r="UTP119" s="73"/>
      <c r="UTQ119" s="73"/>
      <c r="UTR119" s="73"/>
      <c r="UTS119" s="73"/>
      <c r="UTT119" s="73"/>
      <c r="UTU119" s="73"/>
      <c r="UTV119" s="73"/>
      <c r="UTW119" s="73"/>
      <c r="UTX119" s="73"/>
      <c r="UTY119" s="73"/>
      <c r="UTZ119" s="73"/>
      <c r="UUA119" s="73"/>
      <c r="UUB119" s="73"/>
      <c r="UUC119" s="73"/>
      <c r="UUD119" s="73"/>
      <c r="UUE119" s="73"/>
      <c r="UUF119" s="73"/>
      <c r="UUG119" s="73"/>
      <c r="UUH119" s="73"/>
      <c r="UUI119" s="73"/>
      <c r="UUJ119" s="73"/>
      <c r="UUK119" s="73"/>
      <c r="UUL119" s="73"/>
      <c r="UUM119" s="73"/>
      <c r="UUN119" s="73"/>
      <c r="UUO119" s="73"/>
      <c r="UUP119" s="73"/>
      <c r="UUQ119" s="73"/>
      <c r="UUR119" s="73"/>
      <c r="UUS119" s="73"/>
      <c r="UUT119" s="73"/>
      <c r="UUU119" s="73"/>
      <c r="UUV119" s="73"/>
      <c r="UUW119" s="73"/>
      <c r="UUX119" s="73"/>
      <c r="UUY119" s="73"/>
      <c r="UUZ119" s="73"/>
      <c r="UVA119" s="73"/>
      <c r="UVB119" s="73"/>
      <c r="UVC119" s="73"/>
      <c r="UVD119" s="73"/>
      <c r="UVE119" s="73"/>
      <c r="UVF119" s="73"/>
      <c r="UVG119" s="73"/>
      <c r="UVH119" s="73"/>
      <c r="UVI119" s="73"/>
      <c r="UVJ119" s="73"/>
      <c r="UVK119" s="73"/>
      <c r="UVL119" s="73"/>
      <c r="UVM119" s="73"/>
      <c r="UVN119" s="73"/>
      <c r="UVO119" s="73"/>
      <c r="UVP119" s="73"/>
      <c r="UVQ119" s="73"/>
      <c r="UVR119" s="73"/>
      <c r="UVS119" s="73"/>
      <c r="UVT119" s="73"/>
      <c r="UVU119" s="73"/>
      <c r="UVV119" s="73"/>
      <c r="UVW119" s="73"/>
      <c r="UVX119" s="73"/>
      <c r="UVY119" s="73"/>
      <c r="UVZ119" s="73"/>
      <c r="UWA119" s="73"/>
      <c r="UWB119" s="73"/>
      <c r="UWC119" s="73"/>
      <c r="UWD119" s="73"/>
      <c r="UWE119" s="73"/>
      <c r="UWF119" s="73"/>
      <c r="UWG119" s="73"/>
      <c r="UWH119" s="73"/>
      <c r="UWI119" s="73"/>
      <c r="UWJ119" s="73"/>
      <c r="UWK119" s="73"/>
      <c r="UWL119" s="73"/>
      <c r="UWM119" s="73"/>
      <c r="UWN119" s="73"/>
      <c r="UWO119" s="73"/>
      <c r="UWP119" s="73"/>
      <c r="UWQ119" s="73"/>
      <c r="UWR119" s="73"/>
      <c r="UWS119" s="73"/>
      <c r="UWT119" s="73"/>
      <c r="UWU119" s="73"/>
      <c r="UWV119" s="73"/>
      <c r="UWW119" s="73"/>
      <c r="UWX119" s="73"/>
      <c r="UWY119" s="73"/>
      <c r="UWZ119" s="73"/>
      <c r="UXA119" s="73"/>
      <c r="UXB119" s="73"/>
      <c r="UXC119" s="73"/>
      <c r="UXD119" s="73"/>
      <c r="UXE119" s="73"/>
      <c r="UXF119" s="73"/>
      <c r="UXG119" s="73"/>
      <c r="UXH119" s="73"/>
      <c r="UXI119" s="73"/>
      <c r="UXJ119" s="73"/>
      <c r="UXK119" s="73"/>
      <c r="UXL119" s="73"/>
      <c r="UXM119" s="73"/>
      <c r="UXN119" s="73"/>
      <c r="UXO119" s="73"/>
      <c r="UXP119" s="73"/>
      <c r="UXQ119" s="73"/>
      <c r="UXR119" s="73"/>
      <c r="UXS119" s="73"/>
      <c r="UXT119" s="73"/>
      <c r="UXU119" s="73"/>
      <c r="UXV119" s="73"/>
      <c r="UXW119" s="73"/>
      <c r="UXX119" s="73"/>
      <c r="UXY119" s="73"/>
      <c r="UXZ119" s="73"/>
      <c r="UYA119" s="73"/>
      <c r="UYB119" s="73"/>
      <c r="UYC119" s="73"/>
      <c r="UYD119" s="73"/>
      <c r="UYE119" s="73"/>
      <c r="UYF119" s="73"/>
      <c r="UYG119" s="73"/>
      <c r="UYH119" s="73"/>
      <c r="UYI119" s="73"/>
      <c r="UYJ119" s="73"/>
      <c r="UYK119" s="73"/>
      <c r="UYL119" s="73"/>
      <c r="UYM119" s="73"/>
      <c r="UYN119" s="73"/>
      <c r="UYO119" s="73"/>
      <c r="UYP119" s="73"/>
      <c r="UYQ119" s="73"/>
      <c r="UYR119" s="73"/>
      <c r="UYS119" s="73"/>
      <c r="UYT119" s="73"/>
      <c r="UYU119" s="73"/>
      <c r="UYV119" s="73"/>
      <c r="UYW119" s="73"/>
      <c r="UYX119" s="73"/>
      <c r="UYY119" s="73"/>
      <c r="UYZ119" s="73"/>
      <c r="UZA119" s="73"/>
      <c r="UZB119" s="73"/>
      <c r="UZC119" s="73"/>
      <c r="UZD119" s="73"/>
      <c r="UZE119" s="73"/>
      <c r="UZF119" s="73"/>
      <c r="UZG119" s="73"/>
      <c r="UZH119" s="73"/>
      <c r="UZI119" s="73"/>
      <c r="UZJ119" s="73"/>
      <c r="UZK119" s="73"/>
      <c r="UZL119" s="73"/>
      <c r="UZM119" s="73"/>
      <c r="UZN119" s="73"/>
      <c r="UZO119" s="73"/>
      <c r="UZP119" s="73"/>
      <c r="UZQ119" s="73"/>
      <c r="UZR119" s="73"/>
      <c r="UZS119" s="73"/>
      <c r="UZT119" s="73"/>
      <c r="UZU119" s="73"/>
      <c r="UZV119" s="73"/>
      <c r="UZW119" s="73"/>
      <c r="UZX119" s="73"/>
      <c r="UZY119" s="73"/>
      <c r="UZZ119" s="73"/>
      <c r="VAA119" s="73"/>
      <c r="VAB119" s="73"/>
      <c r="VAC119" s="73"/>
      <c r="VAD119" s="73"/>
      <c r="VAE119" s="73"/>
      <c r="VAF119" s="73"/>
      <c r="VAG119" s="73"/>
      <c r="VAH119" s="73"/>
      <c r="VAI119" s="73"/>
      <c r="VAJ119" s="73"/>
      <c r="VAK119" s="73"/>
      <c r="VAL119" s="73"/>
      <c r="VAM119" s="73"/>
      <c r="VAN119" s="73"/>
      <c r="VAO119" s="73"/>
      <c r="VAP119" s="73"/>
      <c r="VAQ119" s="73"/>
      <c r="VAR119" s="73"/>
      <c r="VAS119" s="73"/>
      <c r="VAT119" s="73"/>
      <c r="VAU119" s="73"/>
      <c r="VAV119" s="73"/>
      <c r="VAW119" s="73"/>
      <c r="VAX119" s="73"/>
      <c r="VAY119" s="73"/>
      <c r="VAZ119" s="73"/>
      <c r="VBA119" s="73"/>
      <c r="VBB119" s="73"/>
      <c r="VBC119" s="73"/>
      <c r="VBD119" s="73"/>
      <c r="VBE119" s="73"/>
      <c r="VBF119" s="73"/>
      <c r="VBG119" s="73"/>
      <c r="VBH119" s="73"/>
      <c r="VBI119" s="73"/>
      <c r="VBJ119" s="73"/>
      <c r="VBK119" s="73"/>
      <c r="VBL119" s="73"/>
      <c r="VBM119" s="73"/>
      <c r="VBN119" s="73"/>
      <c r="VBO119" s="73"/>
      <c r="VBP119" s="73"/>
      <c r="VBQ119" s="73"/>
      <c r="VBR119" s="73"/>
      <c r="VBS119" s="73"/>
      <c r="VBT119" s="73"/>
      <c r="VBU119" s="73"/>
      <c r="VBV119" s="73"/>
      <c r="VBW119" s="73"/>
      <c r="VBX119" s="73"/>
      <c r="VBY119" s="73"/>
      <c r="VBZ119" s="73"/>
      <c r="VCA119" s="73"/>
      <c r="VCB119" s="73"/>
      <c r="VCC119" s="73"/>
      <c r="VCD119" s="73"/>
      <c r="VCE119" s="73"/>
      <c r="VCF119" s="73"/>
      <c r="VCG119" s="73"/>
      <c r="VCH119" s="73"/>
      <c r="VCI119" s="73"/>
      <c r="VCJ119" s="73"/>
      <c r="VCK119" s="73"/>
      <c r="VCL119" s="73"/>
      <c r="VCM119" s="73"/>
      <c r="VCN119" s="73"/>
      <c r="VCO119" s="73"/>
      <c r="VCP119" s="73"/>
      <c r="VCQ119" s="73"/>
      <c r="VCR119" s="73"/>
      <c r="VCS119" s="73"/>
      <c r="VCT119" s="73"/>
      <c r="VCU119" s="73"/>
      <c r="VCV119" s="73"/>
      <c r="VCW119" s="73"/>
      <c r="VCX119" s="73"/>
      <c r="VCY119" s="73"/>
      <c r="VCZ119" s="73"/>
      <c r="VDA119" s="73"/>
      <c r="VDB119" s="73"/>
      <c r="VDC119" s="73"/>
      <c r="VDD119" s="73"/>
      <c r="VDE119" s="73"/>
      <c r="VDF119" s="73"/>
      <c r="VDG119" s="73"/>
      <c r="VDH119" s="73"/>
      <c r="VDI119" s="73"/>
      <c r="VDJ119" s="73"/>
      <c r="VDK119" s="73"/>
      <c r="VDL119" s="73"/>
      <c r="VDM119" s="73"/>
      <c r="VDN119" s="73"/>
      <c r="VDO119" s="73"/>
      <c r="VDP119" s="73"/>
      <c r="VDQ119" s="73"/>
      <c r="VDR119" s="73"/>
      <c r="VDS119" s="73"/>
      <c r="VDT119" s="73"/>
      <c r="VDU119" s="73"/>
      <c r="VDV119" s="73"/>
      <c r="VDW119" s="73"/>
      <c r="VDX119" s="73"/>
      <c r="VDY119" s="73"/>
      <c r="VDZ119" s="73"/>
      <c r="VEA119" s="73"/>
      <c r="VEB119" s="73"/>
      <c r="VEC119" s="73"/>
      <c r="VED119" s="73"/>
      <c r="VEE119" s="73"/>
      <c r="VEF119" s="73"/>
      <c r="VEG119" s="73"/>
      <c r="VEH119" s="73"/>
      <c r="VEI119" s="73"/>
      <c r="VEJ119" s="73"/>
      <c r="VEK119" s="73"/>
      <c r="VEL119" s="73"/>
      <c r="VEM119" s="73"/>
      <c r="VEN119" s="73"/>
      <c r="VEO119" s="73"/>
      <c r="VEP119" s="73"/>
      <c r="VEQ119" s="73"/>
      <c r="VER119" s="73"/>
      <c r="VES119" s="73"/>
      <c r="VET119" s="73"/>
      <c r="VEU119" s="73"/>
      <c r="VEV119" s="73"/>
      <c r="VEW119" s="73"/>
      <c r="VEX119" s="73"/>
      <c r="VEY119" s="73"/>
      <c r="VEZ119" s="73"/>
      <c r="VFA119" s="73"/>
      <c r="VFB119" s="73"/>
      <c r="VFC119" s="73"/>
      <c r="VFD119" s="73"/>
      <c r="VFE119" s="73"/>
      <c r="VFF119" s="73"/>
      <c r="VFG119" s="73"/>
      <c r="VFH119" s="73"/>
      <c r="VFI119" s="73"/>
      <c r="VFJ119" s="73"/>
      <c r="VFK119" s="73"/>
      <c r="VFL119" s="73"/>
      <c r="VFM119" s="73"/>
      <c r="VFN119" s="73"/>
      <c r="VFO119" s="73"/>
      <c r="VFP119" s="73"/>
      <c r="VFQ119" s="73"/>
      <c r="VFR119" s="73"/>
      <c r="VFS119" s="73"/>
      <c r="VFT119" s="73"/>
      <c r="VFU119" s="73"/>
      <c r="VFV119" s="73"/>
      <c r="VFW119" s="73"/>
      <c r="VFX119" s="73"/>
      <c r="VFY119" s="73"/>
      <c r="VFZ119" s="73"/>
      <c r="VGA119" s="73"/>
      <c r="VGB119" s="73"/>
      <c r="VGC119" s="73"/>
      <c r="VGD119" s="73"/>
      <c r="VGE119" s="73"/>
      <c r="VGF119" s="73"/>
      <c r="VGG119" s="73"/>
      <c r="VGH119" s="73"/>
      <c r="VGI119" s="73"/>
      <c r="VGJ119" s="73"/>
      <c r="VGK119" s="73"/>
      <c r="VGL119" s="73"/>
      <c r="VGM119" s="73"/>
      <c r="VGN119" s="73"/>
      <c r="VGO119" s="73"/>
      <c r="VGP119" s="73"/>
      <c r="VGQ119" s="73"/>
      <c r="VGR119" s="73"/>
      <c r="VGS119" s="73"/>
      <c r="VGT119" s="73"/>
      <c r="VGU119" s="73"/>
      <c r="VGV119" s="73"/>
      <c r="VGW119" s="73"/>
      <c r="VGX119" s="73"/>
      <c r="VGY119" s="73"/>
      <c r="VGZ119" s="73"/>
      <c r="VHA119" s="73"/>
      <c r="VHB119" s="73"/>
      <c r="VHC119" s="73"/>
      <c r="VHD119" s="73"/>
      <c r="VHE119" s="73"/>
      <c r="VHF119" s="73"/>
      <c r="VHG119" s="73"/>
      <c r="VHH119" s="73"/>
      <c r="VHI119" s="73"/>
      <c r="VHJ119" s="73"/>
      <c r="VHK119" s="73"/>
      <c r="VHL119" s="73"/>
      <c r="VHM119" s="73"/>
      <c r="VHN119" s="73"/>
      <c r="VHO119" s="73"/>
      <c r="VHP119" s="73"/>
      <c r="VHQ119" s="73"/>
      <c r="VHR119" s="73"/>
      <c r="VHS119" s="73"/>
      <c r="VHT119" s="73"/>
      <c r="VHU119" s="73"/>
      <c r="VHV119" s="73"/>
      <c r="VHW119" s="73"/>
      <c r="VHX119" s="73"/>
      <c r="VHY119" s="73"/>
      <c r="VHZ119" s="73"/>
      <c r="VIA119" s="73"/>
      <c r="VIB119" s="73"/>
      <c r="VIC119" s="73"/>
      <c r="VID119" s="73"/>
      <c r="VIE119" s="73"/>
      <c r="VIF119" s="73"/>
      <c r="VIG119" s="73"/>
      <c r="VIH119" s="73"/>
      <c r="VII119" s="73"/>
      <c r="VIJ119" s="73"/>
      <c r="VIK119" s="73"/>
      <c r="VIL119" s="73"/>
      <c r="VIM119" s="73"/>
      <c r="VIN119" s="73"/>
      <c r="VIO119" s="73"/>
      <c r="VIP119" s="73"/>
      <c r="VIQ119" s="73"/>
      <c r="VIR119" s="73"/>
      <c r="VIS119" s="73"/>
      <c r="VIT119" s="73"/>
      <c r="VIU119" s="73"/>
      <c r="VIV119" s="73"/>
      <c r="VIW119" s="73"/>
      <c r="VIX119" s="73"/>
      <c r="VIY119" s="73"/>
      <c r="VIZ119" s="73"/>
      <c r="VJA119" s="73"/>
      <c r="VJB119" s="73"/>
      <c r="VJC119" s="73"/>
      <c r="VJD119" s="73"/>
      <c r="VJE119" s="73"/>
      <c r="VJF119" s="73"/>
      <c r="VJG119" s="73"/>
      <c r="VJH119" s="73"/>
      <c r="VJI119" s="73"/>
      <c r="VJJ119" s="73"/>
      <c r="VJK119" s="73"/>
      <c r="VJL119" s="73"/>
      <c r="VJM119" s="73"/>
      <c r="VJN119" s="73"/>
      <c r="VJO119" s="73"/>
      <c r="VJP119" s="73"/>
      <c r="VJQ119" s="73"/>
      <c r="VJR119" s="73"/>
      <c r="VJS119" s="73"/>
      <c r="VJT119" s="73"/>
      <c r="VJU119" s="73"/>
      <c r="VJV119" s="73"/>
      <c r="VJW119" s="73"/>
      <c r="VJX119" s="73"/>
      <c r="VJY119" s="73"/>
      <c r="VJZ119" s="73"/>
      <c r="VKA119" s="73"/>
      <c r="VKB119" s="73"/>
      <c r="VKC119" s="73"/>
      <c r="VKD119" s="73"/>
      <c r="VKE119" s="73"/>
      <c r="VKF119" s="73"/>
      <c r="VKG119" s="73"/>
      <c r="VKH119" s="73"/>
      <c r="VKI119" s="73"/>
      <c r="VKJ119" s="73"/>
      <c r="VKK119" s="73"/>
      <c r="VKL119" s="73"/>
      <c r="VKM119" s="73"/>
      <c r="VKN119" s="73"/>
      <c r="VKO119" s="73"/>
      <c r="VKP119" s="73"/>
      <c r="VKQ119" s="73"/>
      <c r="VKR119" s="73"/>
      <c r="VKS119" s="73"/>
      <c r="VKT119" s="73"/>
      <c r="VKU119" s="73"/>
      <c r="VKV119" s="73"/>
      <c r="VKW119" s="73"/>
      <c r="VKX119" s="73"/>
      <c r="VKY119" s="73"/>
      <c r="VKZ119" s="73"/>
      <c r="VLA119" s="73"/>
      <c r="VLB119" s="73"/>
      <c r="VLC119" s="73"/>
      <c r="VLD119" s="73"/>
      <c r="VLE119" s="73"/>
      <c r="VLF119" s="73"/>
      <c r="VLG119" s="73"/>
      <c r="VLH119" s="73"/>
      <c r="VLI119" s="73"/>
      <c r="VLJ119" s="73"/>
      <c r="VLK119" s="73"/>
      <c r="VLL119" s="73"/>
      <c r="VLM119" s="73"/>
      <c r="VLN119" s="73"/>
      <c r="VLO119" s="73"/>
      <c r="VLP119" s="73"/>
      <c r="VLQ119" s="73"/>
      <c r="VLR119" s="73"/>
      <c r="VLS119" s="73"/>
      <c r="VLT119" s="73"/>
      <c r="VLU119" s="73"/>
      <c r="VLV119" s="73"/>
      <c r="VLW119" s="73"/>
      <c r="VLX119" s="73"/>
      <c r="VLY119" s="73"/>
      <c r="VLZ119" s="73"/>
      <c r="VMA119" s="73"/>
      <c r="VMB119" s="73"/>
      <c r="VMC119" s="73"/>
      <c r="VMD119" s="73"/>
      <c r="VME119" s="73"/>
      <c r="VMF119" s="73"/>
      <c r="VMG119" s="73"/>
      <c r="VMH119" s="73"/>
      <c r="VMI119" s="73"/>
      <c r="VMJ119" s="73"/>
      <c r="VMK119" s="73"/>
      <c r="VML119" s="73"/>
      <c r="VMM119" s="73"/>
      <c r="VMN119" s="73"/>
      <c r="VMO119" s="73"/>
      <c r="VMP119" s="73"/>
      <c r="VMQ119" s="73"/>
      <c r="VMR119" s="73"/>
      <c r="VMS119" s="73"/>
      <c r="VMT119" s="73"/>
      <c r="VMU119" s="73"/>
      <c r="VMV119" s="73"/>
      <c r="VMW119" s="73"/>
      <c r="VMX119" s="73"/>
      <c r="VMY119" s="73"/>
      <c r="VMZ119" s="73"/>
      <c r="VNA119" s="73"/>
      <c r="VNB119" s="73"/>
      <c r="VNC119" s="73"/>
      <c r="VND119" s="73"/>
      <c r="VNE119" s="73"/>
      <c r="VNF119" s="73"/>
      <c r="VNG119" s="73"/>
      <c r="VNH119" s="73"/>
      <c r="VNI119" s="73"/>
      <c r="VNJ119" s="73"/>
      <c r="VNK119" s="73"/>
      <c r="VNL119" s="73"/>
      <c r="VNM119" s="73"/>
      <c r="VNN119" s="73"/>
      <c r="VNO119" s="73"/>
      <c r="VNP119" s="73"/>
      <c r="VNQ119" s="73"/>
      <c r="VNR119" s="73"/>
      <c r="VNS119" s="73"/>
      <c r="VNT119" s="73"/>
      <c r="VNU119" s="73"/>
      <c r="VNV119" s="73"/>
      <c r="VNW119" s="73"/>
      <c r="VNX119" s="73"/>
      <c r="VNY119" s="73"/>
      <c r="VNZ119" s="73"/>
      <c r="VOA119" s="73"/>
      <c r="VOB119" s="73"/>
      <c r="VOC119" s="73"/>
      <c r="VOD119" s="73"/>
      <c r="VOE119" s="73"/>
      <c r="VOF119" s="73"/>
      <c r="VOG119" s="73"/>
      <c r="VOH119" s="73"/>
      <c r="VOI119" s="73"/>
      <c r="VOJ119" s="73"/>
      <c r="VOK119" s="73"/>
      <c r="VOL119" s="73"/>
      <c r="VOM119" s="73"/>
      <c r="VON119" s="73"/>
      <c r="VOO119" s="73"/>
      <c r="VOP119" s="73"/>
      <c r="VOQ119" s="73"/>
      <c r="VOR119" s="73"/>
      <c r="VOS119" s="73"/>
      <c r="VOT119" s="73"/>
      <c r="VOU119" s="73"/>
      <c r="VOV119" s="73"/>
      <c r="VOW119" s="73"/>
      <c r="VOX119" s="73"/>
      <c r="VOY119" s="73"/>
      <c r="VOZ119" s="73"/>
      <c r="VPA119" s="73"/>
      <c r="VPB119" s="73"/>
      <c r="VPC119" s="73"/>
      <c r="VPD119" s="73"/>
      <c r="VPE119" s="73"/>
      <c r="VPF119" s="73"/>
      <c r="VPG119" s="73"/>
      <c r="VPH119" s="73"/>
      <c r="VPI119" s="73"/>
      <c r="VPJ119" s="73"/>
      <c r="VPK119" s="73"/>
      <c r="VPL119" s="73"/>
      <c r="VPM119" s="73"/>
      <c r="VPN119" s="73"/>
      <c r="VPO119" s="73"/>
      <c r="VPP119" s="73"/>
      <c r="VPQ119" s="73"/>
      <c r="VPR119" s="73"/>
      <c r="VPS119" s="73"/>
      <c r="VPT119" s="73"/>
      <c r="VPU119" s="73"/>
      <c r="VPV119" s="73"/>
      <c r="VPW119" s="73"/>
      <c r="VPX119" s="73"/>
      <c r="VPY119" s="73"/>
      <c r="VPZ119" s="73"/>
      <c r="VQA119" s="73"/>
      <c r="VQB119" s="73"/>
      <c r="VQC119" s="73"/>
      <c r="VQD119" s="73"/>
      <c r="VQE119" s="73"/>
      <c r="VQF119" s="73"/>
      <c r="VQG119" s="73"/>
      <c r="VQH119" s="73"/>
      <c r="VQI119" s="73"/>
      <c r="VQJ119" s="73"/>
      <c r="VQK119" s="73"/>
      <c r="VQL119" s="73"/>
      <c r="VQM119" s="73"/>
      <c r="VQN119" s="73"/>
      <c r="VQO119" s="73"/>
      <c r="VQP119" s="73"/>
      <c r="VQQ119" s="73"/>
      <c r="VQR119" s="73"/>
      <c r="VQS119" s="73"/>
      <c r="VQT119" s="73"/>
      <c r="VQU119" s="73"/>
      <c r="VQV119" s="73"/>
      <c r="VQW119" s="73"/>
      <c r="VQX119" s="73"/>
      <c r="VQY119" s="73"/>
      <c r="VQZ119" s="73"/>
      <c r="VRA119" s="73"/>
      <c r="VRB119" s="73"/>
      <c r="VRC119" s="73"/>
      <c r="VRD119" s="73"/>
      <c r="VRE119" s="73"/>
      <c r="VRF119" s="73"/>
      <c r="VRG119" s="73"/>
      <c r="VRH119" s="73"/>
      <c r="VRI119" s="73"/>
      <c r="VRJ119" s="73"/>
      <c r="VRK119" s="73"/>
      <c r="VRL119" s="73"/>
      <c r="VRM119" s="73"/>
      <c r="VRN119" s="73"/>
      <c r="VRO119" s="73"/>
      <c r="VRP119" s="73"/>
      <c r="VRQ119" s="73"/>
      <c r="VRR119" s="73"/>
      <c r="VRS119" s="73"/>
      <c r="VRT119" s="73"/>
      <c r="VRU119" s="73"/>
      <c r="VRV119" s="73"/>
      <c r="VRW119" s="73"/>
      <c r="VRX119" s="73"/>
      <c r="VRY119" s="73"/>
      <c r="VRZ119" s="73"/>
      <c r="VSA119" s="73"/>
      <c r="VSB119" s="73"/>
      <c r="VSC119" s="73"/>
      <c r="VSD119" s="73"/>
      <c r="VSE119" s="73"/>
      <c r="VSF119" s="73"/>
      <c r="VSG119" s="73"/>
      <c r="VSH119" s="73"/>
      <c r="VSI119" s="73"/>
      <c r="VSJ119" s="73"/>
      <c r="VSK119" s="73"/>
      <c r="VSL119" s="73"/>
      <c r="VSM119" s="73"/>
      <c r="VSN119" s="73"/>
      <c r="VSO119" s="73"/>
      <c r="VSP119" s="73"/>
      <c r="VSQ119" s="73"/>
      <c r="VSR119" s="73"/>
      <c r="VSS119" s="73"/>
      <c r="VST119" s="73"/>
      <c r="VSU119" s="73"/>
      <c r="VSV119" s="73"/>
      <c r="VSW119" s="73"/>
      <c r="VSX119" s="73"/>
      <c r="VSY119" s="73"/>
      <c r="VSZ119" s="73"/>
      <c r="VTA119" s="73"/>
      <c r="VTB119" s="73"/>
      <c r="VTC119" s="73"/>
      <c r="VTD119" s="73"/>
      <c r="VTE119" s="73"/>
      <c r="VTF119" s="73"/>
      <c r="VTG119" s="73"/>
      <c r="VTH119" s="73"/>
      <c r="VTI119" s="73"/>
      <c r="VTJ119" s="73"/>
      <c r="VTK119" s="73"/>
      <c r="VTL119" s="73"/>
      <c r="VTM119" s="73"/>
      <c r="VTN119" s="73"/>
      <c r="VTO119" s="73"/>
      <c r="VTP119" s="73"/>
      <c r="VTQ119" s="73"/>
      <c r="VTR119" s="73"/>
      <c r="VTS119" s="73"/>
      <c r="VTT119" s="73"/>
      <c r="VTU119" s="73"/>
      <c r="VTV119" s="73"/>
      <c r="VTW119" s="73"/>
      <c r="VTX119" s="73"/>
      <c r="VTY119" s="73"/>
      <c r="VTZ119" s="73"/>
      <c r="VUA119" s="73"/>
      <c r="VUB119" s="73"/>
      <c r="VUC119" s="73"/>
      <c r="VUD119" s="73"/>
      <c r="VUE119" s="73"/>
      <c r="VUF119" s="73"/>
      <c r="VUG119" s="73"/>
      <c r="VUH119" s="73"/>
      <c r="VUI119" s="73"/>
      <c r="VUJ119" s="73"/>
      <c r="VUK119" s="73"/>
      <c r="VUL119" s="73"/>
      <c r="VUM119" s="73"/>
      <c r="VUN119" s="73"/>
      <c r="VUO119" s="73"/>
      <c r="VUP119" s="73"/>
      <c r="VUQ119" s="73"/>
      <c r="VUR119" s="73"/>
      <c r="VUS119" s="73"/>
      <c r="VUT119" s="73"/>
      <c r="VUU119" s="73"/>
      <c r="VUV119" s="73"/>
      <c r="VUW119" s="73"/>
      <c r="VUX119" s="73"/>
      <c r="VUY119" s="73"/>
      <c r="VUZ119" s="73"/>
      <c r="VVA119" s="73"/>
      <c r="VVB119" s="73"/>
      <c r="VVC119" s="73"/>
      <c r="VVD119" s="73"/>
      <c r="VVE119" s="73"/>
      <c r="VVF119" s="73"/>
      <c r="VVG119" s="73"/>
      <c r="VVH119" s="73"/>
      <c r="VVI119" s="73"/>
      <c r="VVJ119" s="73"/>
      <c r="VVK119" s="73"/>
      <c r="VVL119" s="73"/>
      <c r="VVM119" s="73"/>
      <c r="VVN119" s="73"/>
      <c r="VVO119" s="73"/>
      <c r="VVP119" s="73"/>
      <c r="VVQ119" s="73"/>
      <c r="VVR119" s="73"/>
      <c r="VVS119" s="73"/>
      <c r="VVT119" s="73"/>
      <c r="VVU119" s="73"/>
      <c r="VVV119" s="73"/>
      <c r="VVW119" s="73"/>
      <c r="VVX119" s="73"/>
      <c r="VVY119" s="73"/>
      <c r="VVZ119" s="73"/>
      <c r="VWA119" s="73"/>
      <c r="VWB119" s="73"/>
      <c r="VWC119" s="73"/>
      <c r="VWD119" s="73"/>
      <c r="VWE119" s="73"/>
      <c r="VWF119" s="73"/>
      <c r="VWG119" s="73"/>
      <c r="VWH119" s="73"/>
      <c r="VWI119" s="73"/>
      <c r="VWJ119" s="73"/>
      <c r="VWK119" s="73"/>
      <c r="VWL119" s="73"/>
      <c r="VWM119" s="73"/>
      <c r="VWN119" s="73"/>
      <c r="VWO119" s="73"/>
      <c r="VWP119" s="73"/>
      <c r="VWQ119" s="73"/>
      <c r="VWR119" s="73"/>
      <c r="VWS119" s="73"/>
      <c r="VWT119" s="73"/>
      <c r="VWU119" s="73"/>
      <c r="VWV119" s="73"/>
      <c r="VWW119" s="73"/>
      <c r="VWX119" s="73"/>
      <c r="VWY119" s="73"/>
      <c r="VWZ119" s="73"/>
      <c r="VXA119" s="73"/>
      <c r="VXB119" s="73"/>
      <c r="VXC119" s="73"/>
      <c r="VXD119" s="73"/>
      <c r="VXE119" s="73"/>
      <c r="VXF119" s="73"/>
      <c r="VXG119" s="73"/>
      <c r="VXH119" s="73"/>
      <c r="VXI119" s="73"/>
      <c r="VXJ119" s="73"/>
      <c r="VXK119" s="73"/>
      <c r="VXL119" s="73"/>
      <c r="VXM119" s="73"/>
      <c r="VXN119" s="73"/>
      <c r="VXO119" s="73"/>
      <c r="VXP119" s="73"/>
      <c r="VXQ119" s="73"/>
      <c r="VXR119" s="73"/>
      <c r="VXS119" s="73"/>
      <c r="VXT119" s="73"/>
      <c r="VXU119" s="73"/>
      <c r="VXV119" s="73"/>
      <c r="VXW119" s="73"/>
      <c r="VXX119" s="73"/>
      <c r="VXY119" s="73"/>
      <c r="VXZ119" s="73"/>
      <c r="VYA119" s="73"/>
      <c r="VYB119" s="73"/>
      <c r="VYC119" s="73"/>
      <c r="VYD119" s="73"/>
      <c r="VYE119" s="73"/>
      <c r="VYF119" s="73"/>
      <c r="VYG119" s="73"/>
      <c r="VYH119" s="73"/>
      <c r="VYI119" s="73"/>
      <c r="VYJ119" s="73"/>
      <c r="VYK119" s="73"/>
      <c r="VYL119" s="73"/>
      <c r="VYM119" s="73"/>
      <c r="VYN119" s="73"/>
      <c r="VYO119" s="73"/>
      <c r="VYP119" s="73"/>
      <c r="VYQ119" s="73"/>
      <c r="VYR119" s="73"/>
      <c r="VYS119" s="73"/>
      <c r="VYT119" s="73"/>
      <c r="VYU119" s="73"/>
      <c r="VYV119" s="73"/>
      <c r="VYW119" s="73"/>
      <c r="VYX119" s="73"/>
      <c r="VYY119" s="73"/>
      <c r="VYZ119" s="73"/>
      <c r="VZA119" s="73"/>
      <c r="VZB119" s="73"/>
      <c r="VZC119" s="73"/>
      <c r="VZD119" s="73"/>
      <c r="VZE119" s="73"/>
      <c r="VZF119" s="73"/>
      <c r="VZG119" s="73"/>
      <c r="VZH119" s="73"/>
      <c r="VZI119" s="73"/>
      <c r="VZJ119" s="73"/>
      <c r="VZK119" s="73"/>
      <c r="VZL119" s="73"/>
      <c r="VZM119" s="73"/>
      <c r="VZN119" s="73"/>
      <c r="VZO119" s="73"/>
      <c r="VZP119" s="73"/>
      <c r="VZQ119" s="73"/>
      <c r="VZR119" s="73"/>
      <c r="VZS119" s="73"/>
      <c r="VZT119" s="73"/>
      <c r="VZU119" s="73"/>
      <c r="VZV119" s="73"/>
      <c r="VZW119" s="73"/>
      <c r="VZX119" s="73"/>
      <c r="VZY119" s="73"/>
      <c r="VZZ119" s="73"/>
      <c r="WAA119" s="73"/>
      <c r="WAB119" s="73"/>
      <c r="WAC119" s="73"/>
      <c r="WAD119" s="73"/>
      <c r="WAE119" s="73"/>
      <c r="WAF119" s="73"/>
      <c r="WAG119" s="73"/>
      <c r="WAH119" s="73"/>
      <c r="WAI119" s="73"/>
      <c r="WAJ119" s="73"/>
      <c r="WAK119" s="73"/>
      <c r="WAL119" s="73"/>
      <c r="WAM119" s="73"/>
      <c r="WAN119" s="73"/>
      <c r="WAO119" s="73"/>
      <c r="WAP119" s="73"/>
      <c r="WAQ119" s="73"/>
      <c r="WAR119" s="73"/>
      <c r="WAS119" s="73"/>
      <c r="WAT119" s="73"/>
      <c r="WAU119" s="73"/>
      <c r="WAV119" s="73"/>
      <c r="WAW119" s="73"/>
      <c r="WAX119" s="73"/>
      <c r="WAY119" s="73"/>
      <c r="WAZ119" s="73"/>
      <c r="WBA119" s="73"/>
      <c r="WBB119" s="73"/>
      <c r="WBC119" s="73"/>
      <c r="WBD119" s="73"/>
      <c r="WBE119" s="73"/>
      <c r="WBF119" s="73"/>
      <c r="WBG119" s="73"/>
      <c r="WBH119" s="73"/>
      <c r="WBI119" s="73"/>
      <c r="WBJ119" s="73"/>
      <c r="WBK119" s="73"/>
      <c r="WBL119" s="73"/>
      <c r="WBM119" s="73"/>
      <c r="WBN119" s="73"/>
      <c r="WBO119" s="73"/>
      <c r="WBP119" s="73"/>
      <c r="WBQ119" s="73"/>
      <c r="WBR119" s="73"/>
      <c r="WBS119" s="73"/>
      <c r="WBT119" s="73"/>
      <c r="WBU119" s="73"/>
      <c r="WBV119" s="73"/>
      <c r="WBW119" s="73"/>
      <c r="WBX119" s="73"/>
      <c r="WBY119" s="73"/>
      <c r="WBZ119" s="73"/>
      <c r="WCA119" s="73"/>
      <c r="WCB119" s="73"/>
      <c r="WCC119" s="73"/>
      <c r="WCD119" s="73"/>
      <c r="WCE119" s="73"/>
      <c r="WCF119" s="73"/>
      <c r="WCG119" s="73"/>
      <c r="WCH119" s="73"/>
      <c r="WCI119" s="73"/>
      <c r="WCJ119" s="73"/>
      <c r="WCK119" s="73"/>
      <c r="WCL119" s="73"/>
      <c r="WCM119" s="73"/>
      <c r="WCN119" s="73"/>
      <c r="WCO119" s="73"/>
      <c r="WCP119" s="73"/>
      <c r="WCQ119" s="73"/>
      <c r="WCR119" s="73"/>
      <c r="WCS119" s="73"/>
      <c r="WCT119" s="73"/>
      <c r="WCU119" s="73"/>
      <c r="WCV119" s="73"/>
      <c r="WCW119" s="73"/>
      <c r="WCX119" s="73"/>
      <c r="WCY119" s="73"/>
      <c r="WCZ119" s="73"/>
      <c r="WDA119" s="73"/>
      <c r="WDB119" s="73"/>
      <c r="WDC119" s="73"/>
      <c r="WDD119" s="73"/>
      <c r="WDE119" s="73"/>
      <c r="WDF119" s="73"/>
      <c r="WDG119" s="73"/>
      <c r="WDH119" s="73"/>
      <c r="WDI119" s="73"/>
      <c r="WDJ119" s="73"/>
      <c r="WDK119" s="73"/>
      <c r="WDL119" s="73"/>
      <c r="WDM119" s="73"/>
      <c r="WDN119" s="73"/>
      <c r="WDO119" s="73"/>
      <c r="WDP119" s="73"/>
      <c r="WDQ119" s="73"/>
      <c r="WDR119" s="73"/>
      <c r="WDS119" s="73"/>
      <c r="WDT119" s="73"/>
      <c r="WDU119" s="73"/>
      <c r="WDV119" s="73"/>
      <c r="WDW119" s="73"/>
      <c r="WDX119" s="73"/>
      <c r="WDY119" s="73"/>
      <c r="WDZ119" s="73"/>
      <c r="WEA119" s="73"/>
      <c r="WEB119" s="73"/>
      <c r="WEC119" s="73"/>
      <c r="WED119" s="73"/>
      <c r="WEE119" s="73"/>
      <c r="WEF119" s="73"/>
      <c r="WEG119" s="73"/>
      <c r="WEH119" s="73"/>
      <c r="WEI119" s="73"/>
      <c r="WEJ119" s="73"/>
      <c r="WEK119" s="73"/>
      <c r="WEL119" s="73"/>
      <c r="WEM119" s="73"/>
      <c r="WEN119" s="73"/>
      <c r="WEO119" s="73"/>
      <c r="WEP119" s="73"/>
      <c r="WEQ119" s="73"/>
      <c r="WER119" s="73"/>
      <c r="WES119" s="73"/>
      <c r="WET119" s="73"/>
      <c r="WEU119" s="73"/>
      <c r="WEV119" s="73"/>
      <c r="WEW119" s="73"/>
      <c r="WEX119" s="73"/>
      <c r="WEY119" s="73"/>
      <c r="WEZ119" s="73"/>
      <c r="WFA119" s="73"/>
      <c r="WFB119" s="73"/>
      <c r="WFC119" s="73"/>
      <c r="WFD119" s="73"/>
      <c r="WFE119" s="73"/>
      <c r="WFF119" s="73"/>
      <c r="WFG119" s="73"/>
      <c r="WFH119" s="73"/>
      <c r="WFI119" s="73"/>
      <c r="WFJ119" s="73"/>
      <c r="WFK119" s="73"/>
      <c r="WFL119" s="73"/>
      <c r="WFM119" s="73"/>
      <c r="WFN119" s="73"/>
      <c r="WFO119" s="73"/>
      <c r="WFP119" s="73"/>
      <c r="WFQ119" s="73"/>
      <c r="WFR119" s="73"/>
      <c r="WFS119" s="73"/>
      <c r="WFT119" s="73"/>
      <c r="WFU119" s="73"/>
      <c r="WFV119" s="73"/>
      <c r="WFW119" s="73"/>
      <c r="WFX119" s="73"/>
      <c r="WFY119" s="73"/>
      <c r="WFZ119" s="73"/>
      <c r="WGA119" s="73"/>
      <c r="WGB119" s="73"/>
      <c r="WGC119" s="73"/>
      <c r="WGD119" s="73"/>
      <c r="WGE119" s="73"/>
      <c r="WGF119" s="73"/>
      <c r="WGG119" s="73"/>
      <c r="WGH119" s="73"/>
      <c r="WGI119" s="73"/>
      <c r="WGJ119" s="73"/>
      <c r="WGK119" s="73"/>
      <c r="WGL119" s="73"/>
      <c r="WGM119" s="73"/>
      <c r="WGN119" s="73"/>
      <c r="WGO119" s="73"/>
      <c r="WGP119" s="73"/>
      <c r="WGQ119" s="73"/>
      <c r="WGR119" s="73"/>
      <c r="WGS119" s="73"/>
      <c r="WGT119" s="73"/>
      <c r="WGU119" s="73"/>
      <c r="WGV119" s="73"/>
      <c r="WGW119" s="73"/>
      <c r="WGX119" s="73"/>
      <c r="WGY119" s="73"/>
      <c r="WGZ119" s="73"/>
      <c r="WHA119" s="73"/>
      <c r="WHB119" s="73"/>
      <c r="WHC119" s="73"/>
      <c r="WHD119" s="73"/>
      <c r="WHE119" s="73"/>
      <c r="WHF119" s="73"/>
      <c r="WHG119" s="73"/>
      <c r="WHH119" s="73"/>
      <c r="WHI119" s="73"/>
      <c r="WHJ119" s="73"/>
      <c r="WHK119" s="73"/>
      <c r="WHL119" s="73"/>
      <c r="WHM119" s="73"/>
      <c r="WHN119" s="73"/>
      <c r="WHO119" s="73"/>
      <c r="WHP119" s="73"/>
      <c r="WHQ119" s="73"/>
      <c r="WHR119" s="73"/>
      <c r="WHS119" s="73"/>
      <c r="WHT119" s="73"/>
      <c r="WHU119" s="73"/>
      <c r="WHV119" s="73"/>
      <c r="WHW119" s="73"/>
      <c r="WHX119" s="73"/>
      <c r="WHY119" s="73"/>
      <c r="WHZ119" s="73"/>
      <c r="WIA119" s="73"/>
      <c r="WIB119" s="73"/>
      <c r="WIC119" s="73"/>
      <c r="WID119" s="73"/>
      <c r="WIE119" s="73"/>
      <c r="WIF119" s="73"/>
      <c r="WIG119" s="73"/>
      <c r="WIH119" s="73"/>
      <c r="WII119" s="73"/>
      <c r="WIJ119" s="73"/>
      <c r="WIK119" s="73"/>
      <c r="WIL119" s="73"/>
      <c r="WIM119" s="73"/>
      <c r="WIN119" s="73"/>
      <c r="WIO119" s="73"/>
      <c r="WIP119" s="73"/>
      <c r="WIQ119" s="73"/>
      <c r="WIR119" s="73"/>
      <c r="WIS119" s="73"/>
      <c r="WIT119" s="73"/>
      <c r="WIU119" s="73"/>
      <c r="WIV119" s="73"/>
      <c r="WIW119" s="73"/>
      <c r="WIX119" s="73"/>
      <c r="WIY119" s="73"/>
      <c r="WIZ119" s="73"/>
      <c r="WJA119" s="73"/>
      <c r="WJB119" s="73"/>
      <c r="WJC119" s="73"/>
      <c r="WJD119" s="73"/>
      <c r="WJE119" s="73"/>
      <c r="WJF119" s="73"/>
      <c r="WJG119" s="73"/>
      <c r="WJH119" s="73"/>
      <c r="WJI119" s="73"/>
      <c r="WJJ119" s="73"/>
      <c r="WJK119" s="73"/>
      <c r="WJL119" s="73"/>
      <c r="WJM119" s="73"/>
      <c r="WJN119" s="73"/>
      <c r="WJO119" s="73"/>
      <c r="WJP119" s="73"/>
      <c r="WJQ119" s="73"/>
      <c r="WJR119" s="73"/>
      <c r="WJS119" s="73"/>
      <c r="WJT119" s="73"/>
      <c r="WJU119" s="73"/>
      <c r="WJV119" s="73"/>
      <c r="WJW119" s="73"/>
      <c r="WJX119" s="73"/>
      <c r="WJY119" s="73"/>
      <c r="WJZ119" s="73"/>
      <c r="WKA119" s="73"/>
      <c r="WKB119" s="73"/>
      <c r="WKC119" s="73"/>
      <c r="WKD119" s="73"/>
      <c r="WKE119" s="73"/>
      <c r="WKF119" s="73"/>
      <c r="WKG119" s="73"/>
      <c r="WKH119" s="73"/>
      <c r="WKI119" s="73"/>
      <c r="WKJ119" s="73"/>
      <c r="WKK119" s="73"/>
      <c r="WKL119" s="73"/>
      <c r="WKM119" s="73"/>
      <c r="WKN119" s="73"/>
      <c r="WKO119" s="73"/>
      <c r="WKP119" s="73"/>
      <c r="WKQ119" s="73"/>
      <c r="WKR119" s="73"/>
      <c r="WKS119" s="73"/>
      <c r="WKT119" s="73"/>
      <c r="WKU119" s="73"/>
      <c r="WKV119" s="73"/>
      <c r="WKW119" s="73"/>
      <c r="WKX119" s="73"/>
      <c r="WKY119" s="73"/>
      <c r="WKZ119" s="73"/>
      <c r="WLA119" s="73"/>
      <c r="WLB119" s="73"/>
      <c r="WLC119" s="73"/>
      <c r="WLD119" s="73"/>
      <c r="WLE119" s="73"/>
      <c r="WLF119" s="73"/>
      <c r="WLG119" s="73"/>
      <c r="WLH119" s="73"/>
      <c r="WLI119" s="73"/>
      <c r="WLJ119" s="73"/>
      <c r="WLK119" s="73"/>
      <c r="WLL119" s="73"/>
      <c r="WLM119" s="73"/>
      <c r="WLN119" s="73"/>
      <c r="WLO119" s="73"/>
      <c r="WLP119" s="73"/>
      <c r="WLQ119" s="73"/>
      <c r="WLR119" s="73"/>
      <c r="WLS119" s="73"/>
      <c r="WLT119" s="73"/>
      <c r="WLU119" s="73"/>
      <c r="WLV119" s="73"/>
      <c r="WLW119" s="73"/>
      <c r="WLX119" s="73"/>
      <c r="WLY119" s="73"/>
      <c r="WLZ119" s="73"/>
      <c r="WMA119" s="73"/>
      <c r="WMB119" s="73"/>
      <c r="WMC119" s="73"/>
      <c r="WMD119" s="73"/>
      <c r="WME119" s="73"/>
      <c r="WMF119" s="73"/>
      <c r="WMG119" s="73"/>
      <c r="WMH119" s="73"/>
      <c r="WMI119" s="73"/>
      <c r="WMJ119" s="73"/>
      <c r="WMK119" s="73"/>
      <c r="WML119" s="73"/>
      <c r="WMM119" s="73"/>
      <c r="WMN119" s="73"/>
      <c r="WMO119" s="73"/>
      <c r="WMP119" s="73"/>
      <c r="WMQ119" s="73"/>
      <c r="WMR119" s="73"/>
      <c r="WMS119" s="73"/>
      <c r="WMT119" s="73"/>
      <c r="WMU119" s="73"/>
      <c r="WMV119" s="73"/>
      <c r="WMW119" s="73"/>
      <c r="WMX119" s="73"/>
      <c r="WMY119" s="73"/>
      <c r="WMZ119" s="73"/>
      <c r="WNA119" s="73"/>
      <c r="WNB119" s="73"/>
      <c r="WNC119" s="73"/>
      <c r="WND119" s="73"/>
      <c r="WNE119" s="73"/>
      <c r="WNF119" s="73"/>
      <c r="WNG119" s="73"/>
      <c r="WNH119" s="73"/>
      <c r="WNI119" s="73"/>
      <c r="WNJ119" s="73"/>
      <c r="WNK119" s="73"/>
      <c r="WNL119" s="73"/>
      <c r="WNM119" s="73"/>
      <c r="WNN119" s="73"/>
      <c r="WNO119" s="73"/>
      <c r="WNP119" s="73"/>
      <c r="WNQ119" s="73"/>
      <c r="WNR119" s="73"/>
      <c r="WNS119" s="73"/>
      <c r="WNT119" s="73"/>
      <c r="WNU119" s="73"/>
      <c r="WNV119" s="73"/>
      <c r="WNW119" s="73"/>
      <c r="WNX119" s="73"/>
      <c r="WNY119" s="73"/>
      <c r="WNZ119" s="73"/>
      <c r="WOA119" s="73"/>
      <c r="WOB119" s="73"/>
      <c r="WOC119" s="73"/>
      <c r="WOD119" s="73"/>
      <c r="WOE119" s="73"/>
      <c r="WOF119" s="73"/>
      <c r="WOG119" s="73"/>
      <c r="WOH119" s="73"/>
      <c r="WOI119" s="73"/>
      <c r="WOJ119" s="73"/>
      <c r="WOK119" s="73"/>
      <c r="WOL119" s="73"/>
      <c r="WOM119" s="73"/>
      <c r="WON119" s="73"/>
      <c r="WOO119" s="73"/>
      <c r="WOP119" s="73"/>
      <c r="WOQ119" s="73"/>
      <c r="WOR119" s="73"/>
      <c r="WOS119" s="73"/>
      <c r="WOT119" s="73"/>
      <c r="WOU119" s="73"/>
      <c r="WOV119" s="73"/>
      <c r="WOW119" s="73"/>
      <c r="WOX119" s="73"/>
      <c r="WOY119" s="73"/>
      <c r="WOZ119" s="73"/>
      <c r="WPA119" s="73"/>
      <c r="WPB119" s="73"/>
      <c r="WPC119" s="73"/>
      <c r="WPD119" s="73"/>
      <c r="WPE119" s="73"/>
      <c r="WPF119" s="73"/>
      <c r="WPG119" s="73"/>
      <c r="WPH119" s="73"/>
      <c r="WPI119" s="73"/>
      <c r="WPJ119" s="73"/>
      <c r="WPK119" s="73"/>
      <c r="WPL119" s="73"/>
      <c r="WPM119" s="73"/>
      <c r="WPN119" s="73"/>
      <c r="WPO119" s="73"/>
      <c r="WPP119" s="73"/>
      <c r="WPQ119" s="73"/>
      <c r="WPR119" s="73"/>
      <c r="WPS119" s="73"/>
      <c r="WPT119" s="73"/>
      <c r="WPU119" s="73"/>
      <c r="WPV119" s="73"/>
      <c r="WPW119" s="73"/>
      <c r="WPX119" s="73"/>
      <c r="WPY119" s="73"/>
      <c r="WPZ119" s="73"/>
      <c r="WQA119" s="73"/>
      <c r="WQB119" s="73"/>
      <c r="WQC119" s="73"/>
      <c r="WQD119" s="73"/>
      <c r="WQE119" s="73"/>
      <c r="WQF119" s="73"/>
      <c r="WQG119" s="73"/>
      <c r="WQH119" s="73"/>
      <c r="WQI119" s="73"/>
      <c r="WQJ119" s="73"/>
      <c r="WQK119" s="73"/>
      <c r="WQL119" s="73"/>
      <c r="WQM119" s="73"/>
      <c r="WQN119" s="73"/>
      <c r="WQO119" s="73"/>
      <c r="WQP119" s="73"/>
      <c r="WQQ119" s="73"/>
      <c r="WQR119" s="73"/>
      <c r="WQS119" s="73"/>
      <c r="WQT119" s="73"/>
      <c r="WQU119" s="73"/>
      <c r="WQV119" s="73"/>
      <c r="WQW119" s="73"/>
      <c r="WQX119" s="73"/>
      <c r="WQY119" s="73"/>
      <c r="WQZ119" s="73"/>
      <c r="WRA119" s="73"/>
      <c r="WRB119" s="73"/>
      <c r="WRC119" s="73"/>
      <c r="WRD119" s="73"/>
      <c r="WRE119" s="73"/>
      <c r="WRF119" s="73"/>
      <c r="WRG119" s="73"/>
      <c r="WRH119" s="73"/>
      <c r="WRI119" s="73"/>
      <c r="WRJ119" s="73"/>
      <c r="WRK119" s="73"/>
      <c r="WRL119" s="73"/>
      <c r="WRM119" s="73"/>
      <c r="WRN119" s="73"/>
      <c r="WRO119" s="73"/>
      <c r="WRP119" s="73"/>
      <c r="WRQ119" s="73"/>
      <c r="WRR119" s="73"/>
      <c r="WRS119" s="73"/>
      <c r="WRT119" s="73"/>
      <c r="WRU119" s="73"/>
      <c r="WRV119" s="73"/>
      <c r="WRW119" s="73"/>
      <c r="WRX119" s="73"/>
      <c r="WRY119" s="73"/>
      <c r="WRZ119" s="73"/>
      <c r="WSA119" s="73"/>
      <c r="WSB119" s="73"/>
      <c r="WSC119" s="73"/>
      <c r="WSD119" s="73"/>
      <c r="WSE119" s="73"/>
      <c r="WSF119" s="73"/>
      <c r="WSG119" s="73"/>
      <c r="WSH119" s="73"/>
      <c r="WSI119" s="73"/>
      <c r="WSJ119" s="73"/>
      <c r="WSK119" s="73"/>
      <c r="WSL119" s="73"/>
      <c r="WSM119" s="73"/>
      <c r="WSN119" s="73"/>
      <c r="WSO119" s="73"/>
      <c r="WSP119" s="73"/>
      <c r="WSQ119" s="73"/>
      <c r="WSR119" s="73"/>
      <c r="WSS119" s="73"/>
      <c r="WST119" s="73"/>
      <c r="WSU119" s="73"/>
      <c r="WSV119" s="73"/>
      <c r="WSW119" s="73"/>
      <c r="WSX119" s="73"/>
      <c r="WSY119" s="73"/>
      <c r="WSZ119" s="73"/>
      <c r="WTA119" s="73"/>
      <c r="WTB119" s="73"/>
      <c r="WTC119" s="73"/>
      <c r="WTD119" s="73"/>
      <c r="WTE119" s="73"/>
      <c r="WTF119" s="73"/>
      <c r="WTG119" s="73"/>
      <c r="WTH119" s="73"/>
      <c r="WTI119" s="73"/>
      <c r="WTJ119" s="73"/>
      <c r="WTK119" s="73"/>
      <c r="WTL119" s="73"/>
      <c r="WTM119" s="73"/>
      <c r="WTN119" s="73"/>
      <c r="WTO119" s="73"/>
      <c r="WTP119" s="73"/>
      <c r="WTQ119" s="73"/>
      <c r="WTR119" s="73"/>
      <c r="WTS119" s="73"/>
      <c r="WTT119" s="73"/>
      <c r="WTU119" s="73"/>
      <c r="WTV119" s="73"/>
      <c r="WTW119" s="73"/>
      <c r="WTX119" s="73"/>
      <c r="WTY119" s="73"/>
      <c r="WTZ119" s="73"/>
      <c r="WUA119" s="73"/>
      <c r="WUB119" s="73"/>
      <c r="WUC119" s="73"/>
      <c r="WUD119" s="73"/>
      <c r="WUE119" s="73"/>
      <c r="WUF119" s="73"/>
      <c r="WUG119" s="73"/>
      <c r="WUH119" s="73"/>
      <c r="WUI119" s="73"/>
      <c r="WUJ119" s="73"/>
      <c r="WUK119" s="73"/>
      <c r="WUL119" s="73"/>
      <c r="WUM119" s="73"/>
      <c r="WUN119" s="73"/>
      <c r="WUO119" s="73"/>
      <c r="WUP119" s="73"/>
      <c r="WUQ119" s="73"/>
      <c r="WUR119" s="73"/>
      <c r="WUS119" s="73"/>
      <c r="WUT119" s="73"/>
      <c r="WUU119" s="73"/>
      <c r="WUV119" s="73"/>
      <c r="WUW119" s="73"/>
      <c r="WUX119" s="73"/>
      <c r="WUY119" s="73"/>
      <c r="WUZ119" s="73"/>
      <c r="WVA119" s="73"/>
      <c r="WVB119" s="73"/>
      <c r="WVC119" s="73"/>
      <c r="WVD119" s="73"/>
      <c r="WVE119" s="73"/>
      <c r="WVF119" s="73"/>
      <c r="WVG119" s="73"/>
      <c r="WVH119" s="73"/>
      <c r="WVI119" s="73"/>
      <c r="WVJ119" s="73"/>
      <c r="WVK119" s="73"/>
      <c r="WVL119" s="73"/>
      <c r="WVM119" s="73"/>
      <c r="WVN119" s="73"/>
      <c r="WVO119" s="73"/>
      <c r="WVP119" s="73"/>
      <c r="WVQ119" s="73"/>
      <c r="WVR119" s="73"/>
      <c r="WVS119" s="73"/>
      <c r="WVT119" s="73"/>
      <c r="WVU119" s="73"/>
      <c r="WVV119" s="73"/>
      <c r="WVW119" s="73"/>
      <c r="WVX119" s="73"/>
      <c r="WVY119" s="73"/>
      <c r="WVZ119" s="73"/>
      <c r="WWA119" s="73"/>
      <c r="WWB119" s="73"/>
      <c r="WWC119" s="73"/>
      <c r="WWD119" s="73"/>
      <c r="WWE119" s="73"/>
      <c r="WWF119" s="73"/>
      <c r="WWG119" s="73"/>
      <c r="WWH119" s="73"/>
      <c r="WWI119" s="73"/>
      <c r="WWJ119" s="73"/>
      <c r="WWK119" s="73"/>
      <c r="WWL119" s="73"/>
      <c r="WWM119" s="73"/>
      <c r="WWN119" s="73"/>
      <c r="WWO119" s="73"/>
      <c r="WWP119" s="73"/>
      <c r="WWQ119" s="73"/>
      <c r="WWR119" s="73"/>
      <c r="WWS119" s="73"/>
      <c r="WWT119" s="73"/>
      <c r="WWU119" s="73"/>
      <c r="WWV119" s="73"/>
      <c r="WWW119" s="73"/>
      <c r="WWX119" s="73"/>
      <c r="WWY119" s="73"/>
      <c r="WWZ119" s="73"/>
      <c r="WXA119" s="73"/>
      <c r="WXB119" s="73"/>
      <c r="WXC119" s="73"/>
      <c r="WXD119" s="73"/>
      <c r="WXE119" s="73"/>
      <c r="WXF119" s="73"/>
      <c r="WXG119" s="73"/>
      <c r="WXH119" s="73"/>
      <c r="WXI119" s="73"/>
      <c r="WXJ119" s="73"/>
      <c r="WXK119" s="73"/>
      <c r="WXL119" s="73"/>
      <c r="WXM119" s="73"/>
      <c r="WXN119" s="73"/>
      <c r="WXO119" s="73"/>
      <c r="WXP119" s="73"/>
      <c r="WXQ119" s="73"/>
      <c r="WXR119" s="73"/>
      <c r="WXS119" s="73"/>
      <c r="WXT119" s="73"/>
      <c r="WXU119" s="73"/>
      <c r="WXV119" s="73"/>
      <c r="WXW119" s="73"/>
      <c r="WXX119" s="73"/>
      <c r="WXY119" s="73"/>
      <c r="WXZ119" s="73"/>
      <c r="WYA119" s="73"/>
      <c r="WYB119" s="73"/>
      <c r="WYC119" s="73"/>
      <c r="WYD119" s="73"/>
      <c r="WYE119" s="73"/>
      <c r="WYF119" s="73"/>
      <c r="WYG119" s="73"/>
      <c r="WYH119" s="73"/>
      <c r="WYI119" s="73"/>
      <c r="WYJ119" s="73"/>
      <c r="WYK119" s="73"/>
      <c r="WYL119" s="73"/>
      <c r="WYM119" s="73"/>
      <c r="WYN119" s="73"/>
      <c r="WYO119" s="73"/>
      <c r="WYP119" s="73"/>
      <c r="WYQ119" s="73"/>
      <c r="WYR119" s="73"/>
      <c r="WYS119" s="73"/>
      <c r="WYT119" s="73"/>
      <c r="WYU119" s="73"/>
      <c r="WYV119" s="73"/>
      <c r="WYW119" s="73"/>
      <c r="WYX119" s="73"/>
      <c r="WYY119" s="73"/>
      <c r="WYZ119" s="73"/>
      <c r="WZA119" s="73"/>
      <c r="WZB119" s="73"/>
      <c r="WZC119" s="73"/>
      <c r="WZD119" s="73"/>
      <c r="WZE119" s="73"/>
      <c r="WZF119" s="73"/>
      <c r="WZG119" s="73"/>
      <c r="WZH119" s="73"/>
      <c r="WZI119" s="73"/>
      <c r="WZJ119" s="73"/>
      <c r="WZK119" s="73"/>
      <c r="WZL119" s="73"/>
      <c r="WZM119" s="73"/>
      <c r="WZN119" s="73"/>
      <c r="WZO119" s="73"/>
      <c r="WZP119" s="73"/>
      <c r="WZQ119" s="73"/>
      <c r="WZR119" s="73"/>
      <c r="WZS119" s="73"/>
      <c r="WZT119" s="73"/>
      <c r="WZU119" s="73"/>
      <c r="WZV119" s="73"/>
      <c r="WZW119" s="73"/>
      <c r="WZX119" s="73"/>
      <c r="WZY119" s="73"/>
      <c r="WZZ119" s="73"/>
      <c r="XAA119" s="73"/>
      <c r="XAB119" s="73"/>
      <c r="XAC119" s="73"/>
      <c r="XAD119" s="73"/>
      <c r="XAE119" s="73"/>
      <c r="XAF119" s="73"/>
      <c r="XAG119" s="73"/>
      <c r="XAH119" s="73"/>
      <c r="XAI119" s="73"/>
      <c r="XAJ119" s="73"/>
      <c r="XAK119" s="73"/>
      <c r="XAL119" s="73"/>
      <c r="XAM119" s="73"/>
      <c r="XAN119" s="73"/>
      <c r="XAO119" s="73"/>
      <c r="XAP119" s="73"/>
      <c r="XAQ119" s="73"/>
      <c r="XAR119" s="73"/>
      <c r="XAS119" s="73"/>
      <c r="XAT119" s="73"/>
      <c r="XAU119" s="73"/>
      <c r="XAV119" s="73"/>
      <c r="XAW119" s="73"/>
      <c r="XAX119" s="73"/>
      <c r="XAY119" s="73"/>
      <c r="XAZ119" s="73"/>
      <c r="XBA119" s="73"/>
      <c r="XBB119" s="73"/>
      <c r="XBC119" s="73"/>
      <c r="XBD119" s="73"/>
      <c r="XBE119" s="73"/>
      <c r="XBF119" s="73"/>
      <c r="XBG119" s="73"/>
      <c r="XBH119" s="73"/>
      <c r="XBI119" s="73"/>
      <c r="XBJ119" s="73"/>
      <c r="XBK119" s="73"/>
      <c r="XBL119" s="73"/>
      <c r="XBM119" s="73"/>
      <c r="XBN119" s="73"/>
      <c r="XBO119" s="73"/>
      <c r="XBP119" s="73"/>
      <c r="XBQ119" s="73"/>
      <c r="XBR119" s="73"/>
      <c r="XBS119" s="73"/>
      <c r="XBT119" s="73"/>
      <c r="XBU119" s="73"/>
      <c r="XBV119" s="73"/>
      <c r="XBW119" s="73"/>
      <c r="XBX119" s="73"/>
      <c r="XBY119" s="73"/>
      <c r="XBZ119" s="73"/>
      <c r="XCA119" s="73"/>
      <c r="XCB119" s="73"/>
      <c r="XCC119" s="73"/>
      <c r="XCD119" s="73"/>
      <c r="XCE119" s="73"/>
      <c r="XCF119" s="73"/>
      <c r="XCG119" s="73"/>
      <c r="XCH119" s="73"/>
      <c r="XCI119" s="73"/>
      <c r="XCJ119" s="73"/>
      <c r="XCK119" s="73"/>
      <c r="XCL119" s="73"/>
      <c r="XCM119" s="73"/>
      <c r="XCN119" s="73"/>
      <c r="XCO119" s="73"/>
      <c r="XCP119" s="73"/>
      <c r="XCQ119" s="73"/>
      <c r="XCR119" s="73"/>
      <c r="XCS119" s="73"/>
      <c r="XCT119" s="73"/>
      <c r="XCU119" s="73"/>
      <c r="XCV119" s="73"/>
      <c r="XCW119" s="73"/>
      <c r="XCX119" s="73"/>
      <c r="XCY119" s="73"/>
      <c r="XCZ119" s="73"/>
      <c r="XDA119" s="73"/>
      <c r="XDB119" s="73"/>
      <c r="XDC119" s="73"/>
      <c r="XDD119" s="73"/>
      <c r="XDE119" s="73"/>
      <c r="XDF119" s="73"/>
      <c r="XDG119" s="73"/>
      <c r="XDH119" s="73"/>
      <c r="XDI119" s="73"/>
      <c r="XDJ119" s="73"/>
      <c r="XDK119" s="73"/>
      <c r="XDL119" s="73"/>
      <c r="XDM119" s="73"/>
      <c r="XDN119" s="73"/>
      <c r="XDO119" s="73"/>
      <c r="XDP119" s="73"/>
      <c r="XDQ119" s="73"/>
      <c r="XDR119" s="73"/>
      <c r="XDS119" s="73"/>
      <c r="XDT119" s="73"/>
      <c r="XDU119" s="73"/>
      <c r="XDV119" s="73"/>
      <c r="XDW119" s="73"/>
      <c r="XDX119" s="73"/>
      <c r="XDY119" s="73"/>
      <c r="XDZ119" s="73"/>
      <c r="XEA119" s="73"/>
      <c r="XEB119" s="73"/>
      <c r="XEC119" s="73"/>
      <c r="XED119" s="73"/>
      <c r="XEE119" s="73"/>
      <c r="XEF119" s="73"/>
      <c r="XEG119" s="73"/>
      <c r="XEH119" s="73"/>
      <c r="XEI119" s="73"/>
      <c r="XEJ119" s="73"/>
      <c r="XEK119" s="73"/>
      <c r="XEL119" s="73"/>
      <c r="XEM119" s="73"/>
      <c r="XEN119" s="73"/>
      <c r="XEO119" s="73"/>
      <c r="XEP119" s="73"/>
    </row>
  </sheetData>
  <autoFilter ref="A2:XEY119" xr:uid="{00000000-0001-0000-0000-000000000000}"/>
  <mergeCells count="1">
    <mergeCell ref="B1:AI1"/>
  </mergeCells>
  <phoneticPr fontId="7" type="noConversion"/>
  <conditionalFormatting sqref="D45">
    <cfRule type="duplicateValues" dxfId="1014" priority="369"/>
  </conditionalFormatting>
  <conditionalFormatting sqref="D92">
    <cfRule type="duplicateValues" dxfId="1013" priority="368"/>
  </conditionalFormatting>
  <conditionalFormatting sqref="D104">
    <cfRule type="duplicateValues" dxfId="1012" priority="367"/>
  </conditionalFormatting>
  <conditionalFormatting sqref="D115">
    <cfRule type="duplicateValues" dxfId="1011" priority="366"/>
  </conditionalFormatting>
  <conditionalFormatting sqref="D38">
    <cfRule type="duplicateValues" dxfId="1010" priority="2220699"/>
  </conditionalFormatting>
  <pageMargins left="0.27559055118110198" right="0.196850393700787" top="0.45" bottom="0.15748031496063" header="0.25" footer="0.31496062992126"/>
  <pageSetup paperSize="9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M1043081"/>
  <sheetViews>
    <sheetView zoomScale="80" zoomScaleNormal="80" workbookViewId="0">
      <pane xSplit="5" ySplit="1" topLeftCell="F804" activePane="bottomRight" state="frozen"/>
      <selection pane="topRight"/>
      <selection pane="bottomLeft"/>
      <selection pane="bottomRight" activeCell="F831" sqref="F831"/>
    </sheetView>
  </sheetViews>
  <sheetFormatPr defaultColWidth="9" defaultRowHeight="14" x14ac:dyDescent="0.3"/>
  <cols>
    <col min="1" max="1" width="8.75" style="46" customWidth="1"/>
    <col min="2" max="2" width="12.75" style="47" customWidth="1"/>
    <col min="3" max="3" width="17.25" style="47" customWidth="1"/>
    <col min="4" max="4" width="16.4140625" style="48" customWidth="1"/>
    <col min="5" max="5" width="15" style="48" customWidth="1"/>
    <col min="6" max="6" width="48" style="47" customWidth="1"/>
    <col min="7" max="7" width="9.33203125" style="47" customWidth="1"/>
    <col min="8" max="8" width="12.75" style="49" customWidth="1"/>
    <col min="9" max="9" width="15.08203125" style="46" customWidth="1"/>
    <col min="10" max="10" width="32.08203125" style="48" customWidth="1"/>
    <col min="11" max="11" width="11" style="4" customWidth="1"/>
    <col min="12" max="12" width="45.25" style="50" customWidth="1"/>
    <col min="13" max="13" width="11" style="4" customWidth="1"/>
    <col min="14" max="16384" width="9" style="4"/>
  </cols>
  <sheetData>
    <row r="1" spans="1:13" x14ac:dyDescent="0.3">
      <c r="A1" s="51" t="s">
        <v>265</v>
      </c>
      <c r="B1" s="52" t="s">
        <v>266</v>
      </c>
      <c r="C1" s="52" t="s">
        <v>267</v>
      </c>
      <c r="D1" s="52" t="s">
        <v>268</v>
      </c>
      <c r="E1" s="53" t="s">
        <v>269</v>
      </c>
      <c r="F1" s="52" t="s">
        <v>4</v>
      </c>
      <c r="G1" s="52" t="s">
        <v>270</v>
      </c>
      <c r="H1" s="54" t="s">
        <v>271</v>
      </c>
      <c r="I1" s="51" t="s">
        <v>272</v>
      </c>
      <c r="J1" s="61" t="s">
        <v>13</v>
      </c>
    </row>
    <row r="2" spans="1:13" s="45" customFormat="1" ht="13.25" customHeight="1" x14ac:dyDescent="0.3">
      <c r="A2" s="55">
        <v>46129</v>
      </c>
      <c r="B2" s="56">
        <f>VLOOKUP(C2,[7]完成订单!$D:$D,1,0)</f>
        <v>10880036366</v>
      </c>
      <c r="C2" s="57">
        <v>10880036366</v>
      </c>
      <c r="D2" s="57">
        <v>110001288423</v>
      </c>
      <c r="E2" s="57">
        <v>110001288423</v>
      </c>
      <c r="F2" s="58" t="s">
        <v>273</v>
      </c>
      <c r="G2" s="59">
        <v>552</v>
      </c>
      <c r="H2" s="60">
        <v>46132</v>
      </c>
      <c r="I2" s="55">
        <f t="shared" ref="I2:I31" si="0">A2</f>
        <v>46129</v>
      </c>
      <c r="J2" s="57" t="e">
        <f>VLOOKUP(D2,#REF!,4,0)</f>
        <v>#REF!</v>
      </c>
      <c r="K2" s="4"/>
      <c r="L2" s="62"/>
      <c r="M2" s="63"/>
    </row>
    <row r="3" spans="1:13" s="45" customFormat="1" ht="13.25" customHeight="1" x14ac:dyDescent="0.3">
      <c r="A3" s="55">
        <v>46129</v>
      </c>
      <c r="B3" s="56">
        <f>VLOOKUP(C3,[7]完成订单!$D:$D,1,0)</f>
        <v>10400030958</v>
      </c>
      <c r="C3" s="57">
        <v>10400030958</v>
      </c>
      <c r="D3" s="57">
        <v>110001288423</v>
      </c>
      <c r="E3" s="57">
        <v>110001288424</v>
      </c>
      <c r="F3" s="58" t="s">
        <v>274</v>
      </c>
      <c r="G3" s="59">
        <v>552</v>
      </c>
      <c r="H3" s="60">
        <v>46132</v>
      </c>
      <c r="I3" s="55">
        <f t="shared" si="0"/>
        <v>46129</v>
      </c>
      <c r="J3" s="57" t="e">
        <f>VLOOKUP(D3,#REF!,4,0)</f>
        <v>#REF!</v>
      </c>
      <c r="K3" s="4"/>
      <c r="L3" s="62"/>
      <c r="M3" s="63"/>
    </row>
    <row r="4" spans="1:13" s="45" customFormat="1" ht="13.25" customHeight="1" x14ac:dyDescent="0.3">
      <c r="A4" s="55">
        <v>46129</v>
      </c>
      <c r="B4" s="56">
        <f>VLOOKUP(C4,[7]完成订单!$D:$D,1,0)</f>
        <v>10400033234</v>
      </c>
      <c r="C4" s="57">
        <v>10400033234</v>
      </c>
      <c r="D4" s="57">
        <v>110001288423</v>
      </c>
      <c r="E4" s="57">
        <v>110001288425</v>
      </c>
      <c r="F4" s="58" t="s">
        <v>124</v>
      </c>
      <c r="G4" s="59">
        <v>552</v>
      </c>
      <c r="H4" s="60">
        <v>46131</v>
      </c>
      <c r="I4" s="55">
        <f t="shared" si="0"/>
        <v>46129</v>
      </c>
      <c r="J4" s="57" t="e">
        <f>VLOOKUP(D4,#REF!,4,0)</f>
        <v>#REF!</v>
      </c>
      <c r="K4" s="4"/>
      <c r="L4" s="62"/>
      <c r="M4" s="63"/>
    </row>
    <row r="5" spans="1:13" s="45" customFormat="1" ht="13.25" customHeight="1" x14ac:dyDescent="0.3">
      <c r="A5" s="55">
        <v>46129</v>
      </c>
      <c r="B5" s="56" t="e">
        <f>VLOOKUP(C5,[7]完成订单!$D:$D,1,0)</f>
        <v>#N/A</v>
      </c>
      <c r="C5" s="57">
        <v>10400030959</v>
      </c>
      <c r="D5" s="57">
        <v>110001288423</v>
      </c>
      <c r="E5" s="57">
        <v>110001288426</v>
      </c>
      <c r="F5" s="58" t="s">
        <v>274</v>
      </c>
      <c r="G5" s="59">
        <v>552</v>
      </c>
      <c r="H5" s="60">
        <v>46129</v>
      </c>
      <c r="I5" s="55">
        <f t="shared" si="0"/>
        <v>46129</v>
      </c>
      <c r="J5" s="57" t="e">
        <f>VLOOKUP(D5,#REF!,4,0)</f>
        <v>#REF!</v>
      </c>
      <c r="K5" s="4"/>
      <c r="L5" s="62"/>
      <c r="M5" s="63"/>
    </row>
    <row r="6" spans="1:13" s="45" customFormat="1" ht="13.25" customHeight="1" x14ac:dyDescent="0.3">
      <c r="A6" s="55">
        <v>46129</v>
      </c>
      <c r="B6" s="56">
        <f>VLOOKUP(C6,[7]完成订单!$D:$D,1,0)</f>
        <v>10880036058</v>
      </c>
      <c r="C6" s="57">
        <v>10880036058</v>
      </c>
      <c r="D6" s="57">
        <v>110001290288</v>
      </c>
      <c r="E6" s="57">
        <v>110001290288</v>
      </c>
      <c r="F6" s="58" t="s">
        <v>119</v>
      </c>
      <c r="G6" s="59">
        <v>798</v>
      </c>
      <c r="H6" s="60">
        <v>46132</v>
      </c>
      <c r="I6" s="55">
        <f t="shared" si="0"/>
        <v>46129</v>
      </c>
      <c r="J6" s="57" t="e">
        <f>VLOOKUP(D6,#REF!,4,0)</f>
        <v>#REF!</v>
      </c>
      <c r="K6" s="4"/>
      <c r="L6" s="62"/>
      <c r="M6" s="63"/>
    </row>
    <row r="7" spans="1:13" s="45" customFormat="1" ht="13.25" customHeight="1" x14ac:dyDescent="0.3">
      <c r="A7" s="55">
        <v>46129</v>
      </c>
      <c r="B7" s="56">
        <f>VLOOKUP(C7,[7]完成订单!$D:$D,1,0)</f>
        <v>10400030543</v>
      </c>
      <c r="C7" s="57">
        <v>10400030543</v>
      </c>
      <c r="D7" s="57">
        <v>110001290288</v>
      </c>
      <c r="E7" s="57">
        <v>110001290289</v>
      </c>
      <c r="F7" s="58" t="s">
        <v>120</v>
      </c>
      <c r="G7" s="59">
        <v>798</v>
      </c>
      <c r="H7" s="60">
        <v>46132</v>
      </c>
      <c r="I7" s="55">
        <f t="shared" si="0"/>
        <v>46129</v>
      </c>
      <c r="J7" s="57" t="e">
        <f>VLOOKUP(D7,#REF!,4,0)</f>
        <v>#REF!</v>
      </c>
      <c r="K7" s="4"/>
      <c r="L7" s="62"/>
      <c r="M7" s="63"/>
    </row>
    <row r="8" spans="1:13" s="45" customFormat="1" ht="13.25" customHeight="1" x14ac:dyDescent="0.3">
      <c r="A8" s="55">
        <v>46129</v>
      </c>
      <c r="B8" s="56">
        <f>VLOOKUP(C8,[7]完成订单!$D:$D,1,0)</f>
        <v>10400033234</v>
      </c>
      <c r="C8" s="57">
        <v>10400033234</v>
      </c>
      <c r="D8" s="57">
        <v>110001290288</v>
      </c>
      <c r="E8" s="57">
        <v>110001290290</v>
      </c>
      <c r="F8" s="58" t="s">
        <v>124</v>
      </c>
      <c r="G8" s="59">
        <v>798</v>
      </c>
      <c r="H8" s="60">
        <v>46131</v>
      </c>
      <c r="I8" s="55">
        <f t="shared" si="0"/>
        <v>46129</v>
      </c>
      <c r="J8" s="57" t="e">
        <f>VLOOKUP(D8,#REF!,4,0)</f>
        <v>#REF!</v>
      </c>
      <c r="K8" s="4"/>
      <c r="L8" s="62"/>
      <c r="M8" s="63"/>
    </row>
    <row r="9" spans="1:13" s="45" customFormat="1" ht="13.25" customHeight="1" x14ac:dyDescent="0.3">
      <c r="A9" s="55">
        <v>46129</v>
      </c>
      <c r="B9" s="56" t="e">
        <f>VLOOKUP(C9,[7]完成订单!$D:$D,1,0)</f>
        <v>#N/A</v>
      </c>
      <c r="C9" s="57">
        <v>10400030539</v>
      </c>
      <c r="D9" s="57">
        <v>110001290288</v>
      </c>
      <c r="E9" s="57">
        <v>110001290291</v>
      </c>
      <c r="F9" s="58" t="s">
        <v>120</v>
      </c>
      <c r="G9" s="59">
        <v>798</v>
      </c>
      <c r="H9" s="60">
        <v>46129</v>
      </c>
      <c r="I9" s="55">
        <f t="shared" si="0"/>
        <v>46129</v>
      </c>
      <c r="J9" s="57" t="e">
        <f>VLOOKUP(D9,#REF!,4,0)</f>
        <v>#REF!</v>
      </c>
      <c r="K9" s="4"/>
      <c r="L9" s="62"/>
      <c r="M9" s="63"/>
    </row>
    <row r="10" spans="1:13" s="45" customFormat="1" ht="13.25" customHeight="1" x14ac:dyDescent="0.3">
      <c r="A10" s="55">
        <v>46129</v>
      </c>
      <c r="B10" s="56">
        <f>VLOOKUP(C10,[7]完成订单!$D:$D,1,0)</f>
        <v>10880037659</v>
      </c>
      <c r="C10" s="57">
        <v>10880037659</v>
      </c>
      <c r="D10" s="57">
        <v>110001290362</v>
      </c>
      <c r="E10" s="57">
        <v>110001290362</v>
      </c>
      <c r="F10" s="58" t="s">
        <v>125</v>
      </c>
      <c r="G10" s="59">
        <v>1398</v>
      </c>
      <c r="H10" s="60">
        <v>46132</v>
      </c>
      <c r="I10" s="55">
        <f t="shared" si="0"/>
        <v>46129</v>
      </c>
      <c r="J10" s="57" t="e">
        <f>VLOOKUP(D10,#REF!,4,0)</f>
        <v>#REF!</v>
      </c>
      <c r="K10" s="4"/>
      <c r="L10" s="62"/>
      <c r="M10" s="63"/>
    </row>
    <row r="11" spans="1:13" s="45" customFormat="1" ht="13.25" customHeight="1" x14ac:dyDescent="0.3">
      <c r="A11" s="55">
        <v>46129</v>
      </c>
      <c r="B11" s="56">
        <f>VLOOKUP(C11,[7]完成订单!$D:$D,1,0)</f>
        <v>10400032699</v>
      </c>
      <c r="C11" s="57">
        <v>10400032699</v>
      </c>
      <c r="D11" s="57">
        <v>110001290362</v>
      </c>
      <c r="E11" s="57">
        <v>110001290363</v>
      </c>
      <c r="F11" s="58" t="s">
        <v>126</v>
      </c>
      <c r="G11" s="59">
        <v>1398</v>
      </c>
      <c r="H11" s="60">
        <v>46132</v>
      </c>
      <c r="I11" s="55">
        <f t="shared" si="0"/>
        <v>46129</v>
      </c>
      <c r="J11" s="57" t="e">
        <f>VLOOKUP(D11,#REF!,4,0)</f>
        <v>#REF!</v>
      </c>
      <c r="K11" s="4"/>
      <c r="L11" s="62"/>
      <c r="M11" s="63"/>
    </row>
    <row r="12" spans="1:13" s="45" customFormat="1" ht="13.25" customHeight="1" x14ac:dyDescent="0.3">
      <c r="A12" s="55">
        <v>46129</v>
      </c>
      <c r="B12" s="56">
        <f>VLOOKUP(C12,[7]完成订单!$D:$D,1,0)</f>
        <v>10400033234</v>
      </c>
      <c r="C12" s="57">
        <v>10400033234</v>
      </c>
      <c r="D12" s="57">
        <v>110001290362</v>
      </c>
      <c r="E12" s="57">
        <v>110001290364</v>
      </c>
      <c r="F12" s="58" t="s">
        <v>124</v>
      </c>
      <c r="G12" s="59">
        <v>1398</v>
      </c>
      <c r="H12" s="60">
        <v>46131</v>
      </c>
      <c r="I12" s="55">
        <f t="shared" si="0"/>
        <v>46129</v>
      </c>
      <c r="J12" s="57" t="e">
        <f>VLOOKUP(D12,#REF!,4,0)</f>
        <v>#REF!</v>
      </c>
      <c r="K12" s="4"/>
      <c r="L12" s="62"/>
      <c r="M12" s="63"/>
    </row>
    <row r="13" spans="1:13" s="45" customFormat="1" ht="13.25" customHeight="1" x14ac:dyDescent="0.3">
      <c r="A13" s="55">
        <v>46129</v>
      </c>
      <c r="B13" s="56" t="e">
        <f>VLOOKUP(C13,[7]完成订单!$D:$D,1,0)</f>
        <v>#N/A</v>
      </c>
      <c r="C13" s="57">
        <v>10400032700</v>
      </c>
      <c r="D13" s="57">
        <v>110001290362</v>
      </c>
      <c r="E13" s="57">
        <v>110001290365</v>
      </c>
      <c r="F13" s="58" t="s">
        <v>126</v>
      </c>
      <c r="G13" s="59">
        <v>1398</v>
      </c>
      <c r="H13" s="60">
        <v>46129</v>
      </c>
      <c r="I13" s="55">
        <f t="shared" si="0"/>
        <v>46129</v>
      </c>
      <c r="J13" s="57" t="e">
        <f>VLOOKUP(D13,#REF!,4,0)</f>
        <v>#REF!</v>
      </c>
      <c r="K13" s="4"/>
      <c r="L13" s="62"/>
      <c r="M13" s="63"/>
    </row>
    <row r="14" spans="1:13" s="45" customFormat="1" ht="13.25" customHeight="1" x14ac:dyDescent="0.3">
      <c r="A14" s="55">
        <v>46129</v>
      </c>
      <c r="B14" s="56">
        <f>VLOOKUP(C14,[7]完成订单!$D:$D,1,0)</f>
        <v>10880037724</v>
      </c>
      <c r="C14" s="57">
        <v>10880037724</v>
      </c>
      <c r="D14" s="57">
        <v>110001296402</v>
      </c>
      <c r="E14" s="57">
        <v>110001296402</v>
      </c>
      <c r="F14" s="58" t="s">
        <v>255</v>
      </c>
      <c r="G14" s="59">
        <v>2000</v>
      </c>
      <c r="H14" s="60">
        <v>46134</v>
      </c>
      <c r="I14" s="55">
        <f t="shared" si="0"/>
        <v>46129</v>
      </c>
      <c r="J14" s="57" t="e">
        <f>VLOOKUP(D14,#REF!,4,0)</f>
        <v>#REF!</v>
      </c>
      <c r="K14" s="4"/>
      <c r="L14" s="62"/>
      <c r="M14" s="63"/>
    </row>
    <row r="15" spans="1:13" s="45" customFormat="1" ht="13.25" customHeight="1" x14ac:dyDescent="0.3">
      <c r="A15" s="55">
        <v>46129</v>
      </c>
      <c r="B15" s="56" t="e">
        <f>VLOOKUP(C15,[7]完成订单!$D:$D,1,0)</f>
        <v>#N/A</v>
      </c>
      <c r="C15" s="57">
        <v>10400032805</v>
      </c>
      <c r="D15" s="57">
        <v>110001296402</v>
      </c>
      <c r="E15" s="57">
        <v>110001296403</v>
      </c>
      <c r="F15" s="58" t="s">
        <v>275</v>
      </c>
      <c r="G15" s="59">
        <v>2000</v>
      </c>
      <c r="H15" s="60">
        <v>46132</v>
      </c>
      <c r="I15" s="55">
        <f t="shared" si="0"/>
        <v>46129</v>
      </c>
      <c r="J15" s="57" t="e">
        <f>VLOOKUP(D15,#REF!,4,0)</f>
        <v>#REF!</v>
      </c>
      <c r="K15" s="4"/>
      <c r="L15" s="62"/>
      <c r="M15" s="63"/>
    </row>
    <row r="16" spans="1:13" s="45" customFormat="1" ht="13.25" customHeight="1" x14ac:dyDescent="0.3">
      <c r="A16" s="55">
        <v>46129</v>
      </c>
      <c r="B16" s="56">
        <f>VLOOKUP(C16,[7]完成订单!$D:$D,1,0)</f>
        <v>10880038239</v>
      </c>
      <c r="C16" s="57">
        <v>10880038239</v>
      </c>
      <c r="D16" s="57">
        <v>110001299953</v>
      </c>
      <c r="E16" s="57">
        <v>110001299953</v>
      </c>
      <c r="F16" s="58" t="s">
        <v>127</v>
      </c>
      <c r="G16" s="59">
        <v>1599</v>
      </c>
      <c r="H16" s="60">
        <v>46132</v>
      </c>
      <c r="I16" s="55">
        <f t="shared" si="0"/>
        <v>46129</v>
      </c>
      <c r="J16" s="57" t="e">
        <f>VLOOKUP(D16,#REF!,4,0)</f>
        <v>#REF!</v>
      </c>
      <c r="K16" s="4"/>
      <c r="L16" s="62"/>
      <c r="M16" s="63"/>
    </row>
    <row r="17" spans="1:13" s="45" customFormat="1" ht="13.25" customHeight="1" x14ac:dyDescent="0.3">
      <c r="A17" s="55">
        <v>46129</v>
      </c>
      <c r="B17" s="56">
        <f>VLOOKUP(C17,[7]完成订单!$D:$D,1,0)</f>
        <v>10400033234</v>
      </c>
      <c r="C17" s="57">
        <v>10400033234</v>
      </c>
      <c r="D17" s="57">
        <v>110001299953</v>
      </c>
      <c r="E17" s="57">
        <v>110001299954</v>
      </c>
      <c r="F17" s="58" t="s">
        <v>124</v>
      </c>
      <c r="G17" s="59">
        <v>1599</v>
      </c>
      <c r="H17" s="60">
        <v>46131</v>
      </c>
      <c r="I17" s="55">
        <f t="shared" si="0"/>
        <v>46129</v>
      </c>
      <c r="J17" s="57" t="e">
        <f>VLOOKUP(D17,#REF!,4,0)</f>
        <v>#REF!</v>
      </c>
      <c r="K17" s="4"/>
      <c r="L17" s="62"/>
      <c r="M17" s="63"/>
    </row>
    <row r="18" spans="1:13" s="45" customFormat="1" ht="13.25" customHeight="1" x14ac:dyDescent="0.3">
      <c r="A18" s="55">
        <v>46129</v>
      </c>
      <c r="B18" s="56">
        <f>VLOOKUP(C18,[7]完成订单!$D:$D,1,0)</f>
        <v>10400033482</v>
      </c>
      <c r="C18" s="57">
        <v>10400033482</v>
      </c>
      <c r="D18" s="57">
        <v>110001299953</v>
      </c>
      <c r="E18" s="57">
        <v>110001299955</v>
      </c>
      <c r="F18" s="58" t="s">
        <v>128</v>
      </c>
      <c r="G18" s="59">
        <v>1599</v>
      </c>
      <c r="H18" s="60">
        <v>46132</v>
      </c>
      <c r="I18" s="55">
        <f t="shared" si="0"/>
        <v>46129</v>
      </c>
      <c r="J18" s="57" t="e">
        <f>VLOOKUP(D18,#REF!,4,0)</f>
        <v>#REF!</v>
      </c>
      <c r="K18" s="4"/>
      <c r="L18" s="62"/>
      <c r="M18" s="63"/>
    </row>
    <row r="19" spans="1:13" s="45" customFormat="1" ht="13.25" customHeight="1" x14ac:dyDescent="0.3">
      <c r="A19" s="55">
        <v>46129</v>
      </c>
      <c r="B19" s="56" t="e">
        <f>VLOOKUP(C19,[7]完成订单!$D:$D,1,0)</f>
        <v>#N/A</v>
      </c>
      <c r="C19" s="57">
        <v>10400033481</v>
      </c>
      <c r="D19" s="57">
        <v>110001299953</v>
      </c>
      <c r="E19" s="57">
        <v>110001299956</v>
      </c>
      <c r="F19" s="58" t="s">
        <v>128</v>
      </c>
      <c r="G19" s="59">
        <v>1599</v>
      </c>
      <c r="H19" s="60">
        <v>46130</v>
      </c>
      <c r="I19" s="55">
        <f t="shared" si="0"/>
        <v>46129</v>
      </c>
      <c r="J19" s="57" t="e">
        <f>VLOOKUP(D19,#REF!,4,0)</f>
        <v>#REF!</v>
      </c>
      <c r="K19" s="4"/>
      <c r="L19" s="62"/>
      <c r="M19" s="63"/>
    </row>
    <row r="20" spans="1:13" s="45" customFormat="1" ht="13.25" customHeight="1" x14ac:dyDescent="0.3">
      <c r="A20" s="55">
        <v>46129</v>
      </c>
      <c r="B20" s="56">
        <f>VLOOKUP(C20,[7]完成订单!$D:$D,1,0)</f>
        <v>10880037426</v>
      </c>
      <c r="C20" s="57">
        <v>10880037426</v>
      </c>
      <c r="D20" s="57">
        <v>110001300068</v>
      </c>
      <c r="E20" s="57">
        <v>110001300068</v>
      </c>
      <c r="F20" s="58" t="s">
        <v>93</v>
      </c>
      <c r="G20" s="59">
        <v>5000</v>
      </c>
      <c r="H20" s="60">
        <v>46132</v>
      </c>
      <c r="I20" s="55">
        <f t="shared" si="0"/>
        <v>46129</v>
      </c>
      <c r="J20" s="57" t="e">
        <f>VLOOKUP(D20,#REF!,4,0)</f>
        <v>#REF!</v>
      </c>
      <c r="K20" s="4"/>
      <c r="L20" s="62"/>
      <c r="M20" s="63"/>
    </row>
    <row r="21" spans="1:13" s="45" customFormat="1" ht="13.25" customHeight="1" x14ac:dyDescent="0.3">
      <c r="A21" s="55">
        <v>46129</v>
      </c>
      <c r="B21" s="56" t="e">
        <f>VLOOKUP(C21,[7]完成订单!$D:$D,1,0)</f>
        <v>#N/A</v>
      </c>
      <c r="C21" s="57">
        <v>10400032382</v>
      </c>
      <c r="D21" s="57">
        <v>110001300068</v>
      </c>
      <c r="E21" s="57">
        <v>110001300069</v>
      </c>
      <c r="F21" s="58" t="s">
        <v>276</v>
      </c>
      <c r="G21" s="59">
        <v>5000</v>
      </c>
      <c r="H21" s="60">
        <v>46130</v>
      </c>
      <c r="I21" s="55">
        <f t="shared" si="0"/>
        <v>46129</v>
      </c>
      <c r="J21" s="57" t="e">
        <f>VLOOKUP(D21,#REF!,4,0)</f>
        <v>#REF!</v>
      </c>
      <c r="K21" s="4"/>
      <c r="L21" s="62"/>
      <c r="M21" s="63"/>
    </row>
    <row r="22" spans="1:13" s="45" customFormat="1" ht="13.25" customHeight="1" x14ac:dyDescent="0.3">
      <c r="A22" s="55">
        <v>46129</v>
      </c>
      <c r="B22" s="56">
        <f>VLOOKUP(C22,[7]完成订单!$D:$D,1,0)</f>
        <v>10880037616</v>
      </c>
      <c r="C22" s="57">
        <v>10880037616</v>
      </c>
      <c r="D22" s="57">
        <v>110001271854</v>
      </c>
      <c r="E22" s="57">
        <v>110001271854</v>
      </c>
      <c r="F22" s="58" t="s">
        <v>211</v>
      </c>
      <c r="G22" s="59">
        <v>1000</v>
      </c>
      <c r="H22" s="60">
        <v>46134</v>
      </c>
      <c r="I22" s="55">
        <f t="shared" si="0"/>
        <v>46129</v>
      </c>
      <c r="J22" s="57" t="e">
        <f>VLOOKUP(D22,#REF!,4,0)</f>
        <v>#REF!</v>
      </c>
      <c r="K22" s="4"/>
      <c r="L22" s="62"/>
      <c r="M22" s="63"/>
    </row>
    <row r="23" spans="1:13" s="45" customFormat="1" ht="13.25" customHeight="1" x14ac:dyDescent="0.3">
      <c r="A23" s="55">
        <v>46129</v>
      </c>
      <c r="B23" s="56" t="e">
        <f>VLOOKUP(C23,[7]完成订单!$D:$D,1,0)</f>
        <v>#N/A</v>
      </c>
      <c r="C23" s="57">
        <v>10400032629</v>
      </c>
      <c r="D23" s="57">
        <v>110001271854</v>
      </c>
      <c r="E23" s="57">
        <v>110001271855</v>
      </c>
      <c r="F23" s="58" t="s">
        <v>277</v>
      </c>
      <c r="G23" s="59">
        <v>1000</v>
      </c>
      <c r="H23" s="60">
        <v>46132</v>
      </c>
      <c r="I23" s="55">
        <f t="shared" si="0"/>
        <v>46129</v>
      </c>
      <c r="J23" s="57" t="e">
        <f>VLOOKUP(D23,#REF!,4,0)</f>
        <v>#REF!</v>
      </c>
      <c r="K23" s="4"/>
      <c r="L23" s="62"/>
      <c r="M23" s="63"/>
    </row>
    <row r="24" spans="1:13" s="45" customFormat="1" ht="13.25" customHeight="1" x14ac:dyDescent="0.3">
      <c r="A24" s="55">
        <v>46129</v>
      </c>
      <c r="B24" s="56">
        <f>VLOOKUP(C24,[7]完成订单!$D:$D,1,0)</f>
        <v>10880038237</v>
      </c>
      <c r="C24" s="57">
        <v>10880038237</v>
      </c>
      <c r="D24" s="57">
        <v>110001290464</v>
      </c>
      <c r="E24" s="57">
        <v>110001290464</v>
      </c>
      <c r="F24" s="58" t="s">
        <v>113</v>
      </c>
      <c r="G24" s="59">
        <v>1998</v>
      </c>
      <c r="H24" s="60">
        <v>46131</v>
      </c>
      <c r="I24" s="55">
        <f t="shared" si="0"/>
        <v>46129</v>
      </c>
      <c r="J24" s="57" t="e">
        <f>VLOOKUP(D24,#REF!,4,0)</f>
        <v>#REF!</v>
      </c>
      <c r="K24" s="4"/>
      <c r="L24" s="62"/>
      <c r="M24" s="63"/>
    </row>
    <row r="25" spans="1:13" s="45" customFormat="1" ht="13.25" customHeight="1" x14ac:dyDescent="0.3">
      <c r="A25" s="55">
        <v>46129</v>
      </c>
      <c r="B25" s="56">
        <f>VLOOKUP(C25,[7]完成订单!$D:$D,1,0)</f>
        <v>10400033234</v>
      </c>
      <c r="C25" s="57">
        <v>10400033234</v>
      </c>
      <c r="D25" s="57">
        <v>110001290464</v>
      </c>
      <c r="E25" s="57">
        <v>110001290465</v>
      </c>
      <c r="F25" s="58" t="s">
        <v>124</v>
      </c>
      <c r="G25" s="59">
        <v>1998</v>
      </c>
      <c r="H25" s="60">
        <v>46131</v>
      </c>
      <c r="I25" s="55">
        <f t="shared" si="0"/>
        <v>46129</v>
      </c>
      <c r="J25" s="57" t="e">
        <f>VLOOKUP(D25,#REF!,4,0)</f>
        <v>#REF!</v>
      </c>
      <c r="K25" s="4"/>
      <c r="L25" s="62"/>
      <c r="M25" s="63"/>
    </row>
    <row r="26" spans="1:13" s="45" customFormat="1" ht="13.25" customHeight="1" x14ac:dyDescent="0.3">
      <c r="A26" s="55">
        <v>46129</v>
      </c>
      <c r="B26" s="56">
        <f>VLOOKUP(C26,[7]完成订单!$D:$D,1,0)</f>
        <v>10400033478</v>
      </c>
      <c r="C26" s="57">
        <v>10400033478</v>
      </c>
      <c r="D26" s="57">
        <v>110001290464</v>
      </c>
      <c r="E26" s="57">
        <v>110001290466</v>
      </c>
      <c r="F26" s="58" t="s">
        <v>114</v>
      </c>
      <c r="G26" s="59">
        <v>1998</v>
      </c>
      <c r="H26" s="60">
        <v>46131</v>
      </c>
      <c r="I26" s="55">
        <f t="shared" si="0"/>
        <v>46129</v>
      </c>
      <c r="J26" s="57" t="e">
        <f>VLOOKUP(D26,#REF!,4,0)</f>
        <v>#REF!</v>
      </c>
      <c r="K26" s="4"/>
      <c r="L26" s="62"/>
      <c r="M26" s="63"/>
    </row>
    <row r="27" spans="1:13" s="45" customFormat="1" ht="13.25" customHeight="1" x14ac:dyDescent="0.3">
      <c r="A27" s="55">
        <v>46129</v>
      </c>
      <c r="B27" s="56" t="e">
        <f>VLOOKUP(C27,[7]完成订单!$D:$D,1,0)</f>
        <v>#N/A</v>
      </c>
      <c r="C27" s="57">
        <v>10400033479</v>
      </c>
      <c r="D27" s="57">
        <v>110001290464</v>
      </c>
      <c r="E27" s="57">
        <v>110001290467</v>
      </c>
      <c r="F27" s="58" t="s">
        <v>114</v>
      </c>
      <c r="G27" s="59">
        <v>1998</v>
      </c>
      <c r="H27" s="60">
        <v>46129</v>
      </c>
      <c r="I27" s="55">
        <f t="shared" si="0"/>
        <v>46129</v>
      </c>
      <c r="J27" s="57" t="e">
        <f>VLOOKUP(D27,#REF!,4,0)</f>
        <v>#REF!</v>
      </c>
      <c r="K27" s="4"/>
      <c r="L27" s="62"/>
      <c r="M27" s="63"/>
    </row>
    <row r="28" spans="1:13" s="45" customFormat="1" ht="13.25" customHeight="1" x14ac:dyDescent="0.3">
      <c r="A28" s="55">
        <v>46129</v>
      </c>
      <c r="B28" s="56">
        <f>VLOOKUP(C28,[7]完成订单!$D:$D,1,0)</f>
        <v>10880031096</v>
      </c>
      <c r="C28" s="57">
        <v>10880031096</v>
      </c>
      <c r="D28" s="57">
        <v>110001292214</v>
      </c>
      <c r="E28" s="57">
        <v>110001292214</v>
      </c>
      <c r="F28" s="58" t="s">
        <v>278</v>
      </c>
      <c r="G28" s="59">
        <v>2000</v>
      </c>
      <c r="H28" s="60">
        <v>46131</v>
      </c>
      <c r="I28" s="55">
        <f t="shared" si="0"/>
        <v>46129</v>
      </c>
      <c r="J28" s="57" t="e">
        <f>VLOOKUP(D28,#REF!,4,0)</f>
        <v>#REF!</v>
      </c>
      <c r="K28" s="4"/>
      <c r="L28" s="62"/>
      <c r="M28" s="63"/>
    </row>
    <row r="29" spans="1:13" s="45" customFormat="1" ht="13.25" customHeight="1" x14ac:dyDescent="0.3">
      <c r="A29" s="55">
        <v>46129</v>
      </c>
      <c r="B29" s="56" t="e">
        <f>VLOOKUP(C29,[7]完成订单!$D:$D,1,0)</f>
        <v>#N/A</v>
      </c>
      <c r="C29" s="57">
        <v>10400024896</v>
      </c>
      <c r="D29" s="57">
        <v>110001292214</v>
      </c>
      <c r="E29" s="57">
        <v>110001292215</v>
      </c>
      <c r="F29" s="58" t="s">
        <v>278</v>
      </c>
      <c r="G29" s="59">
        <v>2000</v>
      </c>
      <c r="H29" s="60">
        <v>46129</v>
      </c>
      <c r="I29" s="55">
        <f t="shared" si="0"/>
        <v>46129</v>
      </c>
      <c r="J29" s="57" t="e">
        <f>VLOOKUP(D29,#REF!,4,0)</f>
        <v>#REF!</v>
      </c>
      <c r="K29" s="4"/>
      <c r="L29" s="62"/>
      <c r="M29" s="63"/>
    </row>
    <row r="30" spans="1:13" s="45" customFormat="1" ht="13.25" customHeight="1" x14ac:dyDescent="0.3">
      <c r="A30" s="55">
        <v>46129</v>
      </c>
      <c r="B30" s="56">
        <f>VLOOKUP(C30,[7]完成订单!$D:$D,1,0)</f>
        <v>10880038225</v>
      </c>
      <c r="C30" s="57">
        <v>10880038225</v>
      </c>
      <c r="D30" s="57">
        <v>110001292517</v>
      </c>
      <c r="E30" s="57">
        <v>110001292517</v>
      </c>
      <c r="F30" s="58" t="s">
        <v>115</v>
      </c>
      <c r="G30" s="59">
        <v>600</v>
      </c>
      <c r="H30" s="60">
        <v>46132</v>
      </c>
      <c r="I30" s="55">
        <f t="shared" si="0"/>
        <v>46129</v>
      </c>
      <c r="J30" s="57" t="e">
        <f>VLOOKUP(D30,#REF!,4,0)</f>
        <v>#REF!</v>
      </c>
      <c r="K30" s="4"/>
      <c r="L30" s="62"/>
      <c r="M30" s="63"/>
    </row>
    <row r="31" spans="1:13" s="45" customFormat="1" ht="13.25" customHeight="1" x14ac:dyDescent="0.3">
      <c r="A31" s="55">
        <v>46129</v>
      </c>
      <c r="B31" s="56">
        <f>VLOOKUP(C31,[7]完成订单!$D:$D,1,0)</f>
        <v>10400033234</v>
      </c>
      <c r="C31" s="57">
        <v>10400033234</v>
      </c>
      <c r="D31" s="57">
        <v>110001292517</v>
      </c>
      <c r="E31" s="57">
        <v>110001292518</v>
      </c>
      <c r="F31" s="58" t="s">
        <v>124</v>
      </c>
      <c r="G31" s="59">
        <v>600</v>
      </c>
      <c r="H31" s="60">
        <v>46131</v>
      </c>
      <c r="I31" s="55">
        <f t="shared" si="0"/>
        <v>46129</v>
      </c>
      <c r="J31" s="57" t="e">
        <f>VLOOKUP(D31,#REF!,4,0)</f>
        <v>#REF!</v>
      </c>
      <c r="K31" s="4"/>
      <c r="L31" s="62"/>
      <c r="M31" s="63"/>
    </row>
    <row r="32" spans="1:13" s="45" customFormat="1" ht="13.25" customHeight="1" x14ac:dyDescent="0.3">
      <c r="A32" s="55">
        <v>46129</v>
      </c>
      <c r="B32" s="56">
        <f>VLOOKUP(C32,[7]完成订单!$D:$D,1,0)</f>
        <v>10400033458</v>
      </c>
      <c r="C32" s="57">
        <v>10400033458</v>
      </c>
      <c r="D32" s="57">
        <v>110001292517</v>
      </c>
      <c r="E32" s="57">
        <v>110001292519</v>
      </c>
      <c r="F32" s="58" t="s">
        <v>116</v>
      </c>
      <c r="G32" s="59">
        <v>600</v>
      </c>
      <c r="H32" s="60">
        <v>46132</v>
      </c>
      <c r="I32" s="55">
        <f t="shared" ref="I32:I63" si="1">A32</f>
        <v>46129</v>
      </c>
      <c r="J32" s="57" t="e">
        <f>VLOOKUP(D32,#REF!,4,0)</f>
        <v>#REF!</v>
      </c>
      <c r="K32" s="4"/>
      <c r="L32" s="62"/>
      <c r="M32" s="63"/>
    </row>
    <row r="33" spans="1:13" s="45" customFormat="1" ht="13.25" customHeight="1" x14ac:dyDescent="0.3">
      <c r="A33" s="55">
        <v>46129</v>
      </c>
      <c r="B33" s="56" t="e">
        <f>VLOOKUP(C33,[7]完成订单!$D:$D,1,0)</f>
        <v>#N/A</v>
      </c>
      <c r="C33" s="57">
        <v>10400033459</v>
      </c>
      <c r="D33" s="57">
        <v>110001292517</v>
      </c>
      <c r="E33" s="57">
        <v>110001292520</v>
      </c>
      <c r="F33" s="58" t="s">
        <v>116</v>
      </c>
      <c r="G33" s="59">
        <v>600</v>
      </c>
      <c r="H33" s="60">
        <v>46130</v>
      </c>
      <c r="I33" s="55">
        <f t="shared" si="1"/>
        <v>46129</v>
      </c>
      <c r="J33" s="57" t="e">
        <f>VLOOKUP(D33,#REF!,4,0)</f>
        <v>#REF!</v>
      </c>
      <c r="K33" s="4"/>
      <c r="L33" s="62"/>
      <c r="M33" s="63"/>
    </row>
    <row r="34" spans="1:13" s="45" customFormat="1" ht="13.25" customHeight="1" x14ac:dyDescent="0.3">
      <c r="A34" s="55">
        <v>46129</v>
      </c>
      <c r="B34" s="56">
        <f>VLOOKUP(C34,[7]完成订单!$D:$D,1,0)</f>
        <v>10880032885</v>
      </c>
      <c r="C34" s="57">
        <v>10880032885</v>
      </c>
      <c r="D34" s="57">
        <v>110001296366</v>
      </c>
      <c r="E34" s="57">
        <v>110001296366</v>
      </c>
      <c r="F34" s="58" t="s">
        <v>156</v>
      </c>
      <c r="G34" s="59">
        <v>5100</v>
      </c>
      <c r="H34" s="60">
        <v>46132</v>
      </c>
      <c r="I34" s="55">
        <f t="shared" si="1"/>
        <v>46129</v>
      </c>
      <c r="J34" s="57" t="e">
        <f>VLOOKUP(D34,#REF!,4,0)</f>
        <v>#REF!</v>
      </c>
      <c r="K34" s="4"/>
      <c r="L34" s="62"/>
      <c r="M34" s="63"/>
    </row>
    <row r="35" spans="1:13" s="45" customFormat="1" ht="13.25" customHeight="1" x14ac:dyDescent="0.3">
      <c r="A35" s="55">
        <v>46129</v>
      </c>
      <c r="B35" s="56" t="e">
        <f>VLOOKUP(C35,[7]完成订单!$D:$D,1,0)</f>
        <v>#N/A</v>
      </c>
      <c r="C35" s="57">
        <v>10400025980</v>
      </c>
      <c r="D35" s="57">
        <v>110001296366</v>
      </c>
      <c r="E35" s="57">
        <v>110001296367</v>
      </c>
      <c r="F35" s="58" t="s">
        <v>156</v>
      </c>
      <c r="G35" s="59">
        <v>5100</v>
      </c>
      <c r="H35" s="60">
        <v>46130</v>
      </c>
      <c r="I35" s="55">
        <f t="shared" si="1"/>
        <v>46129</v>
      </c>
      <c r="J35" s="57" t="e">
        <f>VLOOKUP(D35,#REF!,4,0)</f>
        <v>#REF!</v>
      </c>
      <c r="K35" s="4"/>
      <c r="L35" s="62"/>
      <c r="M35" s="63"/>
    </row>
    <row r="36" spans="1:13" s="45" customFormat="1" ht="13.25" customHeight="1" x14ac:dyDescent="0.3">
      <c r="A36" s="55">
        <v>46129</v>
      </c>
      <c r="B36" s="56">
        <f>VLOOKUP(C36,[7]完成订单!$D:$D,1,0)</f>
        <v>10880037725</v>
      </c>
      <c r="C36" s="57">
        <v>10880037725</v>
      </c>
      <c r="D36" s="57">
        <v>110001296406</v>
      </c>
      <c r="E36" s="57">
        <v>110001296406</v>
      </c>
      <c r="F36" s="58" t="s">
        <v>256</v>
      </c>
      <c r="G36" s="59">
        <v>4000</v>
      </c>
      <c r="H36" s="60">
        <v>46133</v>
      </c>
      <c r="I36" s="55">
        <f t="shared" si="1"/>
        <v>46129</v>
      </c>
      <c r="J36" s="57" t="e">
        <f>VLOOKUP(D36,#REF!,4,0)</f>
        <v>#REF!</v>
      </c>
      <c r="K36" s="4"/>
      <c r="L36" s="62"/>
      <c r="M36" s="63"/>
    </row>
    <row r="37" spans="1:13" s="45" customFormat="1" ht="13.25" customHeight="1" x14ac:dyDescent="0.3">
      <c r="A37" s="55">
        <v>46129</v>
      </c>
      <c r="B37" s="56" t="e">
        <f>VLOOKUP(C37,[7]完成订单!$D:$D,1,0)</f>
        <v>#N/A</v>
      </c>
      <c r="C37" s="57">
        <v>10400032806</v>
      </c>
      <c r="D37" s="57">
        <v>110001296406</v>
      </c>
      <c r="E37" s="57">
        <v>110001296407</v>
      </c>
      <c r="F37" s="58" t="s">
        <v>279</v>
      </c>
      <c r="G37" s="59">
        <v>4000</v>
      </c>
      <c r="H37" s="60">
        <v>46131</v>
      </c>
      <c r="I37" s="55">
        <f t="shared" si="1"/>
        <v>46129</v>
      </c>
      <c r="J37" s="57" t="e">
        <f>VLOOKUP(D37,#REF!,4,0)</f>
        <v>#REF!</v>
      </c>
      <c r="K37" s="4"/>
      <c r="L37" s="62"/>
      <c r="M37" s="63"/>
    </row>
    <row r="38" spans="1:13" s="45" customFormat="1" ht="13.25" customHeight="1" x14ac:dyDescent="0.3">
      <c r="A38" s="55">
        <v>46129</v>
      </c>
      <c r="B38" s="56">
        <f>VLOOKUP(C38,[7]完成订单!$D:$D,1,0)</f>
        <v>10880037725</v>
      </c>
      <c r="C38" s="57">
        <v>10880037725</v>
      </c>
      <c r="D38" s="57">
        <v>110001296408</v>
      </c>
      <c r="E38" s="57">
        <v>110001296408</v>
      </c>
      <c r="F38" s="58" t="s">
        <v>256</v>
      </c>
      <c r="G38" s="59">
        <v>4000</v>
      </c>
      <c r="H38" s="60">
        <v>46134</v>
      </c>
      <c r="I38" s="55">
        <f t="shared" si="1"/>
        <v>46129</v>
      </c>
      <c r="J38" s="57" t="e">
        <f>VLOOKUP(D38,#REF!,4,0)</f>
        <v>#REF!</v>
      </c>
      <c r="K38" s="4"/>
      <c r="L38" s="62"/>
      <c r="M38" s="63"/>
    </row>
    <row r="39" spans="1:13" s="45" customFormat="1" ht="13.25" customHeight="1" x14ac:dyDescent="0.3">
      <c r="A39" s="55">
        <v>46129</v>
      </c>
      <c r="B39" s="56" t="e">
        <f>VLOOKUP(C39,[7]完成订单!$D:$D,1,0)</f>
        <v>#N/A</v>
      </c>
      <c r="C39" s="57">
        <v>10400032806</v>
      </c>
      <c r="D39" s="57">
        <v>110001296408</v>
      </c>
      <c r="E39" s="57">
        <v>110001296409</v>
      </c>
      <c r="F39" s="58" t="s">
        <v>279</v>
      </c>
      <c r="G39" s="59">
        <v>4000</v>
      </c>
      <c r="H39" s="60">
        <v>46132</v>
      </c>
      <c r="I39" s="55">
        <f t="shared" si="1"/>
        <v>46129</v>
      </c>
      <c r="J39" s="57" t="e">
        <f>VLOOKUP(D39,#REF!,4,0)</f>
        <v>#REF!</v>
      </c>
      <c r="K39" s="4"/>
      <c r="L39" s="62"/>
      <c r="M39" s="63"/>
    </row>
    <row r="40" spans="1:13" s="45" customFormat="1" ht="13.25" customHeight="1" x14ac:dyDescent="0.3">
      <c r="A40" s="55">
        <v>46129</v>
      </c>
      <c r="B40" s="56">
        <f>VLOOKUP(C40,[7]完成订单!$D:$D,1,0)</f>
        <v>10880030519</v>
      </c>
      <c r="C40" s="57">
        <v>10880030519</v>
      </c>
      <c r="D40" s="57">
        <v>110001299835</v>
      </c>
      <c r="E40" s="57">
        <v>110001299835</v>
      </c>
      <c r="F40" s="58" t="s">
        <v>208</v>
      </c>
      <c r="G40" s="59">
        <v>1000</v>
      </c>
      <c r="H40" s="60">
        <v>46132</v>
      </c>
      <c r="I40" s="55">
        <f t="shared" si="1"/>
        <v>46129</v>
      </c>
      <c r="J40" s="57" t="e">
        <f>VLOOKUP(D40,#REF!,4,0)</f>
        <v>#REF!</v>
      </c>
      <c r="K40" s="4"/>
      <c r="L40" s="62"/>
      <c r="M40" s="63"/>
    </row>
    <row r="41" spans="1:13" s="45" customFormat="1" ht="13.25" customHeight="1" x14ac:dyDescent="0.3">
      <c r="A41" s="55">
        <v>46129</v>
      </c>
      <c r="B41" s="56" t="e">
        <f>VLOOKUP(C41,[7]完成订单!$D:$D,1,0)</f>
        <v>#N/A</v>
      </c>
      <c r="C41" s="57">
        <v>10400024278</v>
      </c>
      <c r="D41" s="57">
        <v>110001299835</v>
      </c>
      <c r="E41" s="57">
        <v>110001299836</v>
      </c>
      <c r="F41" s="58" t="s">
        <v>208</v>
      </c>
      <c r="G41" s="59">
        <v>1000</v>
      </c>
      <c r="H41" s="60">
        <v>46130</v>
      </c>
      <c r="I41" s="55">
        <f t="shared" si="1"/>
        <v>46129</v>
      </c>
      <c r="J41" s="57" t="e">
        <f>VLOOKUP(D41,#REF!,4,0)</f>
        <v>#REF!</v>
      </c>
      <c r="K41" s="4"/>
      <c r="L41" s="62"/>
      <c r="M41" s="63"/>
    </row>
    <row r="42" spans="1:13" s="45" customFormat="1" ht="13.25" customHeight="1" x14ac:dyDescent="0.3">
      <c r="A42" s="55">
        <v>46129</v>
      </c>
      <c r="B42" s="56">
        <f>VLOOKUP(C42,[7]完成订单!$D:$D,1,0)</f>
        <v>10880034946</v>
      </c>
      <c r="C42" s="57">
        <v>10880034946</v>
      </c>
      <c r="D42" s="57">
        <v>110001299863</v>
      </c>
      <c r="E42" s="57">
        <v>110001299863</v>
      </c>
      <c r="F42" s="58" t="s">
        <v>97</v>
      </c>
      <c r="G42" s="59">
        <v>200</v>
      </c>
      <c r="H42" s="60">
        <v>46132</v>
      </c>
      <c r="I42" s="55">
        <f t="shared" si="1"/>
        <v>46129</v>
      </c>
      <c r="J42" s="57" t="e">
        <f>VLOOKUP(D42,#REF!,4,0)</f>
        <v>#REF!</v>
      </c>
      <c r="K42" s="4"/>
      <c r="L42" s="62"/>
      <c r="M42" s="63"/>
    </row>
    <row r="43" spans="1:13" s="45" customFormat="1" ht="13.25" customHeight="1" x14ac:dyDescent="0.3">
      <c r="A43" s="55">
        <v>46129</v>
      </c>
      <c r="B43" s="56" t="e">
        <f>VLOOKUP(C43,[7]完成订单!$D:$D,1,0)</f>
        <v>#N/A</v>
      </c>
      <c r="C43" s="57">
        <v>10400029023</v>
      </c>
      <c r="D43" s="57">
        <v>110001299863</v>
      </c>
      <c r="E43" s="57">
        <v>110001299864</v>
      </c>
      <c r="F43" s="58" t="s">
        <v>97</v>
      </c>
      <c r="G43" s="59">
        <v>200</v>
      </c>
      <c r="H43" s="60">
        <v>46130</v>
      </c>
      <c r="I43" s="55">
        <f t="shared" si="1"/>
        <v>46129</v>
      </c>
      <c r="J43" s="57" t="e">
        <f>VLOOKUP(D43,#REF!,4,0)</f>
        <v>#REF!</v>
      </c>
      <c r="K43" s="4"/>
      <c r="L43" s="62"/>
      <c r="M43" s="63"/>
    </row>
    <row r="44" spans="1:13" s="45" customFormat="1" ht="13.25" customHeight="1" x14ac:dyDescent="0.3">
      <c r="A44" s="55">
        <v>46129</v>
      </c>
      <c r="B44" s="56">
        <f>VLOOKUP(C44,[7]完成订单!$D:$D,1,0)</f>
        <v>10880035543</v>
      </c>
      <c r="C44" s="57">
        <v>10880035543</v>
      </c>
      <c r="D44" s="57">
        <v>110001299871</v>
      </c>
      <c r="E44" s="57">
        <v>110001299871</v>
      </c>
      <c r="F44" s="58" t="s">
        <v>244</v>
      </c>
      <c r="G44" s="59">
        <v>2000</v>
      </c>
      <c r="H44" s="60">
        <v>46131</v>
      </c>
      <c r="I44" s="55">
        <f t="shared" si="1"/>
        <v>46129</v>
      </c>
      <c r="J44" s="57" t="e">
        <f>VLOOKUP(D44,#REF!,4,0)</f>
        <v>#REF!</v>
      </c>
      <c r="K44" s="4"/>
      <c r="L44" s="62"/>
      <c r="M44" s="63"/>
    </row>
    <row r="45" spans="1:13" s="45" customFormat="1" ht="13.25" customHeight="1" x14ac:dyDescent="0.3">
      <c r="A45" s="55">
        <v>46129</v>
      </c>
      <c r="B45" s="56" t="e">
        <f>VLOOKUP(C45,[7]完成订单!$D:$D,1,0)</f>
        <v>#N/A</v>
      </c>
      <c r="C45" s="57">
        <v>10400029820</v>
      </c>
      <c r="D45" s="57">
        <v>110001299871</v>
      </c>
      <c r="E45" s="57">
        <v>110001299872</v>
      </c>
      <c r="F45" s="58" t="s">
        <v>280</v>
      </c>
      <c r="G45" s="59">
        <v>2000</v>
      </c>
      <c r="H45" s="60">
        <v>46129</v>
      </c>
      <c r="I45" s="55">
        <f t="shared" si="1"/>
        <v>46129</v>
      </c>
      <c r="J45" s="57" t="e">
        <f>VLOOKUP(D45,#REF!,4,0)</f>
        <v>#REF!</v>
      </c>
      <c r="K45" s="4"/>
      <c r="L45" s="62"/>
      <c r="M45" s="63"/>
    </row>
    <row r="46" spans="1:13" s="45" customFormat="1" ht="13.25" customHeight="1" x14ac:dyDescent="0.3">
      <c r="A46" s="55">
        <v>46129</v>
      </c>
      <c r="B46" s="56">
        <f>VLOOKUP(C46,[7]完成订单!$D:$D,1,0)</f>
        <v>10880038536</v>
      </c>
      <c r="C46" s="57">
        <v>10880038536</v>
      </c>
      <c r="D46" s="57">
        <v>110001300072</v>
      </c>
      <c r="E46" s="57">
        <v>110001300072</v>
      </c>
      <c r="F46" s="58" t="s">
        <v>281</v>
      </c>
      <c r="G46" s="59">
        <v>300</v>
      </c>
      <c r="H46" s="60">
        <v>46134</v>
      </c>
      <c r="I46" s="55">
        <f t="shared" si="1"/>
        <v>46129</v>
      </c>
      <c r="J46" s="57" t="e">
        <f>VLOOKUP(D46,#REF!,4,0)</f>
        <v>#REF!</v>
      </c>
      <c r="K46" s="4"/>
      <c r="L46" s="62"/>
      <c r="M46" s="63"/>
    </row>
    <row r="47" spans="1:13" s="45" customFormat="1" ht="13.25" customHeight="1" x14ac:dyDescent="0.3">
      <c r="A47" s="55">
        <v>46129</v>
      </c>
      <c r="B47" s="56">
        <f>VLOOKUP(C47,[7]完成订单!$D:$D,1,0)</f>
        <v>10400033859</v>
      </c>
      <c r="C47" s="57">
        <v>10400033859</v>
      </c>
      <c r="D47" s="57">
        <v>110001300072</v>
      </c>
      <c r="E47" s="57">
        <v>110001300073</v>
      </c>
      <c r="F47" s="58" t="s">
        <v>282</v>
      </c>
      <c r="G47" s="59">
        <v>300</v>
      </c>
      <c r="H47" s="60">
        <v>46134</v>
      </c>
      <c r="I47" s="55">
        <f t="shared" si="1"/>
        <v>46129</v>
      </c>
      <c r="J47" s="57" t="e">
        <f>VLOOKUP(D47,#REF!,4,0)</f>
        <v>#REF!</v>
      </c>
      <c r="K47" s="4"/>
      <c r="L47" s="62"/>
      <c r="M47" s="63"/>
    </row>
    <row r="48" spans="1:13" s="45" customFormat="1" ht="13.25" customHeight="1" x14ac:dyDescent="0.3">
      <c r="A48" s="55">
        <v>46129</v>
      </c>
      <c r="B48" s="56">
        <f>VLOOKUP(C48,[7]完成订单!$D:$D,1,0)</f>
        <v>10400033860</v>
      </c>
      <c r="C48" s="57">
        <v>10400033860</v>
      </c>
      <c r="D48" s="57">
        <v>110001300072</v>
      </c>
      <c r="E48" s="57">
        <v>110001300074</v>
      </c>
      <c r="F48" s="58" t="s">
        <v>283</v>
      </c>
      <c r="G48" s="59">
        <v>300</v>
      </c>
      <c r="H48" s="60">
        <v>46134</v>
      </c>
      <c r="I48" s="55">
        <f t="shared" si="1"/>
        <v>46129</v>
      </c>
      <c r="J48" s="57" t="e">
        <f>VLOOKUP(D48,#REF!,4,0)</f>
        <v>#REF!</v>
      </c>
      <c r="K48" s="4"/>
      <c r="L48" s="62"/>
      <c r="M48" s="63"/>
    </row>
    <row r="49" spans="1:13" s="45" customFormat="1" ht="13.25" customHeight="1" x14ac:dyDescent="0.3">
      <c r="A49" s="55">
        <v>46129</v>
      </c>
      <c r="B49" s="56" t="e">
        <f>VLOOKUP(C49,[7]完成订单!$D:$D,1,0)</f>
        <v>#N/A</v>
      </c>
      <c r="C49" s="57">
        <v>10400033862</v>
      </c>
      <c r="D49" s="57">
        <v>110001300072</v>
      </c>
      <c r="E49" s="57">
        <v>110001300075</v>
      </c>
      <c r="F49" s="58" t="s">
        <v>282</v>
      </c>
      <c r="G49" s="59">
        <v>300</v>
      </c>
      <c r="H49" s="60">
        <v>46132</v>
      </c>
      <c r="I49" s="55">
        <f t="shared" si="1"/>
        <v>46129</v>
      </c>
      <c r="J49" s="57" t="e">
        <f>VLOOKUP(D49,#REF!,4,0)</f>
        <v>#REF!</v>
      </c>
      <c r="K49" s="4"/>
      <c r="L49" s="62"/>
      <c r="M49" s="63"/>
    </row>
    <row r="50" spans="1:13" s="45" customFormat="1" ht="13.25" customHeight="1" x14ac:dyDescent="0.3">
      <c r="A50" s="55">
        <v>46129</v>
      </c>
      <c r="B50" s="56" t="e">
        <f>VLOOKUP(C50,[7]完成订单!$D:$D,1,0)</f>
        <v>#N/A</v>
      </c>
      <c r="C50" s="57">
        <v>10400033864</v>
      </c>
      <c r="D50" s="57">
        <v>110001300072</v>
      </c>
      <c r="E50" s="57">
        <v>110001300076</v>
      </c>
      <c r="F50" s="58" t="s">
        <v>283</v>
      </c>
      <c r="G50" s="59">
        <v>300</v>
      </c>
      <c r="H50" s="60">
        <v>46132</v>
      </c>
      <c r="I50" s="55">
        <f t="shared" si="1"/>
        <v>46129</v>
      </c>
      <c r="J50" s="57" t="e">
        <f>VLOOKUP(D50,#REF!,4,0)</f>
        <v>#REF!</v>
      </c>
      <c r="K50" s="4"/>
      <c r="L50" s="62"/>
      <c r="M50" s="63"/>
    </row>
    <row r="51" spans="1:13" s="45" customFormat="1" ht="13.25" customHeight="1" x14ac:dyDescent="0.3">
      <c r="A51" s="55">
        <v>46129</v>
      </c>
      <c r="B51" s="56">
        <f>VLOOKUP(C51,[7]完成订单!$D:$D,1,0)</f>
        <v>10880038579</v>
      </c>
      <c r="C51" s="57">
        <v>10880038579</v>
      </c>
      <c r="D51" s="57">
        <v>110001300079</v>
      </c>
      <c r="E51" s="57">
        <v>110001300079</v>
      </c>
      <c r="F51" s="58" t="s">
        <v>246</v>
      </c>
      <c r="G51" s="59">
        <v>6000</v>
      </c>
      <c r="H51" s="60">
        <v>46133</v>
      </c>
      <c r="I51" s="55">
        <f t="shared" si="1"/>
        <v>46129</v>
      </c>
      <c r="J51" s="57" t="e">
        <f>VLOOKUP(D51,#REF!,4,0)</f>
        <v>#REF!</v>
      </c>
      <c r="K51" s="4"/>
      <c r="L51" s="62"/>
      <c r="M51" s="63"/>
    </row>
    <row r="52" spans="1:13" s="45" customFormat="1" ht="13.25" customHeight="1" x14ac:dyDescent="0.3">
      <c r="A52" s="55">
        <v>46129</v>
      </c>
      <c r="B52" s="56" t="e">
        <f>VLOOKUP(C52,[7]完成订单!$D:$D,1,0)</f>
        <v>#N/A</v>
      </c>
      <c r="C52" s="57">
        <v>10400033915</v>
      </c>
      <c r="D52" s="57">
        <v>110001300079</v>
      </c>
      <c r="E52" s="57">
        <v>110001300080</v>
      </c>
      <c r="F52" s="58" t="s">
        <v>284</v>
      </c>
      <c r="G52" s="59">
        <v>6000</v>
      </c>
      <c r="H52" s="60">
        <v>46131</v>
      </c>
      <c r="I52" s="55">
        <f t="shared" si="1"/>
        <v>46129</v>
      </c>
      <c r="J52" s="57" t="e">
        <f>VLOOKUP(D52,#REF!,4,0)</f>
        <v>#REF!</v>
      </c>
      <c r="K52" s="4"/>
      <c r="L52" s="62"/>
      <c r="M52" s="63"/>
    </row>
    <row r="53" spans="1:13" s="45" customFormat="1" ht="13.25" customHeight="1" x14ac:dyDescent="0.3">
      <c r="A53" s="55">
        <v>46129</v>
      </c>
      <c r="B53" s="56">
        <f>VLOOKUP(C53,[7]完成订单!$D:$D,1,0)</f>
        <v>10880036205</v>
      </c>
      <c r="C53" s="57">
        <v>10880036205</v>
      </c>
      <c r="D53" s="57">
        <v>110001302845</v>
      </c>
      <c r="E53" s="57">
        <v>110001302845</v>
      </c>
      <c r="F53" s="58" t="s">
        <v>22</v>
      </c>
      <c r="G53" s="59">
        <v>600</v>
      </c>
      <c r="H53" s="60">
        <v>46135</v>
      </c>
      <c r="I53" s="55">
        <f t="shared" si="1"/>
        <v>46129</v>
      </c>
      <c r="J53" s="57" t="e">
        <f>VLOOKUP(D53,#REF!,4,0)</f>
        <v>#REF!</v>
      </c>
      <c r="K53" s="4"/>
      <c r="L53" s="62"/>
      <c r="M53" s="63"/>
    </row>
    <row r="54" spans="1:13" s="45" customFormat="1" ht="13.25" customHeight="1" x14ac:dyDescent="0.3">
      <c r="A54" s="55">
        <v>46129</v>
      </c>
      <c r="B54" s="56">
        <f>VLOOKUP(C54,[7]完成订单!$D:$D,1,0)</f>
        <v>10400030735</v>
      </c>
      <c r="C54" s="57">
        <v>10400030735</v>
      </c>
      <c r="D54" s="57">
        <v>110001302845</v>
      </c>
      <c r="E54" s="57">
        <v>110001302846</v>
      </c>
      <c r="F54" s="58" t="s">
        <v>33</v>
      </c>
      <c r="G54" s="59">
        <v>600</v>
      </c>
      <c r="H54" s="60">
        <v>46134</v>
      </c>
      <c r="I54" s="55">
        <f t="shared" si="1"/>
        <v>46129</v>
      </c>
      <c r="J54" s="57" t="e">
        <f>VLOOKUP(D54,#REF!,4,0)</f>
        <v>#REF!</v>
      </c>
      <c r="K54" s="4"/>
      <c r="L54" s="62"/>
      <c r="M54" s="63"/>
    </row>
    <row r="55" spans="1:13" s="45" customFormat="1" ht="13.25" customHeight="1" x14ac:dyDescent="0.3">
      <c r="A55" s="55">
        <v>46129</v>
      </c>
      <c r="B55" s="56">
        <f>VLOOKUP(C55,[7]完成订单!$D:$D,1,0)</f>
        <v>10400029072</v>
      </c>
      <c r="C55" s="57">
        <v>10400029072</v>
      </c>
      <c r="D55" s="57">
        <v>110001302845</v>
      </c>
      <c r="E55" s="57">
        <v>110001302847</v>
      </c>
      <c r="F55" s="58" t="s">
        <v>24</v>
      </c>
      <c r="G55" s="59">
        <v>600</v>
      </c>
      <c r="H55" s="60">
        <v>46133</v>
      </c>
      <c r="I55" s="55">
        <f t="shared" si="1"/>
        <v>46129</v>
      </c>
      <c r="J55" s="57" t="e">
        <f>VLOOKUP(D55,#REF!,4,0)</f>
        <v>#REF!</v>
      </c>
      <c r="K55" s="4"/>
      <c r="L55" s="62"/>
      <c r="M55" s="63"/>
    </row>
    <row r="56" spans="1:13" s="45" customFormat="1" ht="13.25" customHeight="1" x14ac:dyDescent="0.3">
      <c r="A56" s="55">
        <v>46129</v>
      </c>
      <c r="B56" s="56" t="e">
        <f>VLOOKUP(C56,[7]完成订单!$D:$D,1,0)</f>
        <v>#N/A</v>
      </c>
      <c r="C56" s="57">
        <v>10400030736</v>
      </c>
      <c r="D56" s="57">
        <v>110001302845</v>
      </c>
      <c r="E56" s="57">
        <v>110001302848</v>
      </c>
      <c r="F56" s="58" t="s">
        <v>33</v>
      </c>
      <c r="G56" s="59">
        <v>600</v>
      </c>
      <c r="H56" s="60">
        <v>46132</v>
      </c>
      <c r="I56" s="55">
        <f t="shared" si="1"/>
        <v>46129</v>
      </c>
      <c r="J56" s="57" t="e">
        <f>VLOOKUP(D56,#REF!,4,0)</f>
        <v>#REF!</v>
      </c>
      <c r="K56" s="4"/>
      <c r="L56" s="62"/>
      <c r="M56" s="63"/>
    </row>
    <row r="57" spans="1:13" s="45" customFormat="1" ht="13.25" customHeight="1" x14ac:dyDescent="0.3">
      <c r="A57" s="55">
        <v>46129</v>
      </c>
      <c r="B57" s="56" t="e">
        <f>VLOOKUP(C57,[7]完成订单!$D:$D,1,0)</f>
        <v>#N/A</v>
      </c>
      <c r="C57" s="57">
        <v>10400029073</v>
      </c>
      <c r="D57" s="57">
        <v>110001302845</v>
      </c>
      <c r="E57" s="57">
        <v>110001302849</v>
      </c>
      <c r="F57" s="58" t="s">
        <v>24</v>
      </c>
      <c r="G57" s="59">
        <v>600</v>
      </c>
      <c r="H57" s="60">
        <v>46131</v>
      </c>
      <c r="I57" s="55">
        <f t="shared" si="1"/>
        <v>46129</v>
      </c>
      <c r="J57" s="57" t="e">
        <f>VLOOKUP(D57,#REF!,4,0)</f>
        <v>#REF!</v>
      </c>
      <c r="K57" s="4"/>
      <c r="L57" s="62"/>
      <c r="M57" s="63"/>
    </row>
    <row r="58" spans="1:13" s="45" customFormat="1" ht="13.25" customHeight="1" x14ac:dyDescent="0.3">
      <c r="A58" s="55">
        <v>46129</v>
      </c>
      <c r="B58" s="56">
        <f>VLOOKUP(C58,[7]完成订单!$D:$D,1,0)</f>
        <v>10880036929</v>
      </c>
      <c r="C58" s="57">
        <v>10880036929</v>
      </c>
      <c r="D58" s="57">
        <v>110001303352</v>
      </c>
      <c r="E58" s="57">
        <v>110001303352</v>
      </c>
      <c r="F58" s="58" t="s">
        <v>285</v>
      </c>
      <c r="G58" s="59">
        <v>100</v>
      </c>
      <c r="H58" s="60">
        <v>46134</v>
      </c>
      <c r="I58" s="55">
        <f t="shared" si="1"/>
        <v>46129</v>
      </c>
      <c r="J58" s="57" t="e">
        <f>VLOOKUP(D58,#REF!,4,0)</f>
        <v>#REF!</v>
      </c>
      <c r="K58" s="4"/>
      <c r="L58" s="62"/>
      <c r="M58" s="63"/>
    </row>
    <row r="59" spans="1:13" s="45" customFormat="1" ht="13.25" customHeight="1" x14ac:dyDescent="0.3">
      <c r="A59" s="55">
        <v>46129</v>
      </c>
      <c r="B59" s="56" t="e">
        <f>VLOOKUP(C59,[7]完成订单!$D:$D,1,0)</f>
        <v>#N/A</v>
      </c>
      <c r="C59" s="57">
        <v>10400031741</v>
      </c>
      <c r="D59" s="57">
        <v>110001303352</v>
      </c>
      <c r="E59" s="57">
        <v>110001303353</v>
      </c>
      <c r="F59" s="58" t="s">
        <v>286</v>
      </c>
      <c r="G59" s="59">
        <v>100</v>
      </c>
      <c r="H59" s="60">
        <v>46132</v>
      </c>
      <c r="I59" s="55">
        <f t="shared" si="1"/>
        <v>46129</v>
      </c>
      <c r="J59" s="57" t="e">
        <f>VLOOKUP(D59,#REF!,4,0)</f>
        <v>#REF!</v>
      </c>
      <c r="K59" s="4"/>
      <c r="L59" s="62"/>
      <c r="M59" s="63"/>
    </row>
    <row r="60" spans="1:13" s="45" customFormat="1" ht="13.25" customHeight="1" x14ac:dyDescent="0.3">
      <c r="A60" s="55">
        <v>46129</v>
      </c>
      <c r="B60" s="56">
        <f>VLOOKUP(C60,[7]完成订单!$D:$D,1,0)</f>
        <v>10880036930</v>
      </c>
      <c r="C60" s="57">
        <v>10880036930</v>
      </c>
      <c r="D60" s="57">
        <v>110001303352</v>
      </c>
      <c r="E60" s="57">
        <v>110001303354</v>
      </c>
      <c r="F60" s="58" t="s">
        <v>287</v>
      </c>
      <c r="G60" s="59">
        <v>100</v>
      </c>
      <c r="H60" s="60">
        <v>46134</v>
      </c>
      <c r="I60" s="55">
        <f t="shared" si="1"/>
        <v>46129</v>
      </c>
      <c r="J60" s="57" t="e">
        <f>VLOOKUP(D60,#REF!,4,0)</f>
        <v>#REF!</v>
      </c>
      <c r="K60" s="4"/>
      <c r="L60" s="62"/>
      <c r="M60" s="63"/>
    </row>
    <row r="61" spans="1:13" s="45" customFormat="1" ht="13.25" customHeight="1" x14ac:dyDescent="0.3">
      <c r="A61" s="55">
        <v>46129</v>
      </c>
      <c r="B61" s="56" t="e">
        <f>VLOOKUP(C61,[7]完成订单!$D:$D,1,0)</f>
        <v>#N/A</v>
      </c>
      <c r="C61" s="57">
        <v>10400031743</v>
      </c>
      <c r="D61" s="57">
        <v>110001303352</v>
      </c>
      <c r="E61" s="57">
        <v>110001303355</v>
      </c>
      <c r="F61" s="58" t="s">
        <v>288</v>
      </c>
      <c r="G61" s="59">
        <v>100</v>
      </c>
      <c r="H61" s="60">
        <v>46132</v>
      </c>
      <c r="I61" s="55">
        <f t="shared" si="1"/>
        <v>46129</v>
      </c>
      <c r="J61" s="57" t="e">
        <f>VLOOKUP(D61,#REF!,4,0)</f>
        <v>#REF!</v>
      </c>
      <c r="K61" s="4"/>
      <c r="L61" s="62"/>
      <c r="M61" s="63"/>
    </row>
    <row r="62" spans="1:13" s="45" customFormat="1" ht="13.25" customHeight="1" x14ac:dyDescent="0.3">
      <c r="A62" s="55">
        <v>46129</v>
      </c>
      <c r="B62" s="56">
        <f>VLOOKUP(C62,[7]完成订单!$D:$D,1,0)</f>
        <v>10880037781</v>
      </c>
      <c r="C62" s="57">
        <v>10880037781</v>
      </c>
      <c r="D62" s="57">
        <v>110001304465</v>
      </c>
      <c r="E62" s="57">
        <v>110001304465</v>
      </c>
      <c r="F62" s="58" t="s">
        <v>249</v>
      </c>
      <c r="G62" s="59">
        <v>1500</v>
      </c>
      <c r="H62" s="60">
        <v>46132</v>
      </c>
      <c r="I62" s="55">
        <f t="shared" si="1"/>
        <v>46129</v>
      </c>
      <c r="J62" s="57" t="e">
        <f>VLOOKUP(D62,#REF!,4,0)</f>
        <v>#REF!</v>
      </c>
      <c r="K62" s="4"/>
      <c r="L62" s="62"/>
      <c r="M62" s="63"/>
    </row>
    <row r="63" spans="1:13" s="45" customFormat="1" ht="13.25" customHeight="1" x14ac:dyDescent="0.3">
      <c r="A63" s="55">
        <v>46129</v>
      </c>
      <c r="B63" s="56" t="e">
        <f>VLOOKUP(C63,[7]完成订单!$D:$D,1,0)</f>
        <v>#N/A</v>
      </c>
      <c r="C63" s="57">
        <v>10400032893</v>
      </c>
      <c r="D63" s="57">
        <v>110001304465</v>
      </c>
      <c r="E63" s="57">
        <v>110001304466</v>
      </c>
      <c r="F63" s="58" t="s">
        <v>289</v>
      </c>
      <c r="G63" s="59">
        <v>1500</v>
      </c>
      <c r="H63" s="60">
        <v>46130</v>
      </c>
      <c r="I63" s="55">
        <f t="shared" si="1"/>
        <v>46129</v>
      </c>
      <c r="J63" s="57" t="e">
        <f>VLOOKUP(D63,#REF!,4,0)</f>
        <v>#REF!</v>
      </c>
      <c r="K63" s="4"/>
      <c r="L63" s="62"/>
      <c r="M63" s="63"/>
    </row>
    <row r="64" spans="1:13" s="45" customFormat="1" ht="13.25" customHeight="1" x14ac:dyDescent="0.3">
      <c r="A64" s="55">
        <v>46129</v>
      </c>
      <c r="B64" s="56">
        <f>VLOOKUP(C64,[7]完成订单!$D:$D,1,0)</f>
        <v>10880035661</v>
      </c>
      <c r="C64" s="57">
        <v>10880035661</v>
      </c>
      <c r="D64" s="57">
        <v>110001305100</v>
      </c>
      <c r="E64" s="57">
        <v>110001305100</v>
      </c>
      <c r="F64" s="58" t="s">
        <v>100</v>
      </c>
      <c r="G64" s="59">
        <v>1600</v>
      </c>
      <c r="H64" s="60">
        <v>46132</v>
      </c>
      <c r="I64" s="55">
        <f t="shared" ref="I64:I74" si="2">A64</f>
        <v>46129</v>
      </c>
      <c r="J64" s="57" t="e">
        <f>VLOOKUP(D64,#REF!,4,0)</f>
        <v>#REF!</v>
      </c>
      <c r="K64" s="4"/>
      <c r="L64" s="62"/>
      <c r="M64" s="63"/>
    </row>
    <row r="65" spans="1:13" s="45" customFormat="1" ht="13.25" customHeight="1" x14ac:dyDescent="0.3">
      <c r="A65" s="55">
        <v>46129</v>
      </c>
      <c r="B65" s="56" t="e">
        <f>VLOOKUP(C65,[7]完成订单!$D:$D,1,0)</f>
        <v>#N/A</v>
      </c>
      <c r="C65" s="57">
        <v>10400030021</v>
      </c>
      <c r="D65" s="57">
        <v>110001305100</v>
      </c>
      <c r="E65" s="57">
        <v>110001305101</v>
      </c>
      <c r="F65" s="58" t="s">
        <v>290</v>
      </c>
      <c r="G65" s="59">
        <v>1600</v>
      </c>
      <c r="H65" s="60">
        <v>46130</v>
      </c>
      <c r="I65" s="55">
        <f t="shared" si="2"/>
        <v>46129</v>
      </c>
      <c r="J65" s="57" t="e">
        <f>VLOOKUP(D65,#REF!,4,0)</f>
        <v>#REF!</v>
      </c>
      <c r="K65" s="4"/>
      <c r="L65" s="62"/>
      <c r="M65" s="63"/>
    </row>
    <row r="66" spans="1:13" s="45" customFormat="1" ht="13.25" customHeight="1" x14ac:dyDescent="0.3">
      <c r="A66" s="55">
        <v>46129</v>
      </c>
      <c r="B66" s="56">
        <f>VLOOKUP(C66,[7]完成订单!$D:$D,1,0)</f>
        <v>10880037426</v>
      </c>
      <c r="C66" s="57">
        <v>10880037426</v>
      </c>
      <c r="D66" s="57">
        <v>110001308516</v>
      </c>
      <c r="E66" s="57">
        <v>110001308516</v>
      </c>
      <c r="F66" s="58" t="s">
        <v>93</v>
      </c>
      <c r="G66" s="59">
        <v>6000</v>
      </c>
      <c r="H66" s="60">
        <v>46133</v>
      </c>
      <c r="I66" s="55">
        <f t="shared" si="2"/>
        <v>46129</v>
      </c>
      <c r="J66" s="57" t="e">
        <f>VLOOKUP(D66,#REF!,4,0)</f>
        <v>#REF!</v>
      </c>
      <c r="K66" s="4"/>
      <c r="L66" s="62"/>
      <c r="M66" s="63"/>
    </row>
    <row r="67" spans="1:13" s="45" customFormat="1" ht="13.25" customHeight="1" x14ac:dyDescent="0.3">
      <c r="A67" s="55">
        <v>46129</v>
      </c>
      <c r="B67" s="56" t="e">
        <f>VLOOKUP(C67,[7]完成订单!$D:$D,1,0)</f>
        <v>#N/A</v>
      </c>
      <c r="C67" s="57">
        <v>10400032382</v>
      </c>
      <c r="D67" s="57">
        <v>110001308516</v>
      </c>
      <c r="E67" s="57">
        <v>110001308517</v>
      </c>
      <c r="F67" s="58" t="s">
        <v>276</v>
      </c>
      <c r="G67" s="59">
        <v>6000</v>
      </c>
      <c r="H67" s="60">
        <v>46131</v>
      </c>
      <c r="I67" s="55">
        <f t="shared" si="2"/>
        <v>46129</v>
      </c>
      <c r="J67" s="57" t="e">
        <f>VLOOKUP(D67,#REF!,4,0)</f>
        <v>#REF!</v>
      </c>
      <c r="K67" s="4"/>
      <c r="L67" s="62"/>
      <c r="M67" s="63"/>
    </row>
    <row r="68" spans="1:13" s="45" customFormat="1" ht="13.25" customHeight="1" x14ac:dyDescent="0.3">
      <c r="A68" s="55">
        <v>46129</v>
      </c>
      <c r="B68" s="56">
        <f>VLOOKUP(C68,[7]完成订单!$D:$D,1,0)</f>
        <v>10880031249</v>
      </c>
      <c r="C68" s="57">
        <v>10880031249</v>
      </c>
      <c r="D68" s="57">
        <v>110001308676</v>
      </c>
      <c r="E68" s="57">
        <v>110001308676</v>
      </c>
      <c r="F68" s="58" t="s">
        <v>291</v>
      </c>
      <c r="G68" s="59">
        <v>200</v>
      </c>
      <c r="H68" s="60">
        <v>46134</v>
      </c>
      <c r="I68" s="55">
        <f t="shared" si="2"/>
        <v>46129</v>
      </c>
      <c r="J68" s="57" t="e">
        <f>VLOOKUP(D68,#REF!,4,0)</f>
        <v>#REF!</v>
      </c>
      <c r="K68" s="4"/>
      <c r="L68" s="62"/>
      <c r="M68" s="63"/>
    </row>
    <row r="69" spans="1:13" s="45" customFormat="1" ht="13.25" customHeight="1" x14ac:dyDescent="0.3">
      <c r="A69" s="55">
        <v>46129</v>
      </c>
      <c r="B69" s="56" t="e">
        <f>VLOOKUP(C69,[7]完成订单!$D:$D,1,0)</f>
        <v>#N/A</v>
      </c>
      <c r="C69" s="57">
        <v>10400025049</v>
      </c>
      <c r="D69" s="57">
        <v>110001308676</v>
      </c>
      <c r="E69" s="57">
        <v>110001308677</v>
      </c>
      <c r="F69" s="58" t="s">
        <v>292</v>
      </c>
      <c r="G69" s="59">
        <v>200</v>
      </c>
      <c r="H69" s="60">
        <v>46132</v>
      </c>
      <c r="I69" s="55">
        <f t="shared" si="2"/>
        <v>46129</v>
      </c>
      <c r="J69" s="57" t="e">
        <f>VLOOKUP(D69,#REF!,4,0)</f>
        <v>#REF!</v>
      </c>
      <c r="K69" s="4"/>
      <c r="L69" s="62"/>
      <c r="M69" s="63"/>
    </row>
    <row r="70" spans="1:13" s="45" customFormat="1" ht="13.25" customHeight="1" x14ac:dyDescent="0.3">
      <c r="A70" s="55">
        <v>46129</v>
      </c>
      <c r="B70" s="56">
        <f>VLOOKUP(C70,[7]完成订单!$D:$D,1,0)</f>
        <v>10880035691</v>
      </c>
      <c r="C70" s="57">
        <v>10880035691</v>
      </c>
      <c r="D70" s="57">
        <v>110001308676</v>
      </c>
      <c r="E70" s="57">
        <v>110001308678</v>
      </c>
      <c r="F70" s="58" t="s">
        <v>293</v>
      </c>
      <c r="G70" s="59">
        <v>200</v>
      </c>
      <c r="H70" s="60">
        <v>46134</v>
      </c>
      <c r="I70" s="55">
        <f t="shared" si="2"/>
        <v>46129</v>
      </c>
      <c r="J70" s="57" t="e">
        <f>VLOOKUP(D70,#REF!,4,0)</f>
        <v>#REF!</v>
      </c>
      <c r="K70" s="4"/>
      <c r="L70" s="62"/>
      <c r="M70" s="63"/>
    </row>
    <row r="71" spans="1:13" s="45" customFormat="1" ht="13.25" customHeight="1" x14ac:dyDescent="0.3">
      <c r="A71" s="55">
        <v>46129</v>
      </c>
      <c r="B71" s="56" t="e">
        <f>VLOOKUP(C71,[7]完成订单!$D:$D,1,0)</f>
        <v>#N/A</v>
      </c>
      <c r="C71" s="57">
        <v>10400025050</v>
      </c>
      <c r="D71" s="57">
        <v>110001308676</v>
      </c>
      <c r="E71" s="57">
        <v>110001308679</v>
      </c>
      <c r="F71" s="58" t="s">
        <v>294</v>
      </c>
      <c r="G71" s="59">
        <v>200</v>
      </c>
      <c r="H71" s="60">
        <v>46132</v>
      </c>
      <c r="I71" s="55">
        <f t="shared" si="2"/>
        <v>46129</v>
      </c>
      <c r="J71" s="57" t="e">
        <f>VLOOKUP(D71,#REF!,4,0)</f>
        <v>#REF!</v>
      </c>
      <c r="K71" s="4"/>
      <c r="L71" s="62"/>
      <c r="M71" s="63"/>
    </row>
    <row r="72" spans="1:13" s="45" customFormat="1" ht="13.25" customHeight="1" x14ac:dyDescent="0.3">
      <c r="A72" s="55">
        <v>46129</v>
      </c>
      <c r="B72" s="56">
        <f>VLOOKUP(C72,[7]完成订单!$D:$D,1,0)</f>
        <v>10880037381</v>
      </c>
      <c r="C72" s="57">
        <v>10880037381</v>
      </c>
      <c r="D72" s="57">
        <v>110001283919</v>
      </c>
      <c r="E72" s="57">
        <v>110001283919</v>
      </c>
      <c r="F72" s="58" t="s">
        <v>295</v>
      </c>
      <c r="G72" s="59">
        <v>2400</v>
      </c>
      <c r="H72" s="60">
        <v>46134</v>
      </c>
      <c r="I72" s="55">
        <f t="shared" si="2"/>
        <v>46129</v>
      </c>
      <c r="J72" s="57" t="e">
        <f>VLOOKUP(D72,#REF!,4,0)</f>
        <v>#REF!</v>
      </c>
      <c r="K72" s="4"/>
      <c r="L72" s="62"/>
      <c r="M72" s="63"/>
    </row>
    <row r="73" spans="1:13" s="45" customFormat="1" ht="13.25" customHeight="1" x14ac:dyDescent="0.3">
      <c r="A73" s="55">
        <v>46129</v>
      </c>
      <c r="B73" s="56" t="e">
        <f>VLOOKUP(C73,[7]完成订单!$D:$D,1,0)</f>
        <v>#N/A</v>
      </c>
      <c r="C73" s="57">
        <v>10400032322</v>
      </c>
      <c r="D73" s="57">
        <v>110001283919</v>
      </c>
      <c r="E73" s="57">
        <v>110001283920</v>
      </c>
      <c r="F73" s="58" t="s">
        <v>296</v>
      </c>
      <c r="G73" s="59">
        <v>2400</v>
      </c>
      <c r="H73" s="60">
        <v>46132</v>
      </c>
      <c r="I73" s="55">
        <f t="shared" si="2"/>
        <v>46129</v>
      </c>
      <c r="J73" s="57" t="e">
        <f>VLOOKUP(D73,#REF!,4,0)</f>
        <v>#REF!</v>
      </c>
      <c r="K73" s="4"/>
      <c r="L73" s="62"/>
      <c r="M73" s="63"/>
    </row>
    <row r="74" spans="1:13" s="45" customFormat="1" ht="13.25" customHeight="1" x14ac:dyDescent="0.3">
      <c r="A74" s="55">
        <v>46129</v>
      </c>
      <c r="B74" s="56">
        <f>VLOOKUP(C74,[7]完成订单!$D:$D,1,0)</f>
        <v>10880037724</v>
      </c>
      <c r="C74" s="57">
        <v>10880037724</v>
      </c>
      <c r="D74" s="57">
        <v>110001296400</v>
      </c>
      <c r="E74" s="57">
        <v>110001296400</v>
      </c>
      <c r="F74" s="58" t="s">
        <v>255</v>
      </c>
      <c r="G74" s="59">
        <v>4000</v>
      </c>
      <c r="H74" s="60">
        <v>46132</v>
      </c>
      <c r="I74" s="55">
        <f t="shared" si="2"/>
        <v>46129</v>
      </c>
      <c r="J74" s="57" t="e">
        <f>VLOOKUP(D74,#REF!,4,0)</f>
        <v>#REF!</v>
      </c>
      <c r="K74" s="4"/>
      <c r="L74" s="62"/>
      <c r="M74" s="63"/>
    </row>
    <row r="75" spans="1:13" s="45" customFormat="1" ht="13.25" customHeight="1" x14ac:dyDescent="0.3">
      <c r="A75" s="55">
        <v>46129</v>
      </c>
      <c r="B75" s="56" t="e">
        <f>VLOOKUP(C75,[7]完成订单!$D:$D,1,0)</f>
        <v>#N/A</v>
      </c>
      <c r="C75" s="57">
        <v>10400032805</v>
      </c>
      <c r="D75" s="57">
        <v>110001296400</v>
      </c>
      <c r="E75" s="57">
        <v>110001296401</v>
      </c>
      <c r="F75" s="58" t="s">
        <v>275</v>
      </c>
      <c r="G75" s="59">
        <v>4000</v>
      </c>
      <c r="H75" s="60">
        <v>46130</v>
      </c>
      <c r="I75" s="55">
        <f t="shared" ref="I75:I102" si="3">A75</f>
        <v>46129</v>
      </c>
      <c r="J75" s="57" t="e">
        <f>VLOOKUP(D75,#REF!,4,0)</f>
        <v>#REF!</v>
      </c>
      <c r="K75" s="4"/>
      <c r="L75" s="62"/>
      <c r="M75" s="63"/>
    </row>
    <row r="76" spans="1:13" s="45" customFormat="1" ht="13.25" customHeight="1" x14ac:dyDescent="0.3">
      <c r="A76" s="55">
        <v>46129</v>
      </c>
      <c r="B76" s="56">
        <f>VLOOKUP(C76,[7]完成订单!$D:$D,1,0)</f>
        <v>10880031097</v>
      </c>
      <c r="C76" s="57">
        <v>10880031097</v>
      </c>
      <c r="D76" s="57">
        <v>110001266969</v>
      </c>
      <c r="E76" s="57">
        <v>110001266969</v>
      </c>
      <c r="F76" s="58" t="s">
        <v>78</v>
      </c>
      <c r="G76" s="59">
        <v>100</v>
      </c>
      <c r="H76" s="60">
        <v>46133</v>
      </c>
      <c r="I76" s="55">
        <f t="shared" si="3"/>
        <v>46129</v>
      </c>
      <c r="J76" s="57" t="e">
        <f>VLOOKUP(D76,#REF!,4,0)</f>
        <v>#REF!</v>
      </c>
      <c r="K76" s="4"/>
      <c r="L76" s="62"/>
      <c r="M76" s="63"/>
    </row>
    <row r="77" spans="1:13" s="45" customFormat="1" ht="13.25" customHeight="1" x14ac:dyDescent="0.3">
      <c r="A77" s="55">
        <v>46129</v>
      </c>
      <c r="B77" s="56" t="e">
        <f>VLOOKUP(C77,[7]完成订单!$D:$D,1,0)</f>
        <v>#N/A</v>
      </c>
      <c r="C77" s="57">
        <v>10400024897</v>
      </c>
      <c r="D77" s="57">
        <v>110001266969</v>
      </c>
      <c r="E77" s="57">
        <v>110001266970</v>
      </c>
      <c r="F77" s="58" t="s">
        <v>78</v>
      </c>
      <c r="G77" s="59">
        <v>100</v>
      </c>
      <c r="H77" s="60">
        <v>46131</v>
      </c>
      <c r="I77" s="55">
        <f t="shared" si="3"/>
        <v>46129</v>
      </c>
      <c r="J77" s="57" t="e">
        <f>VLOOKUP(D77,#REF!,4,0)</f>
        <v>#REF!</v>
      </c>
      <c r="K77" s="4"/>
      <c r="L77" s="62"/>
      <c r="M77" s="63"/>
    </row>
    <row r="78" spans="1:13" s="45" customFormat="1" ht="13.25" customHeight="1" x14ac:dyDescent="0.3">
      <c r="A78" s="55">
        <v>46129</v>
      </c>
      <c r="B78" s="56">
        <f>VLOOKUP(C78,[7]完成订单!$D:$D,1,0)</f>
        <v>10880031185</v>
      </c>
      <c r="C78" s="57">
        <v>10880031185</v>
      </c>
      <c r="D78" s="57">
        <v>110001271384</v>
      </c>
      <c r="E78" s="57">
        <v>110001271384</v>
      </c>
      <c r="F78" s="58" t="s">
        <v>172</v>
      </c>
      <c r="G78" s="59">
        <v>400</v>
      </c>
      <c r="H78" s="60">
        <v>46133</v>
      </c>
      <c r="I78" s="55">
        <f t="shared" si="3"/>
        <v>46129</v>
      </c>
      <c r="J78" s="57" t="e">
        <f>VLOOKUP(D78,#REF!,4,0)</f>
        <v>#REF!</v>
      </c>
      <c r="K78" s="4"/>
      <c r="L78" s="62"/>
      <c r="M78" s="63"/>
    </row>
    <row r="79" spans="1:13" s="45" customFormat="1" ht="13.25" customHeight="1" x14ac:dyDescent="0.3">
      <c r="A79" s="55">
        <v>46129</v>
      </c>
      <c r="B79" s="56" t="e">
        <f>VLOOKUP(C79,[7]完成订单!$D:$D,1,0)</f>
        <v>#N/A</v>
      </c>
      <c r="C79" s="57">
        <v>10400024982</v>
      </c>
      <c r="D79" s="57">
        <v>110001271384</v>
      </c>
      <c r="E79" s="57">
        <v>110001271385</v>
      </c>
      <c r="F79" s="58" t="s">
        <v>172</v>
      </c>
      <c r="G79" s="59">
        <v>400</v>
      </c>
      <c r="H79" s="60">
        <v>46131</v>
      </c>
      <c r="I79" s="55">
        <f t="shared" si="3"/>
        <v>46129</v>
      </c>
      <c r="J79" s="57" t="e">
        <f>VLOOKUP(D79,#REF!,4,0)</f>
        <v>#REF!</v>
      </c>
      <c r="K79" s="4"/>
      <c r="L79" s="62"/>
      <c r="M79" s="63"/>
    </row>
    <row r="80" spans="1:13" s="45" customFormat="1" ht="13.25" customHeight="1" x14ac:dyDescent="0.3">
      <c r="A80" s="55">
        <v>46129</v>
      </c>
      <c r="B80" s="56">
        <f>VLOOKUP(C80,[7]完成订单!$D:$D,1,0)</f>
        <v>10880036704</v>
      </c>
      <c r="C80" s="57">
        <v>10880036704</v>
      </c>
      <c r="D80" s="57">
        <v>110001271454</v>
      </c>
      <c r="E80" s="57">
        <v>110001271454</v>
      </c>
      <c r="F80" s="58" t="s">
        <v>194</v>
      </c>
      <c r="G80" s="59">
        <v>3500</v>
      </c>
      <c r="H80" s="60">
        <v>46133</v>
      </c>
      <c r="I80" s="55">
        <f t="shared" si="3"/>
        <v>46129</v>
      </c>
      <c r="J80" s="57" t="e">
        <f>VLOOKUP(D80,#REF!,4,0)</f>
        <v>#REF!</v>
      </c>
      <c r="K80" s="4"/>
      <c r="L80" s="62"/>
      <c r="M80" s="63"/>
    </row>
    <row r="81" spans="1:13" s="45" customFormat="1" ht="13.25" customHeight="1" x14ac:dyDescent="0.3">
      <c r="A81" s="55">
        <v>46129</v>
      </c>
      <c r="B81" s="56" t="e">
        <f>VLOOKUP(C81,[7]完成订单!$D:$D,1,0)</f>
        <v>#N/A</v>
      </c>
      <c r="C81" s="57">
        <v>10400031420</v>
      </c>
      <c r="D81" s="57">
        <v>110001271454</v>
      </c>
      <c r="E81" s="57">
        <v>110001271455</v>
      </c>
      <c r="F81" s="58" t="s">
        <v>297</v>
      </c>
      <c r="G81" s="59">
        <v>3500</v>
      </c>
      <c r="H81" s="60">
        <v>46131</v>
      </c>
      <c r="I81" s="55">
        <f t="shared" si="3"/>
        <v>46129</v>
      </c>
      <c r="J81" s="57" t="e">
        <f>VLOOKUP(D81,#REF!,4,0)</f>
        <v>#REF!</v>
      </c>
      <c r="K81" s="4"/>
      <c r="L81" s="62"/>
      <c r="M81" s="63"/>
    </row>
    <row r="82" spans="1:13" s="45" customFormat="1" ht="13.25" customHeight="1" x14ac:dyDescent="0.3">
      <c r="A82" s="55">
        <v>46129</v>
      </c>
      <c r="B82" s="56">
        <f>VLOOKUP(C82,[7]完成订单!$D:$D,1,0)</f>
        <v>10880036349</v>
      </c>
      <c r="C82" s="57">
        <v>10880036349</v>
      </c>
      <c r="D82" s="57">
        <v>110001283427</v>
      </c>
      <c r="E82" s="57">
        <v>110001283427</v>
      </c>
      <c r="F82" s="58" t="s">
        <v>177</v>
      </c>
      <c r="G82" s="59">
        <v>500</v>
      </c>
      <c r="H82" s="60">
        <v>46132</v>
      </c>
      <c r="I82" s="55">
        <f t="shared" si="3"/>
        <v>46129</v>
      </c>
      <c r="J82" s="57" t="e">
        <f>VLOOKUP(D82,#REF!,4,0)</f>
        <v>#REF!</v>
      </c>
      <c r="K82" s="4"/>
      <c r="L82" s="62"/>
      <c r="M82" s="63"/>
    </row>
    <row r="83" spans="1:13" s="45" customFormat="1" ht="13.25" customHeight="1" x14ac:dyDescent="0.3">
      <c r="A83" s="55">
        <v>46129</v>
      </c>
      <c r="B83" s="56" t="e">
        <f>VLOOKUP(C83,[7]完成订单!$D:$D,1,0)</f>
        <v>#N/A</v>
      </c>
      <c r="C83" s="57">
        <v>10400030940</v>
      </c>
      <c r="D83" s="57">
        <v>110001283427</v>
      </c>
      <c r="E83" s="57">
        <v>110001283428</v>
      </c>
      <c r="F83" s="58" t="s">
        <v>298</v>
      </c>
      <c r="G83" s="59">
        <v>500</v>
      </c>
      <c r="H83" s="60">
        <v>46130</v>
      </c>
      <c r="I83" s="55">
        <f t="shared" si="3"/>
        <v>46129</v>
      </c>
      <c r="J83" s="57" t="e">
        <f>VLOOKUP(D83,#REF!,4,0)</f>
        <v>#REF!</v>
      </c>
      <c r="K83" s="4"/>
      <c r="L83" s="62"/>
      <c r="M83" s="63"/>
    </row>
    <row r="84" spans="1:13" s="45" customFormat="1" ht="13.25" customHeight="1" x14ac:dyDescent="0.3">
      <c r="A84" s="55">
        <v>46129</v>
      </c>
      <c r="B84" s="56">
        <f>VLOOKUP(C84,[7]完成订单!$D:$D,1,0)</f>
        <v>10880030320</v>
      </c>
      <c r="C84" s="57">
        <v>10880030320</v>
      </c>
      <c r="D84" s="57">
        <v>110001288293</v>
      </c>
      <c r="E84" s="57">
        <v>110001288293</v>
      </c>
      <c r="F84" s="58" t="s">
        <v>241</v>
      </c>
      <c r="G84" s="59">
        <v>400</v>
      </c>
      <c r="H84" s="60">
        <v>46133</v>
      </c>
      <c r="I84" s="55">
        <f t="shared" si="3"/>
        <v>46129</v>
      </c>
      <c r="J84" s="57" t="e">
        <f>VLOOKUP(D84,#REF!,4,0)</f>
        <v>#REF!</v>
      </c>
      <c r="K84" s="4"/>
      <c r="L84" s="62"/>
      <c r="M84" s="63"/>
    </row>
    <row r="85" spans="1:13" s="45" customFormat="1" ht="13.25" customHeight="1" x14ac:dyDescent="0.3">
      <c r="A85" s="55">
        <v>46129</v>
      </c>
      <c r="B85" s="56" t="e">
        <f>VLOOKUP(C85,[7]完成订单!$D:$D,1,0)</f>
        <v>#N/A</v>
      </c>
      <c r="C85" s="57">
        <v>10400024039</v>
      </c>
      <c r="D85" s="57">
        <v>110001288293</v>
      </c>
      <c r="E85" s="57">
        <v>110001288294</v>
      </c>
      <c r="F85" s="58" t="s">
        <v>241</v>
      </c>
      <c r="G85" s="59">
        <v>400</v>
      </c>
      <c r="H85" s="60">
        <v>46131</v>
      </c>
      <c r="I85" s="55">
        <f t="shared" si="3"/>
        <v>46129</v>
      </c>
      <c r="J85" s="57" t="e">
        <f>VLOOKUP(D85,#REF!,4,0)</f>
        <v>#REF!</v>
      </c>
      <c r="K85" s="4"/>
      <c r="L85" s="62"/>
      <c r="M85" s="63"/>
    </row>
    <row r="86" spans="1:13" s="45" customFormat="1" ht="13.25" customHeight="1" x14ac:dyDescent="0.3">
      <c r="A86" s="55">
        <v>46129</v>
      </c>
      <c r="B86" s="56">
        <f>VLOOKUP(C86,[7]完成订单!$D:$D,1,0)</f>
        <v>10880030596</v>
      </c>
      <c r="C86" s="57">
        <v>10880030596</v>
      </c>
      <c r="D86" s="57">
        <v>110001288309</v>
      </c>
      <c r="E86" s="57">
        <v>110001288309</v>
      </c>
      <c r="F86" s="58" t="s">
        <v>227</v>
      </c>
      <c r="G86" s="59">
        <v>700</v>
      </c>
      <c r="H86" s="60">
        <v>46133</v>
      </c>
      <c r="I86" s="55">
        <f t="shared" si="3"/>
        <v>46129</v>
      </c>
      <c r="J86" s="57" t="e">
        <f>VLOOKUP(D86,#REF!,4,0)</f>
        <v>#REF!</v>
      </c>
      <c r="K86" s="4"/>
      <c r="L86" s="62"/>
      <c r="M86" s="63"/>
    </row>
    <row r="87" spans="1:13" s="45" customFormat="1" ht="13.25" customHeight="1" x14ac:dyDescent="0.3">
      <c r="A87" s="55">
        <v>46129</v>
      </c>
      <c r="B87" s="56" t="e">
        <f>VLOOKUP(C87,[7]完成订单!$D:$D,1,0)</f>
        <v>#N/A</v>
      </c>
      <c r="C87" s="57">
        <v>10400024487</v>
      </c>
      <c r="D87" s="57">
        <v>110001288309</v>
      </c>
      <c r="E87" s="57">
        <v>110001288310</v>
      </c>
      <c r="F87" s="58" t="s">
        <v>227</v>
      </c>
      <c r="G87" s="59">
        <v>700</v>
      </c>
      <c r="H87" s="60">
        <v>46131</v>
      </c>
      <c r="I87" s="55">
        <f t="shared" si="3"/>
        <v>46129</v>
      </c>
      <c r="J87" s="57" t="e">
        <f>VLOOKUP(D87,#REF!,4,0)</f>
        <v>#REF!</v>
      </c>
      <c r="K87" s="4"/>
      <c r="L87" s="62"/>
      <c r="M87" s="63"/>
    </row>
    <row r="88" spans="1:13" s="45" customFormat="1" ht="13.25" customHeight="1" x14ac:dyDescent="0.3">
      <c r="A88" s="55">
        <v>46129</v>
      </c>
      <c r="B88" s="56">
        <f>VLOOKUP(C88,[7]完成订单!$D:$D,1,0)</f>
        <v>10880031160</v>
      </c>
      <c r="C88" s="57">
        <v>10880031160</v>
      </c>
      <c r="D88" s="57">
        <v>110001288321</v>
      </c>
      <c r="E88" s="57">
        <v>110001288321</v>
      </c>
      <c r="F88" s="58" t="s">
        <v>231</v>
      </c>
      <c r="G88" s="59">
        <v>400</v>
      </c>
      <c r="H88" s="60">
        <v>46133</v>
      </c>
      <c r="I88" s="55">
        <f t="shared" si="3"/>
        <v>46129</v>
      </c>
      <c r="J88" s="57" t="e">
        <f>VLOOKUP(D88,#REF!,4,0)</f>
        <v>#REF!</v>
      </c>
      <c r="K88" s="4"/>
      <c r="L88" s="62"/>
      <c r="M88" s="63"/>
    </row>
    <row r="89" spans="1:13" s="45" customFormat="1" ht="13.25" customHeight="1" x14ac:dyDescent="0.3">
      <c r="A89" s="55">
        <v>46129</v>
      </c>
      <c r="B89" s="56" t="e">
        <f>VLOOKUP(C89,[7]完成订单!$D:$D,1,0)</f>
        <v>#N/A</v>
      </c>
      <c r="C89" s="57">
        <v>10400024963</v>
      </c>
      <c r="D89" s="57">
        <v>110001288321</v>
      </c>
      <c r="E89" s="57">
        <v>110001288322</v>
      </c>
      <c r="F89" s="58" t="s">
        <v>231</v>
      </c>
      <c r="G89" s="59">
        <v>400</v>
      </c>
      <c r="H89" s="60">
        <v>46131</v>
      </c>
      <c r="I89" s="55">
        <f t="shared" si="3"/>
        <v>46129</v>
      </c>
      <c r="J89" s="57" t="e">
        <f>VLOOKUP(D89,#REF!,4,0)</f>
        <v>#REF!</v>
      </c>
      <c r="K89" s="4"/>
      <c r="L89" s="62"/>
      <c r="M89" s="63"/>
    </row>
    <row r="90" spans="1:13" s="45" customFormat="1" ht="13.25" customHeight="1" x14ac:dyDescent="0.3">
      <c r="A90" s="55">
        <v>46129</v>
      </c>
      <c r="B90" s="56">
        <f>VLOOKUP(C90,[7]完成订单!$D:$D,1,0)</f>
        <v>10880031186</v>
      </c>
      <c r="C90" s="57">
        <v>10880031186</v>
      </c>
      <c r="D90" s="57">
        <v>110001288325</v>
      </c>
      <c r="E90" s="57">
        <v>110001288325</v>
      </c>
      <c r="F90" s="58" t="s">
        <v>79</v>
      </c>
      <c r="G90" s="59">
        <v>300</v>
      </c>
      <c r="H90" s="60">
        <v>46134</v>
      </c>
      <c r="I90" s="55">
        <f t="shared" si="3"/>
        <v>46129</v>
      </c>
      <c r="J90" s="57" t="e">
        <f>VLOOKUP(D90,#REF!,4,0)</f>
        <v>#REF!</v>
      </c>
      <c r="K90" s="4"/>
      <c r="L90" s="62"/>
      <c r="M90" s="63"/>
    </row>
    <row r="91" spans="1:13" s="45" customFormat="1" ht="13.25" customHeight="1" x14ac:dyDescent="0.3">
      <c r="A91" s="55">
        <v>46129</v>
      </c>
      <c r="B91" s="56" t="e">
        <f>VLOOKUP(C91,[7]完成订单!$D:$D,1,0)</f>
        <v>#N/A</v>
      </c>
      <c r="C91" s="57">
        <v>10400024983</v>
      </c>
      <c r="D91" s="57">
        <v>110001288325</v>
      </c>
      <c r="E91" s="57">
        <v>110001288326</v>
      </c>
      <c r="F91" s="58" t="s">
        <v>79</v>
      </c>
      <c r="G91" s="59">
        <v>300</v>
      </c>
      <c r="H91" s="60">
        <v>46132</v>
      </c>
      <c r="I91" s="55">
        <f t="shared" si="3"/>
        <v>46129</v>
      </c>
      <c r="J91" s="57" t="e">
        <f>VLOOKUP(D91,#REF!,4,0)</f>
        <v>#REF!</v>
      </c>
      <c r="K91" s="4"/>
      <c r="L91" s="62"/>
      <c r="M91" s="63"/>
    </row>
    <row r="92" spans="1:13" s="45" customFormat="1" ht="13.25" customHeight="1" x14ac:dyDescent="0.3">
      <c r="A92" s="55">
        <v>46129</v>
      </c>
      <c r="B92" s="56">
        <f>VLOOKUP(C92,[7]完成订单!$D:$D,1,0)</f>
        <v>10880036458</v>
      </c>
      <c r="C92" s="57">
        <v>10880036458</v>
      </c>
      <c r="D92" s="57">
        <v>110001288447</v>
      </c>
      <c r="E92" s="57">
        <v>110001288447</v>
      </c>
      <c r="F92" s="58" t="s">
        <v>299</v>
      </c>
      <c r="G92" s="59">
        <v>3000</v>
      </c>
      <c r="H92" s="60">
        <v>46132</v>
      </c>
      <c r="I92" s="55">
        <f t="shared" si="3"/>
        <v>46129</v>
      </c>
      <c r="J92" s="57" t="e">
        <f>VLOOKUP(D92,#REF!,4,0)</f>
        <v>#REF!</v>
      </c>
      <c r="K92" s="4"/>
      <c r="L92" s="62"/>
      <c r="M92" s="63"/>
    </row>
    <row r="93" spans="1:13" s="45" customFormat="1" ht="13.25" customHeight="1" x14ac:dyDescent="0.3">
      <c r="A93" s="55">
        <v>46129</v>
      </c>
      <c r="B93" s="56">
        <f>VLOOKUP(C93,[7]完成订单!$D:$D,1,0)</f>
        <v>10400031068</v>
      </c>
      <c r="C93" s="57">
        <v>10400031068</v>
      </c>
      <c r="D93" s="57">
        <v>110001288447</v>
      </c>
      <c r="E93" s="57">
        <v>110001288448</v>
      </c>
      <c r="F93" s="58" t="s">
        <v>300</v>
      </c>
      <c r="G93" s="59">
        <v>3000</v>
      </c>
      <c r="H93" s="60">
        <v>46132</v>
      </c>
      <c r="I93" s="55">
        <f t="shared" si="3"/>
        <v>46129</v>
      </c>
      <c r="J93" s="57" t="e">
        <f>VLOOKUP(D93,#REF!,4,0)</f>
        <v>#REF!</v>
      </c>
      <c r="K93" s="4"/>
      <c r="L93" s="62"/>
      <c r="M93" s="63"/>
    </row>
    <row r="94" spans="1:13" s="45" customFormat="1" ht="13.25" customHeight="1" x14ac:dyDescent="0.3">
      <c r="A94" s="55">
        <v>46129</v>
      </c>
      <c r="B94" s="56">
        <f>VLOOKUP(C94,[7]完成订单!$D:$D,1,0)</f>
        <v>10400033234</v>
      </c>
      <c r="C94" s="57">
        <v>10400033234</v>
      </c>
      <c r="D94" s="57">
        <v>110001288447</v>
      </c>
      <c r="E94" s="57">
        <v>110001288449</v>
      </c>
      <c r="F94" s="58" t="s">
        <v>124</v>
      </c>
      <c r="G94" s="59">
        <v>3000</v>
      </c>
      <c r="H94" s="60">
        <v>46131</v>
      </c>
      <c r="I94" s="55">
        <f t="shared" si="3"/>
        <v>46129</v>
      </c>
      <c r="J94" s="57" t="e">
        <f>VLOOKUP(D94,#REF!,4,0)</f>
        <v>#REF!</v>
      </c>
      <c r="K94" s="4"/>
      <c r="L94" s="62"/>
      <c r="M94" s="63"/>
    </row>
    <row r="95" spans="1:13" s="45" customFormat="1" ht="13.25" customHeight="1" x14ac:dyDescent="0.3">
      <c r="A95" s="55">
        <v>46129</v>
      </c>
      <c r="B95" s="56" t="e">
        <f>VLOOKUP(C95,[7]完成订单!$D:$D,1,0)</f>
        <v>#N/A</v>
      </c>
      <c r="C95" s="57">
        <v>10400031069</v>
      </c>
      <c r="D95" s="57">
        <v>110001288447</v>
      </c>
      <c r="E95" s="57">
        <v>110001288450</v>
      </c>
      <c r="F95" s="58" t="s">
        <v>300</v>
      </c>
      <c r="G95" s="59">
        <v>3000</v>
      </c>
      <c r="H95" s="60">
        <v>46129</v>
      </c>
      <c r="I95" s="55">
        <f t="shared" si="3"/>
        <v>46129</v>
      </c>
      <c r="J95" s="57" t="e">
        <f>VLOOKUP(D95,#REF!,4,0)</f>
        <v>#REF!</v>
      </c>
      <c r="K95" s="4"/>
      <c r="L95" s="62"/>
      <c r="M95" s="63"/>
    </row>
    <row r="96" spans="1:13" s="45" customFormat="1" ht="13.25" customHeight="1" x14ac:dyDescent="0.3">
      <c r="A96" s="55">
        <v>46129</v>
      </c>
      <c r="B96" s="56">
        <f>VLOOKUP(C96,[7]完成订单!$D:$D,1,0)</f>
        <v>10880036707</v>
      </c>
      <c r="C96" s="57">
        <v>10880036707</v>
      </c>
      <c r="D96" s="57">
        <v>110001288461</v>
      </c>
      <c r="E96" s="57">
        <v>110001288461</v>
      </c>
      <c r="F96" s="58" t="s">
        <v>195</v>
      </c>
      <c r="G96" s="59">
        <v>600</v>
      </c>
      <c r="H96" s="60">
        <v>46133</v>
      </c>
      <c r="I96" s="55">
        <f t="shared" si="3"/>
        <v>46129</v>
      </c>
      <c r="J96" s="57" t="e">
        <f>VLOOKUP(D96,#REF!,4,0)</f>
        <v>#REF!</v>
      </c>
      <c r="K96" s="4"/>
      <c r="L96" s="62"/>
      <c r="M96" s="63"/>
    </row>
    <row r="97" spans="1:13" s="45" customFormat="1" ht="13.25" customHeight="1" x14ac:dyDescent="0.3">
      <c r="A97" s="55">
        <v>46129</v>
      </c>
      <c r="B97" s="56" t="e">
        <f>VLOOKUP(C97,[7]完成订单!$D:$D,1,0)</f>
        <v>#N/A</v>
      </c>
      <c r="C97" s="57">
        <v>10400031423</v>
      </c>
      <c r="D97" s="57">
        <v>110001288461</v>
      </c>
      <c r="E97" s="57">
        <v>110001288462</v>
      </c>
      <c r="F97" s="58" t="s">
        <v>301</v>
      </c>
      <c r="G97" s="59">
        <v>600</v>
      </c>
      <c r="H97" s="60">
        <v>46131</v>
      </c>
      <c r="I97" s="55">
        <f t="shared" si="3"/>
        <v>46129</v>
      </c>
      <c r="J97" s="57" t="e">
        <f>VLOOKUP(D97,#REF!,4,0)</f>
        <v>#REF!</v>
      </c>
      <c r="K97" s="4"/>
      <c r="L97" s="62"/>
      <c r="M97" s="63"/>
    </row>
    <row r="98" spans="1:13" s="45" customFormat="1" ht="13.25" customHeight="1" x14ac:dyDescent="0.3">
      <c r="A98" s="55">
        <v>46129</v>
      </c>
      <c r="B98" s="56">
        <f>VLOOKUP(C98,[7]完成订单!$D:$D,1,0)</f>
        <v>10880031847</v>
      </c>
      <c r="C98" s="57">
        <v>10880031847</v>
      </c>
      <c r="D98" s="57">
        <v>110001292220</v>
      </c>
      <c r="E98" s="57">
        <v>110001292220</v>
      </c>
      <c r="F98" s="58" t="s">
        <v>228</v>
      </c>
      <c r="G98" s="59">
        <v>300</v>
      </c>
      <c r="H98" s="60">
        <v>46133</v>
      </c>
      <c r="I98" s="55">
        <f t="shared" si="3"/>
        <v>46129</v>
      </c>
      <c r="J98" s="57" t="e">
        <f>VLOOKUP(D98,#REF!,4,0)</f>
        <v>#REF!</v>
      </c>
      <c r="K98" s="4"/>
      <c r="L98" s="62"/>
      <c r="M98" s="63"/>
    </row>
    <row r="99" spans="1:13" s="45" customFormat="1" ht="13.25" customHeight="1" x14ac:dyDescent="0.3">
      <c r="A99" s="55">
        <v>46129</v>
      </c>
      <c r="B99" s="56" t="e">
        <f>VLOOKUP(C99,[7]完成订单!$D:$D,1,0)</f>
        <v>#N/A</v>
      </c>
      <c r="C99" s="57">
        <v>10400025549</v>
      </c>
      <c r="D99" s="57">
        <v>110001292220</v>
      </c>
      <c r="E99" s="57">
        <v>110001292221</v>
      </c>
      <c r="F99" s="58" t="s">
        <v>228</v>
      </c>
      <c r="G99" s="59">
        <v>300</v>
      </c>
      <c r="H99" s="60">
        <v>46131</v>
      </c>
      <c r="I99" s="55">
        <f t="shared" si="3"/>
        <v>46129</v>
      </c>
      <c r="J99" s="57" t="e">
        <f>VLOOKUP(D99,#REF!,4,0)</f>
        <v>#REF!</v>
      </c>
      <c r="K99" s="4"/>
      <c r="L99" s="62"/>
      <c r="M99" s="63"/>
    </row>
    <row r="100" spans="1:13" s="45" customFormat="1" ht="13.25" customHeight="1" x14ac:dyDescent="0.3">
      <c r="A100" s="55">
        <v>46129</v>
      </c>
      <c r="B100" s="56">
        <f>VLOOKUP(C100,[7]完成订单!$D:$D,1,0)</f>
        <v>10880037023</v>
      </c>
      <c r="C100" s="57">
        <v>10880037023</v>
      </c>
      <c r="D100" s="57">
        <v>110001292427</v>
      </c>
      <c r="E100" s="57">
        <v>110001292427</v>
      </c>
      <c r="F100" s="58" t="s">
        <v>117</v>
      </c>
      <c r="G100" s="59">
        <v>999</v>
      </c>
      <c r="H100" s="60">
        <v>46132</v>
      </c>
      <c r="I100" s="55">
        <f t="shared" si="3"/>
        <v>46129</v>
      </c>
      <c r="J100" s="57" t="e">
        <f>VLOOKUP(D100,#REF!,4,0)</f>
        <v>#REF!</v>
      </c>
      <c r="K100" s="4"/>
      <c r="L100" s="62"/>
      <c r="M100" s="63"/>
    </row>
    <row r="101" spans="1:13" s="45" customFormat="1" ht="13.25" customHeight="1" x14ac:dyDescent="0.3">
      <c r="A101" s="55">
        <v>46129</v>
      </c>
      <c r="B101" s="56">
        <f>VLOOKUP(C101,[7]完成订单!$D:$D,1,0)</f>
        <v>10400031868</v>
      </c>
      <c r="C101" s="57">
        <v>10400031868</v>
      </c>
      <c r="D101" s="57">
        <v>110001292427</v>
      </c>
      <c r="E101" s="57">
        <v>110001292428</v>
      </c>
      <c r="F101" s="58" t="s">
        <v>118</v>
      </c>
      <c r="G101" s="59">
        <v>999</v>
      </c>
      <c r="H101" s="60">
        <v>46132</v>
      </c>
      <c r="I101" s="55">
        <f t="shared" si="3"/>
        <v>46129</v>
      </c>
      <c r="J101" s="57" t="e">
        <f>VLOOKUP(D101,#REF!,4,0)</f>
        <v>#REF!</v>
      </c>
      <c r="K101" s="4"/>
      <c r="L101" s="62"/>
      <c r="M101" s="63"/>
    </row>
    <row r="102" spans="1:13" s="45" customFormat="1" ht="13.25" customHeight="1" x14ac:dyDescent="0.3">
      <c r="A102" s="55">
        <v>46129</v>
      </c>
      <c r="B102" s="56">
        <f>VLOOKUP(C102,[7]完成订单!$D:$D,1,0)</f>
        <v>10400033234</v>
      </c>
      <c r="C102" s="57">
        <v>10400033234</v>
      </c>
      <c r="D102" s="57">
        <v>110001292427</v>
      </c>
      <c r="E102" s="57">
        <v>110001292429</v>
      </c>
      <c r="F102" s="58" t="s">
        <v>124</v>
      </c>
      <c r="G102" s="59">
        <v>999</v>
      </c>
      <c r="H102" s="60">
        <v>46131</v>
      </c>
      <c r="I102" s="55">
        <f t="shared" si="3"/>
        <v>46129</v>
      </c>
      <c r="J102" s="57" t="e">
        <f>VLOOKUP(D102,#REF!,4,0)</f>
        <v>#REF!</v>
      </c>
      <c r="K102" s="4"/>
      <c r="L102" s="62"/>
      <c r="M102" s="63"/>
    </row>
    <row r="103" spans="1:13" s="45" customFormat="1" ht="13.25" customHeight="1" x14ac:dyDescent="0.3">
      <c r="A103" s="55">
        <v>46129</v>
      </c>
      <c r="B103" s="56" t="e">
        <f>VLOOKUP(C103,[7]完成订单!$D:$D,1,0)</f>
        <v>#N/A</v>
      </c>
      <c r="C103" s="57">
        <v>10400031866</v>
      </c>
      <c r="D103" s="57">
        <v>110001292427</v>
      </c>
      <c r="E103" s="57">
        <v>110001292430</v>
      </c>
      <c r="F103" s="58" t="s">
        <v>118</v>
      </c>
      <c r="G103" s="59">
        <v>999</v>
      </c>
      <c r="H103" s="60">
        <v>46129</v>
      </c>
      <c r="I103" s="55">
        <f t="shared" ref="I103:I111" si="4">A103</f>
        <v>46129</v>
      </c>
      <c r="J103" s="57" t="e">
        <f>VLOOKUP(D103,#REF!,4,0)</f>
        <v>#REF!</v>
      </c>
      <c r="K103" s="4"/>
      <c r="L103" s="62"/>
      <c r="M103" s="63"/>
    </row>
    <row r="104" spans="1:13" s="45" customFormat="1" ht="13.25" customHeight="1" x14ac:dyDescent="0.3">
      <c r="A104" s="55">
        <v>46129</v>
      </c>
      <c r="B104" s="56">
        <f>VLOOKUP(C104,[7]完成订单!$D:$D,1,0)</f>
        <v>10880031856</v>
      </c>
      <c r="C104" s="57">
        <v>10880031856</v>
      </c>
      <c r="D104" s="57">
        <v>110001296260</v>
      </c>
      <c r="E104" s="57">
        <v>110001296260</v>
      </c>
      <c r="F104" s="58" t="s">
        <v>224</v>
      </c>
      <c r="G104" s="59">
        <v>400</v>
      </c>
      <c r="H104" s="60">
        <v>46133</v>
      </c>
      <c r="I104" s="55">
        <f t="shared" si="4"/>
        <v>46129</v>
      </c>
      <c r="J104" s="57" t="e">
        <f>VLOOKUP(D104,#REF!,4,0)</f>
        <v>#REF!</v>
      </c>
      <c r="K104" s="4"/>
      <c r="L104" s="62"/>
      <c r="M104" s="63"/>
    </row>
    <row r="105" spans="1:13" s="45" customFormat="1" ht="13.25" customHeight="1" x14ac:dyDescent="0.3">
      <c r="A105" s="55">
        <v>46129</v>
      </c>
      <c r="B105" s="56" t="e">
        <f>VLOOKUP(C105,[7]完成订单!$D:$D,1,0)</f>
        <v>#N/A</v>
      </c>
      <c r="C105" s="57">
        <v>10400025551</v>
      </c>
      <c r="D105" s="57">
        <v>110001296260</v>
      </c>
      <c r="E105" s="57">
        <v>110001296261</v>
      </c>
      <c r="F105" s="58" t="s">
        <v>224</v>
      </c>
      <c r="G105" s="59">
        <v>400</v>
      </c>
      <c r="H105" s="60">
        <v>46131</v>
      </c>
      <c r="I105" s="55">
        <f t="shared" si="4"/>
        <v>46129</v>
      </c>
      <c r="J105" s="57" t="e">
        <f>VLOOKUP(D105,#REF!,4,0)</f>
        <v>#REF!</v>
      </c>
      <c r="K105" s="4"/>
      <c r="L105" s="62"/>
      <c r="M105" s="63"/>
    </row>
    <row r="106" spans="1:13" s="45" customFormat="1" ht="13.25" customHeight="1" x14ac:dyDescent="0.3">
      <c r="A106" s="55">
        <v>46129</v>
      </c>
      <c r="B106" s="56">
        <f>VLOOKUP(C106,[7]完成订单!$D:$D,1,0)</f>
        <v>10880021311</v>
      </c>
      <c r="C106" s="57">
        <v>10880021311</v>
      </c>
      <c r="D106" s="57">
        <v>110001302961</v>
      </c>
      <c r="E106" s="57">
        <v>110001302961</v>
      </c>
      <c r="F106" s="58" t="s">
        <v>188</v>
      </c>
      <c r="G106" s="59">
        <v>200</v>
      </c>
      <c r="H106" s="60">
        <v>46134</v>
      </c>
      <c r="I106" s="55">
        <f t="shared" si="4"/>
        <v>46129</v>
      </c>
      <c r="J106" s="57" t="e">
        <f>VLOOKUP(D106,#REF!,4,0)</f>
        <v>#REF!</v>
      </c>
      <c r="K106" s="4"/>
      <c r="L106" s="62"/>
      <c r="M106" s="63"/>
    </row>
    <row r="107" spans="1:13" s="45" customFormat="1" ht="13.25" customHeight="1" x14ac:dyDescent="0.3">
      <c r="A107" s="55">
        <v>46129</v>
      </c>
      <c r="B107" s="56" t="e">
        <f>VLOOKUP(C107,[7]完成订单!$D:$D,1,0)</f>
        <v>#N/A</v>
      </c>
      <c r="C107" s="57">
        <v>10400020798</v>
      </c>
      <c r="D107" s="57">
        <v>110001302961</v>
      </c>
      <c r="E107" s="57">
        <v>110001302962</v>
      </c>
      <c r="F107" s="58" t="s">
        <v>188</v>
      </c>
      <c r="G107" s="59">
        <v>200</v>
      </c>
      <c r="H107" s="60">
        <v>46132</v>
      </c>
      <c r="I107" s="55">
        <f t="shared" si="4"/>
        <v>46129</v>
      </c>
      <c r="J107" s="57" t="e">
        <f>VLOOKUP(D107,#REF!,4,0)</f>
        <v>#REF!</v>
      </c>
      <c r="K107" s="4"/>
      <c r="L107" s="62"/>
      <c r="M107" s="63"/>
    </row>
    <row r="108" spans="1:13" s="45" customFormat="1" ht="13.25" customHeight="1" x14ac:dyDescent="0.3">
      <c r="A108" s="55">
        <v>46129</v>
      </c>
      <c r="B108" s="56">
        <f>VLOOKUP(C108,[7]完成订单!$D:$D,1,0)</f>
        <v>10880035982</v>
      </c>
      <c r="C108" s="57">
        <v>10880035982</v>
      </c>
      <c r="D108" s="57">
        <v>110001303021</v>
      </c>
      <c r="E108" s="57">
        <v>110001303021</v>
      </c>
      <c r="F108" s="58" t="s">
        <v>63</v>
      </c>
      <c r="G108" s="59">
        <v>4000</v>
      </c>
      <c r="H108" s="60">
        <v>46133</v>
      </c>
      <c r="I108" s="55">
        <f t="shared" si="4"/>
        <v>46129</v>
      </c>
      <c r="J108" s="57" t="e">
        <f>VLOOKUP(D108,#REF!,4,0)</f>
        <v>#REF!</v>
      </c>
      <c r="K108" s="4"/>
      <c r="L108" s="62"/>
      <c r="M108" s="63"/>
    </row>
    <row r="109" spans="1:13" s="45" customFormat="1" ht="13.25" customHeight="1" x14ac:dyDescent="0.3">
      <c r="A109" s="55">
        <v>46129</v>
      </c>
      <c r="B109" s="56" t="e">
        <f>VLOOKUP(C109,[7]完成订单!$D:$D,1,0)</f>
        <v>#N/A</v>
      </c>
      <c r="C109" s="57">
        <v>10400030449</v>
      </c>
      <c r="D109" s="57">
        <v>110001303021</v>
      </c>
      <c r="E109" s="57">
        <v>110001303022</v>
      </c>
      <c r="F109" s="58" t="s">
        <v>302</v>
      </c>
      <c r="G109" s="59">
        <v>4000</v>
      </c>
      <c r="H109" s="60">
        <v>46131</v>
      </c>
      <c r="I109" s="55">
        <f t="shared" si="4"/>
        <v>46129</v>
      </c>
      <c r="J109" s="57" t="e">
        <f>VLOOKUP(D109,#REF!,4,0)</f>
        <v>#REF!</v>
      </c>
      <c r="K109" s="4"/>
      <c r="L109" s="62"/>
      <c r="M109" s="63"/>
    </row>
    <row r="110" spans="1:13" s="45" customFormat="1" ht="13.25" customHeight="1" x14ac:dyDescent="0.3">
      <c r="A110" s="55">
        <v>46129</v>
      </c>
      <c r="B110" s="56">
        <f>VLOOKUP(C110,[7]完成订单!$D:$D,1,0)</f>
        <v>10880036708</v>
      </c>
      <c r="C110" s="57">
        <v>10880036708</v>
      </c>
      <c r="D110" s="57">
        <v>110001308405</v>
      </c>
      <c r="E110" s="57">
        <v>110001308405</v>
      </c>
      <c r="F110" s="58" t="s">
        <v>196</v>
      </c>
      <c r="G110" s="59">
        <v>600</v>
      </c>
      <c r="H110" s="60">
        <v>46133</v>
      </c>
      <c r="I110" s="55">
        <f t="shared" si="4"/>
        <v>46129</v>
      </c>
      <c r="J110" s="57" t="e">
        <f>VLOOKUP(D110,#REF!,4,0)</f>
        <v>#REF!</v>
      </c>
      <c r="K110" s="4"/>
      <c r="L110" s="62"/>
      <c r="M110" s="63"/>
    </row>
    <row r="111" spans="1:13" s="45" customFormat="1" ht="13.25" customHeight="1" x14ac:dyDescent="0.3">
      <c r="A111" s="55">
        <v>46129</v>
      </c>
      <c r="B111" s="56" t="e">
        <f>VLOOKUP(C111,[7]完成订单!$D:$D,1,0)</f>
        <v>#N/A</v>
      </c>
      <c r="C111" s="57">
        <v>10400031424</v>
      </c>
      <c r="D111" s="57">
        <v>110001308405</v>
      </c>
      <c r="E111" s="57">
        <v>110001308406</v>
      </c>
      <c r="F111" s="58" t="s">
        <v>303</v>
      </c>
      <c r="G111" s="59">
        <v>600</v>
      </c>
      <c r="H111" s="60">
        <v>46131</v>
      </c>
      <c r="I111" s="55">
        <f t="shared" si="4"/>
        <v>46129</v>
      </c>
      <c r="J111" s="57" t="e">
        <f>VLOOKUP(D111,#REF!,4,0)</f>
        <v>#REF!</v>
      </c>
      <c r="K111" s="4"/>
      <c r="L111" s="62"/>
      <c r="M111" s="63"/>
    </row>
    <row r="112" spans="1:13" s="45" customFormat="1" ht="13.25" customHeight="1" x14ac:dyDescent="0.3">
      <c r="A112" s="55">
        <v>46130</v>
      </c>
      <c r="B112" s="56">
        <f>VLOOKUP(C112,[7]完成订单!$D:$D,1,0)</f>
        <v>10880032942</v>
      </c>
      <c r="C112" s="57">
        <v>10880032942</v>
      </c>
      <c r="D112" s="57">
        <v>110001267235</v>
      </c>
      <c r="E112" s="57">
        <v>110001267235</v>
      </c>
      <c r="F112" s="58" t="s">
        <v>304</v>
      </c>
      <c r="G112" s="59">
        <v>680</v>
      </c>
      <c r="H112" s="60">
        <v>46135</v>
      </c>
      <c r="I112" s="55">
        <v>46130</v>
      </c>
      <c r="J112" s="57" t="e">
        <f>VLOOKUP(D112,#REF!,4,0)</f>
        <v>#REF!</v>
      </c>
      <c r="K112" s="4"/>
      <c r="L112" s="62"/>
      <c r="M112" s="63"/>
    </row>
    <row r="113" spans="1:13" s="45" customFormat="1" ht="13.25" customHeight="1" x14ac:dyDescent="0.3">
      <c r="A113" s="55">
        <v>46130</v>
      </c>
      <c r="B113" s="56" t="e">
        <f>VLOOKUP(C113,[7]完成订单!$D:$D,1,0)</f>
        <v>#N/A</v>
      </c>
      <c r="C113" s="57">
        <v>10400026579</v>
      </c>
      <c r="D113" s="57">
        <v>110001267235</v>
      </c>
      <c r="E113" s="57">
        <v>110001267236</v>
      </c>
      <c r="F113" s="58" t="s">
        <v>305</v>
      </c>
      <c r="G113" s="59">
        <v>680</v>
      </c>
      <c r="H113" s="60">
        <v>46133</v>
      </c>
      <c r="I113" s="55">
        <v>46130</v>
      </c>
      <c r="J113" s="57" t="e">
        <f>VLOOKUP(D113,#REF!,4,0)</f>
        <v>#REF!</v>
      </c>
      <c r="K113" s="4"/>
      <c r="L113" s="62"/>
      <c r="M113" s="63"/>
    </row>
    <row r="114" spans="1:13" s="45" customFormat="1" ht="13.25" customHeight="1" x14ac:dyDescent="0.3">
      <c r="A114" s="55">
        <v>46130</v>
      </c>
      <c r="B114" s="56">
        <f>VLOOKUP(C114,[7]完成订单!$D:$D,1,0)</f>
        <v>10880036432</v>
      </c>
      <c r="C114" s="57">
        <v>10880036432</v>
      </c>
      <c r="D114" s="57">
        <v>110001271444</v>
      </c>
      <c r="E114" s="57">
        <v>110001271444</v>
      </c>
      <c r="F114" s="58" t="s">
        <v>226</v>
      </c>
      <c r="G114" s="59">
        <v>4000</v>
      </c>
      <c r="H114" s="60">
        <v>46131</v>
      </c>
      <c r="I114" s="55">
        <v>46130</v>
      </c>
      <c r="J114" s="57" t="e">
        <f>VLOOKUP(D114,#REF!,4,0)</f>
        <v>#REF!</v>
      </c>
      <c r="K114" s="4"/>
      <c r="L114" s="62"/>
      <c r="M114" s="63"/>
    </row>
    <row r="115" spans="1:13" s="45" customFormat="1" ht="13.25" customHeight="1" x14ac:dyDescent="0.3">
      <c r="A115" s="55">
        <v>46130</v>
      </c>
      <c r="B115" s="56" t="e">
        <f>VLOOKUP(C115,[7]完成订单!$D:$D,1,0)</f>
        <v>#N/A</v>
      </c>
      <c r="C115" s="57">
        <v>10400031033</v>
      </c>
      <c r="D115" s="57">
        <v>110001271444</v>
      </c>
      <c r="E115" s="57">
        <v>110001271445</v>
      </c>
      <c r="F115" s="58" t="s">
        <v>306</v>
      </c>
      <c r="G115" s="59">
        <v>4000</v>
      </c>
      <c r="H115" s="60">
        <v>46129</v>
      </c>
      <c r="I115" s="55">
        <v>46130</v>
      </c>
      <c r="J115" s="57" t="e">
        <f>VLOOKUP(D115,#REF!,4,0)</f>
        <v>#REF!</v>
      </c>
      <c r="K115" s="4"/>
      <c r="L115" s="62"/>
      <c r="M115" s="63"/>
    </row>
    <row r="116" spans="1:13" s="45" customFormat="1" ht="13.25" customHeight="1" x14ac:dyDescent="0.3">
      <c r="A116" s="55">
        <v>46130</v>
      </c>
      <c r="B116" s="56">
        <f>VLOOKUP(C116,[7]完成订单!$D:$D,1,0)</f>
        <v>10880020048</v>
      </c>
      <c r="C116" s="57">
        <v>10880020048</v>
      </c>
      <c r="D116" s="57">
        <v>110001288251</v>
      </c>
      <c r="E116" s="57">
        <v>110001288251</v>
      </c>
      <c r="F116" s="58" t="s">
        <v>197</v>
      </c>
      <c r="G116" s="59">
        <v>1100</v>
      </c>
      <c r="H116" s="60">
        <v>46134</v>
      </c>
      <c r="I116" s="55">
        <v>46130</v>
      </c>
      <c r="J116" s="57" t="e">
        <f>VLOOKUP(D116,#REF!,4,0)</f>
        <v>#REF!</v>
      </c>
      <c r="K116" s="4"/>
      <c r="L116" s="62"/>
      <c r="M116" s="63"/>
    </row>
    <row r="117" spans="1:13" s="45" customFormat="1" ht="13.25" customHeight="1" x14ac:dyDescent="0.3">
      <c r="A117" s="55">
        <v>46130</v>
      </c>
      <c r="B117" s="56" t="e">
        <f>VLOOKUP(C117,[7]完成订单!$D:$D,1,0)</f>
        <v>#N/A</v>
      </c>
      <c r="C117" s="57">
        <v>10400019509</v>
      </c>
      <c r="D117" s="57">
        <v>110001288251</v>
      </c>
      <c r="E117" s="57">
        <v>110001288252</v>
      </c>
      <c r="F117" s="58" t="s">
        <v>197</v>
      </c>
      <c r="G117" s="59">
        <v>1100</v>
      </c>
      <c r="H117" s="60">
        <v>46132</v>
      </c>
      <c r="I117" s="55">
        <v>46130</v>
      </c>
      <c r="J117" s="57" t="e">
        <f>VLOOKUP(D117,#REF!,4,0)</f>
        <v>#REF!</v>
      </c>
      <c r="K117" s="4"/>
      <c r="L117" s="62"/>
      <c r="M117" s="63"/>
    </row>
    <row r="118" spans="1:13" s="45" customFormat="1" ht="13.25" customHeight="1" x14ac:dyDescent="0.3">
      <c r="A118" s="55">
        <v>46130</v>
      </c>
      <c r="B118" s="56">
        <f>VLOOKUP(C118,[7]完成订单!$D:$D,1,0)</f>
        <v>10880032943</v>
      </c>
      <c r="C118" s="57">
        <v>10880032943</v>
      </c>
      <c r="D118" s="57">
        <v>110001288341</v>
      </c>
      <c r="E118" s="57">
        <v>110001288341</v>
      </c>
      <c r="F118" s="58" t="s">
        <v>307</v>
      </c>
      <c r="G118" s="59">
        <v>500</v>
      </c>
      <c r="H118" s="60">
        <v>46135</v>
      </c>
      <c r="I118" s="55">
        <v>46130</v>
      </c>
      <c r="J118" s="57" t="e">
        <f>VLOOKUP(D118,#REF!,4,0)</f>
        <v>#REF!</v>
      </c>
      <c r="K118" s="4"/>
      <c r="L118" s="62"/>
      <c r="M118" s="63"/>
    </row>
    <row r="119" spans="1:13" s="45" customFormat="1" ht="13.25" customHeight="1" x14ac:dyDescent="0.3">
      <c r="A119" s="55">
        <v>46130</v>
      </c>
      <c r="B119" s="56" t="e">
        <f>VLOOKUP(C119,[7]完成订单!$D:$D,1,0)</f>
        <v>#N/A</v>
      </c>
      <c r="C119" s="57">
        <v>10400026577</v>
      </c>
      <c r="D119" s="57">
        <v>110001288341</v>
      </c>
      <c r="E119" s="57">
        <v>110001288342</v>
      </c>
      <c r="F119" s="58" t="s">
        <v>308</v>
      </c>
      <c r="G119" s="59">
        <v>500</v>
      </c>
      <c r="H119" s="60">
        <v>46133</v>
      </c>
      <c r="I119" s="55">
        <v>46130</v>
      </c>
      <c r="J119" s="57" t="e">
        <f>VLOOKUP(D119,#REF!,4,0)</f>
        <v>#REF!</v>
      </c>
      <c r="K119" s="4"/>
      <c r="L119" s="62"/>
      <c r="M119" s="63"/>
    </row>
    <row r="120" spans="1:13" s="45" customFormat="1" ht="13.25" customHeight="1" x14ac:dyDescent="0.3">
      <c r="A120" s="55">
        <v>46130</v>
      </c>
      <c r="B120" s="56">
        <f>VLOOKUP(C120,[7]完成订单!$D:$D,1,0)</f>
        <v>10880035984</v>
      </c>
      <c r="C120" s="57">
        <v>10880035984</v>
      </c>
      <c r="D120" s="57">
        <v>110001288413</v>
      </c>
      <c r="E120" s="57">
        <v>110001288413</v>
      </c>
      <c r="F120" s="58" t="s">
        <v>309</v>
      </c>
      <c r="G120" s="59">
        <v>1500</v>
      </c>
      <c r="H120" s="60">
        <v>46135</v>
      </c>
      <c r="I120" s="55">
        <v>46130</v>
      </c>
      <c r="J120" s="57" t="e">
        <f>VLOOKUP(D120,#REF!,4,0)</f>
        <v>#REF!</v>
      </c>
      <c r="K120" s="4"/>
      <c r="L120" s="62"/>
      <c r="M120" s="63"/>
    </row>
    <row r="121" spans="1:13" s="45" customFormat="1" ht="13.25" customHeight="1" x14ac:dyDescent="0.3">
      <c r="A121" s="55">
        <v>46130</v>
      </c>
      <c r="B121" s="56" t="e">
        <f>VLOOKUP(C121,[7]完成订单!$D:$D,1,0)</f>
        <v>#N/A</v>
      </c>
      <c r="C121" s="57">
        <v>10400030451</v>
      </c>
      <c r="D121" s="57">
        <v>110001288413</v>
      </c>
      <c r="E121" s="57">
        <v>110001288414</v>
      </c>
      <c r="F121" s="58" t="s">
        <v>310</v>
      </c>
      <c r="G121" s="59">
        <v>1500</v>
      </c>
      <c r="H121" s="60">
        <v>46133</v>
      </c>
      <c r="I121" s="55">
        <v>46130</v>
      </c>
      <c r="J121" s="57" t="e">
        <f>VLOOKUP(D121,#REF!,4,0)</f>
        <v>#REF!</v>
      </c>
      <c r="K121" s="4"/>
      <c r="L121" s="62"/>
      <c r="M121" s="63"/>
    </row>
    <row r="122" spans="1:13" s="45" customFormat="1" ht="13.25" customHeight="1" x14ac:dyDescent="0.3">
      <c r="A122" s="55">
        <v>46130</v>
      </c>
      <c r="B122" s="56">
        <f>VLOOKUP(C122,[7]完成订单!$D:$D,1,0)</f>
        <v>10880036423</v>
      </c>
      <c r="C122" s="57">
        <v>10880036423</v>
      </c>
      <c r="D122" s="57">
        <v>110001288431</v>
      </c>
      <c r="E122" s="57">
        <v>110001288431</v>
      </c>
      <c r="F122" s="58" t="s">
        <v>170</v>
      </c>
      <c r="G122" s="59">
        <v>1500</v>
      </c>
      <c r="H122" s="60">
        <v>46133</v>
      </c>
      <c r="I122" s="55">
        <v>46130</v>
      </c>
      <c r="J122" s="57" t="e">
        <f>VLOOKUP(D122,#REF!,4,0)</f>
        <v>#REF!</v>
      </c>
      <c r="K122" s="4"/>
      <c r="L122" s="62"/>
      <c r="M122" s="63"/>
    </row>
    <row r="123" spans="1:13" s="45" customFormat="1" ht="13.25" customHeight="1" x14ac:dyDescent="0.3">
      <c r="A123" s="55">
        <v>46130</v>
      </c>
      <c r="B123" s="56" t="e">
        <f>VLOOKUP(C123,[7]完成订单!$D:$D,1,0)</f>
        <v>#N/A</v>
      </c>
      <c r="C123" s="57">
        <v>10400031020</v>
      </c>
      <c r="D123" s="57">
        <v>110001288431</v>
      </c>
      <c r="E123" s="57">
        <v>110001288432</v>
      </c>
      <c r="F123" s="58" t="s">
        <v>311</v>
      </c>
      <c r="G123" s="59">
        <v>1500</v>
      </c>
      <c r="H123" s="60">
        <v>46131</v>
      </c>
      <c r="I123" s="55">
        <v>46130</v>
      </c>
      <c r="J123" s="57" t="e">
        <f>VLOOKUP(D123,#REF!,4,0)</f>
        <v>#REF!</v>
      </c>
      <c r="K123" s="4"/>
      <c r="L123" s="62"/>
      <c r="M123" s="63"/>
    </row>
    <row r="124" spans="1:13" s="45" customFormat="1" ht="13.25" customHeight="1" x14ac:dyDescent="0.3">
      <c r="A124" s="55">
        <v>46130</v>
      </c>
      <c r="B124" s="56">
        <f>VLOOKUP(C124,[7]完成订单!$D:$D,1,0)</f>
        <v>10880036764</v>
      </c>
      <c r="C124" s="57">
        <v>10880036764</v>
      </c>
      <c r="D124" s="57">
        <v>110001288475</v>
      </c>
      <c r="E124" s="57">
        <v>110001288475</v>
      </c>
      <c r="F124" s="58" t="s">
        <v>190</v>
      </c>
      <c r="G124" s="59">
        <v>200</v>
      </c>
      <c r="H124" s="60">
        <v>46133</v>
      </c>
      <c r="I124" s="55">
        <v>46130</v>
      </c>
      <c r="J124" s="57" t="e">
        <f>VLOOKUP(D124,#REF!,4,0)</f>
        <v>#REF!</v>
      </c>
      <c r="K124" s="4"/>
      <c r="L124" s="62"/>
      <c r="M124" s="63"/>
    </row>
    <row r="125" spans="1:13" s="45" customFormat="1" ht="13.25" customHeight="1" x14ac:dyDescent="0.3">
      <c r="A125" s="55">
        <v>46130</v>
      </c>
      <c r="B125" s="56" t="e">
        <f>VLOOKUP(C125,[7]完成订单!$D:$D,1,0)</f>
        <v>#N/A</v>
      </c>
      <c r="C125" s="57">
        <v>10400031490</v>
      </c>
      <c r="D125" s="57">
        <v>110001288475</v>
      </c>
      <c r="E125" s="57">
        <v>110001288476</v>
      </c>
      <c r="F125" s="58" t="s">
        <v>312</v>
      </c>
      <c r="G125" s="59">
        <v>200</v>
      </c>
      <c r="H125" s="60">
        <v>46131</v>
      </c>
      <c r="I125" s="55">
        <v>46130</v>
      </c>
      <c r="J125" s="57" t="e">
        <f>VLOOKUP(D125,#REF!,4,0)</f>
        <v>#REF!</v>
      </c>
      <c r="K125" s="4"/>
      <c r="L125" s="62"/>
      <c r="M125" s="63"/>
    </row>
    <row r="126" spans="1:13" s="45" customFormat="1" ht="13.25" customHeight="1" x14ac:dyDescent="0.3">
      <c r="A126" s="55">
        <v>46130</v>
      </c>
      <c r="B126" s="56">
        <f>VLOOKUP(C126,[7]完成订单!$D:$D,1,0)</f>
        <v>10880037200</v>
      </c>
      <c r="C126" s="57">
        <v>10880037200</v>
      </c>
      <c r="D126" s="57">
        <v>110001288495</v>
      </c>
      <c r="E126" s="57">
        <v>110001288495</v>
      </c>
      <c r="F126" s="58" t="s">
        <v>313</v>
      </c>
      <c r="G126" s="59">
        <v>180</v>
      </c>
      <c r="H126" s="60">
        <v>46135</v>
      </c>
      <c r="I126" s="55">
        <v>46130</v>
      </c>
      <c r="J126" s="57" t="e">
        <f>VLOOKUP(D126,#REF!,4,0)</f>
        <v>#REF!</v>
      </c>
      <c r="K126" s="4"/>
      <c r="L126" s="62"/>
      <c r="M126" s="63"/>
    </row>
    <row r="127" spans="1:13" s="45" customFormat="1" ht="13.25" customHeight="1" x14ac:dyDescent="0.3">
      <c r="A127" s="55">
        <v>46130</v>
      </c>
      <c r="B127" s="56" t="e">
        <f>VLOOKUP(C127,[7]完成订单!$D:$D,1,0)</f>
        <v>#N/A</v>
      </c>
      <c r="C127" s="57">
        <v>10400032111</v>
      </c>
      <c r="D127" s="57">
        <v>110001288495</v>
      </c>
      <c r="E127" s="57">
        <v>110001288496</v>
      </c>
      <c r="F127" s="58" t="s">
        <v>314</v>
      </c>
      <c r="G127" s="59">
        <v>180</v>
      </c>
      <c r="H127" s="60">
        <v>46133</v>
      </c>
      <c r="I127" s="55">
        <v>46130</v>
      </c>
      <c r="J127" s="57" t="e">
        <f>VLOOKUP(D127,#REF!,4,0)</f>
        <v>#REF!</v>
      </c>
      <c r="K127" s="4"/>
      <c r="L127" s="62"/>
      <c r="M127" s="63"/>
    </row>
    <row r="128" spans="1:13" s="45" customFormat="1" ht="13.25" customHeight="1" x14ac:dyDescent="0.3">
      <c r="A128" s="55">
        <v>46130</v>
      </c>
      <c r="B128" s="56">
        <f>VLOOKUP(C128,[7]完成订单!$D:$D,1,0)</f>
        <v>10880033996</v>
      </c>
      <c r="C128" s="57">
        <v>10880033996</v>
      </c>
      <c r="D128" s="57">
        <v>110001290280</v>
      </c>
      <c r="E128" s="57">
        <v>110001290280</v>
      </c>
      <c r="F128" s="58" t="s">
        <v>315</v>
      </c>
      <c r="G128" s="59">
        <v>600</v>
      </c>
      <c r="H128" s="60">
        <v>46135</v>
      </c>
      <c r="I128" s="55">
        <v>46130</v>
      </c>
      <c r="J128" s="57" t="e">
        <f>VLOOKUP(D128,#REF!,4,0)</f>
        <v>#REF!</v>
      </c>
      <c r="K128" s="4"/>
      <c r="L128" s="62"/>
      <c r="M128" s="63"/>
    </row>
    <row r="129" spans="1:13" s="45" customFormat="1" ht="13.25" customHeight="1" x14ac:dyDescent="0.3">
      <c r="A129" s="55">
        <v>46130</v>
      </c>
      <c r="B129" s="56" t="e">
        <f>VLOOKUP(C129,[7]完成订单!$D:$D,1,0)</f>
        <v>#N/A</v>
      </c>
      <c r="C129" s="57">
        <v>10400027798</v>
      </c>
      <c r="D129" s="57">
        <v>110001290280</v>
      </c>
      <c r="E129" s="57">
        <v>110001290281</v>
      </c>
      <c r="F129" s="58" t="s">
        <v>315</v>
      </c>
      <c r="G129" s="59">
        <v>600</v>
      </c>
      <c r="H129" s="60">
        <v>46133</v>
      </c>
      <c r="I129" s="55">
        <v>46130</v>
      </c>
      <c r="J129" s="57" t="e">
        <f>VLOOKUP(D129,#REF!,4,0)</f>
        <v>#REF!</v>
      </c>
      <c r="K129" s="4"/>
      <c r="L129" s="62"/>
      <c r="M129" s="63"/>
    </row>
    <row r="130" spans="1:13" s="45" customFormat="1" ht="13.25" customHeight="1" x14ac:dyDescent="0.3">
      <c r="A130" s="55">
        <v>46130</v>
      </c>
      <c r="B130" s="56">
        <f>VLOOKUP(C130,[7]完成订单!$D:$D,1,0)</f>
        <v>10880037047</v>
      </c>
      <c r="C130" s="57">
        <v>10880037047</v>
      </c>
      <c r="D130" s="57">
        <v>110001292445</v>
      </c>
      <c r="E130" s="57">
        <v>110001292445</v>
      </c>
      <c r="F130" s="58" t="s">
        <v>316</v>
      </c>
      <c r="G130" s="59">
        <v>700</v>
      </c>
      <c r="H130" s="60">
        <v>46135</v>
      </c>
      <c r="I130" s="55">
        <v>46130</v>
      </c>
      <c r="J130" s="57" t="e">
        <f>VLOOKUP(D130,#REF!,4,0)</f>
        <v>#REF!</v>
      </c>
      <c r="K130" s="4"/>
      <c r="L130" s="62"/>
      <c r="M130" s="63"/>
    </row>
    <row r="131" spans="1:13" s="45" customFormat="1" ht="13.25" customHeight="1" x14ac:dyDescent="0.3">
      <c r="A131" s="55">
        <v>46130</v>
      </c>
      <c r="B131" s="56" t="e">
        <f>VLOOKUP(C131,[7]完成订单!$D:$D,1,0)</f>
        <v>#N/A</v>
      </c>
      <c r="C131" s="57">
        <v>10400031884</v>
      </c>
      <c r="D131" s="57">
        <v>110001292445</v>
      </c>
      <c r="E131" s="57">
        <v>110001292446</v>
      </c>
      <c r="F131" s="58" t="s">
        <v>317</v>
      </c>
      <c r="G131" s="59">
        <v>700</v>
      </c>
      <c r="H131" s="60">
        <v>46133</v>
      </c>
      <c r="I131" s="55">
        <v>46130</v>
      </c>
      <c r="J131" s="57" t="e">
        <f>VLOOKUP(D131,#REF!,4,0)</f>
        <v>#REF!</v>
      </c>
      <c r="K131" s="4"/>
      <c r="L131" s="62"/>
      <c r="M131" s="63"/>
    </row>
    <row r="132" spans="1:13" s="45" customFormat="1" ht="13.25" customHeight="1" x14ac:dyDescent="0.3">
      <c r="A132" s="55">
        <v>46130</v>
      </c>
      <c r="B132" s="56">
        <f>VLOOKUP(C132,[7]完成订单!$D:$D,1,0)</f>
        <v>10880032774</v>
      </c>
      <c r="C132" s="57">
        <v>10880032774</v>
      </c>
      <c r="D132" s="57">
        <v>110001296262</v>
      </c>
      <c r="E132" s="57">
        <v>110001296262</v>
      </c>
      <c r="F132" s="58" t="s">
        <v>318</v>
      </c>
      <c r="G132" s="59">
        <v>300</v>
      </c>
      <c r="H132" s="60">
        <v>46135</v>
      </c>
      <c r="I132" s="55">
        <v>46130</v>
      </c>
      <c r="J132" s="57" t="e">
        <f>VLOOKUP(D132,#REF!,4,0)</f>
        <v>#REF!</v>
      </c>
      <c r="K132" s="4"/>
      <c r="L132" s="62"/>
      <c r="M132" s="63"/>
    </row>
    <row r="133" spans="1:13" s="45" customFormat="1" ht="13.25" customHeight="1" x14ac:dyDescent="0.3">
      <c r="A133" s="55">
        <v>46130</v>
      </c>
      <c r="B133" s="56" t="e">
        <f>VLOOKUP(C133,[7]完成订单!$D:$D,1,0)</f>
        <v>#N/A</v>
      </c>
      <c r="C133" s="57">
        <v>10400026388</v>
      </c>
      <c r="D133" s="57">
        <v>110001296262</v>
      </c>
      <c r="E133" s="57">
        <v>110001296263</v>
      </c>
      <c r="F133" s="58" t="s">
        <v>319</v>
      </c>
      <c r="G133" s="59">
        <v>300</v>
      </c>
      <c r="H133" s="60">
        <v>46133</v>
      </c>
      <c r="I133" s="55">
        <v>46130</v>
      </c>
      <c r="J133" s="57" t="e">
        <f>VLOOKUP(D133,#REF!,4,0)</f>
        <v>#REF!</v>
      </c>
      <c r="K133" s="4"/>
      <c r="L133" s="62"/>
      <c r="M133" s="63"/>
    </row>
    <row r="134" spans="1:13" s="45" customFormat="1" ht="13.25" customHeight="1" x14ac:dyDescent="0.3">
      <c r="A134" s="55">
        <v>46130</v>
      </c>
      <c r="B134" s="56">
        <f>VLOOKUP(C134,[7]完成订单!$D:$D,1,0)</f>
        <v>10880036706</v>
      </c>
      <c r="C134" s="57">
        <v>10880036706</v>
      </c>
      <c r="D134" s="57">
        <v>110001296290</v>
      </c>
      <c r="E134" s="57">
        <v>110001296290</v>
      </c>
      <c r="F134" s="58" t="s">
        <v>181</v>
      </c>
      <c r="G134" s="59">
        <v>1000</v>
      </c>
      <c r="H134" s="60">
        <v>46134</v>
      </c>
      <c r="I134" s="55">
        <v>46130</v>
      </c>
      <c r="J134" s="57" t="e">
        <f>VLOOKUP(D134,#REF!,4,0)</f>
        <v>#REF!</v>
      </c>
      <c r="K134" s="4"/>
      <c r="L134" s="62"/>
      <c r="M134" s="63"/>
    </row>
    <row r="135" spans="1:13" s="45" customFormat="1" ht="13.25" customHeight="1" x14ac:dyDescent="0.3">
      <c r="A135" s="55">
        <v>46130</v>
      </c>
      <c r="B135" s="56" t="e">
        <f>VLOOKUP(C135,[7]完成订单!$D:$D,1,0)</f>
        <v>#N/A</v>
      </c>
      <c r="C135" s="57">
        <v>10400031422</v>
      </c>
      <c r="D135" s="57">
        <v>110001296290</v>
      </c>
      <c r="E135" s="57">
        <v>110001296291</v>
      </c>
      <c r="F135" s="58" t="s">
        <v>320</v>
      </c>
      <c r="G135" s="59">
        <v>1000</v>
      </c>
      <c r="H135" s="60">
        <v>46132</v>
      </c>
      <c r="I135" s="55">
        <v>46130</v>
      </c>
      <c r="J135" s="57" t="e">
        <f>VLOOKUP(D135,#REF!,4,0)</f>
        <v>#REF!</v>
      </c>
      <c r="K135" s="4"/>
      <c r="L135" s="62"/>
      <c r="M135" s="63"/>
    </row>
    <row r="136" spans="1:13" s="45" customFormat="1" ht="13.25" customHeight="1" x14ac:dyDescent="0.3">
      <c r="A136" s="55">
        <v>46130</v>
      </c>
      <c r="B136" s="56">
        <f>VLOOKUP(C136,[7]完成订单!$D:$D,1,0)</f>
        <v>10880033329</v>
      </c>
      <c r="C136" s="57">
        <v>10880033329</v>
      </c>
      <c r="D136" s="57">
        <v>110001296368</v>
      </c>
      <c r="E136" s="57">
        <v>110001296368</v>
      </c>
      <c r="F136" s="58" t="s">
        <v>71</v>
      </c>
      <c r="G136" s="59">
        <v>2000</v>
      </c>
      <c r="H136" s="60">
        <v>46134</v>
      </c>
      <c r="I136" s="55">
        <v>46130</v>
      </c>
      <c r="J136" s="57" t="e">
        <f>VLOOKUP(D136,#REF!,4,0)</f>
        <v>#REF!</v>
      </c>
      <c r="K136" s="4"/>
      <c r="L136" s="62"/>
      <c r="M136" s="63"/>
    </row>
    <row r="137" spans="1:13" s="45" customFormat="1" ht="13.25" customHeight="1" x14ac:dyDescent="0.3">
      <c r="A137" s="55">
        <v>46130</v>
      </c>
      <c r="B137" s="56" t="e">
        <f>VLOOKUP(C137,[7]完成订单!$D:$D,1,0)</f>
        <v>#N/A</v>
      </c>
      <c r="C137" s="57">
        <v>10400027055</v>
      </c>
      <c r="D137" s="57">
        <v>110001296368</v>
      </c>
      <c r="E137" s="57">
        <v>110001296369</v>
      </c>
      <c r="F137" s="58" t="s">
        <v>71</v>
      </c>
      <c r="G137" s="59">
        <v>2000</v>
      </c>
      <c r="H137" s="60">
        <v>46132</v>
      </c>
      <c r="I137" s="55">
        <v>46130</v>
      </c>
      <c r="J137" s="57" t="e">
        <f>VLOOKUP(D137,#REF!,4,0)</f>
        <v>#REF!</v>
      </c>
      <c r="K137" s="4"/>
      <c r="L137" s="62"/>
      <c r="M137" s="63"/>
    </row>
    <row r="138" spans="1:13" s="45" customFormat="1" ht="13.25" customHeight="1" x14ac:dyDescent="0.3">
      <c r="A138" s="55">
        <v>46130</v>
      </c>
      <c r="B138" s="56">
        <f>VLOOKUP(C138,[7]完成订单!$D:$D,1,0)</f>
        <v>10880032933</v>
      </c>
      <c r="C138" s="57">
        <v>10880032933</v>
      </c>
      <c r="D138" s="57">
        <v>110001302993</v>
      </c>
      <c r="E138" s="57">
        <v>110001302993</v>
      </c>
      <c r="F138" s="58" t="s">
        <v>321</v>
      </c>
      <c r="G138" s="59">
        <v>250</v>
      </c>
      <c r="H138" s="60">
        <v>46135</v>
      </c>
      <c r="I138" s="55">
        <v>46130</v>
      </c>
      <c r="J138" s="57" t="e">
        <f>VLOOKUP(D138,#REF!,4,0)</f>
        <v>#REF!</v>
      </c>
      <c r="K138" s="4"/>
      <c r="L138" s="62"/>
      <c r="M138" s="63"/>
    </row>
    <row r="139" spans="1:13" s="45" customFormat="1" ht="13.25" customHeight="1" x14ac:dyDescent="0.3">
      <c r="A139" s="55">
        <v>46130</v>
      </c>
      <c r="B139" s="56" t="e">
        <f>VLOOKUP(C139,[7]完成订单!$D:$D,1,0)</f>
        <v>#N/A</v>
      </c>
      <c r="C139" s="57">
        <v>10400026570</v>
      </c>
      <c r="D139" s="57">
        <v>110001302993</v>
      </c>
      <c r="E139" s="57">
        <v>110001302994</v>
      </c>
      <c r="F139" s="58" t="s">
        <v>322</v>
      </c>
      <c r="G139" s="59">
        <v>250</v>
      </c>
      <c r="H139" s="60">
        <v>46133</v>
      </c>
      <c r="I139" s="55">
        <v>46130</v>
      </c>
      <c r="J139" s="57" t="e">
        <f>VLOOKUP(D139,#REF!,4,0)</f>
        <v>#REF!</v>
      </c>
      <c r="K139" s="4"/>
      <c r="L139" s="62"/>
      <c r="M139" s="63"/>
    </row>
    <row r="140" spans="1:13" s="45" customFormat="1" ht="13.25" customHeight="1" x14ac:dyDescent="0.3">
      <c r="A140" s="55">
        <v>46130</v>
      </c>
      <c r="B140" s="56">
        <f>VLOOKUP(C140,[7]完成订单!$D:$D,1,0)</f>
        <v>10880035534</v>
      </c>
      <c r="C140" s="57">
        <v>10880035534</v>
      </c>
      <c r="D140" s="57">
        <v>110001307024</v>
      </c>
      <c r="E140" s="57">
        <v>110001307024</v>
      </c>
      <c r="F140" s="58" t="s">
        <v>176</v>
      </c>
      <c r="G140" s="59">
        <v>400</v>
      </c>
      <c r="H140" s="60">
        <v>46134</v>
      </c>
      <c r="I140" s="55">
        <v>46130</v>
      </c>
      <c r="J140" s="57" t="e">
        <f>VLOOKUP(D140,#REF!,4,0)</f>
        <v>#REF!</v>
      </c>
      <c r="K140" s="4"/>
      <c r="L140" s="62"/>
      <c r="M140" s="63"/>
    </row>
    <row r="141" spans="1:13" s="45" customFormat="1" ht="13.25" customHeight="1" x14ac:dyDescent="0.3">
      <c r="A141" s="55">
        <v>46130</v>
      </c>
      <c r="B141" s="56" t="e">
        <f>VLOOKUP(C141,[7]完成订单!$D:$D,1,0)</f>
        <v>#N/A</v>
      </c>
      <c r="C141" s="57">
        <v>10400029807</v>
      </c>
      <c r="D141" s="57">
        <v>110001307024</v>
      </c>
      <c r="E141" s="57">
        <v>110001307025</v>
      </c>
      <c r="F141" s="58" t="s">
        <v>323</v>
      </c>
      <c r="G141" s="59">
        <v>400</v>
      </c>
      <c r="H141" s="60">
        <v>46132</v>
      </c>
      <c r="I141" s="55">
        <v>46130</v>
      </c>
      <c r="J141" s="57" t="e">
        <f>VLOOKUP(D141,#REF!,4,0)</f>
        <v>#REF!</v>
      </c>
      <c r="K141" s="4"/>
      <c r="L141" s="62"/>
      <c r="M141" s="63"/>
    </row>
    <row r="142" spans="1:13" s="45" customFormat="1" ht="13.25" customHeight="1" x14ac:dyDescent="0.3">
      <c r="A142" s="55">
        <v>46130</v>
      </c>
      <c r="B142" s="56">
        <f>VLOOKUP(C142,[7]完成订单!$D:$D,1,0)</f>
        <v>10880036432</v>
      </c>
      <c r="C142" s="57">
        <v>10880036432</v>
      </c>
      <c r="D142" s="57">
        <v>110001267117</v>
      </c>
      <c r="E142" s="57">
        <v>110001267117</v>
      </c>
      <c r="F142" s="58" t="s">
        <v>226</v>
      </c>
      <c r="G142" s="59">
        <v>3000</v>
      </c>
      <c r="H142" s="60">
        <v>46131</v>
      </c>
      <c r="I142" s="55">
        <v>46130</v>
      </c>
      <c r="J142" s="57" t="e">
        <f>VLOOKUP(D142,#REF!,4,0)</f>
        <v>#REF!</v>
      </c>
      <c r="K142" s="4"/>
      <c r="L142" s="62"/>
      <c r="M142" s="63"/>
    </row>
    <row r="143" spans="1:13" s="45" customFormat="1" ht="13.25" customHeight="1" x14ac:dyDescent="0.3">
      <c r="A143" s="55">
        <v>46130</v>
      </c>
      <c r="B143" s="56" t="e">
        <f>VLOOKUP(C143,[7]完成订单!$D:$D,1,0)</f>
        <v>#N/A</v>
      </c>
      <c r="C143" s="57">
        <v>10400031033</v>
      </c>
      <c r="D143" s="57">
        <v>110001267117</v>
      </c>
      <c r="E143" s="57">
        <v>110001267118</v>
      </c>
      <c r="F143" s="58" t="s">
        <v>306</v>
      </c>
      <c r="G143" s="59">
        <v>3000</v>
      </c>
      <c r="H143" s="60">
        <v>46129</v>
      </c>
      <c r="I143" s="55">
        <v>46130</v>
      </c>
      <c r="J143" s="57" t="e">
        <f>VLOOKUP(D143,#REF!,4,0)</f>
        <v>#REF!</v>
      </c>
      <c r="K143" s="4"/>
      <c r="L143" s="62"/>
      <c r="M143" s="63"/>
    </row>
    <row r="144" spans="1:13" s="45" customFormat="1" ht="13.25" customHeight="1" x14ac:dyDescent="0.3">
      <c r="A144" s="55">
        <v>46130</v>
      </c>
      <c r="B144" s="56">
        <f>VLOOKUP(C144,[7]完成订单!$D:$D,1,0)</f>
        <v>10880037370</v>
      </c>
      <c r="C144" s="57">
        <v>10880037370</v>
      </c>
      <c r="D144" s="57">
        <v>110001274912</v>
      </c>
      <c r="E144" s="57">
        <v>110001274912</v>
      </c>
      <c r="F144" s="58" t="s">
        <v>217</v>
      </c>
      <c r="G144" s="59">
        <v>6650</v>
      </c>
      <c r="H144" s="60">
        <v>46134</v>
      </c>
      <c r="I144" s="55">
        <v>46130</v>
      </c>
      <c r="J144" s="57" t="e">
        <f>VLOOKUP(D144,#REF!,4,0)</f>
        <v>#REF!</v>
      </c>
      <c r="K144" s="4"/>
      <c r="L144" s="62"/>
      <c r="M144" s="63"/>
    </row>
    <row r="145" spans="1:13" s="45" customFormat="1" ht="13.25" customHeight="1" x14ac:dyDescent="0.3">
      <c r="A145" s="55">
        <v>46130</v>
      </c>
      <c r="B145" s="56" t="e">
        <f>VLOOKUP(C145,[7]完成订单!$D:$D,1,0)</f>
        <v>#N/A</v>
      </c>
      <c r="C145" s="57">
        <v>10400032313</v>
      </c>
      <c r="D145" s="57">
        <v>110001274912</v>
      </c>
      <c r="E145" s="57">
        <v>110001274913</v>
      </c>
      <c r="F145" s="58" t="s">
        <v>324</v>
      </c>
      <c r="G145" s="59">
        <v>6650</v>
      </c>
      <c r="H145" s="60">
        <v>46132</v>
      </c>
      <c r="I145" s="55">
        <v>46130</v>
      </c>
      <c r="J145" s="57" t="e">
        <f>VLOOKUP(D145,#REF!,4,0)</f>
        <v>#REF!</v>
      </c>
      <c r="K145" s="4"/>
      <c r="L145" s="62"/>
      <c r="M145" s="63"/>
    </row>
    <row r="146" spans="1:13" s="45" customFormat="1" ht="13.25" customHeight="1" x14ac:dyDescent="0.3">
      <c r="A146" s="55">
        <v>46130</v>
      </c>
      <c r="B146" s="56">
        <f>VLOOKUP(C146,[7]完成订单!$D:$D,1,0)</f>
        <v>10880038122</v>
      </c>
      <c r="C146" s="57">
        <v>10880038122</v>
      </c>
      <c r="D146" s="57">
        <v>110001296425</v>
      </c>
      <c r="E146" s="57">
        <v>110001296425</v>
      </c>
      <c r="F146" s="58" t="s">
        <v>234</v>
      </c>
      <c r="G146" s="59">
        <v>2000</v>
      </c>
      <c r="H146" s="60">
        <v>46131</v>
      </c>
      <c r="I146" s="55">
        <v>46130</v>
      </c>
      <c r="J146" s="57" t="e">
        <f>VLOOKUP(D146,#REF!,4,0)</f>
        <v>#REF!</v>
      </c>
      <c r="K146" s="4"/>
      <c r="L146" s="62"/>
      <c r="M146" s="63"/>
    </row>
    <row r="147" spans="1:13" s="45" customFormat="1" ht="13.25" customHeight="1" x14ac:dyDescent="0.3">
      <c r="A147" s="55">
        <v>46130</v>
      </c>
      <c r="B147" s="56" t="e">
        <f>VLOOKUP(C147,[7]完成订单!$D:$D,1,0)</f>
        <v>#N/A</v>
      </c>
      <c r="C147" s="57">
        <v>10400033326</v>
      </c>
      <c r="D147" s="57">
        <v>110001296425</v>
      </c>
      <c r="E147" s="57">
        <v>110001296426</v>
      </c>
      <c r="F147" s="58" t="s">
        <v>325</v>
      </c>
      <c r="G147" s="59">
        <v>2000</v>
      </c>
      <c r="H147" s="60">
        <v>46129</v>
      </c>
      <c r="I147" s="55">
        <v>46130</v>
      </c>
      <c r="J147" s="57" t="e">
        <f>VLOOKUP(D147,#REF!,4,0)</f>
        <v>#REF!</v>
      </c>
      <c r="K147" s="4"/>
      <c r="L147" s="62"/>
      <c r="M147" s="63"/>
    </row>
    <row r="148" spans="1:13" s="45" customFormat="1" ht="13.25" customHeight="1" x14ac:dyDescent="0.3">
      <c r="A148" s="55">
        <v>46130</v>
      </c>
      <c r="B148" s="56">
        <f>VLOOKUP(C148,[7]完成订单!$D:$D,1,0)</f>
        <v>10880036058</v>
      </c>
      <c r="C148" s="57">
        <v>10880036058</v>
      </c>
      <c r="D148" s="57">
        <v>110001303029</v>
      </c>
      <c r="E148" s="57">
        <v>110001303029</v>
      </c>
      <c r="F148" s="58" t="s">
        <v>119</v>
      </c>
      <c r="G148" s="59">
        <v>500</v>
      </c>
      <c r="H148" s="60">
        <v>46134</v>
      </c>
      <c r="I148" s="55">
        <v>46130</v>
      </c>
      <c r="J148" s="57" t="e">
        <f>VLOOKUP(D148,#REF!,4,0)</f>
        <v>#REF!</v>
      </c>
      <c r="K148" s="4"/>
      <c r="L148" s="62"/>
      <c r="M148" s="63"/>
    </row>
    <row r="149" spans="1:13" s="45" customFormat="1" ht="13.25" customHeight="1" x14ac:dyDescent="0.3">
      <c r="A149" s="55">
        <v>46130</v>
      </c>
      <c r="B149" s="56">
        <f>VLOOKUP(C149,[7]完成订单!$D:$D,1,0)</f>
        <v>10400030543</v>
      </c>
      <c r="C149" s="57">
        <v>10400030543</v>
      </c>
      <c r="D149" s="57">
        <v>110001303029</v>
      </c>
      <c r="E149" s="57">
        <v>110001303030</v>
      </c>
      <c r="F149" s="58" t="s">
        <v>120</v>
      </c>
      <c r="G149" s="59">
        <v>500</v>
      </c>
      <c r="H149" s="60">
        <v>46133</v>
      </c>
      <c r="I149" s="55">
        <v>46130</v>
      </c>
      <c r="J149" s="57" t="e">
        <f>VLOOKUP(D149,#REF!,4,0)</f>
        <v>#REF!</v>
      </c>
      <c r="K149" s="4"/>
      <c r="L149" s="62"/>
      <c r="M149" s="63"/>
    </row>
    <row r="150" spans="1:13" s="45" customFormat="1" ht="13.25" customHeight="1" x14ac:dyDescent="0.3">
      <c r="A150" s="55">
        <v>46130</v>
      </c>
      <c r="B150" s="56">
        <f>VLOOKUP(C150,[7]完成订单!$D:$D,1,0)</f>
        <v>10400033234</v>
      </c>
      <c r="C150" s="57">
        <v>10400033234</v>
      </c>
      <c r="D150" s="57">
        <v>110001303029</v>
      </c>
      <c r="E150" s="57">
        <v>110001303031</v>
      </c>
      <c r="F150" s="58" t="s">
        <v>124</v>
      </c>
      <c r="G150" s="59">
        <v>500</v>
      </c>
      <c r="H150" s="60">
        <v>46134</v>
      </c>
      <c r="I150" s="55">
        <v>46130</v>
      </c>
      <c r="J150" s="57" t="e">
        <f>VLOOKUP(D150,#REF!,4,0)</f>
        <v>#REF!</v>
      </c>
      <c r="K150" s="4"/>
      <c r="L150" s="62"/>
      <c r="M150" s="63"/>
    </row>
    <row r="151" spans="1:13" s="45" customFormat="1" ht="13.25" customHeight="1" x14ac:dyDescent="0.3">
      <c r="A151" s="55">
        <v>46130</v>
      </c>
      <c r="B151" s="56" t="e">
        <f>VLOOKUP(C151,[7]完成订单!$D:$D,1,0)</f>
        <v>#N/A</v>
      </c>
      <c r="C151" s="57">
        <v>10400030539</v>
      </c>
      <c r="D151" s="57">
        <v>110001303029</v>
      </c>
      <c r="E151" s="57">
        <v>110001303032</v>
      </c>
      <c r="F151" s="58" t="s">
        <v>120</v>
      </c>
      <c r="G151" s="59">
        <v>500</v>
      </c>
      <c r="H151" s="60">
        <v>46132</v>
      </c>
      <c r="I151" s="55">
        <v>46130</v>
      </c>
      <c r="J151" s="57" t="e">
        <f>VLOOKUP(D151,#REF!,4,0)</f>
        <v>#REF!</v>
      </c>
      <c r="K151" s="4"/>
      <c r="L151" s="62"/>
      <c r="M151" s="63"/>
    </row>
    <row r="152" spans="1:13" s="45" customFormat="1" ht="13.25" customHeight="1" x14ac:dyDescent="0.3">
      <c r="A152" s="55">
        <v>46131</v>
      </c>
      <c r="B152" s="56">
        <f>VLOOKUP(C152,[7]完成订单!$D:$D,1,0)</f>
        <v>10880033785</v>
      </c>
      <c r="C152" s="57">
        <v>10880033785</v>
      </c>
      <c r="D152" s="57">
        <v>110001303404</v>
      </c>
      <c r="E152" s="57">
        <v>110001303404</v>
      </c>
      <c r="F152" s="58" t="s">
        <v>243</v>
      </c>
      <c r="G152" s="59">
        <v>2000</v>
      </c>
      <c r="H152" s="60">
        <v>46134</v>
      </c>
      <c r="I152" s="55">
        <v>46131</v>
      </c>
      <c r="J152" s="57" t="e">
        <f>VLOOKUP(D152,#REF!,4,0)</f>
        <v>#REF!</v>
      </c>
      <c r="K152" s="4"/>
      <c r="L152" s="62"/>
      <c r="M152" s="63"/>
    </row>
    <row r="153" spans="1:13" s="45" customFormat="1" ht="13.25" customHeight="1" x14ac:dyDescent="0.3">
      <c r="A153" s="55">
        <v>46131</v>
      </c>
      <c r="B153" s="56" t="e">
        <f>VLOOKUP(C153,[7]完成订单!$D:$D,1,0)</f>
        <v>#N/A</v>
      </c>
      <c r="C153" s="57">
        <v>10400027588</v>
      </c>
      <c r="D153" s="57">
        <v>110001303404</v>
      </c>
      <c r="E153" s="57">
        <v>110001303405</v>
      </c>
      <c r="F153" s="58" t="s">
        <v>243</v>
      </c>
      <c r="G153" s="59">
        <v>2000</v>
      </c>
      <c r="H153" s="60">
        <v>46132</v>
      </c>
      <c r="I153" s="55">
        <v>46131</v>
      </c>
      <c r="J153" s="57" t="e">
        <f>VLOOKUP(D153,#REF!,4,0)</f>
        <v>#REF!</v>
      </c>
      <c r="K153" s="4"/>
      <c r="L153" s="62"/>
      <c r="M153" s="63"/>
    </row>
    <row r="154" spans="1:13" s="45" customFormat="1" ht="13.25" customHeight="1" x14ac:dyDescent="0.3">
      <c r="A154" s="55">
        <v>46132</v>
      </c>
      <c r="B154" s="56">
        <f>VLOOKUP(C154,[7]完成订单!$D:$D,1,0)</f>
        <v>10880037377</v>
      </c>
      <c r="C154" s="57">
        <v>10880037377</v>
      </c>
      <c r="D154" s="57">
        <v>110001279039</v>
      </c>
      <c r="E154" s="57">
        <v>110001279039</v>
      </c>
      <c r="F154" s="58" t="s">
        <v>60</v>
      </c>
      <c r="G154" s="59">
        <v>7500</v>
      </c>
      <c r="H154" s="60">
        <v>46136</v>
      </c>
      <c r="I154" s="55">
        <v>46132</v>
      </c>
      <c r="J154" s="57">
        <v>7500</v>
      </c>
      <c r="K154" s="4">
        <f t="shared" ref="K154:K180" si="5">+J154-G154</f>
        <v>0</v>
      </c>
      <c r="L154" s="62"/>
      <c r="M154" s="63"/>
    </row>
    <row r="155" spans="1:13" s="45" customFormat="1" ht="13.25" customHeight="1" x14ac:dyDescent="0.3">
      <c r="A155" s="55">
        <v>46132</v>
      </c>
      <c r="B155" s="56" t="e">
        <f>VLOOKUP(C155,[7]完成订单!$D:$D,1,0)</f>
        <v>#N/A</v>
      </c>
      <c r="C155" s="57">
        <v>10400032318</v>
      </c>
      <c r="D155" s="57">
        <v>110001279039</v>
      </c>
      <c r="E155" s="57">
        <v>110001279044</v>
      </c>
      <c r="F155" s="58" t="s">
        <v>326</v>
      </c>
      <c r="G155" s="59">
        <v>7500</v>
      </c>
      <c r="H155" s="60">
        <v>46134</v>
      </c>
      <c r="I155" s="55">
        <v>46132</v>
      </c>
      <c r="J155" s="57">
        <v>7500</v>
      </c>
      <c r="K155" s="4">
        <f t="shared" si="5"/>
        <v>0</v>
      </c>
      <c r="L155" s="62"/>
      <c r="M155" s="63"/>
    </row>
    <row r="156" spans="1:13" s="45" customFormat="1" ht="13.25" customHeight="1" x14ac:dyDescent="0.3">
      <c r="A156" s="55">
        <v>46132</v>
      </c>
      <c r="B156" s="56">
        <f>VLOOKUP(C156,[7]完成订单!$D:$D,1,0)</f>
        <v>10880037369</v>
      </c>
      <c r="C156" s="57">
        <v>10880037369</v>
      </c>
      <c r="D156" s="57">
        <v>110001288509</v>
      </c>
      <c r="E156" s="57">
        <v>110001288509</v>
      </c>
      <c r="F156" s="58" t="s">
        <v>264</v>
      </c>
      <c r="G156" s="59">
        <v>5000</v>
      </c>
      <c r="H156" s="60">
        <v>46132</v>
      </c>
      <c r="I156" s="55">
        <v>46132</v>
      </c>
      <c r="J156" s="57">
        <v>5000</v>
      </c>
      <c r="K156" s="4">
        <f t="shared" si="5"/>
        <v>0</v>
      </c>
      <c r="L156" s="62"/>
      <c r="M156" s="63"/>
    </row>
    <row r="157" spans="1:13" s="45" customFormat="1" ht="13.25" customHeight="1" x14ac:dyDescent="0.3">
      <c r="A157" s="55">
        <v>46132</v>
      </c>
      <c r="B157" s="56" t="e">
        <f>VLOOKUP(C157,[7]完成订单!$D:$D,1,0)</f>
        <v>#N/A</v>
      </c>
      <c r="C157" s="57">
        <v>10400032312</v>
      </c>
      <c r="D157" s="57">
        <v>110001288509</v>
      </c>
      <c r="E157" s="57">
        <v>110001288510</v>
      </c>
      <c r="F157" s="58" t="s">
        <v>327</v>
      </c>
      <c r="G157" s="59">
        <v>5000</v>
      </c>
      <c r="H157" s="60">
        <v>46130</v>
      </c>
      <c r="I157" s="55">
        <v>46132</v>
      </c>
      <c r="J157" s="57">
        <v>5000</v>
      </c>
      <c r="K157" s="4">
        <f t="shared" si="5"/>
        <v>0</v>
      </c>
      <c r="L157" s="62"/>
      <c r="M157" s="63"/>
    </row>
    <row r="158" spans="1:13" s="45" customFormat="1" ht="13.25" customHeight="1" x14ac:dyDescent="0.3">
      <c r="A158" s="55">
        <v>46132</v>
      </c>
      <c r="B158" s="56">
        <f>VLOOKUP(C158,[7]完成订单!$D:$D,1,0)</f>
        <v>10880037369</v>
      </c>
      <c r="C158" s="57">
        <v>10880037369</v>
      </c>
      <c r="D158" s="57">
        <v>110001297727</v>
      </c>
      <c r="E158" s="57">
        <v>110001297727</v>
      </c>
      <c r="F158" s="58" t="s">
        <v>264</v>
      </c>
      <c r="G158" s="59">
        <v>10000</v>
      </c>
      <c r="H158" s="60">
        <v>46132</v>
      </c>
      <c r="I158" s="55">
        <v>46132</v>
      </c>
      <c r="J158" s="57">
        <v>10000</v>
      </c>
      <c r="K158" s="4">
        <f t="shared" si="5"/>
        <v>0</v>
      </c>
      <c r="L158" s="62"/>
      <c r="M158" s="63"/>
    </row>
    <row r="159" spans="1:13" s="45" customFormat="1" ht="13.25" customHeight="1" x14ac:dyDescent="0.3">
      <c r="A159" s="55">
        <v>46132</v>
      </c>
      <c r="B159" s="56" t="e">
        <f>VLOOKUP(C159,[7]完成订单!$D:$D,1,0)</f>
        <v>#N/A</v>
      </c>
      <c r="C159" s="57">
        <v>10400032312</v>
      </c>
      <c r="D159" s="57">
        <v>110001297727</v>
      </c>
      <c r="E159" s="57">
        <v>110001297728</v>
      </c>
      <c r="F159" s="58" t="s">
        <v>327</v>
      </c>
      <c r="G159" s="59">
        <v>10000</v>
      </c>
      <c r="H159" s="60">
        <v>46130</v>
      </c>
      <c r="I159" s="55">
        <v>46132</v>
      </c>
      <c r="J159" s="57">
        <v>10000</v>
      </c>
      <c r="K159" s="4">
        <f t="shared" si="5"/>
        <v>0</v>
      </c>
      <c r="L159" s="62"/>
      <c r="M159" s="63"/>
    </row>
    <row r="160" spans="1:13" s="45" customFormat="1" ht="13.25" customHeight="1" x14ac:dyDescent="0.3">
      <c r="A160" s="55">
        <v>46132</v>
      </c>
      <c r="B160" s="56">
        <f>VLOOKUP(C160,[7]完成订单!$D:$D,1,0)</f>
        <v>10880037368</v>
      </c>
      <c r="C160" s="57">
        <v>10880037368</v>
      </c>
      <c r="D160" s="57">
        <v>110001299911</v>
      </c>
      <c r="E160" s="57">
        <v>110001299911</v>
      </c>
      <c r="F160" s="58" t="s">
        <v>263</v>
      </c>
      <c r="G160" s="59">
        <v>11550</v>
      </c>
      <c r="H160" s="60">
        <v>46132</v>
      </c>
      <c r="I160" s="55">
        <v>46132</v>
      </c>
      <c r="J160" s="57">
        <v>11550</v>
      </c>
      <c r="K160" s="4">
        <f t="shared" si="5"/>
        <v>0</v>
      </c>
      <c r="L160" s="62"/>
      <c r="M160" s="63"/>
    </row>
    <row r="161" spans="1:13" s="45" customFormat="1" ht="13.25" customHeight="1" x14ac:dyDescent="0.3">
      <c r="A161" s="55">
        <v>46132</v>
      </c>
      <c r="B161" s="56" t="e">
        <f>VLOOKUP(C161,[7]完成订单!$D:$D,1,0)</f>
        <v>#N/A</v>
      </c>
      <c r="C161" s="57">
        <v>10400032311</v>
      </c>
      <c r="D161" s="57">
        <v>110001299911</v>
      </c>
      <c r="E161" s="57">
        <v>110001299912</v>
      </c>
      <c r="F161" s="58" t="s">
        <v>328</v>
      </c>
      <c r="G161" s="59">
        <v>11550</v>
      </c>
      <c r="H161" s="60">
        <v>46130</v>
      </c>
      <c r="I161" s="55">
        <v>46132</v>
      </c>
      <c r="J161" s="57">
        <v>11550</v>
      </c>
      <c r="K161" s="4">
        <f t="shared" si="5"/>
        <v>0</v>
      </c>
      <c r="L161" s="62"/>
      <c r="M161" s="63"/>
    </row>
    <row r="162" spans="1:13" s="45" customFormat="1" ht="13.25" customHeight="1" x14ac:dyDescent="0.3">
      <c r="A162" s="55">
        <v>46132</v>
      </c>
      <c r="B162" s="56">
        <f>VLOOKUP(C162,[7]完成订单!$D:$D,1,0)</f>
        <v>10880033535</v>
      </c>
      <c r="C162" s="57">
        <v>10880033535</v>
      </c>
      <c r="D162" s="57">
        <v>110001271653</v>
      </c>
      <c r="E162" s="57">
        <v>110001271653</v>
      </c>
      <c r="F162" s="58" t="s">
        <v>157</v>
      </c>
      <c r="G162" s="59">
        <v>3000</v>
      </c>
      <c r="H162" s="60">
        <v>46135</v>
      </c>
      <c r="I162" s="55">
        <v>46132</v>
      </c>
      <c r="J162" s="57">
        <v>3000</v>
      </c>
      <c r="K162" s="4">
        <f t="shared" si="5"/>
        <v>0</v>
      </c>
      <c r="L162" s="62"/>
      <c r="M162" s="63"/>
    </row>
    <row r="163" spans="1:13" s="45" customFormat="1" ht="13.25" customHeight="1" x14ac:dyDescent="0.3">
      <c r="A163" s="55">
        <v>46132</v>
      </c>
      <c r="B163" s="56" t="e">
        <f>VLOOKUP(C163,[7]完成订单!$D:$D,1,0)</f>
        <v>#N/A</v>
      </c>
      <c r="C163" s="57">
        <v>10400027323</v>
      </c>
      <c r="D163" s="57">
        <v>110001271653</v>
      </c>
      <c r="E163" s="57">
        <v>110001271654</v>
      </c>
      <c r="F163" s="58" t="s">
        <v>157</v>
      </c>
      <c r="G163" s="59">
        <v>3000</v>
      </c>
      <c r="H163" s="60">
        <v>46133</v>
      </c>
      <c r="I163" s="55">
        <v>46132</v>
      </c>
      <c r="J163" s="57">
        <v>3000</v>
      </c>
      <c r="K163" s="4">
        <f t="shared" si="5"/>
        <v>0</v>
      </c>
      <c r="L163" s="62"/>
      <c r="M163" s="63"/>
    </row>
    <row r="164" spans="1:13" s="45" customFormat="1" ht="13.25" customHeight="1" x14ac:dyDescent="0.3">
      <c r="A164" s="55">
        <v>46132</v>
      </c>
      <c r="B164" s="56">
        <f>VLOOKUP(C164,[7]完成订单!$D:$D,1,0)</f>
        <v>10880037671</v>
      </c>
      <c r="C164" s="57">
        <v>10880037671</v>
      </c>
      <c r="D164" s="57">
        <v>110001271829</v>
      </c>
      <c r="E164" s="57">
        <v>110001271829</v>
      </c>
      <c r="F164" s="58" t="s">
        <v>239</v>
      </c>
      <c r="G164" s="59">
        <v>1000</v>
      </c>
      <c r="H164" s="60">
        <v>46134</v>
      </c>
      <c r="I164" s="55">
        <v>46132</v>
      </c>
      <c r="J164" s="57">
        <v>1000</v>
      </c>
      <c r="K164" s="4">
        <f t="shared" si="5"/>
        <v>0</v>
      </c>
      <c r="L164" s="62"/>
      <c r="M164" s="63"/>
    </row>
    <row r="165" spans="1:13" s="45" customFormat="1" ht="13.25" customHeight="1" x14ac:dyDescent="0.3">
      <c r="A165" s="55">
        <v>46132</v>
      </c>
      <c r="B165" s="56" t="e">
        <f>VLOOKUP(C165,[7]完成订单!$D:$D,1,0)</f>
        <v>#N/A</v>
      </c>
      <c r="C165" s="57">
        <v>10400032721</v>
      </c>
      <c r="D165" s="57">
        <v>110001271829</v>
      </c>
      <c r="E165" s="57">
        <v>110001271830</v>
      </c>
      <c r="F165" s="58" t="s">
        <v>329</v>
      </c>
      <c r="G165" s="59">
        <v>1000</v>
      </c>
      <c r="H165" s="60">
        <v>46132</v>
      </c>
      <c r="I165" s="55">
        <v>46132</v>
      </c>
      <c r="J165" s="57">
        <v>1000</v>
      </c>
      <c r="K165" s="4">
        <f t="shared" si="5"/>
        <v>0</v>
      </c>
      <c r="L165" s="62"/>
      <c r="M165" s="63"/>
    </row>
    <row r="166" spans="1:13" s="45" customFormat="1" ht="13.25" customHeight="1" x14ac:dyDescent="0.3">
      <c r="A166" s="55">
        <v>46132</v>
      </c>
      <c r="B166" s="56">
        <f>VLOOKUP(C166,[7]完成订单!$D:$D,1,0)</f>
        <v>10880030004</v>
      </c>
      <c r="C166" s="57">
        <v>10880030004</v>
      </c>
      <c r="D166" s="57">
        <v>110001275636</v>
      </c>
      <c r="E166" s="57">
        <v>110001275636</v>
      </c>
      <c r="F166" s="58" t="s">
        <v>254</v>
      </c>
      <c r="G166" s="59">
        <v>1000</v>
      </c>
      <c r="H166" s="60">
        <v>46135</v>
      </c>
      <c r="I166" s="55">
        <v>46132</v>
      </c>
      <c r="J166" s="57">
        <v>1000</v>
      </c>
      <c r="K166" s="4">
        <f t="shared" si="5"/>
        <v>0</v>
      </c>
      <c r="L166" s="62"/>
      <c r="M166" s="63"/>
    </row>
    <row r="167" spans="1:13" s="45" customFormat="1" ht="13.25" customHeight="1" x14ac:dyDescent="0.3">
      <c r="A167" s="55">
        <v>46132</v>
      </c>
      <c r="B167" s="56" t="e">
        <f>VLOOKUP(C167,[7]完成订单!$D:$D,1,0)</f>
        <v>#N/A</v>
      </c>
      <c r="C167" s="57">
        <v>10400023654</v>
      </c>
      <c r="D167" s="57">
        <v>110001275636</v>
      </c>
      <c r="E167" s="57">
        <v>110001275637</v>
      </c>
      <c r="F167" s="58" t="s">
        <v>254</v>
      </c>
      <c r="G167" s="59">
        <v>1000</v>
      </c>
      <c r="H167" s="60">
        <v>46133</v>
      </c>
      <c r="I167" s="55">
        <v>46132</v>
      </c>
      <c r="J167" s="57">
        <v>1000</v>
      </c>
      <c r="K167" s="4">
        <f t="shared" si="5"/>
        <v>0</v>
      </c>
      <c r="L167" s="62"/>
      <c r="M167" s="63"/>
    </row>
    <row r="168" spans="1:13" s="45" customFormat="1" ht="13.25" customHeight="1" x14ac:dyDescent="0.3">
      <c r="A168" s="55">
        <v>46132</v>
      </c>
      <c r="B168" s="56">
        <f>VLOOKUP(C168,[7]完成订单!$D:$D,1,0)</f>
        <v>10880037616</v>
      </c>
      <c r="C168" s="57">
        <v>10880037616</v>
      </c>
      <c r="D168" s="57">
        <v>110001283939</v>
      </c>
      <c r="E168" s="57">
        <v>110001283939</v>
      </c>
      <c r="F168" s="58" t="s">
        <v>211</v>
      </c>
      <c r="G168" s="59">
        <v>1000</v>
      </c>
      <c r="H168" s="60">
        <v>46135</v>
      </c>
      <c r="I168" s="55">
        <v>46132</v>
      </c>
      <c r="J168" s="57">
        <v>1000</v>
      </c>
      <c r="K168" s="4">
        <f t="shared" si="5"/>
        <v>0</v>
      </c>
      <c r="L168" s="62"/>
      <c r="M168" s="63"/>
    </row>
    <row r="169" spans="1:13" s="45" customFormat="1" ht="13.25" customHeight="1" x14ac:dyDescent="0.3">
      <c r="A169" s="55">
        <v>46132</v>
      </c>
      <c r="B169" s="56" t="e">
        <f>VLOOKUP(C169,[7]完成订单!$D:$D,1,0)</f>
        <v>#N/A</v>
      </c>
      <c r="C169" s="57">
        <v>10400032629</v>
      </c>
      <c r="D169" s="57">
        <v>110001283939</v>
      </c>
      <c r="E169" s="57">
        <v>110001283940</v>
      </c>
      <c r="F169" s="58" t="s">
        <v>277</v>
      </c>
      <c r="G169" s="59">
        <v>1000</v>
      </c>
      <c r="H169" s="60">
        <v>46133</v>
      </c>
      <c r="I169" s="55">
        <v>46132</v>
      </c>
      <c r="J169" s="57">
        <v>1000</v>
      </c>
      <c r="K169" s="4">
        <f t="shared" si="5"/>
        <v>0</v>
      </c>
      <c r="L169" s="62"/>
      <c r="M169" s="63"/>
    </row>
    <row r="170" spans="1:13" s="45" customFormat="1" ht="13.25" customHeight="1" x14ac:dyDescent="0.3">
      <c r="A170" s="55">
        <v>46132</v>
      </c>
      <c r="B170" s="56">
        <f>VLOOKUP(C170,[7]完成订单!$D:$D,1,0)</f>
        <v>10880020556</v>
      </c>
      <c r="C170" s="57">
        <v>10880020556</v>
      </c>
      <c r="D170" s="57">
        <v>110001286362</v>
      </c>
      <c r="E170" s="57">
        <v>110001286362</v>
      </c>
      <c r="F170" s="58" t="s">
        <v>184</v>
      </c>
      <c r="G170" s="59">
        <v>600</v>
      </c>
      <c r="H170" s="60">
        <v>46135</v>
      </c>
      <c r="I170" s="55">
        <v>46132</v>
      </c>
      <c r="J170" s="57">
        <v>600</v>
      </c>
      <c r="K170" s="4">
        <f t="shared" si="5"/>
        <v>0</v>
      </c>
      <c r="L170" s="62"/>
      <c r="M170" s="63"/>
    </row>
    <row r="171" spans="1:13" s="45" customFormat="1" ht="13.25" customHeight="1" x14ac:dyDescent="0.3">
      <c r="A171" s="55">
        <v>46132</v>
      </c>
      <c r="B171" s="56" t="e">
        <f>VLOOKUP(C171,[7]完成订单!$D:$D,1,0)</f>
        <v>#N/A</v>
      </c>
      <c r="C171" s="57">
        <v>10400019957</v>
      </c>
      <c r="D171" s="57">
        <v>110001286362</v>
      </c>
      <c r="E171" s="57">
        <v>110001286363</v>
      </c>
      <c r="F171" s="58" t="s">
        <v>184</v>
      </c>
      <c r="G171" s="59">
        <v>600</v>
      </c>
      <c r="H171" s="60">
        <v>46133</v>
      </c>
      <c r="I171" s="55">
        <v>46132</v>
      </c>
      <c r="J171" s="57">
        <v>600</v>
      </c>
      <c r="K171" s="4">
        <f t="shared" si="5"/>
        <v>0</v>
      </c>
      <c r="L171" s="62"/>
      <c r="M171" s="63"/>
    </row>
    <row r="172" spans="1:13" s="45" customFormat="1" ht="13.25" customHeight="1" x14ac:dyDescent="0.3">
      <c r="A172" s="55">
        <v>46132</v>
      </c>
      <c r="B172" s="56">
        <f>VLOOKUP(C172,[7]完成订单!$D:$D,1,0)</f>
        <v>10880030931</v>
      </c>
      <c r="C172" s="57">
        <v>10880030931</v>
      </c>
      <c r="D172" s="57">
        <v>110001288319</v>
      </c>
      <c r="E172" s="57">
        <v>110001288319</v>
      </c>
      <c r="F172" s="58" t="s">
        <v>200</v>
      </c>
      <c r="G172" s="59">
        <v>300</v>
      </c>
      <c r="H172" s="60">
        <v>46135</v>
      </c>
      <c r="I172" s="55">
        <v>46132</v>
      </c>
      <c r="J172" s="57">
        <v>300</v>
      </c>
      <c r="K172" s="4">
        <f t="shared" si="5"/>
        <v>0</v>
      </c>
      <c r="L172" s="62"/>
      <c r="M172" s="63"/>
    </row>
    <row r="173" spans="1:13" s="45" customFormat="1" ht="13.25" customHeight="1" x14ac:dyDescent="0.3">
      <c r="A173" s="55">
        <v>46132</v>
      </c>
      <c r="B173" s="56" t="e">
        <f>VLOOKUP(C173,[7]完成订单!$D:$D,1,0)</f>
        <v>#N/A</v>
      </c>
      <c r="C173" s="57">
        <v>10400024717</v>
      </c>
      <c r="D173" s="57">
        <v>110001288319</v>
      </c>
      <c r="E173" s="57">
        <v>110001288320</v>
      </c>
      <c r="F173" s="58" t="s">
        <v>200</v>
      </c>
      <c r="G173" s="59">
        <v>300</v>
      </c>
      <c r="H173" s="60">
        <v>46133</v>
      </c>
      <c r="I173" s="55">
        <v>46132</v>
      </c>
      <c r="J173" s="57">
        <v>300</v>
      </c>
      <c r="K173" s="4">
        <f t="shared" si="5"/>
        <v>0</v>
      </c>
      <c r="L173" s="62"/>
      <c r="M173" s="63"/>
    </row>
    <row r="174" spans="1:13" s="45" customFormat="1" ht="13.25" customHeight="1" x14ac:dyDescent="0.3">
      <c r="A174" s="55">
        <v>46132</v>
      </c>
      <c r="B174" s="56">
        <f>VLOOKUP(C174,[7]完成订单!$D:$D,1,0)</f>
        <v>10880037380</v>
      </c>
      <c r="C174" s="57">
        <v>10880037380</v>
      </c>
      <c r="D174" s="57">
        <v>110001288513</v>
      </c>
      <c r="E174" s="57">
        <v>110001288513</v>
      </c>
      <c r="F174" s="58" t="s">
        <v>95</v>
      </c>
      <c r="G174" s="59">
        <v>4000</v>
      </c>
      <c r="H174" s="60">
        <v>46135</v>
      </c>
      <c r="I174" s="55">
        <v>46132</v>
      </c>
      <c r="J174" s="57">
        <v>4000</v>
      </c>
      <c r="K174" s="4">
        <f t="shared" si="5"/>
        <v>0</v>
      </c>
      <c r="L174" s="62"/>
      <c r="M174" s="63"/>
    </row>
    <row r="175" spans="1:13" s="45" customFormat="1" ht="13.25" customHeight="1" x14ac:dyDescent="0.3">
      <c r="A175" s="55">
        <v>46132</v>
      </c>
      <c r="B175" s="56" t="e">
        <f>VLOOKUP(C175,[7]完成订单!$D:$D,1,0)</f>
        <v>#N/A</v>
      </c>
      <c r="C175" s="57">
        <v>10400032321</v>
      </c>
      <c r="D175" s="57">
        <v>110001288513</v>
      </c>
      <c r="E175" s="57">
        <v>110001288514</v>
      </c>
      <c r="F175" s="58" t="s">
        <v>330</v>
      </c>
      <c r="G175" s="59">
        <v>4000</v>
      </c>
      <c r="H175" s="60">
        <v>46133</v>
      </c>
      <c r="I175" s="55">
        <v>46132</v>
      </c>
      <c r="J175" s="57">
        <v>4000</v>
      </c>
      <c r="K175" s="4">
        <f t="shared" si="5"/>
        <v>0</v>
      </c>
      <c r="L175" s="62"/>
      <c r="M175" s="63"/>
    </row>
    <row r="176" spans="1:13" s="45" customFormat="1" ht="13.25" customHeight="1" x14ac:dyDescent="0.3">
      <c r="A176" s="55">
        <v>46132</v>
      </c>
      <c r="B176" s="56">
        <f>VLOOKUP(C176,[7]完成订单!$D:$D,1,0)</f>
        <v>10880035196</v>
      </c>
      <c r="C176" s="57">
        <v>10880035196</v>
      </c>
      <c r="D176" s="57">
        <v>110001292257</v>
      </c>
      <c r="E176" s="57">
        <v>110001292257</v>
      </c>
      <c r="F176" s="58" t="s">
        <v>331</v>
      </c>
      <c r="G176" s="59">
        <v>1000</v>
      </c>
      <c r="H176" s="60">
        <v>46135</v>
      </c>
      <c r="I176" s="55">
        <v>46132</v>
      </c>
      <c r="J176" s="57">
        <v>1000</v>
      </c>
      <c r="K176" s="4">
        <f t="shared" si="5"/>
        <v>0</v>
      </c>
      <c r="L176" s="62"/>
      <c r="M176" s="63"/>
    </row>
    <row r="177" spans="1:13" s="45" customFormat="1" ht="13.25" customHeight="1" x14ac:dyDescent="0.3">
      <c r="A177" s="55">
        <v>46132</v>
      </c>
      <c r="B177" s="56" t="e">
        <f>VLOOKUP(C177,[7]完成订单!$D:$D,1,0)</f>
        <v>#N/A</v>
      </c>
      <c r="C177" s="57">
        <v>10400029342</v>
      </c>
      <c r="D177" s="57">
        <v>110001292257</v>
      </c>
      <c r="E177" s="57">
        <v>110001292258</v>
      </c>
      <c r="F177" s="58" t="s">
        <v>331</v>
      </c>
      <c r="G177" s="59">
        <v>1000</v>
      </c>
      <c r="H177" s="60">
        <v>46133</v>
      </c>
      <c r="I177" s="55">
        <v>46132</v>
      </c>
      <c r="J177" s="57">
        <v>1000</v>
      </c>
      <c r="K177" s="4">
        <f t="shared" si="5"/>
        <v>0</v>
      </c>
      <c r="L177" s="62"/>
      <c r="M177" s="63"/>
    </row>
    <row r="178" spans="1:13" s="45" customFormat="1" ht="13.25" customHeight="1" x14ac:dyDescent="0.3">
      <c r="A178" s="55">
        <v>46132</v>
      </c>
      <c r="B178" s="56">
        <f>VLOOKUP(C178,[7]完成订单!$D:$D,1,0)</f>
        <v>10880035409</v>
      </c>
      <c r="C178" s="57">
        <v>10880035409</v>
      </c>
      <c r="D178" s="57">
        <v>110001292623</v>
      </c>
      <c r="E178" s="57">
        <v>110001292623</v>
      </c>
      <c r="F178" s="58" t="s">
        <v>332</v>
      </c>
      <c r="G178" s="59">
        <v>1000</v>
      </c>
      <c r="H178" s="60">
        <v>46135</v>
      </c>
      <c r="I178" s="55">
        <v>46132</v>
      </c>
      <c r="J178" s="57">
        <v>1000</v>
      </c>
      <c r="K178" s="4">
        <f t="shared" si="5"/>
        <v>0</v>
      </c>
      <c r="L178" s="62"/>
      <c r="M178" s="63"/>
    </row>
    <row r="179" spans="1:13" s="45" customFormat="1" ht="13.25" customHeight="1" x14ac:dyDescent="0.3">
      <c r="A179" s="55">
        <v>46132</v>
      </c>
      <c r="B179" s="56" t="e">
        <f>VLOOKUP(C179,[7]完成订单!$D:$D,1,0)</f>
        <v>#N/A</v>
      </c>
      <c r="C179" s="57">
        <v>10400029660</v>
      </c>
      <c r="D179" s="57">
        <v>110001292623</v>
      </c>
      <c r="E179" s="57">
        <v>110001292624</v>
      </c>
      <c r="F179" s="58" t="s">
        <v>333</v>
      </c>
      <c r="G179" s="59">
        <v>1000</v>
      </c>
      <c r="H179" s="60">
        <v>46133</v>
      </c>
      <c r="I179" s="55">
        <v>46132</v>
      </c>
      <c r="J179" s="57">
        <v>1000</v>
      </c>
      <c r="K179" s="4">
        <f t="shared" si="5"/>
        <v>0</v>
      </c>
      <c r="L179" s="62"/>
      <c r="M179" s="63"/>
    </row>
    <row r="180" spans="1:13" s="45" customFormat="1" ht="13.25" customHeight="1" x14ac:dyDescent="0.3">
      <c r="A180" s="55">
        <v>46132</v>
      </c>
      <c r="B180" s="56">
        <f>VLOOKUP(C180,[7]完成订单!$D:$D,1,0)</f>
        <v>10880028881</v>
      </c>
      <c r="C180" s="57">
        <v>10880028881</v>
      </c>
      <c r="D180" s="57">
        <v>110001293835</v>
      </c>
      <c r="E180" s="57">
        <v>110001293835</v>
      </c>
      <c r="F180" s="58" t="s">
        <v>334</v>
      </c>
      <c r="G180" s="59">
        <v>750</v>
      </c>
      <c r="H180" s="60">
        <v>46135</v>
      </c>
      <c r="I180" s="55">
        <v>46132</v>
      </c>
      <c r="J180" s="57">
        <v>750</v>
      </c>
      <c r="K180" s="4">
        <f t="shared" si="5"/>
        <v>0</v>
      </c>
      <c r="L180" s="62"/>
      <c r="M180" s="63"/>
    </row>
    <row r="181" spans="1:13" s="45" customFormat="1" ht="13.25" customHeight="1" x14ac:dyDescent="0.3">
      <c r="A181" s="55">
        <v>46132</v>
      </c>
      <c r="B181" s="56" t="e">
        <f>VLOOKUP(C181,[7]完成订单!$D:$D,1,0)</f>
        <v>#N/A</v>
      </c>
      <c r="C181" s="57">
        <v>10400023142</v>
      </c>
      <c r="D181" s="57">
        <v>110001293835</v>
      </c>
      <c r="E181" s="57">
        <v>110001293836</v>
      </c>
      <c r="F181" s="58" t="s">
        <v>334</v>
      </c>
      <c r="G181" s="59">
        <v>750</v>
      </c>
      <c r="H181" s="60">
        <v>46133</v>
      </c>
      <c r="I181" s="55">
        <v>46132</v>
      </c>
      <c r="J181" s="57">
        <v>750</v>
      </c>
      <c r="K181" s="4">
        <f t="shared" ref="K181:K212" si="6">+J181-G181</f>
        <v>0</v>
      </c>
      <c r="L181" s="62"/>
      <c r="M181" s="63"/>
    </row>
    <row r="182" spans="1:13" s="45" customFormat="1" ht="13.25" customHeight="1" x14ac:dyDescent="0.3">
      <c r="A182" s="55">
        <v>46132</v>
      </c>
      <c r="B182" s="56">
        <f>VLOOKUP(C182,[7]完成订单!$D:$D,1,0)</f>
        <v>10880017516</v>
      </c>
      <c r="C182" s="57">
        <v>10880017516</v>
      </c>
      <c r="D182" s="57">
        <v>110001296230</v>
      </c>
      <c r="E182" s="57">
        <v>110001296230</v>
      </c>
      <c r="F182" s="58" t="s">
        <v>164</v>
      </c>
      <c r="G182" s="59">
        <v>3000</v>
      </c>
      <c r="H182" s="60">
        <v>46134</v>
      </c>
      <c r="I182" s="55">
        <v>46132</v>
      </c>
      <c r="J182" s="57">
        <v>3000</v>
      </c>
      <c r="K182" s="4">
        <f t="shared" si="6"/>
        <v>0</v>
      </c>
      <c r="L182" s="62"/>
      <c r="M182" s="63"/>
    </row>
    <row r="183" spans="1:13" s="45" customFormat="1" ht="13.25" customHeight="1" x14ac:dyDescent="0.3">
      <c r="A183" s="55">
        <v>46132</v>
      </c>
      <c r="B183" s="56" t="e">
        <f>VLOOKUP(C183,[7]完成订单!$D:$D,1,0)</f>
        <v>#N/A</v>
      </c>
      <c r="C183" s="57">
        <v>10400017926</v>
      </c>
      <c r="D183" s="57">
        <v>110001296230</v>
      </c>
      <c r="E183" s="57">
        <v>110001296231</v>
      </c>
      <c r="F183" s="58" t="s">
        <v>164</v>
      </c>
      <c r="G183" s="59">
        <v>3000</v>
      </c>
      <c r="H183" s="60">
        <v>46132</v>
      </c>
      <c r="I183" s="55">
        <v>46132</v>
      </c>
      <c r="J183" s="57">
        <v>3000</v>
      </c>
      <c r="K183" s="4">
        <f t="shared" si="6"/>
        <v>0</v>
      </c>
      <c r="L183" s="62"/>
      <c r="M183" s="63"/>
    </row>
    <row r="184" spans="1:13" s="45" customFormat="1" ht="13.25" customHeight="1" x14ac:dyDescent="0.3">
      <c r="A184" s="55">
        <v>46132</v>
      </c>
      <c r="B184" s="56">
        <f>VLOOKUP(C184,[7]完成订单!$D:$D,1,0)</f>
        <v>10880030976</v>
      </c>
      <c r="C184" s="57">
        <v>10880030976</v>
      </c>
      <c r="D184" s="57">
        <v>110001296254</v>
      </c>
      <c r="E184" s="57">
        <v>110001296254</v>
      </c>
      <c r="F184" s="58" t="s">
        <v>72</v>
      </c>
      <c r="G184" s="59">
        <v>2000</v>
      </c>
      <c r="H184" s="60">
        <v>46134</v>
      </c>
      <c r="I184" s="55">
        <v>46132</v>
      </c>
      <c r="J184" s="57">
        <v>2000</v>
      </c>
      <c r="K184" s="4">
        <f t="shared" si="6"/>
        <v>0</v>
      </c>
      <c r="L184" s="62"/>
      <c r="M184" s="63"/>
    </row>
    <row r="185" spans="1:13" s="45" customFormat="1" ht="13.25" customHeight="1" x14ac:dyDescent="0.3">
      <c r="A185" s="55">
        <v>46132</v>
      </c>
      <c r="B185" s="56" t="e">
        <f>VLOOKUP(C185,[7]完成订单!$D:$D,1,0)</f>
        <v>#N/A</v>
      </c>
      <c r="C185" s="57">
        <v>10400024768</v>
      </c>
      <c r="D185" s="57">
        <v>110001296254</v>
      </c>
      <c r="E185" s="57">
        <v>110001296255</v>
      </c>
      <c r="F185" s="58" t="s">
        <v>72</v>
      </c>
      <c r="G185" s="59">
        <v>2000</v>
      </c>
      <c r="H185" s="60">
        <v>46132</v>
      </c>
      <c r="I185" s="55">
        <v>46132</v>
      </c>
      <c r="J185" s="57">
        <v>2000</v>
      </c>
      <c r="K185" s="4">
        <f t="shared" si="6"/>
        <v>0</v>
      </c>
      <c r="L185" s="62"/>
      <c r="M185" s="63"/>
    </row>
    <row r="186" spans="1:13" s="45" customFormat="1" ht="13.25" customHeight="1" x14ac:dyDescent="0.3">
      <c r="A186" s="55">
        <v>46132</v>
      </c>
      <c r="B186" s="56">
        <f>VLOOKUP(C186,[7]完成订单!$D:$D,1,0)</f>
        <v>10880022123</v>
      </c>
      <c r="C186" s="57">
        <v>10880022123</v>
      </c>
      <c r="D186" s="57">
        <v>110001296358</v>
      </c>
      <c r="E186" s="57">
        <v>110001296358</v>
      </c>
      <c r="F186" s="58" t="s">
        <v>247</v>
      </c>
      <c r="G186" s="59">
        <v>15000</v>
      </c>
      <c r="H186" s="60" t="s">
        <v>0</v>
      </c>
      <c r="I186" s="55">
        <v>46132</v>
      </c>
      <c r="J186" s="57">
        <v>15000</v>
      </c>
      <c r="K186" s="4">
        <f t="shared" si="6"/>
        <v>0</v>
      </c>
      <c r="L186" s="62"/>
      <c r="M186" s="63"/>
    </row>
    <row r="187" spans="1:13" s="45" customFormat="1" ht="13.25" customHeight="1" x14ac:dyDescent="0.3">
      <c r="A187" s="55">
        <v>46132</v>
      </c>
      <c r="B187" s="56" t="e">
        <f>VLOOKUP(C187,[7]完成订单!$D:$D,1,0)</f>
        <v>#N/A</v>
      </c>
      <c r="C187" s="57">
        <v>10400021683</v>
      </c>
      <c r="D187" s="57">
        <v>110001296358</v>
      </c>
      <c r="E187" s="57">
        <v>110001296359</v>
      </c>
      <c r="F187" s="58" t="s">
        <v>247</v>
      </c>
      <c r="G187" s="59">
        <v>15000</v>
      </c>
      <c r="H187" s="60" t="e">
        <v>#VALUE!</v>
      </c>
      <c r="I187" s="55">
        <v>46132</v>
      </c>
      <c r="J187" s="57">
        <v>15000</v>
      </c>
      <c r="K187" s="4">
        <f t="shared" si="6"/>
        <v>0</v>
      </c>
      <c r="L187" s="62"/>
      <c r="M187" s="63"/>
    </row>
    <row r="188" spans="1:13" s="45" customFormat="1" ht="13.25" customHeight="1" x14ac:dyDescent="0.3">
      <c r="A188" s="55">
        <v>46132</v>
      </c>
      <c r="B188" s="56">
        <f>VLOOKUP(C188,[7]完成订单!$D:$D,1,0)</f>
        <v>10880031307</v>
      </c>
      <c r="C188" s="57">
        <v>10880031307</v>
      </c>
      <c r="D188" s="57">
        <v>110001297371</v>
      </c>
      <c r="E188" s="57">
        <v>110001297371</v>
      </c>
      <c r="F188" s="58" t="s">
        <v>238</v>
      </c>
      <c r="G188" s="59">
        <v>400</v>
      </c>
      <c r="H188" s="60">
        <v>46134</v>
      </c>
      <c r="I188" s="55">
        <v>46132</v>
      </c>
      <c r="J188" s="57">
        <v>400</v>
      </c>
      <c r="K188" s="4">
        <f t="shared" si="6"/>
        <v>0</v>
      </c>
      <c r="L188" s="62"/>
      <c r="M188" s="63"/>
    </row>
    <row r="189" spans="1:13" s="45" customFormat="1" ht="13.25" customHeight="1" x14ac:dyDescent="0.3">
      <c r="A189" s="55">
        <v>46132</v>
      </c>
      <c r="B189" s="56" t="e">
        <f>VLOOKUP(C189,[7]完成订单!$D:$D,1,0)</f>
        <v>#N/A</v>
      </c>
      <c r="C189" s="57">
        <v>10400025083</v>
      </c>
      <c r="D189" s="57">
        <v>110001297371</v>
      </c>
      <c r="E189" s="57">
        <v>110001297372</v>
      </c>
      <c r="F189" s="58" t="s">
        <v>238</v>
      </c>
      <c r="G189" s="59">
        <v>400</v>
      </c>
      <c r="H189" s="60">
        <v>46132</v>
      </c>
      <c r="I189" s="55">
        <v>46132</v>
      </c>
      <c r="J189" s="57">
        <v>400</v>
      </c>
      <c r="K189" s="4">
        <f t="shared" si="6"/>
        <v>0</v>
      </c>
      <c r="L189" s="62"/>
      <c r="M189" s="63"/>
    </row>
    <row r="190" spans="1:13" s="45" customFormat="1" ht="13.25" customHeight="1" x14ac:dyDescent="0.3">
      <c r="A190" s="55">
        <v>46132</v>
      </c>
      <c r="B190" s="56">
        <f>VLOOKUP(C190,[7]完成订单!$D:$D,1,0)</f>
        <v>10880037380</v>
      </c>
      <c r="C190" s="57">
        <v>10880037380</v>
      </c>
      <c r="D190" s="57">
        <v>110001299919</v>
      </c>
      <c r="E190" s="57">
        <v>110001299919</v>
      </c>
      <c r="F190" s="58" t="s">
        <v>95</v>
      </c>
      <c r="G190" s="59">
        <v>5600</v>
      </c>
      <c r="H190" s="60">
        <v>46135</v>
      </c>
      <c r="I190" s="55">
        <v>46132</v>
      </c>
      <c r="J190" s="57">
        <v>5600</v>
      </c>
      <c r="K190" s="4">
        <f t="shared" si="6"/>
        <v>0</v>
      </c>
      <c r="L190" s="62"/>
      <c r="M190" s="63"/>
    </row>
    <row r="191" spans="1:13" s="45" customFormat="1" ht="13.25" customHeight="1" x14ac:dyDescent="0.3">
      <c r="A191" s="55">
        <v>46132</v>
      </c>
      <c r="B191" s="56" t="e">
        <f>VLOOKUP(C191,[7]完成订单!$D:$D,1,0)</f>
        <v>#N/A</v>
      </c>
      <c r="C191" s="57">
        <v>10400032321</v>
      </c>
      <c r="D191" s="57">
        <v>110001299919</v>
      </c>
      <c r="E191" s="57">
        <v>110001299920</v>
      </c>
      <c r="F191" s="58" t="s">
        <v>330</v>
      </c>
      <c r="G191" s="59">
        <v>5600</v>
      </c>
      <c r="H191" s="60">
        <v>46133</v>
      </c>
      <c r="I191" s="55">
        <v>46132</v>
      </c>
      <c r="J191" s="57">
        <v>5600</v>
      </c>
      <c r="K191" s="4">
        <f t="shared" si="6"/>
        <v>0</v>
      </c>
      <c r="L191" s="62"/>
      <c r="M191" s="63"/>
    </row>
    <row r="192" spans="1:13" s="45" customFormat="1" ht="13.25" customHeight="1" x14ac:dyDescent="0.3">
      <c r="A192" s="55">
        <v>46132</v>
      </c>
      <c r="B192" s="56">
        <f>VLOOKUP(C192,[7]完成订单!$D:$D,1,0)</f>
        <v>10880037495</v>
      </c>
      <c r="C192" s="57">
        <v>10880037495</v>
      </c>
      <c r="D192" s="57">
        <v>110001299927</v>
      </c>
      <c r="E192" s="57">
        <v>110001299927</v>
      </c>
      <c r="F192" s="58" t="s">
        <v>335</v>
      </c>
      <c r="G192" s="59">
        <v>560</v>
      </c>
      <c r="H192" s="60">
        <v>46134</v>
      </c>
      <c r="I192" s="55">
        <v>46132</v>
      </c>
      <c r="J192" s="57">
        <v>560</v>
      </c>
      <c r="K192" s="4">
        <f t="shared" si="6"/>
        <v>0</v>
      </c>
      <c r="L192" s="62"/>
      <c r="M192" s="63"/>
    </row>
    <row r="193" spans="1:13" s="45" customFormat="1" ht="13.25" customHeight="1" x14ac:dyDescent="0.3">
      <c r="A193" s="55">
        <v>46132</v>
      </c>
      <c r="B193" s="56" t="e">
        <f>VLOOKUP(C193,[7]完成订单!$D:$D,1,0)</f>
        <v>#N/A</v>
      </c>
      <c r="C193" s="57">
        <v>10400032491</v>
      </c>
      <c r="D193" s="57">
        <v>110001299927</v>
      </c>
      <c r="E193" s="57">
        <v>110001299928</v>
      </c>
      <c r="F193" s="58" t="s">
        <v>336</v>
      </c>
      <c r="G193" s="59">
        <v>560</v>
      </c>
      <c r="H193" s="60">
        <v>46132</v>
      </c>
      <c r="I193" s="55">
        <v>46132</v>
      </c>
      <c r="J193" s="57">
        <v>560</v>
      </c>
      <c r="K193" s="4">
        <f t="shared" si="6"/>
        <v>0</v>
      </c>
      <c r="L193" s="62"/>
      <c r="M193" s="63"/>
    </row>
    <row r="194" spans="1:13" s="45" customFormat="1" ht="13.25" customHeight="1" x14ac:dyDescent="0.3">
      <c r="A194" s="55">
        <v>46132</v>
      </c>
      <c r="B194" s="56">
        <f>VLOOKUP(C194,[7]完成订单!$D:$D,1,0)</f>
        <v>10880038252</v>
      </c>
      <c r="C194" s="57">
        <v>10880038252</v>
      </c>
      <c r="D194" s="57">
        <v>110001300047</v>
      </c>
      <c r="E194" s="57">
        <v>110001300047</v>
      </c>
      <c r="F194" s="58" t="s">
        <v>26</v>
      </c>
      <c r="G194" s="59">
        <v>550</v>
      </c>
      <c r="H194" s="60">
        <v>46136</v>
      </c>
      <c r="I194" s="55">
        <v>46132</v>
      </c>
      <c r="J194" s="57">
        <v>550</v>
      </c>
      <c r="K194" s="4">
        <f t="shared" si="6"/>
        <v>0</v>
      </c>
      <c r="L194" s="62"/>
      <c r="M194" s="63"/>
    </row>
    <row r="195" spans="1:13" s="45" customFormat="1" ht="13.25" customHeight="1" x14ac:dyDescent="0.3">
      <c r="A195" s="55">
        <v>46132</v>
      </c>
      <c r="B195" s="56">
        <f>VLOOKUP(C195,[7]完成订单!$D:$D,1,0)</f>
        <v>10400030197</v>
      </c>
      <c r="C195" s="57">
        <v>10400030197</v>
      </c>
      <c r="D195" s="57">
        <v>110001300047</v>
      </c>
      <c r="E195" s="57">
        <v>110001300048</v>
      </c>
      <c r="F195" s="58" t="s">
        <v>43</v>
      </c>
      <c r="G195" s="59">
        <v>550</v>
      </c>
      <c r="H195" s="60">
        <v>46135</v>
      </c>
      <c r="I195" s="55">
        <v>46132</v>
      </c>
      <c r="J195" s="57">
        <v>550</v>
      </c>
      <c r="K195" s="4">
        <f t="shared" si="6"/>
        <v>0</v>
      </c>
      <c r="L195" s="62"/>
      <c r="M195" s="63"/>
    </row>
    <row r="196" spans="1:13" s="45" customFormat="1" ht="13.25" customHeight="1" x14ac:dyDescent="0.3">
      <c r="A196" s="55">
        <v>46132</v>
      </c>
      <c r="B196" s="56">
        <f>VLOOKUP(C196,[7]完成订单!$D:$D,1,0)</f>
        <v>10400033496</v>
      </c>
      <c r="C196" s="57">
        <v>10400033496</v>
      </c>
      <c r="D196" s="57">
        <v>110001300047</v>
      </c>
      <c r="E196" s="57">
        <v>110001300049</v>
      </c>
      <c r="F196" s="58" t="s">
        <v>25</v>
      </c>
      <c r="G196" s="59">
        <v>550</v>
      </c>
      <c r="H196" s="60">
        <v>46135</v>
      </c>
      <c r="I196" s="55">
        <v>46132</v>
      </c>
      <c r="J196" s="57">
        <v>550</v>
      </c>
      <c r="K196" s="4">
        <f t="shared" si="6"/>
        <v>0</v>
      </c>
      <c r="L196" s="62"/>
      <c r="M196" s="63"/>
    </row>
    <row r="197" spans="1:13" s="45" customFormat="1" ht="13.25" customHeight="1" x14ac:dyDescent="0.3">
      <c r="A197" s="55">
        <v>46132</v>
      </c>
      <c r="B197" s="56" t="e">
        <f>VLOOKUP(C197,[7]完成订单!$D:$D,1,0)</f>
        <v>#N/A</v>
      </c>
      <c r="C197" s="57">
        <v>10400033497</v>
      </c>
      <c r="D197" s="57">
        <v>110001300047</v>
      </c>
      <c r="E197" s="57">
        <v>110001300050</v>
      </c>
      <c r="F197" s="58" t="s">
        <v>25</v>
      </c>
      <c r="G197" s="59">
        <v>550</v>
      </c>
      <c r="H197" s="60">
        <v>46133</v>
      </c>
      <c r="I197" s="55">
        <v>46132</v>
      </c>
      <c r="J197" s="57">
        <v>550</v>
      </c>
      <c r="K197" s="4">
        <f t="shared" si="6"/>
        <v>0</v>
      </c>
      <c r="L197" s="62"/>
      <c r="M197" s="63"/>
    </row>
    <row r="198" spans="1:13" s="45" customFormat="1" ht="13.25" customHeight="1" x14ac:dyDescent="0.3">
      <c r="A198" s="55">
        <v>46132</v>
      </c>
      <c r="B198" s="56" t="e">
        <f>VLOOKUP(C198,[7]完成订单!$D:$D,1,0)</f>
        <v>#N/A</v>
      </c>
      <c r="C198" s="57">
        <v>10400025972</v>
      </c>
      <c r="D198" s="57">
        <v>110001300047</v>
      </c>
      <c r="E198" s="57">
        <v>110001300051</v>
      </c>
      <c r="F198" s="58" t="s">
        <v>337</v>
      </c>
      <c r="G198" s="59">
        <v>550</v>
      </c>
      <c r="H198" s="60">
        <v>46133</v>
      </c>
      <c r="I198" s="55">
        <v>46132</v>
      </c>
      <c r="J198" s="57">
        <v>550</v>
      </c>
      <c r="K198" s="4">
        <f t="shared" si="6"/>
        <v>0</v>
      </c>
      <c r="L198" s="62"/>
      <c r="M198" s="63"/>
    </row>
    <row r="199" spans="1:13" s="45" customFormat="1" ht="13.25" customHeight="1" x14ac:dyDescent="0.3">
      <c r="A199" s="55">
        <v>46132</v>
      </c>
      <c r="B199" s="56">
        <f>VLOOKUP(C199,[7]完成订单!$D:$D,1,0)</f>
        <v>10880037725</v>
      </c>
      <c r="C199" s="57">
        <v>10880037725</v>
      </c>
      <c r="D199" s="57">
        <v>110001301138</v>
      </c>
      <c r="E199" s="57">
        <v>110001301138</v>
      </c>
      <c r="F199" s="58" t="s">
        <v>256</v>
      </c>
      <c r="G199" s="59">
        <v>3996</v>
      </c>
      <c r="H199" s="60">
        <v>46135</v>
      </c>
      <c r="I199" s="55">
        <v>46132</v>
      </c>
      <c r="J199" s="57">
        <v>3996</v>
      </c>
      <c r="K199" s="4">
        <f t="shared" si="6"/>
        <v>0</v>
      </c>
      <c r="L199" s="62"/>
      <c r="M199" s="63"/>
    </row>
    <row r="200" spans="1:13" s="45" customFormat="1" ht="13.25" customHeight="1" x14ac:dyDescent="0.3">
      <c r="A200" s="55">
        <v>46132</v>
      </c>
      <c r="B200" s="56" t="e">
        <f>VLOOKUP(C200,[7]完成订单!$D:$D,1,0)</f>
        <v>#N/A</v>
      </c>
      <c r="C200" s="57">
        <v>10400032806</v>
      </c>
      <c r="D200" s="57">
        <v>110001301138</v>
      </c>
      <c r="E200" s="57">
        <v>110001301139</v>
      </c>
      <c r="F200" s="58" t="s">
        <v>279</v>
      </c>
      <c r="G200" s="59">
        <v>3996</v>
      </c>
      <c r="H200" s="60">
        <v>46133</v>
      </c>
      <c r="I200" s="55">
        <v>46132</v>
      </c>
      <c r="J200" s="57">
        <v>3996</v>
      </c>
      <c r="K200" s="4">
        <f t="shared" si="6"/>
        <v>0</v>
      </c>
      <c r="L200" s="62"/>
      <c r="M200" s="63"/>
    </row>
    <row r="201" spans="1:13" s="45" customFormat="1" ht="13.25" customHeight="1" x14ac:dyDescent="0.3">
      <c r="A201" s="55">
        <v>46132</v>
      </c>
      <c r="B201" s="56">
        <f>VLOOKUP(C201,[7]完成订单!$D:$D,1,0)</f>
        <v>10880036479</v>
      </c>
      <c r="C201" s="57">
        <v>10880036479</v>
      </c>
      <c r="D201" s="57">
        <v>110001302855</v>
      </c>
      <c r="E201" s="57">
        <v>110001302855</v>
      </c>
      <c r="F201" s="58" t="s">
        <v>30</v>
      </c>
      <c r="G201" s="59">
        <v>600</v>
      </c>
      <c r="H201" s="60">
        <v>46137</v>
      </c>
      <c r="I201" s="55">
        <v>46132</v>
      </c>
      <c r="J201" s="57">
        <v>600</v>
      </c>
      <c r="K201" s="4">
        <f t="shared" si="6"/>
        <v>0</v>
      </c>
      <c r="L201" s="62"/>
      <c r="M201" s="63"/>
    </row>
    <row r="202" spans="1:13" s="45" customFormat="1" ht="13.25" customHeight="1" x14ac:dyDescent="0.3">
      <c r="A202" s="55">
        <v>46132</v>
      </c>
      <c r="B202" s="56">
        <f>VLOOKUP(C202,[7]完成订单!$D:$D,1,0)</f>
        <v>10400031098</v>
      </c>
      <c r="C202" s="57">
        <v>10400031098</v>
      </c>
      <c r="D202" s="57">
        <v>110001302855</v>
      </c>
      <c r="E202" s="57">
        <v>110001302856</v>
      </c>
      <c r="F202" s="58" t="s">
        <v>28</v>
      </c>
      <c r="G202" s="59">
        <v>600</v>
      </c>
      <c r="H202" s="60">
        <v>46136</v>
      </c>
      <c r="I202" s="55">
        <v>46132</v>
      </c>
      <c r="J202" s="57">
        <v>600</v>
      </c>
      <c r="K202" s="4">
        <f t="shared" si="6"/>
        <v>0</v>
      </c>
      <c r="L202" s="62"/>
      <c r="M202" s="63"/>
    </row>
    <row r="203" spans="1:13" s="45" customFormat="1" ht="13.25" customHeight="1" x14ac:dyDescent="0.3">
      <c r="A203" s="55">
        <v>46132</v>
      </c>
      <c r="B203" s="56">
        <f>VLOOKUP(C203,[7]完成订单!$D:$D,1,0)</f>
        <v>10400030646</v>
      </c>
      <c r="C203" s="57">
        <v>10400030646</v>
      </c>
      <c r="D203" s="57">
        <v>110001302855</v>
      </c>
      <c r="E203" s="57">
        <v>110001302857</v>
      </c>
      <c r="F203" s="58" t="s">
        <v>40</v>
      </c>
      <c r="G203" s="59">
        <v>600</v>
      </c>
      <c r="H203" s="60">
        <v>46135</v>
      </c>
      <c r="I203" s="55">
        <v>46132</v>
      </c>
      <c r="J203" s="57">
        <v>600</v>
      </c>
      <c r="K203" s="4">
        <f t="shared" si="6"/>
        <v>0</v>
      </c>
      <c r="L203" s="62"/>
      <c r="M203" s="63"/>
    </row>
    <row r="204" spans="1:13" s="45" customFormat="1" ht="13.25" customHeight="1" x14ac:dyDescent="0.3">
      <c r="A204" s="55">
        <v>46132</v>
      </c>
      <c r="B204" s="56" t="e">
        <f>VLOOKUP(C204,[7]完成订单!$D:$D,1,0)</f>
        <v>#N/A</v>
      </c>
      <c r="C204" s="57">
        <v>10400031099</v>
      </c>
      <c r="D204" s="57">
        <v>110001302855</v>
      </c>
      <c r="E204" s="57">
        <v>110001302858</v>
      </c>
      <c r="F204" s="58" t="s">
        <v>28</v>
      </c>
      <c r="G204" s="59">
        <v>600</v>
      </c>
      <c r="H204" s="60">
        <v>46134</v>
      </c>
      <c r="I204" s="55">
        <v>46132</v>
      </c>
      <c r="J204" s="57">
        <v>600</v>
      </c>
      <c r="K204" s="4">
        <f t="shared" si="6"/>
        <v>0</v>
      </c>
      <c r="L204" s="62"/>
      <c r="M204" s="63"/>
    </row>
    <row r="205" spans="1:13" s="45" customFormat="1" ht="13.25" customHeight="1" x14ac:dyDescent="0.3">
      <c r="A205" s="55">
        <v>46132</v>
      </c>
      <c r="B205" s="56" t="e">
        <f>VLOOKUP(C205,[7]完成订单!$D:$D,1,0)</f>
        <v>#N/A</v>
      </c>
      <c r="C205" s="57">
        <v>10400030647</v>
      </c>
      <c r="D205" s="57">
        <v>110001302855</v>
      </c>
      <c r="E205" s="57">
        <v>110001302859</v>
      </c>
      <c r="F205" s="58" t="s">
        <v>40</v>
      </c>
      <c r="G205" s="59">
        <v>600</v>
      </c>
      <c r="H205" s="60">
        <v>46133</v>
      </c>
      <c r="I205" s="55">
        <v>46132</v>
      </c>
      <c r="J205" s="57">
        <v>600</v>
      </c>
      <c r="K205" s="4">
        <f t="shared" si="6"/>
        <v>0</v>
      </c>
      <c r="L205" s="62"/>
      <c r="M205" s="63"/>
    </row>
    <row r="206" spans="1:13" s="45" customFormat="1" ht="13.25" customHeight="1" x14ac:dyDescent="0.3">
      <c r="A206" s="55">
        <v>46132</v>
      </c>
      <c r="B206" s="56">
        <f>VLOOKUP(C206,[7]完成订单!$D:$D,1,0)</f>
        <v>10880036499</v>
      </c>
      <c r="C206" s="57">
        <v>10880036499</v>
      </c>
      <c r="D206" s="57">
        <v>110001302865</v>
      </c>
      <c r="E206" s="57">
        <v>110001302865</v>
      </c>
      <c r="F206" s="58" t="s">
        <v>29</v>
      </c>
      <c r="G206" s="59">
        <v>250</v>
      </c>
      <c r="H206" s="60">
        <v>46137</v>
      </c>
      <c r="I206" s="55">
        <v>46132</v>
      </c>
      <c r="J206" s="57">
        <v>250</v>
      </c>
      <c r="K206" s="4">
        <f t="shared" si="6"/>
        <v>0</v>
      </c>
      <c r="L206" s="62"/>
      <c r="M206" s="63"/>
    </row>
    <row r="207" spans="1:13" s="45" customFormat="1" ht="13.25" customHeight="1" x14ac:dyDescent="0.3">
      <c r="A207" s="55">
        <v>46132</v>
      </c>
      <c r="B207" s="56">
        <f>VLOOKUP(C207,[7]完成订单!$D:$D,1,0)</f>
        <v>10400031126</v>
      </c>
      <c r="C207" s="57">
        <v>10400031126</v>
      </c>
      <c r="D207" s="57">
        <v>110001302865</v>
      </c>
      <c r="E207" s="57">
        <v>110001302866</v>
      </c>
      <c r="F207" s="58" t="s">
        <v>27</v>
      </c>
      <c r="G207" s="59">
        <v>250</v>
      </c>
      <c r="H207" s="60">
        <v>46136</v>
      </c>
      <c r="I207" s="55">
        <v>46132</v>
      </c>
      <c r="J207" s="57">
        <v>250</v>
      </c>
      <c r="K207" s="4">
        <f t="shared" si="6"/>
        <v>0</v>
      </c>
      <c r="L207" s="62"/>
      <c r="M207" s="63"/>
    </row>
    <row r="208" spans="1:13" s="45" customFormat="1" ht="13.25" customHeight="1" x14ac:dyDescent="0.3">
      <c r="A208" s="55">
        <v>46132</v>
      </c>
      <c r="B208" s="56">
        <f>VLOOKUP(C208,[7]完成订单!$D:$D,1,0)</f>
        <v>10400029072</v>
      </c>
      <c r="C208" s="57">
        <v>10400029072</v>
      </c>
      <c r="D208" s="57">
        <v>110001302865</v>
      </c>
      <c r="E208" s="57">
        <v>110001302867</v>
      </c>
      <c r="F208" s="58" t="s">
        <v>24</v>
      </c>
      <c r="G208" s="59">
        <v>250</v>
      </c>
      <c r="H208" s="60">
        <v>46135</v>
      </c>
      <c r="I208" s="55">
        <v>46132</v>
      </c>
      <c r="J208" s="57">
        <v>250</v>
      </c>
      <c r="K208" s="4">
        <f t="shared" si="6"/>
        <v>0</v>
      </c>
      <c r="L208" s="62"/>
      <c r="M208" s="63"/>
    </row>
    <row r="209" spans="1:13" s="45" customFormat="1" ht="13.25" customHeight="1" x14ac:dyDescent="0.3">
      <c r="A209" s="55">
        <v>46132</v>
      </c>
      <c r="B209" s="56" t="e">
        <f>VLOOKUP(C209,[7]完成订单!$D:$D,1,0)</f>
        <v>#N/A</v>
      </c>
      <c r="C209" s="57">
        <v>10400031127</v>
      </c>
      <c r="D209" s="57">
        <v>110001302865</v>
      </c>
      <c r="E209" s="57">
        <v>110001302868</v>
      </c>
      <c r="F209" s="58" t="s">
        <v>27</v>
      </c>
      <c r="G209" s="59">
        <v>250</v>
      </c>
      <c r="H209" s="60">
        <v>46134</v>
      </c>
      <c r="I209" s="55">
        <v>46132</v>
      </c>
      <c r="J209" s="57">
        <v>250</v>
      </c>
      <c r="K209" s="4">
        <f t="shared" si="6"/>
        <v>0</v>
      </c>
      <c r="L209" s="62"/>
      <c r="M209" s="63"/>
    </row>
    <row r="210" spans="1:13" s="45" customFormat="1" ht="13.25" customHeight="1" x14ac:dyDescent="0.3">
      <c r="A210" s="55">
        <v>46132</v>
      </c>
      <c r="B210" s="56" t="e">
        <f>VLOOKUP(C210,[7]完成订单!$D:$D,1,0)</f>
        <v>#N/A</v>
      </c>
      <c r="C210" s="57">
        <v>10400029073</v>
      </c>
      <c r="D210" s="57">
        <v>110001302865</v>
      </c>
      <c r="E210" s="57">
        <v>110001302869</v>
      </c>
      <c r="F210" s="58" t="s">
        <v>24</v>
      </c>
      <c r="G210" s="59">
        <v>250</v>
      </c>
      <c r="H210" s="60">
        <v>46133</v>
      </c>
      <c r="I210" s="55">
        <v>46132</v>
      </c>
      <c r="J210" s="57">
        <v>250</v>
      </c>
      <c r="K210" s="4">
        <f t="shared" si="6"/>
        <v>0</v>
      </c>
      <c r="L210" s="62"/>
      <c r="M210" s="63"/>
    </row>
    <row r="211" spans="1:13" s="45" customFormat="1" ht="13.25" customHeight="1" x14ac:dyDescent="0.3">
      <c r="A211" s="55">
        <v>46132</v>
      </c>
      <c r="B211" s="56">
        <f>VLOOKUP(C211,[7]完成订单!$D:$D,1,0)</f>
        <v>10880028307</v>
      </c>
      <c r="C211" s="57">
        <v>10880028307</v>
      </c>
      <c r="D211" s="57">
        <v>110001302965</v>
      </c>
      <c r="E211" s="57">
        <v>110001302965</v>
      </c>
      <c r="F211" s="58" t="s">
        <v>186</v>
      </c>
      <c r="G211" s="59">
        <v>1500</v>
      </c>
      <c r="H211" s="60">
        <v>46135</v>
      </c>
      <c r="I211" s="55">
        <v>46132</v>
      </c>
      <c r="J211" s="57">
        <v>1500</v>
      </c>
      <c r="K211" s="4">
        <f t="shared" si="6"/>
        <v>0</v>
      </c>
      <c r="L211" s="62"/>
      <c r="M211" s="63"/>
    </row>
    <row r="212" spans="1:13" s="45" customFormat="1" ht="13.25" customHeight="1" x14ac:dyDescent="0.3">
      <c r="A212" s="55">
        <v>46132</v>
      </c>
      <c r="B212" s="56" t="e">
        <f>VLOOKUP(C212,[7]完成订单!$D:$D,1,0)</f>
        <v>#N/A</v>
      </c>
      <c r="C212" s="57">
        <v>10400022619</v>
      </c>
      <c r="D212" s="57">
        <v>110001302965</v>
      </c>
      <c r="E212" s="57">
        <v>110001302966</v>
      </c>
      <c r="F212" s="58" t="s">
        <v>186</v>
      </c>
      <c r="G212" s="59">
        <v>1500</v>
      </c>
      <c r="H212" s="60">
        <v>46133</v>
      </c>
      <c r="I212" s="55">
        <v>46132</v>
      </c>
      <c r="J212" s="57">
        <v>1500</v>
      </c>
      <c r="K212" s="4">
        <f t="shared" si="6"/>
        <v>0</v>
      </c>
      <c r="L212" s="62"/>
      <c r="M212" s="63"/>
    </row>
    <row r="213" spans="1:13" s="45" customFormat="1" ht="13.25" customHeight="1" x14ac:dyDescent="0.3">
      <c r="A213" s="55">
        <v>46132</v>
      </c>
      <c r="B213" s="56">
        <f>VLOOKUP(C213,[7]完成订单!$D:$D,1,0)</f>
        <v>10880033325</v>
      </c>
      <c r="C213" s="57">
        <v>10880033325</v>
      </c>
      <c r="D213" s="57">
        <v>110001303402</v>
      </c>
      <c r="E213" s="57">
        <v>110001303402</v>
      </c>
      <c r="F213" s="58" t="s">
        <v>252</v>
      </c>
      <c r="G213" s="59">
        <v>1000</v>
      </c>
      <c r="H213" s="60">
        <v>46133</v>
      </c>
      <c r="I213" s="55">
        <v>46132</v>
      </c>
      <c r="J213" s="57">
        <v>1000</v>
      </c>
      <c r="K213" s="4">
        <f t="shared" ref="K213:K226" si="7">+J213-G213</f>
        <v>0</v>
      </c>
      <c r="L213" s="62"/>
      <c r="M213" s="63"/>
    </row>
    <row r="214" spans="1:13" s="45" customFormat="1" ht="13.25" customHeight="1" x14ac:dyDescent="0.3">
      <c r="A214" s="55">
        <v>46132</v>
      </c>
      <c r="B214" s="56" t="e">
        <f>VLOOKUP(C214,[7]完成订单!$D:$D,1,0)</f>
        <v>#N/A</v>
      </c>
      <c r="C214" s="57">
        <v>10400027049</v>
      </c>
      <c r="D214" s="57">
        <v>110001303402</v>
      </c>
      <c r="E214" s="57">
        <v>110001303403</v>
      </c>
      <c r="F214" s="58" t="s">
        <v>252</v>
      </c>
      <c r="G214" s="59">
        <v>1000</v>
      </c>
      <c r="H214" s="60">
        <v>46131</v>
      </c>
      <c r="I214" s="55">
        <v>46132</v>
      </c>
      <c r="J214" s="57">
        <v>1000</v>
      </c>
      <c r="K214" s="4">
        <f t="shared" si="7"/>
        <v>0</v>
      </c>
      <c r="L214" s="62"/>
      <c r="M214" s="63"/>
    </row>
    <row r="215" spans="1:13" s="45" customFormat="1" ht="13.25" customHeight="1" x14ac:dyDescent="0.3">
      <c r="A215" s="55">
        <v>46132</v>
      </c>
      <c r="B215" s="56">
        <f>VLOOKUP(C215,[7]完成订单!$D:$D,1,0)</f>
        <v>10880037503</v>
      </c>
      <c r="C215" s="57">
        <v>10880037503</v>
      </c>
      <c r="D215" s="57">
        <v>110001304439</v>
      </c>
      <c r="E215" s="57">
        <v>110001304439</v>
      </c>
      <c r="F215" s="58" t="s">
        <v>245</v>
      </c>
      <c r="G215" s="59">
        <v>3000</v>
      </c>
      <c r="H215" s="60">
        <v>46134</v>
      </c>
      <c r="I215" s="55">
        <v>46132</v>
      </c>
      <c r="J215" s="57">
        <v>3000</v>
      </c>
      <c r="K215" s="4">
        <f t="shared" si="7"/>
        <v>0</v>
      </c>
      <c r="L215" s="62"/>
      <c r="M215" s="63"/>
    </row>
    <row r="216" spans="1:13" s="45" customFormat="1" ht="13.25" customHeight="1" x14ac:dyDescent="0.3">
      <c r="A216" s="55">
        <v>46132</v>
      </c>
      <c r="B216" s="56" t="e">
        <f>VLOOKUP(C216,[7]完成订单!$D:$D,1,0)</f>
        <v>#N/A</v>
      </c>
      <c r="C216" s="57">
        <v>10400032495</v>
      </c>
      <c r="D216" s="57">
        <v>110001304439</v>
      </c>
      <c r="E216" s="57">
        <v>110001304440</v>
      </c>
      <c r="F216" s="58" t="s">
        <v>338</v>
      </c>
      <c r="G216" s="59">
        <v>3000</v>
      </c>
      <c r="H216" s="60">
        <v>46132</v>
      </c>
      <c r="I216" s="55">
        <v>46132</v>
      </c>
      <c r="J216" s="57">
        <v>3000</v>
      </c>
      <c r="K216" s="4">
        <f t="shared" si="7"/>
        <v>0</v>
      </c>
      <c r="L216" s="62"/>
      <c r="M216" s="63"/>
    </row>
    <row r="217" spans="1:13" s="45" customFormat="1" ht="13.25" customHeight="1" x14ac:dyDescent="0.3">
      <c r="A217" s="55">
        <v>46132</v>
      </c>
      <c r="B217" s="56">
        <f>VLOOKUP(C217,[7]完成订单!$D:$D,1,0)</f>
        <v>10880034957</v>
      </c>
      <c r="C217" s="57">
        <v>10880034957</v>
      </c>
      <c r="D217" s="57">
        <v>110001307022</v>
      </c>
      <c r="E217" s="57">
        <v>110001307022</v>
      </c>
      <c r="F217" s="58" t="s">
        <v>339</v>
      </c>
      <c r="G217" s="59">
        <v>100</v>
      </c>
      <c r="H217" s="60">
        <v>46136</v>
      </c>
      <c r="I217" s="55">
        <v>46132</v>
      </c>
      <c r="J217" s="57">
        <v>100</v>
      </c>
      <c r="K217" s="4">
        <f t="shared" si="7"/>
        <v>0</v>
      </c>
      <c r="L217" s="62"/>
      <c r="M217" s="63"/>
    </row>
    <row r="218" spans="1:13" s="45" customFormat="1" ht="13.25" customHeight="1" x14ac:dyDescent="0.3">
      <c r="A218" s="55">
        <v>46132</v>
      </c>
      <c r="B218" s="56" t="e">
        <f>VLOOKUP(C218,[7]完成订单!$D:$D,1,0)</f>
        <v>#N/A</v>
      </c>
      <c r="C218" s="57">
        <v>10400029037</v>
      </c>
      <c r="D218" s="57">
        <v>110001307022</v>
      </c>
      <c r="E218" s="57">
        <v>110001307023</v>
      </c>
      <c r="F218" s="58" t="s">
        <v>339</v>
      </c>
      <c r="G218" s="59">
        <v>100</v>
      </c>
      <c r="H218" s="60">
        <v>46134</v>
      </c>
      <c r="I218" s="55">
        <v>46132</v>
      </c>
      <c r="J218" s="57">
        <v>100</v>
      </c>
      <c r="K218" s="4">
        <f t="shared" si="7"/>
        <v>0</v>
      </c>
      <c r="L218" s="62"/>
      <c r="M218" s="63"/>
    </row>
    <row r="219" spans="1:13" s="45" customFormat="1" ht="13.25" customHeight="1" x14ac:dyDescent="0.3">
      <c r="A219" s="55">
        <v>46132</v>
      </c>
      <c r="B219" s="56">
        <f>VLOOKUP(C219,[7]完成订单!$D:$D,1,0)</f>
        <v>10880031183</v>
      </c>
      <c r="C219" s="57">
        <v>10880031183</v>
      </c>
      <c r="D219" s="57">
        <v>110001308389</v>
      </c>
      <c r="E219" s="57">
        <v>110001308389</v>
      </c>
      <c r="F219" s="58" t="s">
        <v>237</v>
      </c>
      <c r="G219" s="59">
        <v>500</v>
      </c>
      <c r="H219" s="60">
        <v>46134</v>
      </c>
      <c r="I219" s="55">
        <v>46132</v>
      </c>
      <c r="J219" s="57">
        <v>500</v>
      </c>
      <c r="K219" s="4">
        <f t="shared" si="7"/>
        <v>0</v>
      </c>
      <c r="L219" s="62"/>
      <c r="M219" s="63"/>
    </row>
    <row r="220" spans="1:13" s="45" customFormat="1" ht="13.25" customHeight="1" x14ac:dyDescent="0.3">
      <c r="A220" s="55">
        <v>46132</v>
      </c>
      <c r="B220" s="56" t="e">
        <f>VLOOKUP(C220,[7]完成订单!$D:$D,1,0)</f>
        <v>#N/A</v>
      </c>
      <c r="C220" s="57">
        <v>10400024980</v>
      </c>
      <c r="D220" s="57">
        <v>110001308389</v>
      </c>
      <c r="E220" s="57">
        <v>110001308390</v>
      </c>
      <c r="F220" s="58" t="s">
        <v>237</v>
      </c>
      <c r="G220" s="59">
        <v>500</v>
      </c>
      <c r="H220" s="60">
        <v>46132</v>
      </c>
      <c r="I220" s="55">
        <v>46132</v>
      </c>
      <c r="J220" s="57">
        <v>500</v>
      </c>
      <c r="K220" s="4">
        <f t="shared" si="7"/>
        <v>0</v>
      </c>
      <c r="L220" s="62"/>
      <c r="M220" s="63"/>
    </row>
    <row r="221" spans="1:13" s="45" customFormat="1" ht="13.25" customHeight="1" x14ac:dyDescent="0.3">
      <c r="A221" s="55">
        <v>46132</v>
      </c>
      <c r="B221" s="56">
        <f>VLOOKUP(C221,[7]完成订单!$D:$D,1,0)</f>
        <v>10880037181</v>
      </c>
      <c r="C221" s="57">
        <v>10880037181</v>
      </c>
      <c r="D221" s="57">
        <v>110001309322</v>
      </c>
      <c r="E221" s="57">
        <v>110001309322</v>
      </c>
      <c r="F221" s="58" t="s">
        <v>340</v>
      </c>
      <c r="G221" s="59">
        <v>320</v>
      </c>
      <c r="H221" s="60">
        <v>46134</v>
      </c>
      <c r="I221" s="55">
        <v>46132</v>
      </c>
      <c r="J221" s="57">
        <v>320</v>
      </c>
      <c r="K221" s="4">
        <f t="shared" si="7"/>
        <v>0</v>
      </c>
      <c r="L221" s="62"/>
      <c r="M221" s="63"/>
    </row>
    <row r="222" spans="1:13" s="45" customFormat="1" ht="13.25" customHeight="1" x14ac:dyDescent="0.3">
      <c r="A222" s="55">
        <v>46132</v>
      </c>
      <c r="B222" s="56" t="e">
        <f>VLOOKUP(C222,[7]完成订单!$D:$D,1,0)</f>
        <v>#N/A</v>
      </c>
      <c r="C222" s="57">
        <v>10400032080</v>
      </c>
      <c r="D222" s="57">
        <v>110001309322</v>
      </c>
      <c r="E222" s="57">
        <v>110001309323</v>
      </c>
      <c r="F222" s="58" t="s">
        <v>341</v>
      </c>
      <c r="G222" s="59">
        <v>320</v>
      </c>
      <c r="H222" s="60">
        <v>46132</v>
      </c>
      <c r="I222" s="55">
        <v>46132</v>
      </c>
      <c r="J222" s="57">
        <v>320</v>
      </c>
      <c r="K222" s="4">
        <f t="shared" si="7"/>
        <v>0</v>
      </c>
      <c r="L222" s="62"/>
      <c r="M222" s="63"/>
    </row>
    <row r="223" spans="1:13" s="45" customFormat="1" ht="13.25" customHeight="1" x14ac:dyDescent="0.3">
      <c r="A223" s="55">
        <v>46132</v>
      </c>
      <c r="B223" s="56">
        <f>VLOOKUP(C223,[7]完成订单!$D:$D,1,0)</f>
        <v>10880036452</v>
      </c>
      <c r="C223" s="57">
        <v>10880036452</v>
      </c>
      <c r="D223" s="57">
        <v>880000120111</v>
      </c>
      <c r="E223" s="57">
        <v>880000120111</v>
      </c>
      <c r="F223" s="58" t="s">
        <v>342</v>
      </c>
      <c r="G223" s="59">
        <v>200</v>
      </c>
      <c r="H223" s="60">
        <v>46136</v>
      </c>
      <c r="I223" s="55">
        <v>46132</v>
      </c>
      <c r="J223" s="57">
        <v>200</v>
      </c>
      <c r="K223" s="4">
        <f t="shared" si="7"/>
        <v>0</v>
      </c>
      <c r="L223" s="62"/>
      <c r="M223" s="63"/>
    </row>
    <row r="224" spans="1:13" s="45" customFormat="1" ht="13.25" customHeight="1" x14ac:dyDescent="0.3">
      <c r="A224" s="55">
        <v>46132</v>
      </c>
      <c r="B224" s="56" t="e">
        <f>VLOOKUP(C224,[7]完成订单!$D:$D,1,0)</f>
        <v>#N/A</v>
      </c>
      <c r="C224" s="57">
        <v>10400031061</v>
      </c>
      <c r="D224" s="57">
        <v>880000120111</v>
      </c>
      <c r="E224" s="57">
        <v>880000120112</v>
      </c>
      <c r="F224" s="58" t="s">
        <v>343</v>
      </c>
      <c r="G224" s="59">
        <v>200</v>
      </c>
      <c r="H224" s="60">
        <v>46134</v>
      </c>
      <c r="I224" s="55">
        <v>46132</v>
      </c>
      <c r="J224" s="57">
        <v>200</v>
      </c>
      <c r="K224" s="4">
        <f t="shared" si="7"/>
        <v>0</v>
      </c>
      <c r="L224" s="62"/>
      <c r="M224" s="63"/>
    </row>
    <row r="225" spans="1:13" s="45" customFormat="1" ht="13.25" customHeight="1" x14ac:dyDescent="0.3">
      <c r="A225" s="55">
        <v>46132</v>
      </c>
      <c r="B225" s="56" t="e">
        <f>VLOOKUP(C225,[7]完成订单!$D:$D,1,0)</f>
        <v>#N/A</v>
      </c>
      <c r="C225" s="57">
        <v>10400031062</v>
      </c>
      <c r="D225" s="57">
        <v>880000120111</v>
      </c>
      <c r="E225" s="57">
        <v>880000120113</v>
      </c>
      <c r="F225" s="58" t="s">
        <v>344</v>
      </c>
      <c r="G225" s="59">
        <v>200</v>
      </c>
      <c r="H225" s="60">
        <v>46134</v>
      </c>
      <c r="I225" s="55">
        <v>46132</v>
      </c>
      <c r="J225" s="57">
        <v>200</v>
      </c>
      <c r="K225" s="4">
        <f t="shared" si="7"/>
        <v>0</v>
      </c>
      <c r="L225" s="62"/>
      <c r="M225" s="63"/>
    </row>
    <row r="226" spans="1:13" s="45" customFormat="1" ht="13.25" customHeight="1" x14ac:dyDescent="0.3">
      <c r="A226" s="55">
        <v>46132</v>
      </c>
      <c r="B226" s="56">
        <f>VLOOKUP(C226,[7]完成订单!$D:$D,1,0)</f>
        <v>10880035045</v>
      </c>
      <c r="C226" s="57">
        <v>10880035045</v>
      </c>
      <c r="D226" s="57">
        <v>880000121349</v>
      </c>
      <c r="E226" s="57">
        <v>880000121349</v>
      </c>
      <c r="F226" s="58" t="s">
        <v>158</v>
      </c>
      <c r="G226" s="59">
        <v>240</v>
      </c>
      <c r="H226" s="60">
        <v>46136</v>
      </c>
      <c r="I226" s="55">
        <v>46132</v>
      </c>
      <c r="J226" s="57">
        <v>240</v>
      </c>
      <c r="K226" s="4">
        <f t="shared" si="7"/>
        <v>0</v>
      </c>
      <c r="L226" s="62"/>
      <c r="M226" s="63"/>
    </row>
    <row r="227" spans="1:13" s="45" customFormat="1" ht="13.25" customHeight="1" x14ac:dyDescent="0.3">
      <c r="A227" s="55">
        <v>46132</v>
      </c>
      <c r="B227" s="56">
        <f>VLOOKUP(C227,[7]完成订单!$D:$D,1,0)</f>
        <v>10400029151</v>
      </c>
      <c r="C227" s="57">
        <v>10400029151</v>
      </c>
      <c r="D227" s="57">
        <v>880000121349</v>
      </c>
      <c r="E227" s="57">
        <v>880000121350</v>
      </c>
      <c r="F227" s="58" t="s">
        <v>345</v>
      </c>
      <c r="G227" s="59">
        <v>240</v>
      </c>
      <c r="H227" s="60">
        <v>46136</v>
      </c>
      <c r="I227" s="55">
        <v>46132</v>
      </c>
      <c r="J227" s="57">
        <v>240</v>
      </c>
      <c r="K227" s="4">
        <f>+J227-G227</f>
        <v>0</v>
      </c>
      <c r="L227" s="62"/>
      <c r="M227" s="63"/>
    </row>
    <row r="228" spans="1:13" s="45" customFormat="1" ht="13.25" customHeight="1" x14ac:dyDescent="0.3">
      <c r="A228" s="55">
        <v>46132</v>
      </c>
      <c r="B228" s="56">
        <f>VLOOKUP(C228,[7]完成订单!$D:$D,1,0)</f>
        <v>10400029152</v>
      </c>
      <c r="C228" s="57">
        <v>10400029152</v>
      </c>
      <c r="D228" s="57">
        <v>880000121349</v>
      </c>
      <c r="E228" s="57">
        <v>880000121351</v>
      </c>
      <c r="F228" s="58" t="s">
        <v>346</v>
      </c>
      <c r="G228" s="59">
        <v>240</v>
      </c>
      <c r="H228" s="60">
        <v>46136</v>
      </c>
      <c r="I228" s="55">
        <v>46132</v>
      </c>
      <c r="J228" s="57">
        <v>240</v>
      </c>
      <c r="K228" s="4">
        <f>+J228-G228</f>
        <v>0</v>
      </c>
      <c r="L228" s="62"/>
      <c r="M228" s="63"/>
    </row>
    <row r="229" spans="1:13" s="45" customFormat="1" ht="13.25" customHeight="1" x14ac:dyDescent="0.3">
      <c r="A229" s="55">
        <v>46132</v>
      </c>
      <c r="B229" s="56" t="e">
        <f>VLOOKUP(C229,[7]完成订单!$D:$D,1,0)</f>
        <v>#N/A</v>
      </c>
      <c r="C229" s="57">
        <v>10400029150</v>
      </c>
      <c r="D229" s="57">
        <v>880000121349</v>
      </c>
      <c r="E229" s="57">
        <v>880000121352</v>
      </c>
      <c r="F229" s="58" t="s">
        <v>345</v>
      </c>
      <c r="G229" s="59">
        <v>240</v>
      </c>
      <c r="H229" s="60">
        <v>46134</v>
      </c>
      <c r="I229" s="55">
        <v>46132</v>
      </c>
      <c r="J229" s="57">
        <v>240</v>
      </c>
      <c r="K229" s="4">
        <f>+J229-G229</f>
        <v>0</v>
      </c>
      <c r="L229" s="62"/>
      <c r="M229" s="63"/>
    </row>
    <row r="230" spans="1:13" s="45" customFormat="1" ht="13.25" customHeight="1" x14ac:dyDescent="0.3">
      <c r="A230" s="55">
        <v>46132</v>
      </c>
      <c r="B230" s="56" t="e">
        <f>VLOOKUP(C230,[7]完成订单!$D:$D,1,0)</f>
        <v>#N/A</v>
      </c>
      <c r="C230" s="57">
        <v>10400029153</v>
      </c>
      <c r="D230" s="57">
        <v>880000121349</v>
      </c>
      <c r="E230" s="57">
        <v>880000121353</v>
      </c>
      <c r="F230" s="58" t="s">
        <v>346</v>
      </c>
      <c r="G230" s="59">
        <v>240</v>
      </c>
      <c r="H230" s="60">
        <v>46134</v>
      </c>
      <c r="I230" s="55">
        <v>46132</v>
      </c>
      <c r="J230" s="57">
        <v>240</v>
      </c>
      <c r="K230" s="4">
        <f>+J230-G230</f>
        <v>0</v>
      </c>
      <c r="L230" s="62"/>
      <c r="M230" s="63"/>
    </row>
    <row r="231" spans="1:13" s="45" customFormat="1" ht="13.25" customHeight="1" x14ac:dyDescent="0.3">
      <c r="A231" s="55">
        <v>46133</v>
      </c>
      <c r="B231" s="56">
        <f>VLOOKUP(C231,[7]完成订单!$D:$D,1,0)</f>
        <v>10880036761</v>
      </c>
      <c r="C231" s="57">
        <v>10880036761</v>
      </c>
      <c r="D231" s="57">
        <v>110001288471</v>
      </c>
      <c r="E231" s="57">
        <v>110001288471</v>
      </c>
      <c r="F231" s="58" t="s">
        <v>163</v>
      </c>
      <c r="G231" s="59">
        <v>400</v>
      </c>
      <c r="H231" s="60">
        <v>46136</v>
      </c>
      <c r="I231" s="55">
        <v>46133</v>
      </c>
      <c r="J231" s="57">
        <v>400</v>
      </c>
      <c r="K231" s="4">
        <v>0</v>
      </c>
      <c r="L231" s="62"/>
      <c r="M231" s="63"/>
    </row>
    <row r="232" spans="1:13" s="45" customFormat="1" ht="13.25" customHeight="1" x14ac:dyDescent="0.3">
      <c r="A232" s="55">
        <v>46133</v>
      </c>
      <c r="B232" s="56" t="e">
        <f>VLOOKUP(C232,[7]完成订单!$D:$D,1,0)</f>
        <v>#N/A</v>
      </c>
      <c r="C232" s="57">
        <v>10400031488</v>
      </c>
      <c r="D232" s="57">
        <v>110001288471</v>
      </c>
      <c r="E232" s="57">
        <v>110001288472</v>
      </c>
      <c r="F232" s="58" t="s">
        <v>347</v>
      </c>
      <c r="G232" s="59">
        <v>400</v>
      </c>
      <c r="H232" s="60">
        <v>46134</v>
      </c>
      <c r="I232" s="55">
        <v>46133</v>
      </c>
      <c r="J232" s="57">
        <v>400</v>
      </c>
      <c r="K232" s="4">
        <v>0</v>
      </c>
      <c r="L232" s="62"/>
      <c r="M232" s="63"/>
    </row>
    <row r="233" spans="1:13" s="45" customFormat="1" ht="13.25" customHeight="1" x14ac:dyDescent="0.3">
      <c r="A233" s="55">
        <v>46133</v>
      </c>
      <c r="B233" s="56">
        <f>VLOOKUP(C233,[7]完成订单!$D:$D,1,0)</f>
        <v>10880038236</v>
      </c>
      <c r="C233" s="57">
        <v>10880038236</v>
      </c>
      <c r="D233" s="57">
        <v>110001290420</v>
      </c>
      <c r="E233" s="57">
        <v>110001290420</v>
      </c>
      <c r="F233" s="58" t="s">
        <v>103</v>
      </c>
      <c r="G233" s="59">
        <v>1000</v>
      </c>
      <c r="H233" s="60">
        <v>46135</v>
      </c>
      <c r="I233" s="55">
        <v>46133</v>
      </c>
      <c r="J233" s="57">
        <v>1000</v>
      </c>
      <c r="K233" s="4">
        <v>0</v>
      </c>
      <c r="L233" s="62"/>
      <c r="M233" s="63"/>
    </row>
    <row r="234" spans="1:13" s="45" customFormat="1" ht="13.25" customHeight="1" x14ac:dyDescent="0.3">
      <c r="A234" s="55">
        <v>46133</v>
      </c>
      <c r="B234" s="56">
        <f>VLOOKUP(C234,[7]完成订单!$D:$D,1,0)</f>
        <v>10400033234</v>
      </c>
      <c r="C234" s="57">
        <v>10400033234</v>
      </c>
      <c r="D234" s="57">
        <v>110001290420</v>
      </c>
      <c r="E234" s="57">
        <v>110001290423</v>
      </c>
      <c r="F234" s="58" t="s">
        <v>124</v>
      </c>
      <c r="G234" s="59">
        <v>1000</v>
      </c>
      <c r="H234" s="60">
        <v>46134</v>
      </c>
      <c r="I234" s="55">
        <v>46133</v>
      </c>
      <c r="J234" s="57">
        <v>1000</v>
      </c>
      <c r="K234" s="4">
        <v>0</v>
      </c>
      <c r="L234" s="62"/>
      <c r="M234" s="63"/>
    </row>
    <row r="235" spans="1:13" s="45" customFormat="1" ht="13.25" customHeight="1" x14ac:dyDescent="0.3">
      <c r="A235" s="55">
        <v>46133</v>
      </c>
      <c r="B235" s="56">
        <f>VLOOKUP(C235,[7]完成订单!$D:$D,1,0)</f>
        <v>10400033476</v>
      </c>
      <c r="C235" s="57">
        <v>10400033476</v>
      </c>
      <c r="D235" s="57">
        <v>110001290420</v>
      </c>
      <c r="E235" s="57">
        <v>110001290425</v>
      </c>
      <c r="F235" s="58" t="s">
        <v>104</v>
      </c>
      <c r="G235" s="59">
        <v>1000</v>
      </c>
      <c r="H235" s="60">
        <v>46135</v>
      </c>
      <c r="I235" s="55">
        <v>46133</v>
      </c>
      <c r="J235" s="57">
        <v>1000</v>
      </c>
      <c r="K235" s="4">
        <v>0</v>
      </c>
      <c r="L235" s="62"/>
      <c r="M235" s="63"/>
    </row>
    <row r="236" spans="1:13" s="45" customFormat="1" ht="13.25" customHeight="1" x14ac:dyDescent="0.3">
      <c r="A236" s="55">
        <v>46133</v>
      </c>
      <c r="B236" s="56" t="e">
        <f>VLOOKUP(C236,[7]完成订单!$D:$D,1,0)</f>
        <v>#N/A</v>
      </c>
      <c r="C236" s="57">
        <v>10400033477</v>
      </c>
      <c r="D236" s="57">
        <v>110001290420</v>
      </c>
      <c r="E236" s="57">
        <v>110001290430</v>
      </c>
      <c r="F236" s="58" t="s">
        <v>104</v>
      </c>
      <c r="G236" s="59">
        <v>1000</v>
      </c>
      <c r="H236" s="60">
        <v>46133</v>
      </c>
      <c r="I236" s="55">
        <v>46133</v>
      </c>
      <c r="J236" s="57">
        <v>1000</v>
      </c>
      <c r="K236" s="4">
        <v>0</v>
      </c>
      <c r="L236" s="62"/>
      <c r="M236" s="63"/>
    </row>
    <row r="237" spans="1:13" s="45" customFormat="1" ht="13.25" customHeight="1" x14ac:dyDescent="0.3">
      <c r="A237" s="55">
        <v>46133</v>
      </c>
      <c r="B237" s="56">
        <f>VLOOKUP(C237,[7]完成订单!$D:$D,1,0)</f>
        <v>10880038237</v>
      </c>
      <c r="C237" s="57">
        <v>10880038237</v>
      </c>
      <c r="D237" s="57">
        <v>110001290468</v>
      </c>
      <c r="E237" s="57">
        <v>110001290468</v>
      </c>
      <c r="F237" s="58" t="s">
        <v>113</v>
      </c>
      <c r="G237" s="59">
        <v>1200</v>
      </c>
      <c r="H237" s="60">
        <v>46136</v>
      </c>
      <c r="I237" s="55">
        <v>46133</v>
      </c>
      <c r="J237" s="57">
        <v>1200</v>
      </c>
      <c r="K237" s="4">
        <v>0</v>
      </c>
      <c r="L237" s="62"/>
      <c r="M237" s="63"/>
    </row>
    <row r="238" spans="1:13" s="45" customFormat="1" ht="13.25" customHeight="1" x14ac:dyDescent="0.3">
      <c r="A238" s="55">
        <v>46133</v>
      </c>
      <c r="B238" s="56">
        <f>VLOOKUP(C238,[7]完成订单!$D:$D,1,0)</f>
        <v>10400033234</v>
      </c>
      <c r="C238" s="57">
        <v>10400033234</v>
      </c>
      <c r="D238" s="57">
        <v>110001290468</v>
      </c>
      <c r="E238" s="57">
        <v>110001290469</v>
      </c>
      <c r="F238" s="58" t="s">
        <v>124</v>
      </c>
      <c r="G238" s="59">
        <v>1200</v>
      </c>
      <c r="H238" s="60">
        <v>46134</v>
      </c>
      <c r="I238" s="55">
        <v>46133</v>
      </c>
      <c r="J238" s="57">
        <v>1200</v>
      </c>
      <c r="K238" s="4">
        <v>0</v>
      </c>
      <c r="L238" s="62"/>
      <c r="M238" s="63"/>
    </row>
    <row r="239" spans="1:13" s="45" customFormat="1" ht="13.25" customHeight="1" x14ac:dyDescent="0.3">
      <c r="A239" s="55">
        <v>46133</v>
      </c>
      <c r="B239" s="56">
        <f>VLOOKUP(C239,[7]完成订单!$D:$D,1,0)</f>
        <v>10400033478</v>
      </c>
      <c r="C239" s="57">
        <v>10400033478</v>
      </c>
      <c r="D239" s="57">
        <v>110001290468</v>
      </c>
      <c r="E239" s="57">
        <v>110001290470</v>
      </c>
      <c r="F239" s="58" t="s">
        <v>114</v>
      </c>
      <c r="G239" s="59">
        <v>1200</v>
      </c>
      <c r="H239" s="60">
        <v>46136</v>
      </c>
      <c r="I239" s="55">
        <v>46133</v>
      </c>
      <c r="J239" s="57">
        <v>1200</v>
      </c>
      <c r="K239" s="4">
        <v>0</v>
      </c>
      <c r="L239" s="62"/>
      <c r="M239" s="63"/>
    </row>
    <row r="240" spans="1:13" s="45" customFormat="1" ht="13.25" customHeight="1" x14ac:dyDescent="0.3">
      <c r="A240" s="55">
        <v>46133</v>
      </c>
      <c r="B240" s="56" t="e">
        <f>VLOOKUP(C240,[7]完成订单!$D:$D,1,0)</f>
        <v>#N/A</v>
      </c>
      <c r="C240" s="57">
        <v>10400033479</v>
      </c>
      <c r="D240" s="57">
        <v>110001290468</v>
      </c>
      <c r="E240" s="57">
        <v>110001290471</v>
      </c>
      <c r="F240" s="58" t="s">
        <v>114</v>
      </c>
      <c r="G240" s="59">
        <v>1200</v>
      </c>
      <c r="H240" s="60">
        <v>46134</v>
      </c>
      <c r="I240" s="55">
        <v>46133</v>
      </c>
      <c r="J240" s="57">
        <v>1200</v>
      </c>
      <c r="K240" s="4">
        <v>0</v>
      </c>
      <c r="L240" s="62"/>
      <c r="M240" s="63"/>
    </row>
    <row r="241" spans="1:13" s="45" customFormat="1" ht="13.25" customHeight="1" x14ac:dyDescent="0.3">
      <c r="A241" s="55">
        <v>46133</v>
      </c>
      <c r="B241" s="56">
        <f>VLOOKUP(C241,[7]完成订单!$D:$D,1,0)</f>
        <v>10880037688</v>
      </c>
      <c r="C241" s="57">
        <v>10880037688</v>
      </c>
      <c r="D241" s="57">
        <v>110001292493</v>
      </c>
      <c r="E241" s="57">
        <v>110001292493</v>
      </c>
      <c r="F241" s="58" t="s">
        <v>107</v>
      </c>
      <c r="G241" s="59">
        <v>2000</v>
      </c>
      <c r="H241" s="60">
        <v>46135</v>
      </c>
      <c r="I241" s="55">
        <v>46133</v>
      </c>
      <c r="J241" s="57">
        <v>2000</v>
      </c>
      <c r="K241" s="4">
        <v>0</v>
      </c>
      <c r="L241" s="62"/>
      <c r="M241" s="63"/>
    </row>
    <row r="242" spans="1:13" s="45" customFormat="1" ht="13.25" customHeight="1" x14ac:dyDescent="0.3">
      <c r="A242" s="55">
        <v>46133</v>
      </c>
      <c r="B242" s="56">
        <f>VLOOKUP(C242,[7]完成订单!$D:$D,1,0)</f>
        <v>10400032759</v>
      </c>
      <c r="C242" s="57">
        <v>10400032759</v>
      </c>
      <c r="D242" s="57">
        <v>110001292493</v>
      </c>
      <c r="E242" s="57">
        <v>110001292494</v>
      </c>
      <c r="F242" s="58" t="s">
        <v>108</v>
      </c>
      <c r="G242" s="59">
        <v>2000</v>
      </c>
      <c r="H242" s="60">
        <v>46133</v>
      </c>
      <c r="I242" s="55">
        <v>46133</v>
      </c>
      <c r="J242" s="57">
        <v>2000</v>
      </c>
      <c r="K242" s="4">
        <v>0</v>
      </c>
      <c r="L242" s="62"/>
      <c r="M242" s="63"/>
    </row>
    <row r="243" spans="1:13" s="45" customFormat="1" ht="13.25" customHeight="1" x14ac:dyDescent="0.3">
      <c r="A243" s="55">
        <v>46133</v>
      </c>
      <c r="B243" s="56">
        <f>VLOOKUP(C243,[7]完成订单!$D:$D,1,0)</f>
        <v>10400033234</v>
      </c>
      <c r="C243" s="57">
        <v>10400033234</v>
      </c>
      <c r="D243" s="57">
        <v>110001292493</v>
      </c>
      <c r="E243" s="57">
        <v>110001292495</v>
      </c>
      <c r="F243" s="58" t="s">
        <v>124</v>
      </c>
      <c r="G243" s="59">
        <v>2000</v>
      </c>
      <c r="H243" s="60">
        <v>46134</v>
      </c>
      <c r="I243" s="55">
        <v>46133</v>
      </c>
      <c r="J243" s="57">
        <v>2000</v>
      </c>
      <c r="K243" s="4">
        <v>0</v>
      </c>
      <c r="L243" s="62"/>
      <c r="M243" s="63"/>
    </row>
    <row r="244" spans="1:13" s="45" customFormat="1" ht="13.25" customHeight="1" x14ac:dyDescent="0.3">
      <c r="A244" s="55">
        <v>46133</v>
      </c>
      <c r="B244" s="56" t="e">
        <f>VLOOKUP(C244,[7]完成订单!$D:$D,1,0)</f>
        <v>#N/A</v>
      </c>
      <c r="C244" s="57">
        <v>10400032760</v>
      </c>
      <c r="D244" s="57">
        <v>110001292493</v>
      </c>
      <c r="E244" s="57">
        <v>110001292496</v>
      </c>
      <c r="F244" s="58" t="s">
        <v>108</v>
      </c>
      <c r="G244" s="59">
        <v>2000</v>
      </c>
      <c r="H244" s="60">
        <v>46132</v>
      </c>
      <c r="I244" s="55">
        <v>46133</v>
      </c>
      <c r="J244" s="57">
        <v>2000</v>
      </c>
      <c r="K244" s="4">
        <v>0</v>
      </c>
      <c r="L244" s="62"/>
      <c r="M244" s="63"/>
    </row>
    <row r="245" spans="1:13" s="45" customFormat="1" ht="13.25" customHeight="1" x14ac:dyDescent="0.3">
      <c r="A245" s="55">
        <v>46133</v>
      </c>
      <c r="B245" s="56">
        <f>VLOOKUP(C245,[7]完成订单!$D:$D,1,0)</f>
        <v>10880038600</v>
      </c>
      <c r="C245" s="57">
        <v>10880038600</v>
      </c>
      <c r="D245" s="57">
        <v>110001292581</v>
      </c>
      <c r="E245" s="57">
        <v>110001292581</v>
      </c>
      <c r="F245" s="58" t="s">
        <v>136</v>
      </c>
      <c r="G245" s="59">
        <v>1500</v>
      </c>
      <c r="H245" s="60">
        <v>46135</v>
      </c>
      <c r="I245" s="55">
        <v>46133</v>
      </c>
      <c r="J245" s="57">
        <v>1500</v>
      </c>
      <c r="K245" s="4">
        <v>0</v>
      </c>
      <c r="L245" s="62"/>
      <c r="M245" s="63"/>
    </row>
    <row r="246" spans="1:13" s="45" customFormat="1" ht="13.25" customHeight="1" x14ac:dyDescent="0.3">
      <c r="A246" s="55">
        <v>46133</v>
      </c>
      <c r="B246" s="56">
        <f>VLOOKUP(C246,[7]完成订单!$D:$D,1,0)</f>
        <v>10400033234</v>
      </c>
      <c r="C246" s="57">
        <v>10400033234</v>
      </c>
      <c r="D246" s="57">
        <v>110001292581</v>
      </c>
      <c r="E246" s="57">
        <v>110001292582</v>
      </c>
      <c r="F246" s="58" t="s">
        <v>124</v>
      </c>
      <c r="G246" s="59">
        <v>1500</v>
      </c>
      <c r="H246" s="60">
        <v>46133</v>
      </c>
      <c r="I246" s="55">
        <v>46133</v>
      </c>
      <c r="J246" s="57">
        <v>1500</v>
      </c>
      <c r="K246" s="4">
        <v>0</v>
      </c>
      <c r="L246" s="62"/>
      <c r="M246" s="63"/>
    </row>
    <row r="247" spans="1:13" s="45" customFormat="1" ht="12.75" customHeight="1" x14ac:dyDescent="0.3">
      <c r="A247" s="55">
        <v>46133</v>
      </c>
      <c r="B247" s="56">
        <f>VLOOKUP(C247,[7]完成订单!$D:$D,1,0)</f>
        <v>10400033939</v>
      </c>
      <c r="C247" s="57">
        <v>10400033939</v>
      </c>
      <c r="D247" s="57">
        <v>110001292581</v>
      </c>
      <c r="E247" s="57">
        <v>110001292583</v>
      </c>
      <c r="F247" s="58" t="s">
        <v>137</v>
      </c>
      <c r="G247" s="59">
        <v>1500</v>
      </c>
      <c r="H247" s="60">
        <v>46135</v>
      </c>
      <c r="I247" s="55">
        <v>46133</v>
      </c>
      <c r="J247" s="57">
        <v>1500</v>
      </c>
      <c r="K247" s="4">
        <v>0</v>
      </c>
      <c r="L247" s="62"/>
      <c r="M247" s="63"/>
    </row>
    <row r="248" spans="1:13" s="45" customFormat="1" ht="13.25" customHeight="1" x14ac:dyDescent="0.3">
      <c r="A248" s="55">
        <v>46133</v>
      </c>
      <c r="B248" s="56" t="e">
        <f>VLOOKUP(C248,[7]完成订单!$D:$D,1,0)</f>
        <v>#N/A</v>
      </c>
      <c r="C248" s="57">
        <v>10400033940</v>
      </c>
      <c r="D248" s="57">
        <v>110001292581</v>
      </c>
      <c r="E248" s="57">
        <v>110001292584</v>
      </c>
      <c r="F248" s="58" t="s">
        <v>137</v>
      </c>
      <c r="G248" s="59">
        <v>1500</v>
      </c>
      <c r="H248" s="60">
        <v>46133</v>
      </c>
      <c r="I248" s="55">
        <v>46133</v>
      </c>
      <c r="J248" s="57">
        <v>1500</v>
      </c>
      <c r="K248" s="4">
        <v>0</v>
      </c>
      <c r="L248" s="62"/>
      <c r="M248" s="63"/>
    </row>
    <row r="249" spans="1:13" s="45" customFormat="1" ht="13.25" customHeight="1" x14ac:dyDescent="0.3">
      <c r="A249" s="55">
        <v>46133</v>
      </c>
      <c r="B249" s="56">
        <f>VLOOKUP(C249,[7]完成订单!$D:$D,1,0)</f>
        <v>10880038445</v>
      </c>
      <c r="C249" s="57">
        <v>10880038445</v>
      </c>
      <c r="D249" s="57">
        <v>110001294976</v>
      </c>
      <c r="E249" s="57">
        <v>110001294976</v>
      </c>
      <c r="F249" s="58" t="s">
        <v>149</v>
      </c>
      <c r="G249" s="59">
        <v>1600</v>
      </c>
      <c r="H249" s="60">
        <v>46134</v>
      </c>
      <c r="I249" s="55">
        <v>46133</v>
      </c>
      <c r="J249" s="57">
        <v>1600</v>
      </c>
      <c r="K249" s="4">
        <v>0</v>
      </c>
      <c r="L249" s="62"/>
      <c r="M249" s="63"/>
    </row>
    <row r="250" spans="1:13" s="45" customFormat="1" ht="13.25" customHeight="1" x14ac:dyDescent="0.3">
      <c r="A250" s="55">
        <v>46133</v>
      </c>
      <c r="B250" s="56">
        <f>VLOOKUP(C250,[7]完成订单!$D:$D,1,0)</f>
        <v>10400033234</v>
      </c>
      <c r="C250" s="57">
        <v>10400033234</v>
      </c>
      <c r="D250" s="57">
        <v>110001294976</v>
      </c>
      <c r="E250" s="57">
        <v>110001294977</v>
      </c>
      <c r="F250" s="58" t="s">
        <v>124</v>
      </c>
      <c r="G250" s="59">
        <v>1600</v>
      </c>
      <c r="H250" s="60">
        <v>46132</v>
      </c>
      <c r="I250" s="55">
        <v>46133</v>
      </c>
      <c r="J250" s="57">
        <v>1600</v>
      </c>
      <c r="K250" s="4">
        <v>0</v>
      </c>
      <c r="L250" s="62"/>
      <c r="M250" s="63"/>
    </row>
    <row r="251" spans="1:13" s="45" customFormat="1" ht="13.25" customHeight="1" x14ac:dyDescent="0.3">
      <c r="A251" s="55">
        <v>46133</v>
      </c>
      <c r="B251" s="56">
        <f>VLOOKUP(C251,[7]完成订单!$D:$D,1,0)</f>
        <v>10400033740</v>
      </c>
      <c r="C251" s="57">
        <v>10400033740</v>
      </c>
      <c r="D251" s="57">
        <v>110001294976</v>
      </c>
      <c r="E251" s="57">
        <v>110001294978</v>
      </c>
      <c r="F251" s="58" t="s">
        <v>348</v>
      </c>
      <c r="G251" s="59">
        <v>1600</v>
      </c>
      <c r="H251" s="60">
        <v>46134</v>
      </c>
      <c r="I251" s="55">
        <v>46133</v>
      </c>
      <c r="J251" s="57">
        <v>1600</v>
      </c>
      <c r="K251" s="4">
        <v>0</v>
      </c>
      <c r="L251" s="62"/>
      <c r="M251" s="63"/>
    </row>
    <row r="252" spans="1:13" s="45" customFormat="1" ht="13.25" customHeight="1" x14ac:dyDescent="0.3">
      <c r="A252" s="55">
        <v>46133</v>
      </c>
      <c r="B252" s="56" t="e">
        <f>VLOOKUP(C252,[7]完成订单!$D:$D,1,0)</f>
        <v>#N/A</v>
      </c>
      <c r="C252" s="57">
        <v>10400033739</v>
      </c>
      <c r="D252" s="57">
        <v>110001294976</v>
      </c>
      <c r="E252" s="57">
        <v>110001294979</v>
      </c>
      <c r="F252" s="58" t="s">
        <v>348</v>
      </c>
      <c r="G252" s="59">
        <v>1600</v>
      </c>
      <c r="H252" s="60">
        <v>46132</v>
      </c>
      <c r="I252" s="55">
        <v>46133</v>
      </c>
      <c r="J252" s="57">
        <v>1600</v>
      </c>
      <c r="K252" s="4">
        <v>0</v>
      </c>
      <c r="L252" s="62"/>
      <c r="M252" s="63"/>
    </row>
    <row r="253" spans="1:13" s="45" customFormat="1" ht="13.25" customHeight="1" x14ac:dyDescent="0.3">
      <c r="A253" s="55">
        <v>46133</v>
      </c>
      <c r="B253" s="56">
        <f>VLOOKUP(C253,[7]完成订单!$D:$D,1,0)</f>
        <v>10880037615</v>
      </c>
      <c r="C253" s="57">
        <v>10880037615</v>
      </c>
      <c r="D253" s="57">
        <v>110001296312</v>
      </c>
      <c r="E253" s="57">
        <v>110001296312</v>
      </c>
      <c r="F253" s="58" t="s">
        <v>203</v>
      </c>
      <c r="G253" s="59">
        <v>1000</v>
      </c>
      <c r="H253" s="60">
        <v>46136</v>
      </c>
      <c r="I253" s="55">
        <v>46133</v>
      </c>
      <c r="J253" s="57">
        <v>1000</v>
      </c>
      <c r="K253" s="4">
        <v>0</v>
      </c>
      <c r="L253" s="62"/>
      <c r="M253" s="63"/>
    </row>
    <row r="254" spans="1:13" s="45" customFormat="1" ht="13.25" customHeight="1" x14ac:dyDescent="0.3">
      <c r="A254" s="55">
        <v>46133</v>
      </c>
      <c r="B254" s="56" t="e">
        <f>VLOOKUP(C254,[7]完成订单!$D:$D,1,0)</f>
        <v>#N/A</v>
      </c>
      <c r="C254" s="57">
        <v>10400032630</v>
      </c>
      <c r="D254" s="57">
        <v>110001296312</v>
      </c>
      <c r="E254" s="57">
        <v>110001296313</v>
      </c>
      <c r="F254" s="58" t="s">
        <v>349</v>
      </c>
      <c r="G254" s="59">
        <v>1000</v>
      </c>
      <c r="H254" s="60">
        <v>46134</v>
      </c>
      <c r="I254" s="55">
        <v>46133</v>
      </c>
      <c r="J254" s="57">
        <v>1000</v>
      </c>
      <c r="K254" s="4">
        <v>0</v>
      </c>
      <c r="L254" s="62"/>
      <c r="M254" s="63"/>
    </row>
    <row r="255" spans="1:13" s="45" customFormat="1" ht="13.25" customHeight="1" x14ac:dyDescent="0.3">
      <c r="A255" s="55">
        <v>46133</v>
      </c>
      <c r="B255" s="56">
        <f>VLOOKUP(C255,[7]完成订单!$D:$D,1,0)</f>
        <v>10880037724</v>
      </c>
      <c r="C255" s="57">
        <v>10880037724</v>
      </c>
      <c r="D255" s="57">
        <v>110001296404</v>
      </c>
      <c r="E255" s="57">
        <v>110001296404</v>
      </c>
      <c r="F255" s="58" t="s">
        <v>255</v>
      </c>
      <c r="G255" s="59">
        <v>3996</v>
      </c>
      <c r="H255" s="60">
        <v>46136</v>
      </c>
      <c r="I255" s="55">
        <v>46133</v>
      </c>
      <c r="J255" s="57">
        <v>3996</v>
      </c>
      <c r="K255" s="4">
        <v>0</v>
      </c>
      <c r="L255" s="62"/>
      <c r="M255" s="63"/>
    </row>
    <row r="256" spans="1:13" s="45" customFormat="1" ht="13.25" customHeight="1" x14ac:dyDescent="0.3">
      <c r="A256" s="55">
        <v>46133</v>
      </c>
      <c r="B256" s="56" t="e">
        <f>VLOOKUP(C256,[7]完成订单!$D:$D,1,0)</f>
        <v>#N/A</v>
      </c>
      <c r="C256" s="57">
        <v>10400032805</v>
      </c>
      <c r="D256" s="57">
        <v>110001296404</v>
      </c>
      <c r="E256" s="57">
        <v>110001296405</v>
      </c>
      <c r="F256" s="58" t="s">
        <v>275</v>
      </c>
      <c r="G256" s="59">
        <v>3996</v>
      </c>
      <c r="H256" s="60">
        <v>46134</v>
      </c>
      <c r="I256" s="55">
        <v>46133</v>
      </c>
      <c r="J256" s="57">
        <v>3996</v>
      </c>
      <c r="K256" s="4">
        <v>0</v>
      </c>
      <c r="L256" s="62"/>
      <c r="M256" s="63"/>
    </row>
    <row r="257" spans="1:13" s="45" customFormat="1" ht="13.25" customHeight="1" x14ac:dyDescent="0.3">
      <c r="A257" s="55">
        <v>46133</v>
      </c>
      <c r="B257" s="56">
        <f>VLOOKUP(C257,[7]完成订单!$D:$D,1,0)</f>
        <v>10880029957</v>
      </c>
      <c r="C257" s="57">
        <v>10880029957</v>
      </c>
      <c r="D257" s="57">
        <v>110001299829</v>
      </c>
      <c r="E257" s="57">
        <v>110001299829</v>
      </c>
      <c r="F257" s="58" t="s">
        <v>89</v>
      </c>
      <c r="G257" s="59">
        <v>4000</v>
      </c>
      <c r="H257" s="60">
        <v>46136</v>
      </c>
      <c r="I257" s="55">
        <v>46133</v>
      </c>
      <c r="J257" s="57">
        <v>4000</v>
      </c>
      <c r="K257" s="4">
        <v>0</v>
      </c>
      <c r="L257" s="62"/>
      <c r="M257" s="63"/>
    </row>
    <row r="258" spans="1:13" s="45" customFormat="1" ht="13.25" customHeight="1" x14ac:dyDescent="0.3">
      <c r="A258" s="55">
        <v>46133</v>
      </c>
      <c r="B258" s="56" t="e">
        <f>VLOOKUP(C258,[7]完成订单!$D:$D,1,0)</f>
        <v>#N/A</v>
      </c>
      <c r="C258" s="57">
        <v>10400023598</v>
      </c>
      <c r="D258" s="57">
        <v>110001299829</v>
      </c>
      <c r="E258" s="57">
        <v>110001299830</v>
      </c>
      <c r="F258" s="58" t="s">
        <v>89</v>
      </c>
      <c r="G258" s="59">
        <v>4000</v>
      </c>
      <c r="H258" s="60">
        <v>46134</v>
      </c>
      <c r="I258" s="55">
        <v>46133</v>
      </c>
      <c r="J258" s="57">
        <v>4000</v>
      </c>
      <c r="K258" s="4">
        <v>0</v>
      </c>
      <c r="L258" s="62"/>
      <c r="M258" s="63"/>
    </row>
    <row r="259" spans="1:13" s="45" customFormat="1" ht="13.25" customHeight="1" x14ac:dyDescent="0.3">
      <c r="A259" s="55">
        <v>46133</v>
      </c>
      <c r="B259" s="56">
        <f>VLOOKUP(C259,[7]完成订单!$D:$D,1,0)</f>
        <v>10880033785</v>
      </c>
      <c r="C259" s="57">
        <v>10880033785</v>
      </c>
      <c r="D259" s="57">
        <v>110001303406</v>
      </c>
      <c r="E259" s="57">
        <v>110001303406</v>
      </c>
      <c r="F259" s="58" t="s">
        <v>243</v>
      </c>
      <c r="G259" s="59">
        <v>2000</v>
      </c>
      <c r="H259" s="60">
        <v>46136</v>
      </c>
      <c r="I259" s="55">
        <v>46133</v>
      </c>
      <c r="J259" s="57">
        <v>2000</v>
      </c>
      <c r="K259" s="4">
        <v>0</v>
      </c>
      <c r="L259" s="62"/>
      <c r="M259" s="63"/>
    </row>
    <row r="260" spans="1:13" s="45" customFormat="1" ht="13.25" customHeight="1" x14ac:dyDescent="0.3">
      <c r="A260" s="55">
        <v>46133</v>
      </c>
      <c r="B260" s="56" t="e">
        <f>VLOOKUP(C260,[7]完成订单!$D:$D,1,0)</f>
        <v>#N/A</v>
      </c>
      <c r="C260" s="57">
        <v>10400027588</v>
      </c>
      <c r="D260" s="57">
        <v>110001303406</v>
      </c>
      <c r="E260" s="57">
        <v>110001303407</v>
      </c>
      <c r="F260" s="58" t="s">
        <v>243</v>
      </c>
      <c r="G260" s="59">
        <v>2000</v>
      </c>
      <c r="H260" s="60">
        <v>46134</v>
      </c>
      <c r="I260" s="55">
        <v>46133</v>
      </c>
      <c r="J260" s="57">
        <v>2000</v>
      </c>
      <c r="K260" s="4">
        <v>0</v>
      </c>
      <c r="L260" s="62"/>
      <c r="M260" s="63"/>
    </row>
    <row r="261" spans="1:13" s="45" customFormat="1" ht="13.25" customHeight="1" x14ac:dyDescent="0.3">
      <c r="A261" s="55">
        <v>46133</v>
      </c>
      <c r="B261" s="56">
        <f>VLOOKUP(C261,[7]完成订单!$D:$D,1,0)</f>
        <v>10880033325</v>
      </c>
      <c r="C261" s="57">
        <v>10880033325</v>
      </c>
      <c r="D261" s="57">
        <v>110001305155</v>
      </c>
      <c r="E261" s="57">
        <v>110001305155</v>
      </c>
      <c r="F261" s="58" t="s">
        <v>252</v>
      </c>
      <c r="G261" s="59">
        <v>1000</v>
      </c>
      <c r="H261" s="60">
        <v>46136</v>
      </c>
      <c r="I261" s="55">
        <v>46133</v>
      </c>
      <c r="J261" s="57">
        <v>1000</v>
      </c>
      <c r="K261" s="4">
        <v>0</v>
      </c>
      <c r="L261" s="62"/>
      <c r="M261" s="63"/>
    </row>
    <row r="262" spans="1:13" s="45" customFormat="1" ht="13.25" customHeight="1" x14ac:dyDescent="0.3">
      <c r="A262" s="55">
        <v>46133</v>
      </c>
      <c r="B262" s="56" t="e">
        <f>VLOOKUP(C262,[7]完成订单!$D:$D,1,0)</f>
        <v>#N/A</v>
      </c>
      <c r="C262" s="57">
        <v>10400027049</v>
      </c>
      <c r="D262" s="57">
        <v>110001305155</v>
      </c>
      <c r="E262" s="57">
        <v>110001305156</v>
      </c>
      <c r="F262" s="58" t="s">
        <v>252</v>
      </c>
      <c r="G262" s="59">
        <v>1000</v>
      </c>
      <c r="H262" s="60">
        <v>46134</v>
      </c>
      <c r="I262" s="55">
        <v>46133</v>
      </c>
      <c r="J262" s="57">
        <v>1000</v>
      </c>
      <c r="K262" s="4">
        <v>0</v>
      </c>
      <c r="L262" s="62"/>
      <c r="M262" s="63"/>
    </row>
    <row r="263" spans="1:13" s="45" customFormat="1" ht="13.25" customHeight="1" x14ac:dyDescent="0.3">
      <c r="A263" s="55">
        <v>46133</v>
      </c>
      <c r="B263" s="56">
        <f>VLOOKUP(C263,[7]完成订单!$D:$D,1,0)</f>
        <v>10880038012</v>
      </c>
      <c r="C263" s="57">
        <v>10880038012</v>
      </c>
      <c r="D263" s="57">
        <v>110001305185</v>
      </c>
      <c r="E263" s="57">
        <v>110001305185</v>
      </c>
      <c r="F263" s="58" t="s">
        <v>350</v>
      </c>
      <c r="G263" s="59">
        <v>500</v>
      </c>
      <c r="H263" s="60">
        <v>46136</v>
      </c>
      <c r="I263" s="55">
        <v>46133</v>
      </c>
      <c r="J263" s="57">
        <v>500</v>
      </c>
      <c r="K263" s="4">
        <v>0</v>
      </c>
      <c r="L263" s="62"/>
      <c r="M263" s="63"/>
    </row>
    <row r="264" spans="1:13" s="45" customFormat="1" ht="13.25" customHeight="1" x14ac:dyDescent="0.3">
      <c r="A264" s="55">
        <v>46133</v>
      </c>
      <c r="B264" s="56" t="e">
        <f>VLOOKUP(C264,[7]完成订单!$D:$D,1,0)</f>
        <v>#N/A</v>
      </c>
      <c r="C264" s="57">
        <v>10400033185</v>
      </c>
      <c r="D264" s="57">
        <v>110001305185</v>
      </c>
      <c r="E264" s="57">
        <v>110001305186</v>
      </c>
      <c r="F264" s="58" t="s">
        <v>351</v>
      </c>
      <c r="G264" s="59">
        <v>500</v>
      </c>
      <c r="H264" s="60">
        <v>46134</v>
      </c>
      <c r="I264" s="55">
        <v>46133</v>
      </c>
      <c r="J264" s="57">
        <v>500</v>
      </c>
      <c r="K264" s="4">
        <v>0</v>
      </c>
      <c r="L264" s="62"/>
      <c r="M264" s="63"/>
    </row>
    <row r="265" spans="1:13" s="45" customFormat="1" ht="13.25" customHeight="1" x14ac:dyDescent="0.3">
      <c r="A265" s="55">
        <v>46133</v>
      </c>
      <c r="B265" s="56">
        <f>VLOOKUP(C265,[7]完成订单!$D:$D,1,0)</f>
        <v>10880036513</v>
      </c>
      <c r="C265" s="57">
        <v>10880036513</v>
      </c>
      <c r="D265" s="57">
        <v>110001307030</v>
      </c>
      <c r="E265" s="57">
        <v>110001307030</v>
      </c>
      <c r="F265" s="58" t="s">
        <v>189</v>
      </c>
      <c r="G265" s="59">
        <v>600</v>
      </c>
      <c r="H265" s="60">
        <v>46136</v>
      </c>
      <c r="I265" s="55">
        <v>46133</v>
      </c>
      <c r="J265" s="57">
        <v>600</v>
      </c>
      <c r="K265" s="4">
        <v>0</v>
      </c>
      <c r="L265" s="62"/>
      <c r="M265" s="63"/>
    </row>
    <row r="266" spans="1:13" s="45" customFormat="1" ht="13.25" customHeight="1" x14ac:dyDescent="0.3">
      <c r="A266" s="55">
        <v>46133</v>
      </c>
      <c r="B266" s="56" t="e">
        <f>VLOOKUP(C266,[7]完成订单!$D:$D,1,0)</f>
        <v>#N/A</v>
      </c>
      <c r="C266" s="57">
        <v>10400031143</v>
      </c>
      <c r="D266" s="57">
        <v>110001307030</v>
      </c>
      <c r="E266" s="57">
        <v>110001307031</v>
      </c>
      <c r="F266" s="58" t="s">
        <v>352</v>
      </c>
      <c r="G266" s="59">
        <v>600</v>
      </c>
      <c r="H266" s="60">
        <v>46134</v>
      </c>
      <c r="I266" s="55">
        <v>46133</v>
      </c>
      <c r="J266" s="57">
        <v>600</v>
      </c>
      <c r="K266" s="4">
        <v>0</v>
      </c>
      <c r="L266" s="62"/>
      <c r="M266" s="63"/>
    </row>
    <row r="267" spans="1:13" s="45" customFormat="1" ht="13.25" customHeight="1" x14ac:dyDescent="0.3">
      <c r="A267" s="55">
        <v>46133</v>
      </c>
      <c r="B267" s="56">
        <f>VLOOKUP(C267,[7]完成订单!$D:$D,1,0)</f>
        <v>10880020677</v>
      </c>
      <c r="C267" s="57">
        <v>10880020677</v>
      </c>
      <c r="D267" s="57">
        <v>110001309558</v>
      </c>
      <c r="E267" s="57">
        <v>110001309558</v>
      </c>
      <c r="F267" s="58" t="s">
        <v>221</v>
      </c>
      <c r="G267" s="59">
        <v>30</v>
      </c>
      <c r="H267" s="60">
        <v>46136</v>
      </c>
      <c r="I267" s="55">
        <v>46133</v>
      </c>
      <c r="J267" s="57">
        <v>30</v>
      </c>
      <c r="K267" s="4">
        <v>0</v>
      </c>
      <c r="L267" s="62"/>
      <c r="M267" s="63"/>
    </row>
    <row r="268" spans="1:13" s="45" customFormat="1" ht="13.25" customHeight="1" x14ac:dyDescent="0.3">
      <c r="A268" s="55">
        <v>46133</v>
      </c>
      <c r="B268" s="56" t="e">
        <f>VLOOKUP(C268,[7]完成订单!$D:$D,1,0)</f>
        <v>#N/A</v>
      </c>
      <c r="C268" s="57">
        <v>10400020073</v>
      </c>
      <c r="D268" s="57">
        <v>110001309558</v>
      </c>
      <c r="E268" s="57">
        <v>110001309559</v>
      </c>
      <c r="F268" s="58" t="s">
        <v>221</v>
      </c>
      <c r="G268" s="59">
        <v>30</v>
      </c>
      <c r="H268" s="60">
        <v>46134</v>
      </c>
      <c r="I268" s="55">
        <v>46133</v>
      </c>
      <c r="J268" s="57">
        <v>30</v>
      </c>
      <c r="K268" s="4">
        <v>0</v>
      </c>
      <c r="L268" s="62"/>
      <c r="M268" s="63"/>
    </row>
    <row r="269" spans="1:13" s="45" customFormat="1" ht="13.25" customHeight="1" x14ac:dyDescent="0.3">
      <c r="A269" s="55">
        <v>46133</v>
      </c>
      <c r="B269" s="56" t="e">
        <f>VLOOKUP(C269,[7]完成订单!$D:$D,1,0)</f>
        <v>#N/A</v>
      </c>
      <c r="C269" s="57">
        <v>10880037687</v>
      </c>
      <c r="D269" s="57">
        <v>880000119626</v>
      </c>
      <c r="E269" s="57">
        <v>880000119626</v>
      </c>
      <c r="F269" s="58" t="s">
        <v>111</v>
      </c>
      <c r="G269" s="59">
        <v>300</v>
      </c>
      <c r="H269" s="60">
        <v>46137</v>
      </c>
      <c r="I269" s="55">
        <v>46133</v>
      </c>
      <c r="J269" s="57">
        <v>300</v>
      </c>
      <c r="K269" s="4">
        <v>0</v>
      </c>
      <c r="L269" s="62"/>
      <c r="M269" s="63"/>
    </row>
    <row r="270" spans="1:13" s="45" customFormat="1" ht="13.25" customHeight="1" x14ac:dyDescent="0.3">
      <c r="A270" s="55">
        <v>46133</v>
      </c>
      <c r="B270" s="56" t="e">
        <f>VLOOKUP(C270,[7]完成订单!$D:$D,1,0)</f>
        <v>#N/A</v>
      </c>
      <c r="C270" s="57">
        <v>10400032757</v>
      </c>
      <c r="D270" s="57">
        <v>880000119626</v>
      </c>
      <c r="E270" s="57">
        <v>880000119627</v>
      </c>
      <c r="F270" s="58" t="s">
        <v>112</v>
      </c>
      <c r="G270" s="59">
        <v>300</v>
      </c>
      <c r="H270" s="60">
        <v>46137</v>
      </c>
      <c r="I270" s="55">
        <v>46133</v>
      </c>
      <c r="J270" s="57">
        <v>300</v>
      </c>
      <c r="K270" s="4">
        <v>0</v>
      </c>
      <c r="L270" s="62"/>
      <c r="M270" s="63"/>
    </row>
    <row r="271" spans="1:13" s="45" customFormat="1" ht="13.25" customHeight="1" x14ac:dyDescent="0.3">
      <c r="A271" s="55">
        <v>46133</v>
      </c>
      <c r="B271" s="56">
        <f>VLOOKUP(C271,[7]完成订单!$D:$D,1,0)</f>
        <v>10400033234</v>
      </c>
      <c r="C271" s="57">
        <v>10400033234</v>
      </c>
      <c r="D271" s="57">
        <v>880000119626</v>
      </c>
      <c r="E271" s="57">
        <v>880000119628</v>
      </c>
      <c r="F271" s="58" t="s">
        <v>124</v>
      </c>
      <c r="G271" s="59">
        <v>300</v>
      </c>
      <c r="H271" s="60">
        <v>46134</v>
      </c>
      <c r="I271" s="55">
        <v>46133</v>
      </c>
      <c r="J271" s="57">
        <v>300</v>
      </c>
      <c r="K271" s="4">
        <v>0</v>
      </c>
      <c r="L271" s="62"/>
      <c r="M271" s="63"/>
    </row>
    <row r="272" spans="1:13" s="45" customFormat="1" ht="13.25" customHeight="1" x14ac:dyDescent="0.3">
      <c r="A272" s="55">
        <v>46133</v>
      </c>
      <c r="B272" s="56" t="e">
        <f>VLOOKUP(C272,[7]完成订单!$D:$D,1,0)</f>
        <v>#N/A</v>
      </c>
      <c r="C272" s="57">
        <v>10400032758</v>
      </c>
      <c r="D272" s="57">
        <v>880000119626</v>
      </c>
      <c r="E272" s="57">
        <v>880000119629</v>
      </c>
      <c r="F272" s="58" t="s">
        <v>112</v>
      </c>
      <c r="G272" s="59">
        <v>300</v>
      </c>
      <c r="H272" s="60">
        <v>46132</v>
      </c>
      <c r="I272" s="55">
        <v>46133</v>
      </c>
      <c r="J272" s="57">
        <v>300</v>
      </c>
      <c r="K272" s="4">
        <v>0</v>
      </c>
      <c r="L272" s="62"/>
      <c r="M272" s="63"/>
    </row>
    <row r="273" spans="1:13" s="45" customFormat="1" ht="13.25" customHeight="1" x14ac:dyDescent="0.3">
      <c r="A273" s="55">
        <v>46134</v>
      </c>
      <c r="B273" s="56">
        <f>VLOOKUP(C273,[7]完成订单!$D:$D,1,0)</f>
        <v>10880018093</v>
      </c>
      <c r="C273" s="57">
        <v>10880018093</v>
      </c>
      <c r="D273" s="57">
        <v>110001279083</v>
      </c>
      <c r="E273" s="57">
        <v>110001279083</v>
      </c>
      <c r="F273" s="58" t="s">
        <v>162</v>
      </c>
      <c r="G273" s="59">
        <v>2310</v>
      </c>
      <c r="H273" s="60">
        <v>46136</v>
      </c>
      <c r="I273" s="55">
        <f t="shared" ref="I273:I288" si="8">A273</f>
        <v>46134</v>
      </c>
      <c r="J273" s="57" t="e">
        <f>VLOOKUP(D273,#REF!,4,0)</f>
        <v>#REF!</v>
      </c>
      <c r="K273" s="4" t="e">
        <f t="shared" ref="K273:K288" si="9">+J273-G273</f>
        <v>#REF!</v>
      </c>
      <c r="L273" s="62"/>
      <c r="M273" s="63"/>
    </row>
    <row r="274" spans="1:13" s="45" customFormat="1" ht="13.25" customHeight="1" x14ac:dyDescent="0.3">
      <c r="A274" s="55">
        <v>46134</v>
      </c>
      <c r="B274" s="56" t="e">
        <f>VLOOKUP(C274,[7]完成订单!$D:$D,1,0)</f>
        <v>#N/A</v>
      </c>
      <c r="C274" s="57">
        <v>10400018059</v>
      </c>
      <c r="D274" s="57">
        <v>110001279083</v>
      </c>
      <c r="E274" s="57">
        <v>110001279084</v>
      </c>
      <c r="F274" s="58" t="s">
        <v>162</v>
      </c>
      <c r="G274" s="59">
        <v>2310</v>
      </c>
      <c r="H274" s="60">
        <v>46134</v>
      </c>
      <c r="I274" s="55">
        <f t="shared" si="8"/>
        <v>46134</v>
      </c>
      <c r="J274" s="57" t="e">
        <f>VLOOKUP(D274,#REF!,4,0)</f>
        <v>#REF!</v>
      </c>
      <c r="K274" s="4" t="e">
        <f t="shared" si="9"/>
        <v>#REF!</v>
      </c>
      <c r="L274" s="62"/>
      <c r="M274" s="63"/>
    </row>
    <row r="275" spans="1:13" s="45" customFormat="1" ht="13.25" customHeight="1" x14ac:dyDescent="0.3">
      <c r="A275" s="55">
        <v>46134</v>
      </c>
      <c r="B275" s="56">
        <f>VLOOKUP(C275,[7]完成订单!$D:$D,1,0)</f>
        <v>10880036058</v>
      </c>
      <c r="C275" s="57">
        <v>10880036058</v>
      </c>
      <c r="D275" s="57">
        <v>110001290292</v>
      </c>
      <c r="E275" s="57">
        <v>110001290292</v>
      </c>
      <c r="F275" s="58" t="s">
        <v>119</v>
      </c>
      <c r="G275" s="59">
        <v>2400</v>
      </c>
      <c r="H275" s="60">
        <v>46137</v>
      </c>
      <c r="I275" s="55">
        <f t="shared" si="8"/>
        <v>46134</v>
      </c>
      <c r="J275" s="57" t="e">
        <f>VLOOKUP(D275,#REF!,4,0)</f>
        <v>#REF!</v>
      </c>
      <c r="K275" s="4" t="e">
        <f t="shared" si="9"/>
        <v>#REF!</v>
      </c>
      <c r="L275" s="62"/>
      <c r="M275" s="63"/>
    </row>
    <row r="276" spans="1:13" s="45" customFormat="1" ht="13.25" customHeight="1" x14ac:dyDescent="0.3">
      <c r="A276" s="55">
        <v>46134</v>
      </c>
      <c r="B276" s="56">
        <f>VLOOKUP(C276,[7]完成订单!$D:$D,1,0)</f>
        <v>10400030543</v>
      </c>
      <c r="C276" s="57">
        <v>10400030543</v>
      </c>
      <c r="D276" s="57">
        <v>110001290292</v>
      </c>
      <c r="E276" s="57">
        <v>110001290293</v>
      </c>
      <c r="F276" s="58" t="s">
        <v>120</v>
      </c>
      <c r="G276" s="59">
        <v>2400</v>
      </c>
      <c r="H276" s="60">
        <v>46137</v>
      </c>
      <c r="I276" s="55">
        <f t="shared" si="8"/>
        <v>46134</v>
      </c>
      <c r="J276" s="57" t="e">
        <f>VLOOKUP(D276,#REF!,4,0)</f>
        <v>#REF!</v>
      </c>
      <c r="K276" s="4" t="e">
        <f t="shared" si="9"/>
        <v>#REF!</v>
      </c>
      <c r="L276" s="62"/>
      <c r="M276" s="63"/>
    </row>
    <row r="277" spans="1:13" s="45" customFormat="1" ht="13.25" customHeight="1" x14ac:dyDescent="0.3">
      <c r="A277" s="55">
        <v>46134</v>
      </c>
      <c r="B277" s="56">
        <f>VLOOKUP(C277,[7]完成订单!$D:$D,1,0)</f>
        <v>10400033234</v>
      </c>
      <c r="C277" s="57">
        <v>10400033234</v>
      </c>
      <c r="D277" s="57">
        <v>110001290292</v>
      </c>
      <c r="E277" s="57">
        <v>110001290294</v>
      </c>
      <c r="F277" s="58" t="s">
        <v>124</v>
      </c>
      <c r="G277" s="59">
        <v>2400</v>
      </c>
      <c r="H277" s="60">
        <v>46136</v>
      </c>
      <c r="I277" s="55">
        <f t="shared" si="8"/>
        <v>46134</v>
      </c>
      <c r="J277" s="57" t="e">
        <f>VLOOKUP(D277,#REF!,4,0)</f>
        <v>#REF!</v>
      </c>
      <c r="K277" s="4" t="e">
        <f t="shared" si="9"/>
        <v>#REF!</v>
      </c>
      <c r="L277" s="62"/>
      <c r="M277" s="63"/>
    </row>
    <row r="278" spans="1:13" s="45" customFormat="1" ht="13.25" customHeight="1" x14ac:dyDescent="0.3">
      <c r="A278" s="55">
        <v>46134</v>
      </c>
      <c r="B278" s="56" t="e">
        <f>VLOOKUP(C278,[7]完成订单!$D:$D,1,0)</f>
        <v>#N/A</v>
      </c>
      <c r="C278" s="57">
        <v>10400030539</v>
      </c>
      <c r="D278" s="57">
        <v>110001290292</v>
      </c>
      <c r="E278" s="57">
        <v>110001290295</v>
      </c>
      <c r="F278" s="58" t="s">
        <v>120</v>
      </c>
      <c r="G278" s="59">
        <v>2400</v>
      </c>
      <c r="H278" s="60">
        <v>46134</v>
      </c>
      <c r="I278" s="55">
        <f t="shared" si="8"/>
        <v>46134</v>
      </c>
      <c r="J278" s="57" t="e">
        <f>VLOOKUP(D278,#REF!,4,0)</f>
        <v>#REF!</v>
      </c>
      <c r="K278" s="4" t="e">
        <f t="shared" si="9"/>
        <v>#REF!</v>
      </c>
      <c r="L278" s="62"/>
      <c r="M278" s="63"/>
    </row>
    <row r="279" spans="1:13" s="45" customFormat="1" ht="13.25" customHeight="1" x14ac:dyDescent="0.3">
      <c r="A279" s="55">
        <v>46134</v>
      </c>
      <c r="B279" s="56">
        <f>VLOOKUP(C279,[7]完成订单!$D:$D,1,0)</f>
        <v>10880037023</v>
      </c>
      <c r="C279" s="57">
        <v>10880037023</v>
      </c>
      <c r="D279" s="57">
        <v>110001290316</v>
      </c>
      <c r="E279" s="57">
        <v>110001290316</v>
      </c>
      <c r="F279" s="58" t="s">
        <v>117</v>
      </c>
      <c r="G279" s="59">
        <v>2298</v>
      </c>
      <c r="H279" s="60">
        <v>46137</v>
      </c>
      <c r="I279" s="55">
        <f t="shared" si="8"/>
        <v>46134</v>
      </c>
      <c r="J279" s="57" t="e">
        <f>VLOOKUP(D279,#REF!,4,0)</f>
        <v>#REF!</v>
      </c>
      <c r="K279" s="4" t="e">
        <f t="shared" si="9"/>
        <v>#REF!</v>
      </c>
      <c r="L279" s="62"/>
      <c r="M279" s="63"/>
    </row>
    <row r="280" spans="1:13" s="45" customFormat="1" ht="13.25" customHeight="1" x14ac:dyDescent="0.3">
      <c r="A280" s="55">
        <v>46134</v>
      </c>
      <c r="B280" s="56">
        <f>VLOOKUP(C280,[7]完成订单!$D:$D,1,0)</f>
        <v>10400031868</v>
      </c>
      <c r="C280" s="57">
        <v>10400031868</v>
      </c>
      <c r="D280" s="57">
        <v>110001290316</v>
      </c>
      <c r="E280" s="57">
        <v>110001290317</v>
      </c>
      <c r="F280" s="58" t="s">
        <v>118</v>
      </c>
      <c r="G280" s="59">
        <v>2298</v>
      </c>
      <c r="H280" s="60">
        <v>46137</v>
      </c>
      <c r="I280" s="55">
        <f t="shared" si="8"/>
        <v>46134</v>
      </c>
      <c r="J280" s="57" t="e">
        <f>VLOOKUP(D280,#REF!,4,0)</f>
        <v>#REF!</v>
      </c>
      <c r="K280" s="4" t="e">
        <f t="shared" si="9"/>
        <v>#REF!</v>
      </c>
      <c r="L280" s="62"/>
      <c r="M280" s="63"/>
    </row>
    <row r="281" spans="1:13" s="45" customFormat="1" ht="13.25" customHeight="1" x14ac:dyDescent="0.3">
      <c r="A281" s="55">
        <v>46134</v>
      </c>
      <c r="B281" s="56">
        <f>VLOOKUP(C281,[7]完成订单!$D:$D,1,0)</f>
        <v>10400033234</v>
      </c>
      <c r="C281" s="57">
        <v>10400033234</v>
      </c>
      <c r="D281" s="57">
        <v>110001290316</v>
      </c>
      <c r="E281" s="57">
        <v>110001290318</v>
      </c>
      <c r="F281" s="58" t="s">
        <v>124</v>
      </c>
      <c r="G281" s="59">
        <v>2298</v>
      </c>
      <c r="H281" s="60">
        <v>46136</v>
      </c>
      <c r="I281" s="55">
        <f t="shared" si="8"/>
        <v>46134</v>
      </c>
      <c r="J281" s="57" t="e">
        <f>VLOOKUP(D281,#REF!,4,0)</f>
        <v>#REF!</v>
      </c>
      <c r="K281" s="4" t="e">
        <f t="shared" si="9"/>
        <v>#REF!</v>
      </c>
      <c r="L281" s="62"/>
      <c r="M281" s="63"/>
    </row>
    <row r="282" spans="1:13" s="45" customFormat="1" ht="13.25" customHeight="1" x14ac:dyDescent="0.3">
      <c r="A282" s="55">
        <v>46134</v>
      </c>
      <c r="B282" s="56" t="e">
        <f>VLOOKUP(C282,[7]完成订单!$D:$D,1,0)</f>
        <v>#N/A</v>
      </c>
      <c r="C282" s="57">
        <v>10400031866</v>
      </c>
      <c r="D282" s="57">
        <v>110001290316</v>
      </c>
      <c r="E282" s="57">
        <v>110001290319</v>
      </c>
      <c r="F282" s="58" t="s">
        <v>118</v>
      </c>
      <c r="G282" s="59">
        <v>2298</v>
      </c>
      <c r="H282" s="60">
        <v>46134</v>
      </c>
      <c r="I282" s="55">
        <f t="shared" si="8"/>
        <v>46134</v>
      </c>
      <c r="J282" s="57" t="e">
        <f>VLOOKUP(D282,#REF!,4,0)</f>
        <v>#REF!</v>
      </c>
      <c r="K282" s="4" t="e">
        <f t="shared" si="9"/>
        <v>#REF!</v>
      </c>
      <c r="L282" s="62"/>
      <c r="M282" s="63"/>
    </row>
    <row r="283" spans="1:13" s="45" customFormat="1" ht="13.25" customHeight="1" x14ac:dyDescent="0.3">
      <c r="A283" s="55">
        <v>46134</v>
      </c>
      <c r="B283" s="56">
        <f>VLOOKUP(C283,[7]完成订单!$D:$D,1,0)</f>
        <v>10880037661</v>
      </c>
      <c r="C283" s="57">
        <v>10880037661</v>
      </c>
      <c r="D283" s="57">
        <v>110001290370</v>
      </c>
      <c r="E283" s="57">
        <v>110001290370</v>
      </c>
      <c r="F283" s="58" t="s">
        <v>105</v>
      </c>
      <c r="G283" s="59">
        <v>798</v>
      </c>
      <c r="H283" s="60">
        <v>46136</v>
      </c>
      <c r="I283" s="55">
        <f t="shared" si="8"/>
        <v>46134</v>
      </c>
      <c r="J283" s="57" t="e">
        <f>VLOOKUP(D283,#REF!,4,0)</f>
        <v>#REF!</v>
      </c>
      <c r="K283" s="4" t="e">
        <f t="shared" si="9"/>
        <v>#REF!</v>
      </c>
      <c r="L283" s="62"/>
      <c r="M283" s="63"/>
    </row>
    <row r="284" spans="1:13" s="45" customFormat="1" ht="13.25" customHeight="1" x14ac:dyDescent="0.3">
      <c r="A284" s="55">
        <v>46134</v>
      </c>
      <c r="B284" s="56">
        <f>VLOOKUP(C284,[7]完成订单!$D:$D,1,0)</f>
        <v>10400032702</v>
      </c>
      <c r="C284" s="57">
        <v>10400032702</v>
      </c>
      <c r="D284" s="57">
        <v>110001290370</v>
      </c>
      <c r="E284" s="57">
        <v>110001290371</v>
      </c>
      <c r="F284" s="58" t="s">
        <v>106</v>
      </c>
      <c r="G284" s="59">
        <v>798</v>
      </c>
      <c r="H284" s="60">
        <v>46136</v>
      </c>
      <c r="I284" s="55">
        <f t="shared" si="8"/>
        <v>46134</v>
      </c>
      <c r="J284" s="57" t="e">
        <f>VLOOKUP(D284,#REF!,4,0)</f>
        <v>#REF!</v>
      </c>
      <c r="K284" s="4" t="e">
        <f t="shared" si="9"/>
        <v>#REF!</v>
      </c>
      <c r="L284" s="62"/>
      <c r="M284" s="63"/>
    </row>
    <row r="285" spans="1:13" s="45" customFormat="1" ht="13.25" customHeight="1" x14ac:dyDescent="0.3">
      <c r="A285" s="55">
        <v>46134</v>
      </c>
      <c r="B285" s="56">
        <f>VLOOKUP(C285,[7]完成订单!$D:$D,1,0)</f>
        <v>10400033234</v>
      </c>
      <c r="C285" s="57">
        <v>10400033234</v>
      </c>
      <c r="D285" s="57">
        <v>110001290370</v>
      </c>
      <c r="E285" s="57">
        <v>110001290372</v>
      </c>
      <c r="F285" s="58" t="s">
        <v>124</v>
      </c>
      <c r="G285" s="59">
        <v>798</v>
      </c>
      <c r="H285" s="60">
        <v>46136</v>
      </c>
      <c r="I285" s="55">
        <f t="shared" si="8"/>
        <v>46134</v>
      </c>
      <c r="J285" s="57" t="e">
        <f>VLOOKUP(D285,#REF!,4,0)</f>
        <v>#REF!</v>
      </c>
      <c r="K285" s="4" t="e">
        <f t="shared" si="9"/>
        <v>#REF!</v>
      </c>
      <c r="L285" s="62"/>
      <c r="M285" s="63"/>
    </row>
    <row r="286" spans="1:13" s="45" customFormat="1" ht="13.25" customHeight="1" x14ac:dyDescent="0.3">
      <c r="A286" s="55">
        <v>46134</v>
      </c>
      <c r="B286" s="56" t="e">
        <f>VLOOKUP(C286,[7]完成订单!$D:$D,1,0)</f>
        <v>#N/A</v>
      </c>
      <c r="C286" s="57">
        <v>10400032703</v>
      </c>
      <c r="D286" s="57">
        <v>110001290370</v>
      </c>
      <c r="E286" s="57">
        <v>110001290373</v>
      </c>
      <c r="F286" s="58" t="s">
        <v>106</v>
      </c>
      <c r="G286" s="59">
        <v>798</v>
      </c>
      <c r="H286" s="60">
        <v>46134</v>
      </c>
      <c r="I286" s="55">
        <f t="shared" si="8"/>
        <v>46134</v>
      </c>
      <c r="J286" s="57" t="e">
        <f>VLOOKUP(D286,#REF!,4,0)</f>
        <v>#REF!</v>
      </c>
      <c r="K286" s="4" t="e">
        <f t="shared" si="9"/>
        <v>#REF!</v>
      </c>
      <c r="L286" s="62"/>
      <c r="M286" s="63"/>
    </row>
    <row r="287" spans="1:13" s="45" customFormat="1" ht="13.25" customHeight="1" x14ac:dyDescent="0.3">
      <c r="A287" s="55">
        <v>46134</v>
      </c>
      <c r="B287" s="56">
        <f>VLOOKUP(C287,[7]完成订单!$D:$D,1,0)</f>
        <v>10880017516</v>
      </c>
      <c r="C287" s="57">
        <v>10880017516</v>
      </c>
      <c r="D287" s="57">
        <v>110001296417</v>
      </c>
      <c r="E287" s="57">
        <v>110001296417</v>
      </c>
      <c r="F287" s="58" t="s">
        <v>164</v>
      </c>
      <c r="G287" s="59">
        <v>5000</v>
      </c>
      <c r="H287" s="60">
        <v>46136</v>
      </c>
      <c r="I287" s="55">
        <f t="shared" si="8"/>
        <v>46134</v>
      </c>
      <c r="J287" s="57" t="e">
        <f>VLOOKUP(D287,#REF!,4,0)</f>
        <v>#REF!</v>
      </c>
      <c r="K287" s="4" t="e">
        <f t="shared" si="9"/>
        <v>#REF!</v>
      </c>
      <c r="L287" s="62"/>
      <c r="M287" s="63"/>
    </row>
    <row r="288" spans="1:13" s="45" customFormat="1" ht="13.25" customHeight="1" x14ac:dyDescent="0.3">
      <c r="A288" s="55">
        <v>46134</v>
      </c>
      <c r="B288" s="56" t="e">
        <f>VLOOKUP(C288,[7]完成订单!$D:$D,1,0)</f>
        <v>#N/A</v>
      </c>
      <c r="C288" s="57">
        <v>10400017926</v>
      </c>
      <c r="D288" s="57">
        <v>110001296417</v>
      </c>
      <c r="E288" s="57">
        <v>110001296418</v>
      </c>
      <c r="F288" s="58" t="s">
        <v>164</v>
      </c>
      <c r="G288" s="59">
        <v>5000</v>
      </c>
      <c r="H288" s="60">
        <v>46134</v>
      </c>
      <c r="I288" s="55">
        <f t="shared" si="8"/>
        <v>46134</v>
      </c>
      <c r="J288" s="57" t="e">
        <f>VLOOKUP(D288,#REF!,4,0)</f>
        <v>#REF!</v>
      </c>
      <c r="K288" s="4" t="e">
        <f t="shared" si="9"/>
        <v>#REF!</v>
      </c>
      <c r="L288" s="62"/>
      <c r="M288" s="63"/>
    </row>
    <row r="289" spans="1:13" s="45" customFormat="1" ht="13.25" customHeight="1" x14ac:dyDescent="0.3">
      <c r="A289" s="55">
        <v>46134</v>
      </c>
      <c r="B289" s="56">
        <f>VLOOKUP(C289,[7]完成订单!$D:$D,1,0)</f>
        <v>10880035167</v>
      </c>
      <c r="C289" s="57">
        <v>10880035167</v>
      </c>
      <c r="D289" s="57">
        <v>110001296419</v>
      </c>
      <c r="E289" s="57">
        <v>110001296419</v>
      </c>
      <c r="F289" s="58" t="s">
        <v>218</v>
      </c>
      <c r="G289" s="59">
        <v>6000</v>
      </c>
      <c r="H289" s="60">
        <v>46137</v>
      </c>
      <c r="I289" s="55">
        <f t="shared" ref="I289:I317" si="10">A289</f>
        <v>46134</v>
      </c>
      <c r="J289" s="57" t="e">
        <f>VLOOKUP(D289,#REF!,4,0)</f>
        <v>#REF!</v>
      </c>
      <c r="K289" s="4" t="e">
        <f t="shared" ref="K289:K317" si="11">+J289-G289</f>
        <v>#REF!</v>
      </c>
      <c r="L289" s="62"/>
      <c r="M289" s="63"/>
    </row>
    <row r="290" spans="1:13" s="45" customFormat="1" ht="13.25" customHeight="1" x14ac:dyDescent="0.3">
      <c r="A290" s="55">
        <v>46134</v>
      </c>
      <c r="B290" s="56" t="e">
        <f>VLOOKUP(C290,[7]完成订单!$D:$D,1,0)</f>
        <v>#N/A</v>
      </c>
      <c r="C290" s="57">
        <v>10400029304</v>
      </c>
      <c r="D290" s="57">
        <v>110001296419</v>
      </c>
      <c r="E290" s="57">
        <v>110001296420</v>
      </c>
      <c r="F290" s="58" t="s">
        <v>218</v>
      </c>
      <c r="G290" s="59">
        <v>6000</v>
      </c>
      <c r="H290" s="60">
        <v>46135</v>
      </c>
      <c r="I290" s="55">
        <f t="shared" si="10"/>
        <v>46134</v>
      </c>
      <c r="J290" s="57" t="e">
        <f>VLOOKUP(D290,#REF!,4,0)</f>
        <v>#REF!</v>
      </c>
      <c r="K290" s="4" t="e">
        <f t="shared" si="11"/>
        <v>#REF!</v>
      </c>
      <c r="L290" s="62"/>
      <c r="M290" s="63"/>
    </row>
    <row r="291" spans="1:13" s="45" customFormat="1" ht="13.25" customHeight="1" x14ac:dyDescent="0.3">
      <c r="A291" s="55">
        <v>46134</v>
      </c>
      <c r="B291" s="56">
        <f>VLOOKUP(C291,[7]完成订单!$D:$D,1,0)</f>
        <v>10880038225</v>
      </c>
      <c r="C291" s="57">
        <v>10880038225</v>
      </c>
      <c r="D291" s="57">
        <v>110001299945</v>
      </c>
      <c r="E291" s="57">
        <v>110001299945</v>
      </c>
      <c r="F291" s="58" t="s">
        <v>115</v>
      </c>
      <c r="G291" s="59">
        <v>399</v>
      </c>
      <c r="H291" s="60">
        <v>46136</v>
      </c>
      <c r="I291" s="55">
        <f t="shared" si="10"/>
        <v>46134</v>
      </c>
      <c r="J291" s="57" t="e">
        <f>VLOOKUP(D291,#REF!,4,0)</f>
        <v>#REF!</v>
      </c>
      <c r="K291" s="4" t="e">
        <f t="shared" si="11"/>
        <v>#REF!</v>
      </c>
      <c r="L291" s="62"/>
      <c r="M291" s="63"/>
    </row>
    <row r="292" spans="1:13" s="45" customFormat="1" ht="13.25" customHeight="1" x14ac:dyDescent="0.3">
      <c r="A292" s="55">
        <v>46134</v>
      </c>
      <c r="B292" s="56">
        <f>VLOOKUP(C292,[7]完成订单!$D:$D,1,0)</f>
        <v>10400033234</v>
      </c>
      <c r="C292" s="57">
        <v>10400033234</v>
      </c>
      <c r="D292" s="57">
        <v>110001299945</v>
      </c>
      <c r="E292" s="57">
        <v>110001299946</v>
      </c>
      <c r="F292" s="58" t="s">
        <v>124</v>
      </c>
      <c r="G292" s="59">
        <v>399</v>
      </c>
      <c r="H292" s="60">
        <v>46136</v>
      </c>
      <c r="I292" s="55">
        <f t="shared" si="10"/>
        <v>46134</v>
      </c>
      <c r="J292" s="57" t="e">
        <f>VLOOKUP(D292,#REF!,4,0)</f>
        <v>#REF!</v>
      </c>
      <c r="K292" s="4" t="e">
        <f t="shared" si="11"/>
        <v>#REF!</v>
      </c>
      <c r="L292" s="62"/>
      <c r="M292" s="63"/>
    </row>
    <row r="293" spans="1:13" s="45" customFormat="1" ht="13.25" customHeight="1" x14ac:dyDescent="0.3">
      <c r="A293" s="55">
        <v>46134</v>
      </c>
      <c r="B293" s="56">
        <f>VLOOKUP(C293,[7]完成订单!$D:$D,1,0)</f>
        <v>10400033458</v>
      </c>
      <c r="C293" s="57">
        <v>10400033458</v>
      </c>
      <c r="D293" s="57">
        <v>110001299945</v>
      </c>
      <c r="E293" s="57">
        <v>110001299947</v>
      </c>
      <c r="F293" s="58" t="s">
        <v>116</v>
      </c>
      <c r="G293" s="59">
        <v>399</v>
      </c>
      <c r="H293" s="60">
        <v>46136</v>
      </c>
      <c r="I293" s="55">
        <f t="shared" si="10"/>
        <v>46134</v>
      </c>
      <c r="J293" s="57" t="e">
        <f>VLOOKUP(D293,#REF!,4,0)</f>
        <v>#REF!</v>
      </c>
      <c r="K293" s="4" t="e">
        <f t="shared" si="11"/>
        <v>#REF!</v>
      </c>
      <c r="L293" s="62"/>
      <c r="M293" s="63"/>
    </row>
    <row r="294" spans="1:13" s="45" customFormat="1" ht="13.25" customHeight="1" x14ac:dyDescent="0.3">
      <c r="A294" s="55">
        <v>46134</v>
      </c>
      <c r="B294" s="56" t="e">
        <f>VLOOKUP(C294,[7]完成订单!$D:$D,1,0)</f>
        <v>#N/A</v>
      </c>
      <c r="C294" s="57">
        <v>10400033459</v>
      </c>
      <c r="D294" s="57">
        <v>110001299945</v>
      </c>
      <c r="E294" s="57">
        <v>110001299948</v>
      </c>
      <c r="F294" s="58" t="s">
        <v>116</v>
      </c>
      <c r="G294" s="59">
        <v>399</v>
      </c>
      <c r="H294" s="60">
        <v>46134</v>
      </c>
      <c r="I294" s="55">
        <f t="shared" si="10"/>
        <v>46134</v>
      </c>
      <c r="J294" s="57" t="e">
        <f>VLOOKUP(D294,#REF!,4,0)</f>
        <v>#REF!</v>
      </c>
      <c r="K294" s="4" t="e">
        <f t="shared" si="11"/>
        <v>#REF!</v>
      </c>
      <c r="L294" s="62"/>
      <c r="M294" s="63"/>
    </row>
    <row r="295" spans="1:13" s="45" customFormat="1" ht="13.25" customHeight="1" x14ac:dyDescent="0.3">
      <c r="A295" s="55">
        <v>46134</v>
      </c>
      <c r="B295" s="56">
        <f>VLOOKUP(C295,[7]完成订单!$D:$D,1,0)</f>
        <v>10880037426</v>
      </c>
      <c r="C295" s="57">
        <v>10880037426</v>
      </c>
      <c r="D295" s="57">
        <v>110001300070</v>
      </c>
      <c r="E295" s="57">
        <v>110001300070</v>
      </c>
      <c r="F295" s="58" t="s">
        <v>93</v>
      </c>
      <c r="G295" s="59">
        <v>3700</v>
      </c>
      <c r="H295" s="60">
        <v>46137</v>
      </c>
      <c r="I295" s="55">
        <f t="shared" si="10"/>
        <v>46134</v>
      </c>
      <c r="J295" s="57" t="e">
        <f>VLOOKUP(D295,#REF!,4,0)</f>
        <v>#REF!</v>
      </c>
      <c r="K295" s="4" t="e">
        <f t="shared" si="11"/>
        <v>#REF!</v>
      </c>
      <c r="L295" s="62"/>
      <c r="M295" s="63"/>
    </row>
    <row r="296" spans="1:13" s="45" customFormat="1" ht="13.25" customHeight="1" x14ac:dyDescent="0.3">
      <c r="A296" s="55">
        <v>46134</v>
      </c>
      <c r="B296" s="56" t="e">
        <f>VLOOKUP(C296,[7]完成订单!$D:$D,1,0)</f>
        <v>#N/A</v>
      </c>
      <c r="C296" s="57">
        <v>10400032382</v>
      </c>
      <c r="D296" s="57">
        <v>110001300070</v>
      </c>
      <c r="E296" s="57">
        <v>110001300071</v>
      </c>
      <c r="F296" s="58" t="s">
        <v>276</v>
      </c>
      <c r="G296" s="59">
        <v>3700</v>
      </c>
      <c r="H296" s="60">
        <v>46135</v>
      </c>
      <c r="I296" s="55">
        <f t="shared" si="10"/>
        <v>46134</v>
      </c>
      <c r="J296" s="57" t="e">
        <f>VLOOKUP(D296,#REF!,4,0)</f>
        <v>#REF!</v>
      </c>
      <c r="K296" s="4" t="e">
        <f t="shared" si="11"/>
        <v>#REF!</v>
      </c>
      <c r="L296" s="62"/>
      <c r="M296" s="63"/>
    </row>
    <row r="297" spans="1:13" s="45" customFormat="1" ht="13.25" customHeight="1" x14ac:dyDescent="0.3">
      <c r="A297" s="55">
        <v>46134</v>
      </c>
      <c r="B297" s="56">
        <f>VLOOKUP(C297,[7]完成订单!$D:$D,1,0)</f>
        <v>10880036207</v>
      </c>
      <c r="C297" s="57">
        <v>10880036207</v>
      </c>
      <c r="D297" s="57">
        <v>110001302850</v>
      </c>
      <c r="E297" s="57">
        <v>110001302850</v>
      </c>
      <c r="F297" s="58" t="s">
        <v>42</v>
      </c>
      <c r="G297" s="59">
        <v>750</v>
      </c>
      <c r="H297" s="60">
        <v>46138</v>
      </c>
      <c r="I297" s="55">
        <f t="shared" si="10"/>
        <v>46134</v>
      </c>
      <c r="J297" s="57" t="e">
        <f>VLOOKUP(D297,#REF!,4,0)</f>
        <v>#REF!</v>
      </c>
      <c r="K297" s="4" t="e">
        <f t="shared" si="11"/>
        <v>#REF!</v>
      </c>
      <c r="L297" s="62"/>
      <c r="M297" s="63"/>
    </row>
    <row r="298" spans="1:13" s="45" customFormat="1" ht="13.25" customHeight="1" x14ac:dyDescent="0.3">
      <c r="A298" s="55">
        <v>46134</v>
      </c>
      <c r="B298" s="56">
        <f>VLOOKUP(C298,[7]完成订单!$D:$D,1,0)</f>
        <v>10400030739</v>
      </c>
      <c r="C298" s="57">
        <v>10400030739</v>
      </c>
      <c r="D298" s="57">
        <v>110001302850</v>
      </c>
      <c r="E298" s="57">
        <v>110001302851</v>
      </c>
      <c r="F298" s="58" t="s">
        <v>41</v>
      </c>
      <c r="G298" s="59">
        <v>750</v>
      </c>
      <c r="H298" s="60">
        <v>46137</v>
      </c>
      <c r="I298" s="55">
        <f t="shared" si="10"/>
        <v>46134</v>
      </c>
      <c r="J298" s="57" t="e">
        <f>VLOOKUP(D298,#REF!,4,0)</f>
        <v>#REF!</v>
      </c>
      <c r="K298" s="4" t="e">
        <f t="shared" si="11"/>
        <v>#REF!</v>
      </c>
      <c r="L298" s="62"/>
      <c r="M298" s="63"/>
    </row>
    <row r="299" spans="1:13" s="45" customFormat="1" ht="13.25" customHeight="1" x14ac:dyDescent="0.3">
      <c r="A299" s="55">
        <v>46134</v>
      </c>
      <c r="B299" s="56">
        <f>VLOOKUP(C299,[7]完成订单!$D:$D,1,0)</f>
        <v>10400030646</v>
      </c>
      <c r="C299" s="57">
        <v>10400030646</v>
      </c>
      <c r="D299" s="57">
        <v>110001302850</v>
      </c>
      <c r="E299" s="57">
        <v>110001302852</v>
      </c>
      <c r="F299" s="58" t="s">
        <v>40</v>
      </c>
      <c r="G299" s="59">
        <v>750</v>
      </c>
      <c r="H299" s="60">
        <v>46136</v>
      </c>
      <c r="I299" s="55">
        <f t="shared" si="10"/>
        <v>46134</v>
      </c>
      <c r="J299" s="57" t="e">
        <f>VLOOKUP(D299,#REF!,4,0)</f>
        <v>#REF!</v>
      </c>
      <c r="K299" s="4" t="e">
        <f t="shared" si="11"/>
        <v>#REF!</v>
      </c>
      <c r="L299" s="62"/>
      <c r="M299" s="63"/>
    </row>
    <row r="300" spans="1:13" s="45" customFormat="1" ht="13.25" customHeight="1" x14ac:dyDescent="0.3">
      <c r="A300" s="55">
        <v>46134</v>
      </c>
      <c r="B300" s="56" t="e">
        <f>VLOOKUP(C300,[7]完成订单!$D:$D,1,0)</f>
        <v>#N/A</v>
      </c>
      <c r="C300" s="57">
        <v>10400030740</v>
      </c>
      <c r="D300" s="57">
        <v>110001302850</v>
      </c>
      <c r="E300" s="57">
        <v>110001302853</v>
      </c>
      <c r="F300" s="58" t="s">
        <v>41</v>
      </c>
      <c r="G300" s="59">
        <v>750</v>
      </c>
      <c r="H300" s="60">
        <v>46135</v>
      </c>
      <c r="I300" s="55">
        <f t="shared" si="10"/>
        <v>46134</v>
      </c>
      <c r="J300" s="57" t="e">
        <f>VLOOKUP(D300,#REF!,4,0)</f>
        <v>#REF!</v>
      </c>
      <c r="K300" s="4" t="e">
        <f t="shared" si="11"/>
        <v>#REF!</v>
      </c>
      <c r="L300" s="62"/>
      <c r="M300" s="63"/>
    </row>
    <row r="301" spans="1:13" s="45" customFormat="1" ht="13.25" customHeight="1" x14ac:dyDescent="0.3">
      <c r="A301" s="55">
        <v>46134</v>
      </c>
      <c r="B301" s="56" t="e">
        <f>VLOOKUP(C301,[7]完成订单!$D:$D,1,0)</f>
        <v>#N/A</v>
      </c>
      <c r="C301" s="57">
        <v>10400030647</v>
      </c>
      <c r="D301" s="57">
        <v>110001302850</v>
      </c>
      <c r="E301" s="57">
        <v>110001302854</v>
      </c>
      <c r="F301" s="58" t="s">
        <v>40</v>
      </c>
      <c r="G301" s="59">
        <v>750</v>
      </c>
      <c r="H301" s="60">
        <v>46134</v>
      </c>
      <c r="I301" s="55">
        <f t="shared" si="10"/>
        <v>46134</v>
      </c>
      <c r="J301" s="57" t="e">
        <f>VLOOKUP(D301,#REF!,4,0)</f>
        <v>#REF!</v>
      </c>
      <c r="K301" s="4" t="e">
        <f t="shared" si="11"/>
        <v>#REF!</v>
      </c>
      <c r="L301" s="62"/>
      <c r="M301" s="63"/>
    </row>
    <row r="302" spans="1:13" s="45" customFormat="1" ht="13.25" customHeight="1" x14ac:dyDescent="0.3">
      <c r="A302" s="55">
        <v>46134</v>
      </c>
      <c r="B302" s="56">
        <f>VLOOKUP(C302,[7]完成订单!$D:$D,1,0)</f>
        <v>10880037426</v>
      </c>
      <c r="C302" s="57">
        <v>10880037426</v>
      </c>
      <c r="D302" s="57">
        <v>110001303091</v>
      </c>
      <c r="E302" s="57">
        <v>110001303091</v>
      </c>
      <c r="F302" s="58" t="s">
        <v>93</v>
      </c>
      <c r="G302" s="59">
        <v>8700</v>
      </c>
      <c r="H302" s="60">
        <v>46136</v>
      </c>
      <c r="I302" s="55">
        <f t="shared" si="10"/>
        <v>46134</v>
      </c>
      <c r="J302" s="57" t="e">
        <f>VLOOKUP(D302,#REF!,4,0)</f>
        <v>#REF!</v>
      </c>
      <c r="K302" s="4" t="e">
        <f t="shared" si="11"/>
        <v>#REF!</v>
      </c>
      <c r="L302" s="62"/>
      <c r="M302" s="63"/>
    </row>
    <row r="303" spans="1:13" s="45" customFormat="1" ht="13.25" customHeight="1" x14ac:dyDescent="0.3">
      <c r="A303" s="55">
        <v>46134</v>
      </c>
      <c r="B303" s="56" t="e">
        <f>VLOOKUP(C303,[7]完成订单!$D:$D,1,0)</f>
        <v>#N/A</v>
      </c>
      <c r="C303" s="57">
        <v>10400032382</v>
      </c>
      <c r="D303" s="57">
        <v>110001303091</v>
      </c>
      <c r="E303" s="57">
        <v>110001303092</v>
      </c>
      <c r="F303" s="58" t="s">
        <v>276</v>
      </c>
      <c r="G303" s="59">
        <v>8700</v>
      </c>
      <c r="H303" s="60">
        <v>46134</v>
      </c>
      <c r="I303" s="55">
        <f t="shared" si="10"/>
        <v>46134</v>
      </c>
      <c r="J303" s="57" t="e">
        <f>VLOOKUP(D303,#REF!,4,0)</f>
        <v>#REF!</v>
      </c>
      <c r="K303" s="4" t="e">
        <f t="shared" si="11"/>
        <v>#REF!</v>
      </c>
      <c r="L303" s="62"/>
      <c r="M303" s="63"/>
    </row>
    <row r="304" spans="1:13" s="45" customFormat="1" ht="13.25" customHeight="1" x14ac:dyDescent="0.3">
      <c r="A304" s="55">
        <v>46134</v>
      </c>
      <c r="B304" s="56">
        <f>VLOOKUP(C304,[7]完成订单!$D:$D,1,0)</f>
        <v>10880035543</v>
      </c>
      <c r="C304" s="57">
        <v>10880035543</v>
      </c>
      <c r="D304" s="57">
        <v>110001303408</v>
      </c>
      <c r="E304" s="57">
        <v>110001303408</v>
      </c>
      <c r="F304" s="58" t="s">
        <v>244</v>
      </c>
      <c r="G304" s="59">
        <v>2000</v>
      </c>
      <c r="H304" s="60">
        <v>46137</v>
      </c>
      <c r="I304" s="55">
        <f t="shared" si="10"/>
        <v>46134</v>
      </c>
      <c r="J304" s="57" t="e">
        <f>VLOOKUP(D304,#REF!,4,0)</f>
        <v>#REF!</v>
      </c>
      <c r="K304" s="4" t="e">
        <f t="shared" si="11"/>
        <v>#REF!</v>
      </c>
      <c r="L304" s="62"/>
      <c r="M304" s="63"/>
    </row>
    <row r="305" spans="1:13" s="45" customFormat="1" ht="13.25" customHeight="1" x14ac:dyDescent="0.3">
      <c r="A305" s="55">
        <v>46134</v>
      </c>
      <c r="B305" s="56" t="e">
        <f>VLOOKUP(C305,[7]完成订单!$D:$D,1,0)</f>
        <v>#N/A</v>
      </c>
      <c r="C305" s="57">
        <v>10400029820</v>
      </c>
      <c r="D305" s="57">
        <v>110001303408</v>
      </c>
      <c r="E305" s="57">
        <v>110001303409</v>
      </c>
      <c r="F305" s="58" t="s">
        <v>280</v>
      </c>
      <c r="G305" s="59">
        <v>2000</v>
      </c>
      <c r="H305" s="60">
        <v>46135</v>
      </c>
      <c r="I305" s="55">
        <f t="shared" si="10"/>
        <v>46134</v>
      </c>
      <c r="J305" s="57" t="e">
        <f>VLOOKUP(D305,#REF!,4,0)</f>
        <v>#REF!</v>
      </c>
      <c r="K305" s="4" t="e">
        <f t="shared" si="11"/>
        <v>#REF!</v>
      </c>
      <c r="L305" s="62"/>
      <c r="M305" s="63"/>
    </row>
    <row r="306" spans="1:13" s="45" customFormat="1" ht="13.25" customHeight="1" x14ac:dyDescent="0.3">
      <c r="A306" s="55">
        <v>46134</v>
      </c>
      <c r="B306" s="56" t="e">
        <f>VLOOKUP(C306,[7]完成订单!$D:$D,1,0)</f>
        <v>#N/A</v>
      </c>
      <c r="C306" s="57">
        <v>10880038229</v>
      </c>
      <c r="D306" s="57">
        <v>880000121210</v>
      </c>
      <c r="E306" s="57">
        <v>880000121210</v>
      </c>
      <c r="F306" s="58" t="s">
        <v>109</v>
      </c>
      <c r="G306" s="59">
        <v>198</v>
      </c>
      <c r="H306" s="60">
        <v>46137</v>
      </c>
      <c r="I306" s="55">
        <f t="shared" si="10"/>
        <v>46134</v>
      </c>
      <c r="J306" s="57" t="e">
        <f>VLOOKUP(D306,#REF!,4,0)</f>
        <v>#REF!</v>
      </c>
      <c r="K306" s="4" t="e">
        <f t="shared" si="11"/>
        <v>#REF!</v>
      </c>
      <c r="L306" s="62"/>
      <c r="M306" s="63"/>
    </row>
    <row r="307" spans="1:13" s="45" customFormat="1" ht="13.25" customHeight="1" x14ac:dyDescent="0.3">
      <c r="A307" s="55">
        <v>46134</v>
      </c>
      <c r="B307" s="56">
        <f>VLOOKUP(C307,[7]完成订单!$D:$D,1,0)</f>
        <v>10400033234</v>
      </c>
      <c r="C307" s="57">
        <v>10400033234</v>
      </c>
      <c r="D307" s="57">
        <v>880000121210</v>
      </c>
      <c r="E307" s="57">
        <v>880000121211</v>
      </c>
      <c r="F307" s="58" t="s">
        <v>124</v>
      </c>
      <c r="G307" s="59">
        <v>198</v>
      </c>
      <c r="H307" s="60">
        <v>46135</v>
      </c>
      <c r="I307" s="55">
        <f t="shared" si="10"/>
        <v>46134</v>
      </c>
      <c r="J307" s="57" t="e">
        <f>VLOOKUP(D307,#REF!,4,0)</f>
        <v>#REF!</v>
      </c>
      <c r="K307" s="4" t="e">
        <f t="shared" si="11"/>
        <v>#REF!</v>
      </c>
      <c r="L307" s="62"/>
      <c r="M307" s="63"/>
    </row>
    <row r="308" spans="1:13" s="45" customFormat="1" ht="13.25" customHeight="1" x14ac:dyDescent="0.3">
      <c r="A308" s="55">
        <v>46134</v>
      </c>
      <c r="B308" s="56" t="e">
        <f>VLOOKUP(C308,[7]完成订单!$D:$D,1,0)</f>
        <v>#N/A</v>
      </c>
      <c r="C308" s="57">
        <v>10400033462</v>
      </c>
      <c r="D308" s="57">
        <v>880000121210</v>
      </c>
      <c r="E308" s="57">
        <v>880000121212</v>
      </c>
      <c r="F308" s="58" t="s">
        <v>110</v>
      </c>
      <c r="G308" s="59">
        <v>198</v>
      </c>
      <c r="H308" s="60">
        <v>46137</v>
      </c>
      <c r="I308" s="55">
        <f t="shared" si="10"/>
        <v>46134</v>
      </c>
      <c r="J308" s="57" t="e">
        <f>VLOOKUP(D308,#REF!,4,0)</f>
        <v>#REF!</v>
      </c>
      <c r="K308" s="4" t="e">
        <f t="shared" si="11"/>
        <v>#REF!</v>
      </c>
      <c r="L308" s="62"/>
      <c r="M308" s="63"/>
    </row>
    <row r="309" spans="1:13" s="45" customFormat="1" ht="13.25" customHeight="1" x14ac:dyDescent="0.3">
      <c r="A309" s="55">
        <v>46134</v>
      </c>
      <c r="B309" s="56" t="e">
        <f>VLOOKUP(C309,[7]完成订单!$D:$D,1,0)</f>
        <v>#N/A</v>
      </c>
      <c r="C309" s="57">
        <v>10400033463</v>
      </c>
      <c r="D309" s="57">
        <v>880000121210</v>
      </c>
      <c r="E309" s="57">
        <v>880000121213</v>
      </c>
      <c r="F309" s="58" t="s">
        <v>110</v>
      </c>
      <c r="G309" s="59">
        <v>198</v>
      </c>
      <c r="H309" s="60">
        <v>46135</v>
      </c>
      <c r="I309" s="55">
        <f t="shared" si="10"/>
        <v>46134</v>
      </c>
      <c r="J309" s="57" t="e">
        <f>VLOOKUP(D309,#REF!,4,0)</f>
        <v>#REF!</v>
      </c>
      <c r="K309" s="4" t="e">
        <f t="shared" si="11"/>
        <v>#REF!</v>
      </c>
      <c r="L309" s="62"/>
      <c r="M309" s="63"/>
    </row>
    <row r="310" spans="1:13" s="45" customFormat="1" ht="13.25" customHeight="1" x14ac:dyDescent="0.3">
      <c r="A310" s="55">
        <v>46134</v>
      </c>
      <c r="B310" s="56">
        <f>VLOOKUP(C310,[7]完成订单!$D:$D,1,0)</f>
        <v>10880022442</v>
      </c>
      <c r="C310" s="57">
        <v>10880022442</v>
      </c>
      <c r="D310" s="57">
        <v>110001271362</v>
      </c>
      <c r="E310" s="57">
        <v>110001271362</v>
      </c>
      <c r="F310" s="58" t="s">
        <v>165</v>
      </c>
      <c r="G310" s="59">
        <v>501</v>
      </c>
      <c r="H310" s="60">
        <v>46137</v>
      </c>
      <c r="I310" s="55">
        <f t="shared" si="10"/>
        <v>46134</v>
      </c>
      <c r="J310" s="57" t="e">
        <f>VLOOKUP(D310,#REF!,4,0)</f>
        <v>#REF!</v>
      </c>
      <c r="K310" s="4" t="e">
        <f t="shared" si="11"/>
        <v>#REF!</v>
      </c>
      <c r="L310" s="62"/>
      <c r="M310" s="63"/>
    </row>
    <row r="311" spans="1:13" s="45" customFormat="1" ht="13.25" customHeight="1" x14ac:dyDescent="0.3">
      <c r="A311" s="55">
        <v>46134</v>
      </c>
      <c r="B311" s="56" t="e">
        <f>VLOOKUP(C311,[7]完成订单!$D:$D,1,0)</f>
        <v>#N/A</v>
      </c>
      <c r="C311" s="57">
        <v>10400021918</v>
      </c>
      <c r="D311" s="57">
        <v>110001271362</v>
      </c>
      <c r="E311" s="57">
        <v>110001271363</v>
      </c>
      <c r="F311" s="58" t="s">
        <v>165</v>
      </c>
      <c r="G311" s="59">
        <v>501</v>
      </c>
      <c r="H311" s="60">
        <v>46135</v>
      </c>
      <c r="I311" s="55">
        <f t="shared" si="10"/>
        <v>46134</v>
      </c>
      <c r="J311" s="57" t="e">
        <f>VLOOKUP(D311,#REF!,4,0)</f>
        <v>#REF!</v>
      </c>
      <c r="K311" s="4" t="e">
        <f t="shared" si="11"/>
        <v>#REF!</v>
      </c>
      <c r="L311" s="62"/>
      <c r="M311" s="63"/>
    </row>
    <row r="312" spans="1:13" s="45" customFormat="1" ht="13.25" customHeight="1" x14ac:dyDescent="0.3">
      <c r="A312" s="55">
        <v>46134</v>
      </c>
      <c r="B312" s="56">
        <f>VLOOKUP(C312,[7]完成订单!$D:$D,1,0)</f>
        <v>10880028831</v>
      </c>
      <c r="C312" s="57">
        <v>10880028831</v>
      </c>
      <c r="D312" s="57">
        <v>110001288281</v>
      </c>
      <c r="E312" s="57">
        <v>110001288281</v>
      </c>
      <c r="F312" s="58" t="s">
        <v>166</v>
      </c>
      <c r="G312" s="59">
        <v>401</v>
      </c>
      <c r="H312" s="60">
        <v>46138</v>
      </c>
      <c r="I312" s="55">
        <f t="shared" si="10"/>
        <v>46134</v>
      </c>
      <c r="J312" s="57" t="e">
        <f>VLOOKUP(D312,#REF!,4,0)</f>
        <v>#REF!</v>
      </c>
      <c r="K312" s="4" t="e">
        <f t="shared" si="11"/>
        <v>#REF!</v>
      </c>
      <c r="L312" s="62"/>
      <c r="M312" s="63"/>
    </row>
    <row r="313" spans="1:13" s="45" customFormat="1" ht="13.25" customHeight="1" x14ac:dyDescent="0.3">
      <c r="A313" s="55">
        <v>46134</v>
      </c>
      <c r="B313" s="56" t="e">
        <f>VLOOKUP(C313,[7]完成订单!$D:$D,1,0)</f>
        <v>#N/A</v>
      </c>
      <c r="C313" s="57">
        <v>10400023100</v>
      </c>
      <c r="D313" s="57">
        <v>110001288281</v>
      </c>
      <c r="E313" s="57">
        <v>110001288282</v>
      </c>
      <c r="F313" s="58" t="s">
        <v>166</v>
      </c>
      <c r="G313" s="59">
        <v>401</v>
      </c>
      <c r="H313" s="60">
        <v>46136</v>
      </c>
      <c r="I313" s="55">
        <f t="shared" si="10"/>
        <v>46134</v>
      </c>
      <c r="J313" s="57" t="e">
        <f>VLOOKUP(D313,#REF!,4,0)</f>
        <v>#REF!</v>
      </c>
      <c r="K313" s="4" t="e">
        <f t="shared" si="11"/>
        <v>#REF!</v>
      </c>
      <c r="L313" s="62"/>
      <c r="M313" s="63"/>
    </row>
    <row r="314" spans="1:13" s="45" customFormat="1" ht="13.25" customHeight="1" x14ac:dyDescent="0.3">
      <c r="A314" s="55">
        <v>46134</v>
      </c>
      <c r="B314" s="56">
        <f>VLOOKUP(C314,[7]完成订单!$D:$D,1,0)</f>
        <v>10880035513</v>
      </c>
      <c r="C314" s="57">
        <v>10880035513</v>
      </c>
      <c r="D314" s="57">
        <v>110001292269</v>
      </c>
      <c r="E314" s="57">
        <v>110001292269</v>
      </c>
      <c r="F314" s="58" t="s">
        <v>167</v>
      </c>
      <c r="G314" s="59">
        <v>600</v>
      </c>
      <c r="H314" s="60">
        <v>46138</v>
      </c>
      <c r="I314" s="55">
        <f t="shared" si="10"/>
        <v>46134</v>
      </c>
      <c r="J314" s="57" t="e">
        <f>VLOOKUP(D314,#REF!,4,0)</f>
        <v>#REF!</v>
      </c>
      <c r="K314" s="4" t="e">
        <f t="shared" si="11"/>
        <v>#REF!</v>
      </c>
      <c r="L314" s="62"/>
      <c r="M314" s="63"/>
    </row>
    <row r="315" spans="1:13" s="45" customFormat="1" ht="13.25" customHeight="1" x14ac:dyDescent="0.3">
      <c r="A315" s="55">
        <v>46134</v>
      </c>
      <c r="B315" s="56" t="e">
        <f>VLOOKUP(C315,[7]完成订单!$D:$D,1,0)</f>
        <v>#N/A</v>
      </c>
      <c r="C315" s="57">
        <v>10400029789</v>
      </c>
      <c r="D315" s="57">
        <v>110001292269</v>
      </c>
      <c r="E315" s="57">
        <v>110001292270</v>
      </c>
      <c r="F315" s="58" t="s">
        <v>353</v>
      </c>
      <c r="G315" s="59">
        <v>600</v>
      </c>
      <c r="H315" s="60">
        <v>46136</v>
      </c>
      <c r="I315" s="55">
        <f t="shared" si="10"/>
        <v>46134</v>
      </c>
      <c r="J315" s="57" t="e">
        <f>VLOOKUP(D315,#REF!,4,0)</f>
        <v>#REF!</v>
      </c>
      <c r="K315" s="4" t="e">
        <f t="shared" si="11"/>
        <v>#REF!</v>
      </c>
      <c r="L315" s="62"/>
      <c r="M315" s="63"/>
    </row>
    <row r="316" spans="1:13" s="45" customFormat="1" ht="13.25" customHeight="1" x14ac:dyDescent="0.3">
      <c r="A316" s="55">
        <v>46134</v>
      </c>
      <c r="B316" s="56">
        <f>VLOOKUP(C316,[7]完成订单!$D:$D,1,0)</f>
        <v>10880034669</v>
      </c>
      <c r="C316" s="57">
        <v>10880034669</v>
      </c>
      <c r="D316" s="57">
        <v>110001296374</v>
      </c>
      <c r="E316" s="57">
        <v>110001296374</v>
      </c>
      <c r="F316" s="58" t="s">
        <v>153</v>
      </c>
      <c r="G316" s="59">
        <v>20004</v>
      </c>
      <c r="H316" s="60">
        <v>46137</v>
      </c>
      <c r="I316" s="55">
        <f>A316</f>
        <v>46134</v>
      </c>
      <c r="J316" s="57" t="e">
        <f>VLOOKUP(D316,#REF!,4,0)</f>
        <v>#REF!</v>
      </c>
      <c r="K316" s="4" t="e">
        <f>+J316-G316</f>
        <v>#REF!</v>
      </c>
      <c r="L316" s="62"/>
      <c r="M316" s="63"/>
    </row>
    <row r="317" spans="1:13" s="45" customFormat="1" ht="13.25" customHeight="1" x14ac:dyDescent="0.3">
      <c r="A317" s="55">
        <v>46134</v>
      </c>
      <c r="B317" s="56" t="e">
        <f>VLOOKUP(C317,[7]完成订单!$D:$D,1,0)</f>
        <v>#N/A</v>
      </c>
      <c r="C317" s="57">
        <v>10400028645</v>
      </c>
      <c r="D317" s="57">
        <v>110001296374</v>
      </c>
      <c r="E317" s="57">
        <v>110001296375</v>
      </c>
      <c r="F317" s="58" t="s">
        <v>153</v>
      </c>
      <c r="G317" s="59">
        <v>20004</v>
      </c>
      <c r="H317" s="60">
        <v>46135</v>
      </c>
      <c r="I317" s="55">
        <f t="shared" si="10"/>
        <v>46134</v>
      </c>
      <c r="J317" s="57" t="e">
        <f>VLOOKUP(D317,#REF!,4,0)</f>
        <v>#REF!</v>
      </c>
      <c r="K317" s="4" t="e">
        <f t="shared" si="11"/>
        <v>#REF!</v>
      </c>
      <c r="L317" s="62"/>
      <c r="M317" s="63"/>
    </row>
    <row r="318" spans="1:13" s="45" customFormat="1" ht="13.25" customHeight="1" x14ac:dyDescent="0.3">
      <c r="A318" s="55">
        <v>46135</v>
      </c>
      <c r="B318" s="56">
        <v>10880038602</v>
      </c>
      <c r="C318" s="57">
        <v>10880038602</v>
      </c>
      <c r="D318" s="57">
        <v>110001292663</v>
      </c>
      <c r="E318" s="57">
        <v>110001292663</v>
      </c>
      <c r="F318" s="58" t="s">
        <v>132</v>
      </c>
      <c r="G318" s="59">
        <v>2001</v>
      </c>
      <c r="H318" s="60">
        <v>46139</v>
      </c>
      <c r="I318" s="55">
        <v>46135</v>
      </c>
      <c r="J318" s="57">
        <v>2001</v>
      </c>
      <c r="K318" s="4">
        <v>0</v>
      </c>
      <c r="L318" s="62"/>
      <c r="M318" s="63"/>
    </row>
    <row r="319" spans="1:13" s="45" customFormat="1" ht="13.25" customHeight="1" x14ac:dyDescent="0.3">
      <c r="A319" s="55">
        <v>46135</v>
      </c>
      <c r="B319" s="56">
        <v>10400033234</v>
      </c>
      <c r="C319" s="57">
        <v>10400033234</v>
      </c>
      <c r="D319" s="57">
        <v>110001292663</v>
      </c>
      <c r="E319" s="57">
        <v>110001292664</v>
      </c>
      <c r="F319" s="58" t="s">
        <v>124</v>
      </c>
      <c r="G319" s="59">
        <v>2001</v>
      </c>
      <c r="H319" s="60">
        <v>46137</v>
      </c>
      <c r="I319" s="55">
        <v>46135</v>
      </c>
      <c r="J319" s="57">
        <v>2001</v>
      </c>
      <c r="K319" s="4">
        <v>0</v>
      </c>
      <c r="L319" s="62"/>
      <c r="M319" s="63"/>
    </row>
    <row r="320" spans="1:13" s="45" customFormat="1" ht="13.25" customHeight="1" x14ac:dyDescent="0.3">
      <c r="A320" s="55">
        <v>46135</v>
      </c>
      <c r="B320" s="56">
        <v>10400033943</v>
      </c>
      <c r="C320" s="57">
        <v>10400033943</v>
      </c>
      <c r="D320" s="57">
        <v>110001292663</v>
      </c>
      <c r="E320" s="57">
        <v>110001292665</v>
      </c>
      <c r="F320" s="58" t="s">
        <v>133</v>
      </c>
      <c r="G320" s="59">
        <v>2001</v>
      </c>
      <c r="H320" s="60">
        <v>46139</v>
      </c>
      <c r="I320" s="55">
        <v>46135</v>
      </c>
      <c r="J320" s="57">
        <v>2001</v>
      </c>
      <c r="K320" s="4">
        <v>0</v>
      </c>
      <c r="L320" s="62"/>
      <c r="M320" s="63"/>
    </row>
    <row r="321" spans="1:13" s="45" customFormat="1" ht="13.25" customHeight="1" x14ac:dyDescent="0.3">
      <c r="A321" s="55">
        <v>46135</v>
      </c>
      <c r="B321" s="56" t="e">
        <v>#N/A</v>
      </c>
      <c r="C321" s="57">
        <v>10400033944</v>
      </c>
      <c r="D321" s="57">
        <v>110001292663</v>
      </c>
      <c r="E321" s="57">
        <v>110001292666</v>
      </c>
      <c r="F321" s="58" t="s">
        <v>133</v>
      </c>
      <c r="G321" s="59">
        <v>2001</v>
      </c>
      <c r="H321" s="60">
        <v>46137</v>
      </c>
      <c r="I321" s="55">
        <v>46135</v>
      </c>
      <c r="J321" s="57">
        <v>2001</v>
      </c>
      <c r="K321" s="4">
        <v>0</v>
      </c>
      <c r="L321" s="62"/>
      <c r="M321" s="63"/>
    </row>
    <row r="322" spans="1:13" s="45" customFormat="1" ht="13.25" customHeight="1" x14ac:dyDescent="0.3">
      <c r="A322" s="55">
        <v>46135</v>
      </c>
      <c r="B322" s="56" t="e">
        <v>#N/A</v>
      </c>
      <c r="C322" s="57">
        <v>10880037687</v>
      </c>
      <c r="D322" s="57">
        <v>110001292485</v>
      </c>
      <c r="E322" s="57">
        <v>110001292485</v>
      </c>
      <c r="F322" s="58" t="s">
        <v>111</v>
      </c>
      <c r="G322" s="59">
        <v>1002</v>
      </c>
      <c r="H322" s="60">
        <v>46138</v>
      </c>
      <c r="I322" s="55">
        <v>46137</v>
      </c>
      <c r="J322" s="57">
        <v>1002</v>
      </c>
      <c r="K322" s="4">
        <v>0</v>
      </c>
      <c r="L322" s="62"/>
      <c r="M322" s="63"/>
    </row>
    <row r="323" spans="1:13" s="45" customFormat="1" ht="13.25" customHeight="1" x14ac:dyDescent="0.3">
      <c r="A323" s="55">
        <v>46135</v>
      </c>
      <c r="B323" s="56" t="e">
        <v>#N/A</v>
      </c>
      <c r="C323" s="57">
        <v>10400032757</v>
      </c>
      <c r="D323" s="57">
        <v>110001292485</v>
      </c>
      <c r="E323" s="57">
        <v>110001292486</v>
      </c>
      <c r="F323" s="58" t="s">
        <v>112</v>
      </c>
      <c r="G323" s="59">
        <v>1002</v>
      </c>
      <c r="H323" s="60">
        <v>46138</v>
      </c>
      <c r="I323" s="55">
        <v>46137</v>
      </c>
      <c r="J323" s="57">
        <v>1002</v>
      </c>
      <c r="K323" s="4">
        <v>0</v>
      </c>
      <c r="L323" s="62"/>
      <c r="M323" s="63"/>
    </row>
    <row r="324" spans="1:13" s="45" customFormat="1" ht="13.25" customHeight="1" x14ac:dyDescent="0.3">
      <c r="A324" s="55">
        <v>46135</v>
      </c>
      <c r="B324" s="56">
        <v>10400033234</v>
      </c>
      <c r="C324" s="57">
        <v>10400033234</v>
      </c>
      <c r="D324" s="57">
        <v>110001292485</v>
      </c>
      <c r="E324" s="57">
        <v>110001292487</v>
      </c>
      <c r="F324" s="58" t="s">
        <v>124</v>
      </c>
      <c r="G324" s="59">
        <v>1002</v>
      </c>
      <c r="H324" s="60">
        <v>46136</v>
      </c>
      <c r="I324" s="55">
        <v>46137</v>
      </c>
      <c r="J324" s="57">
        <v>1002</v>
      </c>
      <c r="K324" s="4">
        <v>0</v>
      </c>
      <c r="L324" s="62"/>
      <c r="M324" s="63"/>
    </row>
    <row r="325" spans="1:13" s="45" customFormat="1" ht="13.25" customHeight="1" x14ac:dyDescent="0.3">
      <c r="A325" s="55">
        <v>46135</v>
      </c>
      <c r="B325" s="56" t="e">
        <v>#N/A</v>
      </c>
      <c r="C325" s="57">
        <v>10400032758</v>
      </c>
      <c r="D325" s="57">
        <v>110001292485</v>
      </c>
      <c r="E325" s="57">
        <v>110001292488</v>
      </c>
      <c r="F325" s="58" t="s">
        <v>112</v>
      </c>
      <c r="G325" s="59">
        <v>1002</v>
      </c>
      <c r="H325" s="60">
        <v>46136</v>
      </c>
      <c r="I325" s="55">
        <v>46137</v>
      </c>
      <c r="J325" s="57">
        <v>1002</v>
      </c>
      <c r="K325" s="4">
        <v>0</v>
      </c>
      <c r="L325" s="62"/>
      <c r="M325" s="63"/>
    </row>
    <row r="326" spans="1:13" s="45" customFormat="1" ht="13.25" customHeight="1" x14ac:dyDescent="0.3">
      <c r="A326" s="55">
        <v>46135</v>
      </c>
      <c r="B326" s="56">
        <v>10880036503</v>
      </c>
      <c r="C326" s="57">
        <v>10880036503</v>
      </c>
      <c r="D326" s="57">
        <v>110001274788</v>
      </c>
      <c r="E326" s="57">
        <v>110001274788</v>
      </c>
      <c r="F326" s="58" t="s">
        <v>35</v>
      </c>
      <c r="G326" s="59">
        <v>100</v>
      </c>
      <c r="H326" s="60">
        <v>46139</v>
      </c>
      <c r="I326" s="55">
        <v>46135</v>
      </c>
      <c r="J326" s="57">
        <v>100</v>
      </c>
      <c r="K326" s="4">
        <v>0</v>
      </c>
      <c r="L326" s="62"/>
      <c r="M326" s="63"/>
    </row>
    <row r="327" spans="1:13" s="45" customFormat="1" ht="13.25" customHeight="1" x14ac:dyDescent="0.3">
      <c r="A327" s="55">
        <v>46135</v>
      </c>
      <c r="B327" s="56">
        <v>10400031134</v>
      </c>
      <c r="C327" s="57">
        <v>10400031134</v>
      </c>
      <c r="D327" s="57">
        <v>110001274788</v>
      </c>
      <c r="E327" s="57">
        <v>110001274789</v>
      </c>
      <c r="F327" s="58" t="s">
        <v>32</v>
      </c>
      <c r="G327" s="59">
        <v>100</v>
      </c>
      <c r="H327" s="60">
        <v>46138</v>
      </c>
      <c r="I327" s="55">
        <v>46135</v>
      </c>
      <c r="J327" s="57">
        <v>100</v>
      </c>
      <c r="K327" s="4">
        <v>0</v>
      </c>
      <c r="L327" s="62"/>
      <c r="M327" s="63"/>
    </row>
    <row r="328" spans="1:13" s="45" customFormat="1" ht="13.25" customHeight="1" x14ac:dyDescent="0.3">
      <c r="A328" s="55">
        <v>46135</v>
      </c>
      <c r="B328" s="56">
        <v>10400029072</v>
      </c>
      <c r="C328" s="57">
        <v>10400029072</v>
      </c>
      <c r="D328" s="57">
        <v>110001274788</v>
      </c>
      <c r="E328" s="57">
        <v>110001274790</v>
      </c>
      <c r="F328" s="58" t="s">
        <v>24</v>
      </c>
      <c r="G328" s="59">
        <v>100</v>
      </c>
      <c r="H328" s="60">
        <v>46137</v>
      </c>
      <c r="I328" s="55">
        <v>46135</v>
      </c>
      <c r="J328" s="57">
        <v>100</v>
      </c>
      <c r="K328" s="4">
        <v>0</v>
      </c>
      <c r="L328" s="62"/>
      <c r="M328" s="63"/>
    </row>
    <row r="329" spans="1:13" s="45" customFormat="1" ht="13.25" customHeight="1" x14ac:dyDescent="0.3">
      <c r="A329" s="55">
        <v>46135</v>
      </c>
      <c r="B329" s="56" t="e">
        <v>#N/A</v>
      </c>
      <c r="C329" s="57">
        <v>10400031133</v>
      </c>
      <c r="D329" s="57">
        <v>110001274788</v>
      </c>
      <c r="E329" s="57">
        <v>110001274791</v>
      </c>
      <c r="F329" s="58" t="s">
        <v>32</v>
      </c>
      <c r="G329" s="59">
        <v>100</v>
      </c>
      <c r="H329" s="60">
        <v>46136</v>
      </c>
      <c r="I329" s="55">
        <v>46135</v>
      </c>
      <c r="J329" s="57">
        <v>100</v>
      </c>
      <c r="K329" s="4">
        <v>0</v>
      </c>
      <c r="L329" s="62"/>
      <c r="M329" s="63"/>
    </row>
    <row r="330" spans="1:13" s="45" customFormat="1" ht="13.25" customHeight="1" x14ac:dyDescent="0.3">
      <c r="A330" s="55">
        <v>46135</v>
      </c>
      <c r="B330" s="56" t="e">
        <v>#N/A</v>
      </c>
      <c r="C330" s="57">
        <v>10400029073</v>
      </c>
      <c r="D330" s="57">
        <v>110001274788</v>
      </c>
      <c r="E330" s="57">
        <v>110001274792</v>
      </c>
      <c r="F330" s="58" t="s">
        <v>24</v>
      </c>
      <c r="G330" s="59">
        <v>100</v>
      </c>
      <c r="H330" s="60">
        <v>46135</v>
      </c>
      <c r="I330" s="55">
        <v>46135</v>
      </c>
      <c r="J330" s="57">
        <v>100</v>
      </c>
      <c r="K330" s="4">
        <v>0</v>
      </c>
      <c r="L330" s="62"/>
      <c r="M330" s="63"/>
    </row>
    <row r="331" spans="1:13" s="45" customFormat="1" ht="13.25" customHeight="1" x14ac:dyDescent="0.3">
      <c r="A331" s="55">
        <v>46135</v>
      </c>
      <c r="B331" s="56">
        <v>10880037659</v>
      </c>
      <c r="C331" s="57">
        <v>10880037659</v>
      </c>
      <c r="D331" s="57">
        <v>110001290366</v>
      </c>
      <c r="E331" s="57">
        <v>110001290366</v>
      </c>
      <c r="F331" s="58" t="s">
        <v>125</v>
      </c>
      <c r="G331" s="59">
        <v>1302</v>
      </c>
      <c r="H331" s="60">
        <v>46138</v>
      </c>
      <c r="I331" s="55">
        <v>46135</v>
      </c>
      <c r="J331" s="57">
        <v>1302</v>
      </c>
      <c r="K331" s="4">
        <v>0</v>
      </c>
      <c r="L331" s="62"/>
      <c r="M331" s="63"/>
    </row>
    <row r="332" spans="1:13" s="45" customFormat="1" ht="13.25" customHeight="1" x14ac:dyDescent="0.3">
      <c r="A332" s="55">
        <v>46135</v>
      </c>
      <c r="B332" s="56">
        <v>10400032699</v>
      </c>
      <c r="C332" s="57">
        <v>10400032699</v>
      </c>
      <c r="D332" s="57">
        <v>110001290366</v>
      </c>
      <c r="E332" s="57">
        <v>110001290367</v>
      </c>
      <c r="F332" s="58" t="s">
        <v>126</v>
      </c>
      <c r="G332" s="59">
        <v>1302</v>
      </c>
      <c r="H332" s="60">
        <v>46138</v>
      </c>
      <c r="I332" s="55">
        <v>46135</v>
      </c>
      <c r="J332" s="57">
        <v>1302</v>
      </c>
      <c r="K332" s="4">
        <v>0</v>
      </c>
      <c r="L332" s="62"/>
      <c r="M332" s="63"/>
    </row>
    <row r="333" spans="1:13" s="45" customFormat="1" ht="13.25" customHeight="1" x14ac:dyDescent="0.3">
      <c r="A333" s="55">
        <v>46135</v>
      </c>
      <c r="B333" s="56">
        <v>10400033234</v>
      </c>
      <c r="C333" s="57">
        <v>10400033234</v>
      </c>
      <c r="D333" s="57">
        <v>110001290366</v>
      </c>
      <c r="E333" s="57">
        <v>110001290368</v>
      </c>
      <c r="F333" s="58" t="s">
        <v>124</v>
      </c>
      <c r="G333" s="59">
        <v>1302</v>
      </c>
      <c r="H333" s="60">
        <v>46136</v>
      </c>
      <c r="I333" s="55">
        <v>46135</v>
      </c>
      <c r="J333" s="57">
        <v>1302</v>
      </c>
      <c r="K333" s="4">
        <v>0</v>
      </c>
      <c r="L333" s="62"/>
      <c r="M333" s="63"/>
    </row>
    <row r="334" spans="1:13" s="45" customFormat="1" ht="13.25" customHeight="1" x14ac:dyDescent="0.3">
      <c r="A334" s="55">
        <v>46135</v>
      </c>
      <c r="B334" s="56" t="e">
        <v>#N/A</v>
      </c>
      <c r="C334" s="57">
        <v>10400032700</v>
      </c>
      <c r="D334" s="57">
        <v>110001290366</v>
      </c>
      <c r="E334" s="57">
        <v>110001290369</v>
      </c>
      <c r="F334" s="58" t="s">
        <v>126</v>
      </c>
      <c r="G334" s="59">
        <v>1302</v>
      </c>
      <c r="H334" s="60">
        <v>46136</v>
      </c>
      <c r="I334" s="55">
        <v>46135</v>
      </c>
      <c r="J334" s="57">
        <v>1302</v>
      </c>
      <c r="K334" s="4">
        <v>0</v>
      </c>
      <c r="L334" s="62"/>
      <c r="M334" s="63"/>
    </row>
    <row r="335" spans="1:13" s="45" customFormat="1" ht="13.25" customHeight="1" x14ac:dyDescent="0.3">
      <c r="A335" s="55">
        <v>46135</v>
      </c>
      <c r="B335" s="56">
        <v>10880037688</v>
      </c>
      <c r="C335" s="57">
        <v>10880037688</v>
      </c>
      <c r="D335" s="57">
        <v>110001292497</v>
      </c>
      <c r="E335" s="57">
        <v>110001292497</v>
      </c>
      <c r="F335" s="58" t="s">
        <v>107</v>
      </c>
      <c r="G335" s="59">
        <v>1998</v>
      </c>
      <c r="H335" s="60">
        <v>46138</v>
      </c>
      <c r="I335" s="55">
        <v>46135</v>
      </c>
      <c r="J335" s="57">
        <v>1998</v>
      </c>
      <c r="K335" s="4">
        <v>0</v>
      </c>
      <c r="L335" s="62"/>
      <c r="M335" s="63"/>
    </row>
    <row r="336" spans="1:13" s="45" customFormat="1" ht="13.25" customHeight="1" x14ac:dyDescent="0.3">
      <c r="A336" s="55">
        <v>46135</v>
      </c>
      <c r="B336" s="56">
        <v>10400032759</v>
      </c>
      <c r="C336" s="57">
        <v>10400032759</v>
      </c>
      <c r="D336" s="57">
        <v>110001292497</v>
      </c>
      <c r="E336" s="57">
        <v>110001292498</v>
      </c>
      <c r="F336" s="58" t="s">
        <v>108</v>
      </c>
      <c r="G336" s="59">
        <v>1998</v>
      </c>
      <c r="H336" s="60">
        <v>46138</v>
      </c>
      <c r="I336" s="55">
        <v>46135</v>
      </c>
      <c r="J336" s="57">
        <v>1998</v>
      </c>
      <c r="K336" s="4">
        <v>0</v>
      </c>
      <c r="L336" s="62"/>
      <c r="M336" s="63"/>
    </row>
    <row r="337" spans="1:13" s="45" customFormat="1" ht="13.25" customHeight="1" x14ac:dyDescent="0.3">
      <c r="A337" s="55">
        <v>46135</v>
      </c>
      <c r="B337" s="56">
        <v>10400033234</v>
      </c>
      <c r="C337" s="57">
        <v>10400033234</v>
      </c>
      <c r="D337" s="57">
        <v>110001292497</v>
      </c>
      <c r="E337" s="57">
        <v>110001292499</v>
      </c>
      <c r="F337" s="58" t="s">
        <v>124</v>
      </c>
      <c r="G337" s="59">
        <v>1998</v>
      </c>
      <c r="H337" s="60">
        <v>46136</v>
      </c>
      <c r="I337" s="55">
        <v>46135</v>
      </c>
      <c r="J337" s="57">
        <v>1998</v>
      </c>
      <c r="K337" s="4">
        <v>0</v>
      </c>
      <c r="L337" s="62"/>
      <c r="M337" s="63"/>
    </row>
    <row r="338" spans="1:13" s="45" customFormat="1" ht="13.25" customHeight="1" x14ac:dyDescent="0.3">
      <c r="A338" s="55">
        <v>46135</v>
      </c>
      <c r="B338" s="56" t="e">
        <v>#N/A</v>
      </c>
      <c r="C338" s="57">
        <v>10400032760</v>
      </c>
      <c r="D338" s="57">
        <v>110001292497</v>
      </c>
      <c r="E338" s="57">
        <v>110001292500</v>
      </c>
      <c r="F338" s="58" t="s">
        <v>108</v>
      </c>
      <c r="G338" s="59">
        <v>1998</v>
      </c>
      <c r="H338" s="60">
        <v>46136</v>
      </c>
      <c r="I338" s="55">
        <v>46135</v>
      </c>
      <c r="J338" s="57">
        <v>1998</v>
      </c>
      <c r="K338" s="4">
        <v>0</v>
      </c>
      <c r="L338" s="62"/>
      <c r="M338" s="63"/>
    </row>
    <row r="339" spans="1:13" s="45" customFormat="1" ht="13.25" customHeight="1" x14ac:dyDescent="0.3">
      <c r="A339" s="55">
        <v>46135</v>
      </c>
      <c r="B339" s="56">
        <v>10880038224</v>
      </c>
      <c r="C339" s="57">
        <v>10880038224</v>
      </c>
      <c r="D339" s="57">
        <v>110001292509</v>
      </c>
      <c r="E339" s="57">
        <v>110001292509</v>
      </c>
      <c r="F339" s="58" t="s">
        <v>121</v>
      </c>
      <c r="G339" s="59">
        <v>600</v>
      </c>
      <c r="H339" s="60">
        <v>46138</v>
      </c>
      <c r="I339" s="55">
        <v>46135</v>
      </c>
      <c r="J339" s="57">
        <v>600</v>
      </c>
      <c r="K339" s="4">
        <v>0</v>
      </c>
      <c r="L339" s="62"/>
      <c r="M339" s="63"/>
    </row>
    <row r="340" spans="1:13" s="45" customFormat="1" ht="13.25" customHeight="1" x14ac:dyDescent="0.3">
      <c r="A340" s="55">
        <v>46135</v>
      </c>
      <c r="B340" s="56">
        <v>10400033234</v>
      </c>
      <c r="C340" s="57">
        <v>10400033234</v>
      </c>
      <c r="D340" s="57">
        <v>110001292509</v>
      </c>
      <c r="E340" s="57">
        <v>110001292510</v>
      </c>
      <c r="F340" s="58" t="s">
        <v>124</v>
      </c>
      <c r="G340" s="59">
        <v>600</v>
      </c>
      <c r="H340" s="60">
        <v>46136</v>
      </c>
      <c r="I340" s="55">
        <v>46135</v>
      </c>
      <c r="J340" s="57">
        <v>600</v>
      </c>
      <c r="K340" s="4">
        <v>0</v>
      </c>
      <c r="L340" s="62"/>
      <c r="M340" s="63"/>
    </row>
    <row r="341" spans="1:13" s="45" customFormat="1" ht="13.25" customHeight="1" x14ac:dyDescent="0.3">
      <c r="A341" s="55">
        <v>46135</v>
      </c>
      <c r="B341" s="56">
        <v>10400033456</v>
      </c>
      <c r="C341" s="57">
        <v>10400033456</v>
      </c>
      <c r="D341" s="57">
        <v>110001292509</v>
      </c>
      <c r="E341" s="57">
        <v>110001292511</v>
      </c>
      <c r="F341" s="58" t="s">
        <v>122</v>
      </c>
      <c r="G341" s="59">
        <v>600</v>
      </c>
      <c r="H341" s="60">
        <v>46138</v>
      </c>
      <c r="I341" s="55">
        <v>46135</v>
      </c>
      <c r="J341" s="57">
        <v>600</v>
      </c>
      <c r="K341" s="4">
        <v>0</v>
      </c>
      <c r="L341" s="62"/>
      <c r="M341" s="63"/>
    </row>
    <row r="342" spans="1:13" s="45" customFormat="1" ht="13.25" customHeight="1" x14ac:dyDescent="0.3">
      <c r="A342" s="55">
        <v>46135</v>
      </c>
      <c r="B342" s="56" t="e">
        <v>#N/A</v>
      </c>
      <c r="C342" s="57">
        <v>10400033457</v>
      </c>
      <c r="D342" s="57">
        <v>110001292509</v>
      </c>
      <c r="E342" s="57">
        <v>110001292512</v>
      </c>
      <c r="F342" s="58" t="s">
        <v>122</v>
      </c>
      <c r="G342" s="59">
        <v>600</v>
      </c>
      <c r="H342" s="60">
        <v>46136</v>
      </c>
      <c r="I342" s="55">
        <v>46135</v>
      </c>
      <c r="J342" s="57">
        <v>600</v>
      </c>
      <c r="K342" s="4">
        <v>0</v>
      </c>
      <c r="L342" s="62"/>
      <c r="M342" s="63"/>
    </row>
    <row r="343" spans="1:13" s="45" customFormat="1" ht="13.25" customHeight="1" x14ac:dyDescent="0.3">
      <c r="A343" s="55">
        <v>46135</v>
      </c>
      <c r="B343" s="56">
        <v>10880033911</v>
      </c>
      <c r="C343" s="57">
        <v>10880033911</v>
      </c>
      <c r="D343" s="57">
        <v>110001296268</v>
      </c>
      <c r="E343" s="57">
        <v>110001296268</v>
      </c>
      <c r="F343" s="58" t="s">
        <v>168</v>
      </c>
      <c r="G343" s="59">
        <v>300</v>
      </c>
      <c r="H343" s="60">
        <v>46138</v>
      </c>
      <c r="I343" s="55">
        <v>46135</v>
      </c>
      <c r="J343" s="57">
        <v>300</v>
      </c>
      <c r="K343" s="4">
        <v>0</v>
      </c>
      <c r="L343" s="62"/>
      <c r="M343" s="63"/>
    </row>
    <row r="344" spans="1:13" s="45" customFormat="1" ht="13.25" customHeight="1" x14ac:dyDescent="0.3">
      <c r="A344" s="55">
        <v>46135</v>
      </c>
      <c r="B344" s="56" t="e">
        <v>#N/A</v>
      </c>
      <c r="C344" s="57">
        <v>10400027723</v>
      </c>
      <c r="D344" s="57">
        <v>110001296268</v>
      </c>
      <c r="E344" s="57">
        <v>110001296269</v>
      </c>
      <c r="F344" s="58" t="s">
        <v>168</v>
      </c>
      <c r="G344" s="59">
        <v>300</v>
      </c>
      <c r="H344" s="60">
        <v>46136</v>
      </c>
      <c r="I344" s="55">
        <v>46135</v>
      </c>
      <c r="J344" s="57">
        <v>300</v>
      </c>
      <c r="K344" s="4">
        <v>0</v>
      </c>
      <c r="L344" s="62"/>
      <c r="M344" s="63"/>
    </row>
    <row r="345" spans="1:13" s="45" customFormat="1" ht="13.25" customHeight="1" x14ac:dyDescent="0.3">
      <c r="A345" s="55">
        <v>46135</v>
      </c>
      <c r="B345" s="56">
        <v>10880036767</v>
      </c>
      <c r="C345" s="57">
        <v>10880036767</v>
      </c>
      <c r="D345" s="57">
        <v>110001296296</v>
      </c>
      <c r="E345" s="57">
        <v>110001296296</v>
      </c>
      <c r="F345" s="58" t="s">
        <v>204</v>
      </c>
      <c r="G345" s="59">
        <v>200</v>
      </c>
      <c r="H345" s="60">
        <v>46138</v>
      </c>
      <c r="I345" s="55">
        <v>46135</v>
      </c>
      <c r="J345" s="57">
        <v>200</v>
      </c>
      <c r="K345" s="4">
        <v>0</v>
      </c>
      <c r="L345" s="62"/>
      <c r="M345" s="63"/>
    </row>
    <row r="346" spans="1:13" s="45" customFormat="1" ht="13.25" customHeight="1" x14ac:dyDescent="0.3">
      <c r="A346" s="55">
        <v>46135</v>
      </c>
      <c r="B346" s="56" t="e">
        <v>#N/A</v>
      </c>
      <c r="C346" s="57">
        <v>10400031491</v>
      </c>
      <c r="D346" s="57">
        <v>110001296296</v>
      </c>
      <c r="E346" s="57">
        <v>110001296297</v>
      </c>
      <c r="F346" s="58" t="s">
        <v>354</v>
      </c>
      <c r="G346" s="59">
        <v>200</v>
      </c>
      <c r="H346" s="60">
        <v>46136</v>
      </c>
      <c r="I346" s="55">
        <v>46135</v>
      </c>
      <c r="J346" s="57">
        <v>200</v>
      </c>
      <c r="K346" s="4">
        <v>0</v>
      </c>
      <c r="L346" s="62"/>
      <c r="M346" s="63"/>
    </row>
    <row r="347" spans="1:13" s="45" customFormat="1" ht="13.25" customHeight="1" x14ac:dyDescent="0.3">
      <c r="A347" s="55">
        <v>46135</v>
      </c>
      <c r="B347" s="56">
        <v>10880030784</v>
      </c>
      <c r="C347" s="57">
        <v>10880030784</v>
      </c>
      <c r="D347" s="57">
        <v>110001299841</v>
      </c>
      <c r="E347" s="57">
        <v>110001299841</v>
      </c>
      <c r="F347" s="58" t="s">
        <v>61</v>
      </c>
      <c r="G347" s="59">
        <v>200</v>
      </c>
      <c r="H347" s="60">
        <v>46138</v>
      </c>
      <c r="I347" s="55">
        <v>46135</v>
      </c>
      <c r="J347" s="57">
        <v>200</v>
      </c>
      <c r="K347" s="4">
        <v>0</v>
      </c>
      <c r="L347" s="62"/>
      <c r="M347" s="63"/>
    </row>
    <row r="348" spans="1:13" s="45" customFormat="1" ht="13.25" customHeight="1" x14ac:dyDescent="0.3">
      <c r="A348" s="55">
        <v>46135</v>
      </c>
      <c r="B348" s="56" t="e">
        <v>#N/A</v>
      </c>
      <c r="C348" s="57">
        <v>10400024571</v>
      </c>
      <c r="D348" s="57">
        <v>110001299841</v>
      </c>
      <c r="E348" s="57">
        <v>110001299842</v>
      </c>
      <c r="F348" s="58" t="s">
        <v>61</v>
      </c>
      <c r="G348" s="59">
        <v>200</v>
      </c>
      <c r="H348" s="60">
        <v>46136</v>
      </c>
      <c r="I348" s="55">
        <v>46135</v>
      </c>
      <c r="J348" s="57">
        <v>200</v>
      </c>
      <c r="K348" s="4">
        <v>0</v>
      </c>
      <c r="L348" s="62"/>
      <c r="M348" s="63"/>
    </row>
    <row r="349" spans="1:13" s="45" customFormat="1" ht="13.25" customHeight="1" x14ac:dyDescent="0.3">
      <c r="A349" s="55">
        <v>46135</v>
      </c>
      <c r="B349" s="56">
        <v>10880035167</v>
      </c>
      <c r="C349" s="57">
        <v>10880035167</v>
      </c>
      <c r="D349" s="57">
        <v>110001299865</v>
      </c>
      <c r="E349" s="57">
        <v>110001299865</v>
      </c>
      <c r="F349" s="58" t="s">
        <v>218</v>
      </c>
      <c r="G349" s="59">
        <v>6000</v>
      </c>
      <c r="H349" s="60">
        <v>46138</v>
      </c>
      <c r="I349" s="55">
        <v>46135</v>
      </c>
      <c r="J349" s="57">
        <v>6000</v>
      </c>
      <c r="K349" s="4">
        <v>0</v>
      </c>
      <c r="L349" s="62"/>
      <c r="M349" s="63"/>
    </row>
    <row r="350" spans="1:13" s="45" customFormat="1" ht="13.25" customHeight="1" x14ac:dyDescent="0.3">
      <c r="A350" s="55">
        <v>46135</v>
      </c>
      <c r="B350" s="56" t="e">
        <v>#N/A</v>
      </c>
      <c r="C350" s="57">
        <v>10400029304</v>
      </c>
      <c r="D350" s="57">
        <v>110001299865</v>
      </c>
      <c r="E350" s="57">
        <v>110001299866</v>
      </c>
      <c r="F350" s="58" t="s">
        <v>218</v>
      </c>
      <c r="G350" s="59">
        <v>6000</v>
      </c>
      <c r="H350" s="60">
        <v>46136</v>
      </c>
      <c r="I350" s="55">
        <v>46135</v>
      </c>
      <c r="J350" s="57">
        <v>6000</v>
      </c>
      <c r="K350" s="4">
        <v>0</v>
      </c>
      <c r="L350" s="62"/>
      <c r="M350" s="63"/>
    </row>
    <row r="351" spans="1:13" s="45" customFormat="1" ht="13.25" customHeight="1" x14ac:dyDescent="0.3">
      <c r="A351" s="55">
        <v>46135</v>
      </c>
      <c r="B351" s="56">
        <v>10880037382</v>
      </c>
      <c r="C351" s="57">
        <v>10880037382</v>
      </c>
      <c r="D351" s="57">
        <v>110001299923</v>
      </c>
      <c r="E351" s="57">
        <v>110001299923</v>
      </c>
      <c r="F351" s="58" t="s">
        <v>94</v>
      </c>
      <c r="G351" s="59">
        <v>6800</v>
      </c>
      <c r="H351" s="60">
        <v>46138</v>
      </c>
      <c r="I351" s="55">
        <v>46135</v>
      </c>
      <c r="J351" s="57">
        <v>6800</v>
      </c>
      <c r="K351" s="4">
        <v>0</v>
      </c>
      <c r="L351" s="62"/>
      <c r="M351" s="63"/>
    </row>
    <row r="352" spans="1:13" s="45" customFormat="1" ht="13.25" customHeight="1" x14ac:dyDescent="0.3">
      <c r="A352" s="55">
        <v>46135</v>
      </c>
      <c r="B352" s="56" t="e">
        <v>#N/A</v>
      </c>
      <c r="C352" s="57">
        <v>10400032323</v>
      </c>
      <c r="D352" s="57">
        <v>110001299923</v>
      </c>
      <c r="E352" s="57">
        <v>110001299924</v>
      </c>
      <c r="F352" s="58" t="s">
        <v>355</v>
      </c>
      <c r="G352" s="59">
        <v>6800</v>
      </c>
      <c r="H352" s="60">
        <v>46136</v>
      </c>
      <c r="I352" s="55">
        <v>46135</v>
      </c>
      <c r="J352" s="57">
        <v>6800</v>
      </c>
      <c r="K352" s="4">
        <v>0</v>
      </c>
      <c r="L352" s="62"/>
      <c r="M352" s="63"/>
    </row>
    <row r="353" spans="1:13" s="45" customFormat="1" ht="13.25" customHeight="1" x14ac:dyDescent="0.3">
      <c r="A353" s="55">
        <v>46135</v>
      </c>
      <c r="B353" s="56">
        <v>10880038441</v>
      </c>
      <c r="C353" s="57">
        <v>10880038441</v>
      </c>
      <c r="D353" s="57">
        <v>110001299957</v>
      </c>
      <c r="E353" s="57">
        <v>110001299957</v>
      </c>
      <c r="F353" s="58" t="s">
        <v>129</v>
      </c>
      <c r="G353" s="59">
        <v>600</v>
      </c>
      <c r="H353" s="60">
        <v>46138</v>
      </c>
      <c r="I353" s="55">
        <v>46135</v>
      </c>
      <c r="J353" s="57">
        <v>600</v>
      </c>
      <c r="K353" s="4">
        <v>0</v>
      </c>
      <c r="L353" s="62"/>
      <c r="M353" s="63"/>
    </row>
    <row r="354" spans="1:13" s="45" customFormat="1" ht="13.25" customHeight="1" x14ac:dyDescent="0.3">
      <c r="A354" s="55">
        <v>46135</v>
      </c>
      <c r="B354" s="56">
        <v>10400033234</v>
      </c>
      <c r="C354" s="57">
        <v>10400033234</v>
      </c>
      <c r="D354" s="57">
        <v>110001299957</v>
      </c>
      <c r="E354" s="57">
        <v>110001299958</v>
      </c>
      <c r="F354" s="58" t="s">
        <v>124</v>
      </c>
      <c r="G354" s="59">
        <v>600</v>
      </c>
      <c r="H354" s="60">
        <v>46136</v>
      </c>
      <c r="I354" s="55">
        <v>46135</v>
      </c>
      <c r="J354" s="57">
        <v>600</v>
      </c>
      <c r="K354" s="4">
        <v>0</v>
      </c>
      <c r="L354" s="62"/>
      <c r="M354" s="63"/>
    </row>
    <row r="355" spans="1:13" s="45" customFormat="1" ht="13.25" customHeight="1" x14ac:dyDescent="0.3">
      <c r="A355" s="55">
        <v>46135</v>
      </c>
      <c r="B355" s="56">
        <v>10400033741</v>
      </c>
      <c r="C355" s="57">
        <v>10400033741</v>
      </c>
      <c r="D355" s="57">
        <v>110001299957</v>
      </c>
      <c r="E355" s="57">
        <v>110001299959</v>
      </c>
      <c r="F355" s="58" t="s">
        <v>131</v>
      </c>
      <c r="G355" s="59">
        <v>600</v>
      </c>
      <c r="H355" s="60">
        <v>46138</v>
      </c>
      <c r="I355" s="55">
        <v>46135</v>
      </c>
      <c r="J355" s="57">
        <v>600</v>
      </c>
      <c r="K355" s="4">
        <v>0</v>
      </c>
      <c r="L355" s="62"/>
      <c r="M355" s="63"/>
    </row>
    <row r="356" spans="1:13" s="45" customFormat="1" ht="13.25" customHeight="1" x14ac:dyDescent="0.3">
      <c r="A356" s="55">
        <v>46135</v>
      </c>
      <c r="B356" s="56" t="e">
        <v>#N/A</v>
      </c>
      <c r="C356" s="57">
        <v>10400033742</v>
      </c>
      <c r="D356" s="57">
        <v>110001299957</v>
      </c>
      <c r="E356" s="57">
        <v>110001299960</v>
      </c>
      <c r="F356" s="58" t="s">
        <v>131</v>
      </c>
      <c r="G356" s="59">
        <v>600</v>
      </c>
      <c r="H356" s="60">
        <v>46136</v>
      </c>
      <c r="I356" s="55">
        <v>46135</v>
      </c>
      <c r="J356" s="57">
        <v>600</v>
      </c>
      <c r="K356" s="4">
        <v>0</v>
      </c>
      <c r="L356" s="62"/>
      <c r="M356" s="63"/>
    </row>
    <row r="357" spans="1:13" s="45" customFormat="1" ht="13.25" customHeight="1" x14ac:dyDescent="0.3">
      <c r="A357" s="55">
        <v>46135</v>
      </c>
      <c r="B357" s="56">
        <v>10880036481</v>
      </c>
      <c r="C357" s="57">
        <v>10880036481</v>
      </c>
      <c r="D357" s="57">
        <v>110001300035</v>
      </c>
      <c r="E357" s="57">
        <v>110001300035</v>
      </c>
      <c r="F357" s="58" t="s">
        <v>39</v>
      </c>
      <c r="G357" s="59">
        <v>350</v>
      </c>
      <c r="H357" s="60">
        <v>46140</v>
      </c>
      <c r="I357" s="55">
        <v>46135</v>
      </c>
      <c r="J357" s="57">
        <v>350</v>
      </c>
      <c r="K357" s="4">
        <v>0</v>
      </c>
      <c r="L357" s="62"/>
      <c r="M357" s="63"/>
    </row>
    <row r="358" spans="1:13" s="45" customFormat="1" ht="13.25" customHeight="1" x14ac:dyDescent="0.3">
      <c r="A358" s="55">
        <v>46135</v>
      </c>
      <c r="B358" s="56">
        <v>10400031101</v>
      </c>
      <c r="C358" s="57">
        <v>10400031101</v>
      </c>
      <c r="D358" s="57">
        <v>110001300035</v>
      </c>
      <c r="E358" s="57">
        <v>110001300036</v>
      </c>
      <c r="F358" s="58" t="s">
        <v>37</v>
      </c>
      <c r="G358" s="59">
        <v>350</v>
      </c>
      <c r="H358" s="60">
        <v>46139</v>
      </c>
      <c r="I358" s="55">
        <v>46135</v>
      </c>
      <c r="J358" s="57">
        <v>350</v>
      </c>
      <c r="K358" s="4">
        <v>0</v>
      </c>
      <c r="L358" s="62"/>
      <c r="M358" s="63"/>
    </row>
    <row r="359" spans="1:13" s="45" customFormat="1" ht="13.25" customHeight="1" x14ac:dyDescent="0.3">
      <c r="A359" s="55">
        <v>46135</v>
      </c>
      <c r="B359" s="56">
        <v>10400029072</v>
      </c>
      <c r="C359" s="57">
        <v>10400029072</v>
      </c>
      <c r="D359" s="57">
        <v>110001300035</v>
      </c>
      <c r="E359" s="57">
        <v>110001300037</v>
      </c>
      <c r="F359" s="58" t="s">
        <v>24</v>
      </c>
      <c r="G359" s="59">
        <v>350</v>
      </c>
      <c r="H359" s="60">
        <v>46138</v>
      </c>
      <c r="I359" s="55">
        <v>46135</v>
      </c>
      <c r="J359" s="57">
        <v>350</v>
      </c>
      <c r="K359" s="4">
        <v>0</v>
      </c>
      <c r="L359" s="62"/>
      <c r="M359" s="63"/>
    </row>
    <row r="360" spans="1:13" s="45" customFormat="1" ht="13.25" customHeight="1" x14ac:dyDescent="0.3">
      <c r="A360" s="55">
        <v>46135</v>
      </c>
      <c r="B360" s="56" t="e">
        <v>#N/A</v>
      </c>
      <c r="C360" s="57">
        <v>10400031100</v>
      </c>
      <c r="D360" s="57">
        <v>110001300035</v>
      </c>
      <c r="E360" s="57">
        <v>110001300038</v>
      </c>
      <c r="F360" s="58" t="s">
        <v>37</v>
      </c>
      <c r="G360" s="59">
        <v>350</v>
      </c>
      <c r="H360" s="60">
        <v>46137</v>
      </c>
      <c r="I360" s="55">
        <v>46135</v>
      </c>
      <c r="J360" s="57">
        <v>350</v>
      </c>
      <c r="K360" s="4">
        <v>0</v>
      </c>
      <c r="L360" s="62"/>
      <c r="M360" s="63"/>
    </row>
    <row r="361" spans="1:13" s="45" customFormat="1" ht="13.25" customHeight="1" x14ac:dyDescent="0.3">
      <c r="A361" s="55">
        <v>46135</v>
      </c>
      <c r="B361" s="56" t="e">
        <v>#N/A</v>
      </c>
      <c r="C361" s="57">
        <v>10400029073</v>
      </c>
      <c r="D361" s="57">
        <v>110001300035</v>
      </c>
      <c r="E361" s="57">
        <v>110001300039</v>
      </c>
      <c r="F361" s="58" t="s">
        <v>24</v>
      </c>
      <c r="G361" s="59">
        <v>350</v>
      </c>
      <c r="H361" s="60">
        <v>46136</v>
      </c>
      <c r="I361" s="55">
        <v>46135</v>
      </c>
      <c r="J361" s="57">
        <v>350</v>
      </c>
      <c r="K361" s="4">
        <v>0</v>
      </c>
      <c r="L361" s="62"/>
      <c r="M361" s="63"/>
    </row>
    <row r="362" spans="1:13" s="45" customFormat="1" ht="13.25" customHeight="1" x14ac:dyDescent="0.3">
      <c r="A362" s="55">
        <v>46135</v>
      </c>
      <c r="B362" s="56">
        <v>10880037724</v>
      </c>
      <c r="C362" s="57">
        <v>10880037724</v>
      </c>
      <c r="D362" s="57">
        <v>110001301134</v>
      </c>
      <c r="E362" s="57">
        <v>110001301134</v>
      </c>
      <c r="F362" s="58" t="s">
        <v>255</v>
      </c>
      <c r="G362" s="59">
        <v>1008</v>
      </c>
      <c r="H362" s="60">
        <v>46138</v>
      </c>
      <c r="I362" s="55">
        <v>46135</v>
      </c>
      <c r="J362" s="57">
        <v>1008</v>
      </c>
      <c r="K362" s="4">
        <v>0</v>
      </c>
      <c r="L362" s="62"/>
      <c r="M362" s="63"/>
    </row>
    <row r="363" spans="1:13" s="45" customFormat="1" ht="13.25" customHeight="1" x14ac:dyDescent="0.3">
      <c r="A363" s="55">
        <v>46135</v>
      </c>
      <c r="B363" s="56" t="e">
        <v>#N/A</v>
      </c>
      <c r="C363" s="57">
        <v>10400032805</v>
      </c>
      <c r="D363" s="57">
        <v>110001301134</v>
      </c>
      <c r="E363" s="57">
        <v>110001301135</v>
      </c>
      <c r="F363" s="58" t="s">
        <v>275</v>
      </c>
      <c r="G363" s="59">
        <v>1008</v>
      </c>
      <c r="H363" s="60">
        <v>46136</v>
      </c>
      <c r="I363" s="55">
        <v>46135</v>
      </c>
      <c r="J363" s="57">
        <v>1008</v>
      </c>
      <c r="K363" s="4">
        <v>0</v>
      </c>
      <c r="L363" s="62"/>
      <c r="M363" s="63"/>
    </row>
    <row r="364" spans="1:13" s="45" customFormat="1" ht="13.25" customHeight="1" x14ac:dyDescent="0.3">
      <c r="A364" s="55">
        <v>46135</v>
      </c>
      <c r="B364" s="56">
        <v>10880033585</v>
      </c>
      <c r="C364" s="57">
        <v>10880033585</v>
      </c>
      <c r="D364" s="57">
        <v>110001303003</v>
      </c>
      <c r="E364" s="57">
        <v>110001303003</v>
      </c>
      <c r="F364" s="58" t="s">
        <v>62</v>
      </c>
      <c r="G364" s="59">
        <v>1000</v>
      </c>
      <c r="H364" s="60">
        <v>46139</v>
      </c>
      <c r="I364" s="55">
        <v>46135</v>
      </c>
      <c r="J364" s="57">
        <v>1000</v>
      </c>
      <c r="K364" s="4">
        <v>0</v>
      </c>
      <c r="L364" s="62"/>
      <c r="M364" s="63"/>
    </row>
    <row r="365" spans="1:13" s="45" customFormat="1" ht="13.25" customHeight="1" x14ac:dyDescent="0.3">
      <c r="A365" s="55">
        <v>46135</v>
      </c>
      <c r="B365" s="56" t="e">
        <v>#N/A</v>
      </c>
      <c r="C365" s="57">
        <v>10400027390</v>
      </c>
      <c r="D365" s="57">
        <v>110001303003</v>
      </c>
      <c r="E365" s="57">
        <v>110001303004</v>
      </c>
      <c r="F365" s="58" t="s">
        <v>356</v>
      </c>
      <c r="G365" s="59">
        <v>1000</v>
      </c>
      <c r="H365" s="60">
        <v>46137</v>
      </c>
      <c r="I365" s="55">
        <v>46135</v>
      </c>
      <c r="J365" s="57">
        <v>1000</v>
      </c>
      <c r="K365" s="4">
        <v>0</v>
      </c>
      <c r="L365" s="62"/>
      <c r="M365" s="63"/>
    </row>
    <row r="366" spans="1:13" s="45" customFormat="1" ht="13.25" customHeight="1" x14ac:dyDescent="0.3">
      <c r="A366" s="55">
        <v>46135</v>
      </c>
      <c r="B366" s="56">
        <v>10880038239</v>
      </c>
      <c r="C366" s="57">
        <v>10880038239</v>
      </c>
      <c r="D366" s="57">
        <v>110001303173</v>
      </c>
      <c r="E366" s="57">
        <v>110001303173</v>
      </c>
      <c r="F366" s="58" t="s">
        <v>127</v>
      </c>
      <c r="G366" s="59">
        <v>1800</v>
      </c>
      <c r="H366" s="60">
        <v>46138</v>
      </c>
      <c r="I366" s="55">
        <v>46135</v>
      </c>
      <c r="J366" s="57">
        <v>1800</v>
      </c>
      <c r="K366" s="4">
        <v>0</v>
      </c>
      <c r="L366" s="62"/>
      <c r="M366" s="63"/>
    </row>
    <row r="367" spans="1:13" s="45" customFormat="1" ht="13.25" customHeight="1" x14ac:dyDescent="0.3">
      <c r="A367" s="55">
        <v>46135</v>
      </c>
      <c r="B367" s="56">
        <v>10400033234</v>
      </c>
      <c r="C367" s="57">
        <v>10400033234</v>
      </c>
      <c r="D367" s="57">
        <v>110001303173</v>
      </c>
      <c r="E367" s="57">
        <v>110001303174</v>
      </c>
      <c r="F367" s="58" t="s">
        <v>124</v>
      </c>
      <c r="G367" s="59">
        <v>1800</v>
      </c>
      <c r="H367" s="60">
        <v>46136</v>
      </c>
      <c r="I367" s="55">
        <v>46135</v>
      </c>
      <c r="J367" s="57">
        <v>1800</v>
      </c>
      <c r="K367" s="4">
        <v>0</v>
      </c>
      <c r="L367" s="62"/>
      <c r="M367" s="63"/>
    </row>
    <row r="368" spans="1:13" s="45" customFormat="1" ht="13.25" customHeight="1" x14ac:dyDescent="0.3">
      <c r="A368" s="55">
        <v>46135</v>
      </c>
      <c r="B368" s="56">
        <v>10400033482</v>
      </c>
      <c r="C368" s="57">
        <v>10400033482</v>
      </c>
      <c r="D368" s="57">
        <v>110001303173</v>
      </c>
      <c r="E368" s="57">
        <v>110001303175</v>
      </c>
      <c r="F368" s="58" t="s">
        <v>128</v>
      </c>
      <c r="G368" s="59">
        <v>1800</v>
      </c>
      <c r="H368" s="60">
        <v>46138</v>
      </c>
      <c r="I368" s="55">
        <v>46135</v>
      </c>
      <c r="J368" s="57">
        <v>1800</v>
      </c>
      <c r="K368" s="4">
        <v>0</v>
      </c>
      <c r="L368" s="62"/>
      <c r="M368" s="63"/>
    </row>
    <row r="369" spans="1:13" s="45" customFormat="1" ht="13.25" customHeight="1" x14ac:dyDescent="0.3">
      <c r="A369" s="55">
        <v>46135</v>
      </c>
      <c r="B369" s="56" t="e">
        <v>#N/A</v>
      </c>
      <c r="C369" s="57">
        <v>10400033481</v>
      </c>
      <c r="D369" s="57">
        <v>110001303173</v>
      </c>
      <c r="E369" s="57">
        <v>110001303176</v>
      </c>
      <c r="F369" s="58" t="s">
        <v>128</v>
      </c>
      <c r="G369" s="59">
        <v>1800</v>
      </c>
      <c r="H369" s="60">
        <v>46136</v>
      </c>
      <c r="I369" s="55">
        <v>46135</v>
      </c>
      <c r="J369" s="57">
        <v>1800</v>
      </c>
      <c r="K369" s="4">
        <v>0</v>
      </c>
      <c r="L369" s="62"/>
      <c r="M369" s="63"/>
    </row>
    <row r="370" spans="1:13" s="45" customFormat="1" ht="13.25" customHeight="1" x14ac:dyDescent="0.3">
      <c r="A370" s="55">
        <v>46135</v>
      </c>
      <c r="B370" s="56">
        <v>10880037615</v>
      </c>
      <c r="C370" s="57">
        <v>10880037615</v>
      </c>
      <c r="D370" s="57">
        <v>110001306751</v>
      </c>
      <c r="E370" s="57">
        <v>110001306751</v>
      </c>
      <c r="F370" s="58" t="s">
        <v>203</v>
      </c>
      <c r="G370" s="59">
        <v>1000</v>
      </c>
      <c r="H370" s="60">
        <v>46138</v>
      </c>
      <c r="I370" s="55">
        <v>46135</v>
      </c>
      <c r="J370" s="57">
        <v>1000</v>
      </c>
      <c r="K370" s="4">
        <v>0</v>
      </c>
      <c r="L370" s="62"/>
      <c r="M370" s="63"/>
    </row>
    <row r="371" spans="1:13" s="45" customFormat="1" ht="13.25" customHeight="1" x14ac:dyDescent="0.3">
      <c r="A371" s="55">
        <v>46135</v>
      </c>
      <c r="B371" s="56" t="e">
        <v>#N/A</v>
      </c>
      <c r="C371" s="57">
        <v>10400032630</v>
      </c>
      <c r="D371" s="57">
        <v>110001306751</v>
      </c>
      <c r="E371" s="57">
        <v>110001306752</v>
      </c>
      <c r="F371" s="58" t="s">
        <v>349</v>
      </c>
      <c r="G371" s="59">
        <v>1000</v>
      </c>
      <c r="H371" s="60">
        <v>46136</v>
      </c>
      <c r="I371" s="55">
        <v>46135</v>
      </c>
      <c r="J371" s="57">
        <v>1000</v>
      </c>
      <c r="K371" s="4">
        <v>0</v>
      </c>
      <c r="L371" s="62"/>
      <c r="M371" s="63"/>
    </row>
    <row r="372" spans="1:13" s="45" customFormat="1" ht="13.25" customHeight="1" x14ac:dyDescent="0.3">
      <c r="A372" s="55">
        <v>46135</v>
      </c>
      <c r="B372" s="56">
        <v>10880037263</v>
      </c>
      <c r="C372" s="57">
        <v>10880037263</v>
      </c>
      <c r="D372" s="57">
        <v>110001307032</v>
      </c>
      <c r="E372" s="57">
        <v>110001307032</v>
      </c>
      <c r="F372" s="58" t="s">
        <v>205</v>
      </c>
      <c r="G372" s="59">
        <v>200</v>
      </c>
      <c r="H372" s="60">
        <v>46139</v>
      </c>
      <c r="I372" s="55">
        <v>46135</v>
      </c>
      <c r="J372" s="57">
        <v>200</v>
      </c>
      <c r="K372" s="4">
        <v>0</v>
      </c>
      <c r="L372" s="62"/>
      <c r="M372" s="63"/>
    </row>
    <row r="373" spans="1:13" s="45" customFormat="1" ht="13.25" customHeight="1" x14ac:dyDescent="0.3">
      <c r="A373" s="55">
        <v>46135</v>
      </c>
      <c r="B373" s="56" t="e">
        <v>#N/A</v>
      </c>
      <c r="C373" s="57">
        <v>10400032181</v>
      </c>
      <c r="D373" s="57">
        <v>110001307032</v>
      </c>
      <c r="E373" s="57">
        <v>110001307033</v>
      </c>
      <c r="F373" s="58" t="s">
        <v>357</v>
      </c>
      <c r="G373" s="59">
        <v>200</v>
      </c>
      <c r="H373" s="60">
        <v>46137</v>
      </c>
      <c r="I373" s="55">
        <v>46135</v>
      </c>
      <c r="J373" s="57">
        <v>200</v>
      </c>
      <c r="K373" s="4">
        <v>0</v>
      </c>
      <c r="L373" s="62"/>
      <c r="M373" s="63"/>
    </row>
    <row r="374" spans="1:13" s="45" customFormat="1" ht="13.25" customHeight="1" x14ac:dyDescent="0.3">
      <c r="A374" s="55">
        <v>46135</v>
      </c>
      <c r="B374" s="56">
        <v>10880037503</v>
      </c>
      <c r="C374" s="57">
        <v>10880037503</v>
      </c>
      <c r="D374" s="57">
        <v>110001307379</v>
      </c>
      <c r="E374" s="57">
        <v>110001307379</v>
      </c>
      <c r="F374" s="58" t="s">
        <v>245</v>
      </c>
      <c r="G374" s="59">
        <v>2500</v>
      </c>
      <c r="H374" s="60">
        <v>46138</v>
      </c>
      <c r="I374" s="55">
        <v>46135</v>
      </c>
      <c r="J374" s="57">
        <v>2500</v>
      </c>
      <c r="K374" s="4">
        <v>0</v>
      </c>
      <c r="L374" s="62"/>
      <c r="M374" s="63"/>
    </row>
    <row r="375" spans="1:13" s="45" customFormat="1" ht="13.25" customHeight="1" x14ac:dyDescent="0.3">
      <c r="A375" s="55">
        <v>46135</v>
      </c>
      <c r="B375" s="56" t="e">
        <v>#N/A</v>
      </c>
      <c r="C375" s="57">
        <v>10400032495</v>
      </c>
      <c r="D375" s="57">
        <v>110001307379</v>
      </c>
      <c r="E375" s="57">
        <v>110001307380</v>
      </c>
      <c r="F375" s="58" t="s">
        <v>338</v>
      </c>
      <c r="G375" s="59">
        <v>2500</v>
      </c>
      <c r="H375" s="60">
        <v>46136</v>
      </c>
      <c r="I375" s="55">
        <v>46135</v>
      </c>
      <c r="J375" s="57">
        <v>2500</v>
      </c>
      <c r="K375" s="4">
        <v>0</v>
      </c>
      <c r="L375" s="62"/>
      <c r="M375" s="63"/>
    </row>
    <row r="376" spans="1:13" s="45" customFormat="1" ht="13.25" customHeight="1" x14ac:dyDescent="0.3">
      <c r="A376" s="55">
        <v>46135</v>
      </c>
      <c r="B376" s="56">
        <v>10880019682</v>
      </c>
      <c r="C376" s="57">
        <v>10880019682</v>
      </c>
      <c r="D376" s="57">
        <v>110001307997</v>
      </c>
      <c r="E376" s="57">
        <v>110001307997</v>
      </c>
      <c r="F376" s="58" t="s">
        <v>152</v>
      </c>
      <c r="G376" s="59">
        <v>500</v>
      </c>
      <c r="H376" s="60">
        <v>46137</v>
      </c>
      <c r="I376" s="55">
        <v>46135</v>
      </c>
      <c r="J376" s="57">
        <v>500</v>
      </c>
      <c r="K376" s="4">
        <v>0</v>
      </c>
      <c r="L376" s="62"/>
      <c r="M376" s="63"/>
    </row>
    <row r="377" spans="1:13" s="45" customFormat="1" ht="13.25" customHeight="1" x14ac:dyDescent="0.3">
      <c r="A377" s="55">
        <v>46135</v>
      </c>
      <c r="B377" s="56" t="e">
        <v>#N/A</v>
      </c>
      <c r="C377" s="57">
        <v>10400019082</v>
      </c>
      <c r="D377" s="57">
        <v>110001307997</v>
      </c>
      <c r="E377" s="57">
        <v>110001307998</v>
      </c>
      <c r="F377" s="58" t="s">
        <v>152</v>
      </c>
      <c r="G377" s="59">
        <v>500</v>
      </c>
      <c r="H377" s="60">
        <v>46135</v>
      </c>
      <c r="I377" s="55">
        <v>46135</v>
      </c>
      <c r="J377" s="57">
        <v>500</v>
      </c>
      <c r="K377" s="4">
        <v>0</v>
      </c>
      <c r="L377" s="62"/>
      <c r="M377" s="63"/>
    </row>
    <row r="378" spans="1:13" s="45" customFormat="1" ht="13.25" customHeight="1" x14ac:dyDescent="0.3">
      <c r="A378" s="55">
        <v>46135</v>
      </c>
      <c r="B378" s="56">
        <v>10880036134</v>
      </c>
      <c r="C378" s="57">
        <v>10880036134</v>
      </c>
      <c r="D378" s="57">
        <v>110001309563</v>
      </c>
      <c r="E378" s="57">
        <v>110001309563</v>
      </c>
      <c r="F378" s="58" t="s">
        <v>34</v>
      </c>
      <c r="G378" s="59">
        <v>189</v>
      </c>
      <c r="H378" s="60">
        <v>46139</v>
      </c>
      <c r="I378" s="55">
        <v>46135</v>
      </c>
      <c r="J378" s="57">
        <v>189</v>
      </c>
      <c r="K378" s="4">
        <v>0</v>
      </c>
      <c r="L378" s="62"/>
      <c r="M378" s="63"/>
    </row>
    <row r="379" spans="1:13" s="45" customFormat="1" ht="13.25" customHeight="1" x14ac:dyDescent="0.3">
      <c r="A379" s="55">
        <v>46135</v>
      </c>
      <c r="B379" s="56">
        <v>10400030639</v>
      </c>
      <c r="C379" s="57">
        <v>10400030639</v>
      </c>
      <c r="D379" s="57">
        <v>110001309563</v>
      </c>
      <c r="E379" s="57">
        <v>110001309564</v>
      </c>
      <c r="F379" s="58" t="s">
        <v>31</v>
      </c>
      <c r="G379" s="59">
        <v>189</v>
      </c>
      <c r="H379" s="60">
        <v>46138</v>
      </c>
      <c r="I379" s="55">
        <v>46135</v>
      </c>
      <c r="J379" s="57">
        <v>189</v>
      </c>
      <c r="K379" s="4">
        <v>0</v>
      </c>
      <c r="L379" s="62"/>
      <c r="M379" s="63"/>
    </row>
    <row r="380" spans="1:13" s="45" customFormat="1" ht="13.25" customHeight="1" x14ac:dyDescent="0.3">
      <c r="A380" s="55">
        <v>46135</v>
      </c>
      <c r="B380" s="56">
        <v>10400029072</v>
      </c>
      <c r="C380" s="57">
        <v>10400029072</v>
      </c>
      <c r="D380" s="57">
        <v>110001309563</v>
      </c>
      <c r="E380" s="57">
        <v>110001309565</v>
      </c>
      <c r="F380" s="58" t="s">
        <v>24</v>
      </c>
      <c r="G380" s="59">
        <v>189</v>
      </c>
      <c r="H380" s="60">
        <v>46137</v>
      </c>
      <c r="I380" s="55">
        <v>46135</v>
      </c>
      <c r="J380" s="57">
        <v>189</v>
      </c>
      <c r="K380" s="4">
        <v>0</v>
      </c>
      <c r="L380" s="62"/>
      <c r="M380" s="63"/>
    </row>
    <row r="381" spans="1:13" s="45" customFormat="1" ht="13.25" customHeight="1" x14ac:dyDescent="0.3">
      <c r="A381" s="55">
        <v>46135</v>
      </c>
      <c r="B381" s="56" t="e">
        <v>#N/A</v>
      </c>
      <c r="C381" s="57">
        <v>10400030640</v>
      </c>
      <c r="D381" s="57">
        <v>110001309563</v>
      </c>
      <c r="E381" s="57">
        <v>110001309566</v>
      </c>
      <c r="F381" s="58" t="s">
        <v>31</v>
      </c>
      <c r="G381" s="59">
        <v>189</v>
      </c>
      <c r="H381" s="60">
        <v>46136</v>
      </c>
      <c r="I381" s="55">
        <v>46135</v>
      </c>
      <c r="J381" s="57">
        <v>189</v>
      </c>
      <c r="K381" s="4">
        <v>0</v>
      </c>
      <c r="L381" s="62"/>
      <c r="M381" s="63"/>
    </row>
    <row r="382" spans="1:13" s="45" customFormat="1" ht="13.25" customHeight="1" x14ac:dyDescent="0.3">
      <c r="A382" s="55">
        <v>46135</v>
      </c>
      <c r="B382" s="56" t="e">
        <v>#N/A</v>
      </c>
      <c r="C382" s="57">
        <v>10400029073</v>
      </c>
      <c r="D382" s="57">
        <v>110001309563</v>
      </c>
      <c r="E382" s="57">
        <v>110001309567</v>
      </c>
      <c r="F382" s="58" t="s">
        <v>24</v>
      </c>
      <c r="G382" s="59">
        <v>189</v>
      </c>
      <c r="H382" s="60">
        <v>46135</v>
      </c>
      <c r="I382" s="55">
        <v>46135</v>
      </c>
      <c r="J382" s="57">
        <v>189</v>
      </c>
      <c r="K382" s="4">
        <v>0</v>
      </c>
      <c r="L382" s="62"/>
      <c r="M382" s="63"/>
    </row>
    <row r="383" spans="1:13" s="45" customFormat="1" ht="13.25" customHeight="1" x14ac:dyDescent="0.3">
      <c r="A383" s="55">
        <v>46135</v>
      </c>
      <c r="B383" s="56">
        <v>10880034197</v>
      </c>
      <c r="C383" s="57">
        <v>10880034197</v>
      </c>
      <c r="D383" s="57">
        <v>110001310949</v>
      </c>
      <c r="E383" s="57">
        <v>110001310949</v>
      </c>
      <c r="F383" s="58" t="s">
        <v>207</v>
      </c>
      <c r="G383" s="59">
        <v>200</v>
      </c>
      <c r="H383" s="60">
        <v>46140</v>
      </c>
      <c r="I383" s="55">
        <v>46135</v>
      </c>
      <c r="J383" s="57">
        <v>200</v>
      </c>
      <c r="K383" s="4">
        <v>0</v>
      </c>
      <c r="L383" s="62"/>
      <c r="M383" s="63"/>
    </row>
    <row r="384" spans="1:13" s="45" customFormat="1" ht="13.25" customHeight="1" x14ac:dyDescent="0.3">
      <c r="A384" s="55">
        <v>46135</v>
      </c>
      <c r="B384" s="56" t="e">
        <v>#N/A</v>
      </c>
      <c r="C384" s="57">
        <v>10400028098</v>
      </c>
      <c r="D384" s="57">
        <v>110001310949</v>
      </c>
      <c r="E384" s="57">
        <v>110001310950</v>
      </c>
      <c r="F384" s="58" t="s">
        <v>207</v>
      </c>
      <c r="G384" s="59">
        <v>200</v>
      </c>
      <c r="H384" s="60">
        <v>46138</v>
      </c>
      <c r="I384" s="55">
        <v>46135</v>
      </c>
      <c r="J384" s="57">
        <v>200</v>
      </c>
      <c r="K384" s="4">
        <v>0</v>
      </c>
      <c r="L384" s="62"/>
      <c r="M384" s="63"/>
    </row>
    <row r="385" spans="1:13" s="45" customFormat="1" ht="13.25" customHeight="1" x14ac:dyDescent="0.3">
      <c r="A385" s="55">
        <v>46135</v>
      </c>
      <c r="B385" s="56">
        <v>10880036205</v>
      </c>
      <c r="C385" s="57">
        <v>10880036205</v>
      </c>
      <c r="D385" s="57">
        <v>110001310991</v>
      </c>
      <c r="E385" s="57">
        <v>110001310991</v>
      </c>
      <c r="F385" s="58" t="s">
        <v>22</v>
      </c>
      <c r="G385" s="59">
        <v>500</v>
      </c>
      <c r="H385" s="60">
        <v>46139</v>
      </c>
      <c r="I385" s="55">
        <v>46135</v>
      </c>
      <c r="J385" s="57">
        <v>500</v>
      </c>
      <c r="K385" s="4">
        <v>0</v>
      </c>
      <c r="L385" s="62"/>
      <c r="M385" s="63"/>
    </row>
    <row r="386" spans="1:13" s="45" customFormat="1" ht="13.25" customHeight="1" x14ac:dyDescent="0.3">
      <c r="A386" s="55">
        <v>46135</v>
      </c>
      <c r="B386" s="56">
        <v>10400030735</v>
      </c>
      <c r="C386" s="57">
        <v>10400030735</v>
      </c>
      <c r="D386" s="57">
        <v>110001310991</v>
      </c>
      <c r="E386" s="57">
        <v>110001310992</v>
      </c>
      <c r="F386" s="58" t="s">
        <v>33</v>
      </c>
      <c r="G386" s="59">
        <v>500</v>
      </c>
      <c r="H386" s="60">
        <v>46138</v>
      </c>
      <c r="I386" s="55">
        <v>46135</v>
      </c>
      <c r="J386" s="57">
        <v>500</v>
      </c>
      <c r="K386" s="4">
        <v>0</v>
      </c>
      <c r="L386" s="62"/>
      <c r="M386" s="63"/>
    </row>
    <row r="387" spans="1:13" s="45" customFormat="1" ht="13.25" customHeight="1" x14ac:dyDescent="0.3">
      <c r="A387" s="55">
        <v>46135</v>
      </c>
      <c r="B387" s="56">
        <v>10400029072</v>
      </c>
      <c r="C387" s="57">
        <v>10400029072</v>
      </c>
      <c r="D387" s="57">
        <v>110001310991</v>
      </c>
      <c r="E387" s="57">
        <v>110001310993</v>
      </c>
      <c r="F387" s="58" t="s">
        <v>24</v>
      </c>
      <c r="G387" s="59">
        <v>500</v>
      </c>
      <c r="H387" s="60">
        <v>46137</v>
      </c>
      <c r="I387" s="55">
        <v>46135</v>
      </c>
      <c r="J387" s="57">
        <v>500</v>
      </c>
      <c r="K387" s="4">
        <v>0</v>
      </c>
      <c r="L387" s="62"/>
      <c r="M387" s="63"/>
    </row>
    <row r="388" spans="1:13" s="45" customFormat="1" ht="13.25" customHeight="1" x14ac:dyDescent="0.3">
      <c r="A388" s="55">
        <v>46135</v>
      </c>
      <c r="B388" s="56" t="e">
        <v>#N/A</v>
      </c>
      <c r="C388" s="57">
        <v>10400030736</v>
      </c>
      <c r="D388" s="57">
        <v>110001310991</v>
      </c>
      <c r="E388" s="57">
        <v>110001310994</v>
      </c>
      <c r="F388" s="58" t="s">
        <v>33</v>
      </c>
      <c r="G388" s="59">
        <v>500</v>
      </c>
      <c r="H388" s="60">
        <v>46136</v>
      </c>
      <c r="I388" s="55">
        <v>46135</v>
      </c>
      <c r="J388" s="57">
        <v>500</v>
      </c>
      <c r="K388" s="4">
        <v>0</v>
      </c>
      <c r="L388" s="62"/>
      <c r="M388" s="63"/>
    </row>
    <row r="389" spans="1:13" s="45" customFormat="1" ht="13.25" customHeight="1" x14ac:dyDescent="0.3">
      <c r="A389" s="55">
        <v>46135</v>
      </c>
      <c r="B389" s="56" t="e">
        <v>#N/A</v>
      </c>
      <c r="C389" s="57">
        <v>10400029073</v>
      </c>
      <c r="D389" s="57">
        <v>110001310991</v>
      </c>
      <c r="E389" s="57">
        <v>110001310995</v>
      </c>
      <c r="F389" s="58" t="s">
        <v>24</v>
      </c>
      <c r="G389" s="59">
        <v>500</v>
      </c>
      <c r="H389" s="60">
        <v>46135</v>
      </c>
      <c r="I389" s="55">
        <v>46135</v>
      </c>
      <c r="J389" s="57">
        <v>500</v>
      </c>
      <c r="K389" s="4">
        <v>0</v>
      </c>
      <c r="L389" s="62"/>
      <c r="M389" s="63"/>
    </row>
    <row r="390" spans="1:13" s="45" customFormat="1" ht="13.25" customHeight="1" x14ac:dyDescent="0.3">
      <c r="A390" s="55">
        <v>46135</v>
      </c>
      <c r="B390" s="56">
        <v>10880036493</v>
      </c>
      <c r="C390" s="57">
        <v>10880036493</v>
      </c>
      <c r="D390" s="57">
        <v>110001311013</v>
      </c>
      <c r="E390" s="57">
        <v>110001311013</v>
      </c>
      <c r="F390" s="58" t="s">
        <v>38</v>
      </c>
      <c r="G390" s="59">
        <v>600</v>
      </c>
      <c r="H390" s="60">
        <v>46140</v>
      </c>
      <c r="I390" s="55">
        <v>46135</v>
      </c>
      <c r="J390" s="57">
        <v>600</v>
      </c>
      <c r="K390" s="4">
        <v>0</v>
      </c>
      <c r="L390" s="62"/>
      <c r="M390" s="63"/>
    </row>
    <row r="391" spans="1:13" s="45" customFormat="1" ht="13.25" customHeight="1" x14ac:dyDescent="0.3">
      <c r="A391" s="55">
        <v>46135</v>
      </c>
      <c r="B391" s="56">
        <v>10400031117</v>
      </c>
      <c r="C391" s="57">
        <v>10400031117</v>
      </c>
      <c r="D391" s="57">
        <v>110001311013</v>
      </c>
      <c r="E391" s="57">
        <v>110001311014</v>
      </c>
      <c r="F391" s="58" t="s">
        <v>36</v>
      </c>
      <c r="G391" s="59">
        <v>600</v>
      </c>
      <c r="H391" s="60">
        <v>46139</v>
      </c>
      <c r="I391" s="55">
        <v>46135</v>
      </c>
      <c r="J391" s="57">
        <v>600</v>
      </c>
      <c r="K391" s="4">
        <v>0</v>
      </c>
      <c r="L391" s="62"/>
      <c r="M391" s="63"/>
    </row>
    <row r="392" spans="1:13" s="45" customFormat="1" ht="13.25" customHeight="1" x14ac:dyDescent="0.3">
      <c r="A392" s="55">
        <v>46135</v>
      </c>
      <c r="B392" s="56">
        <v>10400029072</v>
      </c>
      <c r="C392" s="57">
        <v>10400029072</v>
      </c>
      <c r="D392" s="57">
        <v>110001311013</v>
      </c>
      <c r="E392" s="57">
        <v>110001311015</v>
      </c>
      <c r="F392" s="58" t="s">
        <v>24</v>
      </c>
      <c r="G392" s="59">
        <v>600</v>
      </c>
      <c r="H392" s="60">
        <v>46138</v>
      </c>
      <c r="I392" s="55">
        <v>46135</v>
      </c>
      <c r="J392" s="57">
        <v>600</v>
      </c>
      <c r="K392" s="4">
        <v>0</v>
      </c>
      <c r="L392" s="62"/>
      <c r="M392" s="63"/>
    </row>
    <row r="393" spans="1:13" s="45" customFormat="1" ht="13.25" customHeight="1" x14ac:dyDescent="0.3">
      <c r="A393" s="55">
        <v>46135</v>
      </c>
      <c r="B393" s="56" t="e">
        <v>#N/A</v>
      </c>
      <c r="C393" s="57">
        <v>10400031115</v>
      </c>
      <c r="D393" s="57">
        <v>110001311013</v>
      </c>
      <c r="E393" s="57">
        <v>110001311016</v>
      </c>
      <c r="F393" s="58" t="s">
        <v>36</v>
      </c>
      <c r="G393" s="59">
        <v>600</v>
      </c>
      <c r="H393" s="60">
        <v>46137</v>
      </c>
      <c r="I393" s="55">
        <v>46135</v>
      </c>
      <c r="J393" s="57">
        <v>600</v>
      </c>
      <c r="K393" s="4">
        <v>0</v>
      </c>
      <c r="L393" s="62"/>
      <c r="M393" s="63"/>
    </row>
    <row r="394" spans="1:13" s="45" customFormat="1" ht="13.25" customHeight="1" x14ac:dyDescent="0.3">
      <c r="A394" s="55">
        <v>46135</v>
      </c>
      <c r="B394" s="56" t="e">
        <v>#N/A</v>
      </c>
      <c r="C394" s="57">
        <v>10400029073</v>
      </c>
      <c r="D394" s="57">
        <v>110001311013</v>
      </c>
      <c r="E394" s="57">
        <v>110001311017</v>
      </c>
      <c r="F394" s="58" t="s">
        <v>24</v>
      </c>
      <c r="G394" s="59">
        <v>600</v>
      </c>
      <c r="H394" s="60">
        <v>46136</v>
      </c>
      <c r="I394" s="55">
        <v>46135</v>
      </c>
      <c r="J394" s="57">
        <v>600</v>
      </c>
      <c r="K394" s="4">
        <v>0</v>
      </c>
      <c r="L394" s="62"/>
      <c r="M394" s="63"/>
    </row>
    <row r="395" spans="1:13" s="45" customFormat="1" ht="13.25" customHeight="1" x14ac:dyDescent="0.3">
      <c r="A395" s="55">
        <v>46135</v>
      </c>
      <c r="B395" s="56" t="e">
        <v>#N/A</v>
      </c>
      <c r="C395" s="57">
        <v>10880037265</v>
      </c>
      <c r="D395" s="57">
        <v>880000118966</v>
      </c>
      <c r="E395" s="57">
        <v>880000118966</v>
      </c>
      <c r="F395" s="58" t="s">
        <v>206</v>
      </c>
      <c r="G395" s="59">
        <v>90</v>
      </c>
      <c r="H395" s="60">
        <v>46140</v>
      </c>
      <c r="I395" s="55">
        <v>46135</v>
      </c>
      <c r="J395" s="57">
        <v>90</v>
      </c>
      <c r="K395" s="4">
        <v>0</v>
      </c>
      <c r="L395" s="62"/>
      <c r="M395" s="63"/>
    </row>
    <row r="396" spans="1:13" s="45" customFormat="1" ht="13.25" customHeight="1" x14ac:dyDescent="0.3">
      <c r="A396" s="55">
        <v>46135</v>
      </c>
      <c r="B396" s="56" t="e">
        <v>#N/A</v>
      </c>
      <c r="C396" s="57">
        <v>10400032182</v>
      </c>
      <c r="D396" s="57">
        <v>880000118966</v>
      </c>
      <c r="E396" s="57">
        <v>880000118967</v>
      </c>
      <c r="F396" s="58" t="s">
        <v>358</v>
      </c>
      <c r="G396" s="59">
        <v>90</v>
      </c>
      <c r="H396" s="60">
        <v>46138</v>
      </c>
      <c r="I396" s="55">
        <v>46135</v>
      </c>
      <c r="J396" s="57">
        <v>90</v>
      </c>
      <c r="K396" s="4">
        <v>0</v>
      </c>
      <c r="L396" s="62"/>
      <c r="M396" s="63"/>
    </row>
    <row r="397" spans="1:13" s="45" customFormat="1" ht="13.25" customHeight="1" x14ac:dyDescent="0.3">
      <c r="A397" s="55">
        <v>46136</v>
      </c>
      <c r="B397" s="56">
        <v>10880037380</v>
      </c>
      <c r="C397" s="57">
        <v>10880037380</v>
      </c>
      <c r="D397" s="57">
        <v>110001283754</v>
      </c>
      <c r="E397" s="57">
        <v>110001283754</v>
      </c>
      <c r="F397" s="58" t="s">
        <v>95</v>
      </c>
      <c r="G397" s="59">
        <v>3500</v>
      </c>
      <c r="H397" s="60">
        <v>46139</v>
      </c>
      <c r="I397" s="55">
        <v>46136</v>
      </c>
      <c r="J397" s="57">
        <v>3500</v>
      </c>
      <c r="K397" s="4">
        <v>0</v>
      </c>
      <c r="L397" s="62"/>
      <c r="M397" s="63"/>
    </row>
    <row r="398" spans="1:13" s="45" customFormat="1" ht="13.25" customHeight="1" x14ac:dyDescent="0.3">
      <c r="A398" s="55">
        <v>46136</v>
      </c>
      <c r="B398" s="56" t="e">
        <v>#N/A</v>
      </c>
      <c r="C398" s="57">
        <v>10400032321</v>
      </c>
      <c r="D398" s="57">
        <v>110001283754</v>
      </c>
      <c r="E398" s="57">
        <v>110001283755</v>
      </c>
      <c r="F398" s="58" t="s">
        <v>330</v>
      </c>
      <c r="G398" s="59">
        <v>3500</v>
      </c>
      <c r="H398" s="60">
        <v>46137</v>
      </c>
      <c r="I398" s="55">
        <v>46136</v>
      </c>
      <c r="J398" s="57">
        <v>3500</v>
      </c>
      <c r="K398" s="4">
        <v>0</v>
      </c>
      <c r="L398" s="62"/>
      <c r="M398" s="63"/>
    </row>
    <row r="399" spans="1:13" s="45" customFormat="1" ht="13.25" customHeight="1" x14ac:dyDescent="0.3">
      <c r="A399" s="55">
        <v>46136</v>
      </c>
      <c r="B399" s="56">
        <v>10880037022</v>
      </c>
      <c r="C399" s="57">
        <v>10880037022</v>
      </c>
      <c r="D399" s="57">
        <v>110001290308</v>
      </c>
      <c r="E399" s="57">
        <v>110001290308</v>
      </c>
      <c r="F399" s="58" t="s">
        <v>138</v>
      </c>
      <c r="G399" s="59">
        <v>2001</v>
      </c>
      <c r="H399" s="60">
        <v>46139</v>
      </c>
      <c r="I399" s="55">
        <v>46136</v>
      </c>
      <c r="J399" s="57">
        <v>2001</v>
      </c>
      <c r="K399" s="4">
        <v>0</v>
      </c>
      <c r="L399" s="62"/>
      <c r="M399" s="63"/>
    </row>
    <row r="400" spans="1:13" s="45" customFormat="1" ht="13.25" customHeight="1" x14ac:dyDescent="0.3">
      <c r="A400" s="55">
        <v>46136</v>
      </c>
      <c r="B400" s="56">
        <v>10400031867</v>
      </c>
      <c r="C400" s="57">
        <v>10400031867</v>
      </c>
      <c r="D400" s="57">
        <v>110001290308</v>
      </c>
      <c r="E400" s="57">
        <v>110001290309</v>
      </c>
      <c r="F400" s="58" t="s">
        <v>139</v>
      </c>
      <c r="G400" s="59">
        <v>2001</v>
      </c>
      <c r="H400" s="60">
        <v>46139</v>
      </c>
      <c r="I400" s="55">
        <v>46136</v>
      </c>
      <c r="J400" s="57">
        <v>2001</v>
      </c>
      <c r="K400" s="4">
        <v>0</v>
      </c>
      <c r="L400" s="62"/>
      <c r="M400" s="63"/>
    </row>
    <row r="401" spans="1:13" s="45" customFormat="1" ht="13.25" customHeight="1" x14ac:dyDescent="0.3">
      <c r="A401" s="55">
        <v>46136</v>
      </c>
      <c r="B401" s="56">
        <v>10400033234</v>
      </c>
      <c r="C401" s="57">
        <v>10400033234</v>
      </c>
      <c r="D401" s="57">
        <v>110001290308</v>
      </c>
      <c r="E401" s="57">
        <v>110001290310</v>
      </c>
      <c r="F401" s="58" t="s">
        <v>124</v>
      </c>
      <c r="G401" s="59">
        <v>2001</v>
      </c>
      <c r="H401" s="60">
        <v>46138</v>
      </c>
      <c r="I401" s="55">
        <v>46136</v>
      </c>
      <c r="J401" s="57">
        <v>2001</v>
      </c>
      <c r="K401" s="4">
        <v>0</v>
      </c>
      <c r="L401" s="62"/>
      <c r="M401" s="63"/>
    </row>
    <row r="402" spans="1:13" s="45" customFormat="1" ht="13.25" customHeight="1" x14ac:dyDescent="0.3">
      <c r="A402" s="55">
        <v>46136</v>
      </c>
      <c r="B402" s="56" t="e">
        <v>#N/A</v>
      </c>
      <c r="C402" s="57">
        <v>10400031865</v>
      </c>
      <c r="D402" s="57">
        <v>110001290308</v>
      </c>
      <c r="E402" s="57">
        <v>110001290311</v>
      </c>
      <c r="F402" s="58" t="s">
        <v>139</v>
      </c>
      <c r="G402" s="59">
        <v>2001</v>
      </c>
      <c r="H402" s="60">
        <v>46136</v>
      </c>
      <c r="I402" s="55">
        <v>46136</v>
      </c>
      <c r="J402" s="57">
        <v>2001</v>
      </c>
      <c r="K402" s="4">
        <v>0</v>
      </c>
      <c r="L402" s="62"/>
      <c r="M402" s="63"/>
    </row>
    <row r="403" spans="1:13" s="45" customFormat="1" ht="13.25" customHeight="1" x14ac:dyDescent="0.3">
      <c r="A403" s="55">
        <v>46136</v>
      </c>
      <c r="B403" s="56">
        <v>10880030519</v>
      </c>
      <c r="C403" s="57">
        <v>10880030519</v>
      </c>
      <c r="D403" s="57">
        <v>110001292198</v>
      </c>
      <c r="E403" s="57">
        <v>110001292198</v>
      </c>
      <c r="F403" s="58" t="s">
        <v>208</v>
      </c>
      <c r="G403" s="59">
        <v>800</v>
      </c>
      <c r="H403" s="60">
        <v>46140</v>
      </c>
      <c r="I403" s="55">
        <v>46136</v>
      </c>
      <c r="J403" s="57">
        <v>800</v>
      </c>
      <c r="K403" s="4">
        <v>0</v>
      </c>
      <c r="L403" s="62"/>
      <c r="M403" s="63"/>
    </row>
    <row r="404" spans="1:13" s="45" customFormat="1" ht="13.25" customHeight="1" x14ac:dyDescent="0.3">
      <c r="A404" s="55">
        <v>46136</v>
      </c>
      <c r="B404" s="56" t="e">
        <v>#N/A</v>
      </c>
      <c r="C404" s="57">
        <v>10400024278</v>
      </c>
      <c r="D404" s="57">
        <v>110001292198</v>
      </c>
      <c r="E404" s="57">
        <v>110001292199</v>
      </c>
      <c r="F404" s="58" t="s">
        <v>208</v>
      </c>
      <c r="G404" s="59">
        <v>800</v>
      </c>
      <c r="H404" s="60">
        <v>46138</v>
      </c>
      <c r="I404" s="55">
        <v>46136</v>
      </c>
      <c r="J404" s="57">
        <v>800</v>
      </c>
      <c r="K404" s="4">
        <v>0</v>
      </c>
      <c r="L404" s="62"/>
      <c r="M404" s="63"/>
    </row>
    <row r="405" spans="1:13" s="45" customFormat="1" ht="13.25" customHeight="1" x14ac:dyDescent="0.3">
      <c r="A405" s="55">
        <v>46136</v>
      </c>
      <c r="B405" s="56">
        <v>10880035754</v>
      </c>
      <c r="C405" s="57">
        <v>10880035754</v>
      </c>
      <c r="D405" s="57">
        <v>110001292275</v>
      </c>
      <c r="E405" s="57">
        <v>110001292275</v>
      </c>
      <c r="F405" s="58" t="s">
        <v>261</v>
      </c>
      <c r="G405" s="59">
        <v>30000</v>
      </c>
      <c r="H405" s="60">
        <v>46140</v>
      </c>
      <c r="I405" s="55">
        <v>46136</v>
      </c>
      <c r="J405" s="57">
        <v>30000</v>
      </c>
      <c r="K405" s="4">
        <v>0</v>
      </c>
      <c r="L405" s="62"/>
      <c r="M405" s="63"/>
    </row>
    <row r="406" spans="1:13" s="45" customFormat="1" ht="13.25" customHeight="1" x14ac:dyDescent="0.3">
      <c r="A406" s="55">
        <v>46136</v>
      </c>
      <c r="B406" s="56" t="e">
        <v>#N/A</v>
      </c>
      <c r="C406" s="57">
        <v>10400030142</v>
      </c>
      <c r="D406" s="57">
        <v>110001292275</v>
      </c>
      <c r="E406" s="57">
        <v>110001292276</v>
      </c>
      <c r="F406" s="58" t="s">
        <v>359</v>
      </c>
      <c r="G406" s="59">
        <v>30000</v>
      </c>
      <c r="H406" s="60">
        <v>46138</v>
      </c>
      <c r="I406" s="55">
        <v>46136</v>
      </c>
      <c r="J406" s="57">
        <v>30000</v>
      </c>
      <c r="K406" s="4">
        <v>0</v>
      </c>
      <c r="L406" s="62"/>
      <c r="M406" s="63"/>
    </row>
    <row r="407" spans="1:13" s="45" customFormat="1" ht="13.25" customHeight="1" x14ac:dyDescent="0.3">
      <c r="A407" s="55">
        <v>46136</v>
      </c>
      <c r="B407" s="56">
        <v>10880037002</v>
      </c>
      <c r="C407" s="57">
        <v>10880037002</v>
      </c>
      <c r="D407" s="57">
        <v>110001292297</v>
      </c>
      <c r="E407" s="57">
        <v>110001292297</v>
      </c>
      <c r="F407" s="58" t="s">
        <v>257</v>
      </c>
      <c r="G407" s="59">
        <v>1200</v>
      </c>
      <c r="H407" s="60">
        <v>46140</v>
      </c>
      <c r="I407" s="55">
        <v>46136</v>
      </c>
      <c r="J407" s="57">
        <v>1200</v>
      </c>
      <c r="K407" s="4">
        <v>0</v>
      </c>
      <c r="L407" s="62"/>
      <c r="M407" s="63"/>
    </row>
    <row r="408" spans="1:13" s="45" customFormat="1" ht="13.25" customHeight="1" x14ac:dyDescent="0.3">
      <c r="A408" s="55">
        <v>46136</v>
      </c>
      <c r="B408" s="56" t="e">
        <v>#N/A</v>
      </c>
      <c r="C408" s="57">
        <v>10400031847</v>
      </c>
      <c r="D408" s="57">
        <v>110001292297</v>
      </c>
      <c r="E408" s="57">
        <v>110001292298</v>
      </c>
      <c r="F408" s="58" t="s">
        <v>360</v>
      </c>
      <c r="G408" s="59">
        <v>1200</v>
      </c>
      <c r="H408" s="60">
        <v>46138</v>
      </c>
      <c r="I408" s="55">
        <v>46136</v>
      </c>
      <c r="J408" s="57">
        <v>1200</v>
      </c>
      <c r="K408" s="4">
        <v>0</v>
      </c>
      <c r="L408" s="62"/>
      <c r="M408" s="63"/>
    </row>
    <row r="409" spans="1:13" s="45" customFormat="1" ht="13.25" customHeight="1" x14ac:dyDescent="0.3">
      <c r="A409" s="55">
        <v>46136</v>
      </c>
      <c r="B409" s="56">
        <v>10880037662</v>
      </c>
      <c r="C409" s="57">
        <v>10880037662</v>
      </c>
      <c r="D409" s="57">
        <v>110001292477</v>
      </c>
      <c r="E409" s="57">
        <v>110001292477</v>
      </c>
      <c r="F409" s="58" t="s">
        <v>140</v>
      </c>
      <c r="G409" s="59">
        <v>1998</v>
      </c>
      <c r="H409" s="60">
        <v>46139</v>
      </c>
      <c r="I409" s="55">
        <v>46136</v>
      </c>
      <c r="J409" s="57">
        <v>1998</v>
      </c>
      <c r="K409" s="4">
        <v>0</v>
      </c>
      <c r="L409" s="62"/>
      <c r="M409" s="63"/>
    </row>
    <row r="410" spans="1:13" s="45" customFormat="1" ht="13.25" customHeight="1" x14ac:dyDescent="0.3">
      <c r="A410" s="55">
        <v>46136</v>
      </c>
      <c r="B410" s="56">
        <v>10400032704</v>
      </c>
      <c r="C410" s="57">
        <v>10400032704</v>
      </c>
      <c r="D410" s="57">
        <v>110001292477</v>
      </c>
      <c r="E410" s="57">
        <v>110001292478</v>
      </c>
      <c r="F410" s="58" t="s">
        <v>141</v>
      </c>
      <c r="G410" s="59">
        <v>1998</v>
      </c>
      <c r="H410" s="60">
        <v>46139</v>
      </c>
      <c r="I410" s="55">
        <v>46136</v>
      </c>
      <c r="J410" s="57">
        <v>1998</v>
      </c>
      <c r="K410" s="4">
        <v>0</v>
      </c>
      <c r="L410" s="62"/>
      <c r="M410" s="63"/>
    </row>
    <row r="411" spans="1:13" s="45" customFormat="1" ht="13.25" customHeight="1" x14ac:dyDescent="0.3">
      <c r="A411" s="55">
        <v>46136</v>
      </c>
      <c r="B411" s="56">
        <v>10400033234</v>
      </c>
      <c r="C411" s="57">
        <v>10400033234</v>
      </c>
      <c r="D411" s="57">
        <v>110001292477</v>
      </c>
      <c r="E411" s="57">
        <v>110001292479</v>
      </c>
      <c r="F411" s="58" t="s">
        <v>124</v>
      </c>
      <c r="G411" s="59">
        <v>1998</v>
      </c>
      <c r="H411" s="60">
        <v>46139</v>
      </c>
      <c r="I411" s="55">
        <v>46136</v>
      </c>
      <c r="J411" s="57">
        <v>1998</v>
      </c>
      <c r="K411" s="4">
        <v>0</v>
      </c>
      <c r="L411" s="62"/>
      <c r="M411" s="63"/>
    </row>
    <row r="412" spans="1:13" s="45" customFormat="1" ht="13.25" customHeight="1" x14ac:dyDescent="0.3">
      <c r="A412" s="55">
        <v>46136</v>
      </c>
      <c r="B412" s="56" t="e">
        <v>#N/A</v>
      </c>
      <c r="C412" s="57">
        <v>10400032705</v>
      </c>
      <c r="D412" s="57">
        <v>110001292477</v>
      </c>
      <c r="E412" s="57">
        <v>110001292480</v>
      </c>
      <c r="F412" s="58" t="s">
        <v>141</v>
      </c>
      <c r="G412" s="59">
        <v>1998</v>
      </c>
      <c r="H412" s="60">
        <v>46137</v>
      </c>
      <c r="I412" s="55">
        <v>46136</v>
      </c>
      <c r="J412" s="57">
        <v>1998</v>
      </c>
      <c r="K412" s="4">
        <v>0</v>
      </c>
      <c r="L412" s="62"/>
      <c r="M412" s="63"/>
    </row>
    <row r="413" spans="1:13" s="45" customFormat="1" ht="13.25" customHeight="1" x14ac:dyDescent="0.3">
      <c r="A413" s="55">
        <v>46136</v>
      </c>
      <c r="B413" s="56">
        <v>10880038600</v>
      </c>
      <c r="C413" s="57">
        <v>10880038600</v>
      </c>
      <c r="D413" s="57">
        <v>110001292585</v>
      </c>
      <c r="E413" s="57">
        <v>110001292585</v>
      </c>
      <c r="F413" s="58" t="s">
        <v>136</v>
      </c>
      <c r="G413" s="59">
        <v>1500</v>
      </c>
      <c r="H413" s="60">
        <v>46139</v>
      </c>
      <c r="I413" s="55">
        <v>46136</v>
      </c>
      <c r="J413" s="57">
        <v>1500</v>
      </c>
      <c r="K413" s="4">
        <v>0</v>
      </c>
      <c r="L413" s="62"/>
      <c r="M413" s="63"/>
    </row>
    <row r="414" spans="1:13" s="45" customFormat="1" ht="13.25" customHeight="1" x14ac:dyDescent="0.3">
      <c r="A414" s="55">
        <v>46136</v>
      </c>
      <c r="B414" s="56">
        <v>10400033234</v>
      </c>
      <c r="C414" s="57">
        <v>10400033234</v>
      </c>
      <c r="D414" s="57">
        <v>110001292585</v>
      </c>
      <c r="E414" s="57">
        <v>110001292586</v>
      </c>
      <c r="F414" s="58" t="s">
        <v>124</v>
      </c>
      <c r="G414" s="59">
        <v>1500</v>
      </c>
      <c r="H414" s="60">
        <v>46138</v>
      </c>
      <c r="I414" s="55">
        <v>46136</v>
      </c>
      <c r="J414" s="57">
        <v>1500</v>
      </c>
      <c r="K414" s="4">
        <v>0</v>
      </c>
      <c r="L414" s="62"/>
      <c r="M414" s="63"/>
    </row>
    <row r="415" spans="1:13" s="45" customFormat="1" ht="13.25" customHeight="1" x14ac:dyDescent="0.3">
      <c r="A415" s="55">
        <v>46136</v>
      </c>
      <c r="B415" s="56">
        <v>10400033939</v>
      </c>
      <c r="C415" s="57">
        <v>10400033939</v>
      </c>
      <c r="D415" s="57">
        <v>110001292585</v>
      </c>
      <c r="E415" s="57">
        <v>110001292587</v>
      </c>
      <c r="F415" s="58" t="s">
        <v>137</v>
      </c>
      <c r="G415" s="59">
        <v>1500</v>
      </c>
      <c r="H415" s="60">
        <v>46139</v>
      </c>
      <c r="I415" s="55">
        <v>46136</v>
      </c>
      <c r="J415" s="57">
        <v>1500</v>
      </c>
      <c r="K415" s="4">
        <v>0</v>
      </c>
      <c r="L415" s="62"/>
      <c r="M415" s="63"/>
    </row>
    <row r="416" spans="1:13" s="45" customFormat="1" ht="13.25" customHeight="1" x14ac:dyDescent="0.3">
      <c r="A416" s="55">
        <v>46136</v>
      </c>
      <c r="B416" s="56" t="e">
        <v>#N/A</v>
      </c>
      <c r="C416" s="57">
        <v>10400033940</v>
      </c>
      <c r="D416" s="57">
        <v>110001292585</v>
      </c>
      <c r="E416" s="57">
        <v>110001292588</v>
      </c>
      <c r="F416" s="58" t="s">
        <v>137</v>
      </c>
      <c r="G416" s="59">
        <v>1500</v>
      </c>
      <c r="H416" s="60">
        <v>46137</v>
      </c>
      <c r="I416" s="55">
        <v>46136</v>
      </c>
      <c r="J416" s="57">
        <v>1500</v>
      </c>
      <c r="K416" s="4">
        <v>0</v>
      </c>
      <c r="L416" s="62"/>
      <c r="M416" s="63"/>
    </row>
    <row r="417" spans="1:13" s="45" customFormat="1" ht="13.25" customHeight="1" x14ac:dyDescent="0.3">
      <c r="A417" s="55">
        <v>46136</v>
      </c>
      <c r="B417" s="56">
        <v>10880017527</v>
      </c>
      <c r="C417" s="57">
        <v>10880017527</v>
      </c>
      <c r="D417" s="57">
        <v>110001294544</v>
      </c>
      <c r="E417" s="57">
        <v>110001294544</v>
      </c>
      <c r="F417" s="58" t="s">
        <v>173</v>
      </c>
      <c r="G417" s="59">
        <v>4600</v>
      </c>
      <c r="H417" s="60">
        <v>46139</v>
      </c>
      <c r="I417" s="55">
        <v>46136</v>
      </c>
      <c r="J417" s="57">
        <v>4600</v>
      </c>
      <c r="K417" s="4">
        <v>0</v>
      </c>
      <c r="L417" s="62"/>
      <c r="M417" s="63"/>
    </row>
    <row r="418" spans="1:13" s="45" customFormat="1" ht="13.25" customHeight="1" x14ac:dyDescent="0.3">
      <c r="A418" s="55">
        <v>46136</v>
      </c>
      <c r="B418" s="56" t="e">
        <v>#N/A</v>
      </c>
      <c r="C418" s="57">
        <v>10400017938</v>
      </c>
      <c r="D418" s="57">
        <v>110001294544</v>
      </c>
      <c r="E418" s="57">
        <v>110001294546</v>
      </c>
      <c r="F418" s="58" t="s">
        <v>361</v>
      </c>
      <c r="G418" s="59">
        <v>4600</v>
      </c>
      <c r="H418" s="60">
        <v>46137</v>
      </c>
      <c r="I418" s="55">
        <v>46136</v>
      </c>
      <c r="J418" s="57">
        <v>4600</v>
      </c>
      <c r="K418" s="4">
        <v>0</v>
      </c>
      <c r="L418" s="62"/>
      <c r="M418" s="63"/>
    </row>
    <row r="419" spans="1:13" s="45" customFormat="1" ht="13.25" customHeight="1" x14ac:dyDescent="0.3">
      <c r="A419" s="55">
        <v>46136</v>
      </c>
      <c r="B419" s="56">
        <v>10880017536</v>
      </c>
      <c r="C419" s="57">
        <v>10880017536</v>
      </c>
      <c r="D419" s="57">
        <v>110001296232</v>
      </c>
      <c r="E419" s="57">
        <v>110001296232</v>
      </c>
      <c r="F419" s="58" t="s">
        <v>171</v>
      </c>
      <c r="G419" s="59">
        <v>1200</v>
      </c>
      <c r="H419" s="60">
        <v>46139</v>
      </c>
      <c r="I419" s="55">
        <v>46136</v>
      </c>
      <c r="J419" s="57">
        <v>1200</v>
      </c>
      <c r="K419" s="4">
        <v>0</v>
      </c>
      <c r="L419" s="62"/>
      <c r="M419" s="63"/>
    </row>
    <row r="420" spans="1:13" s="45" customFormat="1" ht="13.25" customHeight="1" x14ac:dyDescent="0.3">
      <c r="A420" s="55">
        <v>46136</v>
      </c>
      <c r="B420" s="56" t="e">
        <v>#N/A</v>
      </c>
      <c r="C420" s="57">
        <v>10400017963</v>
      </c>
      <c r="D420" s="57">
        <v>110001296232</v>
      </c>
      <c r="E420" s="57">
        <v>110001296233</v>
      </c>
      <c r="F420" s="58" t="s">
        <v>171</v>
      </c>
      <c r="G420" s="59">
        <v>1200</v>
      </c>
      <c r="H420" s="60">
        <v>46137</v>
      </c>
      <c r="I420" s="55">
        <v>46136</v>
      </c>
      <c r="J420" s="57">
        <v>1200</v>
      </c>
      <c r="K420" s="4">
        <v>0</v>
      </c>
      <c r="L420" s="62"/>
      <c r="M420" s="63"/>
    </row>
    <row r="421" spans="1:13" s="45" customFormat="1" ht="13.25" customHeight="1" x14ac:dyDescent="0.3">
      <c r="A421" s="55">
        <v>46136</v>
      </c>
      <c r="B421" s="56">
        <v>10880032885</v>
      </c>
      <c r="C421" s="57">
        <v>10880032885</v>
      </c>
      <c r="D421" s="57">
        <v>110001299845</v>
      </c>
      <c r="E421" s="57">
        <v>110001299845</v>
      </c>
      <c r="F421" s="58" t="s">
        <v>156</v>
      </c>
      <c r="G421" s="59">
        <v>5000</v>
      </c>
      <c r="H421" s="60">
        <v>46139</v>
      </c>
      <c r="I421" s="55">
        <v>46136</v>
      </c>
      <c r="J421" s="57">
        <v>5000</v>
      </c>
      <c r="K421" s="4">
        <v>0</v>
      </c>
      <c r="L421" s="62"/>
      <c r="M421" s="63"/>
    </row>
    <row r="422" spans="1:13" s="45" customFormat="1" ht="13.25" customHeight="1" x14ac:dyDescent="0.3">
      <c r="A422" s="55">
        <v>46136</v>
      </c>
      <c r="B422" s="56" t="e">
        <v>#N/A</v>
      </c>
      <c r="C422" s="57">
        <v>10400025980</v>
      </c>
      <c r="D422" s="57">
        <v>110001299845</v>
      </c>
      <c r="E422" s="57">
        <v>110001299846</v>
      </c>
      <c r="F422" s="58" t="s">
        <v>156</v>
      </c>
      <c r="G422" s="59">
        <v>5000</v>
      </c>
      <c r="H422" s="60">
        <v>46137</v>
      </c>
      <c r="I422" s="55">
        <v>46136</v>
      </c>
      <c r="J422" s="57">
        <v>5000</v>
      </c>
      <c r="K422" s="4">
        <v>0</v>
      </c>
      <c r="L422" s="62"/>
      <c r="M422" s="63"/>
    </row>
    <row r="423" spans="1:13" s="45" customFormat="1" ht="13.25" customHeight="1" x14ac:dyDescent="0.3">
      <c r="A423" s="55">
        <v>46136</v>
      </c>
      <c r="B423" s="56">
        <v>10880038579</v>
      </c>
      <c r="C423" s="57">
        <v>10880038579</v>
      </c>
      <c r="D423" s="57">
        <v>110001300141</v>
      </c>
      <c r="E423" s="57">
        <v>110001300141</v>
      </c>
      <c r="F423" s="58" t="s">
        <v>246</v>
      </c>
      <c r="G423" s="59">
        <v>6000</v>
      </c>
      <c r="H423" s="60">
        <v>46139</v>
      </c>
      <c r="I423" s="55">
        <v>46136</v>
      </c>
      <c r="J423" s="57">
        <v>6000</v>
      </c>
      <c r="K423" s="4">
        <v>0</v>
      </c>
      <c r="L423" s="62"/>
      <c r="M423" s="63"/>
    </row>
    <row r="424" spans="1:13" s="45" customFormat="1" ht="13.25" customHeight="1" x14ac:dyDescent="0.3">
      <c r="A424" s="55">
        <v>46136</v>
      </c>
      <c r="B424" s="56" t="e">
        <v>#N/A</v>
      </c>
      <c r="C424" s="57">
        <v>10400033915</v>
      </c>
      <c r="D424" s="57">
        <v>110001300141</v>
      </c>
      <c r="E424" s="57">
        <v>110001300142</v>
      </c>
      <c r="F424" s="58" t="s">
        <v>284</v>
      </c>
      <c r="G424" s="59">
        <v>6000</v>
      </c>
      <c r="H424" s="60">
        <v>46137</v>
      </c>
      <c r="I424" s="55">
        <v>46136</v>
      </c>
      <c r="J424" s="57">
        <v>6000</v>
      </c>
      <c r="K424" s="4">
        <v>0</v>
      </c>
      <c r="L424" s="62"/>
      <c r="M424" s="63"/>
    </row>
    <row r="425" spans="1:13" s="45" customFormat="1" ht="13.25" customHeight="1" x14ac:dyDescent="0.3">
      <c r="A425" s="55">
        <v>46136</v>
      </c>
      <c r="B425" s="56">
        <v>10880038810</v>
      </c>
      <c r="C425" s="57">
        <v>10880038810</v>
      </c>
      <c r="D425" s="57">
        <v>110001302880</v>
      </c>
      <c r="E425" s="57">
        <v>110001302880</v>
      </c>
      <c r="F425" s="58" t="s">
        <v>45</v>
      </c>
      <c r="G425" s="59">
        <v>90</v>
      </c>
      <c r="H425" s="60">
        <v>46142</v>
      </c>
      <c r="I425" s="55">
        <v>46136</v>
      </c>
      <c r="J425" s="57">
        <v>90</v>
      </c>
      <c r="K425" s="4">
        <v>0</v>
      </c>
      <c r="L425" s="62"/>
      <c r="M425" s="63"/>
    </row>
    <row r="426" spans="1:13" s="45" customFormat="1" ht="13.25" customHeight="1" x14ac:dyDescent="0.3">
      <c r="A426" s="55">
        <v>46136</v>
      </c>
      <c r="B426" s="56">
        <v>10400030197</v>
      </c>
      <c r="C426" s="57">
        <v>10400030197</v>
      </c>
      <c r="D426" s="57">
        <v>110001302880</v>
      </c>
      <c r="E426" s="57">
        <v>110001302881</v>
      </c>
      <c r="F426" s="58" t="s">
        <v>43</v>
      </c>
      <c r="G426" s="59">
        <v>90</v>
      </c>
      <c r="H426" s="60">
        <v>46141</v>
      </c>
      <c r="I426" s="55">
        <v>46136</v>
      </c>
      <c r="J426" s="57">
        <v>90</v>
      </c>
      <c r="K426" s="4">
        <v>0</v>
      </c>
      <c r="L426" s="62"/>
      <c r="M426" s="63"/>
    </row>
    <row r="427" spans="1:13" s="45" customFormat="1" ht="13.25" customHeight="1" x14ac:dyDescent="0.3">
      <c r="A427" s="55">
        <v>46136</v>
      </c>
      <c r="B427" s="56">
        <v>10400034245</v>
      </c>
      <c r="C427" s="57">
        <v>10400034245</v>
      </c>
      <c r="D427" s="57">
        <v>110001302880</v>
      </c>
      <c r="E427" s="57">
        <v>110001302882</v>
      </c>
      <c r="F427" s="58" t="s">
        <v>44</v>
      </c>
      <c r="G427" s="59">
        <v>90</v>
      </c>
      <c r="H427" s="60">
        <v>46141</v>
      </c>
      <c r="I427" s="55">
        <v>46136</v>
      </c>
      <c r="J427" s="57">
        <v>90</v>
      </c>
      <c r="K427" s="4">
        <v>0</v>
      </c>
      <c r="L427" s="62"/>
      <c r="M427" s="63"/>
    </row>
    <row r="428" spans="1:13" s="45" customFormat="1" ht="13.25" customHeight="1" x14ac:dyDescent="0.3">
      <c r="A428" s="55">
        <v>46136</v>
      </c>
      <c r="B428" s="56" t="e">
        <v>#N/A</v>
      </c>
      <c r="C428" s="57">
        <v>10400034246</v>
      </c>
      <c r="D428" s="57">
        <v>110001302880</v>
      </c>
      <c r="E428" s="57">
        <v>110001302883</v>
      </c>
      <c r="F428" s="58" t="s">
        <v>44</v>
      </c>
      <c r="G428" s="59">
        <v>90</v>
      </c>
      <c r="H428" s="60">
        <v>46139</v>
      </c>
      <c r="I428" s="55">
        <v>46136</v>
      </c>
      <c r="J428" s="57">
        <v>90</v>
      </c>
      <c r="K428" s="4">
        <v>0</v>
      </c>
      <c r="L428" s="62"/>
      <c r="M428" s="63"/>
    </row>
    <row r="429" spans="1:13" s="45" customFormat="1" ht="13.25" customHeight="1" x14ac:dyDescent="0.3">
      <c r="A429" s="55">
        <v>46136</v>
      </c>
      <c r="B429" s="56" t="e">
        <v>#N/A</v>
      </c>
      <c r="C429" s="57">
        <v>10400025972</v>
      </c>
      <c r="D429" s="57">
        <v>110001302880</v>
      </c>
      <c r="E429" s="57">
        <v>110001302884</v>
      </c>
      <c r="F429" s="58" t="s">
        <v>337</v>
      </c>
      <c r="G429" s="59">
        <v>90</v>
      </c>
      <c r="H429" s="60">
        <v>46139</v>
      </c>
      <c r="I429" s="55">
        <v>46136</v>
      </c>
      <c r="J429" s="57">
        <v>90</v>
      </c>
      <c r="K429" s="4">
        <v>0</v>
      </c>
      <c r="L429" s="62"/>
      <c r="M429" s="63"/>
    </row>
    <row r="430" spans="1:13" s="45" customFormat="1" ht="13.25" customHeight="1" x14ac:dyDescent="0.3">
      <c r="A430" s="55">
        <v>46136</v>
      </c>
      <c r="B430" s="56">
        <v>10880037725</v>
      </c>
      <c r="C430" s="57">
        <v>10880037725</v>
      </c>
      <c r="D430" s="57">
        <v>110001304461</v>
      </c>
      <c r="E430" s="57">
        <v>110001304461</v>
      </c>
      <c r="F430" s="58" t="s">
        <v>256</v>
      </c>
      <c r="G430" s="59">
        <v>2000</v>
      </c>
      <c r="H430" s="60">
        <v>46139</v>
      </c>
      <c r="I430" s="55">
        <v>46136</v>
      </c>
      <c r="J430" s="57">
        <v>2000</v>
      </c>
      <c r="K430" s="4">
        <v>0</v>
      </c>
      <c r="L430" s="62"/>
      <c r="M430" s="63"/>
    </row>
    <row r="431" spans="1:13" s="45" customFormat="1" ht="13.25" customHeight="1" x14ac:dyDescent="0.3">
      <c r="A431" s="55">
        <v>46136</v>
      </c>
      <c r="B431" s="56" t="e">
        <v>#N/A</v>
      </c>
      <c r="C431" s="57">
        <v>10400032806</v>
      </c>
      <c r="D431" s="57">
        <v>110001304461</v>
      </c>
      <c r="E431" s="57">
        <v>110001304462</v>
      </c>
      <c r="F431" s="58" t="s">
        <v>279</v>
      </c>
      <c r="G431" s="59">
        <v>2000</v>
      </c>
      <c r="H431" s="60">
        <v>46137</v>
      </c>
      <c r="I431" s="55">
        <v>46136</v>
      </c>
      <c r="J431" s="57">
        <v>2000</v>
      </c>
      <c r="K431" s="4">
        <v>0</v>
      </c>
      <c r="L431" s="62"/>
      <c r="M431" s="63"/>
    </row>
    <row r="432" spans="1:13" s="45" customFormat="1" ht="13.25" customHeight="1" x14ac:dyDescent="0.3">
      <c r="A432" s="55">
        <v>46136</v>
      </c>
      <c r="B432" s="56">
        <v>10880037724</v>
      </c>
      <c r="C432" s="57">
        <v>10880037724</v>
      </c>
      <c r="D432" s="57">
        <v>110001304467</v>
      </c>
      <c r="E432" s="57">
        <v>110001304467</v>
      </c>
      <c r="F432" s="58" t="s">
        <v>255</v>
      </c>
      <c r="G432" s="59">
        <v>2000</v>
      </c>
      <c r="H432" s="60">
        <v>46138</v>
      </c>
      <c r="I432" s="55">
        <v>46136</v>
      </c>
      <c r="J432" s="57">
        <v>2000</v>
      </c>
      <c r="K432" s="4">
        <v>0</v>
      </c>
      <c r="L432" s="62"/>
      <c r="M432" s="63"/>
    </row>
    <row r="433" spans="1:13" s="45" customFormat="1" ht="13.25" customHeight="1" x14ac:dyDescent="0.3">
      <c r="A433" s="55">
        <v>46136</v>
      </c>
      <c r="B433" s="56" t="e">
        <v>#N/A</v>
      </c>
      <c r="C433" s="57">
        <v>10400032805</v>
      </c>
      <c r="D433" s="57">
        <v>110001304467</v>
      </c>
      <c r="E433" s="57">
        <v>110001304468</v>
      </c>
      <c r="F433" s="58" t="s">
        <v>275</v>
      </c>
      <c r="G433" s="59">
        <v>2000</v>
      </c>
      <c r="H433" s="60">
        <v>46136</v>
      </c>
      <c r="I433" s="55">
        <v>46136</v>
      </c>
      <c r="J433" s="57">
        <v>2000</v>
      </c>
      <c r="K433" s="4">
        <v>0</v>
      </c>
      <c r="L433" s="62"/>
      <c r="M433" s="63"/>
    </row>
    <row r="434" spans="1:13" s="45" customFormat="1" ht="13.25" customHeight="1" x14ac:dyDescent="0.3">
      <c r="A434" s="55">
        <v>46136</v>
      </c>
      <c r="B434" s="56">
        <v>10880017516</v>
      </c>
      <c r="C434" s="57">
        <v>10880017516</v>
      </c>
      <c r="D434" s="57">
        <v>110001306836</v>
      </c>
      <c r="E434" s="57">
        <v>110001306836</v>
      </c>
      <c r="F434" s="58" t="s">
        <v>164</v>
      </c>
      <c r="G434" s="59">
        <v>4000</v>
      </c>
      <c r="H434" s="60">
        <v>46140</v>
      </c>
      <c r="I434" s="55">
        <v>46136</v>
      </c>
      <c r="J434" s="57">
        <v>4000</v>
      </c>
      <c r="K434" s="4">
        <v>0</v>
      </c>
      <c r="L434" s="62"/>
      <c r="M434" s="63"/>
    </row>
    <row r="435" spans="1:13" s="45" customFormat="1" ht="13.25" customHeight="1" x14ac:dyDescent="0.3">
      <c r="A435" s="55">
        <v>46136</v>
      </c>
      <c r="B435" s="56" t="e">
        <v>#N/A</v>
      </c>
      <c r="C435" s="57">
        <v>10400017926</v>
      </c>
      <c r="D435" s="57">
        <v>110001306836</v>
      </c>
      <c r="E435" s="57">
        <v>110001306837</v>
      </c>
      <c r="F435" s="58" t="s">
        <v>164</v>
      </c>
      <c r="G435" s="59">
        <v>4000</v>
      </c>
      <c r="H435" s="60">
        <v>46138</v>
      </c>
      <c r="I435" s="55">
        <v>46136</v>
      </c>
      <c r="J435" s="57">
        <v>4000</v>
      </c>
      <c r="K435" s="4">
        <v>0</v>
      </c>
      <c r="L435" s="62"/>
      <c r="M435" s="63"/>
    </row>
    <row r="436" spans="1:13" s="45" customFormat="1" ht="13.25" customHeight="1" x14ac:dyDescent="0.3">
      <c r="A436" s="55">
        <v>46136</v>
      </c>
      <c r="B436" s="56">
        <v>10880035513</v>
      </c>
      <c r="C436" s="57">
        <v>10880035513</v>
      </c>
      <c r="D436" s="57">
        <v>110001308395</v>
      </c>
      <c r="E436" s="57">
        <v>110001308395</v>
      </c>
      <c r="F436" s="58" t="s">
        <v>167</v>
      </c>
      <c r="G436" s="59">
        <v>690</v>
      </c>
      <c r="H436" s="60">
        <v>46138</v>
      </c>
      <c r="I436" s="55">
        <v>46136</v>
      </c>
      <c r="J436" s="57">
        <v>690</v>
      </c>
      <c r="K436" s="4">
        <v>0</v>
      </c>
      <c r="L436" s="62"/>
      <c r="M436" s="63"/>
    </row>
    <row r="437" spans="1:13" s="45" customFormat="1" ht="13.25" customHeight="1" x14ac:dyDescent="0.3">
      <c r="A437" s="55">
        <v>46136</v>
      </c>
      <c r="B437" s="56" t="e">
        <v>#N/A</v>
      </c>
      <c r="C437" s="57">
        <v>10400029789</v>
      </c>
      <c r="D437" s="57">
        <v>110001308395</v>
      </c>
      <c r="E437" s="57">
        <v>110001308396</v>
      </c>
      <c r="F437" s="58" t="s">
        <v>353</v>
      </c>
      <c r="G437" s="59">
        <v>690</v>
      </c>
      <c r="H437" s="60">
        <v>46136</v>
      </c>
      <c r="I437" s="55">
        <v>46136</v>
      </c>
      <c r="J437" s="57">
        <v>690</v>
      </c>
      <c r="K437" s="4">
        <v>0</v>
      </c>
      <c r="L437" s="62"/>
      <c r="M437" s="63"/>
    </row>
    <row r="438" spans="1:13" s="45" customFormat="1" ht="13.25" customHeight="1" x14ac:dyDescent="0.3">
      <c r="A438" s="55">
        <v>46136</v>
      </c>
      <c r="B438" s="56" t="e">
        <v>#N/A</v>
      </c>
      <c r="C438" s="57">
        <v>10880038229</v>
      </c>
      <c r="D438" s="57">
        <v>110001308462</v>
      </c>
      <c r="E438" s="57">
        <v>110001308462</v>
      </c>
      <c r="F438" s="58" t="s">
        <v>109</v>
      </c>
      <c r="G438" s="59">
        <v>900</v>
      </c>
      <c r="H438" s="60">
        <v>46139</v>
      </c>
      <c r="I438" s="55">
        <v>46136</v>
      </c>
      <c r="J438" s="57">
        <v>900</v>
      </c>
      <c r="K438" s="4">
        <v>0</v>
      </c>
      <c r="L438" s="62"/>
      <c r="M438" s="63"/>
    </row>
    <row r="439" spans="1:13" s="45" customFormat="1" ht="13.25" customHeight="1" x14ac:dyDescent="0.3">
      <c r="A439" s="55">
        <v>46136</v>
      </c>
      <c r="B439" s="56">
        <v>10400033234</v>
      </c>
      <c r="C439" s="57">
        <v>10400033234</v>
      </c>
      <c r="D439" s="57">
        <v>110001308462</v>
      </c>
      <c r="E439" s="57">
        <v>110001308463</v>
      </c>
      <c r="F439" s="58" t="s">
        <v>124</v>
      </c>
      <c r="G439" s="59">
        <v>900</v>
      </c>
      <c r="H439" s="60">
        <v>46138</v>
      </c>
      <c r="I439" s="55">
        <v>46136</v>
      </c>
      <c r="J439" s="57">
        <v>900</v>
      </c>
      <c r="K439" s="4">
        <v>0</v>
      </c>
      <c r="L439" s="62"/>
      <c r="M439" s="63"/>
    </row>
    <row r="440" spans="1:13" s="45" customFormat="1" ht="13.25" customHeight="1" x14ac:dyDescent="0.3">
      <c r="A440" s="55">
        <v>46136</v>
      </c>
      <c r="B440" s="56" t="e">
        <v>#N/A</v>
      </c>
      <c r="C440" s="57">
        <v>10400033462</v>
      </c>
      <c r="D440" s="57">
        <v>110001308462</v>
      </c>
      <c r="E440" s="57">
        <v>110001308464</v>
      </c>
      <c r="F440" s="58" t="s">
        <v>110</v>
      </c>
      <c r="G440" s="59">
        <v>900</v>
      </c>
      <c r="H440" s="60">
        <v>46139</v>
      </c>
      <c r="I440" s="55">
        <v>46136</v>
      </c>
      <c r="J440" s="57">
        <v>900</v>
      </c>
      <c r="K440" s="4">
        <v>0</v>
      </c>
      <c r="L440" s="62"/>
      <c r="M440" s="63"/>
    </row>
    <row r="441" spans="1:13" s="45" customFormat="1" ht="13.25" customHeight="1" x14ac:dyDescent="0.3">
      <c r="A441" s="55">
        <v>46136</v>
      </c>
      <c r="B441" s="56" t="e">
        <v>#N/A</v>
      </c>
      <c r="C441" s="57">
        <v>10400033463</v>
      </c>
      <c r="D441" s="57">
        <v>110001308462</v>
      </c>
      <c r="E441" s="57">
        <v>110001308465</v>
      </c>
      <c r="F441" s="58" t="s">
        <v>110</v>
      </c>
      <c r="G441" s="59">
        <v>900</v>
      </c>
      <c r="H441" s="60">
        <v>46137</v>
      </c>
      <c r="I441" s="55">
        <v>46136</v>
      </c>
      <c r="J441" s="57">
        <v>900</v>
      </c>
      <c r="K441" s="4">
        <v>0</v>
      </c>
      <c r="L441" s="62"/>
      <c r="M441" s="63"/>
    </row>
    <row r="442" spans="1:13" s="45" customFormat="1" ht="13.25" customHeight="1" x14ac:dyDescent="0.3">
      <c r="A442" s="55">
        <v>46136</v>
      </c>
      <c r="B442" s="56" t="e">
        <v>#N/A</v>
      </c>
      <c r="C442" s="57">
        <v>10880038887</v>
      </c>
      <c r="D442" s="57">
        <v>880000121609</v>
      </c>
      <c r="E442" s="57">
        <v>880000121609</v>
      </c>
      <c r="F442" s="58" t="s">
        <v>90</v>
      </c>
      <c r="G442" s="59">
        <v>400</v>
      </c>
      <c r="H442" s="60">
        <v>46141</v>
      </c>
      <c r="I442" s="55">
        <v>46136</v>
      </c>
      <c r="J442" s="57">
        <v>400</v>
      </c>
      <c r="K442" s="4">
        <v>0</v>
      </c>
      <c r="L442" s="62"/>
      <c r="M442" s="63"/>
    </row>
    <row r="443" spans="1:13" s="45" customFormat="1" ht="13.25" customHeight="1" x14ac:dyDescent="0.3">
      <c r="A443" s="55">
        <v>46136</v>
      </c>
      <c r="B443" s="56" t="e">
        <v>#N/A</v>
      </c>
      <c r="C443" s="57">
        <v>10400034328</v>
      </c>
      <c r="D443" s="57">
        <v>880000121609</v>
      </c>
      <c r="E443" s="57">
        <v>880000121610</v>
      </c>
      <c r="F443" s="58" t="s">
        <v>210</v>
      </c>
      <c r="G443" s="59">
        <v>400</v>
      </c>
      <c r="H443" s="60">
        <v>46141</v>
      </c>
      <c r="I443" s="55">
        <v>46136</v>
      </c>
      <c r="J443" s="57">
        <v>400</v>
      </c>
      <c r="K443" s="4">
        <v>0</v>
      </c>
      <c r="L443" s="62"/>
      <c r="M443" s="63"/>
    </row>
    <row r="444" spans="1:13" s="45" customFormat="1" ht="13.25" customHeight="1" x14ac:dyDescent="0.3">
      <c r="A444" s="55">
        <v>46136</v>
      </c>
      <c r="B444" s="56" t="e">
        <v>#N/A</v>
      </c>
      <c r="C444" s="57">
        <v>10400034330</v>
      </c>
      <c r="D444" s="57">
        <v>880000121609</v>
      </c>
      <c r="E444" s="57">
        <v>880000121611</v>
      </c>
      <c r="F444" s="58" t="s">
        <v>209</v>
      </c>
      <c r="G444" s="59">
        <v>400</v>
      </c>
      <c r="H444" s="60">
        <v>46141</v>
      </c>
      <c r="I444" s="55">
        <v>46136</v>
      </c>
      <c r="J444" s="57">
        <v>400</v>
      </c>
      <c r="K444" s="4">
        <v>0</v>
      </c>
      <c r="L444" s="62"/>
      <c r="M444" s="63"/>
    </row>
    <row r="445" spans="1:13" s="45" customFormat="1" ht="13.25" customHeight="1" x14ac:dyDescent="0.3">
      <c r="A445" s="55">
        <v>46136</v>
      </c>
      <c r="B445" s="56" t="e">
        <v>#N/A</v>
      </c>
      <c r="C445" s="57">
        <v>10400034329</v>
      </c>
      <c r="D445" s="57">
        <v>880000121609</v>
      </c>
      <c r="E445" s="57">
        <v>880000121612</v>
      </c>
      <c r="F445" s="58" t="s">
        <v>210</v>
      </c>
      <c r="G445" s="59">
        <v>400</v>
      </c>
      <c r="H445" s="60">
        <v>46139</v>
      </c>
      <c r="I445" s="55">
        <v>46136</v>
      </c>
      <c r="J445" s="57">
        <v>400</v>
      </c>
      <c r="K445" s="4">
        <v>0</v>
      </c>
      <c r="L445" s="62"/>
      <c r="M445" s="63"/>
    </row>
    <row r="446" spans="1:13" s="45" customFormat="1" ht="13.25" customHeight="1" x14ac:dyDescent="0.3">
      <c r="A446" s="55">
        <v>46136</v>
      </c>
      <c r="B446" s="56" t="e">
        <v>#N/A</v>
      </c>
      <c r="C446" s="57">
        <v>10400034331</v>
      </c>
      <c r="D446" s="57">
        <v>880000121609</v>
      </c>
      <c r="E446" s="57">
        <v>880000121613</v>
      </c>
      <c r="F446" s="58" t="s">
        <v>209</v>
      </c>
      <c r="G446" s="59">
        <v>400</v>
      </c>
      <c r="H446" s="60">
        <v>46139</v>
      </c>
      <c r="I446" s="55">
        <v>46136</v>
      </c>
      <c r="J446" s="57">
        <v>400</v>
      </c>
      <c r="K446" s="4">
        <v>0</v>
      </c>
      <c r="L446" s="62"/>
      <c r="M446" s="63"/>
    </row>
    <row r="447" spans="1:13" s="45" customFormat="1" ht="13.25" customHeight="1" x14ac:dyDescent="0.3">
      <c r="A447" s="55">
        <v>46136</v>
      </c>
      <c r="B447" s="56">
        <v>10880031871</v>
      </c>
      <c r="C447" s="57">
        <v>10880031871</v>
      </c>
      <c r="D447" s="57">
        <v>110001266979</v>
      </c>
      <c r="E447" s="57">
        <v>110001266979</v>
      </c>
      <c r="F447" s="58" t="s">
        <v>154</v>
      </c>
      <c r="G447" s="59">
        <v>801</v>
      </c>
      <c r="H447" s="60">
        <v>46139</v>
      </c>
      <c r="I447" s="55">
        <v>46136</v>
      </c>
      <c r="J447" s="57">
        <v>801</v>
      </c>
      <c r="K447" s="4">
        <v>0</v>
      </c>
      <c r="L447" s="62"/>
      <c r="M447" s="63"/>
    </row>
    <row r="448" spans="1:13" s="45" customFormat="1" ht="13.25" customHeight="1" x14ac:dyDescent="0.3">
      <c r="A448" s="55">
        <v>46136</v>
      </c>
      <c r="B448" s="56" t="e">
        <v>#N/A</v>
      </c>
      <c r="C448" s="57">
        <v>10400025568</v>
      </c>
      <c r="D448" s="57">
        <v>110001266979</v>
      </c>
      <c r="E448" s="57">
        <v>110001266980</v>
      </c>
      <c r="F448" s="58" t="s">
        <v>154</v>
      </c>
      <c r="G448" s="59">
        <v>801</v>
      </c>
      <c r="H448" s="60">
        <v>46137</v>
      </c>
      <c r="I448" s="55">
        <v>46136</v>
      </c>
      <c r="J448" s="57">
        <v>801</v>
      </c>
      <c r="K448" s="4">
        <v>0</v>
      </c>
      <c r="L448" s="62"/>
      <c r="M448" s="63"/>
    </row>
    <row r="449" spans="1:13" s="45" customFormat="1" ht="13.25" customHeight="1" x14ac:dyDescent="0.3">
      <c r="A449" s="55">
        <v>46136</v>
      </c>
      <c r="B449" s="56">
        <v>10880037178</v>
      </c>
      <c r="C449" s="57">
        <v>10880037178</v>
      </c>
      <c r="D449" s="57">
        <v>110001279185</v>
      </c>
      <c r="E449" s="57">
        <v>110001279185</v>
      </c>
      <c r="F449" s="58" t="s">
        <v>155</v>
      </c>
      <c r="G449" s="59">
        <v>620</v>
      </c>
      <c r="H449" s="60">
        <v>46139</v>
      </c>
      <c r="I449" s="55">
        <v>46136</v>
      </c>
      <c r="J449" s="57">
        <v>620</v>
      </c>
      <c r="K449" s="4">
        <v>0</v>
      </c>
      <c r="L449" s="62"/>
      <c r="M449" s="63"/>
    </row>
    <row r="450" spans="1:13" s="45" customFormat="1" ht="13.25" customHeight="1" x14ac:dyDescent="0.3">
      <c r="A450" s="55">
        <v>46136</v>
      </c>
      <c r="B450" s="56" t="e">
        <v>#N/A</v>
      </c>
      <c r="C450" s="57">
        <v>10400032081</v>
      </c>
      <c r="D450" s="57">
        <v>110001279185</v>
      </c>
      <c r="E450" s="57">
        <v>110001279186</v>
      </c>
      <c r="F450" s="58" t="s">
        <v>362</v>
      </c>
      <c r="G450" s="59">
        <v>620</v>
      </c>
      <c r="H450" s="60">
        <v>46137</v>
      </c>
      <c r="I450" s="55">
        <v>46136</v>
      </c>
      <c r="J450" s="57">
        <v>620</v>
      </c>
      <c r="K450" s="4">
        <v>0</v>
      </c>
      <c r="L450" s="62"/>
      <c r="M450" s="63"/>
    </row>
    <row r="451" spans="1:13" s="45" customFormat="1" ht="13.25" customHeight="1" x14ac:dyDescent="0.3">
      <c r="A451" s="55">
        <v>46136</v>
      </c>
      <c r="B451" s="56">
        <v>10880036424</v>
      </c>
      <c r="C451" s="57">
        <v>10880036424</v>
      </c>
      <c r="D451" s="57">
        <v>110001280671</v>
      </c>
      <c r="E451" s="57">
        <v>110001280671</v>
      </c>
      <c r="F451" s="58" t="s">
        <v>169</v>
      </c>
      <c r="G451" s="59">
        <v>200</v>
      </c>
      <c r="H451" s="60">
        <v>46138</v>
      </c>
      <c r="I451" s="55">
        <v>46136</v>
      </c>
      <c r="J451" s="57">
        <v>200</v>
      </c>
      <c r="K451" s="4">
        <v>0</v>
      </c>
      <c r="L451" s="62"/>
      <c r="M451" s="63"/>
    </row>
    <row r="452" spans="1:13" s="45" customFormat="1" ht="13.25" customHeight="1" x14ac:dyDescent="0.3">
      <c r="A452" s="55">
        <v>46136</v>
      </c>
      <c r="B452" s="56" t="e">
        <v>#N/A</v>
      </c>
      <c r="C452" s="57">
        <v>10400031021</v>
      </c>
      <c r="D452" s="57">
        <v>110001280671</v>
      </c>
      <c r="E452" s="57">
        <v>110001280672</v>
      </c>
      <c r="F452" s="58" t="s">
        <v>363</v>
      </c>
      <c r="G452" s="59">
        <v>200</v>
      </c>
      <c r="H452" s="60">
        <v>46136</v>
      </c>
      <c r="I452" s="55">
        <v>46136</v>
      </c>
      <c r="J452" s="57">
        <v>200</v>
      </c>
      <c r="K452" s="4">
        <v>0</v>
      </c>
      <c r="L452" s="62"/>
      <c r="M452" s="63"/>
    </row>
    <row r="453" spans="1:13" s="45" customFormat="1" ht="13.25" customHeight="1" x14ac:dyDescent="0.3">
      <c r="A453" s="55">
        <v>46136</v>
      </c>
      <c r="B453" s="56">
        <v>10880030203</v>
      </c>
      <c r="C453" s="57">
        <v>10880030203</v>
      </c>
      <c r="D453" s="57">
        <v>110001283775</v>
      </c>
      <c r="E453" s="57">
        <v>110001283775</v>
      </c>
      <c r="F453" s="58" t="s">
        <v>219</v>
      </c>
      <c r="G453" s="59">
        <v>700</v>
      </c>
      <c r="H453" s="60">
        <v>46139</v>
      </c>
      <c r="I453" s="55">
        <v>46136</v>
      </c>
      <c r="J453" s="57">
        <v>700</v>
      </c>
      <c r="K453" s="4">
        <v>0</v>
      </c>
      <c r="L453" s="62"/>
      <c r="M453" s="63"/>
    </row>
    <row r="454" spans="1:13" s="45" customFormat="1" ht="13.25" customHeight="1" x14ac:dyDescent="0.3">
      <c r="A454" s="55">
        <v>46136</v>
      </c>
      <c r="B454" s="56" t="e">
        <v>#N/A</v>
      </c>
      <c r="C454" s="57">
        <v>10400023870</v>
      </c>
      <c r="D454" s="57">
        <v>110001283775</v>
      </c>
      <c r="E454" s="57">
        <v>110001283776</v>
      </c>
      <c r="F454" s="58" t="s">
        <v>219</v>
      </c>
      <c r="G454" s="59">
        <v>700</v>
      </c>
      <c r="H454" s="60">
        <v>46137</v>
      </c>
      <c r="I454" s="55">
        <v>46136</v>
      </c>
      <c r="J454" s="57">
        <v>700</v>
      </c>
      <c r="K454" s="4">
        <v>0</v>
      </c>
      <c r="L454" s="62"/>
      <c r="M454" s="63"/>
    </row>
    <row r="455" spans="1:13" s="45" customFormat="1" ht="13.25" customHeight="1" x14ac:dyDescent="0.3">
      <c r="A455" s="55">
        <v>46136</v>
      </c>
      <c r="B455" s="56">
        <v>10880033487</v>
      </c>
      <c r="C455" s="57">
        <v>10880033487</v>
      </c>
      <c r="D455" s="57">
        <v>110001283801</v>
      </c>
      <c r="E455" s="57">
        <v>110001283801</v>
      </c>
      <c r="F455" s="58" t="s">
        <v>67</v>
      </c>
      <c r="G455" s="59">
        <v>600</v>
      </c>
      <c r="H455" s="60">
        <v>46140</v>
      </c>
      <c r="I455" s="55">
        <v>46136</v>
      </c>
      <c r="J455" s="57">
        <v>600</v>
      </c>
      <c r="K455" s="4">
        <v>0</v>
      </c>
      <c r="L455" s="62"/>
      <c r="M455" s="63"/>
    </row>
    <row r="456" spans="1:13" s="45" customFormat="1" ht="13.25" customHeight="1" x14ac:dyDescent="0.3">
      <c r="A456" s="55">
        <v>46136</v>
      </c>
      <c r="B456" s="56" t="e">
        <v>#N/A</v>
      </c>
      <c r="C456" s="57">
        <v>10400027263</v>
      </c>
      <c r="D456" s="57">
        <v>110001283801</v>
      </c>
      <c r="E456" s="57">
        <v>110001283802</v>
      </c>
      <c r="F456" s="58" t="s">
        <v>364</v>
      </c>
      <c r="G456" s="59">
        <v>600</v>
      </c>
      <c r="H456" s="60">
        <v>46138</v>
      </c>
      <c r="I456" s="55">
        <v>46136</v>
      </c>
      <c r="J456" s="57">
        <v>600</v>
      </c>
      <c r="K456" s="4">
        <v>0</v>
      </c>
      <c r="L456" s="62"/>
      <c r="M456" s="63"/>
    </row>
    <row r="457" spans="1:13" s="45" customFormat="1" ht="13.25" customHeight="1" x14ac:dyDescent="0.3">
      <c r="A457" s="55">
        <v>46136</v>
      </c>
      <c r="B457" s="56">
        <v>10880035441</v>
      </c>
      <c r="C457" s="57">
        <v>10880035441</v>
      </c>
      <c r="D457" s="57">
        <v>110001283827</v>
      </c>
      <c r="E457" s="57">
        <v>110001283827</v>
      </c>
      <c r="F457" s="58" t="s">
        <v>64</v>
      </c>
      <c r="G457" s="59">
        <v>2000</v>
      </c>
      <c r="H457" s="60">
        <v>46139</v>
      </c>
      <c r="I457" s="55">
        <v>46136</v>
      </c>
      <c r="J457" s="57">
        <v>2000</v>
      </c>
      <c r="K457" s="4">
        <v>0</v>
      </c>
      <c r="L457" s="62"/>
      <c r="M457" s="63"/>
    </row>
    <row r="458" spans="1:13" s="45" customFormat="1" ht="13.25" customHeight="1" x14ac:dyDescent="0.3">
      <c r="A458" s="55">
        <v>46136</v>
      </c>
      <c r="B458" s="56" t="e">
        <v>#N/A</v>
      </c>
      <c r="C458" s="57">
        <v>10400029701</v>
      </c>
      <c r="D458" s="57">
        <v>110001283827</v>
      </c>
      <c r="E458" s="57">
        <v>110001283828</v>
      </c>
      <c r="F458" s="58" t="s">
        <v>365</v>
      </c>
      <c r="G458" s="59">
        <v>2000</v>
      </c>
      <c r="H458" s="60">
        <v>46137</v>
      </c>
      <c r="I458" s="55">
        <v>46136</v>
      </c>
      <c r="J458" s="57">
        <v>2000</v>
      </c>
      <c r="K458" s="4">
        <v>0</v>
      </c>
      <c r="L458" s="62"/>
      <c r="M458" s="63"/>
    </row>
    <row r="459" spans="1:13" s="45" customFormat="1" ht="13.25" customHeight="1" x14ac:dyDescent="0.3">
      <c r="A459" s="55">
        <v>46136</v>
      </c>
      <c r="B459" s="56">
        <v>10880031856</v>
      </c>
      <c r="C459" s="57">
        <v>10880031856</v>
      </c>
      <c r="D459" s="57">
        <v>110001288331</v>
      </c>
      <c r="E459" s="57">
        <v>110001288331</v>
      </c>
      <c r="F459" s="58" t="s">
        <v>224</v>
      </c>
      <c r="G459" s="59">
        <v>400</v>
      </c>
      <c r="H459" s="60">
        <v>46140</v>
      </c>
      <c r="I459" s="55">
        <v>46136</v>
      </c>
      <c r="J459" s="57">
        <v>400</v>
      </c>
      <c r="K459" s="4">
        <v>0</v>
      </c>
      <c r="L459" s="62"/>
      <c r="M459" s="63"/>
    </row>
    <row r="460" spans="1:13" s="45" customFormat="1" ht="13.25" customHeight="1" x14ac:dyDescent="0.3">
      <c r="A460" s="55">
        <v>46136</v>
      </c>
      <c r="B460" s="56" t="e">
        <v>#N/A</v>
      </c>
      <c r="C460" s="57">
        <v>10400025551</v>
      </c>
      <c r="D460" s="57">
        <v>110001288331</v>
      </c>
      <c r="E460" s="57">
        <v>110001288332</v>
      </c>
      <c r="F460" s="58" t="s">
        <v>224</v>
      </c>
      <c r="G460" s="59">
        <v>400</v>
      </c>
      <c r="H460" s="60">
        <v>46138</v>
      </c>
      <c r="I460" s="55">
        <v>46136</v>
      </c>
      <c r="J460" s="57">
        <v>400</v>
      </c>
      <c r="K460" s="4">
        <v>0</v>
      </c>
      <c r="L460" s="62"/>
      <c r="M460" s="63"/>
    </row>
    <row r="461" spans="1:13" s="45" customFormat="1" ht="13.25" customHeight="1" x14ac:dyDescent="0.3">
      <c r="A461" s="55">
        <v>46136</v>
      </c>
      <c r="B461" s="56">
        <v>10880035653</v>
      </c>
      <c r="C461" s="57">
        <v>10880035653</v>
      </c>
      <c r="D461" s="57">
        <v>110001288399</v>
      </c>
      <c r="E461" s="57">
        <v>110001288399</v>
      </c>
      <c r="F461" s="58" t="s">
        <v>96</v>
      </c>
      <c r="G461" s="59">
        <v>200</v>
      </c>
      <c r="H461" s="60">
        <v>46140</v>
      </c>
      <c r="I461" s="55">
        <v>46136</v>
      </c>
      <c r="J461" s="57">
        <v>200</v>
      </c>
      <c r="K461" s="4">
        <v>0</v>
      </c>
      <c r="L461" s="62"/>
      <c r="M461" s="63"/>
    </row>
    <row r="462" spans="1:13" s="45" customFormat="1" ht="13.25" customHeight="1" x14ac:dyDescent="0.3">
      <c r="A462" s="55">
        <v>46136</v>
      </c>
      <c r="B462" s="56" t="e">
        <v>#N/A</v>
      </c>
      <c r="C462" s="57">
        <v>10400030013</v>
      </c>
      <c r="D462" s="57">
        <v>110001288399</v>
      </c>
      <c r="E462" s="57">
        <v>110001288400</v>
      </c>
      <c r="F462" s="58" t="s">
        <v>366</v>
      </c>
      <c r="G462" s="59">
        <v>200</v>
      </c>
      <c r="H462" s="60">
        <v>46138</v>
      </c>
      <c r="I462" s="55">
        <v>46136</v>
      </c>
      <c r="J462" s="57">
        <v>200</v>
      </c>
      <c r="K462" s="4">
        <v>0</v>
      </c>
      <c r="L462" s="62"/>
      <c r="M462" s="63"/>
    </row>
    <row r="463" spans="1:13" s="45" customFormat="1" ht="13.25" customHeight="1" x14ac:dyDescent="0.3">
      <c r="A463" s="55">
        <v>46136</v>
      </c>
      <c r="B463" s="56">
        <v>10880036350</v>
      </c>
      <c r="C463" s="57">
        <v>10880036350</v>
      </c>
      <c r="D463" s="57">
        <v>110001288421</v>
      </c>
      <c r="E463" s="57">
        <v>110001288421</v>
      </c>
      <c r="F463" s="58" t="s">
        <v>225</v>
      </c>
      <c r="G463" s="59">
        <v>650</v>
      </c>
      <c r="H463" s="60">
        <v>46141</v>
      </c>
      <c r="I463" s="55">
        <v>46136</v>
      </c>
      <c r="J463" s="57">
        <v>650</v>
      </c>
      <c r="K463" s="4">
        <v>0</v>
      </c>
      <c r="L463" s="62"/>
      <c r="M463" s="63"/>
    </row>
    <row r="464" spans="1:13" s="45" customFormat="1" ht="13.25" customHeight="1" x14ac:dyDescent="0.3">
      <c r="A464" s="55">
        <v>46136</v>
      </c>
      <c r="B464" s="56" t="e">
        <v>#N/A</v>
      </c>
      <c r="C464" s="57">
        <v>10400030941</v>
      </c>
      <c r="D464" s="57">
        <v>110001288421</v>
      </c>
      <c r="E464" s="57">
        <v>110001288422</v>
      </c>
      <c r="F464" s="58" t="s">
        <v>367</v>
      </c>
      <c r="G464" s="59">
        <v>650</v>
      </c>
      <c r="H464" s="60">
        <v>46139</v>
      </c>
      <c r="I464" s="55">
        <v>46136</v>
      </c>
      <c r="J464" s="57">
        <v>650</v>
      </c>
      <c r="K464" s="4">
        <v>0</v>
      </c>
      <c r="L464" s="62"/>
      <c r="M464" s="63"/>
    </row>
    <row r="465" spans="1:13" s="45" customFormat="1" ht="13.25" customHeight="1" x14ac:dyDescent="0.3">
      <c r="A465" s="55">
        <v>46136</v>
      </c>
      <c r="B465" s="56">
        <v>10880036432</v>
      </c>
      <c r="C465" s="57">
        <v>10880036432</v>
      </c>
      <c r="D465" s="57">
        <v>110001288435</v>
      </c>
      <c r="E465" s="57">
        <v>110001288435</v>
      </c>
      <c r="F465" s="58" t="s">
        <v>226</v>
      </c>
      <c r="G465" s="59">
        <v>500</v>
      </c>
      <c r="H465" s="60">
        <v>46141</v>
      </c>
      <c r="I465" s="55">
        <v>46136</v>
      </c>
      <c r="J465" s="57">
        <v>500</v>
      </c>
      <c r="K465" s="4">
        <v>0</v>
      </c>
      <c r="L465" s="62"/>
      <c r="M465" s="63"/>
    </row>
    <row r="466" spans="1:13" s="45" customFormat="1" ht="13.25" customHeight="1" x14ac:dyDescent="0.3">
      <c r="A466" s="55">
        <v>46136</v>
      </c>
      <c r="B466" s="56" t="e">
        <v>#N/A</v>
      </c>
      <c r="C466" s="57">
        <v>10400031033</v>
      </c>
      <c r="D466" s="57">
        <v>110001288435</v>
      </c>
      <c r="E466" s="57">
        <v>110001288436</v>
      </c>
      <c r="F466" s="58" t="s">
        <v>306</v>
      </c>
      <c r="G466" s="59">
        <v>500</v>
      </c>
      <c r="H466" s="60">
        <v>46139</v>
      </c>
      <c r="I466" s="55">
        <v>46136</v>
      </c>
      <c r="J466" s="57">
        <v>500</v>
      </c>
      <c r="K466" s="4">
        <v>0</v>
      </c>
      <c r="L466" s="62"/>
      <c r="M466" s="63"/>
    </row>
    <row r="467" spans="1:13" s="45" customFormat="1" ht="13.25" customHeight="1" x14ac:dyDescent="0.3">
      <c r="A467" s="55">
        <v>46136</v>
      </c>
      <c r="B467" s="56">
        <v>10880021416</v>
      </c>
      <c r="C467" s="57">
        <v>10880021416</v>
      </c>
      <c r="D467" s="57">
        <v>110001292182</v>
      </c>
      <c r="E467" s="57">
        <v>110001292182</v>
      </c>
      <c r="F467" s="58" t="s">
        <v>174</v>
      </c>
      <c r="G467" s="59">
        <v>400</v>
      </c>
      <c r="H467" s="60">
        <v>46141</v>
      </c>
      <c r="I467" s="55">
        <v>46136</v>
      </c>
      <c r="J467" s="57">
        <v>400</v>
      </c>
      <c r="K467" s="4">
        <v>0</v>
      </c>
      <c r="L467" s="62"/>
      <c r="M467" s="63"/>
    </row>
    <row r="468" spans="1:13" s="45" customFormat="1" ht="13.25" customHeight="1" x14ac:dyDescent="0.3">
      <c r="A468" s="55">
        <v>46136</v>
      </c>
      <c r="B468" s="56" t="e">
        <v>#N/A</v>
      </c>
      <c r="C468" s="57">
        <v>10400020914</v>
      </c>
      <c r="D468" s="57">
        <v>110001292182</v>
      </c>
      <c r="E468" s="57">
        <v>110001292183</v>
      </c>
      <c r="F468" s="58" t="s">
        <v>174</v>
      </c>
      <c r="G468" s="59">
        <v>400</v>
      </c>
      <c r="H468" s="60">
        <v>46139</v>
      </c>
      <c r="I468" s="55">
        <v>46136</v>
      </c>
      <c r="J468" s="57">
        <v>400</v>
      </c>
      <c r="K468" s="4">
        <v>0</v>
      </c>
      <c r="L468" s="62"/>
      <c r="M468" s="63"/>
    </row>
    <row r="469" spans="1:13" s="45" customFormat="1" ht="13.25" customHeight="1" x14ac:dyDescent="0.3">
      <c r="A469" s="55">
        <v>46136</v>
      </c>
      <c r="B469" s="56">
        <v>10880033488</v>
      </c>
      <c r="C469" s="57">
        <v>10880033488</v>
      </c>
      <c r="D469" s="57">
        <v>110001292232</v>
      </c>
      <c r="E469" s="57">
        <v>110001292232</v>
      </c>
      <c r="F469" s="58" t="s">
        <v>66</v>
      </c>
      <c r="G469" s="59">
        <v>1053</v>
      </c>
      <c r="H469" s="60">
        <v>46140</v>
      </c>
      <c r="I469" s="55">
        <v>46136</v>
      </c>
      <c r="J469" s="57">
        <v>1053</v>
      </c>
      <c r="K469" s="4">
        <v>0</v>
      </c>
      <c r="L469" s="62"/>
      <c r="M469" s="63"/>
    </row>
    <row r="470" spans="1:13" s="45" customFormat="1" ht="13.25" customHeight="1" x14ac:dyDescent="0.3">
      <c r="A470" s="55">
        <v>46136</v>
      </c>
      <c r="B470" s="56" t="e">
        <v>#N/A</v>
      </c>
      <c r="C470" s="57">
        <v>10400027264</v>
      </c>
      <c r="D470" s="57">
        <v>110001292232</v>
      </c>
      <c r="E470" s="57">
        <v>110001292234</v>
      </c>
      <c r="F470" s="58" t="s">
        <v>368</v>
      </c>
      <c r="G470" s="59">
        <v>1053</v>
      </c>
      <c r="H470" s="60">
        <v>46138</v>
      </c>
      <c r="I470" s="55">
        <v>46136</v>
      </c>
      <c r="J470" s="57">
        <v>1053</v>
      </c>
      <c r="K470" s="4">
        <v>0</v>
      </c>
      <c r="L470" s="62"/>
      <c r="M470" s="63"/>
    </row>
    <row r="471" spans="1:13" s="45" customFormat="1" ht="13.25" customHeight="1" x14ac:dyDescent="0.3">
      <c r="A471" s="55">
        <v>46136</v>
      </c>
      <c r="B471" s="56">
        <v>10880036423</v>
      </c>
      <c r="C471" s="57">
        <v>10880036423</v>
      </c>
      <c r="D471" s="57">
        <v>110001292293</v>
      </c>
      <c r="E471" s="57">
        <v>110001292293</v>
      </c>
      <c r="F471" s="58" t="s">
        <v>170</v>
      </c>
      <c r="G471" s="59">
        <v>900</v>
      </c>
      <c r="H471" s="60">
        <v>46139</v>
      </c>
      <c r="I471" s="55">
        <v>46136</v>
      </c>
      <c r="J471" s="57">
        <v>900</v>
      </c>
      <c r="K471" s="4">
        <v>0</v>
      </c>
      <c r="L471" s="62"/>
      <c r="M471" s="63"/>
    </row>
    <row r="472" spans="1:13" s="45" customFormat="1" ht="13.25" customHeight="1" x14ac:dyDescent="0.3">
      <c r="A472" s="55">
        <v>46136</v>
      </c>
      <c r="B472" s="56" t="e">
        <v>#N/A</v>
      </c>
      <c r="C472" s="57">
        <v>10400031020</v>
      </c>
      <c r="D472" s="57">
        <v>110001292293</v>
      </c>
      <c r="E472" s="57">
        <v>110001292294</v>
      </c>
      <c r="F472" s="58" t="s">
        <v>311</v>
      </c>
      <c r="G472" s="59">
        <v>900</v>
      </c>
      <c r="H472" s="60">
        <v>46137</v>
      </c>
      <c r="I472" s="55">
        <v>46136</v>
      </c>
      <c r="J472" s="57">
        <v>900</v>
      </c>
      <c r="K472" s="4">
        <v>0</v>
      </c>
      <c r="L472" s="62"/>
      <c r="M472" s="63"/>
    </row>
    <row r="473" spans="1:13" s="45" customFormat="1" ht="13.25" customHeight="1" x14ac:dyDescent="0.3">
      <c r="A473" s="55">
        <v>46136</v>
      </c>
      <c r="B473" s="56">
        <v>10880018097</v>
      </c>
      <c r="C473" s="57">
        <v>10880018097</v>
      </c>
      <c r="D473" s="57">
        <v>110001296234</v>
      </c>
      <c r="E473" s="57">
        <v>110001296234</v>
      </c>
      <c r="F473" s="58" t="s">
        <v>65</v>
      </c>
      <c r="G473" s="59">
        <v>5000</v>
      </c>
      <c r="H473" s="60">
        <v>46139</v>
      </c>
      <c r="I473" s="55">
        <v>46136</v>
      </c>
      <c r="J473" s="57">
        <v>5000</v>
      </c>
      <c r="K473" s="4">
        <v>0</v>
      </c>
      <c r="L473" s="62"/>
      <c r="M473" s="63"/>
    </row>
    <row r="474" spans="1:13" s="45" customFormat="1" ht="13.25" customHeight="1" x14ac:dyDescent="0.3">
      <c r="A474" s="55">
        <v>46136</v>
      </c>
      <c r="B474" s="56" t="e">
        <v>#N/A</v>
      </c>
      <c r="C474" s="57">
        <v>10400018041</v>
      </c>
      <c r="D474" s="57">
        <v>110001296234</v>
      </c>
      <c r="E474" s="57">
        <v>110001296235</v>
      </c>
      <c r="F474" s="58" t="s">
        <v>65</v>
      </c>
      <c r="G474" s="59">
        <v>5000</v>
      </c>
      <c r="H474" s="60">
        <v>46137</v>
      </c>
      <c r="I474" s="55">
        <v>46136</v>
      </c>
      <c r="J474" s="57">
        <v>5000</v>
      </c>
      <c r="K474" s="4">
        <v>0</v>
      </c>
      <c r="L474" s="62"/>
      <c r="M474" s="63"/>
    </row>
    <row r="475" spans="1:13" s="45" customFormat="1" ht="13.25" customHeight="1" x14ac:dyDescent="0.3">
      <c r="A475" s="55">
        <v>46136</v>
      </c>
      <c r="B475" s="56">
        <v>10880035982</v>
      </c>
      <c r="C475" s="57">
        <v>10880035982</v>
      </c>
      <c r="D475" s="57">
        <v>110001296280</v>
      </c>
      <c r="E475" s="57">
        <v>110001296280</v>
      </c>
      <c r="F475" s="58" t="s">
        <v>63</v>
      </c>
      <c r="G475" s="59">
        <v>1000</v>
      </c>
      <c r="H475" s="60">
        <v>46139</v>
      </c>
      <c r="I475" s="55">
        <v>46136</v>
      </c>
      <c r="J475" s="57">
        <v>1000</v>
      </c>
      <c r="K475" s="4">
        <v>0</v>
      </c>
      <c r="L475" s="62"/>
      <c r="M475" s="63"/>
    </row>
    <row r="476" spans="1:13" s="45" customFormat="1" ht="13.25" customHeight="1" x14ac:dyDescent="0.3">
      <c r="A476" s="55">
        <v>46136</v>
      </c>
      <c r="B476" s="56" t="e">
        <v>#N/A</v>
      </c>
      <c r="C476" s="57">
        <v>10400030449</v>
      </c>
      <c r="D476" s="57">
        <v>110001296280</v>
      </c>
      <c r="E476" s="57">
        <v>110001296281</v>
      </c>
      <c r="F476" s="58" t="s">
        <v>302</v>
      </c>
      <c r="G476" s="59">
        <v>1000</v>
      </c>
      <c r="H476" s="60">
        <v>46137</v>
      </c>
      <c r="I476" s="55">
        <v>46136</v>
      </c>
      <c r="J476" s="57">
        <v>1000</v>
      </c>
      <c r="K476" s="4">
        <v>0</v>
      </c>
      <c r="L476" s="62"/>
      <c r="M476" s="63"/>
    </row>
    <row r="477" spans="1:13" s="45" customFormat="1" ht="13.25" customHeight="1" x14ac:dyDescent="0.3">
      <c r="A477" s="55">
        <v>46136</v>
      </c>
      <c r="B477" s="56">
        <v>10880020187</v>
      </c>
      <c r="C477" s="57">
        <v>10880020187</v>
      </c>
      <c r="D477" s="57">
        <v>110001299813</v>
      </c>
      <c r="E477" s="57">
        <v>110001299813</v>
      </c>
      <c r="F477" s="58" t="s">
        <v>223</v>
      </c>
      <c r="G477" s="59">
        <v>500</v>
      </c>
      <c r="H477" s="60">
        <v>46141</v>
      </c>
      <c r="I477" s="55">
        <v>46136</v>
      </c>
      <c r="J477" s="57">
        <v>500</v>
      </c>
      <c r="K477" s="4">
        <v>0</v>
      </c>
      <c r="L477" s="62"/>
      <c r="M477" s="63"/>
    </row>
    <row r="478" spans="1:13" s="45" customFormat="1" ht="13.25" customHeight="1" x14ac:dyDescent="0.3">
      <c r="A478" s="55">
        <v>46136</v>
      </c>
      <c r="B478" s="56" t="e">
        <v>#N/A</v>
      </c>
      <c r="C478" s="57">
        <v>10400019672</v>
      </c>
      <c r="D478" s="57">
        <v>110001299813</v>
      </c>
      <c r="E478" s="57">
        <v>110001299814</v>
      </c>
      <c r="F478" s="58" t="s">
        <v>369</v>
      </c>
      <c r="G478" s="59">
        <v>500</v>
      </c>
      <c r="H478" s="60">
        <v>46139</v>
      </c>
      <c r="I478" s="55">
        <v>46136</v>
      </c>
      <c r="J478" s="57">
        <v>500</v>
      </c>
      <c r="K478" s="4">
        <v>0</v>
      </c>
      <c r="L478" s="62"/>
      <c r="M478" s="63"/>
    </row>
    <row r="479" spans="1:13" s="45" customFormat="1" ht="13.25" customHeight="1" x14ac:dyDescent="0.3">
      <c r="A479" s="55">
        <v>46136</v>
      </c>
      <c r="B479" s="56">
        <v>10880020208</v>
      </c>
      <c r="C479" s="57">
        <v>10880020208</v>
      </c>
      <c r="D479" s="57">
        <v>110001299815</v>
      </c>
      <c r="E479" s="57">
        <v>110001299815</v>
      </c>
      <c r="F479" s="58" t="s">
        <v>220</v>
      </c>
      <c r="G479" s="59">
        <v>1600</v>
      </c>
      <c r="H479" s="60">
        <v>46140</v>
      </c>
      <c r="I479" s="55">
        <v>46136</v>
      </c>
      <c r="J479" s="57">
        <v>1600</v>
      </c>
      <c r="K479" s="4">
        <v>0</v>
      </c>
      <c r="L479" s="62"/>
      <c r="M479" s="63"/>
    </row>
    <row r="480" spans="1:13" s="45" customFormat="1" ht="13.25" customHeight="1" x14ac:dyDescent="0.3">
      <c r="A480" s="55">
        <v>46136</v>
      </c>
      <c r="B480" s="56" t="e">
        <v>#N/A</v>
      </c>
      <c r="C480" s="57">
        <v>10400019694</v>
      </c>
      <c r="D480" s="57">
        <v>110001299815</v>
      </c>
      <c r="E480" s="57">
        <v>110001299816</v>
      </c>
      <c r="F480" s="58" t="s">
        <v>220</v>
      </c>
      <c r="G480" s="59">
        <v>1600</v>
      </c>
      <c r="H480" s="60">
        <v>46138</v>
      </c>
      <c r="I480" s="55">
        <v>46136</v>
      </c>
      <c r="J480" s="57">
        <v>1600</v>
      </c>
      <c r="K480" s="4">
        <v>0</v>
      </c>
      <c r="L480" s="62"/>
      <c r="M480" s="63"/>
    </row>
    <row r="481" spans="1:13" s="45" customFormat="1" ht="13.25" customHeight="1" x14ac:dyDescent="0.3">
      <c r="A481" s="55">
        <v>46136</v>
      </c>
      <c r="B481" s="56">
        <v>10880031011</v>
      </c>
      <c r="C481" s="57">
        <v>10880031011</v>
      </c>
      <c r="D481" s="57">
        <v>110001302790</v>
      </c>
      <c r="E481" s="57">
        <v>110001302790</v>
      </c>
      <c r="F481" s="58" t="s">
        <v>49</v>
      </c>
      <c r="G481" s="59">
        <v>180</v>
      </c>
      <c r="H481" s="60">
        <v>46142</v>
      </c>
      <c r="I481" s="55">
        <v>46136</v>
      </c>
      <c r="J481" s="57">
        <v>180</v>
      </c>
      <c r="K481" s="4">
        <v>0</v>
      </c>
      <c r="L481" s="62"/>
      <c r="M481" s="63"/>
    </row>
    <row r="482" spans="1:13" s="45" customFormat="1" ht="13.25" customHeight="1" x14ac:dyDescent="0.3">
      <c r="A482" s="55">
        <v>46136</v>
      </c>
      <c r="B482" s="56">
        <v>10880030545</v>
      </c>
      <c r="C482" s="57">
        <v>10880030545</v>
      </c>
      <c r="D482" s="57">
        <v>110001302790</v>
      </c>
      <c r="E482" s="57">
        <v>110001302791</v>
      </c>
      <c r="F482" s="58" t="s">
        <v>46</v>
      </c>
      <c r="G482" s="59">
        <v>180</v>
      </c>
      <c r="H482" s="60">
        <v>46141</v>
      </c>
      <c r="I482" s="55">
        <v>46136</v>
      </c>
      <c r="J482" s="57">
        <v>180</v>
      </c>
      <c r="K482" s="4">
        <v>0</v>
      </c>
      <c r="L482" s="62"/>
      <c r="M482" s="63"/>
    </row>
    <row r="483" spans="1:13" s="45" customFormat="1" ht="13.25" customHeight="1" x14ac:dyDescent="0.3">
      <c r="A483" s="55">
        <v>46136</v>
      </c>
      <c r="B483" s="56">
        <v>10880031020</v>
      </c>
      <c r="C483" s="57">
        <v>10880031020</v>
      </c>
      <c r="D483" s="57">
        <v>110001302790</v>
      </c>
      <c r="E483" s="57">
        <v>110001302792</v>
      </c>
      <c r="F483" s="58" t="s">
        <v>47</v>
      </c>
      <c r="G483" s="59">
        <v>180</v>
      </c>
      <c r="H483" s="60">
        <v>46141</v>
      </c>
      <c r="I483" s="55">
        <v>46136</v>
      </c>
      <c r="J483" s="57">
        <v>180</v>
      </c>
      <c r="K483" s="4">
        <v>0</v>
      </c>
      <c r="L483" s="62"/>
      <c r="M483" s="63"/>
    </row>
    <row r="484" spans="1:13" s="45" customFormat="1" ht="13.25" customHeight="1" x14ac:dyDescent="0.3">
      <c r="A484" s="55">
        <v>46136</v>
      </c>
      <c r="B484" s="56" t="e">
        <v>#N/A</v>
      </c>
      <c r="C484" s="57">
        <v>10400024308</v>
      </c>
      <c r="D484" s="57">
        <v>110001302790</v>
      </c>
      <c r="E484" s="57">
        <v>110001302793</v>
      </c>
      <c r="F484" s="58" t="s">
        <v>46</v>
      </c>
      <c r="G484" s="59">
        <v>180</v>
      </c>
      <c r="H484" s="60">
        <v>46139</v>
      </c>
      <c r="I484" s="55">
        <v>46136</v>
      </c>
      <c r="J484" s="57">
        <v>180</v>
      </c>
      <c r="K484" s="4">
        <v>0</v>
      </c>
      <c r="L484" s="62"/>
      <c r="M484" s="63"/>
    </row>
    <row r="485" spans="1:13" s="45" customFormat="1" ht="13.25" customHeight="1" x14ac:dyDescent="0.3">
      <c r="A485" s="55">
        <v>46136</v>
      </c>
      <c r="B485" s="56" t="e">
        <v>#N/A</v>
      </c>
      <c r="C485" s="57">
        <v>10400024804</v>
      </c>
      <c r="D485" s="57">
        <v>110001302790</v>
      </c>
      <c r="E485" s="57">
        <v>110001302794</v>
      </c>
      <c r="F485" s="58" t="s">
        <v>47</v>
      </c>
      <c r="G485" s="59">
        <v>180</v>
      </c>
      <c r="H485" s="60">
        <v>46139</v>
      </c>
      <c r="I485" s="55">
        <v>46136</v>
      </c>
      <c r="J485" s="57">
        <v>180</v>
      </c>
      <c r="K485" s="4">
        <v>0</v>
      </c>
      <c r="L485" s="62"/>
      <c r="M485" s="63"/>
    </row>
    <row r="486" spans="1:13" s="45" customFormat="1" ht="13.25" customHeight="1" x14ac:dyDescent="0.3">
      <c r="A486" s="55">
        <v>46136</v>
      </c>
      <c r="B486" s="56">
        <v>10880031760</v>
      </c>
      <c r="C486" s="57">
        <v>10880031760</v>
      </c>
      <c r="D486" s="57">
        <v>110001302795</v>
      </c>
      <c r="E486" s="57">
        <v>110001302795</v>
      </c>
      <c r="F486" s="58" t="s">
        <v>48</v>
      </c>
      <c r="G486" s="59">
        <v>300</v>
      </c>
      <c r="H486" s="60">
        <v>46142</v>
      </c>
      <c r="I486" s="55">
        <v>46136</v>
      </c>
      <c r="J486" s="57">
        <v>300</v>
      </c>
      <c r="K486" s="4">
        <v>0</v>
      </c>
      <c r="L486" s="62"/>
      <c r="M486" s="63"/>
    </row>
    <row r="487" spans="1:13" s="45" customFormat="1" ht="13.25" customHeight="1" x14ac:dyDescent="0.3">
      <c r="A487" s="55">
        <v>46136</v>
      </c>
      <c r="B487" s="56">
        <v>10880030545</v>
      </c>
      <c r="C487" s="57">
        <v>10880030545</v>
      </c>
      <c r="D487" s="57">
        <v>110001302795</v>
      </c>
      <c r="E487" s="57">
        <v>110001302796</v>
      </c>
      <c r="F487" s="58" t="s">
        <v>46</v>
      </c>
      <c r="G487" s="59">
        <v>300</v>
      </c>
      <c r="H487" s="60">
        <v>46141</v>
      </c>
      <c r="I487" s="55">
        <v>46136</v>
      </c>
      <c r="J487" s="57">
        <v>300</v>
      </c>
      <c r="K487" s="4">
        <v>0</v>
      </c>
      <c r="L487" s="62"/>
      <c r="M487" s="63"/>
    </row>
    <row r="488" spans="1:13" s="45" customFormat="1" ht="13.25" customHeight="1" x14ac:dyDescent="0.3">
      <c r="A488" s="55">
        <v>46136</v>
      </c>
      <c r="B488" s="56">
        <v>10880031020</v>
      </c>
      <c r="C488" s="57">
        <v>10880031020</v>
      </c>
      <c r="D488" s="57">
        <v>110001302795</v>
      </c>
      <c r="E488" s="57">
        <v>110001302797</v>
      </c>
      <c r="F488" s="58" t="s">
        <v>47</v>
      </c>
      <c r="G488" s="59">
        <v>300</v>
      </c>
      <c r="H488" s="60">
        <v>46141</v>
      </c>
      <c r="I488" s="55">
        <v>46136</v>
      </c>
      <c r="J488" s="57">
        <v>300</v>
      </c>
      <c r="K488" s="4">
        <v>0</v>
      </c>
      <c r="L488" s="62"/>
      <c r="M488" s="63"/>
    </row>
    <row r="489" spans="1:13" s="45" customFormat="1" ht="13.25" customHeight="1" x14ac:dyDescent="0.3">
      <c r="A489" s="55">
        <v>46136</v>
      </c>
      <c r="B489" s="56" t="e">
        <v>#N/A</v>
      </c>
      <c r="C489" s="57">
        <v>10400024308</v>
      </c>
      <c r="D489" s="57">
        <v>110001302795</v>
      </c>
      <c r="E489" s="57">
        <v>110001302798</v>
      </c>
      <c r="F489" s="58" t="s">
        <v>46</v>
      </c>
      <c r="G489" s="59">
        <v>300</v>
      </c>
      <c r="H489" s="60">
        <v>46139</v>
      </c>
      <c r="I489" s="55">
        <v>46136</v>
      </c>
      <c r="J489" s="57">
        <v>300</v>
      </c>
      <c r="K489" s="4">
        <v>0</v>
      </c>
      <c r="L489" s="62"/>
      <c r="M489" s="63"/>
    </row>
    <row r="490" spans="1:13" s="45" customFormat="1" ht="13.25" customHeight="1" x14ac:dyDescent="0.3">
      <c r="A490" s="55">
        <v>46136</v>
      </c>
      <c r="B490" s="56" t="e">
        <v>#N/A</v>
      </c>
      <c r="C490" s="57">
        <v>10400024804</v>
      </c>
      <c r="D490" s="57">
        <v>110001302795</v>
      </c>
      <c r="E490" s="57">
        <v>110001302799</v>
      </c>
      <c r="F490" s="58" t="s">
        <v>47</v>
      </c>
      <c r="G490" s="59">
        <v>300</v>
      </c>
      <c r="H490" s="60">
        <v>46139</v>
      </c>
      <c r="I490" s="55">
        <v>46136</v>
      </c>
      <c r="J490" s="57">
        <v>300</v>
      </c>
      <c r="K490" s="4">
        <v>0</v>
      </c>
      <c r="L490" s="62"/>
      <c r="M490" s="63"/>
    </row>
    <row r="491" spans="1:13" s="45" customFormat="1" ht="13.25" customHeight="1" x14ac:dyDescent="0.3">
      <c r="A491" s="55">
        <v>46136</v>
      </c>
      <c r="B491" s="56">
        <v>10880020031</v>
      </c>
      <c r="C491" s="57">
        <v>10880020031</v>
      </c>
      <c r="D491" s="57">
        <v>110001302833</v>
      </c>
      <c r="E491" s="57">
        <v>110001302833</v>
      </c>
      <c r="F491" s="58" t="s">
        <v>180</v>
      </c>
      <c r="G491" s="59">
        <v>600</v>
      </c>
      <c r="H491" s="60">
        <v>46139</v>
      </c>
      <c r="I491" s="55">
        <v>46136</v>
      </c>
      <c r="J491" s="57">
        <v>600</v>
      </c>
      <c r="K491" s="4">
        <v>0</v>
      </c>
      <c r="L491" s="62"/>
      <c r="M491" s="63"/>
    </row>
    <row r="492" spans="1:13" s="45" customFormat="1" ht="13.25" customHeight="1" x14ac:dyDescent="0.3">
      <c r="A492" s="55">
        <v>46136</v>
      </c>
      <c r="B492" s="56" t="e">
        <v>#N/A</v>
      </c>
      <c r="C492" s="57">
        <v>10400019488</v>
      </c>
      <c r="D492" s="57">
        <v>110001302833</v>
      </c>
      <c r="E492" s="57">
        <v>110001302834</v>
      </c>
      <c r="F492" s="58" t="s">
        <v>180</v>
      </c>
      <c r="G492" s="59">
        <v>600</v>
      </c>
      <c r="H492" s="60">
        <v>46137</v>
      </c>
      <c r="I492" s="55">
        <v>46136</v>
      </c>
      <c r="J492" s="57">
        <v>600</v>
      </c>
      <c r="K492" s="4">
        <v>0</v>
      </c>
      <c r="L492" s="62"/>
      <c r="M492" s="63"/>
    </row>
    <row r="493" spans="1:13" s="45" customFormat="1" ht="13.25" customHeight="1" x14ac:dyDescent="0.3">
      <c r="A493" s="55">
        <v>46136</v>
      </c>
      <c r="B493" s="56">
        <v>10880037725</v>
      </c>
      <c r="C493" s="57">
        <v>10880037725</v>
      </c>
      <c r="D493" s="57">
        <v>110001304463</v>
      </c>
      <c r="E493" s="57">
        <v>110001304463</v>
      </c>
      <c r="F493" s="58" t="s">
        <v>256</v>
      </c>
      <c r="G493" s="59">
        <v>4005</v>
      </c>
      <c r="H493" s="60">
        <v>46141</v>
      </c>
      <c r="I493" s="55">
        <v>46136</v>
      </c>
      <c r="J493" s="57">
        <v>4005</v>
      </c>
      <c r="K493" s="4">
        <v>0</v>
      </c>
      <c r="L493" s="62"/>
      <c r="M493" s="63"/>
    </row>
    <row r="494" spans="1:13" s="45" customFormat="1" ht="13.25" customHeight="1" x14ac:dyDescent="0.3">
      <c r="A494" s="55">
        <v>46136</v>
      </c>
      <c r="B494" s="56" t="e">
        <v>#N/A</v>
      </c>
      <c r="C494" s="57">
        <v>10400032806</v>
      </c>
      <c r="D494" s="57">
        <v>110001304463</v>
      </c>
      <c r="E494" s="57">
        <v>110001304464</v>
      </c>
      <c r="F494" s="58" t="s">
        <v>279</v>
      </c>
      <c r="G494" s="59">
        <v>4005</v>
      </c>
      <c r="H494" s="60">
        <v>46139</v>
      </c>
      <c r="I494" s="55">
        <v>46136</v>
      </c>
      <c r="J494" s="57">
        <v>4005</v>
      </c>
      <c r="K494" s="4">
        <v>0</v>
      </c>
      <c r="L494" s="62"/>
      <c r="M494" s="63"/>
    </row>
    <row r="495" spans="1:13" s="45" customFormat="1" ht="13.25" customHeight="1" x14ac:dyDescent="0.3">
      <c r="A495" s="55">
        <v>46136</v>
      </c>
      <c r="B495" s="56">
        <v>10880034093</v>
      </c>
      <c r="C495" s="57">
        <v>10880034093</v>
      </c>
      <c r="D495" s="57">
        <v>110001308391</v>
      </c>
      <c r="E495" s="57">
        <v>110001308391</v>
      </c>
      <c r="F495" s="58" t="s">
        <v>212</v>
      </c>
      <c r="G495" s="59">
        <v>600</v>
      </c>
      <c r="H495" s="60">
        <v>46139</v>
      </c>
      <c r="I495" s="55">
        <v>46136</v>
      </c>
      <c r="J495" s="57">
        <v>600</v>
      </c>
      <c r="K495" s="4">
        <v>0</v>
      </c>
      <c r="L495" s="62"/>
      <c r="M495" s="63"/>
    </row>
    <row r="496" spans="1:13" s="45" customFormat="1" ht="13.25" customHeight="1" x14ac:dyDescent="0.3">
      <c r="A496" s="55">
        <v>46136</v>
      </c>
      <c r="B496" s="56" t="e">
        <v>#N/A</v>
      </c>
      <c r="C496" s="57">
        <v>10400027929</v>
      </c>
      <c r="D496" s="57">
        <v>110001308391</v>
      </c>
      <c r="E496" s="57">
        <v>110001308392</v>
      </c>
      <c r="F496" s="58" t="s">
        <v>212</v>
      </c>
      <c r="G496" s="59">
        <v>600</v>
      </c>
      <c r="H496" s="60">
        <v>46137</v>
      </c>
      <c r="I496" s="55">
        <v>46136</v>
      </c>
      <c r="J496" s="57">
        <v>600</v>
      </c>
      <c r="K496" s="4">
        <v>0</v>
      </c>
      <c r="L496" s="62"/>
      <c r="M496" s="63"/>
    </row>
    <row r="497" spans="1:13" s="45" customFormat="1" ht="13.25" customHeight="1" x14ac:dyDescent="0.3">
      <c r="A497" s="55">
        <v>46136</v>
      </c>
      <c r="B497" s="56">
        <v>10880034946</v>
      </c>
      <c r="C497" s="57">
        <v>10880034946</v>
      </c>
      <c r="D497" s="57">
        <v>110001308393</v>
      </c>
      <c r="E497" s="57">
        <v>110001308393</v>
      </c>
      <c r="F497" s="58" t="s">
        <v>97</v>
      </c>
      <c r="G497" s="59">
        <v>500</v>
      </c>
      <c r="H497" s="60">
        <v>46140</v>
      </c>
      <c r="I497" s="55">
        <v>46136</v>
      </c>
      <c r="J497" s="57">
        <v>500</v>
      </c>
      <c r="K497" s="4">
        <v>0</v>
      </c>
      <c r="L497" s="62"/>
      <c r="M497" s="63"/>
    </row>
    <row r="498" spans="1:13" s="45" customFormat="1" ht="13.25" customHeight="1" x14ac:dyDescent="0.3">
      <c r="A498" s="55">
        <v>46136</v>
      </c>
      <c r="B498" s="56" t="e">
        <v>#N/A</v>
      </c>
      <c r="C498" s="57">
        <v>10400029023</v>
      </c>
      <c r="D498" s="57">
        <v>110001308393</v>
      </c>
      <c r="E498" s="57">
        <v>110001308394</v>
      </c>
      <c r="F498" s="58" t="s">
        <v>97</v>
      </c>
      <c r="G498" s="59">
        <v>500</v>
      </c>
      <c r="H498" s="60">
        <v>46138</v>
      </c>
      <c r="I498" s="55">
        <v>46136</v>
      </c>
      <c r="J498" s="57">
        <v>500</v>
      </c>
      <c r="K498" s="4">
        <v>0</v>
      </c>
      <c r="L498" s="62"/>
      <c r="M498" s="63"/>
    </row>
    <row r="499" spans="1:13" s="45" customFormat="1" ht="13.25" customHeight="1" x14ac:dyDescent="0.3">
      <c r="A499" s="55">
        <v>46136</v>
      </c>
      <c r="B499" s="56">
        <v>10880037724</v>
      </c>
      <c r="C499" s="57">
        <v>10880037724</v>
      </c>
      <c r="D499" s="57">
        <v>110001311362</v>
      </c>
      <c r="E499" s="57">
        <v>110001311362</v>
      </c>
      <c r="F499" s="58" t="s">
        <v>255</v>
      </c>
      <c r="G499" s="59">
        <v>4005</v>
      </c>
      <c r="H499" s="60">
        <v>46139</v>
      </c>
      <c r="I499" s="55">
        <v>46136</v>
      </c>
      <c r="J499" s="57">
        <v>4005</v>
      </c>
      <c r="K499" s="4">
        <v>0</v>
      </c>
      <c r="L499" s="62"/>
      <c r="M499" s="63"/>
    </row>
    <row r="500" spans="1:13" s="45" customFormat="1" ht="13.25" customHeight="1" x14ac:dyDescent="0.3">
      <c r="A500" s="55">
        <v>46136</v>
      </c>
      <c r="B500" s="56" t="e">
        <v>#N/A</v>
      </c>
      <c r="C500" s="57">
        <v>10400032805</v>
      </c>
      <c r="D500" s="57">
        <v>110001311362</v>
      </c>
      <c r="E500" s="57">
        <v>110001311363</v>
      </c>
      <c r="F500" s="58" t="s">
        <v>275</v>
      </c>
      <c r="G500" s="59">
        <v>4005</v>
      </c>
      <c r="H500" s="60">
        <v>46137</v>
      </c>
      <c r="I500" s="55">
        <v>46136</v>
      </c>
      <c r="J500" s="57">
        <v>4005</v>
      </c>
      <c r="K500" s="4">
        <v>0</v>
      </c>
      <c r="L500" s="62"/>
      <c r="M500" s="63"/>
    </row>
    <row r="501" spans="1:13" s="45" customFormat="1" ht="13.25" customHeight="1" x14ac:dyDescent="0.3">
      <c r="A501" s="55">
        <v>46136</v>
      </c>
      <c r="B501" s="56">
        <v>10880020677</v>
      </c>
      <c r="C501" s="57">
        <v>10880020677</v>
      </c>
      <c r="D501" s="57">
        <v>110001313795</v>
      </c>
      <c r="E501" s="57">
        <v>110001313795</v>
      </c>
      <c r="F501" s="58" t="s">
        <v>221</v>
      </c>
      <c r="G501" s="59">
        <v>50</v>
      </c>
      <c r="H501" s="60">
        <v>46140</v>
      </c>
      <c r="I501" s="55">
        <v>46136</v>
      </c>
      <c r="J501" s="57">
        <v>50</v>
      </c>
      <c r="K501" s="4">
        <v>0</v>
      </c>
      <c r="L501" s="62"/>
      <c r="M501" s="63"/>
    </row>
    <row r="502" spans="1:13" s="45" customFormat="1" ht="13.25" customHeight="1" x14ac:dyDescent="0.3">
      <c r="A502" s="55">
        <v>46136</v>
      </c>
      <c r="B502" s="56" t="e">
        <v>#N/A</v>
      </c>
      <c r="C502" s="57">
        <v>10400020073</v>
      </c>
      <c r="D502" s="57">
        <v>110001313795</v>
      </c>
      <c r="E502" s="57">
        <v>110001313796</v>
      </c>
      <c r="F502" s="58" t="s">
        <v>221</v>
      </c>
      <c r="G502" s="59">
        <v>50</v>
      </c>
      <c r="H502" s="60">
        <v>46138</v>
      </c>
      <c r="I502" s="55">
        <v>46136</v>
      </c>
      <c r="J502" s="57">
        <v>50</v>
      </c>
      <c r="K502" s="4">
        <v>0</v>
      </c>
      <c r="L502" s="62"/>
      <c r="M502" s="63"/>
    </row>
    <row r="503" spans="1:13" s="45" customFormat="1" ht="13.25" customHeight="1" x14ac:dyDescent="0.3">
      <c r="A503" s="55">
        <v>46136</v>
      </c>
      <c r="B503" s="56">
        <v>10880020940</v>
      </c>
      <c r="C503" s="57">
        <v>10880020940</v>
      </c>
      <c r="D503" s="57">
        <v>110001313797</v>
      </c>
      <c r="E503" s="57">
        <v>110001313797</v>
      </c>
      <c r="F503" s="58" t="s">
        <v>222</v>
      </c>
      <c r="G503" s="59">
        <v>50</v>
      </c>
      <c r="H503" s="60">
        <v>46140</v>
      </c>
      <c r="I503" s="55">
        <v>46136</v>
      </c>
      <c r="J503" s="57">
        <v>50</v>
      </c>
      <c r="K503" s="4">
        <v>0</v>
      </c>
      <c r="L503" s="62"/>
      <c r="M503" s="63"/>
    </row>
    <row r="504" spans="1:13" s="45" customFormat="1" ht="13.25" customHeight="1" x14ac:dyDescent="0.3">
      <c r="A504" s="55">
        <v>46136</v>
      </c>
      <c r="B504" s="56" t="e">
        <v>#N/A</v>
      </c>
      <c r="C504" s="57">
        <v>10400020411</v>
      </c>
      <c r="D504" s="57">
        <v>110001313797</v>
      </c>
      <c r="E504" s="57">
        <v>110001313798</v>
      </c>
      <c r="F504" s="58" t="s">
        <v>222</v>
      </c>
      <c r="G504" s="59">
        <v>50</v>
      </c>
      <c r="H504" s="60">
        <v>46138</v>
      </c>
      <c r="I504" s="55">
        <v>46136</v>
      </c>
      <c r="J504" s="57">
        <v>50</v>
      </c>
      <c r="K504" s="4">
        <v>0</v>
      </c>
      <c r="L504" s="62"/>
      <c r="M504" s="63"/>
    </row>
    <row r="505" spans="1:13" s="45" customFormat="1" ht="13.25" customHeight="1" x14ac:dyDescent="0.3">
      <c r="A505" s="55">
        <v>46137</v>
      </c>
      <c r="B505" s="56">
        <f>VLOOKUP(C505,[7]完成订单!$D:$D,1,0)</f>
        <v>10880037370</v>
      </c>
      <c r="C505" s="57">
        <v>10880037370</v>
      </c>
      <c r="D505" s="57">
        <v>110001283917</v>
      </c>
      <c r="E505" s="57">
        <v>110001283917</v>
      </c>
      <c r="F505" s="58" t="s">
        <v>217</v>
      </c>
      <c r="G505" s="59">
        <v>4600</v>
      </c>
      <c r="H505" s="60">
        <v>46140</v>
      </c>
      <c r="I505" s="55">
        <v>46137</v>
      </c>
      <c r="J505" s="57">
        <v>4600</v>
      </c>
      <c r="K505" s="4">
        <f>+J505-G505</f>
        <v>0</v>
      </c>
      <c r="L505" s="62"/>
      <c r="M505" s="63"/>
    </row>
    <row r="506" spans="1:13" s="45" customFormat="1" ht="13.25" customHeight="1" x14ac:dyDescent="0.3">
      <c r="A506" s="55">
        <v>46137</v>
      </c>
      <c r="B506" s="56" t="e">
        <f>VLOOKUP(C506,[7]完成订单!$D:$D,1,0)</f>
        <v>#N/A</v>
      </c>
      <c r="C506" s="57">
        <v>10400032313</v>
      </c>
      <c r="D506" s="57">
        <v>110001283917</v>
      </c>
      <c r="E506" s="57">
        <v>110001283918</v>
      </c>
      <c r="F506" s="58" t="s">
        <v>324</v>
      </c>
      <c r="G506" s="59">
        <v>4600</v>
      </c>
      <c r="H506" s="60">
        <v>46138</v>
      </c>
      <c r="I506" s="55">
        <v>46137</v>
      </c>
      <c r="J506" s="57">
        <v>4600</v>
      </c>
      <c r="K506" s="4">
        <f t="shared" ref="K506:K544" si="12">+J506-G506</f>
        <v>0</v>
      </c>
      <c r="L506" s="62"/>
      <c r="M506" s="63"/>
    </row>
    <row r="507" spans="1:13" s="45" customFormat="1" ht="13.25" customHeight="1" x14ac:dyDescent="0.3">
      <c r="A507" s="55">
        <v>46137</v>
      </c>
      <c r="B507" s="56">
        <f>VLOOKUP(C507,[7]完成订单!$D:$D,1,0)</f>
        <v>10880030334</v>
      </c>
      <c r="C507" s="57">
        <v>10880030334</v>
      </c>
      <c r="D507" s="57">
        <v>110001285756</v>
      </c>
      <c r="E507" s="57">
        <v>110001285756</v>
      </c>
      <c r="F507" s="58" t="s">
        <v>69</v>
      </c>
      <c r="G507" s="59">
        <v>1026</v>
      </c>
      <c r="H507" s="60">
        <v>46141</v>
      </c>
      <c r="I507" s="55">
        <v>46137</v>
      </c>
      <c r="J507" s="57">
        <v>1026</v>
      </c>
      <c r="K507" s="4">
        <f t="shared" si="12"/>
        <v>0</v>
      </c>
      <c r="L507" s="62"/>
      <c r="M507" s="63"/>
    </row>
    <row r="508" spans="1:13" s="45" customFormat="1" ht="13.25" customHeight="1" x14ac:dyDescent="0.3">
      <c r="A508" s="55">
        <v>46137</v>
      </c>
      <c r="B508" s="56" t="e">
        <f>VLOOKUP(C508,[7]完成订单!$D:$D,1,0)</f>
        <v>#N/A</v>
      </c>
      <c r="C508" s="57">
        <v>10400024063</v>
      </c>
      <c r="D508" s="57">
        <v>110001285756</v>
      </c>
      <c r="E508" s="57">
        <v>110001285757</v>
      </c>
      <c r="F508" s="58" t="s">
        <v>69</v>
      </c>
      <c r="G508" s="59">
        <v>1026</v>
      </c>
      <c r="H508" s="60">
        <v>46139</v>
      </c>
      <c r="I508" s="55">
        <v>46137</v>
      </c>
      <c r="J508" s="57">
        <v>1026</v>
      </c>
      <c r="K508" s="4">
        <f t="shared" si="12"/>
        <v>0</v>
      </c>
      <c r="L508" s="62"/>
      <c r="M508" s="63"/>
    </row>
    <row r="509" spans="1:13" s="45" customFormat="1" ht="13.25" customHeight="1" x14ac:dyDescent="0.3">
      <c r="A509" s="55">
        <v>46137</v>
      </c>
      <c r="B509" s="56">
        <f>VLOOKUP(C509,[7]完成订单!$D:$D,1,0)</f>
        <v>10880038442</v>
      </c>
      <c r="C509" s="57">
        <v>10880038442</v>
      </c>
      <c r="D509" s="57">
        <v>110001292549</v>
      </c>
      <c r="E509" s="57">
        <v>110001292549</v>
      </c>
      <c r="F509" s="58" t="s">
        <v>144</v>
      </c>
      <c r="G509" s="59">
        <v>501</v>
      </c>
      <c r="H509" s="60">
        <v>46140</v>
      </c>
      <c r="I509" s="55">
        <v>46137</v>
      </c>
      <c r="J509" s="57">
        <v>501</v>
      </c>
      <c r="K509" s="4">
        <f t="shared" si="12"/>
        <v>0</v>
      </c>
      <c r="L509" s="62"/>
      <c r="M509" s="63"/>
    </row>
    <row r="510" spans="1:13" s="45" customFormat="1" ht="13.25" customHeight="1" x14ac:dyDescent="0.3">
      <c r="A510" s="55">
        <v>46137</v>
      </c>
      <c r="B510" s="56">
        <f>VLOOKUP(C510,[7]完成订单!$D:$D,1,0)</f>
        <v>10400033234</v>
      </c>
      <c r="C510" s="57">
        <v>10400033234</v>
      </c>
      <c r="D510" s="57">
        <v>110001292549</v>
      </c>
      <c r="E510" s="57">
        <v>110001292550</v>
      </c>
      <c r="F510" s="58" t="s">
        <v>124</v>
      </c>
      <c r="G510" s="59">
        <v>501</v>
      </c>
      <c r="H510" s="60">
        <v>46140</v>
      </c>
      <c r="I510" s="55">
        <v>46137</v>
      </c>
      <c r="J510" s="57">
        <v>501</v>
      </c>
      <c r="K510" s="4">
        <f t="shared" si="12"/>
        <v>0</v>
      </c>
      <c r="L510" s="62"/>
      <c r="M510" s="63"/>
    </row>
    <row r="511" spans="1:13" s="45" customFormat="1" ht="13.25" customHeight="1" x14ac:dyDescent="0.3">
      <c r="A511" s="55">
        <v>46137</v>
      </c>
      <c r="B511" s="56">
        <f>VLOOKUP(C511,[7]完成订单!$D:$D,1,0)</f>
        <v>10400033743</v>
      </c>
      <c r="C511" s="57">
        <v>10400033743</v>
      </c>
      <c r="D511" s="57">
        <v>110001292549</v>
      </c>
      <c r="E511" s="57">
        <v>110001292551</v>
      </c>
      <c r="F511" s="58" t="s">
        <v>145</v>
      </c>
      <c r="G511" s="59">
        <v>501</v>
      </c>
      <c r="H511" s="60">
        <v>46140</v>
      </c>
      <c r="I511" s="55">
        <v>46137</v>
      </c>
      <c r="J511" s="57">
        <v>501</v>
      </c>
      <c r="K511" s="4">
        <f t="shared" si="12"/>
        <v>0</v>
      </c>
      <c r="L511" s="62"/>
      <c r="M511" s="63"/>
    </row>
    <row r="512" spans="1:13" s="45" customFormat="1" ht="13.25" customHeight="1" x14ac:dyDescent="0.3">
      <c r="A512" s="55">
        <v>46137</v>
      </c>
      <c r="B512" s="56" t="e">
        <f>VLOOKUP(C512,[7]完成订单!$D:$D,1,0)</f>
        <v>#N/A</v>
      </c>
      <c r="C512" s="57">
        <v>10400033744</v>
      </c>
      <c r="D512" s="57">
        <v>110001292549</v>
      </c>
      <c r="E512" s="57">
        <v>110001292552</v>
      </c>
      <c r="F512" s="58" t="s">
        <v>145</v>
      </c>
      <c r="G512" s="59">
        <v>501</v>
      </c>
      <c r="H512" s="60">
        <v>46138</v>
      </c>
      <c r="I512" s="55">
        <v>46137</v>
      </c>
      <c r="J512" s="57">
        <v>501</v>
      </c>
      <c r="K512" s="4">
        <f t="shared" si="12"/>
        <v>0</v>
      </c>
      <c r="L512" s="62"/>
      <c r="M512" s="63"/>
    </row>
    <row r="513" spans="1:13" s="45" customFormat="1" ht="13.25" customHeight="1" x14ac:dyDescent="0.3">
      <c r="A513" s="55">
        <v>46137</v>
      </c>
      <c r="B513" s="56">
        <f>VLOOKUP(C513,[7]完成订单!$D:$D,1,0)</f>
        <v>10880038602</v>
      </c>
      <c r="C513" s="57">
        <v>10880038602</v>
      </c>
      <c r="D513" s="57">
        <v>110001292667</v>
      </c>
      <c r="E513" s="57">
        <v>110001292667</v>
      </c>
      <c r="F513" s="58" t="s">
        <v>132</v>
      </c>
      <c r="G513" s="59">
        <v>2001</v>
      </c>
      <c r="H513" s="60">
        <v>46140</v>
      </c>
      <c r="I513" s="55">
        <v>46137</v>
      </c>
      <c r="J513" s="57">
        <v>2001</v>
      </c>
      <c r="K513" s="4">
        <f t="shared" si="12"/>
        <v>0</v>
      </c>
      <c r="L513" s="62"/>
      <c r="M513" s="63"/>
    </row>
    <row r="514" spans="1:13" s="45" customFormat="1" ht="13.25" customHeight="1" x14ac:dyDescent="0.3">
      <c r="A514" s="55">
        <v>46137</v>
      </c>
      <c r="B514" s="56">
        <f>VLOOKUP(C514,[7]完成订单!$D:$D,1,0)</f>
        <v>10400033234</v>
      </c>
      <c r="C514" s="57">
        <v>10400033234</v>
      </c>
      <c r="D514" s="57">
        <v>110001292667</v>
      </c>
      <c r="E514" s="57">
        <v>110001292668</v>
      </c>
      <c r="F514" s="58" t="s">
        <v>124</v>
      </c>
      <c r="G514" s="59">
        <v>2001</v>
      </c>
      <c r="H514" s="60">
        <v>46140</v>
      </c>
      <c r="I514" s="55">
        <v>46137</v>
      </c>
      <c r="J514" s="57">
        <v>2001</v>
      </c>
      <c r="K514" s="4">
        <f t="shared" si="12"/>
        <v>0</v>
      </c>
      <c r="L514" s="62"/>
      <c r="M514" s="63"/>
    </row>
    <row r="515" spans="1:13" s="45" customFormat="1" ht="13.25" customHeight="1" x14ac:dyDescent="0.3">
      <c r="A515" s="55">
        <v>46137</v>
      </c>
      <c r="B515" s="56">
        <f>VLOOKUP(C515,[7]完成订单!$D:$D,1,0)</f>
        <v>10400033943</v>
      </c>
      <c r="C515" s="57">
        <v>10400033943</v>
      </c>
      <c r="D515" s="57">
        <v>110001292667</v>
      </c>
      <c r="E515" s="57">
        <v>110001292669</v>
      </c>
      <c r="F515" s="58" t="s">
        <v>133</v>
      </c>
      <c r="G515" s="59">
        <v>2001</v>
      </c>
      <c r="H515" s="60">
        <v>46140</v>
      </c>
      <c r="I515" s="55">
        <v>46137</v>
      </c>
      <c r="J515" s="57">
        <v>2001</v>
      </c>
      <c r="K515" s="4">
        <f t="shared" si="12"/>
        <v>0</v>
      </c>
      <c r="L515" s="62"/>
      <c r="M515" s="63"/>
    </row>
    <row r="516" spans="1:13" s="45" customFormat="1" ht="13.25" customHeight="1" x14ac:dyDescent="0.3">
      <c r="A516" s="55">
        <v>46137</v>
      </c>
      <c r="B516" s="56" t="e">
        <f>VLOOKUP(C516,[7]完成订单!$D:$D,1,0)</f>
        <v>#N/A</v>
      </c>
      <c r="C516" s="57">
        <v>10400033944</v>
      </c>
      <c r="D516" s="57">
        <v>110001292667</v>
      </c>
      <c r="E516" s="57">
        <v>110001292670</v>
      </c>
      <c r="F516" s="58" t="s">
        <v>133</v>
      </c>
      <c r="G516" s="59">
        <v>2001</v>
      </c>
      <c r="H516" s="60">
        <v>46138</v>
      </c>
      <c r="I516" s="55">
        <v>46137</v>
      </c>
      <c r="J516" s="57">
        <v>2001</v>
      </c>
      <c r="K516" s="4">
        <f t="shared" si="12"/>
        <v>0</v>
      </c>
      <c r="L516" s="62"/>
      <c r="M516" s="63"/>
    </row>
    <row r="517" spans="1:13" s="45" customFormat="1" ht="13.25" customHeight="1" x14ac:dyDescent="0.3">
      <c r="A517" s="55">
        <v>46137</v>
      </c>
      <c r="B517" s="56">
        <f>VLOOKUP(C517,[7]完成订单!$D:$D,1,0)</f>
        <v>10880033329</v>
      </c>
      <c r="C517" s="57">
        <v>10880033329</v>
      </c>
      <c r="D517" s="57">
        <v>110001296370</v>
      </c>
      <c r="E517" s="57">
        <v>110001296370</v>
      </c>
      <c r="F517" s="58" t="s">
        <v>71</v>
      </c>
      <c r="G517" s="59">
        <v>5000</v>
      </c>
      <c r="H517" s="60">
        <v>46142</v>
      </c>
      <c r="I517" s="55">
        <v>46137</v>
      </c>
      <c r="J517" s="57">
        <v>5000</v>
      </c>
      <c r="K517" s="4">
        <f t="shared" si="12"/>
        <v>0</v>
      </c>
      <c r="L517" s="62"/>
      <c r="M517" s="63"/>
    </row>
    <row r="518" spans="1:13" s="45" customFormat="1" ht="13.25" customHeight="1" x14ac:dyDescent="0.3">
      <c r="A518" s="55">
        <v>46137</v>
      </c>
      <c r="B518" s="56" t="e">
        <f>VLOOKUP(C518,[7]完成订单!$D:$D,1,0)</f>
        <v>#N/A</v>
      </c>
      <c r="C518" s="57">
        <v>10400027055</v>
      </c>
      <c r="D518" s="57">
        <v>110001296370</v>
      </c>
      <c r="E518" s="57">
        <v>110001296371</v>
      </c>
      <c r="F518" s="58" t="s">
        <v>71</v>
      </c>
      <c r="G518" s="59">
        <v>5000</v>
      </c>
      <c r="H518" s="60">
        <v>46140</v>
      </c>
      <c r="I518" s="55">
        <v>46137</v>
      </c>
      <c r="J518" s="57">
        <v>5000</v>
      </c>
      <c r="K518" s="4">
        <f t="shared" si="12"/>
        <v>0</v>
      </c>
      <c r="L518" s="62"/>
      <c r="M518" s="63"/>
    </row>
    <row r="519" spans="1:13" s="45" customFormat="1" ht="13.25" customHeight="1" x14ac:dyDescent="0.3">
      <c r="A519" s="55">
        <v>46137</v>
      </c>
      <c r="B519" s="56">
        <f>VLOOKUP(C519,[7]完成订单!$D:$D,1,0)</f>
        <v>10880035709</v>
      </c>
      <c r="C519" s="57">
        <v>10880035709</v>
      </c>
      <c r="D519" s="57">
        <v>110001303019</v>
      </c>
      <c r="E519" s="57">
        <v>110001303019</v>
      </c>
      <c r="F519" s="58" t="s">
        <v>175</v>
      </c>
      <c r="G519" s="59">
        <v>1000</v>
      </c>
      <c r="H519" s="60">
        <v>46141</v>
      </c>
      <c r="I519" s="55">
        <v>46137</v>
      </c>
      <c r="J519" s="57">
        <v>1000</v>
      </c>
      <c r="K519" s="4">
        <f t="shared" si="12"/>
        <v>0</v>
      </c>
      <c r="L519" s="62"/>
      <c r="M519" s="63"/>
    </row>
    <row r="520" spans="1:13" s="45" customFormat="1" ht="13.25" customHeight="1" x14ac:dyDescent="0.3">
      <c r="A520" s="55">
        <v>46137</v>
      </c>
      <c r="B520" s="56" t="e">
        <f>VLOOKUP(C520,[7]完成订单!$D:$D,1,0)</f>
        <v>#N/A</v>
      </c>
      <c r="C520" s="57">
        <v>10400024896</v>
      </c>
      <c r="D520" s="57">
        <v>110001303019</v>
      </c>
      <c r="E520" s="57">
        <v>110001303020</v>
      </c>
      <c r="F520" s="58" t="s">
        <v>278</v>
      </c>
      <c r="G520" s="59">
        <v>1000</v>
      </c>
      <c r="H520" s="60">
        <v>46139</v>
      </c>
      <c r="I520" s="55">
        <v>46137</v>
      </c>
      <c r="J520" s="57">
        <v>1000</v>
      </c>
      <c r="K520" s="4">
        <f t="shared" si="12"/>
        <v>0</v>
      </c>
      <c r="L520" s="62"/>
      <c r="M520" s="63"/>
    </row>
    <row r="521" spans="1:13" s="45" customFormat="1" ht="13.25" customHeight="1" x14ac:dyDescent="0.3">
      <c r="A521" s="55">
        <v>46137</v>
      </c>
      <c r="B521" s="56">
        <f>VLOOKUP(C521,[7]完成订单!$D:$D,1,0)</f>
        <v>10880038833</v>
      </c>
      <c r="C521" s="57">
        <v>10880038833</v>
      </c>
      <c r="D521" s="57">
        <v>110001303249</v>
      </c>
      <c r="E521" s="57">
        <v>110001303249</v>
      </c>
      <c r="F521" s="58" t="s">
        <v>142</v>
      </c>
      <c r="G521" s="59">
        <v>1602</v>
      </c>
      <c r="H521" s="60">
        <v>46140</v>
      </c>
      <c r="I521" s="55">
        <v>46137</v>
      </c>
      <c r="J521" s="57">
        <v>1602</v>
      </c>
      <c r="K521" s="4">
        <f t="shared" si="12"/>
        <v>0</v>
      </c>
      <c r="L521" s="62"/>
      <c r="M521" s="63"/>
    </row>
    <row r="522" spans="1:13" s="45" customFormat="1" ht="13.25" customHeight="1" x14ac:dyDescent="0.3">
      <c r="A522" s="55">
        <v>46137</v>
      </c>
      <c r="B522" s="56">
        <f>VLOOKUP(C522,[7]完成订单!$D:$D,1,0)</f>
        <v>10400033234</v>
      </c>
      <c r="C522" s="57">
        <v>10400033234</v>
      </c>
      <c r="D522" s="57">
        <v>110001303249</v>
      </c>
      <c r="E522" s="57">
        <v>110001303250</v>
      </c>
      <c r="F522" s="58" t="s">
        <v>124</v>
      </c>
      <c r="G522" s="59">
        <v>1602</v>
      </c>
      <c r="H522" s="60">
        <v>46139</v>
      </c>
      <c r="I522" s="55">
        <v>46137</v>
      </c>
      <c r="J522" s="57">
        <v>1602</v>
      </c>
      <c r="K522" s="4">
        <f t="shared" si="12"/>
        <v>0</v>
      </c>
      <c r="L522" s="62"/>
      <c r="M522" s="63"/>
    </row>
    <row r="523" spans="1:13" s="45" customFormat="1" ht="13.25" customHeight="1" x14ac:dyDescent="0.3">
      <c r="A523" s="55">
        <v>46137</v>
      </c>
      <c r="B523" s="56">
        <f>VLOOKUP(C523,[7]完成订单!$D:$D,1,0)</f>
        <v>10400034268</v>
      </c>
      <c r="C523" s="57">
        <v>10400034268</v>
      </c>
      <c r="D523" s="57">
        <v>110001303249</v>
      </c>
      <c r="E523" s="57">
        <v>110001303251</v>
      </c>
      <c r="F523" s="58" t="s">
        <v>143</v>
      </c>
      <c r="G523" s="59">
        <v>1602</v>
      </c>
      <c r="H523" s="60">
        <v>46140</v>
      </c>
      <c r="I523" s="55">
        <v>46137</v>
      </c>
      <c r="J523" s="57">
        <v>1602</v>
      </c>
      <c r="K523" s="4">
        <f t="shared" si="12"/>
        <v>0</v>
      </c>
      <c r="L523" s="62"/>
      <c r="M523" s="63"/>
    </row>
    <row r="524" spans="1:13" s="45" customFormat="1" ht="13.25" customHeight="1" x14ac:dyDescent="0.3">
      <c r="A524" s="55">
        <v>46137</v>
      </c>
      <c r="B524" s="56" t="e">
        <f>VLOOKUP(C524,[7]完成订单!$D:$D,1,0)</f>
        <v>#N/A</v>
      </c>
      <c r="C524" s="57">
        <v>10400034269</v>
      </c>
      <c r="D524" s="57">
        <v>110001303249</v>
      </c>
      <c r="E524" s="57">
        <v>110001303252</v>
      </c>
      <c r="F524" s="58" t="s">
        <v>143</v>
      </c>
      <c r="G524" s="59">
        <v>1602</v>
      </c>
      <c r="H524" s="60">
        <v>46138</v>
      </c>
      <c r="I524" s="55">
        <v>46137</v>
      </c>
      <c r="J524" s="57">
        <v>1602</v>
      </c>
      <c r="K524" s="4">
        <f t="shared" si="12"/>
        <v>0</v>
      </c>
      <c r="L524" s="62"/>
      <c r="M524" s="63"/>
    </row>
    <row r="525" spans="1:13" s="45" customFormat="1" ht="13.25" customHeight="1" x14ac:dyDescent="0.3">
      <c r="A525" s="55">
        <v>46137</v>
      </c>
      <c r="B525" s="56">
        <f>VLOOKUP(C525,[7]完成订单!$D:$D,1,0)</f>
        <v>10880031185</v>
      </c>
      <c r="C525" s="57">
        <v>10880031185</v>
      </c>
      <c r="D525" s="57">
        <v>110001311069</v>
      </c>
      <c r="E525" s="57">
        <v>110001311069</v>
      </c>
      <c r="F525" s="58" t="s">
        <v>172</v>
      </c>
      <c r="G525" s="59">
        <v>1250</v>
      </c>
      <c r="H525" s="60">
        <v>46139</v>
      </c>
      <c r="I525" s="55">
        <v>46137</v>
      </c>
      <c r="J525" s="57">
        <v>1250</v>
      </c>
      <c r="K525" s="4">
        <f t="shared" si="12"/>
        <v>0</v>
      </c>
      <c r="L525" s="62"/>
      <c r="M525" s="63"/>
    </row>
    <row r="526" spans="1:13" s="45" customFormat="1" ht="13.25" customHeight="1" x14ac:dyDescent="0.3">
      <c r="A526" s="55">
        <v>46137</v>
      </c>
      <c r="B526" s="56" t="e">
        <f>VLOOKUP(C526,[7]完成订单!$D:$D,1,0)</f>
        <v>#N/A</v>
      </c>
      <c r="C526" s="57">
        <v>10400024982</v>
      </c>
      <c r="D526" s="57">
        <v>110001311069</v>
      </c>
      <c r="E526" s="57">
        <v>110001311070</v>
      </c>
      <c r="F526" s="58" t="s">
        <v>172</v>
      </c>
      <c r="G526" s="59">
        <v>1250</v>
      </c>
      <c r="H526" s="60">
        <v>46137</v>
      </c>
      <c r="I526" s="55">
        <v>46137</v>
      </c>
      <c r="J526" s="57">
        <v>1250</v>
      </c>
      <c r="K526" s="4">
        <f t="shared" si="12"/>
        <v>0</v>
      </c>
      <c r="L526" s="62"/>
      <c r="M526" s="63"/>
    </row>
    <row r="527" spans="1:13" s="45" customFormat="1" ht="13.25" customHeight="1" x14ac:dyDescent="0.3">
      <c r="A527" s="55">
        <v>46137</v>
      </c>
      <c r="B527" s="56" t="e">
        <f>VLOOKUP(C527,[7]完成订单!$D:$D,1,0)</f>
        <v>#N/A</v>
      </c>
      <c r="C527" s="57">
        <v>10880038832</v>
      </c>
      <c r="D527" s="57">
        <v>110001311633</v>
      </c>
      <c r="E527" s="57">
        <v>110001311633</v>
      </c>
      <c r="F527" s="58" t="s">
        <v>134</v>
      </c>
      <c r="G527" s="59">
        <v>1500</v>
      </c>
      <c r="H527" s="60">
        <v>46140</v>
      </c>
      <c r="I527" s="55">
        <v>46137</v>
      </c>
      <c r="J527" s="57">
        <v>1500</v>
      </c>
      <c r="K527" s="4">
        <f t="shared" si="12"/>
        <v>0</v>
      </c>
      <c r="L527" s="62"/>
      <c r="M527" s="63"/>
    </row>
    <row r="528" spans="1:13" s="45" customFormat="1" ht="13.25" customHeight="1" x14ac:dyDescent="0.3">
      <c r="A528" s="55">
        <v>46137</v>
      </c>
      <c r="B528" s="56">
        <f>VLOOKUP(C528,[7]完成订单!$D:$D,1,0)</f>
        <v>10400033234</v>
      </c>
      <c r="C528" s="57">
        <v>10400033234</v>
      </c>
      <c r="D528" s="57">
        <v>110001311633</v>
      </c>
      <c r="E528" s="57">
        <v>110001311634</v>
      </c>
      <c r="F528" s="58" t="s">
        <v>124</v>
      </c>
      <c r="G528" s="59">
        <v>1500</v>
      </c>
      <c r="H528" s="60">
        <v>46140</v>
      </c>
      <c r="I528" s="55">
        <v>46137</v>
      </c>
      <c r="J528" s="57">
        <v>1500</v>
      </c>
      <c r="K528" s="4">
        <f t="shared" si="12"/>
        <v>0</v>
      </c>
      <c r="L528" s="62"/>
      <c r="M528" s="63"/>
    </row>
    <row r="529" spans="1:13" s="45" customFormat="1" ht="13.25" customHeight="1" x14ac:dyDescent="0.3">
      <c r="A529" s="55">
        <v>46137</v>
      </c>
      <c r="B529" s="56" t="e">
        <f>VLOOKUP(C529,[7]完成订单!$D:$D,1,0)</f>
        <v>#N/A</v>
      </c>
      <c r="C529" s="57">
        <v>10400034266</v>
      </c>
      <c r="D529" s="57">
        <v>110001311633</v>
      </c>
      <c r="E529" s="57">
        <v>110001311635</v>
      </c>
      <c r="F529" s="58" t="s">
        <v>135</v>
      </c>
      <c r="G529" s="59">
        <v>1500</v>
      </c>
      <c r="H529" s="60">
        <v>46140</v>
      </c>
      <c r="I529" s="55">
        <v>46137</v>
      </c>
      <c r="J529" s="57">
        <v>1500</v>
      </c>
      <c r="K529" s="4">
        <f t="shared" si="12"/>
        <v>0</v>
      </c>
      <c r="L529" s="62"/>
      <c r="M529" s="63"/>
    </row>
    <row r="530" spans="1:13" s="45" customFormat="1" ht="13.25" customHeight="1" x14ac:dyDescent="0.3">
      <c r="A530" s="55">
        <v>46137</v>
      </c>
      <c r="B530" s="56" t="e">
        <f>VLOOKUP(C530,[7]完成订单!$D:$D,1,0)</f>
        <v>#N/A</v>
      </c>
      <c r="C530" s="57">
        <v>10400034267</v>
      </c>
      <c r="D530" s="57">
        <v>110001311633</v>
      </c>
      <c r="E530" s="57">
        <v>110001311636</v>
      </c>
      <c r="F530" s="58" t="s">
        <v>135</v>
      </c>
      <c r="G530" s="59">
        <v>1500</v>
      </c>
      <c r="H530" s="60">
        <v>46138</v>
      </c>
      <c r="I530" s="55">
        <v>46137</v>
      </c>
      <c r="J530" s="57">
        <v>1500</v>
      </c>
      <c r="K530" s="4">
        <f t="shared" si="12"/>
        <v>0</v>
      </c>
      <c r="L530" s="62"/>
      <c r="M530" s="63"/>
    </row>
    <row r="531" spans="1:13" s="45" customFormat="1" ht="13.25" customHeight="1" x14ac:dyDescent="0.3">
      <c r="A531" s="55">
        <v>46137</v>
      </c>
      <c r="B531" s="56">
        <f>VLOOKUP(C531,[7]完成订单!$D:$D,1,0)</f>
        <v>10880037380</v>
      </c>
      <c r="C531" s="57">
        <v>10880037380</v>
      </c>
      <c r="D531" s="57">
        <v>110001313799</v>
      </c>
      <c r="E531" s="57">
        <v>110001313799</v>
      </c>
      <c r="F531" s="58" t="s">
        <v>95</v>
      </c>
      <c r="G531" s="59">
        <v>6500</v>
      </c>
      <c r="H531" s="60">
        <v>46140</v>
      </c>
      <c r="I531" s="55">
        <v>46137</v>
      </c>
      <c r="J531" s="57">
        <v>6500</v>
      </c>
      <c r="K531" s="4">
        <f t="shared" si="12"/>
        <v>0</v>
      </c>
      <c r="L531" s="62"/>
      <c r="M531" s="63"/>
    </row>
    <row r="532" spans="1:13" s="45" customFormat="1" ht="13.25" customHeight="1" x14ac:dyDescent="0.3">
      <c r="A532" s="55">
        <v>46137</v>
      </c>
      <c r="B532" s="56" t="e">
        <f>VLOOKUP(C532,[7]完成订单!$D:$D,1,0)</f>
        <v>#N/A</v>
      </c>
      <c r="C532" s="57">
        <v>10400032321</v>
      </c>
      <c r="D532" s="57">
        <v>110001313799</v>
      </c>
      <c r="E532" s="57">
        <v>110001313800</v>
      </c>
      <c r="F532" s="58" t="s">
        <v>330</v>
      </c>
      <c r="G532" s="59">
        <v>6500</v>
      </c>
      <c r="H532" s="60">
        <v>46138</v>
      </c>
      <c r="I532" s="55">
        <v>46137</v>
      </c>
      <c r="J532" s="57">
        <v>6500</v>
      </c>
      <c r="K532" s="4">
        <f t="shared" si="12"/>
        <v>0</v>
      </c>
      <c r="L532" s="62"/>
      <c r="M532" s="63"/>
    </row>
    <row r="533" spans="1:13" s="45" customFormat="1" ht="13.25" customHeight="1" x14ac:dyDescent="0.3">
      <c r="A533" s="55">
        <v>46137</v>
      </c>
      <c r="B533" s="56" t="e">
        <f>VLOOKUP(C533,[7]完成订单!$D:$D,1,0)</f>
        <v>#N/A</v>
      </c>
      <c r="C533" s="57">
        <v>10880038832</v>
      </c>
      <c r="D533" s="57">
        <v>880000121711</v>
      </c>
      <c r="E533" s="57">
        <v>880000121711</v>
      </c>
      <c r="F533" s="58" t="s">
        <v>134</v>
      </c>
      <c r="G533" s="59">
        <v>300</v>
      </c>
      <c r="H533" s="60">
        <v>46139</v>
      </c>
      <c r="I533" s="55">
        <v>46137</v>
      </c>
      <c r="J533" s="57">
        <v>300</v>
      </c>
      <c r="K533" s="4">
        <f t="shared" si="12"/>
        <v>0</v>
      </c>
      <c r="L533" s="62"/>
      <c r="M533" s="63"/>
    </row>
    <row r="534" spans="1:13" s="45" customFormat="1" ht="13.25" customHeight="1" x14ac:dyDescent="0.3">
      <c r="A534" s="55">
        <v>46137</v>
      </c>
      <c r="B534" s="56">
        <f>VLOOKUP(C534,[7]完成订单!$D:$D,1,0)</f>
        <v>10400033234</v>
      </c>
      <c r="C534" s="57">
        <v>10400033234</v>
      </c>
      <c r="D534" s="57">
        <v>880000121711</v>
      </c>
      <c r="E534" s="57">
        <v>880000121712</v>
      </c>
      <c r="F534" s="58" t="s">
        <v>124</v>
      </c>
      <c r="G534" s="59">
        <v>300</v>
      </c>
      <c r="H534" s="60">
        <v>46138</v>
      </c>
      <c r="I534" s="55">
        <v>46137</v>
      </c>
      <c r="J534" s="57">
        <v>300</v>
      </c>
      <c r="K534" s="4">
        <f t="shared" si="12"/>
        <v>0</v>
      </c>
      <c r="L534" s="62"/>
      <c r="M534" s="63"/>
    </row>
    <row r="535" spans="1:13" s="45" customFormat="1" ht="13.25" customHeight="1" x14ac:dyDescent="0.3">
      <c r="A535" s="55">
        <v>46137</v>
      </c>
      <c r="B535" s="56" t="e">
        <f>VLOOKUP(C535,[7]完成订单!$D:$D,1,0)</f>
        <v>#N/A</v>
      </c>
      <c r="C535" s="57">
        <v>10400034266</v>
      </c>
      <c r="D535" s="57">
        <v>880000121711</v>
      </c>
      <c r="E535" s="57">
        <v>880000121713</v>
      </c>
      <c r="F535" s="58" t="s">
        <v>135</v>
      </c>
      <c r="G535" s="59">
        <v>300</v>
      </c>
      <c r="H535" s="60">
        <v>46139</v>
      </c>
      <c r="I535" s="55">
        <v>46137</v>
      </c>
      <c r="J535" s="57">
        <v>300</v>
      </c>
      <c r="K535" s="4">
        <f t="shared" si="12"/>
        <v>0</v>
      </c>
      <c r="L535" s="62"/>
      <c r="M535" s="63"/>
    </row>
    <row r="536" spans="1:13" s="45" customFormat="1" ht="13.25" customHeight="1" x14ac:dyDescent="0.3">
      <c r="A536" s="55">
        <v>46137</v>
      </c>
      <c r="B536" s="56" t="e">
        <f>VLOOKUP(C536,[7]完成订单!$D:$D,1,0)</f>
        <v>#N/A</v>
      </c>
      <c r="C536" s="57">
        <v>10400034267</v>
      </c>
      <c r="D536" s="57">
        <v>880000121711</v>
      </c>
      <c r="E536" s="57">
        <v>880000121714</v>
      </c>
      <c r="F536" s="58" t="s">
        <v>135</v>
      </c>
      <c r="G536" s="59">
        <v>300</v>
      </c>
      <c r="H536" s="60">
        <v>46137</v>
      </c>
      <c r="I536" s="55">
        <v>46137</v>
      </c>
      <c r="J536" s="57">
        <v>300</v>
      </c>
      <c r="K536" s="4">
        <f t="shared" si="12"/>
        <v>0</v>
      </c>
      <c r="L536" s="62"/>
      <c r="M536" s="63"/>
    </row>
    <row r="537" spans="1:13" s="45" customFormat="1" ht="13.25" customHeight="1" x14ac:dyDescent="0.3">
      <c r="A537" s="55">
        <v>46139</v>
      </c>
      <c r="B537" s="56">
        <f>VLOOKUP(C537,[7]完成订单!$D:$D,1,0)</f>
        <v>10880033535</v>
      </c>
      <c r="C537" s="57">
        <v>10880033535</v>
      </c>
      <c r="D537" s="57">
        <v>110001303001</v>
      </c>
      <c r="E537" s="57">
        <v>110001303001</v>
      </c>
      <c r="F537" s="58" t="s">
        <v>157</v>
      </c>
      <c r="G537" s="59">
        <v>2000</v>
      </c>
      <c r="H537" s="60">
        <v>46142</v>
      </c>
      <c r="I537" s="55">
        <f t="shared" ref="I537:I544" si="13">A537</f>
        <v>46139</v>
      </c>
      <c r="J537" s="57">
        <f>VLOOKUP(D537,DIP计划!D:G,4,0)</f>
        <v>2000</v>
      </c>
      <c r="K537" s="4">
        <f t="shared" si="12"/>
        <v>0</v>
      </c>
      <c r="L537" s="62"/>
      <c r="M537" s="63"/>
    </row>
    <row r="538" spans="1:13" s="45" customFormat="1" ht="13.25" customHeight="1" x14ac:dyDescent="0.3">
      <c r="A538" s="55">
        <v>46139</v>
      </c>
      <c r="B538" s="56" t="e">
        <f>VLOOKUP(C538,[7]完成订单!$D:$D,1,0)</f>
        <v>#N/A</v>
      </c>
      <c r="C538" s="57">
        <v>10400027323</v>
      </c>
      <c r="D538" s="57">
        <v>110001303001</v>
      </c>
      <c r="E538" s="57">
        <v>110001303002</v>
      </c>
      <c r="F538" s="58" t="s">
        <v>157</v>
      </c>
      <c r="G538" s="59">
        <v>2000</v>
      </c>
      <c r="H538" s="60">
        <v>46140</v>
      </c>
      <c r="I538" s="55">
        <f t="shared" si="13"/>
        <v>46139</v>
      </c>
      <c r="J538" s="57">
        <f>VLOOKUP(D538,DIP计划!D:G,4,0)</f>
        <v>2000</v>
      </c>
      <c r="K538" s="4">
        <f t="shared" si="12"/>
        <v>0</v>
      </c>
      <c r="L538" s="62"/>
      <c r="M538" s="63"/>
    </row>
    <row r="539" spans="1:13" s="45" customFormat="1" ht="13.25" customHeight="1" x14ac:dyDescent="0.3">
      <c r="A539" s="55">
        <v>46139</v>
      </c>
      <c r="B539" s="56">
        <f>VLOOKUP(C539,[7]完成订单!$D:$D,1,0)</f>
        <v>10880038446</v>
      </c>
      <c r="C539" s="57">
        <v>10880038446</v>
      </c>
      <c r="D539" s="57">
        <v>110001305106</v>
      </c>
      <c r="E539" s="57">
        <v>110001305106</v>
      </c>
      <c r="F539" s="58" t="s">
        <v>76</v>
      </c>
      <c r="G539" s="59">
        <v>730</v>
      </c>
      <c r="H539" s="60">
        <v>46141</v>
      </c>
      <c r="I539" s="55">
        <f t="shared" si="13"/>
        <v>46139</v>
      </c>
      <c r="J539" s="57" t="e">
        <f>VLOOKUP(D539,DIP计划!D:G,4,0)</f>
        <v>#N/A</v>
      </c>
      <c r="K539" s="4" t="e">
        <f t="shared" si="12"/>
        <v>#N/A</v>
      </c>
      <c r="L539" s="62"/>
      <c r="M539" s="63"/>
    </row>
    <row r="540" spans="1:13" s="45" customFormat="1" ht="13.25" customHeight="1" x14ac:dyDescent="0.3">
      <c r="A540" s="55">
        <v>46139</v>
      </c>
      <c r="B540" s="56" t="e">
        <f>VLOOKUP(C540,[7]完成订单!$D:$D,1,0)</f>
        <v>#N/A</v>
      </c>
      <c r="C540" s="57">
        <v>10400033749</v>
      </c>
      <c r="D540" s="57">
        <v>110001305106</v>
      </c>
      <c r="E540" s="57">
        <v>110001305107</v>
      </c>
      <c r="F540" s="58" t="s">
        <v>1755</v>
      </c>
      <c r="G540" s="59">
        <v>730</v>
      </c>
      <c r="H540" s="60">
        <v>46139</v>
      </c>
      <c r="I540" s="55">
        <f t="shared" si="13"/>
        <v>46139</v>
      </c>
      <c r="J540" s="57" t="e">
        <f>VLOOKUP(D540,DIP计划!D:G,4,0)</f>
        <v>#N/A</v>
      </c>
      <c r="K540" s="4" t="e">
        <f t="shared" si="12"/>
        <v>#N/A</v>
      </c>
      <c r="L540" s="62"/>
      <c r="M540" s="63"/>
    </row>
    <row r="541" spans="1:13" s="45" customFormat="1" ht="13.25" customHeight="1" x14ac:dyDescent="0.3">
      <c r="A541" s="55">
        <v>46139</v>
      </c>
      <c r="B541" s="56">
        <f>VLOOKUP(C541,[7]完成订单!$D:$D,1,0)</f>
        <v>10880034195</v>
      </c>
      <c r="C541" s="57">
        <v>10880034195</v>
      </c>
      <c r="D541" s="57">
        <v>110001305149</v>
      </c>
      <c r="E541" s="57">
        <v>110001305149</v>
      </c>
      <c r="F541" s="58" t="s">
        <v>1022</v>
      </c>
      <c r="G541" s="59">
        <v>1274</v>
      </c>
      <c r="H541" s="60">
        <v>46148</v>
      </c>
      <c r="I541" s="55">
        <f t="shared" si="13"/>
        <v>46139</v>
      </c>
      <c r="J541" s="57" t="e">
        <f>VLOOKUP(D541,DIP计划!D:G,4,0)</f>
        <v>#N/A</v>
      </c>
      <c r="K541" s="4" t="e">
        <f t="shared" si="12"/>
        <v>#N/A</v>
      </c>
      <c r="L541" s="62"/>
      <c r="M541" s="63"/>
    </row>
    <row r="542" spans="1:13" s="45" customFormat="1" ht="13.25" customHeight="1" x14ac:dyDescent="0.3">
      <c r="A542" s="55">
        <v>46139</v>
      </c>
      <c r="B542" s="56" t="e">
        <f>VLOOKUP(C542,[7]完成订单!$D:$D,1,0)</f>
        <v>#N/A</v>
      </c>
      <c r="C542" s="57">
        <v>10400028096</v>
      </c>
      <c r="D542" s="57">
        <v>110001305149</v>
      </c>
      <c r="E542" s="57">
        <v>110001305150</v>
      </c>
      <c r="F542" s="58" t="s">
        <v>1022</v>
      </c>
      <c r="G542" s="59">
        <v>1274</v>
      </c>
      <c r="H542" s="60">
        <v>46146</v>
      </c>
      <c r="I542" s="55">
        <f t="shared" si="13"/>
        <v>46139</v>
      </c>
      <c r="J542" s="57" t="e">
        <f>VLOOKUP(D542,DIP计划!D:G,4,0)</f>
        <v>#N/A</v>
      </c>
      <c r="K542" s="4" t="e">
        <f t="shared" si="12"/>
        <v>#N/A</v>
      </c>
      <c r="L542" s="62"/>
      <c r="M542" s="63"/>
    </row>
    <row r="543" spans="1:13" s="45" customFormat="1" ht="13.25" customHeight="1" x14ac:dyDescent="0.3">
      <c r="A543" s="55">
        <v>46139</v>
      </c>
      <c r="B543" s="56">
        <f>VLOOKUP(C543,[7]完成订单!$D:$D,1,0)</f>
        <v>10880038782</v>
      </c>
      <c r="C543" s="57">
        <v>10880038782</v>
      </c>
      <c r="D543" s="57">
        <v>110001306087</v>
      </c>
      <c r="E543" s="57">
        <v>110001306087</v>
      </c>
      <c r="F543" s="58" t="s">
        <v>75</v>
      </c>
      <c r="G543" s="59">
        <v>210</v>
      </c>
      <c r="H543" s="60">
        <v>46141</v>
      </c>
      <c r="I543" s="55">
        <f t="shared" si="13"/>
        <v>46139</v>
      </c>
      <c r="J543" s="57" t="e">
        <f>VLOOKUP(D543,DIP计划!D:G,4,0)</f>
        <v>#N/A</v>
      </c>
      <c r="K543" s="4" t="e">
        <f t="shared" si="12"/>
        <v>#N/A</v>
      </c>
      <c r="L543" s="62"/>
      <c r="M543" s="63"/>
    </row>
    <row r="544" spans="1:13" s="45" customFormat="1" ht="13.25" customHeight="1" x14ac:dyDescent="0.3">
      <c r="A544" s="55">
        <v>46139</v>
      </c>
      <c r="B544" s="56" t="e">
        <f>VLOOKUP(C544,[7]完成订单!$D:$D,1,0)</f>
        <v>#N/A</v>
      </c>
      <c r="C544" s="57">
        <v>10400034167</v>
      </c>
      <c r="D544" s="57">
        <v>110001306087</v>
      </c>
      <c r="E544" s="57">
        <v>110001306088</v>
      </c>
      <c r="F544" s="58" t="s">
        <v>1756</v>
      </c>
      <c r="G544" s="59">
        <v>210</v>
      </c>
      <c r="H544" s="60">
        <v>46139</v>
      </c>
      <c r="I544" s="55">
        <f t="shared" si="13"/>
        <v>46139</v>
      </c>
      <c r="J544" s="57" t="e">
        <f>VLOOKUP(D544,DIP计划!D:G,4,0)</f>
        <v>#N/A</v>
      </c>
      <c r="K544" s="4" t="e">
        <f t="shared" si="12"/>
        <v>#N/A</v>
      </c>
      <c r="L544" s="62"/>
      <c r="M544" s="63"/>
    </row>
    <row r="545" spans="1:13" s="45" customFormat="1" ht="13.25" customHeight="1" x14ac:dyDescent="0.3">
      <c r="A545" s="55">
        <v>46139</v>
      </c>
      <c r="B545" s="56">
        <f>VLOOKUP(C545,[7]完成订单!$D:$D,1,0)</f>
        <v>10880037616</v>
      </c>
      <c r="C545" s="57">
        <v>10880037616</v>
      </c>
      <c r="D545" s="57">
        <v>110001307036</v>
      </c>
      <c r="E545" s="57">
        <v>110001307036</v>
      </c>
      <c r="F545" s="58" t="s">
        <v>211</v>
      </c>
      <c r="G545" s="59">
        <v>1200</v>
      </c>
      <c r="H545" s="60">
        <v>46147</v>
      </c>
      <c r="I545" s="55">
        <f t="shared" ref="I545:I581" si="14">A545</f>
        <v>46139</v>
      </c>
      <c r="J545" s="57" t="e">
        <f>VLOOKUP(D545,DIP计划!D:G,4,0)</f>
        <v>#N/A</v>
      </c>
      <c r="K545" s="4" t="e">
        <f t="shared" ref="K545:K581" si="15">+J545-G545</f>
        <v>#N/A</v>
      </c>
      <c r="L545" s="62"/>
      <c r="M545" s="63"/>
    </row>
    <row r="546" spans="1:13" s="45" customFormat="1" ht="13.25" customHeight="1" x14ac:dyDescent="0.3">
      <c r="A546" s="55">
        <v>46139</v>
      </c>
      <c r="B546" s="56" t="e">
        <f>VLOOKUP(C546,[7]完成订单!$D:$D,1,0)</f>
        <v>#N/A</v>
      </c>
      <c r="C546" s="57">
        <v>10400032629</v>
      </c>
      <c r="D546" s="57">
        <v>110001307036</v>
      </c>
      <c r="E546" s="57">
        <v>110001307037</v>
      </c>
      <c r="F546" s="58" t="s">
        <v>277</v>
      </c>
      <c r="G546" s="59">
        <v>1200</v>
      </c>
      <c r="H546" s="60">
        <v>46145</v>
      </c>
      <c r="I546" s="55">
        <f t="shared" si="14"/>
        <v>46139</v>
      </c>
      <c r="J546" s="57" t="e">
        <f>VLOOKUP(D546,DIP计划!D:G,4,0)</f>
        <v>#N/A</v>
      </c>
      <c r="K546" s="4" t="e">
        <f t="shared" si="15"/>
        <v>#N/A</v>
      </c>
      <c r="L546" s="62"/>
      <c r="M546" s="63"/>
    </row>
    <row r="547" spans="1:13" s="45" customFormat="1" ht="13.25" customHeight="1" x14ac:dyDescent="0.3">
      <c r="A547" s="55">
        <v>46139</v>
      </c>
      <c r="B547" s="56">
        <f>VLOOKUP(C547,[7]完成订单!$D:$D,1,0)</f>
        <v>10880037725</v>
      </c>
      <c r="C547" s="57">
        <v>10880037725</v>
      </c>
      <c r="D547" s="57">
        <v>110001311057</v>
      </c>
      <c r="E547" s="57">
        <v>110001311057</v>
      </c>
      <c r="F547" s="58" t="s">
        <v>256</v>
      </c>
      <c r="G547" s="59">
        <v>3752</v>
      </c>
      <c r="H547" s="60">
        <v>46145</v>
      </c>
      <c r="I547" s="55">
        <f t="shared" si="14"/>
        <v>46139</v>
      </c>
      <c r="J547" s="57" t="e">
        <f>VLOOKUP(D547,DIP计划!D:G,4,0)</f>
        <v>#N/A</v>
      </c>
      <c r="K547" s="4" t="e">
        <f t="shared" si="15"/>
        <v>#N/A</v>
      </c>
      <c r="L547" s="62"/>
      <c r="M547" s="63"/>
    </row>
    <row r="548" spans="1:13" s="45" customFormat="1" ht="13.25" customHeight="1" x14ac:dyDescent="0.3">
      <c r="A548" s="55">
        <v>46139</v>
      </c>
      <c r="B548" s="56" t="e">
        <f>VLOOKUP(C548,[7]完成订单!$D:$D,1,0)</f>
        <v>#N/A</v>
      </c>
      <c r="C548" s="57">
        <v>10400032806</v>
      </c>
      <c r="D548" s="57">
        <v>110001311057</v>
      </c>
      <c r="E548" s="57">
        <v>110001311058</v>
      </c>
      <c r="F548" s="58" t="s">
        <v>279</v>
      </c>
      <c r="G548" s="59">
        <v>3752</v>
      </c>
      <c r="H548" s="60">
        <v>46143</v>
      </c>
      <c r="I548" s="55">
        <f t="shared" si="14"/>
        <v>46139</v>
      </c>
      <c r="J548" s="57" t="e">
        <f>VLOOKUP(D548,DIP计划!D:G,4,0)</f>
        <v>#N/A</v>
      </c>
      <c r="K548" s="4" t="e">
        <f t="shared" si="15"/>
        <v>#N/A</v>
      </c>
      <c r="L548" s="62"/>
      <c r="M548" s="63"/>
    </row>
    <row r="549" spans="1:13" s="45" customFormat="1" ht="13.25" customHeight="1" x14ac:dyDescent="0.3">
      <c r="A549" s="55">
        <v>46139</v>
      </c>
      <c r="B549" s="56">
        <f>VLOOKUP(C549,[7]完成订单!$D:$D,1,0)</f>
        <v>10880037724</v>
      </c>
      <c r="C549" s="57">
        <v>10880037724</v>
      </c>
      <c r="D549" s="57">
        <v>110001311364</v>
      </c>
      <c r="E549" s="57">
        <v>110001311364</v>
      </c>
      <c r="F549" s="58" t="s">
        <v>255</v>
      </c>
      <c r="G549" s="59">
        <v>3954</v>
      </c>
      <c r="H549" s="60">
        <v>46142</v>
      </c>
      <c r="I549" s="55">
        <f t="shared" si="14"/>
        <v>46139</v>
      </c>
      <c r="J549" s="57" t="e">
        <f>VLOOKUP(D549,DIP计划!D:G,4,0)</f>
        <v>#N/A</v>
      </c>
      <c r="K549" s="4" t="e">
        <f t="shared" si="15"/>
        <v>#N/A</v>
      </c>
      <c r="L549" s="62"/>
      <c r="M549" s="63"/>
    </row>
    <row r="550" spans="1:13" s="45" customFormat="1" ht="13.25" customHeight="1" x14ac:dyDescent="0.3">
      <c r="A550" s="55">
        <v>46139</v>
      </c>
      <c r="B550" s="56" t="e">
        <f>VLOOKUP(C550,[7]完成订单!$D:$D,1,0)</f>
        <v>#N/A</v>
      </c>
      <c r="C550" s="57">
        <v>10400032805</v>
      </c>
      <c r="D550" s="57">
        <v>110001311364</v>
      </c>
      <c r="E550" s="57">
        <v>110001311365</v>
      </c>
      <c r="F550" s="58" t="s">
        <v>275</v>
      </c>
      <c r="G550" s="59">
        <v>3954</v>
      </c>
      <c r="H550" s="60">
        <v>46140</v>
      </c>
      <c r="I550" s="55">
        <f t="shared" si="14"/>
        <v>46139</v>
      </c>
      <c r="J550" s="57" t="e">
        <f>VLOOKUP(D550,DIP计划!D:G,4,0)</f>
        <v>#N/A</v>
      </c>
      <c r="K550" s="4" t="e">
        <f t="shared" si="15"/>
        <v>#N/A</v>
      </c>
      <c r="L550" s="62"/>
      <c r="M550" s="63"/>
    </row>
    <row r="551" spans="1:13" s="45" customFormat="1" ht="13.25" customHeight="1" x14ac:dyDescent="0.3">
      <c r="A551" s="55">
        <v>46139</v>
      </c>
      <c r="B551" s="56">
        <f>VLOOKUP(C551,[7]完成订单!$D:$D,1,0)</f>
        <v>10880029054</v>
      </c>
      <c r="C551" s="57">
        <v>10880029054</v>
      </c>
      <c r="D551" s="57">
        <v>110001292196</v>
      </c>
      <c r="E551" s="57">
        <v>110001292196</v>
      </c>
      <c r="F551" s="58" t="s">
        <v>179</v>
      </c>
      <c r="G551" s="59">
        <v>200</v>
      </c>
      <c r="H551" s="60">
        <v>46142</v>
      </c>
      <c r="I551" s="55">
        <f t="shared" si="14"/>
        <v>46139</v>
      </c>
      <c r="J551" s="57">
        <f>VLOOKUP(D551,DIP计划!D:G,4,0)</f>
        <v>200</v>
      </c>
      <c r="K551" s="4">
        <f t="shared" si="15"/>
        <v>0</v>
      </c>
      <c r="L551" s="62"/>
      <c r="M551" s="63"/>
    </row>
    <row r="552" spans="1:13" s="45" customFormat="1" ht="13.25" customHeight="1" x14ac:dyDescent="0.3">
      <c r="A552" s="55">
        <v>46139</v>
      </c>
      <c r="B552" s="56" t="e">
        <f>VLOOKUP(C552,[7]完成订单!$D:$D,1,0)</f>
        <v>#N/A</v>
      </c>
      <c r="C552" s="57">
        <v>10400023311</v>
      </c>
      <c r="D552" s="57">
        <v>110001292196</v>
      </c>
      <c r="E552" s="57">
        <v>110001292197</v>
      </c>
      <c r="F552" s="58" t="s">
        <v>727</v>
      </c>
      <c r="G552" s="59">
        <v>200</v>
      </c>
      <c r="H552" s="60">
        <v>46140</v>
      </c>
      <c r="I552" s="55">
        <f t="shared" si="14"/>
        <v>46139</v>
      </c>
      <c r="J552" s="57">
        <f>VLOOKUP(D552,DIP计划!D:G,4,0)</f>
        <v>200</v>
      </c>
      <c r="K552" s="4">
        <f t="shared" si="15"/>
        <v>0</v>
      </c>
      <c r="L552" s="62"/>
      <c r="M552" s="63"/>
    </row>
    <row r="553" spans="1:13" s="45" customFormat="1" ht="13.25" customHeight="1" x14ac:dyDescent="0.3">
      <c r="A553" s="55">
        <v>46139</v>
      </c>
      <c r="B553" s="56">
        <f>VLOOKUP(C553,[7]完成订单!$D:$D,1,0)</f>
        <v>10880035981</v>
      </c>
      <c r="C553" s="57">
        <v>10880035981</v>
      </c>
      <c r="D553" s="57">
        <v>110001292283</v>
      </c>
      <c r="E553" s="57">
        <v>110001292283</v>
      </c>
      <c r="F553" s="58" t="s">
        <v>77</v>
      </c>
      <c r="G553" s="59">
        <v>638</v>
      </c>
      <c r="H553" s="60">
        <v>46142</v>
      </c>
      <c r="I553" s="55">
        <f t="shared" si="14"/>
        <v>46139</v>
      </c>
      <c r="J553" s="57" t="e">
        <f>VLOOKUP(D553,DIP计划!D:G,4,0)</f>
        <v>#N/A</v>
      </c>
      <c r="K553" s="4" t="e">
        <f t="shared" si="15"/>
        <v>#N/A</v>
      </c>
      <c r="L553" s="62"/>
      <c r="M553" s="63"/>
    </row>
    <row r="554" spans="1:13" s="45" customFormat="1" ht="13.25" customHeight="1" x14ac:dyDescent="0.3">
      <c r="A554" s="55">
        <v>46139</v>
      </c>
      <c r="B554" s="56" t="e">
        <f>VLOOKUP(C554,[7]完成订单!$D:$D,1,0)</f>
        <v>#N/A</v>
      </c>
      <c r="C554" s="57">
        <v>10400030448</v>
      </c>
      <c r="D554" s="57">
        <v>110001292283</v>
      </c>
      <c r="E554" s="57">
        <v>110001292284</v>
      </c>
      <c r="F554" s="58" t="s">
        <v>1758</v>
      </c>
      <c r="G554" s="59">
        <v>638</v>
      </c>
      <c r="H554" s="60">
        <v>46140</v>
      </c>
      <c r="I554" s="55">
        <f t="shared" si="14"/>
        <v>46139</v>
      </c>
      <c r="J554" s="57" t="e">
        <f>VLOOKUP(D554,DIP计划!D:G,4,0)</f>
        <v>#N/A</v>
      </c>
      <c r="K554" s="4" t="e">
        <f t="shared" si="15"/>
        <v>#N/A</v>
      </c>
      <c r="L554" s="62"/>
      <c r="M554" s="63"/>
    </row>
    <row r="555" spans="1:13" s="45" customFormat="1" ht="13.25" customHeight="1" x14ac:dyDescent="0.3">
      <c r="A555" s="55">
        <v>46139</v>
      </c>
      <c r="B555" s="56" t="e">
        <f>VLOOKUP(C555,[7]完成订单!$D:$D,1,0)</f>
        <v>#N/A</v>
      </c>
      <c r="C555" s="57">
        <v>10400033915</v>
      </c>
      <c r="D555" s="57">
        <v>110001300147</v>
      </c>
      <c r="E555" s="57">
        <v>110001300148</v>
      </c>
      <c r="F555" s="58" t="s">
        <v>284</v>
      </c>
      <c r="G555" s="59">
        <v>6000</v>
      </c>
      <c r="H555" s="60">
        <v>46140</v>
      </c>
      <c r="I555" s="55">
        <f t="shared" si="14"/>
        <v>46139</v>
      </c>
      <c r="J555" s="57" t="e">
        <f>VLOOKUP(D555,DIP计划!D:G,4,0)</f>
        <v>#N/A</v>
      </c>
      <c r="K555" s="4" t="e">
        <f t="shared" si="15"/>
        <v>#N/A</v>
      </c>
      <c r="L555" s="62"/>
      <c r="M555" s="63"/>
    </row>
    <row r="556" spans="1:13" s="45" customFormat="1" ht="13.25" customHeight="1" x14ac:dyDescent="0.3">
      <c r="A556" s="55">
        <v>46139</v>
      </c>
      <c r="B556" s="56">
        <f>VLOOKUP(C556,[7]完成订单!$D:$D,1,0)</f>
        <v>10880037615</v>
      </c>
      <c r="C556" s="57">
        <v>10880037615</v>
      </c>
      <c r="D556" s="57">
        <v>110001307034</v>
      </c>
      <c r="E556" s="57">
        <v>110001307034</v>
      </c>
      <c r="F556" s="58" t="s">
        <v>203</v>
      </c>
      <c r="G556" s="59">
        <v>1000</v>
      </c>
      <c r="H556" s="60">
        <v>46141</v>
      </c>
      <c r="I556" s="55">
        <f t="shared" si="14"/>
        <v>46139</v>
      </c>
      <c r="J556" s="57">
        <f>VLOOKUP(D556,DIP计划!D:G,4,0)</f>
        <v>1000</v>
      </c>
      <c r="K556" s="4">
        <f t="shared" si="15"/>
        <v>0</v>
      </c>
      <c r="L556" s="62"/>
      <c r="M556" s="63"/>
    </row>
    <row r="557" spans="1:13" s="45" customFormat="1" ht="13.25" customHeight="1" x14ac:dyDescent="0.3">
      <c r="A557" s="55">
        <v>46139</v>
      </c>
      <c r="B557" s="56" t="e">
        <f>VLOOKUP(C557,[7]完成订单!$D:$D,1,0)</f>
        <v>#N/A</v>
      </c>
      <c r="C557" s="57">
        <v>10400032630</v>
      </c>
      <c r="D557" s="57">
        <v>110001307034</v>
      </c>
      <c r="E557" s="57">
        <v>110001307035</v>
      </c>
      <c r="F557" s="58" t="s">
        <v>349</v>
      </c>
      <c r="G557" s="59">
        <v>1000</v>
      </c>
      <c r="H557" s="60">
        <v>46139</v>
      </c>
      <c r="I557" s="55">
        <f t="shared" si="14"/>
        <v>46139</v>
      </c>
      <c r="J557" s="57">
        <f>VLOOKUP(D557,DIP计划!D:G,4,0)</f>
        <v>1000</v>
      </c>
      <c r="K557" s="4">
        <f t="shared" si="15"/>
        <v>0</v>
      </c>
      <c r="L557" s="62"/>
      <c r="M557" s="63"/>
    </row>
    <row r="558" spans="1:13" s="45" customFormat="1" ht="13.25" customHeight="1" x14ac:dyDescent="0.3">
      <c r="A558" s="55">
        <v>46139</v>
      </c>
      <c r="B558" s="56">
        <f>VLOOKUP(C558,[7]完成订单!$D:$D,1,0)</f>
        <v>10880030004</v>
      </c>
      <c r="C558" s="57">
        <v>10880030004</v>
      </c>
      <c r="D558" s="57">
        <v>110001307229</v>
      </c>
      <c r="E558" s="57">
        <v>110001307229</v>
      </c>
      <c r="F558" s="58" t="s">
        <v>254</v>
      </c>
      <c r="G558" s="59">
        <v>1000</v>
      </c>
      <c r="H558" s="60">
        <v>46145</v>
      </c>
      <c r="I558" s="55">
        <f t="shared" si="14"/>
        <v>46139</v>
      </c>
      <c r="J558" s="57">
        <f>VLOOKUP(D558,DIP计划!D:G,4,0)</f>
        <v>1000</v>
      </c>
      <c r="K558" s="4">
        <f t="shared" si="15"/>
        <v>0</v>
      </c>
      <c r="L558" s="62"/>
      <c r="M558" s="63"/>
    </row>
    <row r="559" spans="1:13" s="45" customFormat="1" ht="13.25" customHeight="1" x14ac:dyDescent="0.3">
      <c r="A559" s="55">
        <v>46139</v>
      </c>
      <c r="B559" s="56" t="e">
        <f>VLOOKUP(C559,[7]完成订单!$D:$D,1,0)</f>
        <v>#N/A</v>
      </c>
      <c r="C559" s="57">
        <v>10400023654</v>
      </c>
      <c r="D559" s="57">
        <v>110001307229</v>
      </c>
      <c r="E559" s="57">
        <v>110001307230</v>
      </c>
      <c r="F559" s="58" t="s">
        <v>254</v>
      </c>
      <c r="G559" s="59">
        <v>1000</v>
      </c>
      <c r="H559" s="60">
        <v>46143</v>
      </c>
      <c r="I559" s="55">
        <f t="shared" si="14"/>
        <v>46139</v>
      </c>
      <c r="J559" s="57">
        <f>VLOOKUP(D559,DIP计划!D:G,4,0)</f>
        <v>1000</v>
      </c>
      <c r="K559" s="4">
        <f t="shared" si="15"/>
        <v>0</v>
      </c>
      <c r="L559" s="62"/>
      <c r="M559" s="63"/>
    </row>
    <row r="560" spans="1:13" s="45" customFormat="1" ht="13.25" customHeight="1" x14ac:dyDescent="0.3">
      <c r="A560" s="55">
        <v>46139</v>
      </c>
      <c r="B560" s="56">
        <f>VLOOKUP(C560,[7]完成订单!$D:$D,1,0)</f>
        <v>10880037503</v>
      </c>
      <c r="C560" s="57">
        <v>10880037503</v>
      </c>
      <c r="D560" s="57">
        <v>110001307381</v>
      </c>
      <c r="E560" s="57">
        <v>110001307381</v>
      </c>
      <c r="F560" s="58" t="s">
        <v>245</v>
      </c>
      <c r="G560" s="59">
        <v>1000</v>
      </c>
      <c r="H560" s="60">
        <v>46145</v>
      </c>
      <c r="I560" s="55">
        <f t="shared" si="14"/>
        <v>46139</v>
      </c>
      <c r="J560" s="57">
        <f>VLOOKUP(D560,DIP计划!D:G,4,0)</f>
        <v>1000</v>
      </c>
      <c r="K560" s="4">
        <f t="shared" si="15"/>
        <v>0</v>
      </c>
      <c r="L560" s="62"/>
      <c r="M560" s="63"/>
    </row>
    <row r="561" spans="1:13" s="45" customFormat="1" ht="13.25" customHeight="1" x14ac:dyDescent="0.3">
      <c r="A561" s="55">
        <v>46139</v>
      </c>
      <c r="B561" s="56" t="e">
        <f>VLOOKUP(C561,[7]完成订单!$D:$D,1,0)</f>
        <v>#N/A</v>
      </c>
      <c r="C561" s="57">
        <v>10400032495</v>
      </c>
      <c r="D561" s="57">
        <v>110001307381</v>
      </c>
      <c r="E561" s="57">
        <v>110001307382</v>
      </c>
      <c r="F561" s="58" t="s">
        <v>338</v>
      </c>
      <c r="G561" s="59">
        <v>1000</v>
      </c>
      <c r="H561" s="60">
        <v>46143</v>
      </c>
      <c r="I561" s="55">
        <f t="shared" si="14"/>
        <v>46139</v>
      </c>
      <c r="J561" s="57">
        <f>VLOOKUP(D561,DIP计划!D:G,4,0)</f>
        <v>1000</v>
      </c>
      <c r="K561" s="4">
        <f t="shared" si="15"/>
        <v>0</v>
      </c>
      <c r="L561" s="62"/>
      <c r="M561" s="63"/>
    </row>
    <row r="562" spans="1:13" s="45" customFormat="1" ht="13.25" customHeight="1" x14ac:dyDescent="0.3">
      <c r="A562" s="55">
        <v>46139</v>
      </c>
      <c r="B562" s="56">
        <f>VLOOKUP(C562,[7]完成订单!$D:$D,1,0)</f>
        <v>10880020640</v>
      </c>
      <c r="C562" s="57">
        <v>10880020640</v>
      </c>
      <c r="D562" s="57">
        <v>110001308381</v>
      </c>
      <c r="E562" s="57">
        <v>110001308381</v>
      </c>
      <c r="F562" s="58" t="s">
        <v>229</v>
      </c>
      <c r="G562" s="59">
        <v>1200</v>
      </c>
      <c r="H562" s="60">
        <v>46142</v>
      </c>
      <c r="I562" s="55">
        <f t="shared" si="14"/>
        <v>46139</v>
      </c>
      <c r="J562" s="57">
        <f>VLOOKUP(D562,DIP计划!D:G,4,0)</f>
        <v>1200</v>
      </c>
      <c r="K562" s="4">
        <f t="shared" si="15"/>
        <v>0</v>
      </c>
      <c r="L562" s="62"/>
      <c r="M562" s="63"/>
    </row>
    <row r="563" spans="1:13" s="45" customFormat="1" ht="13.25" customHeight="1" x14ac:dyDescent="0.3">
      <c r="A563" s="55">
        <v>46139</v>
      </c>
      <c r="B563" s="56" t="e">
        <f>VLOOKUP(C563,[7]完成订单!$D:$D,1,0)</f>
        <v>#N/A</v>
      </c>
      <c r="C563" s="57">
        <v>10400020029</v>
      </c>
      <c r="D563" s="57">
        <v>110001308381</v>
      </c>
      <c r="E563" s="57">
        <v>110001308382</v>
      </c>
      <c r="F563" s="58" t="s">
        <v>229</v>
      </c>
      <c r="G563" s="59">
        <v>1200</v>
      </c>
      <c r="H563" s="60">
        <v>46140</v>
      </c>
      <c r="I563" s="55">
        <f t="shared" si="14"/>
        <v>46139</v>
      </c>
      <c r="J563" s="57">
        <f>VLOOKUP(D563,DIP计划!D:G,4,0)</f>
        <v>1200</v>
      </c>
      <c r="K563" s="4">
        <f t="shared" si="15"/>
        <v>0</v>
      </c>
      <c r="L563" s="62"/>
      <c r="M563" s="63"/>
    </row>
    <row r="564" spans="1:13" s="45" customFormat="1" ht="13.25" customHeight="1" x14ac:dyDescent="0.3">
      <c r="A564" s="55">
        <v>46139</v>
      </c>
      <c r="B564" s="56" t="e">
        <f>VLOOKUP(C564,[7]完成订单!$D:$D,1,0)</f>
        <v>#N/A</v>
      </c>
      <c r="C564" s="57">
        <v>10400032893</v>
      </c>
      <c r="D564" s="57">
        <v>110001313428</v>
      </c>
      <c r="E564" s="57">
        <v>110001313429</v>
      </c>
      <c r="F564" s="58" t="s">
        <v>289</v>
      </c>
      <c r="G564" s="59">
        <v>3000</v>
      </c>
      <c r="H564" s="60">
        <v>46140</v>
      </c>
      <c r="I564" s="55">
        <f t="shared" si="14"/>
        <v>46139</v>
      </c>
      <c r="J564" s="57" t="e">
        <f>VLOOKUP(D564,DIP计划!D:G,4,0)</f>
        <v>#N/A</v>
      </c>
      <c r="K564" s="4" t="e">
        <f t="shared" si="15"/>
        <v>#N/A</v>
      </c>
      <c r="L564" s="62"/>
      <c r="M564" s="63"/>
    </row>
    <row r="565" spans="1:13" s="45" customFormat="1" ht="13.25" customHeight="1" x14ac:dyDescent="0.3">
      <c r="A565" s="55">
        <v>46139</v>
      </c>
      <c r="B565" s="56">
        <f>VLOOKUP(C565,[7]完成订单!$D:$D,1,0)</f>
        <v>10880037370</v>
      </c>
      <c r="C565" s="57">
        <v>10880037370</v>
      </c>
      <c r="D565" s="57">
        <v>110001313918</v>
      </c>
      <c r="E565" s="57">
        <v>110001313918</v>
      </c>
      <c r="F565" s="58" t="s">
        <v>217</v>
      </c>
      <c r="G565" s="59">
        <v>600</v>
      </c>
      <c r="H565" s="60">
        <v>46142</v>
      </c>
      <c r="I565" s="55">
        <f t="shared" si="14"/>
        <v>46139</v>
      </c>
      <c r="J565" s="57" t="e">
        <f>VLOOKUP(D565,DIP计划!D:G,4,0)</f>
        <v>#N/A</v>
      </c>
      <c r="K565" s="4" t="e">
        <f t="shared" si="15"/>
        <v>#N/A</v>
      </c>
      <c r="L565" s="62"/>
      <c r="M565" s="63"/>
    </row>
    <row r="566" spans="1:13" s="45" customFormat="1" ht="13.25" customHeight="1" x14ac:dyDescent="0.3">
      <c r="A566" s="55">
        <v>46139</v>
      </c>
      <c r="B566" s="56" t="e">
        <f>VLOOKUP(C566,[7]完成订单!$D:$D,1,0)</f>
        <v>#N/A</v>
      </c>
      <c r="C566" s="57">
        <v>10400032313</v>
      </c>
      <c r="D566" s="57">
        <v>110001313918</v>
      </c>
      <c r="E566" s="57">
        <v>110001313919</v>
      </c>
      <c r="F566" s="58" t="s">
        <v>324</v>
      </c>
      <c r="G566" s="59">
        <v>600</v>
      </c>
      <c r="H566" s="60">
        <v>46140</v>
      </c>
      <c r="I566" s="55">
        <f t="shared" si="14"/>
        <v>46139</v>
      </c>
      <c r="J566" s="57" t="e">
        <f>VLOOKUP(D566,DIP计划!D:G,4,0)</f>
        <v>#N/A</v>
      </c>
      <c r="K566" s="4" t="e">
        <f t="shared" si="15"/>
        <v>#N/A</v>
      </c>
      <c r="L566" s="62"/>
      <c r="M566" s="63"/>
    </row>
    <row r="567" spans="1:13" s="45" customFormat="1" ht="13.25" customHeight="1" x14ac:dyDescent="0.3">
      <c r="A567" s="55">
        <v>46140</v>
      </c>
      <c r="B567" s="56">
        <f>VLOOKUP(C567,[7]完成订单!$D:$D,1,0)</f>
        <v>10880036299</v>
      </c>
      <c r="C567" s="57">
        <v>10880036299</v>
      </c>
      <c r="D567" s="57">
        <v>110001263567</v>
      </c>
      <c r="E567" s="57">
        <v>110001263567</v>
      </c>
      <c r="F567" s="58" t="s">
        <v>99</v>
      </c>
      <c r="G567" s="59">
        <v>1400</v>
      </c>
      <c r="H567" s="53">
        <f>VLOOKUP(E567,DIP计划!E:J,6,0)</f>
        <v>46146</v>
      </c>
      <c r="I567" s="55">
        <f t="shared" si="14"/>
        <v>46140</v>
      </c>
      <c r="J567" s="57">
        <f>VLOOKUP(D567,DIP计划!D:G,4,0)</f>
        <v>1400</v>
      </c>
      <c r="K567" s="4">
        <f t="shared" si="15"/>
        <v>0</v>
      </c>
      <c r="L567" s="62"/>
      <c r="M567" s="63"/>
    </row>
    <row r="568" spans="1:13" s="45" customFormat="1" ht="13.25" customHeight="1" x14ac:dyDescent="0.3">
      <c r="A568" s="55">
        <v>46140</v>
      </c>
      <c r="B568" s="56" t="e">
        <f>VLOOKUP(C568,[7]完成订单!$D:$D,1,0)</f>
        <v>#N/A</v>
      </c>
      <c r="C568" s="57">
        <v>10400030858</v>
      </c>
      <c r="D568" s="57">
        <v>110001263567</v>
      </c>
      <c r="E568" s="57">
        <v>110001263568</v>
      </c>
      <c r="F568" s="58" t="s">
        <v>1765</v>
      </c>
      <c r="G568" s="59">
        <v>1400</v>
      </c>
      <c r="H568" s="53">
        <f>H567-2</f>
        <v>46144</v>
      </c>
      <c r="I568" s="55">
        <f t="shared" si="14"/>
        <v>46140</v>
      </c>
      <c r="J568" s="57">
        <f>VLOOKUP(D568,DIP计划!D:G,4,0)</f>
        <v>1400</v>
      </c>
      <c r="K568" s="4">
        <f t="shared" si="15"/>
        <v>0</v>
      </c>
      <c r="L568" s="62"/>
      <c r="M568" s="63"/>
    </row>
    <row r="569" spans="1:13" s="45" customFormat="1" ht="13.25" customHeight="1" x14ac:dyDescent="0.3">
      <c r="A569" s="55">
        <v>46140</v>
      </c>
      <c r="B569" s="56">
        <f>VLOOKUP(C569,[7]完成订单!$D:$D,1,0)</f>
        <v>10880035795</v>
      </c>
      <c r="C569" s="57">
        <v>10880035795</v>
      </c>
      <c r="D569" s="57">
        <v>110001266519</v>
      </c>
      <c r="E569" s="57">
        <v>110001266519</v>
      </c>
      <c r="F569" s="58" t="s">
        <v>52</v>
      </c>
      <c r="G569" s="59">
        <v>160</v>
      </c>
      <c r="H569" s="53" t="e">
        <f>VLOOKUP(E569,DIP计划!E:J,6,0)</f>
        <v>#N/A</v>
      </c>
      <c r="I569" s="55">
        <f t="shared" si="14"/>
        <v>46140</v>
      </c>
      <c r="J569" s="57">
        <f>VLOOKUP(D569,DIP计划!D:G,4,0)</f>
        <v>160</v>
      </c>
      <c r="K569" s="4">
        <f t="shared" si="15"/>
        <v>0</v>
      </c>
      <c r="L569" s="62"/>
      <c r="M569" s="63"/>
    </row>
    <row r="570" spans="1:13" s="45" customFormat="1" ht="13.25" customHeight="1" x14ac:dyDescent="0.3">
      <c r="A570" s="55">
        <v>46140</v>
      </c>
      <c r="B570" s="56">
        <f>VLOOKUP(C570,[7]完成订单!$D:$D,1,0)</f>
        <v>10400030194</v>
      </c>
      <c r="C570" s="57">
        <v>10400030194</v>
      </c>
      <c r="D570" s="57">
        <v>110001266519</v>
      </c>
      <c r="E570" s="57">
        <v>110001266520</v>
      </c>
      <c r="F570" s="58" t="s">
        <v>50</v>
      </c>
      <c r="G570" s="59">
        <v>160</v>
      </c>
      <c r="H570" s="53">
        <f>VLOOKUP(E570,DIP计划!E:J,6,0)</f>
        <v>46146</v>
      </c>
      <c r="I570" s="55">
        <f t="shared" si="14"/>
        <v>46140</v>
      </c>
      <c r="J570" s="57">
        <f>VLOOKUP(D570,DIP计划!D:G,4,0)</f>
        <v>160</v>
      </c>
      <c r="K570" s="4">
        <f t="shared" si="15"/>
        <v>0</v>
      </c>
      <c r="L570" s="62"/>
      <c r="M570" s="63"/>
    </row>
    <row r="571" spans="1:13" s="45" customFormat="1" ht="13.25" customHeight="1" x14ac:dyDescent="0.3">
      <c r="A571" s="55">
        <v>46140</v>
      </c>
      <c r="B571" s="56">
        <f>VLOOKUP(C571,[7]完成订单!$D:$D,1,0)</f>
        <v>10400030197</v>
      </c>
      <c r="C571" s="57">
        <v>10400030197</v>
      </c>
      <c r="D571" s="57">
        <v>110001266519</v>
      </c>
      <c r="E571" s="57">
        <v>110001266541</v>
      </c>
      <c r="F571" s="58" t="s">
        <v>43</v>
      </c>
      <c r="G571" s="59">
        <v>160</v>
      </c>
      <c r="H571" s="53" t="e">
        <f>VLOOKUP(E571,DIP计划!E:J,6,0)</f>
        <v>#N/A</v>
      </c>
      <c r="I571" s="55">
        <f t="shared" si="14"/>
        <v>46140</v>
      </c>
      <c r="J571" s="57">
        <f>VLOOKUP(D571,DIP计划!D:G,4,0)</f>
        <v>160</v>
      </c>
      <c r="K571" s="4">
        <f t="shared" si="15"/>
        <v>0</v>
      </c>
      <c r="L571" s="62"/>
      <c r="M571" s="63"/>
    </row>
    <row r="572" spans="1:13" s="45" customFormat="1" ht="13.25" customHeight="1" x14ac:dyDescent="0.3">
      <c r="A572" s="55">
        <v>46140</v>
      </c>
      <c r="B572" s="56" t="e">
        <f>VLOOKUP(C572,[7]完成订单!$D:$D,1,0)</f>
        <v>#N/A</v>
      </c>
      <c r="C572" s="57">
        <v>10400030195</v>
      </c>
      <c r="D572" s="57">
        <v>110001266519</v>
      </c>
      <c r="E572" s="57">
        <v>110001266542</v>
      </c>
      <c r="F572" s="58" t="s">
        <v>50</v>
      </c>
      <c r="G572" s="59">
        <v>160</v>
      </c>
      <c r="H572" s="53">
        <f>H570-2</f>
        <v>46144</v>
      </c>
      <c r="I572" s="55">
        <f t="shared" si="14"/>
        <v>46140</v>
      </c>
      <c r="J572" s="57">
        <f>VLOOKUP(D572,DIP计划!D:G,4,0)</f>
        <v>160</v>
      </c>
      <c r="K572" s="4">
        <f t="shared" si="15"/>
        <v>0</v>
      </c>
      <c r="L572" s="62"/>
      <c r="M572" s="63"/>
    </row>
    <row r="573" spans="1:13" s="45" customFormat="1" ht="13.25" customHeight="1" x14ac:dyDescent="0.3">
      <c r="A573" s="55">
        <v>46140</v>
      </c>
      <c r="B573" s="56" t="e">
        <f>VLOOKUP(C573,[7]完成订单!$D:$D,1,0)</f>
        <v>#N/A</v>
      </c>
      <c r="C573" s="57">
        <v>10400025972</v>
      </c>
      <c r="D573" s="57">
        <v>110001266519</v>
      </c>
      <c r="E573" s="57">
        <v>110001266543</v>
      </c>
      <c r="F573" s="58" t="s">
        <v>337</v>
      </c>
      <c r="G573" s="59">
        <v>160</v>
      </c>
      <c r="H573" s="53" t="e">
        <f>H571-2</f>
        <v>#N/A</v>
      </c>
      <c r="I573" s="55">
        <f t="shared" si="14"/>
        <v>46140</v>
      </c>
      <c r="J573" s="57">
        <f>VLOOKUP(D573,DIP计划!D:G,4,0)</f>
        <v>160</v>
      </c>
      <c r="K573" s="4">
        <f t="shared" si="15"/>
        <v>0</v>
      </c>
      <c r="L573" s="62"/>
      <c r="M573" s="63"/>
    </row>
    <row r="574" spans="1:13" s="45" customFormat="1" ht="13.25" customHeight="1" x14ac:dyDescent="0.3">
      <c r="A574" s="55">
        <v>46140</v>
      </c>
      <c r="B574" s="56">
        <f>VLOOKUP(C574,[7]完成订单!$D:$D,1,0)</f>
        <v>10880035235</v>
      </c>
      <c r="C574" s="57">
        <v>10880035235</v>
      </c>
      <c r="D574" s="57">
        <v>110001267297</v>
      </c>
      <c r="E574" s="57">
        <v>110001267297</v>
      </c>
      <c r="F574" s="58" t="s">
        <v>159</v>
      </c>
      <c r="G574" s="59">
        <v>784</v>
      </c>
      <c r="H574" s="53">
        <f>VLOOKUP(E574,DIP计划!E:J,6,0)</f>
        <v>46146</v>
      </c>
      <c r="I574" s="55">
        <f t="shared" si="14"/>
        <v>46140</v>
      </c>
      <c r="J574" s="57">
        <f>VLOOKUP(D574,DIP计划!D:G,4,0)</f>
        <v>784</v>
      </c>
      <c r="K574" s="4">
        <f t="shared" si="15"/>
        <v>0</v>
      </c>
      <c r="L574" s="62"/>
      <c r="M574" s="63"/>
    </row>
    <row r="575" spans="1:13" s="45" customFormat="1" ht="13.25" customHeight="1" x14ac:dyDescent="0.3">
      <c r="A575" s="55">
        <v>46140</v>
      </c>
      <c r="B575" s="56" t="e">
        <f>VLOOKUP(C575,[7]完成订单!$D:$D,1,0)</f>
        <v>#N/A</v>
      </c>
      <c r="C575" s="57">
        <v>10400029384</v>
      </c>
      <c r="D575" s="57">
        <v>110001267297</v>
      </c>
      <c r="E575" s="57">
        <v>110001267298</v>
      </c>
      <c r="F575" s="58" t="s">
        <v>159</v>
      </c>
      <c r="G575" s="59">
        <v>784</v>
      </c>
      <c r="H575" s="53">
        <f>H574-2</f>
        <v>46144</v>
      </c>
      <c r="I575" s="55">
        <f t="shared" si="14"/>
        <v>46140</v>
      </c>
      <c r="J575" s="57">
        <f>VLOOKUP(D575,DIP计划!D:G,4,0)</f>
        <v>784</v>
      </c>
      <c r="K575" s="4">
        <f t="shared" si="15"/>
        <v>0</v>
      </c>
      <c r="L575" s="62"/>
      <c r="M575" s="63"/>
    </row>
    <row r="576" spans="1:13" s="45" customFormat="1" ht="13.25" customHeight="1" x14ac:dyDescent="0.3">
      <c r="A576" s="55">
        <v>46140</v>
      </c>
      <c r="B576" s="56">
        <f>VLOOKUP(C576,[7]完成订单!$D:$D,1,0)</f>
        <v>10880037617</v>
      </c>
      <c r="C576" s="57">
        <v>10880037617</v>
      </c>
      <c r="D576" s="57">
        <v>110001278746</v>
      </c>
      <c r="E576" s="57">
        <v>110001278746</v>
      </c>
      <c r="F576" s="58" t="s">
        <v>1657</v>
      </c>
      <c r="G576" s="59">
        <v>500</v>
      </c>
      <c r="H576" s="53" t="e">
        <f>VLOOKUP(E576,DIP计划!E:J,6,0)</f>
        <v>#N/A</v>
      </c>
      <c r="I576" s="55">
        <f t="shared" si="14"/>
        <v>46140</v>
      </c>
      <c r="J576" s="57" t="e">
        <f>VLOOKUP(D576,DIP计划!D:G,4,0)</f>
        <v>#N/A</v>
      </c>
      <c r="K576" s="4" t="e">
        <f t="shared" si="15"/>
        <v>#N/A</v>
      </c>
      <c r="L576" s="62"/>
      <c r="M576" s="63"/>
    </row>
    <row r="577" spans="1:13" s="45" customFormat="1" ht="13.25" customHeight="1" x14ac:dyDescent="0.3">
      <c r="A577" s="55">
        <v>46140</v>
      </c>
      <c r="B577" s="56" t="e">
        <f>VLOOKUP(C577,[7]完成订单!$D:$D,1,0)</f>
        <v>#N/A</v>
      </c>
      <c r="C577" s="57">
        <v>10400032631</v>
      </c>
      <c r="D577" s="57">
        <v>110001278746</v>
      </c>
      <c r="E577" s="57">
        <v>110001278747</v>
      </c>
      <c r="F577" s="58" t="s">
        <v>1766</v>
      </c>
      <c r="G577" s="59">
        <v>500</v>
      </c>
      <c r="H577" s="53" t="e">
        <f>H576-2</f>
        <v>#N/A</v>
      </c>
      <c r="I577" s="55">
        <f t="shared" si="14"/>
        <v>46140</v>
      </c>
      <c r="J577" s="57" t="e">
        <f>VLOOKUP(D577,DIP计划!D:G,4,0)</f>
        <v>#N/A</v>
      </c>
      <c r="K577" s="4" t="e">
        <f t="shared" si="15"/>
        <v>#N/A</v>
      </c>
      <c r="L577" s="62"/>
      <c r="M577" s="63"/>
    </row>
    <row r="578" spans="1:13" s="45" customFormat="1" ht="13.25" customHeight="1" x14ac:dyDescent="0.3">
      <c r="A578" s="55">
        <v>46140</v>
      </c>
      <c r="B578" s="56">
        <f>VLOOKUP(C578,[7]完成订单!$D:$D,1,0)</f>
        <v>10880033535</v>
      </c>
      <c r="C578" s="57">
        <v>10880033535</v>
      </c>
      <c r="D578" s="57">
        <v>110001288361</v>
      </c>
      <c r="E578" s="57">
        <v>110001288361</v>
      </c>
      <c r="F578" s="58" t="s">
        <v>157</v>
      </c>
      <c r="G578" s="59">
        <v>1500</v>
      </c>
      <c r="H578" s="53">
        <f>VLOOKUP(E578,DIP计划!E:J,6,0)</f>
        <v>46142</v>
      </c>
      <c r="I578" s="55">
        <f t="shared" si="14"/>
        <v>46140</v>
      </c>
      <c r="J578" s="57">
        <f>VLOOKUP(D578,DIP计划!D:G,4,0)</f>
        <v>1500</v>
      </c>
      <c r="K578" s="4">
        <f t="shared" si="15"/>
        <v>0</v>
      </c>
      <c r="L578" s="62"/>
      <c r="M578" s="63"/>
    </row>
    <row r="579" spans="1:13" s="45" customFormat="1" ht="13.25" customHeight="1" x14ac:dyDescent="0.3">
      <c r="A579" s="55">
        <v>46140</v>
      </c>
      <c r="B579" s="56" t="e">
        <f>VLOOKUP(C579,[7]完成订单!$D:$D,1,0)</f>
        <v>#N/A</v>
      </c>
      <c r="C579" s="57">
        <v>10400027323</v>
      </c>
      <c r="D579" s="57">
        <v>110001288361</v>
      </c>
      <c r="E579" s="57">
        <v>110001288362</v>
      </c>
      <c r="F579" s="58" t="s">
        <v>157</v>
      </c>
      <c r="G579" s="59">
        <v>1500</v>
      </c>
      <c r="H579" s="53">
        <f>H578-2</f>
        <v>46140</v>
      </c>
      <c r="I579" s="55">
        <f t="shared" si="14"/>
        <v>46140</v>
      </c>
      <c r="J579" s="57">
        <f>VLOOKUP(D579,DIP计划!D:G,4,0)</f>
        <v>1500</v>
      </c>
      <c r="K579" s="4">
        <f t="shared" si="15"/>
        <v>0</v>
      </c>
      <c r="L579" s="62"/>
      <c r="M579" s="63"/>
    </row>
    <row r="580" spans="1:13" s="45" customFormat="1" ht="13.25" customHeight="1" x14ac:dyDescent="0.3">
      <c r="A580" s="55">
        <v>46140</v>
      </c>
      <c r="B580" s="56">
        <f>VLOOKUP(C580,[7]完成订单!$D:$D,1,0)</f>
        <v>10880031157</v>
      </c>
      <c r="C580" s="57">
        <v>10880031157</v>
      </c>
      <c r="D580" s="57">
        <v>110001296258</v>
      </c>
      <c r="E580" s="57">
        <v>110001296258</v>
      </c>
      <c r="F580" s="58" t="s">
        <v>230</v>
      </c>
      <c r="G580" s="59">
        <v>300</v>
      </c>
      <c r="H580" s="53" t="e">
        <f>VLOOKUP(E580,DIP计划!E:J,6,0)</f>
        <v>#N/A</v>
      </c>
      <c r="I580" s="55">
        <f t="shared" si="14"/>
        <v>46140</v>
      </c>
      <c r="J580" s="57" t="e">
        <f>VLOOKUP(D580,DIP计划!D:G,4,0)</f>
        <v>#N/A</v>
      </c>
      <c r="K580" s="4" t="e">
        <f t="shared" si="15"/>
        <v>#N/A</v>
      </c>
      <c r="L580" s="62"/>
      <c r="M580" s="63"/>
    </row>
    <row r="581" spans="1:13" s="45" customFormat="1" ht="13.25" customHeight="1" x14ac:dyDescent="0.3">
      <c r="A581" s="55">
        <v>46140</v>
      </c>
      <c r="B581" s="56" t="e">
        <f>VLOOKUP(C581,[7]完成订单!$D:$D,1,0)</f>
        <v>#N/A</v>
      </c>
      <c r="C581" s="57">
        <v>10400024961</v>
      </c>
      <c r="D581" s="57">
        <v>110001296258</v>
      </c>
      <c r="E581" s="57">
        <v>110001296259</v>
      </c>
      <c r="F581" s="58" t="s">
        <v>230</v>
      </c>
      <c r="G581" s="59">
        <v>300</v>
      </c>
      <c r="H581" s="53" t="e">
        <f>H580-2</f>
        <v>#N/A</v>
      </c>
      <c r="I581" s="55">
        <f t="shared" si="14"/>
        <v>46140</v>
      </c>
      <c r="J581" s="57" t="e">
        <f>VLOOKUP(D581,DIP计划!D:G,4,0)</f>
        <v>#N/A</v>
      </c>
      <c r="K581" s="4" t="e">
        <f t="shared" si="15"/>
        <v>#N/A</v>
      </c>
      <c r="L581" s="62"/>
      <c r="M581" s="63"/>
    </row>
    <row r="582" spans="1:13" s="45" customFormat="1" ht="13.25" customHeight="1" x14ac:dyDescent="0.3">
      <c r="A582" s="55">
        <v>46140</v>
      </c>
      <c r="B582" s="56">
        <f>VLOOKUP(C582,[7]完成订单!$D:$D,1,0)</f>
        <v>10880036434</v>
      </c>
      <c r="C582" s="57">
        <v>10880036434</v>
      </c>
      <c r="D582" s="57">
        <v>110001296286</v>
      </c>
      <c r="E582" s="57">
        <v>110001296286</v>
      </c>
      <c r="F582" s="58" t="s">
        <v>74</v>
      </c>
      <c r="G582" s="59">
        <v>200</v>
      </c>
      <c r="H582" s="53">
        <f>VLOOKUP(E582,DIP计划!E:J,6,0)</f>
        <v>46148</v>
      </c>
      <c r="I582" s="55">
        <f t="shared" ref="I582:I645" si="16">A582</f>
        <v>46140</v>
      </c>
      <c r="J582" s="57">
        <f>VLOOKUP(D582,DIP计划!D:G,4,0)</f>
        <v>200</v>
      </c>
      <c r="K582" s="4">
        <f t="shared" ref="K582:K645" si="17">+J582-G582</f>
        <v>0</v>
      </c>
      <c r="L582" s="62"/>
      <c r="M582" s="63"/>
    </row>
    <row r="583" spans="1:13" s="45" customFormat="1" ht="13.25" customHeight="1" x14ac:dyDescent="0.3">
      <c r="A583" s="55">
        <v>46140</v>
      </c>
      <c r="B583" s="56" t="e">
        <f>VLOOKUP(C583,[7]完成订单!$D:$D,1,0)</f>
        <v>#N/A</v>
      </c>
      <c r="C583" s="57">
        <v>10400031038</v>
      </c>
      <c r="D583" s="57">
        <v>110001296286</v>
      </c>
      <c r="E583" s="57">
        <v>110001296287</v>
      </c>
      <c r="F583" s="58" t="s">
        <v>1767</v>
      </c>
      <c r="G583" s="59">
        <v>200</v>
      </c>
      <c r="H583" s="53">
        <f>H582-2</f>
        <v>46146</v>
      </c>
      <c r="I583" s="55">
        <f t="shared" si="16"/>
        <v>46140</v>
      </c>
      <c r="J583" s="57">
        <f>VLOOKUP(D583,DIP计划!D:G,4,0)</f>
        <v>200</v>
      </c>
      <c r="K583" s="4">
        <f t="shared" si="17"/>
        <v>0</v>
      </c>
      <c r="L583" s="62"/>
      <c r="M583" s="63"/>
    </row>
    <row r="584" spans="1:13" s="45" customFormat="1" ht="13.25" customHeight="1" x14ac:dyDescent="0.3">
      <c r="A584" s="55">
        <v>46140</v>
      </c>
      <c r="B584" s="56">
        <f>VLOOKUP(C584,[7]完成订单!$D:$D,1,0)</f>
        <v>10880022123</v>
      </c>
      <c r="C584" s="57">
        <v>10880022123</v>
      </c>
      <c r="D584" s="57">
        <v>110001296362</v>
      </c>
      <c r="E584" s="57">
        <v>110001296362</v>
      </c>
      <c r="F584" s="58" t="s">
        <v>247</v>
      </c>
      <c r="G584" s="59">
        <v>15000</v>
      </c>
      <c r="H584" s="53" t="e">
        <f>VLOOKUP(E584,DIP计划!E:J,6,0)</f>
        <v>#N/A</v>
      </c>
      <c r="I584" s="55">
        <f t="shared" si="16"/>
        <v>46140</v>
      </c>
      <c r="J584" s="57" t="e">
        <f>VLOOKUP(D584,DIP计划!D:G,4,0)</f>
        <v>#N/A</v>
      </c>
      <c r="K584" s="4" t="e">
        <f t="shared" si="17"/>
        <v>#N/A</v>
      </c>
      <c r="L584" s="62"/>
      <c r="M584" s="63"/>
    </row>
    <row r="585" spans="1:13" s="45" customFormat="1" ht="13.25" customHeight="1" x14ac:dyDescent="0.3">
      <c r="A585" s="55">
        <v>46140</v>
      </c>
      <c r="B585" s="56" t="e">
        <f>VLOOKUP(C585,[7]完成订单!$D:$D,1,0)</f>
        <v>#N/A</v>
      </c>
      <c r="C585" s="57">
        <v>10400021683</v>
      </c>
      <c r="D585" s="57">
        <v>110001296362</v>
      </c>
      <c r="E585" s="57">
        <v>110001296363</v>
      </c>
      <c r="F585" s="58" t="s">
        <v>247</v>
      </c>
      <c r="G585" s="59">
        <v>15000</v>
      </c>
      <c r="H585" s="53" t="e">
        <f>H584-2</f>
        <v>#N/A</v>
      </c>
      <c r="I585" s="55">
        <f t="shared" si="16"/>
        <v>46140</v>
      </c>
      <c r="J585" s="57" t="e">
        <f>VLOOKUP(D585,DIP计划!D:G,4,0)</f>
        <v>#N/A</v>
      </c>
      <c r="K585" s="4" t="e">
        <f t="shared" si="17"/>
        <v>#N/A</v>
      </c>
      <c r="L585" s="62"/>
      <c r="M585" s="63"/>
    </row>
    <row r="586" spans="1:13" s="45" customFormat="1" ht="13.25" customHeight="1" x14ac:dyDescent="0.3">
      <c r="A586" s="55">
        <v>46140</v>
      </c>
      <c r="B586" s="56">
        <f>VLOOKUP(C586,[7]完成订单!$D:$D,1,0)</f>
        <v>10880030976</v>
      </c>
      <c r="C586" s="57">
        <v>10880030976</v>
      </c>
      <c r="D586" s="57">
        <v>110001299843</v>
      </c>
      <c r="E586" s="57">
        <v>110001299843</v>
      </c>
      <c r="F586" s="58" t="s">
        <v>72</v>
      </c>
      <c r="G586" s="59">
        <v>900</v>
      </c>
      <c r="H586" s="53" t="e">
        <f>VLOOKUP(E586,DIP计划!E:J,6,0)</f>
        <v>#N/A</v>
      </c>
      <c r="I586" s="55">
        <f t="shared" si="16"/>
        <v>46140</v>
      </c>
      <c r="J586" s="57" t="e">
        <f>VLOOKUP(D586,DIP计划!D:G,4,0)</f>
        <v>#N/A</v>
      </c>
      <c r="K586" s="4" t="e">
        <f t="shared" si="17"/>
        <v>#N/A</v>
      </c>
      <c r="L586" s="62"/>
      <c r="M586" s="63"/>
    </row>
    <row r="587" spans="1:13" s="45" customFormat="1" ht="13.25" customHeight="1" x14ac:dyDescent="0.3">
      <c r="A587" s="55">
        <v>46140</v>
      </c>
      <c r="B587" s="56" t="e">
        <f>VLOOKUP(C587,[7]完成订单!$D:$D,1,0)</f>
        <v>#N/A</v>
      </c>
      <c r="C587" s="57">
        <v>10400024768</v>
      </c>
      <c r="D587" s="57">
        <v>110001299843</v>
      </c>
      <c r="E587" s="57">
        <v>110001299844</v>
      </c>
      <c r="F587" s="58" t="s">
        <v>72</v>
      </c>
      <c r="G587" s="59">
        <v>900</v>
      </c>
      <c r="H587" s="53" t="e">
        <f>H586-2</f>
        <v>#N/A</v>
      </c>
      <c r="I587" s="55">
        <f t="shared" si="16"/>
        <v>46140</v>
      </c>
      <c r="J587" s="57" t="e">
        <f>VLOOKUP(D587,DIP计划!D:G,4,0)</f>
        <v>#N/A</v>
      </c>
      <c r="K587" s="4" t="e">
        <f t="shared" si="17"/>
        <v>#N/A</v>
      </c>
      <c r="L587" s="62"/>
      <c r="M587" s="63"/>
    </row>
    <row r="588" spans="1:13" s="45" customFormat="1" ht="13.25" customHeight="1" x14ac:dyDescent="0.3">
      <c r="A588" s="55">
        <v>46140</v>
      </c>
      <c r="B588" s="56">
        <f>VLOOKUP(C588,[7]完成订单!$D:$D,1,0)</f>
        <v>10880037377</v>
      </c>
      <c r="C588" s="57">
        <v>10880037377</v>
      </c>
      <c r="D588" s="57">
        <v>110001299917</v>
      </c>
      <c r="E588" s="57">
        <v>110001299917</v>
      </c>
      <c r="F588" s="58" t="s">
        <v>60</v>
      </c>
      <c r="G588" s="59">
        <v>5800</v>
      </c>
      <c r="H588" s="53">
        <f>VLOOKUP(E588,DIP计划!E:J,6,0)</f>
        <v>46146</v>
      </c>
      <c r="I588" s="55">
        <f t="shared" si="16"/>
        <v>46140</v>
      </c>
      <c r="J588" s="57">
        <f>VLOOKUP(D588,DIP计划!D:G,4,0)</f>
        <v>5800</v>
      </c>
      <c r="K588" s="4">
        <f t="shared" si="17"/>
        <v>0</v>
      </c>
      <c r="L588" s="62"/>
      <c r="M588" s="63"/>
    </row>
    <row r="589" spans="1:13" s="45" customFormat="1" ht="13.25" customHeight="1" x14ac:dyDescent="0.3">
      <c r="A589" s="55">
        <v>46140</v>
      </c>
      <c r="B589" s="56" t="e">
        <f>VLOOKUP(C589,[7]完成订单!$D:$D,1,0)</f>
        <v>#N/A</v>
      </c>
      <c r="C589" s="57">
        <v>10400032318</v>
      </c>
      <c r="D589" s="57">
        <v>110001299917</v>
      </c>
      <c r="E589" s="57">
        <v>110001299918</v>
      </c>
      <c r="F589" s="58" t="s">
        <v>326</v>
      </c>
      <c r="G589" s="59">
        <v>5800</v>
      </c>
      <c r="H589" s="53">
        <f>H588-2</f>
        <v>46144</v>
      </c>
      <c r="I589" s="55">
        <f t="shared" si="16"/>
        <v>46140</v>
      </c>
      <c r="J589" s="57">
        <f>VLOOKUP(D589,DIP计划!D:G,4,0)</f>
        <v>5800</v>
      </c>
      <c r="K589" s="4">
        <f t="shared" si="17"/>
        <v>0</v>
      </c>
      <c r="L589" s="62"/>
      <c r="M589" s="63"/>
    </row>
    <row r="590" spans="1:13" s="45" customFormat="1" ht="13.25" customHeight="1" x14ac:dyDescent="0.3">
      <c r="A590" s="55">
        <v>46140</v>
      </c>
      <c r="B590" s="56">
        <f>VLOOKUP(C590,[7]完成订单!$D:$D,1,0)</f>
        <v>10880031011</v>
      </c>
      <c r="C590" s="57">
        <v>10880031011</v>
      </c>
      <c r="D590" s="57">
        <v>110001300013</v>
      </c>
      <c r="E590" s="57">
        <v>110001300013</v>
      </c>
      <c r="F590" s="58" t="s">
        <v>49</v>
      </c>
      <c r="G590" s="59">
        <v>300</v>
      </c>
      <c r="H590" s="53" t="e">
        <f>VLOOKUP(E590,DIP计划!E:J,6,0)</f>
        <v>#N/A</v>
      </c>
      <c r="I590" s="55">
        <f t="shared" si="16"/>
        <v>46140</v>
      </c>
      <c r="J590" s="57" t="e">
        <f>VLOOKUP(D590,DIP计划!D:G,4,0)</f>
        <v>#N/A</v>
      </c>
      <c r="K590" s="4" t="e">
        <f t="shared" si="17"/>
        <v>#N/A</v>
      </c>
      <c r="L590" s="62"/>
      <c r="M590" s="63"/>
    </row>
    <row r="591" spans="1:13" s="45" customFormat="1" ht="13.25" customHeight="1" x14ac:dyDescent="0.3">
      <c r="A591" s="55">
        <v>46140</v>
      </c>
      <c r="B591" s="56">
        <f>VLOOKUP(C591,[7]完成订单!$D:$D,1,0)</f>
        <v>10880030545</v>
      </c>
      <c r="C591" s="57">
        <v>10880030545</v>
      </c>
      <c r="D591" s="57">
        <v>110001300013</v>
      </c>
      <c r="E591" s="57">
        <v>110001300014</v>
      </c>
      <c r="F591" s="58" t="s">
        <v>46</v>
      </c>
      <c r="G591" s="59">
        <v>300</v>
      </c>
      <c r="H591" s="53" t="e">
        <f>VLOOKUP(E591,DIP计划!E:J,6,0)</f>
        <v>#N/A</v>
      </c>
      <c r="I591" s="55">
        <f t="shared" si="16"/>
        <v>46140</v>
      </c>
      <c r="J591" s="57" t="e">
        <f>VLOOKUP(D591,DIP计划!D:G,4,0)</f>
        <v>#N/A</v>
      </c>
      <c r="K591" s="4" t="e">
        <f t="shared" si="17"/>
        <v>#N/A</v>
      </c>
      <c r="L591" s="62"/>
      <c r="M591" s="63"/>
    </row>
    <row r="592" spans="1:13" s="45" customFormat="1" ht="13.25" customHeight="1" x14ac:dyDescent="0.3">
      <c r="A592" s="55">
        <v>46140</v>
      </c>
      <c r="B592" s="56">
        <f>VLOOKUP(C592,[7]完成订单!$D:$D,1,0)</f>
        <v>10880031020</v>
      </c>
      <c r="C592" s="57">
        <v>10880031020</v>
      </c>
      <c r="D592" s="57">
        <v>110001300013</v>
      </c>
      <c r="E592" s="57">
        <v>110001300015</v>
      </c>
      <c r="F592" s="58" t="s">
        <v>47</v>
      </c>
      <c r="G592" s="59">
        <v>300</v>
      </c>
      <c r="H592" s="53" t="e">
        <f>VLOOKUP(E592,DIP计划!E:J,6,0)</f>
        <v>#N/A</v>
      </c>
      <c r="I592" s="55">
        <f t="shared" si="16"/>
        <v>46140</v>
      </c>
      <c r="J592" s="57" t="e">
        <f>VLOOKUP(D592,DIP计划!D:G,4,0)</f>
        <v>#N/A</v>
      </c>
      <c r="K592" s="4" t="e">
        <f t="shared" si="17"/>
        <v>#N/A</v>
      </c>
      <c r="L592" s="62"/>
      <c r="M592" s="63"/>
    </row>
    <row r="593" spans="1:13" s="45" customFormat="1" ht="13.25" customHeight="1" x14ac:dyDescent="0.3">
      <c r="A593" s="55">
        <v>46140</v>
      </c>
      <c r="B593" s="56" t="e">
        <f>VLOOKUP(C593,[7]完成订单!$D:$D,1,0)</f>
        <v>#N/A</v>
      </c>
      <c r="C593" s="57">
        <v>10400024308</v>
      </c>
      <c r="D593" s="57">
        <v>110001300013</v>
      </c>
      <c r="E593" s="57">
        <v>110001300016</v>
      </c>
      <c r="F593" s="58" t="s">
        <v>46</v>
      </c>
      <c r="G593" s="59">
        <v>300</v>
      </c>
      <c r="H593" s="53" t="e">
        <f>H591-2</f>
        <v>#N/A</v>
      </c>
      <c r="I593" s="55">
        <f t="shared" si="16"/>
        <v>46140</v>
      </c>
      <c r="J593" s="57" t="e">
        <f>VLOOKUP(D593,DIP计划!D:G,4,0)</f>
        <v>#N/A</v>
      </c>
      <c r="K593" s="4" t="e">
        <f t="shared" si="17"/>
        <v>#N/A</v>
      </c>
      <c r="L593" s="62"/>
      <c r="M593" s="63"/>
    </row>
    <row r="594" spans="1:13" s="45" customFormat="1" ht="13.25" customHeight="1" x14ac:dyDescent="0.3">
      <c r="A594" s="55">
        <v>46140</v>
      </c>
      <c r="B594" s="56" t="e">
        <f>VLOOKUP(C594,[7]完成订单!$D:$D,1,0)</f>
        <v>#N/A</v>
      </c>
      <c r="C594" s="57">
        <v>10400024804</v>
      </c>
      <c r="D594" s="57">
        <v>110001300013</v>
      </c>
      <c r="E594" s="57">
        <v>110001300017</v>
      </c>
      <c r="F594" s="58" t="s">
        <v>47</v>
      </c>
      <c r="G594" s="59">
        <v>300</v>
      </c>
      <c r="H594" s="53" t="e">
        <f>H592-2</f>
        <v>#N/A</v>
      </c>
      <c r="I594" s="55">
        <f t="shared" si="16"/>
        <v>46140</v>
      </c>
      <c r="J594" s="57" t="e">
        <f>VLOOKUP(D594,DIP计划!D:G,4,0)</f>
        <v>#N/A</v>
      </c>
      <c r="K594" s="4" t="e">
        <f t="shared" si="17"/>
        <v>#N/A</v>
      </c>
      <c r="L594" s="62"/>
      <c r="M594" s="63"/>
    </row>
    <row r="595" spans="1:13" s="45" customFormat="1" ht="13.25" customHeight="1" x14ac:dyDescent="0.3">
      <c r="A595" s="55">
        <v>46140</v>
      </c>
      <c r="B595" s="56">
        <f>VLOOKUP(C595,[7]完成订单!$D:$D,1,0)</f>
        <v>10880038579</v>
      </c>
      <c r="C595" s="57">
        <v>10880038579</v>
      </c>
      <c r="D595" s="57">
        <v>110001300147</v>
      </c>
      <c r="E595" s="57">
        <v>110001300147</v>
      </c>
      <c r="F595" s="58" t="s">
        <v>246</v>
      </c>
      <c r="G595" s="59">
        <v>6000</v>
      </c>
      <c r="H595" s="53" t="e">
        <f>VLOOKUP(E595,DIP计划!E:J,6,0)</f>
        <v>#N/A</v>
      </c>
      <c r="I595" s="55">
        <f t="shared" si="16"/>
        <v>46140</v>
      </c>
      <c r="J595" s="57" t="e">
        <f>VLOOKUP(D595,DIP计划!D:G,4,0)</f>
        <v>#N/A</v>
      </c>
      <c r="K595" s="4" t="e">
        <f t="shared" si="17"/>
        <v>#N/A</v>
      </c>
      <c r="L595" s="62"/>
      <c r="M595" s="63"/>
    </row>
    <row r="596" spans="1:13" s="45" customFormat="1" ht="13.25" customHeight="1" x14ac:dyDescent="0.3">
      <c r="A596" s="55">
        <v>46140</v>
      </c>
      <c r="B596" s="56" t="e">
        <f>VLOOKUP(C596,[7]完成订单!$D:$D,1,0)</f>
        <v>#N/A</v>
      </c>
      <c r="C596" s="57">
        <v>10400033915</v>
      </c>
      <c r="D596" s="57">
        <v>110001300147</v>
      </c>
      <c r="E596" s="57">
        <v>110001300148</v>
      </c>
      <c r="F596" s="58" t="s">
        <v>284</v>
      </c>
      <c r="G596" s="59">
        <v>6000</v>
      </c>
      <c r="H596" s="53" t="e">
        <f>H595-2</f>
        <v>#N/A</v>
      </c>
      <c r="I596" s="55">
        <f t="shared" si="16"/>
        <v>46140</v>
      </c>
      <c r="J596" s="57" t="e">
        <f>VLOOKUP(D596,DIP计划!D:G,4,0)</f>
        <v>#N/A</v>
      </c>
      <c r="K596" s="4" t="e">
        <f t="shared" si="17"/>
        <v>#N/A</v>
      </c>
      <c r="L596" s="62"/>
      <c r="M596" s="63"/>
    </row>
    <row r="597" spans="1:13" s="45" customFormat="1" ht="13.25" customHeight="1" x14ac:dyDescent="0.3">
      <c r="A597" s="55">
        <v>46140</v>
      </c>
      <c r="B597" s="56">
        <f>VLOOKUP(C597,[7]完成订单!$D:$D,1,0)</f>
        <v>10880034619</v>
      </c>
      <c r="C597" s="57">
        <v>10880034619</v>
      </c>
      <c r="D597" s="57">
        <v>110001302805</v>
      </c>
      <c r="E597" s="57">
        <v>110001302805</v>
      </c>
      <c r="F597" s="58" t="s">
        <v>53</v>
      </c>
      <c r="G597" s="59">
        <v>400</v>
      </c>
      <c r="H597" s="53" t="e">
        <f>VLOOKUP(E597,DIP计划!E:J,6,0)</f>
        <v>#N/A</v>
      </c>
      <c r="I597" s="55">
        <f t="shared" si="16"/>
        <v>46140</v>
      </c>
      <c r="J597" s="57" t="e">
        <f>VLOOKUP(D597,DIP计划!D:G,4,0)</f>
        <v>#N/A</v>
      </c>
      <c r="K597" s="4" t="e">
        <f t="shared" si="17"/>
        <v>#N/A</v>
      </c>
      <c r="L597" s="62"/>
      <c r="M597" s="63"/>
    </row>
    <row r="598" spans="1:13" s="45" customFormat="1" ht="13.25" customHeight="1" x14ac:dyDescent="0.3">
      <c r="A598" s="55">
        <v>46140</v>
      </c>
      <c r="B598" s="56">
        <f>VLOOKUP(C598,[7]完成订单!$D:$D,1,0)</f>
        <v>10880030545</v>
      </c>
      <c r="C598" s="57">
        <v>10880030545</v>
      </c>
      <c r="D598" s="57">
        <v>110001302805</v>
      </c>
      <c r="E598" s="57">
        <v>110001302806</v>
      </c>
      <c r="F598" s="58" t="s">
        <v>46</v>
      </c>
      <c r="G598" s="59">
        <v>400</v>
      </c>
      <c r="H598" s="53" t="e">
        <f>VLOOKUP(E598,DIP计划!E:J,6,0)</f>
        <v>#N/A</v>
      </c>
      <c r="I598" s="55">
        <f t="shared" si="16"/>
        <v>46140</v>
      </c>
      <c r="J598" s="57" t="e">
        <f>VLOOKUP(D598,DIP计划!D:G,4,0)</f>
        <v>#N/A</v>
      </c>
      <c r="K598" s="4" t="e">
        <f t="shared" si="17"/>
        <v>#N/A</v>
      </c>
      <c r="L598" s="62"/>
      <c r="M598" s="63"/>
    </row>
    <row r="599" spans="1:13" s="45" customFormat="1" ht="13.25" customHeight="1" x14ac:dyDescent="0.3">
      <c r="A599" s="55">
        <v>46140</v>
      </c>
      <c r="B599" s="56">
        <f>VLOOKUP(C599,[7]完成订单!$D:$D,1,0)</f>
        <v>10880034622</v>
      </c>
      <c r="C599" s="57">
        <v>10880034622</v>
      </c>
      <c r="D599" s="57">
        <v>110001302805</v>
      </c>
      <c r="E599" s="57">
        <v>110001302807</v>
      </c>
      <c r="F599" s="58" t="s">
        <v>51</v>
      </c>
      <c r="G599" s="59">
        <v>400</v>
      </c>
      <c r="H599" s="53" t="e">
        <f>VLOOKUP(E599,DIP计划!E:J,6,0)</f>
        <v>#N/A</v>
      </c>
      <c r="I599" s="55">
        <f t="shared" si="16"/>
        <v>46140</v>
      </c>
      <c r="J599" s="57" t="e">
        <f>VLOOKUP(D599,DIP计划!D:G,4,0)</f>
        <v>#N/A</v>
      </c>
      <c r="K599" s="4" t="e">
        <f t="shared" si="17"/>
        <v>#N/A</v>
      </c>
      <c r="L599" s="62"/>
      <c r="M599" s="63"/>
    </row>
    <row r="600" spans="1:13" s="45" customFormat="1" ht="13.25" customHeight="1" x14ac:dyDescent="0.3">
      <c r="A600" s="55">
        <v>46140</v>
      </c>
      <c r="B600" s="56" t="e">
        <f>VLOOKUP(C600,[7]完成订单!$D:$D,1,0)</f>
        <v>#N/A</v>
      </c>
      <c r="C600" s="57">
        <v>10400024308</v>
      </c>
      <c r="D600" s="57">
        <v>110001302805</v>
      </c>
      <c r="E600" s="57">
        <v>110001302808</v>
      </c>
      <c r="F600" s="58" t="s">
        <v>46</v>
      </c>
      <c r="G600" s="59">
        <v>400</v>
      </c>
      <c r="H600" s="53" t="e">
        <f>H598-2</f>
        <v>#N/A</v>
      </c>
      <c r="I600" s="55">
        <f t="shared" si="16"/>
        <v>46140</v>
      </c>
      <c r="J600" s="57" t="e">
        <f>VLOOKUP(D600,DIP计划!D:G,4,0)</f>
        <v>#N/A</v>
      </c>
      <c r="K600" s="4" t="e">
        <f t="shared" si="17"/>
        <v>#N/A</v>
      </c>
      <c r="L600" s="62"/>
      <c r="M600" s="63"/>
    </row>
    <row r="601" spans="1:13" s="45" customFormat="1" ht="13.25" customHeight="1" x14ac:dyDescent="0.3">
      <c r="A601" s="55">
        <v>46140</v>
      </c>
      <c r="B601" s="56" t="e">
        <f>VLOOKUP(C601,[7]完成订单!$D:$D,1,0)</f>
        <v>#N/A</v>
      </c>
      <c r="C601" s="57">
        <v>10400028620</v>
      </c>
      <c r="D601" s="57">
        <v>110001302805</v>
      </c>
      <c r="E601" s="57">
        <v>110001302809</v>
      </c>
      <c r="F601" s="58" t="s">
        <v>1768</v>
      </c>
      <c r="G601" s="59">
        <v>400</v>
      </c>
      <c r="H601" s="53" t="e">
        <f>H599-2</f>
        <v>#N/A</v>
      </c>
      <c r="I601" s="55">
        <f t="shared" si="16"/>
        <v>46140</v>
      </c>
      <c r="J601" s="57" t="e">
        <f>VLOOKUP(D601,DIP计划!D:G,4,0)</f>
        <v>#N/A</v>
      </c>
      <c r="K601" s="4" t="e">
        <f t="shared" si="17"/>
        <v>#N/A</v>
      </c>
      <c r="L601" s="62"/>
      <c r="M601" s="63"/>
    </row>
    <row r="602" spans="1:13" s="45" customFormat="1" ht="13.25" customHeight="1" x14ac:dyDescent="0.3">
      <c r="A602" s="55">
        <v>46140</v>
      </c>
      <c r="B602" s="56">
        <f>VLOOKUP(C602,[7]完成订单!$D:$D,1,0)</f>
        <v>10880036504</v>
      </c>
      <c r="C602" s="57">
        <v>10880036504</v>
      </c>
      <c r="D602" s="57">
        <v>110001302870</v>
      </c>
      <c r="E602" s="57">
        <v>110001302870</v>
      </c>
      <c r="F602" s="58" t="s">
        <v>56</v>
      </c>
      <c r="G602" s="59">
        <v>232</v>
      </c>
      <c r="H602" s="53" t="e">
        <f>VLOOKUP(E602,DIP计划!E:J,6,0)</f>
        <v>#N/A</v>
      </c>
      <c r="I602" s="55">
        <f t="shared" si="16"/>
        <v>46140</v>
      </c>
      <c r="J602" s="57" t="e">
        <f>VLOOKUP(D602,DIP计划!D:G,4,0)</f>
        <v>#N/A</v>
      </c>
      <c r="K602" s="4" t="e">
        <f t="shared" si="17"/>
        <v>#N/A</v>
      </c>
      <c r="L602" s="62"/>
      <c r="M602" s="63"/>
    </row>
    <row r="603" spans="1:13" s="45" customFormat="1" ht="13.25" customHeight="1" x14ac:dyDescent="0.3">
      <c r="A603" s="55">
        <v>46140</v>
      </c>
      <c r="B603" s="56">
        <f>VLOOKUP(C603,[7]完成订单!$D:$D,1,0)</f>
        <v>10400031135</v>
      </c>
      <c r="C603" s="57">
        <v>10400031135</v>
      </c>
      <c r="D603" s="57">
        <v>110001302870</v>
      </c>
      <c r="E603" s="57">
        <v>110001302871</v>
      </c>
      <c r="F603" s="58" t="s">
        <v>55</v>
      </c>
      <c r="G603" s="59">
        <v>232</v>
      </c>
      <c r="H603" s="53" t="e">
        <f>VLOOKUP(E603,DIP计划!E:J,6,0)</f>
        <v>#N/A</v>
      </c>
      <c r="I603" s="55">
        <f t="shared" si="16"/>
        <v>46140</v>
      </c>
      <c r="J603" s="57" t="e">
        <f>VLOOKUP(D603,DIP计划!D:G,4,0)</f>
        <v>#N/A</v>
      </c>
      <c r="K603" s="4" t="e">
        <f t="shared" si="17"/>
        <v>#N/A</v>
      </c>
      <c r="L603" s="62"/>
      <c r="M603" s="63"/>
    </row>
    <row r="604" spans="1:13" s="45" customFormat="1" ht="13.25" customHeight="1" x14ac:dyDescent="0.3">
      <c r="A604" s="55">
        <v>46140</v>
      </c>
      <c r="B604" s="56">
        <f>VLOOKUP(C604,[7]完成订单!$D:$D,1,0)</f>
        <v>10400029072</v>
      </c>
      <c r="C604" s="57">
        <v>10400029072</v>
      </c>
      <c r="D604" s="57">
        <v>110001302870</v>
      </c>
      <c r="E604" s="57">
        <v>110001302872</v>
      </c>
      <c r="F604" s="58" t="s">
        <v>24</v>
      </c>
      <c r="G604" s="59">
        <v>232</v>
      </c>
      <c r="H604" s="53" t="e">
        <f>VLOOKUP(E604,DIP计划!E:J,6,0)</f>
        <v>#N/A</v>
      </c>
      <c r="I604" s="55">
        <f t="shared" si="16"/>
        <v>46140</v>
      </c>
      <c r="J604" s="57" t="e">
        <f>VLOOKUP(D604,DIP计划!D:G,4,0)</f>
        <v>#N/A</v>
      </c>
      <c r="K604" s="4" t="e">
        <f t="shared" si="17"/>
        <v>#N/A</v>
      </c>
      <c r="L604" s="62"/>
      <c r="M604" s="63"/>
    </row>
    <row r="605" spans="1:13" s="45" customFormat="1" ht="13.25" customHeight="1" x14ac:dyDescent="0.3">
      <c r="A605" s="55">
        <v>46140</v>
      </c>
      <c r="B605" s="56" t="e">
        <f>VLOOKUP(C605,[7]完成订单!$D:$D,1,0)</f>
        <v>#N/A</v>
      </c>
      <c r="C605" s="57">
        <v>10400031136</v>
      </c>
      <c r="D605" s="57">
        <v>110001302870</v>
      </c>
      <c r="E605" s="57">
        <v>110001302873</v>
      </c>
      <c r="F605" s="58" t="s">
        <v>55</v>
      </c>
      <c r="G605" s="59">
        <v>232</v>
      </c>
      <c r="H605" s="53" t="e">
        <f>H603-2</f>
        <v>#N/A</v>
      </c>
      <c r="I605" s="55">
        <f t="shared" si="16"/>
        <v>46140</v>
      </c>
      <c r="J605" s="57" t="e">
        <f>VLOOKUP(D605,DIP计划!D:G,4,0)</f>
        <v>#N/A</v>
      </c>
      <c r="K605" s="4" t="e">
        <f t="shared" si="17"/>
        <v>#N/A</v>
      </c>
      <c r="L605" s="62"/>
      <c r="M605" s="63"/>
    </row>
    <row r="606" spans="1:13" s="45" customFormat="1" ht="13.25" customHeight="1" x14ac:dyDescent="0.3">
      <c r="A606" s="55">
        <v>46140</v>
      </c>
      <c r="B606" s="56" t="e">
        <f>VLOOKUP(C606,[7]完成订单!$D:$D,1,0)</f>
        <v>#N/A</v>
      </c>
      <c r="C606" s="57">
        <v>10400029073</v>
      </c>
      <c r="D606" s="57">
        <v>110001302870</v>
      </c>
      <c r="E606" s="57">
        <v>110001302874</v>
      </c>
      <c r="F606" s="58" t="s">
        <v>24</v>
      </c>
      <c r="G606" s="59">
        <v>232</v>
      </c>
      <c r="H606" s="53" t="e">
        <f>H604-2</f>
        <v>#N/A</v>
      </c>
      <c r="I606" s="55">
        <f t="shared" si="16"/>
        <v>46140</v>
      </c>
      <c r="J606" s="57" t="e">
        <f>VLOOKUP(D606,DIP计划!D:G,4,0)</f>
        <v>#N/A</v>
      </c>
      <c r="K606" s="4" t="e">
        <f t="shared" si="17"/>
        <v>#N/A</v>
      </c>
      <c r="L606" s="62"/>
      <c r="M606" s="63"/>
    </row>
    <row r="607" spans="1:13" s="45" customFormat="1" ht="13.25" customHeight="1" x14ac:dyDescent="0.3">
      <c r="A607" s="55">
        <v>46140</v>
      </c>
      <c r="B607" s="56">
        <f>VLOOKUP(C607,[7]完成订单!$D:$D,1,0)</f>
        <v>10880034669</v>
      </c>
      <c r="C607" s="57">
        <v>10880034669</v>
      </c>
      <c r="D607" s="57">
        <v>110001304437</v>
      </c>
      <c r="E607" s="57">
        <v>110001304437</v>
      </c>
      <c r="F607" s="58" t="s">
        <v>153</v>
      </c>
      <c r="G607" s="59">
        <v>20004</v>
      </c>
      <c r="H607" s="53">
        <f>VLOOKUP(E607,DIP计划!E:J,6,0)</f>
        <v>46146</v>
      </c>
      <c r="I607" s="55">
        <f t="shared" si="16"/>
        <v>46140</v>
      </c>
      <c r="J607" s="57">
        <f>VLOOKUP(D607,DIP计划!D:G,4,0)</f>
        <v>20004</v>
      </c>
      <c r="K607" s="4">
        <f t="shared" si="17"/>
        <v>0</v>
      </c>
      <c r="L607" s="62"/>
      <c r="M607" s="63"/>
    </row>
    <row r="608" spans="1:13" s="45" customFormat="1" ht="13.25" customHeight="1" x14ac:dyDescent="0.3">
      <c r="A608" s="55">
        <v>46140</v>
      </c>
      <c r="B608" s="56" t="e">
        <f>VLOOKUP(C608,[7]完成订单!$D:$D,1,0)</f>
        <v>#N/A</v>
      </c>
      <c r="C608" s="57">
        <v>10400028645</v>
      </c>
      <c r="D608" s="57">
        <v>110001304437</v>
      </c>
      <c r="E608" s="57">
        <v>110001304438</v>
      </c>
      <c r="F608" s="58" t="s">
        <v>153</v>
      </c>
      <c r="G608" s="59">
        <v>20004</v>
      </c>
      <c r="H608" s="53">
        <f>H607-2</f>
        <v>46144</v>
      </c>
      <c r="I608" s="55">
        <f t="shared" si="16"/>
        <v>46140</v>
      </c>
      <c r="J608" s="57">
        <f>VLOOKUP(D608,DIP计划!D:G,4,0)</f>
        <v>20004</v>
      </c>
      <c r="K608" s="4">
        <f t="shared" si="17"/>
        <v>0</v>
      </c>
      <c r="L608" s="62"/>
      <c r="M608" s="63"/>
    </row>
    <row r="609" spans="1:13" s="45" customFormat="1" ht="13.25" customHeight="1" x14ac:dyDescent="0.3">
      <c r="A609" s="55">
        <v>46140</v>
      </c>
      <c r="B609" s="56">
        <f>VLOOKUP(C609,[7]完成订单!$D:$D,1,0)</f>
        <v>10880030187</v>
      </c>
      <c r="C609" s="57">
        <v>10880030187</v>
      </c>
      <c r="D609" s="57">
        <v>110001305145</v>
      </c>
      <c r="E609" s="57">
        <v>110001305145</v>
      </c>
      <c r="F609" s="58" t="s">
        <v>215</v>
      </c>
      <c r="G609" s="59">
        <v>700</v>
      </c>
      <c r="H609" s="53" t="e">
        <f>VLOOKUP(E609,DIP计划!E:J,6,0)</f>
        <v>#N/A</v>
      </c>
      <c r="I609" s="55">
        <f t="shared" si="16"/>
        <v>46140</v>
      </c>
      <c r="J609" s="57" t="e">
        <f>VLOOKUP(D609,DIP计划!D:G,4,0)</f>
        <v>#N/A</v>
      </c>
      <c r="K609" s="4" t="e">
        <f t="shared" si="17"/>
        <v>#N/A</v>
      </c>
      <c r="L609" s="62"/>
      <c r="M609" s="63"/>
    </row>
    <row r="610" spans="1:13" s="45" customFormat="1" ht="13.25" customHeight="1" x14ac:dyDescent="0.3">
      <c r="A610" s="55">
        <v>46140</v>
      </c>
      <c r="B610" s="56" t="e">
        <f>VLOOKUP(C610,[7]完成订单!$D:$D,1,0)</f>
        <v>#N/A</v>
      </c>
      <c r="C610" s="57">
        <v>10400023855</v>
      </c>
      <c r="D610" s="57">
        <v>110001305145</v>
      </c>
      <c r="E610" s="57">
        <v>110001305146</v>
      </c>
      <c r="F610" s="58" t="s">
        <v>215</v>
      </c>
      <c r="G610" s="59">
        <v>700</v>
      </c>
      <c r="H610" s="53" t="e">
        <f>H609-2</f>
        <v>#N/A</v>
      </c>
      <c r="I610" s="55">
        <f t="shared" si="16"/>
        <v>46140</v>
      </c>
      <c r="J610" s="57" t="e">
        <f>VLOOKUP(D610,DIP计划!D:G,4,0)</f>
        <v>#N/A</v>
      </c>
      <c r="K610" s="4" t="e">
        <f t="shared" si="17"/>
        <v>#N/A</v>
      </c>
      <c r="L610" s="62"/>
      <c r="M610" s="63"/>
    </row>
    <row r="611" spans="1:13" s="45" customFormat="1" ht="13.25" customHeight="1" x14ac:dyDescent="0.3">
      <c r="A611" s="55">
        <v>46140</v>
      </c>
      <c r="B611" s="56">
        <f>VLOOKUP(C611,[7]完成订单!$D:$D,1,0)</f>
        <v>10880032885</v>
      </c>
      <c r="C611" s="57">
        <v>10880032885</v>
      </c>
      <c r="D611" s="57">
        <v>110001305153</v>
      </c>
      <c r="E611" s="57">
        <v>110001305153</v>
      </c>
      <c r="F611" s="58" t="s">
        <v>156</v>
      </c>
      <c r="G611" s="59">
        <v>2300</v>
      </c>
      <c r="H611" s="53">
        <f>VLOOKUP(E611,DIP计划!E:J,6,0)</f>
        <v>46149</v>
      </c>
      <c r="I611" s="55">
        <f t="shared" si="16"/>
        <v>46140</v>
      </c>
      <c r="J611" s="57">
        <f>VLOOKUP(D611,DIP计划!D:G,4,0)</f>
        <v>2300</v>
      </c>
      <c r="K611" s="4">
        <f t="shared" si="17"/>
        <v>0</v>
      </c>
      <c r="L611" s="62"/>
      <c r="M611" s="63"/>
    </row>
    <row r="612" spans="1:13" s="45" customFormat="1" ht="13.25" customHeight="1" x14ac:dyDescent="0.3">
      <c r="A612" s="55">
        <v>46140</v>
      </c>
      <c r="B612" s="56" t="e">
        <f>VLOOKUP(C612,[7]完成订单!$D:$D,1,0)</f>
        <v>#N/A</v>
      </c>
      <c r="C612" s="57">
        <v>10400025980</v>
      </c>
      <c r="D612" s="57">
        <v>110001305153</v>
      </c>
      <c r="E612" s="57">
        <v>110001305154</v>
      </c>
      <c r="F612" s="58" t="s">
        <v>156</v>
      </c>
      <c r="G612" s="59">
        <v>2300</v>
      </c>
      <c r="H612" s="53">
        <f>H611-2</f>
        <v>46147</v>
      </c>
      <c r="I612" s="55">
        <f t="shared" si="16"/>
        <v>46140</v>
      </c>
      <c r="J612" s="57">
        <f>VLOOKUP(D612,DIP计划!D:G,4,0)</f>
        <v>2300</v>
      </c>
      <c r="K612" s="4">
        <f t="shared" si="17"/>
        <v>0</v>
      </c>
      <c r="L612" s="62"/>
      <c r="M612" s="63"/>
    </row>
    <row r="613" spans="1:13" s="45" customFormat="1" ht="13.25" customHeight="1" x14ac:dyDescent="0.3">
      <c r="A613" s="55">
        <v>46140</v>
      </c>
      <c r="B613" s="56">
        <f>VLOOKUP(C613,[7]完成订单!$D:$D,1,0)</f>
        <v>10880031760</v>
      </c>
      <c r="C613" s="57">
        <v>10880031760</v>
      </c>
      <c r="D613" s="57">
        <v>110001307057</v>
      </c>
      <c r="E613" s="57">
        <v>110001307057</v>
      </c>
      <c r="F613" s="58" t="s">
        <v>48</v>
      </c>
      <c r="G613" s="59">
        <v>160</v>
      </c>
      <c r="H613" s="53" t="e">
        <f>VLOOKUP(E613,DIP计划!E:J,6,0)</f>
        <v>#N/A</v>
      </c>
      <c r="I613" s="55">
        <f t="shared" si="16"/>
        <v>46140</v>
      </c>
      <c r="J613" s="57" t="e">
        <f>VLOOKUP(D613,DIP计划!D:G,4,0)</f>
        <v>#N/A</v>
      </c>
      <c r="K613" s="4" t="e">
        <f t="shared" si="17"/>
        <v>#N/A</v>
      </c>
      <c r="L613" s="62"/>
      <c r="M613" s="63"/>
    </row>
    <row r="614" spans="1:13" s="45" customFormat="1" ht="13.25" customHeight="1" x14ac:dyDescent="0.3">
      <c r="A614" s="55">
        <v>46140</v>
      </c>
      <c r="B614" s="56">
        <f>VLOOKUP(C614,[7]完成订单!$D:$D,1,0)</f>
        <v>10880030545</v>
      </c>
      <c r="C614" s="57">
        <v>10880030545</v>
      </c>
      <c r="D614" s="57">
        <v>110001307057</v>
      </c>
      <c r="E614" s="57">
        <v>110001307058</v>
      </c>
      <c r="F614" s="58" t="s">
        <v>46</v>
      </c>
      <c r="G614" s="59">
        <v>160</v>
      </c>
      <c r="H614" s="53" t="e">
        <f>VLOOKUP(E614,DIP计划!E:J,6,0)</f>
        <v>#N/A</v>
      </c>
      <c r="I614" s="55">
        <f t="shared" si="16"/>
        <v>46140</v>
      </c>
      <c r="J614" s="57" t="e">
        <f>VLOOKUP(D614,DIP计划!D:G,4,0)</f>
        <v>#N/A</v>
      </c>
      <c r="K614" s="4" t="e">
        <f t="shared" si="17"/>
        <v>#N/A</v>
      </c>
      <c r="L614" s="62"/>
      <c r="M614" s="63"/>
    </row>
    <row r="615" spans="1:13" s="45" customFormat="1" ht="13.25" customHeight="1" x14ac:dyDescent="0.3">
      <c r="A615" s="55">
        <v>46140</v>
      </c>
      <c r="B615" s="56">
        <f>VLOOKUP(C615,[7]完成订单!$D:$D,1,0)</f>
        <v>10880031020</v>
      </c>
      <c r="C615" s="57">
        <v>10880031020</v>
      </c>
      <c r="D615" s="57">
        <v>110001307057</v>
      </c>
      <c r="E615" s="57">
        <v>110001307059</v>
      </c>
      <c r="F615" s="58" t="s">
        <v>47</v>
      </c>
      <c r="G615" s="59">
        <v>160</v>
      </c>
      <c r="H615" s="53" t="e">
        <f>VLOOKUP(E615,DIP计划!E:J,6,0)</f>
        <v>#N/A</v>
      </c>
      <c r="I615" s="55">
        <f t="shared" si="16"/>
        <v>46140</v>
      </c>
      <c r="J615" s="57" t="e">
        <f>VLOOKUP(D615,DIP计划!D:G,4,0)</f>
        <v>#N/A</v>
      </c>
      <c r="K615" s="4" t="e">
        <f t="shared" si="17"/>
        <v>#N/A</v>
      </c>
      <c r="L615" s="62"/>
      <c r="M615" s="63"/>
    </row>
    <row r="616" spans="1:13" s="45" customFormat="1" ht="13.25" customHeight="1" x14ac:dyDescent="0.3">
      <c r="A616" s="55">
        <v>46140</v>
      </c>
      <c r="B616" s="56" t="e">
        <f>VLOOKUP(C616,[7]完成订单!$D:$D,1,0)</f>
        <v>#N/A</v>
      </c>
      <c r="C616" s="57">
        <v>10400024308</v>
      </c>
      <c r="D616" s="57">
        <v>110001307057</v>
      </c>
      <c r="E616" s="57">
        <v>110001307060</v>
      </c>
      <c r="F616" s="58" t="s">
        <v>46</v>
      </c>
      <c r="G616" s="59">
        <v>160</v>
      </c>
      <c r="H616" s="53" t="e">
        <f>H614-2</f>
        <v>#N/A</v>
      </c>
      <c r="I616" s="55">
        <f t="shared" si="16"/>
        <v>46140</v>
      </c>
      <c r="J616" s="57" t="e">
        <f>VLOOKUP(D616,DIP计划!D:G,4,0)</f>
        <v>#N/A</v>
      </c>
      <c r="K616" s="4" t="e">
        <f t="shared" si="17"/>
        <v>#N/A</v>
      </c>
      <c r="L616" s="62"/>
      <c r="M616" s="63"/>
    </row>
    <row r="617" spans="1:13" s="45" customFormat="1" ht="13.25" customHeight="1" x14ac:dyDescent="0.3">
      <c r="A617" s="55">
        <v>46140</v>
      </c>
      <c r="B617" s="56" t="e">
        <f>VLOOKUP(C617,[7]完成订单!$D:$D,1,0)</f>
        <v>#N/A</v>
      </c>
      <c r="C617" s="57">
        <v>10400024804</v>
      </c>
      <c r="D617" s="57">
        <v>110001307057</v>
      </c>
      <c r="E617" s="57">
        <v>110001307161</v>
      </c>
      <c r="F617" s="58" t="s">
        <v>47</v>
      </c>
      <c r="G617" s="59">
        <v>160</v>
      </c>
      <c r="H617" s="53" t="e">
        <f>H615-2</f>
        <v>#N/A</v>
      </c>
      <c r="I617" s="55">
        <f t="shared" si="16"/>
        <v>46140</v>
      </c>
      <c r="J617" s="57" t="e">
        <f>VLOOKUP(D617,DIP计划!D:G,4,0)</f>
        <v>#N/A</v>
      </c>
      <c r="K617" s="4" t="e">
        <f t="shared" si="17"/>
        <v>#N/A</v>
      </c>
      <c r="L617" s="62"/>
      <c r="M617" s="63"/>
    </row>
    <row r="618" spans="1:13" s="45" customFormat="1" ht="13.25" customHeight="1" x14ac:dyDescent="0.3">
      <c r="A618" s="55">
        <v>46140</v>
      </c>
      <c r="B618" s="56">
        <f>VLOOKUP(C618,[7]完成订单!$D:$D,1,0)</f>
        <v>10880036499</v>
      </c>
      <c r="C618" s="57">
        <v>10880036499</v>
      </c>
      <c r="D618" s="57">
        <v>110001307187</v>
      </c>
      <c r="E618" s="57">
        <v>110001307187</v>
      </c>
      <c r="F618" s="58" t="s">
        <v>29</v>
      </c>
      <c r="G618" s="59">
        <v>350</v>
      </c>
      <c r="H618" s="53" t="e">
        <f>VLOOKUP(E618,DIP计划!E:J,6,0)</f>
        <v>#N/A</v>
      </c>
      <c r="I618" s="55">
        <f t="shared" si="16"/>
        <v>46140</v>
      </c>
      <c r="J618" s="57" t="e">
        <f>VLOOKUP(D618,DIP计划!D:G,4,0)</f>
        <v>#N/A</v>
      </c>
      <c r="K618" s="4" t="e">
        <f t="shared" si="17"/>
        <v>#N/A</v>
      </c>
      <c r="L618" s="62"/>
      <c r="M618" s="63"/>
    </row>
    <row r="619" spans="1:13" s="45" customFormat="1" ht="13.25" customHeight="1" x14ac:dyDescent="0.3">
      <c r="A619" s="55">
        <v>46140</v>
      </c>
      <c r="B619" s="56">
        <f>VLOOKUP(C619,[7]完成订单!$D:$D,1,0)</f>
        <v>10400031126</v>
      </c>
      <c r="C619" s="57">
        <v>10400031126</v>
      </c>
      <c r="D619" s="57">
        <v>110001307187</v>
      </c>
      <c r="E619" s="57">
        <v>110001307188</v>
      </c>
      <c r="F619" s="58" t="s">
        <v>27</v>
      </c>
      <c r="G619" s="59">
        <v>350</v>
      </c>
      <c r="H619" s="53" t="e">
        <f>VLOOKUP(E619,DIP计划!E:J,6,0)</f>
        <v>#N/A</v>
      </c>
      <c r="I619" s="55">
        <f t="shared" si="16"/>
        <v>46140</v>
      </c>
      <c r="J619" s="57" t="e">
        <f>VLOOKUP(D619,DIP计划!D:G,4,0)</f>
        <v>#N/A</v>
      </c>
      <c r="K619" s="4" t="e">
        <f t="shared" si="17"/>
        <v>#N/A</v>
      </c>
      <c r="L619" s="62"/>
      <c r="M619" s="63"/>
    </row>
    <row r="620" spans="1:13" s="45" customFormat="1" ht="13.25" customHeight="1" x14ac:dyDescent="0.3">
      <c r="A620" s="55">
        <v>46140</v>
      </c>
      <c r="B620" s="56">
        <f>VLOOKUP(C620,[7]完成订单!$D:$D,1,0)</f>
        <v>10400029072</v>
      </c>
      <c r="C620" s="57">
        <v>10400029072</v>
      </c>
      <c r="D620" s="57">
        <v>110001307187</v>
      </c>
      <c r="E620" s="57">
        <v>110001307189</v>
      </c>
      <c r="F620" s="58" t="s">
        <v>24</v>
      </c>
      <c r="G620" s="59">
        <v>350</v>
      </c>
      <c r="H620" s="53" t="e">
        <f>VLOOKUP(E620,DIP计划!E:J,6,0)</f>
        <v>#N/A</v>
      </c>
      <c r="I620" s="55">
        <f t="shared" si="16"/>
        <v>46140</v>
      </c>
      <c r="J620" s="57" t="e">
        <f>VLOOKUP(D620,DIP计划!D:G,4,0)</f>
        <v>#N/A</v>
      </c>
      <c r="K620" s="4" t="e">
        <f t="shared" si="17"/>
        <v>#N/A</v>
      </c>
      <c r="L620" s="62"/>
      <c r="M620" s="63"/>
    </row>
    <row r="621" spans="1:13" s="45" customFormat="1" ht="13.25" customHeight="1" x14ac:dyDescent="0.3">
      <c r="A621" s="55">
        <v>46140</v>
      </c>
      <c r="B621" s="56" t="e">
        <f>VLOOKUP(C621,[7]完成订单!$D:$D,1,0)</f>
        <v>#N/A</v>
      </c>
      <c r="C621" s="57">
        <v>10400031127</v>
      </c>
      <c r="D621" s="57">
        <v>110001307187</v>
      </c>
      <c r="E621" s="57">
        <v>110001307190</v>
      </c>
      <c r="F621" s="58" t="s">
        <v>27</v>
      </c>
      <c r="G621" s="59">
        <v>350</v>
      </c>
      <c r="H621" s="53" t="e">
        <f>H620-2</f>
        <v>#N/A</v>
      </c>
      <c r="I621" s="55">
        <f t="shared" si="16"/>
        <v>46140</v>
      </c>
      <c r="J621" s="57" t="e">
        <f>VLOOKUP(D621,DIP计划!D:G,4,0)</f>
        <v>#N/A</v>
      </c>
      <c r="K621" s="4" t="e">
        <f t="shared" si="17"/>
        <v>#N/A</v>
      </c>
      <c r="L621" s="62"/>
      <c r="M621" s="63"/>
    </row>
    <row r="622" spans="1:13" s="45" customFormat="1" ht="13.25" customHeight="1" x14ac:dyDescent="0.3">
      <c r="A622" s="55">
        <v>46140</v>
      </c>
      <c r="B622" s="56">
        <f>VLOOKUP(C622,[7]完成订单!$D:$D,1,0)</f>
        <v>10400033494</v>
      </c>
      <c r="C622" s="57">
        <v>10400033494</v>
      </c>
      <c r="D622" s="57">
        <v>110001307199</v>
      </c>
      <c r="E622" s="57">
        <v>110001307201</v>
      </c>
      <c r="F622" s="58" t="s">
        <v>54</v>
      </c>
      <c r="G622" s="59">
        <v>160</v>
      </c>
      <c r="H622" s="53" t="e">
        <f>VLOOKUP(E622,DIP计划!E:J,6,0)</f>
        <v>#N/A</v>
      </c>
      <c r="I622" s="55">
        <f t="shared" si="16"/>
        <v>46140</v>
      </c>
      <c r="J622" s="57" t="e">
        <f>VLOOKUP(D622,DIP计划!D:G,4,0)</f>
        <v>#N/A</v>
      </c>
      <c r="K622" s="4" t="e">
        <f t="shared" si="17"/>
        <v>#N/A</v>
      </c>
      <c r="L622" s="62"/>
      <c r="M622" s="63"/>
    </row>
    <row r="623" spans="1:13" s="45" customFormat="1" ht="13.25" customHeight="1" x14ac:dyDescent="0.3">
      <c r="A623" s="55">
        <v>46140</v>
      </c>
      <c r="B623" s="56" t="e">
        <f>VLOOKUP(C623,[7]完成订单!$D:$D,1,0)</f>
        <v>#N/A</v>
      </c>
      <c r="C623" s="57">
        <v>10400033495</v>
      </c>
      <c r="D623" s="57">
        <v>110001307199</v>
      </c>
      <c r="E623" s="57">
        <v>110001307202</v>
      </c>
      <c r="F623" s="58" t="s">
        <v>54</v>
      </c>
      <c r="G623" s="59">
        <v>160</v>
      </c>
      <c r="H623" s="53" t="e">
        <f>H621-2</f>
        <v>#N/A</v>
      </c>
      <c r="I623" s="55">
        <f t="shared" si="16"/>
        <v>46140</v>
      </c>
      <c r="J623" s="57" t="e">
        <f>VLOOKUP(D623,DIP计划!D:G,4,0)</f>
        <v>#N/A</v>
      </c>
      <c r="K623" s="4" t="e">
        <f t="shared" si="17"/>
        <v>#N/A</v>
      </c>
      <c r="L623" s="62"/>
      <c r="M623" s="63"/>
    </row>
    <row r="624" spans="1:13" s="45" customFormat="1" ht="13.25" customHeight="1" x14ac:dyDescent="0.3">
      <c r="A624" s="55">
        <v>46140</v>
      </c>
      <c r="B624" s="56" t="e">
        <f>VLOOKUP(C624,[7]完成订单!$D:$D,1,0)</f>
        <v>#N/A</v>
      </c>
      <c r="C624" s="57">
        <v>10400025972</v>
      </c>
      <c r="D624" s="57">
        <v>110001307199</v>
      </c>
      <c r="E624" s="57">
        <v>110001307203</v>
      </c>
      <c r="F624" s="58" t="s">
        <v>337</v>
      </c>
      <c r="G624" s="59">
        <v>160</v>
      </c>
      <c r="H624" s="53" t="e">
        <f>H622-2</f>
        <v>#N/A</v>
      </c>
      <c r="I624" s="55">
        <f t="shared" si="16"/>
        <v>46140</v>
      </c>
      <c r="J624" s="57" t="e">
        <f>VLOOKUP(D624,DIP计划!D:G,4,0)</f>
        <v>#N/A</v>
      </c>
      <c r="K624" s="4" t="e">
        <f t="shared" si="17"/>
        <v>#N/A</v>
      </c>
      <c r="L624" s="62"/>
      <c r="M624" s="63"/>
    </row>
    <row r="625" spans="1:13" s="45" customFormat="1" ht="13.25" customHeight="1" x14ac:dyDescent="0.3">
      <c r="A625" s="55">
        <v>46140</v>
      </c>
      <c r="B625" s="56">
        <f>VLOOKUP(C625,[7]完成订单!$D:$D,1,0)</f>
        <v>10880038252</v>
      </c>
      <c r="C625" s="57">
        <v>10880038252</v>
      </c>
      <c r="D625" s="57">
        <v>110001307204</v>
      </c>
      <c r="E625" s="57">
        <v>110001307204</v>
      </c>
      <c r="F625" s="58" t="s">
        <v>26</v>
      </c>
      <c r="G625" s="59">
        <v>180</v>
      </c>
      <c r="H625" s="53" t="e">
        <f>VLOOKUP(E625,DIP计划!E:J,6,0)</f>
        <v>#N/A</v>
      </c>
      <c r="I625" s="55">
        <f t="shared" si="16"/>
        <v>46140</v>
      </c>
      <c r="J625" s="57" t="e">
        <f>VLOOKUP(D625,DIP计划!D:G,4,0)</f>
        <v>#N/A</v>
      </c>
      <c r="K625" s="4" t="e">
        <f t="shared" si="17"/>
        <v>#N/A</v>
      </c>
      <c r="L625" s="62"/>
      <c r="M625" s="63"/>
    </row>
    <row r="626" spans="1:13" s="45" customFormat="1" ht="13.25" customHeight="1" x14ac:dyDescent="0.3">
      <c r="A626" s="55">
        <v>46140</v>
      </c>
      <c r="B626" s="56">
        <f>VLOOKUP(C626,[7]完成订单!$D:$D,1,0)</f>
        <v>10400030197</v>
      </c>
      <c r="C626" s="57">
        <v>10400030197</v>
      </c>
      <c r="D626" s="57">
        <v>110001307204</v>
      </c>
      <c r="E626" s="57">
        <v>110001307205</v>
      </c>
      <c r="F626" s="58" t="s">
        <v>43</v>
      </c>
      <c r="G626" s="59">
        <v>180</v>
      </c>
      <c r="H626" s="53" t="e">
        <f>VLOOKUP(E626,DIP计划!E:J,6,0)</f>
        <v>#N/A</v>
      </c>
      <c r="I626" s="55">
        <f t="shared" si="16"/>
        <v>46140</v>
      </c>
      <c r="J626" s="57" t="e">
        <f>VLOOKUP(D626,DIP计划!D:G,4,0)</f>
        <v>#N/A</v>
      </c>
      <c r="K626" s="4" t="e">
        <f t="shared" si="17"/>
        <v>#N/A</v>
      </c>
      <c r="L626" s="62"/>
      <c r="M626" s="63"/>
    </row>
    <row r="627" spans="1:13" s="45" customFormat="1" ht="13.25" customHeight="1" x14ac:dyDescent="0.3">
      <c r="A627" s="55">
        <v>46140</v>
      </c>
      <c r="B627" s="56">
        <f>VLOOKUP(C627,[7]完成订单!$D:$D,1,0)</f>
        <v>10400033496</v>
      </c>
      <c r="C627" s="57">
        <v>10400033496</v>
      </c>
      <c r="D627" s="57">
        <v>110001307204</v>
      </c>
      <c r="E627" s="57">
        <v>110001307206</v>
      </c>
      <c r="F627" s="58" t="s">
        <v>25</v>
      </c>
      <c r="G627" s="59">
        <v>180</v>
      </c>
      <c r="H627" s="53" t="e">
        <f>VLOOKUP(E627,DIP计划!E:J,6,0)</f>
        <v>#N/A</v>
      </c>
      <c r="I627" s="55">
        <f t="shared" si="16"/>
        <v>46140</v>
      </c>
      <c r="J627" s="57" t="e">
        <f>VLOOKUP(D627,DIP计划!D:G,4,0)</f>
        <v>#N/A</v>
      </c>
      <c r="K627" s="4" t="e">
        <f t="shared" si="17"/>
        <v>#N/A</v>
      </c>
      <c r="L627" s="62"/>
      <c r="M627" s="63"/>
    </row>
    <row r="628" spans="1:13" s="45" customFormat="1" ht="13.25" customHeight="1" x14ac:dyDescent="0.3">
      <c r="A628" s="55">
        <v>46140</v>
      </c>
      <c r="B628" s="56" t="e">
        <f>VLOOKUP(C628,[7]完成订单!$D:$D,1,0)</f>
        <v>#N/A</v>
      </c>
      <c r="C628" s="57">
        <v>10400033497</v>
      </c>
      <c r="D628" s="57">
        <v>110001307204</v>
      </c>
      <c r="E628" s="57">
        <v>110001307207</v>
      </c>
      <c r="F628" s="58" t="s">
        <v>25</v>
      </c>
      <c r="G628" s="59">
        <v>180</v>
      </c>
      <c r="H628" s="53" t="e">
        <f>H627-2</f>
        <v>#N/A</v>
      </c>
      <c r="I628" s="55">
        <f t="shared" si="16"/>
        <v>46140</v>
      </c>
      <c r="J628" s="57" t="e">
        <f>VLOOKUP(D628,DIP计划!D:G,4,0)</f>
        <v>#N/A</v>
      </c>
      <c r="K628" s="4" t="e">
        <f t="shared" si="17"/>
        <v>#N/A</v>
      </c>
      <c r="L628" s="62"/>
      <c r="M628" s="63"/>
    </row>
    <row r="629" spans="1:13" s="45" customFormat="1" ht="13.25" customHeight="1" x14ac:dyDescent="0.3">
      <c r="A629" s="55">
        <v>46140</v>
      </c>
      <c r="B629" s="56" t="e">
        <f>VLOOKUP(C629,[7]完成订单!$D:$D,1,0)</f>
        <v>#N/A</v>
      </c>
      <c r="C629" s="57">
        <v>10400025972</v>
      </c>
      <c r="D629" s="57">
        <v>110001307204</v>
      </c>
      <c r="E629" s="57">
        <v>110001307208</v>
      </c>
      <c r="F629" s="58" t="s">
        <v>337</v>
      </c>
      <c r="G629" s="59">
        <v>180</v>
      </c>
      <c r="H629" s="53" t="e">
        <f>H627-2</f>
        <v>#N/A</v>
      </c>
      <c r="I629" s="55">
        <f t="shared" si="16"/>
        <v>46140</v>
      </c>
      <c r="J629" s="57" t="e">
        <f>VLOOKUP(D629,DIP计划!D:G,4,0)</f>
        <v>#N/A</v>
      </c>
      <c r="K629" s="4" t="e">
        <f t="shared" si="17"/>
        <v>#N/A</v>
      </c>
      <c r="L629" s="62"/>
      <c r="M629" s="63"/>
    </row>
    <row r="630" spans="1:13" s="45" customFormat="1" ht="13.25" customHeight="1" x14ac:dyDescent="0.3">
      <c r="A630" s="55">
        <v>46140</v>
      </c>
      <c r="B630" s="56">
        <f>VLOOKUP(C630,[7]完成订单!$D:$D,1,0)</f>
        <v>10880030596</v>
      </c>
      <c r="C630" s="57">
        <v>10880030596</v>
      </c>
      <c r="D630" s="57">
        <v>110001307347</v>
      </c>
      <c r="E630" s="57">
        <v>110001307347</v>
      </c>
      <c r="F630" s="58" t="s">
        <v>227</v>
      </c>
      <c r="G630" s="59">
        <v>200</v>
      </c>
      <c r="H630" s="53" t="e">
        <f>VLOOKUP(E630,DIP计划!E:J,6,0)</f>
        <v>#N/A</v>
      </c>
      <c r="I630" s="55">
        <f t="shared" si="16"/>
        <v>46140</v>
      </c>
      <c r="J630" s="57" t="e">
        <f>VLOOKUP(D630,DIP计划!D:G,4,0)</f>
        <v>#N/A</v>
      </c>
      <c r="K630" s="4" t="e">
        <f t="shared" si="17"/>
        <v>#N/A</v>
      </c>
      <c r="L630" s="62"/>
      <c r="M630" s="63"/>
    </row>
    <row r="631" spans="1:13" s="45" customFormat="1" ht="13.25" customHeight="1" x14ac:dyDescent="0.3">
      <c r="A631" s="55">
        <v>46140</v>
      </c>
      <c r="B631" s="56" t="e">
        <f>VLOOKUP(C631,[7]完成订单!$D:$D,1,0)</f>
        <v>#N/A</v>
      </c>
      <c r="C631" s="57">
        <v>10400024487</v>
      </c>
      <c r="D631" s="57">
        <v>110001307347</v>
      </c>
      <c r="E631" s="57">
        <v>110001307348</v>
      </c>
      <c r="F631" s="58" t="s">
        <v>227</v>
      </c>
      <c r="G631" s="59">
        <v>200</v>
      </c>
      <c r="H631" s="53" t="e">
        <f>H630-2</f>
        <v>#N/A</v>
      </c>
      <c r="I631" s="55">
        <f t="shared" si="16"/>
        <v>46140</v>
      </c>
      <c r="J631" s="57" t="e">
        <f>VLOOKUP(D631,DIP计划!D:G,4,0)</f>
        <v>#N/A</v>
      </c>
      <c r="K631" s="4" t="e">
        <f t="shared" si="17"/>
        <v>#N/A</v>
      </c>
      <c r="L631" s="62"/>
      <c r="M631" s="63"/>
    </row>
    <row r="632" spans="1:13" s="45" customFormat="1" ht="13.25" customHeight="1" x14ac:dyDescent="0.3">
      <c r="A632" s="55">
        <v>46140</v>
      </c>
      <c r="B632" s="56">
        <f>VLOOKUP(C632,[7]完成订单!$D:$D,1,0)</f>
        <v>10880034619</v>
      </c>
      <c r="C632" s="57">
        <v>10880034619</v>
      </c>
      <c r="D632" s="57">
        <v>110001307395</v>
      </c>
      <c r="E632" s="57">
        <v>110001307395</v>
      </c>
      <c r="F632" s="58" t="s">
        <v>53</v>
      </c>
      <c r="G632" s="59">
        <v>320</v>
      </c>
      <c r="H632" s="53" t="e">
        <f>VLOOKUP(E632,DIP计划!E:J,6,0)</f>
        <v>#N/A</v>
      </c>
      <c r="I632" s="55">
        <f t="shared" si="16"/>
        <v>46140</v>
      </c>
      <c r="J632" s="57" t="e">
        <f>VLOOKUP(D632,DIP计划!D:G,4,0)</f>
        <v>#N/A</v>
      </c>
      <c r="K632" s="4" t="e">
        <f t="shared" si="17"/>
        <v>#N/A</v>
      </c>
      <c r="L632" s="62"/>
      <c r="M632" s="63"/>
    </row>
    <row r="633" spans="1:13" s="45" customFormat="1" ht="13.25" customHeight="1" x14ac:dyDescent="0.3">
      <c r="A633" s="55">
        <v>46140</v>
      </c>
      <c r="B633" s="56">
        <f>VLOOKUP(C633,[7]完成订单!$D:$D,1,0)</f>
        <v>10880030545</v>
      </c>
      <c r="C633" s="57">
        <v>10880030545</v>
      </c>
      <c r="D633" s="57">
        <v>110001307395</v>
      </c>
      <c r="E633" s="57">
        <v>110001307396</v>
      </c>
      <c r="F633" s="58" t="s">
        <v>46</v>
      </c>
      <c r="G633" s="59">
        <v>320</v>
      </c>
      <c r="H633" s="53" t="e">
        <f>VLOOKUP(E633,DIP计划!E:J,6,0)</f>
        <v>#N/A</v>
      </c>
      <c r="I633" s="55">
        <f t="shared" si="16"/>
        <v>46140</v>
      </c>
      <c r="J633" s="57" t="e">
        <f>VLOOKUP(D633,DIP计划!D:G,4,0)</f>
        <v>#N/A</v>
      </c>
      <c r="K633" s="4" t="e">
        <f t="shared" si="17"/>
        <v>#N/A</v>
      </c>
      <c r="L633" s="62"/>
      <c r="M633" s="63"/>
    </row>
    <row r="634" spans="1:13" s="45" customFormat="1" ht="13.25" customHeight="1" x14ac:dyDescent="0.3">
      <c r="A634" s="55">
        <v>46140</v>
      </c>
      <c r="B634" s="56">
        <f>VLOOKUP(C634,[7]完成订单!$D:$D,1,0)</f>
        <v>10880034622</v>
      </c>
      <c r="C634" s="57">
        <v>10880034622</v>
      </c>
      <c r="D634" s="57">
        <v>110001307395</v>
      </c>
      <c r="E634" s="57">
        <v>110001307397</v>
      </c>
      <c r="F634" s="58" t="s">
        <v>51</v>
      </c>
      <c r="G634" s="59">
        <v>320</v>
      </c>
      <c r="H634" s="53" t="e">
        <f>VLOOKUP(E634,DIP计划!E:J,6,0)</f>
        <v>#N/A</v>
      </c>
      <c r="I634" s="55">
        <f t="shared" si="16"/>
        <v>46140</v>
      </c>
      <c r="J634" s="57" t="e">
        <f>VLOOKUP(D634,DIP计划!D:G,4,0)</f>
        <v>#N/A</v>
      </c>
      <c r="K634" s="4" t="e">
        <f t="shared" si="17"/>
        <v>#N/A</v>
      </c>
      <c r="L634" s="62"/>
      <c r="M634" s="63"/>
    </row>
    <row r="635" spans="1:13" s="45" customFormat="1" ht="13.25" customHeight="1" x14ac:dyDescent="0.3">
      <c r="A635" s="55">
        <v>46140</v>
      </c>
      <c r="B635" s="56" t="e">
        <f>VLOOKUP(C635,[7]完成订单!$D:$D,1,0)</f>
        <v>#N/A</v>
      </c>
      <c r="C635" s="57">
        <v>10400024308</v>
      </c>
      <c r="D635" s="57">
        <v>110001307395</v>
      </c>
      <c r="E635" s="57">
        <v>110001307398</v>
      </c>
      <c r="F635" s="58" t="s">
        <v>46</v>
      </c>
      <c r="G635" s="59">
        <v>320</v>
      </c>
      <c r="H635" s="53" t="e">
        <f>H633-2</f>
        <v>#N/A</v>
      </c>
      <c r="I635" s="55">
        <f t="shared" si="16"/>
        <v>46140</v>
      </c>
      <c r="J635" s="57" t="e">
        <f>VLOOKUP(D635,DIP计划!D:G,4,0)</f>
        <v>#N/A</v>
      </c>
      <c r="K635" s="4" t="e">
        <f t="shared" si="17"/>
        <v>#N/A</v>
      </c>
      <c r="L635" s="62"/>
      <c r="M635" s="63"/>
    </row>
    <row r="636" spans="1:13" s="45" customFormat="1" ht="13.25" customHeight="1" x14ac:dyDescent="0.3">
      <c r="A636" s="55">
        <v>46140</v>
      </c>
      <c r="B636" s="56" t="e">
        <f>VLOOKUP(C636,[7]完成订单!$D:$D,1,0)</f>
        <v>#N/A</v>
      </c>
      <c r="C636" s="57">
        <v>10400028620</v>
      </c>
      <c r="D636" s="57">
        <v>110001307395</v>
      </c>
      <c r="E636" s="57">
        <v>110001307399</v>
      </c>
      <c r="F636" s="58" t="s">
        <v>1768</v>
      </c>
      <c r="G636" s="59">
        <v>320</v>
      </c>
      <c r="H636" s="53" t="e">
        <f>H634-2</f>
        <v>#N/A</v>
      </c>
      <c r="I636" s="55">
        <f t="shared" si="16"/>
        <v>46140</v>
      </c>
      <c r="J636" s="57" t="e">
        <f>VLOOKUP(D636,DIP计划!D:G,4,0)</f>
        <v>#N/A</v>
      </c>
      <c r="K636" s="4" t="e">
        <f t="shared" si="17"/>
        <v>#N/A</v>
      </c>
      <c r="L636" s="62"/>
      <c r="M636" s="63"/>
    </row>
    <row r="637" spans="1:13" s="45" customFormat="1" ht="13.25" customHeight="1" x14ac:dyDescent="0.3">
      <c r="A637" s="55">
        <v>46140</v>
      </c>
      <c r="B637" s="56">
        <f>VLOOKUP(C637,[7]完成订单!$D:$D,1,0)</f>
        <v>10880031072</v>
      </c>
      <c r="C637" s="57">
        <v>10880031072</v>
      </c>
      <c r="D637" s="57">
        <v>110001310943</v>
      </c>
      <c r="E637" s="57">
        <v>110001310943</v>
      </c>
      <c r="F637" s="58" t="s">
        <v>579</v>
      </c>
      <c r="G637" s="59">
        <v>3000</v>
      </c>
      <c r="H637" s="53">
        <f>VLOOKUP(E637,DIP计划!E:J,6,0)</f>
        <v>46148</v>
      </c>
      <c r="I637" s="55">
        <f t="shared" si="16"/>
        <v>46140</v>
      </c>
      <c r="J637" s="57">
        <f>VLOOKUP(D637,DIP计划!D:G,4,0)</f>
        <v>3000</v>
      </c>
      <c r="K637" s="4">
        <f t="shared" si="17"/>
        <v>0</v>
      </c>
      <c r="L637" s="62"/>
      <c r="M637" s="63"/>
    </row>
    <row r="638" spans="1:13" s="45" customFormat="1" ht="13.25" customHeight="1" x14ac:dyDescent="0.3">
      <c r="A638" s="55">
        <v>46140</v>
      </c>
      <c r="B638" s="56" t="e">
        <f>VLOOKUP(C638,[7]完成订单!$D:$D,1,0)</f>
        <v>#N/A</v>
      </c>
      <c r="C638" s="57">
        <v>10400024872</v>
      </c>
      <c r="D638" s="57">
        <v>110001310943</v>
      </c>
      <c r="E638" s="57">
        <v>110001310944</v>
      </c>
      <c r="F638" s="58" t="s">
        <v>579</v>
      </c>
      <c r="G638" s="59">
        <v>3000</v>
      </c>
      <c r="H638" s="53">
        <f>H637-2</f>
        <v>46146</v>
      </c>
      <c r="I638" s="55">
        <f t="shared" si="16"/>
        <v>46140</v>
      </c>
      <c r="J638" s="57">
        <f>VLOOKUP(D638,DIP计划!D:G,4,0)</f>
        <v>3000</v>
      </c>
      <c r="K638" s="4">
        <f t="shared" si="17"/>
        <v>0</v>
      </c>
      <c r="L638" s="62"/>
      <c r="M638" s="63"/>
    </row>
    <row r="639" spans="1:13" s="45" customFormat="1" ht="13.25" customHeight="1" x14ac:dyDescent="0.3">
      <c r="A639" s="55">
        <v>46140</v>
      </c>
      <c r="B639" s="56">
        <f>VLOOKUP(C639,[7]完成订单!$D:$D,1,0)</f>
        <v>10880031096</v>
      </c>
      <c r="C639" s="57">
        <v>10880031096</v>
      </c>
      <c r="D639" s="57">
        <v>110001310945</v>
      </c>
      <c r="E639" s="57">
        <v>110001310945</v>
      </c>
      <c r="F639" s="58" t="s">
        <v>278</v>
      </c>
      <c r="G639" s="59">
        <v>2000</v>
      </c>
      <c r="H639" s="53">
        <f>VLOOKUP(E639,DIP计划!E:J,6,0)</f>
        <v>46142</v>
      </c>
      <c r="I639" s="55">
        <f t="shared" si="16"/>
        <v>46140</v>
      </c>
      <c r="J639" s="57">
        <f>VLOOKUP(D639,DIP计划!D:G,4,0)</f>
        <v>2000</v>
      </c>
      <c r="K639" s="4">
        <f t="shared" si="17"/>
        <v>0</v>
      </c>
      <c r="L639" s="62"/>
      <c r="M639" s="63"/>
    </row>
    <row r="640" spans="1:13" s="45" customFormat="1" ht="13.25" customHeight="1" x14ac:dyDescent="0.3">
      <c r="A640" s="55">
        <v>46140</v>
      </c>
      <c r="B640" s="56" t="e">
        <f>VLOOKUP(C640,[7]完成订单!$D:$D,1,0)</f>
        <v>#N/A</v>
      </c>
      <c r="C640" s="57">
        <v>10400024896</v>
      </c>
      <c r="D640" s="57">
        <v>110001310945</v>
      </c>
      <c r="E640" s="57">
        <v>110001310946</v>
      </c>
      <c r="F640" s="58" t="s">
        <v>278</v>
      </c>
      <c r="G640" s="59">
        <v>2000</v>
      </c>
      <c r="H640" s="53">
        <f>H639-2</f>
        <v>46140</v>
      </c>
      <c r="I640" s="55">
        <f t="shared" si="16"/>
        <v>46140</v>
      </c>
      <c r="J640" s="57">
        <f>VLOOKUP(D640,DIP计划!D:G,4,0)</f>
        <v>2000</v>
      </c>
      <c r="K640" s="4">
        <f t="shared" si="17"/>
        <v>0</v>
      </c>
      <c r="L640" s="62"/>
      <c r="M640" s="63"/>
    </row>
    <row r="641" spans="1:13" s="45" customFormat="1" ht="13.25" customHeight="1" x14ac:dyDescent="0.3">
      <c r="A641" s="55">
        <v>46140</v>
      </c>
      <c r="B641" s="56">
        <f>VLOOKUP(C641,[7]完成订单!$D:$D,1,0)</f>
        <v>10880036206</v>
      </c>
      <c r="C641" s="57">
        <v>10880036206</v>
      </c>
      <c r="D641" s="57">
        <v>110001310996</v>
      </c>
      <c r="E641" s="57">
        <v>110001310996</v>
      </c>
      <c r="F641" s="58" t="s">
        <v>1471</v>
      </c>
      <c r="G641" s="59">
        <v>300</v>
      </c>
      <c r="H641" s="53" t="e">
        <f>VLOOKUP(E641,DIP计划!E:J,6,0)</f>
        <v>#N/A</v>
      </c>
      <c r="I641" s="55">
        <f t="shared" si="16"/>
        <v>46140</v>
      </c>
      <c r="J641" s="57" t="e">
        <f>VLOOKUP(D641,DIP计划!D:G,4,0)</f>
        <v>#N/A</v>
      </c>
      <c r="K641" s="4" t="e">
        <f t="shared" si="17"/>
        <v>#N/A</v>
      </c>
      <c r="L641" s="62"/>
      <c r="M641" s="63"/>
    </row>
    <row r="642" spans="1:13" s="45" customFormat="1" ht="13.25" customHeight="1" x14ac:dyDescent="0.3">
      <c r="A642" s="55">
        <v>46140</v>
      </c>
      <c r="B642" s="56">
        <f>VLOOKUP(C642,[7]完成订单!$D:$D,1,0)</f>
        <v>10400030737</v>
      </c>
      <c r="C642" s="57">
        <v>10400030737</v>
      </c>
      <c r="D642" s="57">
        <v>110001310996</v>
      </c>
      <c r="E642" s="57">
        <v>110001310997</v>
      </c>
      <c r="F642" s="58" t="s">
        <v>1760</v>
      </c>
      <c r="G642" s="59">
        <v>300</v>
      </c>
      <c r="H642" s="53" t="e">
        <f>VLOOKUP(E642,DIP计划!E:J,6,0)</f>
        <v>#N/A</v>
      </c>
      <c r="I642" s="55">
        <f t="shared" si="16"/>
        <v>46140</v>
      </c>
      <c r="J642" s="57" t="e">
        <f>VLOOKUP(D642,DIP计划!D:G,4,0)</f>
        <v>#N/A</v>
      </c>
      <c r="K642" s="4" t="e">
        <f t="shared" si="17"/>
        <v>#N/A</v>
      </c>
      <c r="L642" s="62"/>
      <c r="M642" s="63"/>
    </row>
    <row r="643" spans="1:13" s="45" customFormat="1" ht="13.25" customHeight="1" x14ac:dyDescent="0.3">
      <c r="A643" s="55">
        <v>46140</v>
      </c>
      <c r="B643" s="56">
        <f>VLOOKUP(C643,[7]完成订单!$D:$D,1,0)</f>
        <v>10400029072</v>
      </c>
      <c r="C643" s="57">
        <v>10400029072</v>
      </c>
      <c r="D643" s="57">
        <v>110001310996</v>
      </c>
      <c r="E643" s="57">
        <v>110001310998</v>
      </c>
      <c r="F643" s="58" t="s">
        <v>24</v>
      </c>
      <c r="G643" s="59">
        <v>300</v>
      </c>
      <c r="H643" s="53" t="e">
        <f>VLOOKUP(E643,DIP计划!E:J,6,0)</f>
        <v>#N/A</v>
      </c>
      <c r="I643" s="55">
        <f t="shared" si="16"/>
        <v>46140</v>
      </c>
      <c r="J643" s="57" t="e">
        <f>VLOOKUP(D643,DIP计划!D:G,4,0)</f>
        <v>#N/A</v>
      </c>
      <c r="K643" s="4" t="e">
        <f t="shared" si="17"/>
        <v>#N/A</v>
      </c>
      <c r="L643" s="62"/>
      <c r="M643" s="63"/>
    </row>
    <row r="644" spans="1:13" s="45" customFormat="1" ht="13.25" customHeight="1" x14ac:dyDescent="0.3">
      <c r="A644" s="55">
        <v>46140</v>
      </c>
      <c r="B644" s="56" t="e">
        <f>VLOOKUP(C644,[7]完成订单!$D:$D,1,0)</f>
        <v>#N/A</v>
      </c>
      <c r="C644" s="57">
        <v>10400030738</v>
      </c>
      <c r="D644" s="57">
        <v>110001310996</v>
      </c>
      <c r="E644" s="57">
        <v>110001310999</v>
      </c>
      <c r="F644" s="58" t="s">
        <v>1760</v>
      </c>
      <c r="G644" s="59">
        <v>300</v>
      </c>
      <c r="H644" s="53" t="e">
        <f>H642-2</f>
        <v>#N/A</v>
      </c>
      <c r="I644" s="55">
        <f t="shared" si="16"/>
        <v>46140</v>
      </c>
      <c r="J644" s="57" t="e">
        <f>VLOOKUP(D644,DIP计划!D:G,4,0)</f>
        <v>#N/A</v>
      </c>
      <c r="K644" s="4" t="e">
        <f t="shared" si="17"/>
        <v>#N/A</v>
      </c>
      <c r="L644" s="62"/>
      <c r="M644" s="63"/>
    </row>
    <row r="645" spans="1:13" s="45" customFormat="1" ht="13.25" customHeight="1" x14ac:dyDescent="0.3">
      <c r="A645" s="55">
        <v>46140</v>
      </c>
      <c r="B645" s="56" t="e">
        <f>VLOOKUP(C645,[7]完成订单!$D:$D,1,0)</f>
        <v>#N/A</v>
      </c>
      <c r="C645" s="57">
        <v>10400029073</v>
      </c>
      <c r="D645" s="57">
        <v>110001310996</v>
      </c>
      <c r="E645" s="57">
        <v>110001311000</v>
      </c>
      <c r="F645" s="58" t="s">
        <v>24</v>
      </c>
      <c r="G645" s="59">
        <v>300</v>
      </c>
      <c r="H645" s="53" t="e">
        <f>H643-2</f>
        <v>#N/A</v>
      </c>
      <c r="I645" s="55">
        <f t="shared" si="16"/>
        <v>46140</v>
      </c>
      <c r="J645" s="57" t="e">
        <f>VLOOKUP(D645,DIP计划!D:G,4,0)</f>
        <v>#N/A</v>
      </c>
      <c r="K645" s="4" t="e">
        <f t="shared" si="17"/>
        <v>#N/A</v>
      </c>
      <c r="L645" s="62"/>
      <c r="M645" s="63"/>
    </row>
    <row r="646" spans="1:13" s="45" customFormat="1" ht="13.25" customHeight="1" x14ac:dyDescent="0.3">
      <c r="A646" s="55">
        <v>46140</v>
      </c>
      <c r="B646" s="56">
        <f>VLOOKUP(C646,[7]完成订单!$D:$D,1,0)</f>
        <v>10880036852</v>
      </c>
      <c r="C646" s="57">
        <v>10880036852</v>
      </c>
      <c r="D646" s="57">
        <v>110001311033</v>
      </c>
      <c r="E646" s="57">
        <v>110001311033</v>
      </c>
      <c r="F646" s="58" t="s">
        <v>1438</v>
      </c>
      <c r="G646" s="59">
        <v>100</v>
      </c>
      <c r="H646" s="53" t="e">
        <f>VLOOKUP(E646,DIP计划!E:J,6,0)</f>
        <v>#N/A</v>
      </c>
      <c r="I646" s="55">
        <f t="shared" ref="I646:I705" si="18">A646</f>
        <v>46140</v>
      </c>
      <c r="J646" s="57" t="e">
        <f>VLOOKUP(D646,DIP计划!D:G,4,0)</f>
        <v>#N/A</v>
      </c>
      <c r="K646" s="4" t="e">
        <f t="shared" ref="K646:K705" si="19">+J646-G646</f>
        <v>#N/A</v>
      </c>
      <c r="L646" s="62"/>
      <c r="M646" s="63"/>
    </row>
    <row r="647" spans="1:13" s="45" customFormat="1" ht="13.25" customHeight="1" x14ac:dyDescent="0.3">
      <c r="A647" s="55">
        <v>46140</v>
      </c>
      <c r="B647" s="56">
        <f>VLOOKUP(C647,[7]完成订单!$D:$D,1,0)</f>
        <v>10400031607</v>
      </c>
      <c r="C647" s="57">
        <v>10400031607</v>
      </c>
      <c r="D647" s="57">
        <v>110001311033</v>
      </c>
      <c r="E647" s="57">
        <v>110001311034</v>
      </c>
      <c r="F647" s="58" t="s">
        <v>1761</v>
      </c>
      <c r="G647" s="59">
        <v>100</v>
      </c>
      <c r="H647" s="53" t="e">
        <f>VLOOKUP(E647,DIP计划!E:J,6,0)</f>
        <v>#N/A</v>
      </c>
      <c r="I647" s="55">
        <f t="shared" si="18"/>
        <v>46140</v>
      </c>
      <c r="J647" s="57" t="e">
        <f>VLOOKUP(D647,DIP计划!D:G,4,0)</f>
        <v>#N/A</v>
      </c>
      <c r="K647" s="4" t="e">
        <f t="shared" si="19"/>
        <v>#N/A</v>
      </c>
      <c r="L647" s="62"/>
      <c r="M647" s="63"/>
    </row>
    <row r="648" spans="1:13" s="45" customFormat="1" ht="13.25" customHeight="1" x14ac:dyDescent="0.3">
      <c r="A648" s="55">
        <v>46140</v>
      </c>
      <c r="B648" s="56">
        <f>VLOOKUP(C648,[7]完成订单!$D:$D,1,0)</f>
        <v>10400029072</v>
      </c>
      <c r="C648" s="57">
        <v>10400029072</v>
      </c>
      <c r="D648" s="57">
        <v>110001311033</v>
      </c>
      <c r="E648" s="57">
        <v>110001311035</v>
      </c>
      <c r="F648" s="58" t="s">
        <v>24</v>
      </c>
      <c r="G648" s="59">
        <v>100</v>
      </c>
      <c r="H648" s="53" t="e">
        <f>VLOOKUP(E648,DIP计划!E:J,6,0)</f>
        <v>#N/A</v>
      </c>
      <c r="I648" s="55">
        <f t="shared" si="18"/>
        <v>46140</v>
      </c>
      <c r="J648" s="57" t="e">
        <f>VLOOKUP(D648,DIP计划!D:G,4,0)</f>
        <v>#N/A</v>
      </c>
      <c r="K648" s="4" t="e">
        <f t="shared" si="19"/>
        <v>#N/A</v>
      </c>
      <c r="L648" s="62"/>
      <c r="M648" s="63"/>
    </row>
    <row r="649" spans="1:13" s="45" customFormat="1" ht="13.25" customHeight="1" x14ac:dyDescent="0.3">
      <c r="A649" s="55">
        <v>46140</v>
      </c>
      <c r="B649" s="56" t="e">
        <f>VLOOKUP(C649,[7]完成订单!$D:$D,1,0)</f>
        <v>#N/A</v>
      </c>
      <c r="C649" s="57">
        <v>10400031608</v>
      </c>
      <c r="D649" s="57">
        <v>110001311033</v>
      </c>
      <c r="E649" s="57">
        <v>110001311036</v>
      </c>
      <c r="F649" s="58" t="s">
        <v>1761</v>
      </c>
      <c r="G649" s="59">
        <v>100</v>
      </c>
      <c r="H649" s="53" t="e">
        <f>H647-2</f>
        <v>#N/A</v>
      </c>
      <c r="I649" s="55">
        <f t="shared" si="18"/>
        <v>46140</v>
      </c>
      <c r="J649" s="57" t="e">
        <f>VLOOKUP(D649,DIP计划!D:G,4,0)</f>
        <v>#N/A</v>
      </c>
      <c r="K649" s="4" t="e">
        <f t="shared" si="19"/>
        <v>#N/A</v>
      </c>
      <c r="L649" s="62"/>
      <c r="M649" s="63"/>
    </row>
    <row r="650" spans="1:13" s="45" customFormat="1" ht="13.25" customHeight="1" x14ac:dyDescent="0.3">
      <c r="A650" s="55">
        <v>46140</v>
      </c>
      <c r="B650" s="56" t="e">
        <f>VLOOKUP(C650,[7]完成订单!$D:$D,1,0)</f>
        <v>#N/A</v>
      </c>
      <c r="C650" s="57">
        <v>10400029073</v>
      </c>
      <c r="D650" s="57">
        <v>110001311033</v>
      </c>
      <c r="E650" s="57">
        <v>110001311037</v>
      </c>
      <c r="F650" s="58" t="s">
        <v>24</v>
      </c>
      <c r="G650" s="59">
        <v>100</v>
      </c>
      <c r="H650" s="53" t="e">
        <f>H648-2</f>
        <v>#N/A</v>
      </c>
      <c r="I650" s="55">
        <f t="shared" si="18"/>
        <v>46140</v>
      </c>
      <c r="J650" s="57" t="e">
        <f>VLOOKUP(D650,DIP计划!D:G,4,0)</f>
        <v>#N/A</v>
      </c>
      <c r="K650" s="4" t="e">
        <f t="shared" si="19"/>
        <v>#N/A</v>
      </c>
      <c r="L650" s="62"/>
      <c r="M650" s="63"/>
    </row>
    <row r="651" spans="1:13" s="45" customFormat="1" ht="13.25" customHeight="1" x14ac:dyDescent="0.3">
      <c r="A651" s="55">
        <v>46140</v>
      </c>
      <c r="B651" s="56">
        <f>VLOOKUP(C651,[7]完成订单!$D:$D,1,0)</f>
        <v>10880033585</v>
      </c>
      <c r="C651" s="57">
        <v>10880033585</v>
      </c>
      <c r="D651" s="57">
        <v>110001311379</v>
      </c>
      <c r="E651" s="57">
        <v>110001311379</v>
      </c>
      <c r="F651" s="58" t="s">
        <v>62</v>
      </c>
      <c r="G651" s="59">
        <v>1000</v>
      </c>
      <c r="H651" s="53">
        <f>VLOOKUP(E651,DIP计划!E:J,6,0)</f>
        <v>46148</v>
      </c>
      <c r="I651" s="55">
        <f t="shared" si="18"/>
        <v>46140</v>
      </c>
      <c r="J651" s="57">
        <f>VLOOKUP(D651,DIP计划!D:G,4,0)</f>
        <v>1000</v>
      </c>
      <c r="K651" s="4">
        <f t="shared" si="19"/>
        <v>0</v>
      </c>
      <c r="L651" s="62"/>
      <c r="M651" s="63"/>
    </row>
    <row r="652" spans="1:13" s="45" customFormat="1" ht="13.25" customHeight="1" x14ac:dyDescent="0.3">
      <c r="A652" s="55">
        <v>46140</v>
      </c>
      <c r="B652" s="56" t="e">
        <f>VLOOKUP(C652,[7]完成订单!$D:$D,1,0)</f>
        <v>#N/A</v>
      </c>
      <c r="C652" s="57">
        <v>10400027390</v>
      </c>
      <c r="D652" s="57">
        <v>110001311379</v>
      </c>
      <c r="E652" s="57">
        <v>110001311380</v>
      </c>
      <c r="F652" s="58" t="s">
        <v>356</v>
      </c>
      <c r="G652" s="59">
        <v>1000</v>
      </c>
      <c r="H652" s="53">
        <f>H651-2</f>
        <v>46146</v>
      </c>
      <c r="I652" s="55">
        <f t="shared" si="18"/>
        <v>46140</v>
      </c>
      <c r="J652" s="57">
        <f>VLOOKUP(D652,DIP计划!D:G,4,0)</f>
        <v>1000</v>
      </c>
      <c r="K652" s="4">
        <f t="shared" si="19"/>
        <v>0</v>
      </c>
      <c r="L652" s="62"/>
      <c r="M652" s="63"/>
    </row>
    <row r="653" spans="1:13" s="45" customFormat="1" ht="13.25" customHeight="1" x14ac:dyDescent="0.3">
      <c r="A653" s="55">
        <v>46140</v>
      </c>
      <c r="B653" s="56">
        <f>VLOOKUP(C653,[7]完成订单!$D:$D,1,0)</f>
        <v>10880037781</v>
      </c>
      <c r="C653" s="57">
        <v>10880037781</v>
      </c>
      <c r="D653" s="57">
        <v>110001313428</v>
      </c>
      <c r="E653" s="57">
        <v>110001313428</v>
      </c>
      <c r="F653" s="58" t="s">
        <v>249</v>
      </c>
      <c r="G653" s="59">
        <v>3000</v>
      </c>
      <c r="H653" s="53" t="e">
        <f>VLOOKUP(E653,DIP计划!E:J,6,0)</f>
        <v>#N/A</v>
      </c>
      <c r="I653" s="55">
        <f t="shared" si="18"/>
        <v>46140</v>
      </c>
      <c r="J653" s="57" t="e">
        <f>VLOOKUP(D653,DIP计划!D:G,4,0)</f>
        <v>#N/A</v>
      </c>
      <c r="K653" s="4" t="e">
        <f t="shared" si="19"/>
        <v>#N/A</v>
      </c>
      <c r="L653" s="62"/>
      <c r="M653" s="63"/>
    </row>
    <row r="654" spans="1:13" s="45" customFormat="1" ht="13.25" customHeight="1" x14ac:dyDescent="0.3">
      <c r="A654" s="55">
        <v>46140</v>
      </c>
      <c r="B654" s="56" t="e">
        <f>VLOOKUP(C654,[7]完成订单!$D:$D,1,0)</f>
        <v>#N/A</v>
      </c>
      <c r="C654" s="57">
        <v>10400032893</v>
      </c>
      <c r="D654" s="57">
        <v>110001313428</v>
      </c>
      <c r="E654" s="57">
        <v>110001313429</v>
      </c>
      <c r="F654" s="58" t="s">
        <v>289</v>
      </c>
      <c r="G654" s="59">
        <v>3000</v>
      </c>
      <c r="H654" s="53" t="e">
        <f>H653-2</f>
        <v>#N/A</v>
      </c>
      <c r="I654" s="55">
        <f t="shared" si="18"/>
        <v>46140</v>
      </c>
      <c r="J654" s="57" t="e">
        <f>VLOOKUP(D654,DIP计划!D:G,4,0)</f>
        <v>#N/A</v>
      </c>
      <c r="K654" s="4" t="e">
        <f t="shared" si="19"/>
        <v>#N/A</v>
      </c>
      <c r="L654" s="62"/>
      <c r="M654" s="63"/>
    </row>
    <row r="655" spans="1:13" s="45" customFormat="1" ht="13.25" customHeight="1" x14ac:dyDescent="0.3">
      <c r="A655" s="55">
        <v>46140</v>
      </c>
      <c r="B655" s="56">
        <f>VLOOKUP(C655,[7]完成订单!$D:$D,1,0)</f>
        <v>10880036467</v>
      </c>
      <c r="C655" s="57">
        <v>10880036467</v>
      </c>
      <c r="D655" s="57">
        <v>880000121458</v>
      </c>
      <c r="E655" s="57">
        <v>880000121458</v>
      </c>
      <c r="F655" s="58" t="s">
        <v>1763</v>
      </c>
      <c r="G655" s="59">
        <v>100</v>
      </c>
      <c r="H655" s="53" t="e">
        <f>VLOOKUP(E655,DIP计划!E:J,6,0)</f>
        <v>#N/A</v>
      </c>
      <c r="I655" s="55">
        <f t="shared" si="18"/>
        <v>46140</v>
      </c>
      <c r="J655" s="57" t="e">
        <f>VLOOKUP(D655,DIP计划!D:G,4,0)</f>
        <v>#N/A</v>
      </c>
      <c r="K655" s="4" t="e">
        <f t="shared" si="19"/>
        <v>#N/A</v>
      </c>
      <c r="L655" s="62"/>
      <c r="M655" s="63"/>
    </row>
    <row r="656" spans="1:13" s="45" customFormat="1" ht="13.25" customHeight="1" x14ac:dyDescent="0.3">
      <c r="A656" s="55">
        <v>46140</v>
      </c>
      <c r="B656" s="56" t="e">
        <f>VLOOKUP(C656,[7]完成订单!$D:$D,1,0)</f>
        <v>#N/A</v>
      </c>
      <c r="C656" s="57">
        <v>10400031083</v>
      </c>
      <c r="D656" s="57">
        <v>880000121458</v>
      </c>
      <c r="E656" s="57">
        <v>880000121459</v>
      </c>
      <c r="F656" s="58" t="s">
        <v>1801</v>
      </c>
      <c r="G656" s="59">
        <v>100</v>
      </c>
      <c r="H656" s="53" t="e">
        <f>H655-2</f>
        <v>#N/A</v>
      </c>
      <c r="I656" s="55">
        <f t="shared" si="18"/>
        <v>46140</v>
      </c>
      <c r="J656" s="57" t="e">
        <f>VLOOKUP(D656,DIP计划!D:G,4,0)</f>
        <v>#N/A</v>
      </c>
      <c r="K656" s="4" t="e">
        <f t="shared" si="19"/>
        <v>#N/A</v>
      </c>
      <c r="L656" s="62"/>
      <c r="M656" s="63"/>
    </row>
    <row r="657" spans="1:13" s="45" customFormat="1" ht="13.25" customHeight="1" x14ac:dyDescent="0.3">
      <c r="A657" s="55">
        <v>46141</v>
      </c>
      <c r="B657" s="56">
        <f>VLOOKUP(C657,[7]完成订单!$D:$D,1,0)</f>
        <v>10880037969</v>
      </c>
      <c r="C657" s="57">
        <v>10880037969</v>
      </c>
      <c r="D657" s="57">
        <v>110001267147</v>
      </c>
      <c r="E657" s="57">
        <v>110001267147</v>
      </c>
      <c r="F657" s="58" t="s">
        <v>233</v>
      </c>
      <c r="G657" s="59">
        <v>400</v>
      </c>
      <c r="H657" s="53" t="e">
        <f>VLOOKUP(E657,DIP计划!E:J,6,0)</f>
        <v>#N/A</v>
      </c>
      <c r="I657" s="55">
        <f t="shared" si="18"/>
        <v>46141</v>
      </c>
      <c r="J657" s="57" t="e">
        <f>VLOOKUP(D657,DIP计划!D:G,4,0)</f>
        <v>#N/A</v>
      </c>
      <c r="K657" s="4" t="e">
        <f t="shared" si="19"/>
        <v>#N/A</v>
      </c>
      <c r="L657" s="62"/>
      <c r="M657" s="63"/>
    </row>
    <row r="658" spans="1:13" s="45" customFormat="1" ht="13.25" customHeight="1" x14ac:dyDescent="0.3">
      <c r="A658" s="55">
        <v>46141</v>
      </c>
      <c r="B658" s="56" t="e">
        <f>VLOOKUP(C658,[7]完成订单!$D:$D,1,0)</f>
        <v>#N/A</v>
      </c>
      <c r="C658" s="57">
        <v>10400033127</v>
      </c>
      <c r="D658" s="57">
        <v>110001267147</v>
      </c>
      <c r="E658" s="57">
        <v>110001267148</v>
      </c>
      <c r="F658" s="58" t="s">
        <v>1835</v>
      </c>
      <c r="G658" s="59">
        <v>400</v>
      </c>
      <c r="H658" s="53" t="e">
        <f>H657-2</f>
        <v>#N/A</v>
      </c>
      <c r="I658" s="55">
        <f t="shared" si="18"/>
        <v>46141</v>
      </c>
      <c r="J658" s="57" t="e">
        <f>VLOOKUP(D658,DIP计划!D:G,4,0)</f>
        <v>#N/A</v>
      </c>
      <c r="K658" s="4" t="e">
        <f t="shared" si="19"/>
        <v>#N/A</v>
      </c>
      <c r="L658" s="62"/>
      <c r="M658" s="63"/>
    </row>
    <row r="659" spans="1:13" s="45" customFormat="1" ht="13.25" customHeight="1" x14ac:dyDescent="0.3">
      <c r="A659" s="55">
        <v>46141</v>
      </c>
      <c r="B659" s="56">
        <f>VLOOKUP(C659,[7]完成订单!$D:$D,1,0)</f>
        <v>10880029958</v>
      </c>
      <c r="C659" s="57">
        <v>10880029958</v>
      </c>
      <c r="D659" s="57">
        <v>110001267416</v>
      </c>
      <c r="E659" s="57">
        <v>110001267416</v>
      </c>
      <c r="F659" s="58" t="s">
        <v>251</v>
      </c>
      <c r="G659" s="59">
        <v>3500</v>
      </c>
      <c r="H659" s="53" t="e">
        <f>VLOOKUP(E659,DIP计划!E:J,6,0)</f>
        <v>#N/A</v>
      </c>
      <c r="I659" s="55">
        <f t="shared" si="18"/>
        <v>46141</v>
      </c>
      <c r="J659" s="57" t="e">
        <f>VLOOKUP(D659,DIP计划!D:G,4,0)</f>
        <v>#N/A</v>
      </c>
      <c r="K659" s="4" t="e">
        <f t="shared" si="19"/>
        <v>#N/A</v>
      </c>
      <c r="L659" s="62"/>
      <c r="M659" s="63"/>
    </row>
    <row r="660" spans="1:13" s="45" customFormat="1" ht="13.25" customHeight="1" x14ac:dyDescent="0.3">
      <c r="A660" s="55">
        <v>46141</v>
      </c>
      <c r="B660" s="56" t="e">
        <f>VLOOKUP(C660,[7]完成订单!$D:$D,1,0)</f>
        <v>#N/A</v>
      </c>
      <c r="C660" s="57">
        <v>10400023599</v>
      </c>
      <c r="D660" s="57">
        <v>110001267416</v>
      </c>
      <c r="E660" s="57">
        <v>110001267417</v>
      </c>
      <c r="F660" s="58" t="s">
        <v>251</v>
      </c>
      <c r="G660" s="59">
        <v>3500</v>
      </c>
      <c r="H660" s="53" t="e">
        <f>H659-2</f>
        <v>#N/A</v>
      </c>
      <c r="I660" s="55">
        <f t="shared" si="18"/>
        <v>46141</v>
      </c>
      <c r="J660" s="57" t="e">
        <f>VLOOKUP(D660,DIP计划!D:G,4,0)</f>
        <v>#N/A</v>
      </c>
      <c r="K660" s="4" t="e">
        <f t="shared" si="19"/>
        <v>#N/A</v>
      </c>
      <c r="L660" s="62"/>
      <c r="M660" s="63"/>
    </row>
    <row r="661" spans="1:13" s="45" customFormat="1" ht="13.25" customHeight="1" x14ac:dyDescent="0.3">
      <c r="A661" s="55">
        <v>46141</v>
      </c>
      <c r="B661" s="56">
        <f>VLOOKUP(C661,[7]完成订单!$D:$D,1,0)</f>
        <v>10880035534</v>
      </c>
      <c r="C661" s="57">
        <v>10880035534</v>
      </c>
      <c r="D661" s="57">
        <v>110001279135</v>
      </c>
      <c r="E661" s="57">
        <v>110001279135</v>
      </c>
      <c r="F661" s="58" t="s">
        <v>176</v>
      </c>
      <c r="G661" s="59">
        <v>500</v>
      </c>
      <c r="H661" s="53" t="e">
        <f>VLOOKUP(E661,DIP计划!E:J,6,0)</f>
        <v>#N/A</v>
      </c>
      <c r="I661" s="55">
        <f t="shared" si="18"/>
        <v>46141</v>
      </c>
      <c r="J661" s="57" t="e">
        <f>VLOOKUP(D661,DIP计划!D:G,4,0)</f>
        <v>#N/A</v>
      </c>
      <c r="K661" s="4" t="e">
        <f t="shared" si="19"/>
        <v>#N/A</v>
      </c>
      <c r="L661" s="62"/>
      <c r="M661" s="63"/>
    </row>
    <row r="662" spans="1:13" s="45" customFormat="1" ht="13.25" customHeight="1" x14ac:dyDescent="0.3">
      <c r="A662" s="55">
        <v>46141</v>
      </c>
      <c r="B662" s="56" t="e">
        <f>VLOOKUP(C662,[7]完成订单!$D:$D,1,0)</f>
        <v>#N/A</v>
      </c>
      <c r="C662" s="57">
        <v>10400029807</v>
      </c>
      <c r="D662" s="57">
        <v>110001279135</v>
      </c>
      <c r="E662" s="57">
        <v>110001279136</v>
      </c>
      <c r="F662" s="58" t="s">
        <v>323</v>
      </c>
      <c r="G662" s="59">
        <v>500</v>
      </c>
      <c r="H662" s="53" t="e">
        <f>H661-2</f>
        <v>#N/A</v>
      </c>
      <c r="I662" s="55">
        <f t="shared" si="18"/>
        <v>46141</v>
      </c>
      <c r="J662" s="57" t="e">
        <f>VLOOKUP(D662,DIP计划!D:G,4,0)</f>
        <v>#N/A</v>
      </c>
      <c r="K662" s="4" t="e">
        <f t="shared" si="19"/>
        <v>#N/A</v>
      </c>
      <c r="L662" s="62"/>
      <c r="M662" s="63"/>
    </row>
    <row r="663" spans="1:13" s="45" customFormat="1" ht="13.25" customHeight="1" x14ac:dyDescent="0.3">
      <c r="A663" s="55">
        <v>46141</v>
      </c>
      <c r="B663" s="56">
        <f>VLOOKUP(C663,[7]完成订单!$D:$D,1,0)</f>
        <v>10880029055</v>
      </c>
      <c r="C663" s="57">
        <v>10880029055</v>
      </c>
      <c r="D663" s="57">
        <v>110001283773</v>
      </c>
      <c r="E663" s="57">
        <v>110001283773</v>
      </c>
      <c r="F663" s="58" t="s">
        <v>198</v>
      </c>
      <c r="G663" s="59">
        <v>500</v>
      </c>
      <c r="H663" s="53" t="e">
        <f>VLOOKUP(E663,DIP计划!E:J,6,0)</f>
        <v>#N/A</v>
      </c>
      <c r="I663" s="55">
        <f t="shared" si="18"/>
        <v>46141</v>
      </c>
      <c r="J663" s="57" t="e">
        <f>VLOOKUP(D663,DIP计划!D:G,4,0)</f>
        <v>#N/A</v>
      </c>
      <c r="K663" s="4" t="e">
        <f t="shared" si="19"/>
        <v>#N/A</v>
      </c>
      <c r="L663" s="62"/>
      <c r="M663" s="63"/>
    </row>
    <row r="664" spans="1:13" s="45" customFormat="1" ht="13.25" customHeight="1" x14ac:dyDescent="0.3">
      <c r="A664" s="55">
        <v>46141</v>
      </c>
      <c r="B664" s="56" t="e">
        <f>VLOOKUP(C664,[7]完成订单!$D:$D,1,0)</f>
        <v>#N/A</v>
      </c>
      <c r="C664" s="57">
        <v>10400023322</v>
      </c>
      <c r="D664" s="57">
        <v>110001283773</v>
      </c>
      <c r="E664" s="57">
        <v>110001283774</v>
      </c>
      <c r="F664" s="58" t="s">
        <v>1836</v>
      </c>
      <c r="G664" s="59">
        <v>500</v>
      </c>
      <c r="H664" s="53" t="e">
        <f>H663-2</f>
        <v>#N/A</v>
      </c>
      <c r="I664" s="55">
        <f t="shared" si="18"/>
        <v>46141</v>
      </c>
      <c r="J664" s="57" t="e">
        <f>VLOOKUP(D664,DIP计划!D:G,4,0)</f>
        <v>#N/A</v>
      </c>
      <c r="K664" s="4" t="e">
        <f t="shared" si="19"/>
        <v>#N/A</v>
      </c>
      <c r="L664" s="62"/>
      <c r="M664" s="63"/>
    </row>
    <row r="665" spans="1:13" s="45" customFormat="1" ht="13.25" customHeight="1" x14ac:dyDescent="0.3">
      <c r="A665" s="55">
        <v>46141</v>
      </c>
      <c r="B665" s="56">
        <f>VLOOKUP(C665,[7]完成订单!$D:$D,1,0)</f>
        <v>10880028834</v>
      </c>
      <c r="C665" s="57">
        <v>10880028834</v>
      </c>
      <c r="D665" s="57">
        <v>110001288287</v>
      </c>
      <c r="E665" s="57">
        <v>110001288287</v>
      </c>
      <c r="F665" s="58" t="s">
        <v>250</v>
      </c>
      <c r="G665" s="59">
        <v>400</v>
      </c>
      <c r="H665" s="53">
        <f>VLOOKUP(E665,DIP计划!E:J,6,0)</f>
        <v>46148</v>
      </c>
      <c r="I665" s="55">
        <f t="shared" si="18"/>
        <v>46141</v>
      </c>
      <c r="J665" s="57">
        <f>VLOOKUP(D665,DIP计划!D:G,4,0)</f>
        <v>400</v>
      </c>
      <c r="K665" s="4">
        <f t="shared" si="19"/>
        <v>0</v>
      </c>
      <c r="L665" s="62"/>
      <c r="M665" s="63"/>
    </row>
    <row r="666" spans="1:13" s="45" customFormat="1" ht="13.25" customHeight="1" x14ac:dyDescent="0.3">
      <c r="A666" s="55">
        <v>46141</v>
      </c>
      <c r="B666" s="56" t="e">
        <f>VLOOKUP(C666,[7]完成订单!$D:$D,1,0)</f>
        <v>#N/A</v>
      </c>
      <c r="C666" s="57">
        <v>10400023103</v>
      </c>
      <c r="D666" s="57">
        <v>110001288287</v>
      </c>
      <c r="E666" s="57">
        <v>110001288288</v>
      </c>
      <c r="F666" s="58" t="s">
        <v>250</v>
      </c>
      <c r="G666" s="59">
        <v>400</v>
      </c>
      <c r="H666" s="53">
        <f>H665-2</f>
        <v>46146</v>
      </c>
      <c r="I666" s="55">
        <f t="shared" si="18"/>
        <v>46141</v>
      </c>
      <c r="J666" s="57">
        <f>VLOOKUP(D666,DIP计划!D:G,4,0)</f>
        <v>400</v>
      </c>
      <c r="K666" s="4">
        <f t="shared" si="19"/>
        <v>0</v>
      </c>
      <c r="L666" s="62"/>
      <c r="M666" s="63"/>
    </row>
    <row r="667" spans="1:13" s="45" customFormat="1" ht="13.25" customHeight="1" x14ac:dyDescent="0.3">
      <c r="A667" s="55">
        <v>46141</v>
      </c>
      <c r="B667" s="56">
        <f>VLOOKUP(C667,[7]完成订单!$D:$D,1,0)</f>
        <v>10880030784</v>
      </c>
      <c r="C667" s="57">
        <v>10880030784</v>
      </c>
      <c r="D667" s="57">
        <v>110001288315</v>
      </c>
      <c r="E667" s="57">
        <v>110001288315</v>
      </c>
      <c r="F667" s="58" t="s">
        <v>61</v>
      </c>
      <c r="G667" s="59">
        <v>200</v>
      </c>
      <c r="H667" s="53">
        <f>VLOOKUP(E667,DIP计划!E:J,6,0)</f>
        <v>46150</v>
      </c>
      <c r="I667" s="55">
        <f t="shared" si="18"/>
        <v>46141</v>
      </c>
      <c r="J667" s="57">
        <f>VLOOKUP(D667,DIP计划!D:G,4,0)</f>
        <v>200</v>
      </c>
      <c r="K667" s="4">
        <f t="shared" si="19"/>
        <v>0</v>
      </c>
      <c r="L667" s="62"/>
      <c r="M667" s="63"/>
    </row>
    <row r="668" spans="1:13" s="45" customFormat="1" ht="13.25" customHeight="1" x14ac:dyDescent="0.3">
      <c r="A668" s="55">
        <v>46141</v>
      </c>
      <c r="B668" s="56" t="e">
        <f>VLOOKUP(C668,[7]完成订单!$D:$D,1,0)</f>
        <v>#N/A</v>
      </c>
      <c r="C668" s="57">
        <v>10400024571</v>
      </c>
      <c r="D668" s="57">
        <v>110001288315</v>
      </c>
      <c r="E668" s="57">
        <v>110001288316</v>
      </c>
      <c r="F668" s="58" t="s">
        <v>61</v>
      </c>
      <c r="G668" s="59">
        <v>200</v>
      </c>
      <c r="H668" s="53">
        <f>H667-2</f>
        <v>46148</v>
      </c>
      <c r="I668" s="55">
        <f t="shared" si="18"/>
        <v>46141</v>
      </c>
      <c r="J668" s="57">
        <f>VLOOKUP(D668,DIP计划!D:G,4,0)</f>
        <v>200</v>
      </c>
      <c r="K668" s="4">
        <f t="shared" si="19"/>
        <v>0</v>
      </c>
      <c r="L668" s="62"/>
      <c r="M668" s="63"/>
    </row>
    <row r="669" spans="1:13" s="45" customFormat="1" ht="13.25" customHeight="1" x14ac:dyDescent="0.3">
      <c r="A669" s="55">
        <v>46141</v>
      </c>
      <c r="B669" s="56">
        <f>VLOOKUP(C669,[7]完成订单!$D:$D,1,0)</f>
        <v>10880038236</v>
      </c>
      <c r="C669" s="57">
        <v>10880038236</v>
      </c>
      <c r="D669" s="57">
        <v>110001290452</v>
      </c>
      <c r="E669" s="57">
        <v>110001290452</v>
      </c>
      <c r="F669" s="58" t="s">
        <v>103</v>
      </c>
      <c r="G669" s="59">
        <v>2400</v>
      </c>
      <c r="H669" s="53" t="e">
        <f>VLOOKUP(E669,DIP计划!E:J,6,0)</f>
        <v>#N/A</v>
      </c>
      <c r="I669" s="55">
        <f t="shared" si="18"/>
        <v>46141</v>
      </c>
      <c r="J669" s="57">
        <f>VLOOKUP(D669,DIP计划!D:G,4,0)</f>
        <v>2400</v>
      </c>
      <c r="K669" s="4">
        <f t="shared" si="19"/>
        <v>0</v>
      </c>
      <c r="L669" s="62"/>
      <c r="M669" s="63"/>
    </row>
    <row r="670" spans="1:13" s="45" customFormat="1" ht="13.25" customHeight="1" x14ac:dyDescent="0.3">
      <c r="A670" s="55">
        <v>46141</v>
      </c>
      <c r="B670" s="56">
        <f>VLOOKUP(C670,[7]完成订单!$D:$D,1,0)</f>
        <v>10400033234</v>
      </c>
      <c r="C670" s="57">
        <v>10400033234</v>
      </c>
      <c r="D670" s="57">
        <v>110001290452</v>
      </c>
      <c r="E670" s="57">
        <v>110001290453</v>
      </c>
      <c r="F670" s="58" t="s">
        <v>124</v>
      </c>
      <c r="G670" s="59">
        <v>2400</v>
      </c>
      <c r="H670" s="53">
        <f>VLOOKUP(E670,DIP计划!E:J,6,0)</f>
        <v>46147</v>
      </c>
      <c r="I670" s="55">
        <f t="shared" si="18"/>
        <v>46141</v>
      </c>
      <c r="J670" s="57">
        <f>VLOOKUP(D670,DIP计划!D:G,4,0)</f>
        <v>2400</v>
      </c>
      <c r="K670" s="4">
        <f t="shared" si="19"/>
        <v>0</v>
      </c>
      <c r="L670" s="62"/>
      <c r="M670" s="63"/>
    </row>
    <row r="671" spans="1:13" s="45" customFormat="1" ht="13.25" customHeight="1" x14ac:dyDescent="0.3">
      <c r="A671" s="55">
        <v>46141</v>
      </c>
      <c r="B671" s="56">
        <f>VLOOKUP(C671,[7]完成订单!$D:$D,1,0)</f>
        <v>10400033476</v>
      </c>
      <c r="C671" s="57">
        <v>10400033476</v>
      </c>
      <c r="D671" s="57">
        <v>110001290452</v>
      </c>
      <c r="E671" s="57">
        <v>110001290455</v>
      </c>
      <c r="F671" s="58" t="s">
        <v>104</v>
      </c>
      <c r="G671" s="59">
        <v>2400</v>
      </c>
      <c r="H671" s="53" t="e">
        <f>VLOOKUP(E671,DIP计划!E:J,6,0)</f>
        <v>#N/A</v>
      </c>
      <c r="I671" s="55">
        <f t="shared" si="18"/>
        <v>46141</v>
      </c>
      <c r="J671" s="57">
        <f>VLOOKUP(D671,DIP计划!D:G,4,0)</f>
        <v>2400</v>
      </c>
      <c r="K671" s="4">
        <f t="shared" si="19"/>
        <v>0</v>
      </c>
      <c r="L671" s="62"/>
      <c r="M671" s="63"/>
    </row>
    <row r="672" spans="1:13" s="45" customFormat="1" ht="13.25" customHeight="1" x14ac:dyDescent="0.3">
      <c r="A672" s="55">
        <v>46141</v>
      </c>
      <c r="B672" s="56" t="e">
        <f>VLOOKUP(C672,[7]完成订单!$D:$D,1,0)</f>
        <v>#N/A</v>
      </c>
      <c r="C672" s="57">
        <v>10400033477</v>
      </c>
      <c r="D672" s="57">
        <v>110001290452</v>
      </c>
      <c r="E672" s="57">
        <v>110001290459</v>
      </c>
      <c r="F672" s="58" t="s">
        <v>104</v>
      </c>
      <c r="G672" s="59">
        <v>2400</v>
      </c>
      <c r="H672" s="53" t="e">
        <f>H671-2</f>
        <v>#N/A</v>
      </c>
      <c r="I672" s="55">
        <f t="shared" si="18"/>
        <v>46141</v>
      </c>
      <c r="J672" s="57">
        <f>VLOOKUP(D672,DIP计划!D:G,4,0)</f>
        <v>2400</v>
      </c>
      <c r="K672" s="4">
        <f t="shared" si="19"/>
        <v>0</v>
      </c>
      <c r="L672" s="62"/>
      <c r="M672" s="63"/>
    </row>
    <row r="673" spans="1:13" s="45" customFormat="1" ht="13.25" customHeight="1" x14ac:dyDescent="0.3">
      <c r="A673" s="55">
        <v>46141</v>
      </c>
      <c r="B673" s="56">
        <f>VLOOKUP(C673,[7]完成订单!$D:$D,1,0)</f>
        <v>10880036058</v>
      </c>
      <c r="C673" s="57">
        <v>10880036058</v>
      </c>
      <c r="D673" s="57">
        <v>110001292399</v>
      </c>
      <c r="E673" s="57">
        <v>110001292399</v>
      </c>
      <c r="F673" s="58" t="s">
        <v>119</v>
      </c>
      <c r="G673" s="59">
        <v>1600</v>
      </c>
      <c r="H673" s="53" t="e">
        <f>VLOOKUP(E673,DIP计划!E:J,6,0)</f>
        <v>#N/A</v>
      </c>
      <c r="I673" s="55">
        <f t="shared" si="18"/>
        <v>46141</v>
      </c>
      <c r="J673" s="57">
        <f>VLOOKUP(D673,DIP计划!D:G,4,0)</f>
        <v>1600</v>
      </c>
      <c r="K673" s="4">
        <f t="shared" si="19"/>
        <v>0</v>
      </c>
      <c r="L673" s="62"/>
      <c r="M673" s="63"/>
    </row>
    <row r="674" spans="1:13" s="45" customFormat="1" ht="13.25" customHeight="1" x14ac:dyDescent="0.3">
      <c r="A674" s="55">
        <v>46141</v>
      </c>
      <c r="B674" s="56">
        <f>VLOOKUP(C674,[7]完成订单!$D:$D,1,0)</f>
        <v>10400030543</v>
      </c>
      <c r="C674" s="57">
        <v>10400030543</v>
      </c>
      <c r="D674" s="57">
        <v>110001292399</v>
      </c>
      <c r="E674" s="57">
        <v>110001292400</v>
      </c>
      <c r="F674" s="58" t="s">
        <v>120</v>
      </c>
      <c r="G674" s="59">
        <v>1600</v>
      </c>
      <c r="H674" s="53" t="e">
        <f>VLOOKUP(E674,DIP计划!E:J,6,0)</f>
        <v>#N/A</v>
      </c>
      <c r="I674" s="55">
        <f t="shared" si="18"/>
        <v>46141</v>
      </c>
      <c r="J674" s="57">
        <f>VLOOKUP(D674,DIP计划!D:G,4,0)</f>
        <v>1600</v>
      </c>
      <c r="K674" s="4">
        <f t="shared" si="19"/>
        <v>0</v>
      </c>
      <c r="L674" s="62"/>
      <c r="M674" s="63"/>
    </row>
    <row r="675" spans="1:13" s="45" customFormat="1" ht="13.25" customHeight="1" x14ac:dyDescent="0.3">
      <c r="A675" s="55">
        <v>46141</v>
      </c>
      <c r="B675" s="56">
        <f>VLOOKUP(C675,[7]完成订单!$D:$D,1,0)</f>
        <v>10400033234</v>
      </c>
      <c r="C675" s="57">
        <v>10400033234</v>
      </c>
      <c r="D675" s="57">
        <v>110001292399</v>
      </c>
      <c r="E675" s="57">
        <v>110001292401</v>
      </c>
      <c r="F675" s="58" t="s">
        <v>124</v>
      </c>
      <c r="G675" s="59">
        <v>1600</v>
      </c>
      <c r="H675" s="53">
        <f>VLOOKUP(E675,DIP计划!E:J,6,0)</f>
        <v>46142</v>
      </c>
      <c r="I675" s="55">
        <f t="shared" si="18"/>
        <v>46141</v>
      </c>
      <c r="J675" s="57">
        <f>VLOOKUP(D675,DIP计划!D:G,4,0)</f>
        <v>1600</v>
      </c>
      <c r="K675" s="4">
        <f t="shared" si="19"/>
        <v>0</v>
      </c>
      <c r="L675" s="62"/>
      <c r="M675" s="63"/>
    </row>
    <row r="676" spans="1:13" s="45" customFormat="1" ht="13.25" customHeight="1" x14ac:dyDescent="0.3">
      <c r="A676" s="55">
        <v>46141</v>
      </c>
      <c r="B676" s="56" t="e">
        <f>VLOOKUP(C676,[7]完成订单!$D:$D,1,0)</f>
        <v>#N/A</v>
      </c>
      <c r="C676" s="57">
        <v>10400030539</v>
      </c>
      <c r="D676" s="57">
        <v>110001292399</v>
      </c>
      <c r="E676" s="57">
        <v>110001292402</v>
      </c>
      <c r="F676" s="58" t="s">
        <v>120</v>
      </c>
      <c r="G676" s="59">
        <v>1600</v>
      </c>
      <c r="H676" s="53">
        <f>H675-2</f>
        <v>46140</v>
      </c>
      <c r="I676" s="55">
        <f t="shared" si="18"/>
        <v>46141</v>
      </c>
      <c r="J676" s="57">
        <f>VLOOKUP(D676,DIP计划!D:G,4,0)</f>
        <v>1600</v>
      </c>
      <c r="K676" s="4">
        <f t="shared" si="19"/>
        <v>0</v>
      </c>
      <c r="L676" s="62"/>
      <c r="M676" s="63"/>
    </row>
    <row r="677" spans="1:13" s="45" customFormat="1" ht="13.25" customHeight="1" x14ac:dyDescent="0.3">
      <c r="A677" s="55">
        <v>46141</v>
      </c>
      <c r="B677" s="56">
        <f>VLOOKUP(C677,[7]完成订单!$D:$D,1,0)</f>
        <v>10880037023</v>
      </c>
      <c r="C677" s="57">
        <v>10880037023</v>
      </c>
      <c r="D677" s="57">
        <v>110001292431</v>
      </c>
      <c r="E677" s="57">
        <v>110001292431</v>
      </c>
      <c r="F677" s="58" t="s">
        <v>117</v>
      </c>
      <c r="G677" s="59">
        <v>1000</v>
      </c>
      <c r="H677" s="53" t="e">
        <f>VLOOKUP(E677,DIP计划!E:J,6,0)</f>
        <v>#N/A</v>
      </c>
      <c r="I677" s="55">
        <f t="shared" si="18"/>
        <v>46141</v>
      </c>
      <c r="J677" s="57" t="e">
        <f>VLOOKUP(D677,DIP计划!D:G,4,0)</f>
        <v>#N/A</v>
      </c>
      <c r="K677" s="4" t="e">
        <f t="shared" si="19"/>
        <v>#N/A</v>
      </c>
      <c r="L677" s="62"/>
      <c r="M677" s="63"/>
    </row>
    <row r="678" spans="1:13" s="45" customFormat="1" ht="13.25" customHeight="1" x14ac:dyDescent="0.3">
      <c r="A678" s="55">
        <v>46141</v>
      </c>
      <c r="B678" s="56">
        <f>VLOOKUP(C678,[7]完成订单!$D:$D,1,0)</f>
        <v>10400031868</v>
      </c>
      <c r="C678" s="57">
        <v>10400031868</v>
      </c>
      <c r="D678" s="57">
        <v>110001292431</v>
      </c>
      <c r="E678" s="57">
        <v>110001292432</v>
      </c>
      <c r="F678" s="58" t="s">
        <v>118</v>
      </c>
      <c r="G678" s="59">
        <v>1000</v>
      </c>
      <c r="H678" s="53" t="e">
        <f>VLOOKUP(E678,DIP计划!E:J,6,0)</f>
        <v>#N/A</v>
      </c>
      <c r="I678" s="55">
        <f t="shared" si="18"/>
        <v>46141</v>
      </c>
      <c r="J678" s="57" t="e">
        <f>VLOOKUP(D678,DIP计划!D:G,4,0)</f>
        <v>#N/A</v>
      </c>
      <c r="K678" s="4" t="e">
        <f t="shared" si="19"/>
        <v>#N/A</v>
      </c>
      <c r="L678" s="62"/>
      <c r="M678" s="63"/>
    </row>
    <row r="679" spans="1:13" s="45" customFormat="1" ht="13.25" customHeight="1" x14ac:dyDescent="0.3">
      <c r="A679" s="55">
        <v>46141</v>
      </c>
      <c r="B679" s="56">
        <f>VLOOKUP(C679,[7]完成订单!$D:$D,1,0)</f>
        <v>10400033234</v>
      </c>
      <c r="C679" s="57">
        <v>10400033234</v>
      </c>
      <c r="D679" s="57">
        <v>110001292431</v>
      </c>
      <c r="E679" s="57">
        <v>110001292433</v>
      </c>
      <c r="F679" s="58" t="s">
        <v>124</v>
      </c>
      <c r="G679" s="59">
        <v>1000</v>
      </c>
      <c r="H679" s="53" t="e">
        <f>VLOOKUP(E679,DIP计划!E:J,6,0)</f>
        <v>#N/A</v>
      </c>
      <c r="I679" s="55">
        <f t="shared" si="18"/>
        <v>46141</v>
      </c>
      <c r="J679" s="57" t="e">
        <f>VLOOKUP(D679,DIP计划!D:G,4,0)</f>
        <v>#N/A</v>
      </c>
      <c r="K679" s="4" t="e">
        <f t="shared" si="19"/>
        <v>#N/A</v>
      </c>
      <c r="L679" s="62"/>
      <c r="M679" s="63"/>
    </row>
    <row r="680" spans="1:13" s="45" customFormat="1" ht="13.25" customHeight="1" x14ac:dyDescent="0.3">
      <c r="A680" s="55">
        <v>46141</v>
      </c>
      <c r="B680" s="56" t="e">
        <f>VLOOKUP(C680,[7]完成订单!$D:$D,1,0)</f>
        <v>#N/A</v>
      </c>
      <c r="C680" s="57">
        <v>10400031866</v>
      </c>
      <c r="D680" s="57">
        <v>110001292431</v>
      </c>
      <c r="E680" s="57">
        <v>110001292434</v>
      </c>
      <c r="F680" s="58" t="s">
        <v>118</v>
      </c>
      <c r="G680" s="59">
        <v>1000</v>
      </c>
      <c r="H680" s="53" t="e">
        <f>H679-2</f>
        <v>#N/A</v>
      </c>
      <c r="I680" s="55">
        <f t="shared" si="18"/>
        <v>46141</v>
      </c>
      <c r="J680" s="57" t="e">
        <f>VLOOKUP(D680,DIP计划!D:G,4,0)</f>
        <v>#N/A</v>
      </c>
      <c r="K680" s="4" t="e">
        <f t="shared" si="19"/>
        <v>#N/A</v>
      </c>
      <c r="L680" s="62"/>
      <c r="M680" s="63"/>
    </row>
    <row r="681" spans="1:13" s="45" customFormat="1" ht="13.25" customHeight="1" x14ac:dyDescent="0.3">
      <c r="A681" s="55">
        <v>46141</v>
      </c>
      <c r="B681" s="56">
        <f>VLOOKUP(C681,[7]完成订单!$D:$D,1,0)</f>
        <v>10880037661</v>
      </c>
      <c r="C681" s="57">
        <v>10880037661</v>
      </c>
      <c r="D681" s="57">
        <v>110001292473</v>
      </c>
      <c r="E681" s="57">
        <v>110001292473</v>
      </c>
      <c r="F681" s="58" t="s">
        <v>105</v>
      </c>
      <c r="G681" s="59">
        <v>1000</v>
      </c>
      <c r="H681" s="53">
        <f>VLOOKUP(E681,DIP计划!E:J,6,0)</f>
        <v>46149</v>
      </c>
      <c r="I681" s="55">
        <f t="shared" si="18"/>
        <v>46141</v>
      </c>
      <c r="J681" s="57">
        <f>VLOOKUP(D681,DIP计划!D:G,4,0)</f>
        <v>1000</v>
      </c>
      <c r="K681" s="4">
        <f t="shared" si="19"/>
        <v>0</v>
      </c>
      <c r="L681" s="62"/>
      <c r="M681" s="63"/>
    </row>
    <row r="682" spans="1:13" s="45" customFormat="1" ht="13.25" customHeight="1" x14ac:dyDescent="0.3">
      <c r="A682" s="55">
        <v>46141</v>
      </c>
      <c r="B682" s="56">
        <f>VLOOKUP(C682,[7]完成订单!$D:$D,1,0)</f>
        <v>10400032702</v>
      </c>
      <c r="C682" s="57">
        <v>10400032702</v>
      </c>
      <c r="D682" s="57">
        <v>110001292473</v>
      </c>
      <c r="E682" s="57">
        <v>110001292474</v>
      </c>
      <c r="F682" s="58" t="s">
        <v>106</v>
      </c>
      <c r="G682" s="59">
        <v>1000</v>
      </c>
      <c r="H682" s="53">
        <f>VLOOKUP(E682,DIP计划!E:J,6,0)</f>
        <v>46149</v>
      </c>
      <c r="I682" s="55">
        <f t="shared" si="18"/>
        <v>46141</v>
      </c>
      <c r="J682" s="57">
        <f>VLOOKUP(D682,DIP计划!D:G,4,0)</f>
        <v>1000</v>
      </c>
      <c r="K682" s="4">
        <f t="shared" si="19"/>
        <v>0</v>
      </c>
      <c r="L682" s="62"/>
      <c r="M682" s="63"/>
    </row>
    <row r="683" spans="1:13" s="45" customFormat="1" ht="13.25" customHeight="1" x14ac:dyDescent="0.3">
      <c r="A683" s="55">
        <v>46141</v>
      </c>
      <c r="B683" s="56">
        <f>VLOOKUP(C683,[7]完成订单!$D:$D,1,0)</f>
        <v>10400033234</v>
      </c>
      <c r="C683" s="57">
        <v>10400033234</v>
      </c>
      <c r="D683" s="57">
        <v>110001292473</v>
      </c>
      <c r="E683" s="57">
        <v>110001292475</v>
      </c>
      <c r="F683" s="58" t="s">
        <v>124</v>
      </c>
      <c r="G683" s="59">
        <v>1000</v>
      </c>
      <c r="H683" s="53">
        <f>VLOOKUP(E683,DIP计划!E:J,6,0)</f>
        <v>46148</v>
      </c>
      <c r="I683" s="55">
        <f t="shared" si="18"/>
        <v>46141</v>
      </c>
      <c r="J683" s="57">
        <f>VLOOKUP(D683,DIP计划!D:G,4,0)</f>
        <v>1000</v>
      </c>
      <c r="K683" s="4">
        <f t="shared" si="19"/>
        <v>0</v>
      </c>
      <c r="L683" s="62"/>
      <c r="M683" s="63"/>
    </row>
    <row r="684" spans="1:13" s="45" customFormat="1" ht="13.25" customHeight="1" x14ac:dyDescent="0.3">
      <c r="A684" s="55">
        <v>46141</v>
      </c>
      <c r="B684" s="56" t="e">
        <f>VLOOKUP(C684,[7]完成订单!$D:$D,1,0)</f>
        <v>#N/A</v>
      </c>
      <c r="C684" s="57">
        <v>10400032703</v>
      </c>
      <c r="D684" s="57">
        <v>110001292473</v>
      </c>
      <c r="E684" s="57">
        <v>110001292476</v>
      </c>
      <c r="F684" s="58" t="s">
        <v>106</v>
      </c>
      <c r="G684" s="59">
        <v>1000</v>
      </c>
      <c r="H684" s="53">
        <f>H683-2</f>
        <v>46146</v>
      </c>
      <c r="I684" s="55">
        <f t="shared" si="18"/>
        <v>46141</v>
      </c>
      <c r="J684" s="57">
        <f>VLOOKUP(D684,DIP计划!D:G,4,0)</f>
        <v>1000</v>
      </c>
      <c r="K684" s="4">
        <f t="shared" si="19"/>
        <v>0</v>
      </c>
      <c r="L684" s="62"/>
      <c r="M684" s="63"/>
    </row>
    <row r="685" spans="1:13" s="45" customFormat="1" ht="13.25" customHeight="1" x14ac:dyDescent="0.3">
      <c r="A685" s="55">
        <v>46141</v>
      </c>
      <c r="B685" s="56">
        <f>VLOOKUP(C685,[7]完成订单!$D:$D,1,0)</f>
        <v>10880037688</v>
      </c>
      <c r="C685" s="57">
        <v>10880037688</v>
      </c>
      <c r="D685" s="57">
        <v>110001292501</v>
      </c>
      <c r="E685" s="57">
        <v>110001292501</v>
      </c>
      <c r="F685" s="58" t="s">
        <v>107</v>
      </c>
      <c r="G685" s="59">
        <v>2001</v>
      </c>
      <c r="H685" s="53" t="e">
        <f>VLOOKUP(E685,DIP计划!E:J,6,0)</f>
        <v>#N/A</v>
      </c>
      <c r="I685" s="55">
        <f t="shared" si="18"/>
        <v>46141</v>
      </c>
      <c r="J685" s="57">
        <f>VLOOKUP(D685,DIP计划!D:G,4,0)</f>
        <v>2001</v>
      </c>
      <c r="K685" s="4">
        <f t="shared" si="19"/>
        <v>0</v>
      </c>
      <c r="L685" s="62"/>
      <c r="M685" s="63"/>
    </row>
    <row r="686" spans="1:13" s="45" customFormat="1" ht="13.25" customHeight="1" x14ac:dyDescent="0.3">
      <c r="A686" s="55">
        <v>46141</v>
      </c>
      <c r="B686" s="56">
        <f>VLOOKUP(C686,[7]完成订单!$D:$D,1,0)</f>
        <v>10400032759</v>
      </c>
      <c r="C686" s="57">
        <v>10400032759</v>
      </c>
      <c r="D686" s="57">
        <v>110001292501</v>
      </c>
      <c r="E686" s="57">
        <v>110001292502</v>
      </c>
      <c r="F686" s="58" t="s">
        <v>108</v>
      </c>
      <c r="G686" s="59">
        <v>2001</v>
      </c>
      <c r="H686" s="53" t="e">
        <f>VLOOKUP(E686,DIP计划!E:J,6,0)</f>
        <v>#N/A</v>
      </c>
      <c r="I686" s="55">
        <f t="shared" si="18"/>
        <v>46141</v>
      </c>
      <c r="J686" s="57">
        <f>VLOOKUP(D686,DIP计划!D:G,4,0)</f>
        <v>2001</v>
      </c>
      <c r="K686" s="4">
        <f t="shared" si="19"/>
        <v>0</v>
      </c>
      <c r="L686" s="62"/>
      <c r="M686" s="63"/>
    </row>
    <row r="687" spans="1:13" s="45" customFormat="1" ht="13.25" customHeight="1" x14ac:dyDescent="0.3">
      <c r="A687" s="55">
        <v>46141</v>
      </c>
      <c r="B687" s="56">
        <f>VLOOKUP(C687,[7]完成订单!$D:$D,1,0)</f>
        <v>10400033234</v>
      </c>
      <c r="C687" s="57">
        <v>10400033234</v>
      </c>
      <c r="D687" s="57">
        <v>110001292501</v>
      </c>
      <c r="E687" s="57">
        <v>110001292503</v>
      </c>
      <c r="F687" s="58" t="s">
        <v>124</v>
      </c>
      <c r="G687" s="59">
        <v>2001</v>
      </c>
      <c r="H687" s="53">
        <f>VLOOKUP(E687,DIP计划!E:J,6,0)</f>
        <v>46146</v>
      </c>
      <c r="I687" s="55">
        <f t="shared" si="18"/>
        <v>46141</v>
      </c>
      <c r="J687" s="57">
        <f>VLOOKUP(D687,DIP计划!D:G,4,0)</f>
        <v>2001</v>
      </c>
      <c r="K687" s="4">
        <f t="shared" si="19"/>
        <v>0</v>
      </c>
      <c r="L687" s="62"/>
      <c r="M687" s="63"/>
    </row>
    <row r="688" spans="1:13" s="45" customFormat="1" ht="13.25" customHeight="1" x14ac:dyDescent="0.3">
      <c r="A688" s="55">
        <v>46141</v>
      </c>
      <c r="B688" s="56" t="e">
        <f>VLOOKUP(C688,[7]完成订单!$D:$D,1,0)</f>
        <v>#N/A</v>
      </c>
      <c r="C688" s="57">
        <v>10400032760</v>
      </c>
      <c r="D688" s="57">
        <v>110001292501</v>
      </c>
      <c r="E688" s="57">
        <v>110001292504</v>
      </c>
      <c r="F688" s="58" t="s">
        <v>108</v>
      </c>
      <c r="G688" s="59">
        <v>2001</v>
      </c>
      <c r="H688" s="53">
        <f>H687-2</f>
        <v>46144</v>
      </c>
      <c r="I688" s="55">
        <f t="shared" si="18"/>
        <v>46141</v>
      </c>
      <c r="J688" s="57">
        <f>VLOOKUP(D688,DIP计划!D:G,4,0)</f>
        <v>2001</v>
      </c>
      <c r="K688" s="4">
        <f t="shared" si="19"/>
        <v>0</v>
      </c>
      <c r="L688" s="62"/>
      <c r="M688" s="63"/>
    </row>
    <row r="689" spans="1:13" s="45" customFormat="1" ht="13.25" customHeight="1" x14ac:dyDescent="0.3">
      <c r="A689" s="55">
        <v>46141</v>
      </c>
      <c r="B689" s="56">
        <f>VLOOKUP(C689,[7]完成订单!$D:$D,1,0)</f>
        <v>10880038443</v>
      </c>
      <c r="C689" s="57">
        <v>10880038443</v>
      </c>
      <c r="D689" s="57">
        <v>110001292553</v>
      </c>
      <c r="E689" s="57">
        <v>110001292553</v>
      </c>
      <c r="F689" s="58" t="s">
        <v>146</v>
      </c>
      <c r="G689" s="59">
        <v>700</v>
      </c>
      <c r="H689" s="53">
        <f>VLOOKUP(E689,DIP计划!E:J,6,0)</f>
        <v>46148</v>
      </c>
      <c r="I689" s="55">
        <f t="shared" si="18"/>
        <v>46141</v>
      </c>
      <c r="J689" s="57">
        <f>VLOOKUP(D689,DIP计划!D:G,4,0)</f>
        <v>700</v>
      </c>
      <c r="K689" s="4">
        <f t="shared" si="19"/>
        <v>0</v>
      </c>
      <c r="L689" s="62"/>
      <c r="M689" s="63"/>
    </row>
    <row r="690" spans="1:13" s="45" customFormat="1" ht="13.25" customHeight="1" x14ac:dyDescent="0.3">
      <c r="A690" s="55">
        <v>46141</v>
      </c>
      <c r="B690" s="56">
        <f>VLOOKUP(C690,[7]完成订单!$D:$D,1,0)</f>
        <v>10400033234</v>
      </c>
      <c r="C690" s="57">
        <v>10400033234</v>
      </c>
      <c r="D690" s="57">
        <v>110001292553</v>
      </c>
      <c r="E690" s="57">
        <v>110001292554</v>
      </c>
      <c r="F690" s="58" t="s">
        <v>124</v>
      </c>
      <c r="G690" s="59">
        <v>700</v>
      </c>
      <c r="H690" s="53">
        <f>VLOOKUP(E690,DIP计划!E:J,6,0)</f>
        <v>46148</v>
      </c>
      <c r="I690" s="55">
        <f t="shared" si="18"/>
        <v>46141</v>
      </c>
      <c r="J690" s="57">
        <f>VLOOKUP(D690,DIP计划!D:G,4,0)</f>
        <v>700</v>
      </c>
      <c r="K690" s="4">
        <f t="shared" si="19"/>
        <v>0</v>
      </c>
      <c r="L690" s="62"/>
      <c r="M690" s="63"/>
    </row>
    <row r="691" spans="1:13" s="45" customFormat="1" ht="13.25" customHeight="1" x14ac:dyDescent="0.3">
      <c r="A691" s="55">
        <v>46141</v>
      </c>
      <c r="B691" s="56">
        <f>VLOOKUP(C691,[7]完成订单!$D:$D,1,0)</f>
        <v>10400033745</v>
      </c>
      <c r="C691" s="57">
        <v>10400033745</v>
      </c>
      <c r="D691" s="57">
        <v>110001292553</v>
      </c>
      <c r="E691" s="57">
        <v>110001292555</v>
      </c>
      <c r="F691" s="58" t="s">
        <v>1821</v>
      </c>
      <c r="G691" s="59">
        <v>700</v>
      </c>
      <c r="H691" s="53">
        <f>VLOOKUP(E691,DIP计划!E:J,6,0)</f>
        <v>46148</v>
      </c>
      <c r="I691" s="55">
        <f t="shared" si="18"/>
        <v>46141</v>
      </c>
      <c r="J691" s="57">
        <f>VLOOKUP(D691,DIP计划!D:G,4,0)</f>
        <v>700</v>
      </c>
      <c r="K691" s="4">
        <f t="shared" si="19"/>
        <v>0</v>
      </c>
      <c r="L691" s="62"/>
      <c r="M691" s="63"/>
    </row>
    <row r="692" spans="1:13" s="45" customFormat="1" ht="13.25" customHeight="1" x14ac:dyDescent="0.3">
      <c r="A692" s="55">
        <v>46141</v>
      </c>
      <c r="B692" s="56" t="e">
        <f>VLOOKUP(C692,[7]完成订单!$D:$D,1,0)</f>
        <v>#N/A</v>
      </c>
      <c r="C692" s="57">
        <v>10400033746</v>
      </c>
      <c r="D692" s="57">
        <v>110001292553</v>
      </c>
      <c r="E692" s="57">
        <v>110001292556</v>
      </c>
      <c r="F692" s="58" t="s">
        <v>1821</v>
      </c>
      <c r="G692" s="59">
        <v>700</v>
      </c>
      <c r="H692" s="53">
        <f>H691-2</f>
        <v>46146</v>
      </c>
      <c r="I692" s="55">
        <f t="shared" si="18"/>
        <v>46141</v>
      </c>
      <c r="J692" s="57">
        <f>VLOOKUP(D692,DIP计划!D:G,4,0)</f>
        <v>700</v>
      </c>
      <c r="K692" s="4">
        <f t="shared" si="19"/>
        <v>0</v>
      </c>
      <c r="L692" s="62"/>
      <c r="M692" s="63"/>
    </row>
    <row r="693" spans="1:13" s="45" customFormat="1" ht="13.25" customHeight="1" x14ac:dyDescent="0.3">
      <c r="A693" s="55">
        <v>46141</v>
      </c>
      <c r="B693" s="56">
        <f>VLOOKUP(C693,[7]完成订单!$D:$D,1,0)</f>
        <v>10880038598</v>
      </c>
      <c r="C693" s="57">
        <v>10880038598</v>
      </c>
      <c r="D693" s="57">
        <v>110001292573</v>
      </c>
      <c r="E693" s="57">
        <v>110001292573</v>
      </c>
      <c r="F693" s="58" t="s">
        <v>1819</v>
      </c>
      <c r="G693" s="59">
        <v>800</v>
      </c>
      <c r="H693" s="53">
        <f>VLOOKUP(E693,DIP计划!E:J,6,0)</f>
        <v>46149</v>
      </c>
      <c r="I693" s="55">
        <f t="shared" si="18"/>
        <v>46141</v>
      </c>
      <c r="J693" s="57">
        <f>VLOOKUP(D693,DIP计划!D:G,4,0)</f>
        <v>800</v>
      </c>
      <c r="K693" s="4">
        <f t="shared" si="19"/>
        <v>0</v>
      </c>
      <c r="L693" s="62"/>
      <c r="M693" s="63"/>
    </row>
    <row r="694" spans="1:13" s="45" customFormat="1" ht="13.25" customHeight="1" x14ac:dyDescent="0.3">
      <c r="A694" s="55">
        <v>46141</v>
      </c>
      <c r="B694" s="56">
        <f>VLOOKUP(C694,[7]完成订单!$D:$D,1,0)</f>
        <v>10400033234</v>
      </c>
      <c r="C694" s="57">
        <v>10400033234</v>
      </c>
      <c r="D694" s="57">
        <v>110001292573</v>
      </c>
      <c r="E694" s="57">
        <v>110001292574</v>
      </c>
      <c r="F694" s="58" t="s">
        <v>124</v>
      </c>
      <c r="G694" s="59">
        <v>800</v>
      </c>
      <c r="H694" s="53">
        <f>VLOOKUP(E694,DIP计划!E:J,6,0)</f>
        <v>46148</v>
      </c>
      <c r="I694" s="55">
        <f t="shared" si="18"/>
        <v>46141</v>
      </c>
      <c r="J694" s="57">
        <f>VLOOKUP(D694,DIP计划!D:G,4,0)</f>
        <v>800</v>
      </c>
      <c r="K694" s="4">
        <f t="shared" si="19"/>
        <v>0</v>
      </c>
      <c r="L694" s="62"/>
      <c r="M694" s="63"/>
    </row>
    <row r="695" spans="1:13" s="45" customFormat="1" ht="13.25" customHeight="1" x14ac:dyDescent="0.3">
      <c r="A695" s="55">
        <v>46141</v>
      </c>
      <c r="B695" s="56">
        <f>VLOOKUP(C695,[7]完成订单!$D:$D,1,0)</f>
        <v>10400033935</v>
      </c>
      <c r="C695" s="57">
        <v>10400033935</v>
      </c>
      <c r="D695" s="57">
        <v>110001292573</v>
      </c>
      <c r="E695" s="57">
        <v>110001292575</v>
      </c>
      <c r="F695" s="58" t="s">
        <v>1820</v>
      </c>
      <c r="G695" s="59">
        <v>800</v>
      </c>
      <c r="H695" s="53">
        <f>VLOOKUP(E695,DIP计划!E:J,6,0)</f>
        <v>46149</v>
      </c>
      <c r="I695" s="55">
        <f t="shared" si="18"/>
        <v>46141</v>
      </c>
      <c r="J695" s="57">
        <f>VLOOKUP(D695,DIP计划!D:G,4,0)</f>
        <v>800</v>
      </c>
      <c r="K695" s="4">
        <f t="shared" si="19"/>
        <v>0</v>
      </c>
      <c r="L695" s="62"/>
      <c r="M695" s="63"/>
    </row>
    <row r="696" spans="1:13" s="45" customFormat="1" ht="13.25" customHeight="1" x14ac:dyDescent="0.3">
      <c r="A696" s="55">
        <v>46141</v>
      </c>
      <c r="B696" s="56" t="e">
        <f>VLOOKUP(C696,[7]完成订单!$D:$D,1,0)</f>
        <v>#N/A</v>
      </c>
      <c r="C696" s="57">
        <v>10400033936</v>
      </c>
      <c r="D696" s="57">
        <v>110001292573</v>
      </c>
      <c r="E696" s="57">
        <v>110001292576</v>
      </c>
      <c r="F696" s="58" t="s">
        <v>1820</v>
      </c>
      <c r="G696" s="59">
        <v>800</v>
      </c>
      <c r="H696" s="53">
        <f>H695-2</f>
        <v>46147</v>
      </c>
      <c r="I696" s="55">
        <f t="shared" si="18"/>
        <v>46141</v>
      </c>
      <c r="J696" s="57">
        <f>VLOOKUP(D696,DIP计划!D:G,4,0)</f>
        <v>800</v>
      </c>
      <c r="K696" s="4">
        <f t="shared" si="19"/>
        <v>0</v>
      </c>
      <c r="L696" s="62"/>
      <c r="M696" s="63"/>
    </row>
    <row r="697" spans="1:13" s="45" customFormat="1" ht="13.25" customHeight="1" x14ac:dyDescent="0.3">
      <c r="A697" s="55">
        <v>46141</v>
      </c>
      <c r="B697" s="56">
        <f>VLOOKUP(C697,[7]完成订单!$D:$D,1,0)</f>
        <v>10880038600</v>
      </c>
      <c r="C697" s="57">
        <v>10880038600</v>
      </c>
      <c r="D697" s="57">
        <v>110001292589</v>
      </c>
      <c r="E697" s="57">
        <v>110001292589</v>
      </c>
      <c r="F697" s="58" t="s">
        <v>136</v>
      </c>
      <c r="G697" s="59">
        <v>500</v>
      </c>
      <c r="H697" s="53">
        <f>VLOOKUP(E697,DIP计划!E:J,6,0)</f>
        <v>46149</v>
      </c>
      <c r="I697" s="55">
        <f t="shared" si="18"/>
        <v>46141</v>
      </c>
      <c r="J697" s="57">
        <f>VLOOKUP(D697,DIP计划!D:G,4,0)</f>
        <v>500</v>
      </c>
      <c r="K697" s="4">
        <f t="shared" si="19"/>
        <v>0</v>
      </c>
      <c r="L697" s="62"/>
      <c r="M697" s="63"/>
    </row>
    <row r="698" spans="1:13" s="45" customFormat="1" ht="13.25" customHeight="1" x14ac:dyDescent="0.3">
      <c r="A698" s="55">
        <v>46141</v>
      </c>
      <c r="B698" s="56">
        <f>VLOOKUP(C698,[7]完成订单!$D:$D,1,0)</f>
        <v>10400033234</v>
      </c>
      <c r="C698" s="57">
        <v>10400033234</v>
      </c>
      <c r="D698" s="57">
        <v>110001292589</v>
      </c>
      <c r="E698" s="57">
        <v>110001292590</v>
      </c>
      <c r="F698" s="58" t="s">
        <v>124</v>
      </c>
      <c r="G698" s="59">
        <v>500</v>
      </c>
      <c r="H698" s="53">
        <f>VLOOKUP(E698,DIP计划!E:J,6,0)</f>
        <v>46148</v>
      </c>
      <c r="I698" s="55">
        <f t="shared" si="18"/>
        <v>46141</v>
      </c>
      <c r="J698" s="57">
        <f>VLOOKUP(D698,DIP计划!D:G,4,0)</f>
        <v>500</v>
      </c>
      <c r="K698" s="4">
        <f t="shared" si="19"/>
        <v>0</v>
      </c>
      <c r="L698" s="62"/>
      <c r="M698" s="63"/>
    </row>
    <row r="699" spans="1:13" s="45" customFormat="1" ht="13.25" customHeight="1" x14ac:dyDescent="0.3">
      <c r="A699" s="55">
        <v>46141</v>
      </c>
      <c r="B699" s="56">
        <f>VLOOKUP(C699,[7]完成订单!$D:$D,1,0)</f>
        <v>10400033939</v>
      </c>
      <c r="C699" s="57">
        <v>10400033939</v>
      </c>
      <c r="D699" s="57">
        <v>110001292589</v>
      </c>
      <c r="E699" s="57">
        <v>110001292591</v>
      </c>
      <c r="F699" s="58" t="s">
        <v>137</v>
      </c>
      <c r="G699" s="59">
        <v>500</v>
      </c>
      <c r="H699" s="53">
        <f>VLOOKUP(E699,DIP计划!E:J,6,0)</f>
        <v>46149</v>
      </c>
      <c r="I699" s="55">
        <f t="shared" si="18"/>
        <v>46141</v>
      </c>
      <c r="J699" s="57">
        <f>VLOOKUP(D699,DIP计划!D:G,4,0)</f>
        <v>500</v>
      </c>
      <c r="K699" s="4">
        <f t="shared" si="19"/>
        <v>0</v>
      </c>
      <c r="L699" s="62"/>
      <c r="M699" s="63"/>
    </row>
    <row r="700" spans="1:13" s="45" customFormat="1" ht="13.25" customHeight="1" x14ac:dyDescent="0.3">
      <c r="A700" s="55">
        <v>46141</v>
      </c>
      <c r="B700" s="56" t="e">
        <f>VLOOKUP(C700,[7]完成订单!$D:$D,1,0)</f>
        <v>#N/A</v>
      </c>
      <c r="C700" s="57">
        <v>10400033940</v>
      </c>
      <c r="D700" s="57">
        <v>110001292589</v>
      </c>
      <c r="E700" s="57">
        <v>110001292592</v>
      </c>
      <c r="F700" s="58" t="s">
        <v>137</v>
      </c>
      <c r="G700" s="59">
        <v>500</v>
      </c>
      <c r="H700" s="53">
        <f>H699-2</f>
        <v>46147</v>
      </c>
      <c r="I700" s="55">
        <f t="shared" si="18"/>
        <v>46141</v>
      </c>
      <c r="J700" s="57">
        <f>VLOOKUP(D700,DIP计划!D:G,4,0)</f>
        <v>500</v>
      </c>
      <c r="K700" s="4">
        <f t="shared" si="19"/>
        <v>0</v>
      </c>
      <c r="L700" s="62"/>
      <c r="M700" s="63"/>
    </row>
    <row r="701" spans="1:13" s="45" customFormat="1" ht="13.25" customHeight="1" x14ac:dyDescent="0.3">
      <c r="A701" s="55">
        <v>46141</v>
      </c>
      <c r="B701" s="56">
        <f>VLOOKUP(C701,[7]完成订单!$D:$D,1,0)</f>
        <v>10880038602</v>
      </c>
      <c r="C701" s="57">
        <v>10880038602</v>
      </c>
      <c r="D701" s="57">
        <v>110001292671</v>
      </c>
      <c r="E701" s="57">
        <v>110001292671</v>
      </c>
      <c r="F701" s="58" t="s">
        <v>132</v>
      </c>
      <c r="G701" s="59">
        <v>2000</v>
      </c>
      <c r="H701" s="53" t="e">
        <f>VLOOKUP(E701,DIP计划!E:J,6,0)</f>
        <v>#N/A</v>
      </c>
      <c r="I701" s="55">
        <f t="shared" si="18"/>
        <v>46141</v>
      </c>
      <c r="J701" s="57">
        <f>VLOOKUP(D701,DIP计划!D:G,4,0)</f>
        <v>2000</v>
      </c>
      <c r="K701" s="4">
        <f t="shared" si="19"/>
        <v>0</v>
      </c>
      <c r="L701" s="62"/>
      <c r="M701" s="63"/>
    </row>
    <row r="702" spans="1:13" s="45" customFormat="1" ht="13.25" customHeight="1" x14ac:dyDescent="0.3">
      <c r="A702" s="55">
        <v>46141</v>
      </c>
      <c r="B702" s="56">
        <f>VLOOKUP(C702,[7]完成订单!$D:$D,1,0)</f>
        <v>10400033234</v>
      </c>
      <c r="C702" s="57">
        <v>10400033234</v>
      </c>
      <c r="D702" s="57">
        <v>110001292671</v>
      </c>
      <c r="E702" s="57">
        <v>110001292672</v>
      </c>
      <c r="F702" s="58" t="s">
        <v>124</v>
      </c>
      <c r="G702" s="59">
        <v>2000</v>
      </c>
      <c r="H702" s="53">
        <f>VLOOKUP(E702,DIP计划!E:J,6,0)</f>
        <v>46146</v>
      </c>
      <c r="I702" s="55">
        <f t="shared" si="18"/>
        <v>46141</v>
      </c>
      <c r="J702" s="57">
        <f>VLOOKUP(D702,DIP计划!D:G,4,0)</f>
        <v>2000</v>
      </c>
      <c r="K702" s="4">
        <f t="shared" si="19"/>
        <v>0</v>
      </c>
      <c r="L702" s="62"/>
      <c r="M702" s="63"/>
    </row>
    <row r="703" spans="1:13" s="45" customFormat="1" ht="13.25" customHeight="1" x14ac:dyDescent="0.3">
      <c r="A703" s="55">
        <v>46141</v>
      </c>
      <c r="B703" s="56">
        <f>VLOOKUP(C703,[7]完成订单!$D:$D,1,0)</f>
        <v>10400033943</v>
      </c>
      <c r="C703" s="57">
        <v>10400033943</v>
      </c>
      <c r="D703" s="57">
        <v>110001292671</v>
      </c>
      <c r="E703" s="57">
        <v>110001292673</v>
      </c>
      <c r="F703" s="58" t="s">
        <v>133</v>
      </c>
      <c r="G703" s="59">
        <v>2000</v>
      </c>
      <c r="H703" s="53" t="e">
        <f>VLOOKUP(E703,DIP计划!E:J,6,0)</f>
        <v>#N/A</v>
      </c>
      <c r="I703" s="55">
        <f t="shared" si="18"/>
        <v>46141</v>
      </c>
      <c r="J703" s="57">
        <f>VLOOKUP(D703,DIP计划!D:G,4,0)</f>
        <v>2000</v>
      </c>
      <c r="K703" s="4">
        <f t="shared" si="19"/>
        <v>0</v>
      </c>
      <c r="L703" s="62"/>
      <c r="M703" s="63"/>
    </row>
    <row r="704" spans="1:13" s="45" customFormat="1" ht="13.25" customHeight="1" x14ac:dyDescent="0.3">
      <c r="A704" s="55">
        <v>46141</v>
      </c>
      <c r="B704" s="56" t="e">
        <f>VLOOKUP(C704,[7]完成订单!$D:$D,1,0)</f>
        <v>#N/A</v>
      </c>
      <c r="C704" s="57">
        <v>10400033944</v>
      </c>
      <c r="D704" s="57">
        <v>110001292671</v>
      </c>
      <c r="E704" s="57">
        <v>110001292674</v>
      </c>
      <c r="F704" s="58" t="s">
        <v>133</v>
      </c>
      <c r="G704" s="59">
        <v>2000</v>
      </c>
      <c r="H704" s="53" t="e">
        <f>H703-2</f>
        <v>#N/A</v>
      </c>
      <c r="I704" s="55">
        <f t="shared" si="18"/>
        <v>46141</v>
      </c>
      <c r="J704" s="57">
        <f>VLOOKUP(D704,DIP计划!D:G,4,0)</f>
        <v>2000</v>
      </c>
      <c r="K704" s="4">
        <f t="shared" si="19"/>
        <v>0</v>
      </c>
      <c r="L704" s="62"/>
      <c r="M704" s="63"/>
    </row>
    <row r="705" spans="1:13" s="45" customFormat="1" ht="13.25" customHeight="1" x14ac:dyDescent="0.3">
      <c r="A705" s="55">
        <v>46141</v>
      </c>
      <c r="B705" s="56">
        <f>VLOOKUP(C705,[7]完成订单!$D:$D,1,0)</f>
        <v>10880017524</v>
      </c>
      <c r="C705" s="57">
        <v>10880017524</v>
      </c>
      <c r="D705" s="57">
        <v>110001293431</v>
      </c>
      <c r="E705" s="57">
        <v>110001293431</v>
      </c>
      <c r="F705" s="58" t="s">
        <v>182</v>
      </c>
      <c r="G705" s="59">
        <v>2000</v>
      </c>
      <c r="H705" s="53" t="e">
        <f>VLOOKUP(E705,DIP计划!E:J,6,0)</f>
        <v>#N/A</v>
      </c>
      <c r="I705" s="55">
        <f t="shared" si="18"/>
        <v>46141</v>
      </c>
      <c r="J705" s="57" t="e">
        <f>VLOOKUP(D705,DIP计划!D:G,4,0)</f>
        <v>#N/A</v>
      </c>
      <c r="K705" s="4" t="e">
        <f t="shared" si="19"/>
        <v>#N/A</v>
      </c>
      <c r="L705" s="62"/>
      <c r="M705" s="63"/>
    </row>
    <row r="706" spans="1:13" s="45" customFormat="1" ht="13.25" customHeight="1" x14ac:dyDescent="0.3">
      <c r="A706" s="55">
        <v>46141</v>
      </c>
      <c r="B706" s="56" t="e">
        <f>VLOOKUP(C706,[7]完成订单!$D:$D,1,0)</f>
        <v>#N/A</v>
      </c>
      <c r="C706" s="57">
        <v>10400017935</v>
      </c>
      <c r="D706" s="57">
        <v>110001293431</v>
      </c>
      <c r="E706" s="57">
        <v>110001293432</v>
      </c>
      <c r="F706" s="58" t="s">
        <v>182</v>
      </c>
      <c r="G706" s="59">
        <v>2000</v>
      </c>
      <c r="H706" s="53" t="e">
        <f>H705-2</f>
        <v>#N/A</v>
      </c>
      <c r="I706" s="55">
        <f t="shared" ref="I706:I768" si="20">A706</f>
        <v>46141</v>
      </c>
      <c r="J706" s="57" t="e">
        <f>VLOOKUP(D706,DIP计划!D:G,4,0)</f>
        <v>#N/A</v>
      </c>
      <c r="K706" s="4" t="e">
        <f t="shared" ref="K706:K768" si="21">+J706-G706</f>
        <v>#N/A</v>
      </c>
      <c r="L706" s="62"/>
      <c r="M706" s="63"/>
    </row>
    <row r="707" spans="1:13" s="45" customFormat="1" ht="13.25" customHeight="1" x14ac:dyDescent="0.3">
      <c r="A707" s="55">
        <v>46141</v>
      </c>
      <c r="B707" s="56">
        <f>VLOOKUP(C707,[7]完成订单!$D:$D,1,0)</f>
        <v>10880036349</v>
      </c>
      <c r="C707" s="57">
        <v>10880036349</v>
      </c>
      <c r="D707" s="57">
        <v>110001293827</v>
      </c>
      <c r="E707" s="57">
        <v>110001293827</v>
      </c>
      <c r="F707" s="58" t="s">
        <v>177</v>
      </c>
      <c r="G707" s="59">
        <v>200</v>
      </c>
      <c r="H707" s="53" t="e">
        <f>VLOOKUP(E707,DIP计划!E:J,6,0)</f>
        <v>#N/A</v>
      </c>
      <c r="I707" s="55">
        <f t="shared" si="20"/>
        <v>46141</v>
      </c>
      <c r="J707" s="57" t="e">
        <f>VLOOKUP(D707,DIP计划!D:G,4,0)</f>
        <v>#N/A</v>
      </c>
      <c r="K707" s="4" t="e">
        <f t="shared" si="21"/>
        <v>#N/A</v>
      </c>
      <c r="L707" s="62"/>
      <c r="M707" s="63"/>
    </row>
    <row r="708" spans="1:13" s="45" customFormat="1" ht="13.25" customHeight="1" x14ac:dyDescent="0.3">
      <c r="A708" s="55">
        <v>46141</v>
      </c>
      <c r="B708" s="56" t="e">
        <f>VLOOKUP(C708,[7]完成订单!$D:$D,1,0)</f>
        <v>#N/A</v>
      </c>
      <c r="C708" s="57">
        <v>10400030940</v>
      </c>
      <c r="D708" s="57">
        <v>110001293827</v>
      </c>
      <c r="E708" s="57">
        <v>110001293828</v>
      </c>
      <c r="F708" s="58" t="s">
        <v>298</v>
      </c>
      <c r="G708" s="59">
        <v>200</v>
      </c>
      <c r="H708" s="53" t="e">
        <f>H707-2</f>
        <v>#N/A</v>
      </c>
      <c r="I708" s="55">
        <f t="shared" si="20"/>
        <v>46141</v>
      </c>
      <c r="J708" s="57" t="e">
        <f>VLOOKUP(D708,DIP计划!D:G,4,0)</f>
        <v>#N/A</v>
      </c>
      <c r="K708" s="4" t="e">
        <f t="shared" si="21"/>
        <v>#N/A</v>
      </c>
      <c r="L708" s="62"/>
      <c r="M708" s="63"/>
    </row>
    <row r="709" spans="1:13" s="45" customFormat="1" ht="13.25" customHeight="1" x14ac:dyDescent="0.3">
      <c r="A709" s="55">
        <v>46141</v>
      </c>
      <c r="B709" s="56">
        <f>VLOOKUP(C709,[7]完成订单!$D:$D,1,0)</f>
        <v>10880037662</v>
      </c>
      <c r="C709" s="57">
        <v>10880037662</v>
      </c>
      <c r="D709" s="57">
        <v>110001294940</v>
      </c>
      <c r="E709" s="57">
        <v>110001294940</v>
      </c>
      <c r="F709" s="58" t="s">
        <v>140</v>
      </c>
      <c r="G709" s="59">
        <v>1800</v>
      </c>
      <c r="H709" s="53" t="e">
        <f>VLOOKUP(E709,DIP计划!E:J,6,0)</f>
        <v>#N/A</v>
      </c>
      <c r="I709" s="55">
        <f t="shared" si="20"/>
        <v>46141</v>
      </c>
      <c r="J709" s="57">
        <f>VLOOKUP(D709,DIP计划!D:G,4,0)</f>
        <v>1800</v>
      </c>
      <c r="K709" s="4">
        <f t="shared" si="21"/>
        <v>0</v>
      </c>
      <c r="L709" s="62"/>
      <c r="M709" s="63"/>
    </row>
    <row r="710" spans="1:13" s="45" customFormat="1" ht="13.25" customHeight="1" x14ac:dyDescent="0.3">
      <c r="A710" s="55">
        <v>46141</v>
      </c>
      <c r="B710" s="56">
        <f>VLOOKUP(C710,[7]完成订单!$D:$D,1,0)</f>
        <v>10400032704</v>
      </c>
      <c r="C710" s="57">
        <v>10400032704</v>
      </c>
      <c r="D710" s="57">
        <v>110001294940</v>
      </c>
      <c r="E710" s="57">
        <v>110001294961</v>
      </c>
      <c r="F710" s="58" t="s">
        <v>141</v>
      </c>
      <c r="G710" s="59">
        <v>1800</v>
      </c>
      <c r="H710" s="53" t="e">
        <f>VLOOKUP(E710,DIP计划!E:J,6,0)</f>
        <v>#N/A</v>
      </c>
      <c r="I710" s="55">
        <f t="shared" si="20"/>
        <v>46141</v>
      </c>
      <c r="J710" s="57">
        <f>VLOOKUP(D710,DIP计划!D:G,4,0)</f>
        <v>1800</v>
      </c>
      <c r="K710" s="4">
        <f t="shared" si="21"/>
        <v>0</v>
      </c>
      <c r="L710" s="62"/>
      <c r="M710" s="63"/>
    </row>
    <row r="711" spans="1:13" s="45" customFormat="1" ht="13.25" customHeight="1" x14ac:dyDescent="0.3">
      <c r="A711" s="55">
        <v>46141</v>
      </c>
      <c r="B711" s="56">
        <f>VLOOKUP(C711,[7]完成订单!$D:$D,1,0)</f>
        <v>10400033234</v>
      </c>
      <c r="C711" s="57">
        <v>10400033234</v>
      </c>
      <c r="D711" s="57">
        <v>110001294940</v>
      </c>
      <c r="E711" s="57">
        <v>110001294962</v>
      </c>
      <c r="F711" s="58" t="s">
        <v>124</v>
      </c>
      <c r="G711" s="59">
        <v>1800</v>
      </c>
      <c r="H711" s="53">
        <f>VLOOKUP(E711,DIP计划!E:J,6,0)</f>
        <v>46147</v>
      </c>
      <c r="I711" s="55">
        <f t="shared" si="20"/>
        <v>46141</v>
      </c>
      <c r="J711" s="57">
        <f>VLOOKUP(D711,DIP计划!D:G,4,0)</f>
        <v>1800</v>
      </c>
      <c r="K711" s="4">
        <f t="shared" si="21"/>
        <v>0</v>
      </c>
      <c r="L711" s="62"/>
      <c r="M711" s="63"/>
    </row>
    <row r="712" spans="1:13" s="45" customFormat="1" ht="13.25" customHeight="1" x14ac:dyDescent="0.3">
      <c r="A712" s="55">
        <v>46141</v>
      </c>
      <c r="B712" s="56" t="e">
        <f>VLOOKUP(C712,[7]完成订单!$D:$D,1,0)</f>
        <v>#N/A</v>
      </c>
      <c r="C712" s="57">
        <v>10400032705</v>
      </c>
      <c r="D712" s="57">
        <v>110001294940</v>
      </c>
      <c r="E712" s="57">
        <v>110001294963</v>
      </c>
      <c r="F712" s="58" t="s">
        <v>141</v>
      </c>
      <c r="G712" s="59">
        <v>1800</v>
      </c>
      <c r="H712" s="53">
        <f>H711-2</f>
        <v>46145</v>
      </c>
      <c r="I712" s="55">
        <f t="shared" si="20"/>
        <v>46141</v>
      </c>
      <c r="J712" s="57">
        <f>VLOOKUP(D712,DIP计划!D:G,4,0)</f>
        <v>1800</v>
      </c>
      <c r="K712" s="4">
        <f t="shared" si="21"/>
        <v>0</v>
      </c>
      <c r="L712" s="62"/>
      <c r="M712" s="63"/>
    </row>
    <row r="713" spans="1:13" s="45" customFormat="1" ht="13.25" customHeight="1" x14ac:dyDescent="0.3">
      <c r="A713" s="55">
        <v>46141</v>
      </c>
      <c r="B713" s="56">
        <f>VLOOKUP(C713,[7]完成订单!$D:$D,1,0)</f>
        <v>10880038445</v>
      </c>
      <c r="C713" s="57">
        <v>10880038445</v>
      </c>
      <c r="D713" s="57">
        <v>110001294980</v>
      </c>
      <c r="E713" s="57">
        <v>110001294980</v>
      </c>
      <c r="F713" s="58" t="s">
        <v>149</v>
      </c>
      <c r="G713" s="59">
        <v>1000</v>
      </c>
      <c r="H713" s="53">
        <f>VLOOKUP(E713,DIP计划!E:J,6,0)</f>
        <v>46147</v>
      </c>
      <c r="I713" s="55">
        <f t="shared" si="20"/>
        <v>46141</v>
      </c>
      <c r="J713" s="57">
        <f>VLOOKUP(D713,DIP计划!D:G,4,0)</f>
        <v>1000</v>
      </c>
      <c r="K713" s="4">
        <f t="shared" si="21"/>
        <v>0</v>
      </c>
      <c r="L713" s="62"/>
      <c r="M713" s="63"/>
    </row>
    <row r="714" spans="1:13" s="45" customFormat="1" ht="13.25" customHeight="1" x14ac:dyDescent="0.3">
      <c r="A714" s="55">
        <v>46141</v>
      </c>
      <c r="B714" s="56">
        <f>VLOOKUP(C714,[7]完成订单!$D:$D,1,0)</f>
        <v>10400033234</v>
      </c>
      <c r="C714" s="57">
        <v>10400033234</v>
      </c>
      <c r="D714" s="57">
        <v>110001294980</v>
      </c>
      <c r="E714" s="57">
        <v>110001294981</v>
      </c>
      <c r="F714" s="58" t="s">
        <v>124</v>
      </c>
      <c r="G714" s="59">
        <v>1000</v>
      </c>
      <c r="H714" s="53" t="e">
        <f>VLOOKUP(E714,DIP计划!E:J,6,0)</f>
        <v>#N/A</v>
      </c>
      <c r="I714" s="55">
        <f t="shared" si="20"/>
        <v>46141</v>
      </c>
      <c r="J714" s="57">
        <f>VLOOKUP(D714,DIP计划!D:G,4,0)</f>
        <v>1000</v>
      </c>
      <c r="K714" s="4">
        <f t="shared" si="21"/>
        <v>0</v>
      </c>
      <c r="L714" s="62"/>
      <c r="M714" s="63"/>
    </row>
    <row r="715" spans="1:13" s="45" customFormat="1" ht="13.25" customHeight="1" x14ac:dyDescent="0.3">
      <c r="A715" s="55">
        <v>46141</v>
      </c>
      <c r="B715" s="56">
        <f>VLOOKUP(C715,[7]完成订单!$D:$D,1,0)</f>
        <v>10400033740</v>
      </c>
      <c r="C715" s="57">
        <v>10400033740</v>
      </c>
      <c r="D715" s="57">
        <v>110001294980</v>
      </c>
      <c r="E715" s="57">
        <v>110001294982</v>
      </c>
      <c r="F715" s="58" t="s">
        <v>348</v>
      </c>
      <c r="G715" s="59">
        <v>1000</v>
      </c>
      <c r="H715" s="53" t="e">
        <f>VLOOKUP(E715,DIP计划!E:J,6,0)</f>
        <v>#N/A</v>
      </c>
      <c r="I715" s="55">
        <f t="shared" si="20"/>
        <v>46141</v>
      </c>
      <c r="J715" s="57">
        <f>VLOOKUP(D715,DIP计划!D:G,4,0)</f>
        <v>1000</v>
      </c>
      <c r="K715" s="4">
        <f t="shared" si="21"/>
        <v>0</v>
      </c>
      <c r="L715" s="62"/>
      <c r="M715" s="63"/>
    </row>
    <row r="716" spans="1:13" s="45" customFormat="1" ht="13.25" customHeight="1" x14ac:dyDescent="0.3">
      <c r="A716" s="55">
        <v>46141</v>
      </c>
      <c r="B716" s="56" t="e">
        <f>VLOOKUP(C716,[7]完成订单!$D:$D,1,0)</f>
        <v>#N/A</v>
      </c>
      <c r="C716" s="57">
        <v>10400033739</v>
      </c>
      <c r="D716" s="57">
        <v>110001294980</v>
      </c>
      <c r="E716" s="57">
        <v>110001294983</v>
      </c>
      <c r="F716" s="58" t="s">
        <v>348</v>
      </c>
      <c r="G716" s="59">
        <v>1000</v>
      </c>
      <c r="H716" s="53" t="e">
        <f>H715-2</f>
        <v>#N/A</v>
      </c>
      <c r="I716" s="55">
        <f t="shared" si="20"/>
        <v>46141</v>
      </c>
      <c r="J716" s="57">
        <f>VLOOKUP(D716,DIP计划!D:G,4,0)</f>
        <v>1000</v>
      </c>
      <c r="K716" s="4">
        <f t="shared" si="21"/>
        <v>0</v>
      </c>
      <c r="L716" s="62"/>
      <c r="M716" s="63"/>
    </row>
    <row r="717" spans="1:13" s="45" customFormat="1" ht="13.25" customHeight="1" x14ac:dyDescent="0.3">
      <c r="A717" s="55">
        <v>46141</v>
      </c>
      <c r="B717" s="56">
        <f>VLOOKUP(C717,[7]完成订单!$D:$D,1,0)</f>
        <v>10880020031</v>
      </c>
      <c r="C717" s="57">
        <v>10880020031</v>
      </c>
      <c r="D717" s="57">
        <v>110001296238</v>
      </c>
      <c r="E717" s="57">
        <v>110001296238</v>
      </c>
      <c r="F717" s="58" t="s">
        <v>180</v>
      </c>
      <c r="G717" s="59">
        <v>400</v>
      </c>
      <c r="H717" s="53" t="e">
        <f>VLOOKUP(E717,DIP计划!E:J,6,0)</f>
        <v>#N/A</v>
      </c>
      <c r="I717" s="55">
        <f t="shared" si="20"/>
        <v>46141</v>
      </c>
      <c r="J717" s="57" t="e">
        <f>VLOOKUP(D717,DIP计划!D:G,4,0)</f>
        <v>#N/A</v>
      </c>
      <c r="K717" s="4" t="e">
        <f t="shared" si="21"/>
        <v>#N/A</v>
      </c>
      <c r="L717" s="62"/>
      <c r="M717" s="63"/>
    </row>
    <row r="718" spans="1:13" s="45" customFormat="1" ht="13.25" customHeight="1" x14ac:dyDescent="0.3">
      <c r="A718" s="55">
        <v>46141</v>
      </c>
      <c r="B718" s="56" t="e">
        <f>VLOOKUP(C718,[7]完成订单!$D:$D,1,0)</f>
        <v>#N/A</v>
      </c>
      <c r="C718" s="57">
        <v>10400019488</v>
      </c>
      <c r="D718" s="57">
        <v>110001296238</v>
      </c>
      <c r="E718" s="57">
        <v>110001296239</v>
      </c>
      <c r="F718" s="58" t="s">
        <v>180</v>
      </c>
      <c r="G718" s="59">
        <v>400</v>
      </c>
      <c r="H718" s="53" t="e">
        <f>H717-2</f>
        <v>#N/A</v>
      </c>
      <c r="I718" s="55">
        <f t="shared" si="20"/>
        <v>46141</v>
      </c>
      <c r="J718" s="57" t="e">
        <f>VLOOKUP(D718,DIP计划!D:G,4,0)</f>
        <v>#N/A</v>
      </c>
      <c r="K718" s="4" t="e">
        <f t="shared" si="21"/>
        <v>#N/A</v>
      </c>
      <c r="L718" s="62"/>
      <c r="M718" s="63"/>
    </row>
    <row r="719" spans="1:13" s="45" customFormat="1" ht="13.25" customHeight="1" x14ac:dyDescent="0.3">
      <c r="A719" s="55">
        <v>46141</v>
      </c>
      <c r="B719" s="56">
        <f>VLOOKUP(C719,[7]完成订单!$D:$D,1,0)</f>
        <v>10880035981</v>
      </c>
      <c r="C719" s="57">
        <v>10880035981</v>
      </c>
      <c r="D719" s="57">
        <v>110001296276</v>
      </c>
      <c r="E719" s="57">
        <v>110001296276</v>
      </c>
      <c r="F719" s="58" t="s">
        <v>77</v>
      </c>
      <c r="G719" s="59">
        <v>1000</v>
      </c>
      <c r="H719" s="53" t="e">
        <f>VLOOKUP(E719,DIP计划!E:J,6,0)</f>
        <v>#N/A</v>
      </c>
      <c r="I719" s="55">
        <f t="shared" si="20"/>
        <v>46141</v>
      </c>
      <c r="J719" s="57" t="e">
        <f>VLOOKUP(D719,DIP计划!D:G,4,0)</f>
        <v>#N/A</v>
      </c>
      <c r="K719" s="4" t="e">
        <f t="shared" si="21"/>
        <v>#N/A</v>
      </c>
      <c r="L719" s="62"/>
      <c r="M719" s="63"/>
    </row>
    <row r="720" spans="1:13" s="45" customFormat="1" ht="13.25" customHeight="1" x14ac:dyDescent="0.3">
      <c r="A720" s="55">
        <v>46141</v>
      </c>
      <c r="B720" s="56" t="e">
        <f>VLOOKUP(C720,[7]完成订单!$D:$D,1,0)</f>
        <v>#N/A</v>
      </c>
      <c r="C720" s="57">
        <v>10400030448</v>
      </c>
      <c r="D720" s="57">
        <v>110001296276</v>
      </c>
      <c r="E720" s="57">
        <v>110001296277</v>
      </c>
      <c r="F720" s="58" t="s">
        <v>1758</v>
      </c>
      <c r="G720" s="59">
        <v>1000</v>
      </c>
      <c r="H720" s="53" t="e">
        <f>H719-2</f>
        <v>#N/A</v>
      </c>
      <c r="I720" s="55">
        <f t="shared" si="20"/>
        <v>46141</v>
      </c>
      <c r="J720" s="57" t="e">
        <f>VLOOKUP(D720,DIP计划!D:G,4,0)</f>
        <v>#N/A</v>
      </c>
      <c r="K720" s="4" t="e">
        <f t="shared" si="21"/>
        <v>#N/A</v>
      </c>
      <c r="L720" s="62"/>
      <c r="M720" s="63"/>
    </row>
    <row r="721" spans="1:13" s="45" customFormat="1" ht="13.25" customHeight="1" x14ac:dyDescent="0.3">
      <c r="A721" s="55">
        <v>46141</v>
      </c>
      <c r="B721" s="56">
        <f>VLOOKUP(C721,[7]完成订单!$D:$D,1,0)</f>
        <v>10880037297</v>
      </c>
      <c r="C721" s="57">
        <v>10880037297</v>
      </c>
      <c r="D721" s="57">
        <v>110001296308</v>
      </c>
      <c r="E721" s="57">
        <v>110001296308</v>
      </c>
      <c r="F721" s="58" t="s">
        <v>1806</v>
      </c>
      <c r="G721" s="59">
        <v>400</v>
      </c>
      <c r="H721" s="53">
        <f>VLOOKUP(E721,DIP计划!E:J,6,0)</f>
        <v>46147</v>
      </c>
      <c r="I721" s="55">
        <f t="shared" si="20"/>
        <v>46141</v>
      </c>
      <c r="J721" s="57">
        <f>VLOOKUP(D721,DIP计划!D:G,4,0)</f>
        <v>400</v>
      </c>
      <c r="K721" s="4">
        <f t="shared" si="21"/>
        <v>0</v>
      </c>
      <c r="L721" s="62"/>
      <c r="M721" s="63"/>
    </row>
    <row r="722" spans="1:13" s="45" customFormat="1" ht="13.25" customHeight="1" x14ac:dyDescent="0.3">
      <c r="A722" s="55">
        <v>46141</v>
      </c>
      <c r="B722" s="56">
        <f>VLOOKUP(C722,[7]完成订单!$D:$D,1,0)</f>
        <v>10400032222</v>
      </c>
      <c r="C722" s="57">
        <v>10400032222</v>
      </c>
      <c r="D722" s="57">
        <v>110001296308</v>
      </c>
      <c r="E722" s="57">
        <v>110001296309</v>
      </c>
      <c r="F722" s="58" t="s">
        <v>1807</v>
      </c>
      <c r="G722" s="59">
        <v>400</v>
      </c>
      <c r="H722" s="53">
        <f>VLOOKUP(E722,DIP计划!E:J,6,0)</f>
        <v>46147</v>
      </c>
      <c r="I722" s="55">
        <f t="shared" si="20"/>
        <v>46141</v>
      </c>
      <c r="J722" s="57">
        <f>VLOOKUP(D722,DIP计划!D:G,4,0)</f>
        <v>400</v>
      </c>
      <c r="K722" s="4">
        <f t="shared" si="21"/>
        <v>0</v>
      </c>
      <c r="L722" s="62"/>
      <c r="M722" s="63"/>
    </row>
    <row r="723" spans="1:13" s="45" customFormat="1" ht="13.25" customHeight="1" x14ac:dyDescent="0.3">
      <c r="A723" s="55">
        <v>46141</v>
      </c>
      <c r="B723" s="56">
        <f>VLOOKUP(C723,[7]完成订单!$D:$D,1,0)</f>
        <v>10400033234</v>
      </c>
      <c r="C723" s="57">
        <v>10400033234</v>
      </c>
      <c r="D723" s="57">
        <v>110001296308</v>
      </c>
      <c r="E723" s="57">
        <v>110001296310</v>
      </c>
      <c r="F723" s="58" t="s">
        <v>124</v>
      </c>
      <c r="G723" s="59">
        <v>400</v>
      </c>
      <c r="H723" s="53" t="e">
        <f>VLOOKUP(E723,DIP计划!E:J,6,0)</f>
        <v>#N/A</v>
      </c>
      <c r="I723" s="55">
        <f t="shared" si="20"/>
        <v>46141</v>
      </c>
      <c r="J723" s="57">
        <f>VLOOKUP(D723,DIP计划!D:G,4,0)</f>
        <v>400</v>
      </c>
      <c r="K723" s="4">
        <f t="shared" si="21"/>
        <v>0</v>
      </c>
      <c r="L723" s="62"/>
      <c r="M723" s="63"/>
    </row>
    <row r="724" spans="1:13" s="45" customFormat="1" ht="13.25" customHeight="1" x14ac:dyDescent="0.3">
      <c r="A724" s="55">
        <v>46141</v>
      </c>
      <c r="B724" s="56" t="e">
        <f>VLOOKUP(C724,[7]完成订单!$D:$D,1,0)</f>
        <v>#N/A</v>
      </c>
      <c r="C724" s="57">
        <v>10400032223</v>
      </c>
      <c r="D724" s="57">
        <v>110001296308</v>
      </c>
      <c r="E724" s="57">
        <v>110001296311</v>
      </c>
      <c r="F724" s="58" t="s">
        <v>1807</v>
      </c>
      <c r="G724" s="59">
        <v>400</v>
      </c>
      <c r="H724" s="53" t="e">
        <f>H723-2</f>
        <v>#N/A</v>
      </c>
      <c r="I724" s="55">
        <f t="shared" si="20"/>
        <v>46141</v>
      </c>
      <c r="J724" s="57">
        <f>VLOOKUP(D724,DIP计划!D:G,4,0)</f>
        <v>400</v>
      </c>
      <c r="K724" s="4">
        <f t="shared" si="21"/>
        <v>0</v>
      </c>
      <c r="L724" s="62"/>
      <c r="M724" s="63"/>
    </row>
    <row r="725" spans="1:13" s="45" customFormat="1" ht="13.25" customHeight="1" x14ac:dyDescent="0.3">
      <c r="A725" s="55">
        <v>46141</v>
      </c>
      <c r="B725" s="56">
        <f>VLOOKUP(C725,[7]完成订单!$D:$D,1,0)</f>
        <v>10880029957</v>
      </c>
      <c r="C725" s="57">
        <v>10880029957</v>
      </c>
      <c r="D725" s="57">
        <v>110001299831</v>
      </c>
      <c r="E725" s="57">
        <v>110001299831</v>
      </c>
      <c r="F725" s="58" t="s">
        <v>89</v>
      </c>
      <c r="G725" s="59">
        <v>2000</v>
      </c>
      <c r="H725" s="53">
        <f>VLOOKUP(E725,DIP计划!E:J,6,0)</f>
        <v>46150</v>
      </c>
      <c r="I725" s="55">
        <f t="shared" si="20"/>
        <v>46141</v>
      </c>
      <c r="J725" s="57">
        <f>VLOOKUP(D725,DIP计划!D:G,4,0)</f>
        <v>2000</v>
      </c>
      <c r="K725" s="4">
        <f t="shared" si="21"/>
        <v>0</v>
      </c>
      <c r="L725" s="62"/>
      <c r="M725" s="63"/>
    </row>
    <row r="726" spans="1:13" s="45" customFormat="1" ht="13.25" customHeight="1" x14ac:dyDescent="0.3">
      <c r="A726" s="55">
        <v>46141</v>
      </c>
      <c r="B726" s="56" t="e">
        <f>VLOOKUP(C726,[7]完成订单!$D:$D,1,0)</f>
        <v>#N/A</v>
      </c>
      <c r="C726" s="57">
        <v>10400023598</v>
      </c>
      <c r="D726" s="57">
        <v>110001299831</v>
      </c>
      <c r="E726" s="57">
        <v>110001299832</v>
      </c>
      <c r="F726" s="58" t="s">
        <v>89</v>
      </c>
      <c r="G726" s="59">
        <v>2000</v>
      </c>
      <c r="H726" s="53">
        <f>H725-2</f>
        <v>46148</v>
      </c>
      <c r="I726" s="55">
        <f t="shared" si="20"/>
        <v>46141</v>
      </c>
      <c r="J726" s="57">
        <f>VLOOKUP(D726,DIP计划!D:G,4,0)</f>
        <v>2000</v>
      </c>
      <c r="K726" s="4">
        <f t="shared" si="21"/>
        <v>0</v>
      </c>
      <c r="L726" s="62"/>
      <c r="M726" s="63"/>
    </row>
    <row r="727" spans="1:13" s="45" customFormat="1" ht="13.25" customHeight="1" x14ac:dyDescent="0.3">
      <c r="A727" s="55">
        <v>46141</v>
      </c>
      <c r="B727" s="56">
        <f>VLOOKUP(C727,[7]完成订单!$D:$D,1,0)</f>
        <v>10880030608</v>
      </c>
      <c r="C727" s="57">
        <v>10880030608</v>
      </c>
      <c r="D727" s="57">
        <v>110001299839</v>
      </c>
      <c r="E727" s="57">
        <v>110001299839</v>
      </c>
      <c r="F727" s="58" t="s">
        <v>84</v>
      </c>
      <c r="G727" s="59">
        <v>200</v>
      </c>
      <c r="H727" s="53">
        <f>VLOOKUP(E727,DIP计划!E:J,6,0)</f>
        <v>46148</v>
      </c>
      <c r="I727" s="55">
        <f t="shared" si="20"/>
        <v>46141</v>
      </c>
      <c r="J727" s="57">
        <f>VLOOKUP(D727,DIP计划!D:G,4,0)</f>
        <v>200</v>
      </c>
      <c r="K727" s="4">
        <f t="shared" si="21"/>
        <v>0</v>
      </c>
      <c r="L727" s="62"/>
      <c r="M727" s="63"/>
    </row>
    <row r="728" spans="1:13" s="45" customFormat="1" ht="13.25" customHeight="1" x14ac:dyDescent="0.3">
      <c r="A728" s="55">
        <v>46141</v>
      </c>
      <c r="B728" s="56" t="e">
        <f>VLOOKUP(C728,[7]完成订单!$D:$D,1,0)</f>
        <v>#N/A</v>
      </c>
      <c r="C728" s="57">
        <v>10400024377</v>
      </c>
      <c r="D728" s="57">
        <v>110001299839</v>
      </c>
      <c r="E728" s="57">
        <v>110001299840</v>
      </c>
      <c r="F728" s="58" t="s">
        <v>1825</v>
      </c>
      <c r="G728" s="59">
        <v>200</v>
      </c>
      <c r="H728" s="53">
        <f>H727-2</f>
        <v>46146</v>
      </c>
      <c r="I728" s="55">
        <f t="shared" si="20"/>
        <v>46141</v>
      </c>
      <c r="J728" s="57">
        <f>VLOOKUP(D728,DIP计划!D:G,4,0)</f>
        <v>200</v>
      </c>
      <c r="K728" s="4">
        <f t="shared" si="21"/>
        <v>0</v>
      </c>
      <c r="L728" s="62"/>
      <c r="M728" s="63"/>
    </row>
    <row r="729" spans="1:13" s="45" customFormat="1" ht="13.25" customHeight="1" x14ac:dyDescent="0.3">
      <c r="A729" s="55">
        <v>46141</v>
      </c>
      <c r="B729" s="56">
        <f>VLOOKUP(C729,[7]完成订单!$D:$D,1,0)</f>
        <v>10880035167</v>
      </c>
      <c r="C729" s="57">
        <v>10880035167</v>
      </c>
      <c r="D729" s="57">
        <v>110001299867</v>
      </c>
      <c r="E729" s="57">
        <v>110001299867</v>
      </c>
      <c r="F729" s="58" t="s">
        <v>218</v>
      </c>
      <c r="G729" s="59">
        <v>9000</v>
      </c>
      <c r="H729" s="53" t="e">
        <f>VLOOKUP(E729,DIP计划!E:J,6,0)</f>
        <v>#N/A</v>
      </c>
      <c r="I729" s="55">
        <f t="shared" si="20"/>
        <v>46141</v>
      </c>
      <c r="J729" s="57" t="e">
        <f>VLOOKUP(D729,DIP计划!D:G,4,0)</f>
        <v>#N/A</v>
      </c>
      <c r="K729" s="4" t="e">
        <f t="shared" si="21"/>
        <v>#N/A</v>
      </c>
      <c r="L729" s="62"/>
      <c r="M729" s="63"/>
    </row>
    <row r="730" spans="1:13" s="45" customFormat="1" ht="13.25" customHeight="1" x14ac:dyDescent="0.3">
      <c r="A730" s="55">
        <v>46141</v>
      </c>
      <c r="B730" s="56" t="e">
        <f>VLOOKUP(C730,[7]完成订单!$D:$D,1,0)</f>
        <v>#N/A</v>
      </c>
      <c r="C730" s="57">
        <v>10400029304</v>
      </c>
      <c r="D730" s="57">
        <v>110001299867</v>
      </c>
      <c r="E730" s="57">
        <v>110001299868</v>
      </c>
      <c r="F730" s="58" t="s">
        <v>218</v>
      </c>
      <c r="G730" s="59">
        <v>9000</v>
      </c>
      <c r="H730" s="53" t="e">
        <f>H729-2</f>
        <v>#N/A</v>
      </c>
      <c r="I730" s="55">
        <f t="shared" si="20"/>
        <v>46141</v>
      </c>
      <c r="J730" s="57" t="e">
        <f>VLOOKUP(D730,DIP计划!D:G,4,0)</f>
        <v>#N/A</v>
      </c>
      <c r="K730" s="4" t="e">
        <f t="shared" si="21"/>
        <v>#N/A</v>
      </c>
      <c r="L730" s="62"/>
      <c r="M730" s="63"/>
    </row>
    <row r="731" spans="1:13" s="45" customFormat="1" ht="13.25" customHeight="1" x14ac:dyDescent="0.3">
      <c r="A731" s="55">
        <v>46141</v>
      </c>
      <c r="B731" s="56">
        <f>VLOOKUP(C731,[7]完成订单!$D:$D,1,0)</f>
        <v>10880037022</v>
      </c>
      <c r="C731" s="57">
        <v>10880037022</v>
      </c>
      <c r="D731" s="57">
        <v>110001299891</v>
      </c>
      <c r="E731" s="57">
        <v>110001299891</v>
      </c>
      <c r="F731" s="58" t="s">
        <v>138</v>
      </c>
      <c r="G731" s="59">
        <v>1500</v>
      </c>
      <c r="H731" s="53">
        <f>VLOOKUP(E731,DIP计划!E:J,6,0)</f>
        <v>46146</v>
      </c>
      <c r="I731" s="55">
        <f t="shared" si="20"/>
        <v>46141</v>
      </c>
      <c r="J731" s="57">
        <f>VLOOKUP(D731,DIP计划!D:G,4,0)</f>
        <v>1500</v>
      </c>
      <c r="K731" s="4">
        <f t="shared" si="21"/>
        <v>0</v>
      </c>
      <c r="L731" s="62"/>
      <c r="M731" s="63"/>
    </row>
    <row r="732" spans="1:13" s="45" customFormat="1" ht="13.25" customHeight="1" x14ac:dyDescent="0.3">
      <c r="A732" s="55">
        <v>46141</v>
      </c>
      <c r="B732" s="56">
        <f>VLOOKUP(C732,[7]完成订单!$D:$D,1,0)</f>
        <v>10400031867</v>
      </c>
      <c r="C732" s="57">
        <v>10400031867</v>
      </c>
      <c r="D732" s="57">
        <v>110001299891</v>
      </c>
      <c r="E732" s="57">
        <v>110001299892</v>
      </c>
      <c r="F732" s="58" t="s">
        <v>139</v>
      </c>
      <c r="G732" s="59">
        <v>1500</v>
      </c>
      <c r="H732" s="53">
        <f>VLOOKUP(E732,DIP计划!E:J,6,0)</f>
        <v>46146</v>
      </c>
      <c r="I732" s="55">
        <f t="shared" si="20"/>
        <v>46141</v>
      </c>
      <c r="J732" s="57">
        <f>VLOOKUP(D732,DIP计划!D:G,4,0)</f>
        <v>1500</v>
      </c>
      <c r="K732" s="4">
        <f t="shared" si="21"/>
        <v>0</v>
      </c>
      <c r="L732" s="62"/>
      <c r="M732" s="63"/>
    </row>
    <row r="733" spans="1:13" s="45" customFormat="1" ht="13.25" customHeight="1" x14ac:dyDescent="0.3">
      <c r="A733" s="55">
        <v>46141</v>
      </c>
      <c r="B733" s="56">
        <f>VLOOKUP(C733,[7]完成订单!$D:$D,1,0)</f>
        <v>10400033234</v>
      </c>
      <c r="C733" s="57">
        <v>10400033234</v>
      </c>
      <c r="D733" s="57">
        <v>110001299891</v>
      </c>
      <c r="E733" s="57">
        <v>110001299893</v>
      </c>
      <c r="F733" s="58" t="s">
        <v>124</v>
      </c>
      <c r="G733" s="59">
        <v>1500</v>
      </c>
      <c r="H733" s="53">
        <f>VLOOKUP(E733,DIP计划!E:J,6,0)</f>
        <v>46146</v>
      </c>
      <c r="I733" s="55">
        <f t="shared" si="20"/>
        <v>46141</v>
      </c>
      <c r="J733" s="57">
        <f>VLOOKUP(D733,DIP计划!D:G,4,0)</f>
        <v>1500</v>
      </c>
      <c r="K733" s="4">
        <f t="shared" si="21"/>
        <v>0</v>
      </c>
      <c r="L733" s="62"/>
      <c r="M733" s="63"/>
    </row>
    <row r="734" spans="1:13" s="45" customFormat="1" ht="13.25" customHeight="1" x14ac:dyDescent="0.3">
      <c r="A734" s="55">
        <v>46141</v>
      </c>
      <c r="B734" s="56" t="e">
        <f>VLOOKUP(C734,[7]完成订单!$D:$D,1,0)</f>
        <v>#N/A</v>
      </c>
      <c r="C734" s="57">
        <v>10400031865</v>
      </c>
      <c r="D734" s="57">
        <v>110001299891</v>
      </c>
      <c r="E734" s="57">
        <v>110001299894</v>
      </c>
      <c r="F734" s="58" t="s">
        <v>139</v>
      </c>
      <c r="G734" s="59">
        <v>1500</v>
      </c>
      <c r="H734" s="53">
        <f>H733-2</f>
        <v>46144</v>
      </c>
      <c r="I734" s="55">
        <f t="shared" si="20"/>
        <v>46141</v>
      </c>
      <c r="J734" s="57">
        <f>VLOOKUP(D734,DIP计划!D:G,4,0)</f>
        <v>1500</v>
      </c>
      <c r="K734" s="4">
        <f t="shared" si="21"/>
        <v>0</v>
      </c>
      <c r="L734" s="62"/>
      <c r="M734" s="63"/>
    </row>
    <row r="735" spans="1:13" s="45" customFormat="1" ht="13.25" customHeight="1" x14ac:dyDescent="0.3">
      <c r="A735" s="55">
        <v>46141</v>
      </c>
      <c r="B735" s="56">
        <f>VLOOKUP(C735,[7]完成订单!$D:$D,1,0)</f>
        <v>10880037688</v>
      </c>
      <c r="C735" s="57">
        <v>10880037688</v>
      </c>
      <c r="D735" s="57">
        <v>110001299933</v>
      </c>
      <c r="E735" s="57">
        <v>110001299933</v>
      </c>
      <c r="F735" s="58" t="s">
        <v>107</v>
      </c>
      <c r="G735" s="59">
        <v>2000</v>
      </c>
      <c r="H735" s="53">
        <f>VLOOKUP(E735,DIP计划!E:J,6,0)</f>
        <v>46148</v>
      </c>
      <c r="I735" s="55">
        <f t="shared" si="20"/>
        <v>46141</v>
      </c>
      <c r="J735" s="57">
        <f>VLOOKUP(D735,DIP计划!D:G,4,0)</f>
        <v>2000</v>
      </c>
      <c r="K735" s="4">
        <f t="shared" si="21"/>
        <v>0</v>
      </c>
      <c r="L735" s="62"/>
      <c r="M735" s="63"/>
    </row>
    <row r="736" spans="1:13" s="45" customFormat="1" ht="13.25" customHeight="1" x14ac:dyDescent="0.3">
      <c r="A736" s="55">
        <v>46141</v>
      </c>
      <c r="B736" s="56">
        <f>VLOOKUP(C736,[7]完成订单!$D:$D,1,0)</f>
        <v>10400032759</v>
      </c>
      <c r="C736" s="57">
        <v>10400032759</v>
      </c>
      <c r="D736" s="57">
        <v>110001299933</v>
      </c>
      <c r="E736" s="57">
        <v>110001299934</v>
      </c>
      <c r="F736" s="58" t="s">
        <v>108</v>
      </c>
      <c r="G736" s="59">
        <v>2000</v>
      </c>
      <c r="H736" s="53">
        <f>VLOOKUP(E736,DIP计划!E:J,6,0)</f>
        <v>46148</v>
      </c>
      <c r="I736" s="55">
        <f t="shared" si="20"/>
        <v>46141</v>
      </c>
      <c r="J736" s="57">
        <f>VLOOKUP(D736,DIP计划!D:G,4,0)</f>
        <v>2000</v>
      </c>
      <c r="K736" s="4">
        <f t="shared" si="21"/>
        <v>0</v>
      </c>
      <c r="L736" s="62"/>
      <c r="M736" s="63"/>
    </row>
    <row r="737" spans="1:13" s="45" customFormat="1" ht="13.25" customHeight="1" x14ac:dyDescent="0.3">
      <c r="A737" s="55">
        <v>46141</v>
      </c>
      <c r="B737" s="56">
        <f>VLOOKUP(C737,[7]完成订单!$D:$D,1,0)</f>
        <v>10400033234</v>
      </c>
      <c r="C737" s="57">
        <v>10400033234</v>
      </c>
      <c r="D737" s="57">
        <v>110001299933</v>
      </c>
      <c r="E737" s="57">
        <v>110001299935</v>
      </c>
      <c r="F737" s="58" t="s">
        <v>124</v>
      </c>
      <c r="G737" s="59">
        <v>2000</v>
      </c>
      <c r="H737" s="53" t="e">
        <f>VLOOKUP(E737,DIP计划!E:J,6,0)</f>
        <v>#N/A</v>
      </c>
      <c r="I737" s="55">
        <f t="shared" si="20"/>
        <v>46141</v>
      </c>
      <c r="J737" s="57">
        <f>VLOOKUP(D737,DIP计划!D:G,4,0)</f>
        <v>2000</v>
      </c>
      <c r="K737" s="4">
        <f t="shared" si="21"/>
        <v>0</v>
      </c>
      <c r="L737" s="62"/>
      <c r="M737" s="63"/>
    </row>
    <row r="738" spans="1:13" s="45" customFormat="1" ht="13.25" customHeight="1" x14ac:dyDescent="0.3">
      <c r="A738" s="55">
        <v>46141</v>
      </c>
      <c r="B738" s="56" t="e">
        <f>VLOOKUP(C738,[7]完成订单!$D:$D,1,0)</f>
        <v>#N/A</v>
      </c>
      <c r="C738" s="57">
        <v>10400032760</v>
      </c>
      <c r="D738" s="57">
        <v>110001299933</v>
      </c>
      <c r="E738" s="57">
        <v>110001299936</v>
      </c>
      <c r="F738" s="58" t="s">
        <v>108</v>
      </c>
      <c r="G738" s="59">
        <v>2000</v>
      </c>
      <c r="H738" s="53" t="e">
        <f>H737-2</f>
        <v>#N/A</v>
      </c>
      <c r="I738" s="55">
        <f t="shared" si="20"/>
        <v>46141</v>
      </c>
      <c r="J738" s="57">
        <f>VLOOKUP(D738,DIP计划!D:G,4,0)</f>
        <v>2000</v>
      </c>
      <c r="K738" s="4">
        <f t="shared" si="21"/>
        <v>0</v>
      </c>
      <c r="L738" s="62"/>
      <c r="M738" s="63"/>
    </row>
    <row r="739" spans="1:13" s="45" customFormat="1" ht="13.25" customHeight="1" x14ac:dyDescent="0.3">
      <c r="A739" s="55">
        <v>46141</v>
      </c>
      <c r="B739" s="56">
        <f>VLOOKUP(C739,[7]完成订单!$D:$D,1,0)</f>
        <v>10880036786</v>
      </c>
      <c r="C739" s="57">
        <v>10880036786</v>
      </c>
      <c r="D739" s="57">
        <v>110001300045</v>
      </c>
      <c r="E739" s="57">
        <v>110001300045</v>
      </c>
      <c r="F739" s="58" t="s">
        <v>1762</v>
      </c>
      <c r="G739" s="59">
        <v>530</v>
      </c>
      <c r="H739" s="53" t="e">
        <f>VLOOKUP(E739,DIP计划!E:J,6,0)</f>
        <v>#N/A</v>
      </c>
      <c r="I739" s="55">
        <f t="shared" si="20"/>
        <v>46141</v>
      </c>
      <c r="J739" s="57" t="e">
        <f>VLOOKUP(D739,DIP计划!D:G,4,0)</f>
        <v>#N/A</v>
      </c>
      <c r="K739" s="4" t="e">
        <f t="shared" si="21"/>
        <v>#N/A</v>
      </c>
      <c r="L739" s="62"/>
      <c r="M739" s="63"/>
    </row>
    <row r="740" spans="1:13" s="45" customFormat="1" ht="13.25" customHeight="1" x14ac:dyDescent="0.3">
      <c r="A740" s="55">
        <v>46141</v>
      </c>
      <c r="B740" s="56" t="e">
        <f>VLOOKUP(C740,[7]完成订单!$D:$D,1,0)</f>
        <v>#N/A</v>
      </c>
      <c r="C740" s="57">
        <v>10400032021</v>
      </c>
      <c r="D740" s="57">
        <v>110001300045</v>
      </c>
      <c r="E740" s="57">
        <v>110001300046</v>
      </c>
      <c r="F740" s="58" t="s">
        <v>1826</v>
      </c>
      <c r="G740" s="59">
        <v>530</v>
      </c>
      <c r="H740" s="53" t="e">
        <f>H739-2</f>
        <v>#N/A</v>
      </c>
      <c r="I740" s="55">
        <f t="shared" si="20"/>
        <v>46141</v>
      </c>
      <c r="J740" s="57" t="e">
        <f>VLOOKUP(D740,DIP计划!D:G,4,0)</f>
        <v>#N/A</v>
      </c>
      <c r="K740" s="4" t="e">
        <f t="shared" si="21"/>
        <v>#N/A</v>
      </c>
      <c r="L740" s="62"/>
      <c r="M740" s="63"/>
    </row>
    <row r="741" spans="1:13" s="45" customFormat="1" ht="13.25" customHeight="1" x14ac:dyDescent="0.3">
      <c r="A741" s="55">
        <v>46141</v>
      </c>
      <c r="B741" s="56">
        <f>VLOOKUP(C741,[7]完成订单!$D:$D,1,0)</f>
        <v>10880021015</v>
      </c>
      <c r="C741" s="57">
        <v>10880021015</v>
      </c>
      <c r="D741" s="57">
        <v>110001300066</v>
      </c>
      <c r="E741" s="57">
        <v>110001300066</v>
      </c>
      <c r="F741" s="58" t="s">
        <v>82</v>
      </c>
      <c r="G741" s="59">
        <v>200</v>
      </c>
      <c r="H741" s="53" t="e">
        <f>VLOOKUP(E741,DIP计划!E:J,6,0)</f>
        <v>#N/A</v>
      </c>
      <c r="I741" s="55">
        <f t="shared" si="20"/>
        <v>46141</v>
      </c>
      <c r="J741" s="57" t="e">
        <f>VLOOKUP(D741,DIP计划!D:G,4,0)</f>
        <v>#N/A</v>
      </c>
      <c r="K741" s="4" t="e">
        <f t="shared" si="21"/>
        <v>#N/A</v>
      </c>
      <c r="L741" s="62"/>
      <c r="M741" s="63"/>
    </row>
    <row r="742" spans="1:13" s="45" customFormat="1" ht="13.25" customHeight="1" x14ac:dyDescent="0.3">
      <c r="A742" s="55">
        <v>46141</v>
      </c>
      <c r="B742" s="56" t="e">
        <f>VLOOKUP(C742,[7]完成订单!$D:$D,1,0)</f>
        <v>#N/A</v>
      </c>
      <c r="C742" s="57">
        <v>10400020510</v>
      </c>
      <c r="D742" s="57">
        <v>110001300066</v>
      </c>
      <c r="E742" s="57">
        <v>110001300067</v>
      </c>
      <c r="F742" s="58" t="s">
        <v>1827</v>
      </c>
      <c r="G742" s="59">
        <v>200</v>
      </c>
      <c r="H742" s="53" t="e">
        <f>H741-2</f>
        <v>#N/A</v>
      </c>
      <c r="I742" s="55">
        <f t="shared" si="20"/>
        <v>46141</v>
      </c>
      <c r="J742" s="57" t="e">
        <f>VLOOKUP(D742,DIP计划!D:G,4,0)</f>
        <v>#N/A</v>
      </c>
      <c r="K742" s="4" t="e">
        <f t="shared" si="21"/>
        <v>#N/A</v>
      </c>
      <c r="L742" s="62"/>
      <c r="M742" s="63"/>
    </row>
    <row r="743" spans="1:13" s="45" customFormat="1" ht="13.25" customHeight="1" x14ac:dyDescent="0.3">
      <c r="A743" s="55">
        <v>46141</v>
      </c>
      <c r="B743" s="56">
        <f>VLOOKUP(C743,[7]完成订单!$D:$D,1,0)</f>
        <v>10880030976</v>
      </c>
      <c r="C743" s="57">
        <v>10880030976</v>
      </c>
      <c r="D743" s="57">
        <v>110001302981</v>
      </c>
      <c r="E743" s="57">
        <v>110001302981</v>
      </c>
      <c r="F743" s="58" t="s">
        <v>72</v>
      </c>
      <c r="G743" s="59">
        <v>2000</v>
      </c>
      <c r="H743" s="53" t="e">
        <f>VLOOKUP(E743,DIP计划!E:J,6,0)</f>
        <v>#N/A</v>
      </c>
      <c r="I743" s="55">
        <f t="shared" si="20"/>
        <v>46141</v>
      </c>
      <c r="J743" s="57" t="e">
        <f>VLOOKUP(D743,DIP计划!D:G,4,0)</f>
        <v>#N/A</v>
      </c>
      <c r="K743" s="4" t="e">
        <f t="shared" si="21"/>
        <v>#N/A</v>
      </c>
      <c r="L743" s="62"/>
      <c r="M743" s="63"/>
    </row>
    <row r="744" spans="1:13" s="45" customFormat="1" ht="13.25" customHeight="1" x14ac:dyDescent="0.3">
      <c r="A744" s="55">
        <v>46141</v>
      </c>
      <c r="B744" s="56" t="e">
        <f>VLOOKUP(C744,[7]完成订单!$D:$D,1,0)</f>
        <v>#N/A</v>
      </c>
      <c r="C744" s="57">
        <v>10400024768</v>
      </c>
      <c r="D744" s="57">
        <v>110001302981</v>
      </c>
      <c r="E744" s="57">
        <v>110001302982</v>
      </c>
      <c r="F744" s="58" t="s">
        <v>72</v>
      </c>
      <c r="G744" s="59">
        <v>2000</v>
      </c>
      <c r="H744" s="53" t="e">
        <f>H743-2</f>
        <v>#N/A</v>
      </c>
      <c r="I744" s="55">
        <f t="shared" si="20"/>
        <v>46141</v>
      </c>
      <c r="J744" s="57" t="e">
        <f>VLOOKUP(D744,DIP计划!D:G,4,0)</f>
        <v>#N/A</v>
      </c>
      <c r="K744" s="4" t="e">
        <f t="shared" si="21"/>
        <v>#N/A</v>
      </c>
      <c r="L744" s="62"/>
      <c r="M744" s="63"/>
    </row>
    <row r="745" spans="1:13" s="45" customFormat="1" ht="13.25" customHeight="1" x14ac:dyDescent="0.3">
      <c r="A745" s="55">
        <v>46141</v>
      </c>
      <c r="B745" s="56">
        <f>VLOOKUP(C745,[7]完成订单!$D:$D,1,0)</f>
        <v>10880030976</v>
      </c>
      <c r="C745" s="57">
        <v>10880030976</v>
      </c>
      <c r="D745" s="57">
        <v>110001302983</v>
      </c>
      <c r="E745" s="57">
        <v>110001302983</v>
      </c>
      <c r="F745" s="58" t="s">
        <v>72</v>
      </c>
      <c r="G745" s="59">
        <v>2000</v>
      </c>
      <c r="H745" s="53" t="e">
        <f>VLOOKUP(E745,DIP计划!E:J,6,0)</f>
        <v>#N/A</v>
      </c>
      <c r="I745" s="55">
        <f t="shared" si="20"/>
        <v>46141</v>
      </c>
      <c r="J745" s="57" t="e">
        <f>VLOOKUP(D745,DIP计划!D:G,4,0)</f>
        <v>#N/A</v>
      </c>
      <c r="K745" s="4" t="e">
        <f t="shared" si="21"/>
        <v>#N/A</v>
      </c>
      <c r="L745" s="62"/>
      <c r="M745" s="63"/>
    </row>
    <row r="746" spans="1:13" s="45" customFormat="1" ht="13.25" customHeight="1" x14ac:dyDescent="0.3">
      <c r="A746" s="55">
        <v>46141</v>
      </c>
      <c r="B746" s="56" t="e">
        <f>VLOOKUP(C746,[7]完成订单!$D:$D,1,0)</f>
        <v>#N/A</v>
      </c>
      <c r="C746" s="57">
        <v>10400024768</v>
      </c>
      <c r="D746" s="57">
        <v>110001302983</v>
      </c>
      <c r="E746" s="57">
        <v>110001302984</v>
      </c>
      <c r="F746" s="58" t="s">
        <v>72</v>
      </c>
      <c r="G746" s="59">
        <v>2000</v>
      </c>
      <c r="H746" s="53" t="e">
        <f>H745-2</f>
        <v>#N/A</v>
      </c>
      <c r="I746" s="55">
        <f t="shared" si="20"/>
        <v>46141</v>
      </c>
      <c r="J746" s="57" t="e">
        <f>VLOOKUP(D746,DIP计划!D:G,4,0)</f>
        <v>#N/A</v>
      </c>
      <c r="K746" s="4" t="e">
        <f t="shared" si="21"/>
        <v>#N/A</v>
      </c>
      <c r="L746" s="62"/>
      <c r="M746" s="63"/>
    </row>
    <row r="747" spans="1:13" s="45" customFormat="1" ht="13.25" customHeight="1" x14ac:dyDescent="0.3">
      <c r="A747" s="55">
        <v>46141</v>
      </c>
      <c r="B747" s="56">
        <f>VLOOKUP(C747,[7]完成订单!$D:$D,1,0)</f>
        <v>10880031847</v>
      </c>
      <c r="C747" s="57">
        <v>10880031847</v>
      </c>
      <c r="D747" s="57">
        <v>110001302990</v>
      </c>
      <c r="E747" s="57">
        <v>110001302990</v>
      </c>
      <c r="F747" s="58" t="s">
        <v>228</v>
      </c>
      <c r="G747" s="59">
        <v>200</v>
      </c>
      <c r="H747" s="53" t="e">
        <f>VLOOKUP(E747,DIP计划!E:J,6,0)</f>
        <v>#N/A</v>
      </c>
      <c r="I747" s="55">
        <f t="shared" si="20"/>
        <v>46141</v>
      </c>
      <c r="J747" s="57" t="e">
        <f>VLOOKUP(D747,DIP计划!D:G,4,0)</f>
        <v>#N/A</v>
      </c>
      <c r="K747" s="4" t="e">
        <f t="shared" si="21"/>
        <v>#N/A</v>
      </c>
      <c r="L747" s="62"/>
      <c r="M747" s="63"/>
    </row>
    <row r="748" spans="1:13" s="45" customFormat="1" ht="13.25" customHeight="1" x14ac:dyDescent="0.3">
      <c r="A748" s="55">
        <v>46141</v>
      </c>
      <c r="B748" s="56" t="e">
        <f>VLOOKUP(C748,[7]完成订单!$D:$D,1,0)</f>
        <v>#N/A</v>
      </c>
      <c r="C748" s="57">
        <v>10400025549</v>
      </c>
      <c r="D748" s="57">
        <v>110001302990</v>
      </c>
      <c r="E748" s="57">
        <v>110001302992</v>
      </c>
      <c r="F748" s="58" t="s">
        <v>228</v>
      </c>
      <c r="G748" s="59">
        <v>200</v>
      </c>
      <c r="H748" s="53" t="e">
        <f>H747-2</f>
        <v>#N/A</v>
      </c>
      <c r="I748" s="55">
        <f t="shared" si="20"/>
        <v>46141</v>
      </c>
      <c r="J748" s="57" t="e">
        <f>VLOOKUP(D748,DIP计划!D:G,4,0)</f>
        <v>#N/A</v>
      </c>
      <c r="K748" s="4" t="e">
        <f t="shared" si="21"/>
        <v>#N/A</v>
      </c>
      <c r="L748" s="62"/>
      <c r="M748" s="63"/>
    </row>
    <row r="749" spans="1:13" s="45" customFormat="1" ht="13.25" customHeight="1" x14ac:dyDescent="0.3">
      <c r="A749" s="55">
        <v>46141</v>
      </c>
      <c r="B749" s="56">
        <f>VLOOKUP(C749,[7]完成订单!$D:$D,1,0)</f>
        <v>10880036423</v>
      </c>
      <c r="C749" s="57">
        <v>10880036423</v>
      </c>
      <c r="D749" s="57">
        <v>110001303037</v>
      </c>
      <c r="E749" s="57">
        <v>110001303037</v>
      </c>
      <c r="F749" s="58" t="s">
        <v>170</v>
      </c>
      <c r="G749" s="59">
        <v>4500</v>
      </c>
      <c r="H749" s="53">
        <f>VLOOKUP(E749,DIP计划!E:J,6,0)</f>
        <v>46149</v>
      </c>
      <c r="I749" s="55">
        <f t="shared" si="20"/>
        <v>46141</v>
      </c>
      <c r="J749" s="57">
        <f>VLOOKUP(D749,DIP计划!D:G,4,0)</f>
        <v>4500</v>
      </c>
      <c r="K749" s="4">
        <f t="shared" si="21"/>
        <v>0</v>
      </c>
      <c r="L749" s="62"/>
      <c r="M749" s="63"/>
    </row>
    <row r="750" spans="1:13" s="45" customFormat="1" ht="13.25" customHeight="1" x14ac:dyDescent="0.3">
      <c r="A750" s="55">
        <v>46141</v>
      </c>
      <c r="B750" s="56" t="e">
        <f>VLOOKUP(C750,[7]完成订单!$D:$D,1,0)</f>
        <v>#N/A</v>
      </c>
      <c r="C750" s="57">
        <v>10400031020</v>
      </c>
      <c r="D750" s="57">
        <v>110001303037</v>
      </c>
      <c r="E750" s="57">
        <v>110001303038</v>
      </c>
      <c r="F750" s="58" t="s">
        <v>311</v>
      </c>
      <c r="G750" s="59">
        <v>4500</v>
      </c>
      <c r="H750" s="53">
        <f>H749-2</f>
        <v>46147</v>
      </c>
      <c r="I750" s="55">
        <f t="shared" si="20"/>
        <v>46141</v>
      </c>
      <c r="J750" s="57">
        <f>VLOOKUP(D750,DIP计划!D:G,4,0)</f>
        <v>4500</v>
      </c>
      <c r="K750" s="4">
        <f t="shared" si="21"/>
        <v>0</v>
      </c>
      <c r="L750" s="62"/>
      <c r="M750" s="63"/>
    </row>
    <row r="751" spans="1:13" s="45" customFormat="1" ht="13.25" customHeight="1" x14ac:dyDescent="0.3">
      <c r="A751" s="55">
        <v>46141</v>
      </c>
      <c r="B751" s="56">
        <f>VLOOKUP(C751,[7]完成订单!$D:$D,1,0)</f>
        <v>10880037023</v>
      </c>
      <c r="C751" s="57">
        <v>10880037023</v>
      </c>
      <c r="D751" s="57">
        <v>110001303065</v>
      </c>
      <c r="E751" s="57">
        <v>110001303065</v>
      </c>
      <c r="F751" s="58" t="s">
        <v>117</v>
      </c>
      <c r="G751" s="59">
        <v>2000</v>
      </c>
      <c r="H751" s="53">
        <f>VLOOKUP(E751,DIP计划!E:J,6,0)</f>
        <v>46149</v>
      </c>
      <c r="I751" s="55">
        <f t="shared" si="20"/>
        <v>46141</v>
      </c>
      <c r="J751" s="57">
        <f>VLOOKUP(D751,DIP计划!D:G,4,0)</f>
        <v>2000</v>
      </c>
      <c r="K751" s="4">
        <f t="shared" si="21"/>
        <v>0</v>
      </c>
      <c r="L751" s="62"/>
      <c r="M751" s="63"/>
    </row>
    <row r="752" spans="1:13" s="45" customFormat="1" ht="13.25" customHeight="1" x14ac:dyDescent="0.3">
      <c r="A752" s="55">
        <v>46141</v>
      </c>
      <c r="B752" s="56">
        <f>VLOOKUP(C752,[7]完成订单!$D:$D,1,0)</f>
        <v>10400031868</v>
      </c>
      <c r="C752" s="57">
        <v>10400031868</v>
      </c>
      <c r="D752" s="57">
        <v>110001303065</v>
      </c>
      <c r="E752" s="57">
        <v>110001303066</v>
      </c>
      <c r="F752" s="58" t="s">
        <v>118</v>
      </c>
      <c r="G752" s="59">
        <v>2000</v>
      </c>
      <c r="H752" s="53">
        <f>VLOOKUP(E752,DIP计划!E:J,6,0)</f>
        <v>46149</v>
      </c>
      <c r="I752" s="55">
        <f t="shared" si="20"/>
        <v>46141</v>
      </c>
      <c r="J752" s="57">
        <f>VLOOKUP(D752,DIP计划!D:G,4,0)</f>
        <v>2000</v>
      </c>
      <c r="K752" s="4">
        <f t="shared" si="21"/>
        <v>0</v>
      </c>
      <c r="L752" s="62"/>
      <c r="M752" s="63"/>
    </row>
    <row r="753" spans="1:13" s="45" customFormat="1" ht="13.25" customHeight="1" x14ac:dyDescent="0.3">
      <c r="A753" s="55">
        <v>46141</v>
      </c>
      <c r="B753" s="56">
        <f>VLOOKUP(C753,[7]完成订单!$D:$D,1,0)</f>
        <v>10400033234</v>
      </c>
      <c r="C753" s="57">
        <v>10400033234</v>
      </c>
      <c r="D753" s="57">
        <v>110001303065</v>
      </c>
      <c r="E753" s="57">
        <v>110001303067</v>
      </c>
      <c r="F753" s="58" t="s">
        <v>124</v>
      </c>
      <c r="G753" s="59">
        <v>2000</v>
      </c>
      <c r="H753" s="53">
        <f>VLOOKUP(E753,DIP计划!E:J,6,0)</f>
        <v>46148</v>
      </c>
      <c r="I753" s="55">
        <f t="shared" si="20"/>
        <v>46141</v>
      </c>
      <c r="J753" s="57">
        <f>VLOOKUP(D753,DIP计划!D:G,4,0)</f>
        <v>2000</v>
      </c>
      <c r="K753" s="4">
        <f t="shared" si="21"/>
        <v>0</v>
      </c>
      <c r="L753" s="62"/>
      <c r="M753" s="63"/>
    </row>
    <row r="754" spans="1:13" s="45" customFormat="1" ht="13.25" customHeight="1" x14ac:dyDescent="0.3">
      <c r="A754" s="55">
        <v>46141</v>
      </c>
      <c r="B754" s="56" t="e">
        <f>VLOOKUP(C754,[7]完成订单!$D:$D,1,0)</f>
        <v>#N/A</v>
      </c>
      <c r="C754" s="57">
        <v>10400031866</v>
      </c>
      <c r="D754" s="57">
        <v>110001303065</v>
      </c>
      <c r="E754" s="57">
        <v>110001303068</v>
      </c>
      <c r="F754" s="58" t="s">
        <v>118</v>
      </c>
      <c r="G754" s="59">
        <v>2000</v>
      </c>
      <c r="H754" s="53">
        <f>H753-2</f>
        <v>46146</v>
      </c>
      <c r="I754" s="55">
        <f t="shared" si="20"/>
        <v>46141</v>
      </c>
      <c r="J754" s="57">
        <f>VLOOKUP(D754,DIP计划!D:G,4,0)</f>
        <v>2000</v>
      </c>
      <c r="K754" s="4">
        <f t="shared" si="21"/>
        <v>0</v>
      </c>
      <c r="L754" s="62"/>
      <c r="M754" s="63"/>
    </row>
    <row r="755" spans="1:13" s="45" customFormat="1" ht="13.25" customHeight="1" x14ac:dyDescent="0.3">
      <c r="A755" s="55">
        <v>46141</v>
      </c>
      <c r="B755" s="56">
        <f>VLOOKUP(C755,[7]完成订单!$D:$D,1,0)</f>
        <v>10880038444</v>
      </c>
      <c r="C755" s="57">
        <v>10880038444</v>
      </c>
      <c r="D755" s="57">
        <v>110001303185</v>
      </c>
      <c r="E755" s="57">
        <v>110001303185</v>
      </c>
      <c r="F755" s="58" t="s">
        <v>1822</v>
      </c>
      <c r="G755" s="59">
        <v>300</v>
      </c>
      <c r="H755" s="53">
        <f>VLOOKUP(E755,DIP计划!E:J,6,0)</f>
        <v>46148</v>
      </c>
      <c r="I755" s="55">
        <f t="shared" si="20"/>
        <v>46141</v>
      </c>
      <c r="J755" s="57">
        <f>VLOOKUP(D755,DIP计划!D:G,4,0)</f>
        <v>300</v>
      </c>
      <c r="K755" s="4">
        <f t="shared" si="21"/>
        <v>0</v>
      </c>
      <c r="L755" s="62"/>
      <c r="M755" s="63"/>
    </row>
    <row r="756" spans="1:13" s="45" customFormat="1" ht="13.25" customHeight="1" x14ac:dyDescent="0.3">
      <c r="A756" s="55">
        <v>46141</v>
      </c>
      <c r="B756" s="56">
        <f>VLOOKUP(C756,[7]完成订单!$D:$D,1,0)</f>
        <v>10400033234</v>
      </c>
      <c r="C756" s="57">
        <v>10400033234</v>
      </c>
      <c r="D756" s="57">
        <v>110001303185</v>
      </c>
      <c r="E756" s="57">
        <v>110001303186</v>
      </c>
      <c r="F756" s="58" t="s">
        <v>124</v>
      </c>
      <c r="G756" s="59">
        <v>300</v>
      </c>
      <c r="H756" s="53">
        <f>VLOOKUP(E756,DIP计划!E:J,6,0)</f>
        <v>46148</v>
      </c>
      <c r="I756" s="55">
        <f t="shared" si="20"/>
        <v>46141</v>
      </c>
      <c r="J756" s="57">
        <f>VLOOKUP(D756,DIP计划!D:G,4,0)</f>
        <v>300</v>
      </c>
      <c r="K756" s="4">
        <f t="shared" si="21"/>
        <v>0</v>
      </c>
      <c r="L756" s="62"/>
      <c r="M756" s="63"/>
    </row>
    <row r="757" spans="1:13" s="45" customFormat="1" ht="13.25" customHeight="1" x14ac:dyDescent="0.3">
      <c r="A757" s="55">
        <v>46141</v>
      </c>
      <c r="B757" s="56">
        <f>VLOOKUP(C757,[7]完成订单!$D:$D,1,0)</f>
        <v>10400033747</v>
      </c>
      <c r="C757" s="57">
        <v>10400033747</v>
      </c>
      <c r="D757" s="57">
        <v>110001303185</v>
      </c>
      <c r="E757" s="57">
        <v>110001303187</v>
      </c>
      <c r="F757" s="58" t="s">
        <v>1823</v>
      </c>
      <c r="G757" s="59">
        <v>300</v>
      </c>
      <c r="H757" s="53">
        <f>VLOOKUP(E757,DIP计划!E:J,6,0)</f>
        <v>46148</v>
      </c>
      <c r="I757" s="55">
        <f t="shared" si="20"/>
        <v>46141</v>
      </c>
      <c r="J757" s="57">
        <f>VLOOKUP(D757,DIP计划!D:G,4,0)</f>
        <v>300</v>
      </c>
      <c r="K757" s="4">
        <f t="shared" si="21"/>
        <v>0</v>
      </c>
      <c r="L757" s="62"/>
      <c r="M757" s="63"/>
    </row>
    <row r="758" spans="1:13" s="45" customFormat="1" ht="13.25" customHeight="1" x14ac:dyDescent="0.3">
      <c r="A758" s="55">
        <v>46141</v>
      </c>
      <c r="B758" s="56" t="e">
        <f>VLOOKUP(C758,[7]完成订单!$D:$D,1,0)</f>
        <v>#N/A</v>
      </c>
      <c r="C758" s="57">
        <v>10400033748</v>
      </c>
      <c r="D758" s="57">
        <v>110001303185</v>
      </c>
      <c r="E758" s="57">
        <v>110001303188</v>
      </c>
      <c r="F758" s="58" t="s">
        <v>1823</v>
      </c>
      <c r="G758" s="59">
        <v>300</v>
      </c>
      <c r="H758" s="53">
        <f>H757-2</f>
        <v>46146</v>
      </c>
      <c r="I758" s="55">
        <f t="shared" si="20"/>
        <v>46141</v>
      </c>
      <c r="J758" s="57">
        <f>VLOOKUP(D758,DIP计划!D:G,4,0)</f>
        <v>300</v>
      </c>
      <c r="K758" s="4">
        <f t="shared" si="21"/>
        <v>0</v>
      </c>
      <c r="L758" s="62"/>
      <c r="M758" s="63"/>
    </row>
    <row r="759" spans="1:13" s="45" customFormat="1" ht="13.25" customHeight="1" x14ac:dyDescent="0.3">
      <c r="A759" s="55">
        <v>46141</v>
      </c>
      <c r="B759" s="56">
        <f>VLOOKUP(C759,[7]完成订单!$D:$D,1,0)</f>
        <v>10880017516</v>
      </c>
      <c r="C759" s="57">
        <v>10880017516</v>
      </c>
      <c r="D759" s="57">
        <v>110001306838</v>
      </c>
      <c r="E759" s="57">
        <v>110001306838</v>
      </c>
      <c r="F759" s="58" t="s">
        <v>164</v>
      </c>
      <c r="G759" s="59">
        <v>600</v>
      </c>
      <c r="H759" s="53" t="e">
        <f>VLOOKUP(E759,DIP计划!E:J,6,0)</f>
        <v>#N/A</v>
      </c>
      <c r="I759" s="55">
        <f t="shared" si="20"/>
        <v>46141</v>
      </c>
      <c r="J759" s="57" t="e">
        <f>VLOOKUP(D759,DIP计划!D:G,4,0)</f>
        <v>#N/A</v>
      </c>
      <c r="K759" s="4" t="e">
        <f t="shared" si="21"/>
        <v>#N/A</v>
      </c>
      <c r="L759" s="62"/>
      <c r="M759" s="63"/>
    </row>
    <row r="760" spans="1:13" s="45" customFormat="1" ht="13.25" customHeight="1" x14ac:dyDescent="0.3">
      <c r="A760" s="55">
        <v>46141</v>
      </c>
      <c r="B760" s="56" t="e">
        <f>VLOOKUP(C760,[7]完成订单!$D:$D,1,0)</f>
        <v>#N/A</v>
      </c>
      <c r="C760" s="57">
        <v>10400017926</v>
      </c>
      <c r="D760" s="57">
        <v>110001306838</v>
      </c>
      <c r="E760" s="57">
        <v>110001306839</v>
      </c>
      <c r="F760" s="58" t="s">
        <v>164</v>
      </c>
      <c r="G760" s="59">
        <v>600</v>
      </c>
      <c r="H760" s="53" t="e">
        <f>H759-2</f>
        <v>#N/A</v>
      </c>
      <c r="I760" s="55">
        <f t="shared" si="20"/>
        <v>46141</v>
      </c>
      <c r="J760" s="57" t="e">
        <f>VLOOKUP(D760,DIP计划!D:G,4,0)</f>
        <v>#N/A</v>
      </c>
      <c r="K760" s="4" t="e">
        <f t="shared" si="21"/>
        <v>#N/A</v>
      </c>
      <c r="L760" s="62"/>
      <c r="M760" s="63"/>
    </row>
    <row r="761" spans="1:13" s="45" customFormat="1" ht="13.25" customHeight="1" x14ac:dyDescent="0.3">
      <c r="A761" s="55">
        <v>46141</v>
      </c>
      <c r="B761" s="56">
        <f>VLOOKUP(C761,[7]完成订单!$D:$D,1,0)</f>
        <v>10880028306</v>
      </c>
      <c r="C761" s="57">
        <v>10880028306</v>
      </c>
      <c r="D761" s="57">
        <v>110001307006</v>
      </c>
      <c r="E761" s="57">
        <v>110001307006</v>
      </c>
      <c r="F761" s="58" t="s">
        <v>185</v>
      </c>
      <c r="G761" s="59">
        <v>1000</v>
      </c>
      <c r="H761" s="53" t="e">
        <f>VLOOKUP(E761,DIP计划!E:J,6,0)</f>
        <v>#N/A</v>
      </c>
      <c r="I761" s="55">
        <f t="shared" si="20"/>
        <v>46141</v>
      </c>
      <c r="J761" s="57" t="e">
        <f>VLOOKUP(D761,DIP计划!D:G,4,0)</f>
        <v>#N/A</v>
      </c>
      <c r="K761" s="4" t="e">
        <f t="shared" si="21"/>
        <v>#N/A</v>
      </c>
      <c r="L761" s="62"/>
      <c r="M761" s="63"/>
    </row>
    <row r="762" spans="1:13" s="45" customFormat="1" ht="13.25" customHeight="1" x14ac:dyDescent="0.3">
      <c r="A762" s="55">
        <v>46141</v>
      </c>
      <c r="B762" s="56" t="e">
        <f>VLOOKUP(C762,[7]完成订单!$D:$D,1,0)</f>
        <v>#N/A</v>
      </c>
      <c r="C762" s="57">
        <v>10400022618</v>
      </c>
      <c r="D762" s="57">
        <v>110001307006</v>
      </c>
      <c r="E762" s="57">
        <v>110001307007</v>
      </c>
      <c r="F762" s="58" t="s">
        <v>185</v>
      </c>
      <c r="G762" s="59">
        <v>1000</v>
      </c>
      <c r="H762" s="53" t="e">
        <f>H761-2</f>
        <v>#N/A</v>
      </c>
      <c r="I762" s="55">
        <f t="shared" si="20"/>
        <v>46141</v>
      </c>
      <c r="J762" s="57" t="e">
        <f>VLOOKUP(D762,DIP计划!D:G,4,0)</f>
        <v>#N/A</v>
      </c>
      <c r="K762" s="4" t="e">
        <f t="shared" si="21"/>
        <v>#N/A</v>
      </c>
      <c r="L762" s="62"/>
      <c r="M762" s="63"/>
    </row>
    <row r="763" spans="1:13" s="45" customFormat="1" ht="13.25" customHeight="1" x14ac:dyDescent="0.3">
      <c r="A763" s="55">
        <v>46141</v>
      </c>
      <c r="B763" s="56">
        <f>VLOOKUP(C763,[7]完成订单!$D:$D,1,0)</f>
        <v>10880035788</v>
      </c>
      <c r="C763" s="57">
        <v>10880035788</v>
      </c>
      <c r="D763" s="57">
        <v>110001307026</v>
      </c>
      <c r="E763" s="57">
        <v>110001307026</v>
      </c>
      <c r="F763" s="58" t="s">
        <v>192</v>
      </c>
      <c r="G763" s="59">
        <v>500</v>
      </c>
      <c r="H763" s="53" t="e">
        <f>VLOOKUP(E763,DIP计划!E:J,6,0)</f>
        <v>#N/A</v>
      </c>
      <c r="I763" s="55">
        <f t="shared" si="20"/>
        <v>46141</v>
      </c>
      <c r="J763" s="57" t="e">
        <f>VLOOKUP(D763,DIP计划!D:G,4,0)</f>
        <v>#N/A</v>
      </c>
      <c r="K763" s="4" t="e">
        <f t="shared" si="21"/>
        <v>#N/A</v>
      </c>
      <c r="L763" s="62"/>
      <c r="M763" s="63"/>
    </row>
    <row r="764" spans="1:13" s="45" customFormat="1" ht="13.25" customHeight="1" x14ac:dyDescent="0.3">
      <c r="A764" s="55">
        <v>46141</v>
      </c>
      <c r="B764" s="56" t="e">
        <f>VLOOKUP(C764,[7]完成订单!$D:$D,1,0)</f>
        <v>#N/A</v>
      </c>
      <c r="C764" s="57">
        <v>10400030188</v>
      </c>
      <c r="D764" s="57">
        <v>110001307026</v>
      </c>
      <c r="E764" s="57">
        <v>110001307027</v>
      </c>
      <c r="F764" s="58" t="s">
        <v>1828</v>
      </c>
      <c r="G764" s="59">
        <v>500</v>
      </c>
      <c r="H764" s="53" t="e">
        <f>H763-2</f>
        <v>#N/A</v>
      </c>
      <c r="I764" s="55">
        <f t="shared" si="20"/>
        <v>46141</v>
      </c>
      <c r="J764" s="57" t="e">
        <f>VLOOKUP(D764,DIP计划!D:G,4,0)</f>
        <v>#N/A</v>
      </c>
      <c r="K764" s="4" t="e">
        <f t="shared" si="21"/>
        <v>#N/A</v>
      </c>
      <c r="L764" s="62"/>
      <c r="M764" s="63"/>
    </row>
    <row r="765" spans="1:13" s="45" customFormat="1" ht="13.25" customHeight="1" x14ac:dyDescent="0.3">
      <c r="A765" s="55">
        <v>46141</v>
      </c>
      <c r="B765" s="56">
        <f>VLOOKUP(C765,[7]完成订单!$D:$D,1,0)</f>
        <v>10880036432</v>
      </c>
      <c r="C765" s="57">
        <v>10880036432</v>
      </c>
      <c r="D765" s="57">
        <v>110001307028</v>
      </c>
      <c r="E765" s="57">
        <v>110001307028</v>
      </c>
      <c r="F765" s="58" t="s">
        <v>226</v>
      </c>
      <c r="G765" s="59">
        <v>3000</v>
      </c>
      <c r="H765" s="53" t="e">
        <f>VLOOKUP(E765,DIP计划!E:J,6,0)</f>
        <v>#N/A</v>
      </c>
      <c r="I765" s="55">
        <f t="shared" si="20"/>
        <v>46141</v>
      </c>
      <c r="J765" s="57" t="e">
        <f>VLOOKUP(D765,DIP计划!D:G,4,0)</f>
        <v>#N/A</v>
      </c>
      <c r="K765" s="4" t="e">
        <f t="shared" si="21"/>
        <v>#N/A</v>
      </c>
      <c r="L765" s="62"/>
      <c r="M765" s="63"/>
    </row>
    <row r="766" spans="1:13" s="45" customFormat="1" ht="13.25" customHeight="1" x14ac:dyDescent="0.3">
      <c r="A766" s="55">
        <v>46141</v>
      </c>
      <c r="B766" s="56" t="e">
        <f>VLOOKUP(C766,[7]完成订单!$D:$D,1,0)</f>
        <v>#N/A</v>
      </c>
      <c r="C766" s="57">
        <v>10400031033</v>
      </c>
      <c r="D766" s="57">
        <v>110001307028</v>
      </c>
      <c r="E766" s="57">
        <v>110001307029</v>
      </c>
      <c r="F766" s="58" t="s">
        <v>306</v>
      </c>
      <c r="G766" s="59">
        <v>3000</v>
      </c>
      <c r="H766" s="53" t="e">
        <f>H765-2</f>
        <v>#N/A</v>
      </c>
      <c r="I766" s="55">
        <f t="shared" si="20"/>
        <v>46141</v>
      </c>
      <c r="J766" s="57" t="e">
        <f>VLOOKUP(D766,DIP计划!D:G,4,0)</f>
        <v>#N/A</v>
      </c>
      <c r="K766" s="4" t="e">
        <f t="shared" si="21"/>
        <v>#N/A</v>
      </c>
      <c r="L766" s="62"/>
      <c r="M766" s="63"/>
    </row>
    <row r="767" spans="1:13" s="45" customFormat="1" ht="13.25" customHeight="1" x14ac:dyDescent="0.3">
      <c r="A767" s="55">
        <v>46141</v>
      </c>
      <c r="B767" s="56">
        <f>VLOOKUP(C767,[7]完成订单!$D:$D,1,0)</f>
        <v>10880036503</v>
      </c>
      <c r="C767" s="57">
        <v>10880036503</v>
      </c>
      <c r="D767" s="57">
        <v>110001307192</v>
      </c>
      <c r="E767" s="57">
        <v>110001307192</v>
      </c>
      <c r="F767" s="58" t="s">
        <v>35</v>
      </c>
      <c r="G767" s="59">
        <v>250</v>
      </c>
      <c r="H767" s="53">
        <f>VLOOKUP(E767,DIP计划!E:J,6,0)</f>
        <v>46151</v>
      </c>
      <c r="I767" s="55">
        <f t="shared" si="20"/>
        <v>46141</v>
      </c>
      <c r="J767" s="57">
        <f>VLOOKUP(D767,DIP计划!D:G,4,0)</f>
        <v>250</v>
      </c>
      <c r="K767" s="4">
        <f t="shared" si="21"/>
        <v>0</v>
      </c>
      <c r="L767" s="62"/>
      <c r="M767" s="63"/>
    </row>
    <row r="768" spans="1:13" s="45" customFormat="1" ht="13.25" customHeight="1" x14ac:dyDescent="0.3">
      <c r="A768" s="55">
        <v>46141</v>
      </c>
      <c r="B768" s="56">
        <f>VLOOKUP(C768,[7]完成订单!$D:$D,1,0)</f>
        <v>10400031134</v>
      </c>
      <c r="C768" s="57">
        <v>10400031134</v>
      </c>
      <c r="D768" s="57">
        <v>110001307192</v>
      </c>
      <c r="E768" s="57">
        <v>110001307193</v>
      </c>
      <c r="F768" s="58" t="s">
        <v>32</v>
      </c>
      <c r="G768" s="59">
        <v>250</v>
      </c>
      <c r="H768" s="53" t="e">
        <f>VLOOKUP(E768,DIP计划!E:J,6,0)</f>
        <v>#N/A</v>
      </c>
      <c r="I768" s="55">
        <f t="shared" si="20"/>
        <v>46141</v>
      </c>
      <c r="J768" s="57">
        <f>VLOOKUP(D768,DIP计划!D:G,4,0)</f>
        <v>250</v>
      </c>
      <c r="K768" s="4">
        <f t="shared" si="21"/>
        <v>0</v>
      </c>
      <c r="L768" s="62"/>
      <c r="M768" s="63"/>
    </row>
    <row r="769" spans="1:13" s="45" customFormat="1" ht="13.25" customHeight="1" x14ac:dyDescent="0.3">
      <c r="A769" s="55">
        <v>46141</v>
      </c>
      <c r="B769" s="56">
        <f>VLOOKUP(C769,[7]完成订单!$D:$D,1,0)</f>
        <v>10400029072</v>
      </c>
      <c r="C769" s="57">
        <v>10400029072</v>
      </c>
      <c r="D769" s="57">
        <v>110001307192</v>
      </c>
      <c r="E769" s="57">
        <v>110001307194</v>
      </c>
      <c r="F769" s="58" t="s">
        <v>24</v>
      </c>
      <c r="G769" s="59">
        <v>250</v>
      </c>
      <c r="H769" s="53" t="e">
        <f>VLOOKUP(E769,DIP计划!E:J,6,0)</f>
        <v>#N/A</v>
      </c>
      <c r="I769" s="55">
        <f t="shared" ref="I769:I831" si="22">A769</f>
        <v>46141</v>
      </c>
      <c r="J769" s="57">
        <f>VLOOKUP(D769,DIP计划!D:G,4,0)</f>
        <v>250</v>
      </c>
      <c r="K769" s="4">
        <f t="shared" ref="K769:K831" si="23">+J769-G769</f>
        <v>0</v>
      </c>
      <c r="L769" s="62"/>
      <c r="M769" s="63"/>
    </row>
    <row r="770" spans="1:13" s="45" customFormat="1" ht="13.25" customHeight="1" x14ac:dyDescent="0.3">
      <c r="A770" s="55">
        <v>46141</v>
      </c>
      <c r="B770" s="56" t="e">
        <f>VLOOKUP(C770,[7]完成订单!$D:$D,1,0)</f>
        <v>#N/A</v>
      </c>
      <c r="C770" s="57">
        <v>10400031133</v>
      </c>
      <c r="D770" s="57">
        <v>110001307192</v>
      </c>
      <c r="E770" s="57">
        <v>110001307195</v>
      </c>
      <c r="F770" s="58" t="s">
        <v>32</v>
      </c>
      <c r="G770" s="59">
        <v>250</v>
      </c>
      <c r="H770" s="53" t="e">
        <f>H768-2</f>
        <v>#N/A</v>
      </c>
      <c r="I770" s="55">
        <f t="shared" si="22"/>
        <v>46141</v>
      </c>
      <c r="J770" s="57">
        <f>VLOOKUP(D770,DIP计划!D:G,4,0)</f>
        <v>250</v>
      </c>
      <c r="K770" s="4">
        <f t="shared" si="23"/>
        <v>0</v>
      </c>
      <c r="L770" s="62"/>
      <c r="M770" s="63"/>
    </row>
    <row r="771" spans="1:13" s="45" customFormat="1" ht="13.25" customHeight="1" x14ac:dyDescent="0.3">
      <c r="A771" s="55">
        <v>46141</v>
      </c>
      <c r="B771" s="56" t="e">
        <f>VLOOKUP(C771,[7]完成订单!$D:$D,1,0)</f>
        <v>#N/A</v>
      </c>
      <c r="C771" s="57">
        <v>10400029073</v>
      </c>
      <c r="D771" s="57">
        <v>110001307192</v>
      </c>
      <c r="E771" s="57">
        <v>110001307196</v>
      </c>
      <c r="F771" s="58" t="s">
        <v>24</v>
      </c>
      <c r="G771" s="59">
        <v>250</v>
      </c>
      <c r="H771" s="53" t="e">
        <f>H769-2</f>
        <v>#N/A</v>
      </c>
      <c r="I771" s="55">
        <f t="shared" si="22"/>
        <v>46141</v>
      </c>
      <c r="J771" s="57">
        <f>VLOOKUP(D771,DIP计划!D:G,4,0)</f>
        <v>250</v>
      </c>
      <c r="K771" s="4">
        <f t="shared" si="23"/>
        <v>0</v>
      </c>
      <c r="L771" s="62"/>
      <c r="M771" s="63"/>
    </row>
    <row r="772" spans="1:13" s="45" customFormat="1" ht="13.25" customHeight="1" x14ac:dyDescent="0.3">
      <c r="A772" s="55">
        <v>46141</v>
      </c>
      <c r="B772" s="56">
        <f>VLOOKUP(C772,[7]完成订单!$D:$D,1,0)</f>
        <v>10880036205</v>
      </c>
      <c r="C772" s="57">
        <v>10880036205</v>
      </c>
      <c r="D772" s="57">
        <v>110001307405</v>
      </c>
      <c r="E772" s="57">
        <v>110001307405</v>
      </c>
      <c r="F772" s="58" t="s">
        <v>22</v>
      </c>
      <c r="G772" s="59">
        <v>800</v>
      </c>
      <c r="H772" s="53" t="e">
        <f>VLOOKUP(E772,DIP计划!E:J,6,0)</f>
        <v>#N/A</v>
      </c>
      <c r="I772" s="55">
        <f t="shared" si="22"/>
        <v>46141</v>
      </c>
      <c r="J772" s="57" t="e">
        <f>VLOOKUP(D772,DIP计划!D:G,4,0)</f>
        <v>#N/A</v>
      </c>
      <c r="K772" s="4" t="e">
        <f t="shared" si="23"/>
        <v>#N/A</v>
      </c>
      <c r="L772" s="62"/>
      <c r="M772" s="63"/>
    </row>
    <row r="773" spans="1:13" s="45" customFormat="1" ht="13.25" customHeight="1" x14ac:dyDescent="0.3">
      <c r="A773" s="55">
        <v>46141</v>
      </c>
      <c r="B773" s="56">
        <f>VLOOKUP(C773,[7]完成订单!$D:$D,1,0)</f>
        <v>10400030735</v>
      </c>
      <c r="C773" s="57">
        <v>10400030735</v>
      </c>
      <c r="D773" s="57">
        <v>110001307405</v>
      </c>
      <c r="E773" s="57">
        <v>110001307406</v>
      </c>
      <c r="F773" s="58" t="s">
        <v>33</v>
      </c>
      <c r="G773" s="59">
        <v>800</v>
      </c>
      <c r="H773" s="53" t="e">
        <f>VLOOKUP(E773,DIP计划!E:J,6,0)</f>
        <v>#N/A</v>
      </c>
      <c r="I773" s="55">
        <f t="shared" si="22"/>
        <v>46141</v>
      </c>
      <c r="J773" s="57" t="e">
        <f>VLOOKUP(D773,DIP计划!D:G,4,0)</f>
        <v>#N/A</v>
      </c>
      <c r="K773" s="4" t="e">
        <f t="shared" si="23"/>
        <v>#N/A</v>
      </c>
      <c r="L773" s="62"/>
      <c r="M773" s="63"/>
    </row>
    <row r="774" spans="1:13" s="45" customFormat="1" ht="13.25" customHeight="1" x14ac:dyDescent="0.3">
      <c r="A774" s="55">
        <v>46141</v>
      </c>
      <c r="B774" s="56">
        <f>VLOOKUP(C774,[7]完成订单!$D:$D,1,0)</f>
        <v>10400029072</v>
      </c>
      <c r="C774" s="57">
        <v>10400029072</v>
      </c>
      <c r="D774" s="57">
        <v>110001307405</v>
      </c>
      <c r="E774" s="57">
        <v>110001307407</v>
      </c>
      <c r="F774" s="58" t="s">
        <v>24</v>
      </c>
      <c r="G774" s="59">
        <v>800</v>
      </c>
      <c r="H774" s="53" t="e">
        <f>VLOOKUP(E774,DIP计划!E:J,6,0)</f>
        <v>#N/A</v>
      </c>
      <c r="I774" s="55">
        <f t="shared" si="22"/>
        <v>46141</v>
      </c>
      <c r="J774" s="57" t="e">
        <f>VLOOKUP(D774,DIP计划!D:G,4,0)</f>
        <v>#N/A</v>
      </c>
      <c r="K774" s="4" t="e">
        <f t="shared" si="23"/>
        <v>#N/A</v>
      </c>
      <c r="L774" s="62"/>
      <c r="M774" s="63"/>
    </row>
    <row r="775" spans="1:13" s="45" customFormat="1" ht="13.25" customHeight="1" x14ac:dyDescent="0.3">
      <c r="A775" s="55">
        <v>46141</v>
      </c>
      <c r="B775" s="56" t="e">
        <f>VLOOKUP(C775,[7]完成订单!$D:$D,1,0)</f>
        <v>#N/A</v>
      </c>
      <c r="C775" s="57">
        <v>10400030736</v>
      </c>
      <c r="D775" s="57">
        <v>110001307405</v>
      </c>
      <c r="E775" s="57">
        <v>110001307408</v>
      </c>
      <c r="F775" s="58" t="s">
        <v>33</v>
      </c>
      <c r="G775" s="59">
        <v>800</v>
      </c>
      <c r="H775" s="53" t="e">
        <f>H773-2</f>
        <v>#N/A</v>
      </c>
      <c r="I775" s="55">
        <f t="shared" si="22"/>
        <v>46141</v>
      </c>
      <c r="J775" s="57" t="e">
        <f>VLOOKUP(D775,DIP计划!D:G,4,0)</f>
        <v>#N/A</v>
      </c>
      <c r="K775" s="4" t="e">
        <f t="shared" si="23"/>
        <v>#N/A</v>
      </c>
      <c r="L775" s="62"/>
      <c r="M775" s="63"/>
    </row>
    <row r="776" spans="1:13" s="45" customFormat="1" ht="13.25" customHeight="1" x14ac:dyDescent="0.3">
      <c r="A776" s="55">
        <v>46141</v>
      </c>
      <c r="B776" s="56" t="e">
        <f>VLOOKUP(C776,[7]完成订单!$D:$D,1,0)</f>
        <v>#N/A</v>
      </c>
      <c r="C776" s="57">
        <v>10400029073</v>
      </c>
      <c r="D776" s="57">
        <v>110001307405</v>
      </c>
      <c r="E776" s="57">
        <v>110001307409</v>
      </c>
      <c r="F776" s="58" t="s">
        <v>24</v>
      </c>
      <c r="G776" s="59">
        <v>800</v>
      </c>
      <c r="H776" s="53" t="e">
        <f>H774-2</f>
        <v>#N/A</v>
      </c>
      <c r="I776" s="55">
        <f t="shared" si="22"/>
        <v>46141</v>
      </c>
      <c r="J776" s="57" t="e">
        <f>VLOOKUP(D776,DIP计划!D:G,4,0)</f>
        <v>#N/A</v>
      </c>
      <c r="K776" s="4" t="e">
        <f t="shared" si="23"/>
        <v>#N/A</v>
      </c>
      <c r="L776" s="62"/>
      <c r="M776" s="63"/>
    </row>
    <row r="777" spans="1:13" s="45" customFormat="1" ht="13.25" customHeight="1" x14ac:dyDescent="0.3">
      <c r="A777" s="55">
        <v>46141</v>
      </c>
      <c r="B777" s="56">
        <f>VLOOKUP(C777,[7]完成订单!$D:$D,1,0)</f>
        <v>10880036479</v>
      </c>
      <c r="C777" s="57">
        <v>10880036479</v>
      </c>
      <c r="D777" s="57">
        <v>110001307410</v>
      </c>
      <c r="E777" s="57">
        <v>110001307410</v>
      </c>
      <c r="F777" s="58" t="s">
        <v>30</v>
      </c>
      <c r="G777" s="59">
        <v>429</v>
      </c>
      <c r="H777" s="53">
        <f>VLOOKUP(E777,DIP计划!E:J,6,0)</f>
        <v>46152</v>
      </c>
      <c r="I777" s="55">
        <f t="shared" si="22"/>
        <v>46141</v>
      </c>
      <c r="J777" s="57">
        <f>VLOOKUP(D777,DIP计划!D:G,4,0)</f>
        <v>429</v>
      </c>
      <c r="K777" s="4">
        <f t="shared" si="23"/>
        <v>0</v>
      </c>
      <c r="L777" s="62"/>
      <c r="M777" s="63"/>
    </row>
    <row r="778" spans="1:13" s="45" customFormat="1" ht="13.25" customHeight="1" x14ac:dyDescent="0.3">
      <c r="A778" s="55">
        <v>46141</v>
      </c>
      <c r="B778" s="56">
        <f>VLOOKUP(C778,[7]完成订单!$D:$D,1,0)</f>
        <v>10400031098</v>
      </c>
      <c r="C778" s="57">
        <v>10400031098</v>
      </c>
      <c r="D778" s="57">
        <v>110001307410</v>
      </c>
      <c r="E778" s="57">
        <v>110001307411</v>
      </c>
      <c r="F778" s="58" t="s">
        <v>28</v>
      </c>
      <c r="G778" s="59">
        <v>429</v>
      </c>
      <c r="H778" s="53">
        <f>VLOOKUP(E778,DIP计划!E:J,6,0)</f>
        <v>46151</v>
      </c>
      <c r="I778" s="55">
        <f t="shared" si="22"/>
        <v>46141</v>
      </c>
      <c r="J778" s="57">
        <f>VLOOKUP(D778,DIP计划!D:G,4,0)</f>
        <v>429</v>
      </c>
      <c r="K778" s="4">
        <f t="shared" si="23"/>
        <v>0</v>
      </c>
      <c r="L778" s="62"/>
      <c r="M778" s="63"/>
    </row>
    <row r="779" spans="1:13" s="45" customFormat="1" ht="13.25" customHeight="1" x14ac:dyDescent="0.3">
      <c r="A779" s="55">
        <v>46141</v>
      </c>
      <c r="B779" s="56">
        <f>VLOOKUP(C779,[7]完成订单!$D:$D,1,0)</f>
        <v>10400030646</v>
      </c>
      <c r="C779" s="57">
        <v>10400030646</v>
      </c>
      <c r="D779" s="57">
        <v>110001307410</v>
      </c>
      <c r="E779" s="57">
        <v>110001307412</v>
      </c>
      <c r="F779" s="58" t="s">
        <v>40</v>
      </c>
      <c r="G779" s="59">
        <v>429</v>
      </c>
      <c r="H779" s="53" t="e">
        <f>VLOOKUP(E779,DIP计划!E:J,6,0)</f>
        <v>#N/A</v>
      </c>
      <c r="I779" s="55">
        <f t="shared" si="22"/>
        <v>46141</v>
      </c>
      <c r="J779" s="57">
        <f>VLOOKUP(D779,DIP计划!D:G,4,0)</f>
        <v>429</v>
      </c>
      <c r="K779" s="4">
        <f t="shared" si="23"/>
        <v>0</v>
      </c>
      <c r="L779" s="62"/>
      <c r="M779" s="63"/>
    </row>
    <row r="780" spans="1:13" s="45" customFormat="1" ht="13.25" customHeight="1" x14ac:dyDescent="0.3">
      <c r="A780" s="55">
        <v>46141</v>
      </c>
      <c r="B780" s="56" t="e">
        <f>VLOOKUP(C780,[7]完成订单!$D:$D,1,0)</f>
        <v>#N/A</v>
      </c>
      <c r="C780" s="57">
        <v>10400031099</v>
      </c>
      <c r="D780" s="57">
        <v>110001307410</v>
      </c>
      <c r="E780" s="57">
        <v>110001307413</v>
      </c>
      <c r="F780" s="58" t="s">
        <v>28</v>
      </c>
      <c r="G780" s="59">
        <v>429</v>
      </c>
      <c r="H780" s="53">
        <f>H778-2</f>
        <v>46149</v>
      </c>
      <c r="I780" s="55">
        <f t="shared" si="22"/>
        <v>46141</v>
      </c>
      <c r="J780" s="57">
        <f>VLOOKUP(D780,DIP计划!D:G,4,0)</f>
        <v>429</v>
      </c>
      <c r="K780" s="4">
        <f t="shared" si="23"/>
        <v>0</v>
      </c>
      <c r="L780" s="62"/>
      <c r="M780" s="63"/>
    </row>
    <row r="781" spans="1:13" s="45" customFormat="1" ht="13.25" customHeight="1" x14ac:dyDescent="0.3">
      <c r="A781" s="55">
        <v>46141</v>
      </c>
      <c r="B781" s="56" t="e">
        <f>VLOOKUP(C781,[7]完成订单!$D:$D,1,0)</f>
        <v>#N/A</v>
      </c>
      <c r="C781" s="57">
        <v>10400030647</v>
      </c>
      <c r="D781" s="57">
        <v>110001307410</v>
      </c>
      <c r="E781" s="57">
        <v>110001307414</v>
      </c>
      <c r="F781" s="58" t="s">
        <v>40</v>
      </c>
      <c r="G781" s="59">
        <v>429</v>
      </c>
      <c r="H781" s="53" t="e">
        <f>H779-2</f>
        <v>#N/A</v>
      </c>
      <c r="I781" s="55">
        <f t="shared" si="22"/>
        <v>46141</v>
      </c>
      <c r="J781" s="57">
        <f>VLOOKUP(D781,DIP计划!D:G,4,0)</f>
        <v>429</v>
      </c>
      <c r="K781" s="4">
        <f t="shared" si="23"/>
        <v>0</v>
      </c>
      <c r="L781" s="62"/>
      <c r="M781" s="63"/>
    </row>
    <row r="782" spans="1:13" s="45" customFormat="1" ht="13.25" customHeight="1" x14ac:dyDescent="0.3">
      <c r="A782" s="55">
        <v>46141</v>
      </c>
      <c r="B782" s="56">
        <f>VLOOKUP(C782,[7]完成订单!$D:$D,1,0)</f>
        <v>10880036493</v>
      </c>
      <c r="C782" s="57">
        <v>10880036493</v>
      </c>
      <c r="D782" s="57">
        <v>110001307420</v>
      </c>
      <c r="E782" s="57">
        <v>110001307420</v>
      </c>
      <c r="F782" s="58" t="s">
        <v>38</v>
      </c>
      <c r="G782" s="59">
        <v>190</v>
      </c>
      <c r="H782" s="53">
        <f>VLOOKUP(E782,DIP计划!E:J,6,0)</f>
        <v>46151</v>
      </c>
      <c r="I782" s="55">
        <f t="shared" si="22"/>
        <v>46141</v>
      </c>
      <c r="J782" s="57">
        <f>VLOOKUP(D782,DIP计划!D:G,4,0)</f>
        <v>190</v>
      </c>
      <c r="K782" s="4">
        <f t="shared" si="23"/>
        <v>0</v>
      </c>
      <c r="L782" s="62"/>
      <c r="M782" s="63"/>
    </row>
    <row r="783" spans="1:13" s="45" customFormat="1" ht="13.25" customHeight="1" x14ac:dyDescent="0.3">
      <c r="A783" s="55">
        <v>46141</v>
      </c>
      <c r="B783" s="56">
        <f>VLOOKUP(C783,[7]完成订单!$D:$D,1,0)</f>
        <v>10400031117</v>
      </c>
      <c r="C783" s="57">
        <v>10400031117</v>
      </c>
      <c r="D783" s="57">
        <v>110001307420</v>
      </c>
      <c r="E783" s="57">
        <v>110001307421</v>
      </c>
      <c r="F783" s="58" t="s">
        <v>36</v>
      </c>
      <c r="G783" s="59">
        <v>190</v>
      </c>
      <c r="H783" s="53" t="e">
        <f>VLOOKUP(E783,DIP计划!E:J,6,0)</f>
        <v>#N/A</v>
      </c>
      <c r="I783" s="55">
        <f t="shared" si="22"/>
        <v>46141</v>
      </c>
      <c r="J783" s="57">
        <f>VLOOKUP(D783,DIP计划!D:G,4,0)</f>
        <v>190</v>
      </c>
      <c r="K783" s="4">
        <f t="shared" si="23"/>
        <v>0</v>
      </c>
      <c r="L783" s="62"/>
      <c r="M783" s="63"/>
    </row>
    <row r="784" spans="1:13" s="45" customFormat="1" ht="13.25" customHeight="1" x14ac:dyDescent="0.3">
      <c r="A784" s="55">
        <v>46141</v>
      </c>
      <c r="B784" s="56">
        <f>VLOOKUP(C784,[7]完成订单!$D:$D,1,0)</f>
        <v>10400029072</v>
      </c>
      <c r="C784" s="57">
        <v>10400029072</v>
      </c>
      <c r="D784" s="57">
        <v>110001307420</v>
      </c>
      <c r="E784" s="57">
        <v>110001307422</v>
      </c>
      <c r="F784" s="58" t="s">
        <v>24</v>
      </c>
      <c r="G784" s="59">
        <v>190</v>
      </c>
      <c r="H784" s="53" t="e">
        <f>VLOOKUP(E784,DIP计划!E:J,6,0)</f>
        <v>#N/A</v>
      </c>
      <c r="I784" s="55">
        <f t="shared" si="22"/>
        <v>46141</v>
      </c>
      <c r="J784" s="57">
        <f>VLOOKUP(D784,DIP计划!D:G,4,0)</f>
        <v>190</v>
      </c>
      <c r="K784" s="4">
        <f t="shared" si="23"/>
        <v>0</v>
      </c>
      <c r="L784" s="62"/>
      <c r="M784" s="63"/>
    </row>
    <row r="785" spans="1:13" s="45" customFormat="1" ht="13.25" customHeight="1" x14ac:dyDescent="0.3">
      <c r="A785" s="55">
        <v>46141</v>
      </c>
      <c r="B785" s="56" t="e">
        <f>VLOOKUP(C785,[7]完成订单!$D:$D,1,0)</f>
        <v>#N/A</v>
      </c>
      <c r="C785" s="57">
        <v>10400031115</v>
      </c>
      <c r="D785" s="57">
        <v>110001307420</v>
      </c>
      <c r="E785" s="57">
        <v>110001307423</v>
      </c>
      <c r="F785" s="58" t="s">
        <v>36</v>
      </c>
      <c r="G785" s="59">
        <v>190</v>
      </c>
      <c r="H785" s="53" t="e">
        <f>H783-2</f>
        <v>#N/A</v>
      </c>
      <c r="I785" s="55">
        <f t="shared" si="22"/>
        <v>46141</v>
      </c>
      <c r="J785" s="57">
        <f>VLOOKUP(D785,DIP计划!D:G,4,0)</f>
        <v>190</v>
      </c>
      <c r="K785" s="4">
        <f t="shared" si="23"/>
        <v>0</v>
      </c>
      <c r="L785" s="62"/>
      <c r="M785" s="63"/>
    </row>
    <row r="786" spans="1:13" s="45" customFormat="1" ht="13.25" customHeight="1" x14ac:dyDescent="0.3">
      <c r="A786" s="55">
        <v>46141</v>
      </c>
      <c r="B786" s="56" t="e">
        <f>VLOOKUP(C786,[7]完成订单!$D:$D,1,0)</f>
        <v>#N/A</v>
      </c>
      <c r="C786" s="57">
        <v>10400029073</v>
      </c>
      <c r="D786" s="57">
        <v>110001307420</v>
      </c>
      <c r="E786" s="57">
        <v>110001307424</v>
      </c>
      <c r="F786" s="58" t="s">
        <v>24</v>
      </c>
      <c r="G786" s="59">
        <v>190</v>
      </c>
      <c r="H786" s="53" t="e">
        <f>H784-2</f>
        <v>#N/A</v>
      </c>
      <c r="I786" s="55">
        <f t="shared" si="22"/>
        <v>46141</v>
      </c>
      <c r="J786" s="57">
        <f>VLOOKUP(D786,DIP计划!D:G,4,0)</f>
        <v>190</v>
      </c>
      <c r="K786" s="4">
        <f t="shared" si="23"/>
        <v>0</v>
      </c>
      <c r="L786" s="62"/>
      <c r="M786" s="63"/>
    </row>
    <row r="787" spans="1:13" s="45" customFormat="1" ht="13.25" customHeight="1" x14ac:dyDescent="0.3">
      <c r="A787" s="55">
        <v>46141</v>
      </c>
      <c r="B787" s="56">
        <f>VLOOKUP(C787,[7]完成订单!$D:$D,1,0)</f>
        <v>10880029054</v>
      </c>
      <c r="C787" s="57">
        <v>10880029054</v>
      </c>
      <c r="D787" s="57">
        <v>110001308383</v>
      </c>
      <c r="E787" s="57">
        <v>110001308383</v>
      </c>
      <c r="F787" s="58" t="s">
        <v>179</v>
      </c>
      <c r="G787" s="59">
        <v>800</v>
      </c>
      <c r="H787" s="53" t="e">
        <f>VLOOKUP(E787,DIP计划!E:J,6,0)</f>
        <v>#N/A</v>
      </c>
      <c r="I787" s="55">
        <f t="shared" si="22"/>
        <v>46141</v>
      </c>
      <c r="J787" s="57" t="e">
        <f>VLOOKUP(D787,DIP计划!D:G,4,0)</f>
        <v>#N/A</v>
      </c>
      <c r="K787" s="4" t="e">
        <f t="shared" si="23"/>
        <v>#N/A</v>
      </c>
      <c r="L787" s="62"/>
      <c r="M787" s="63"/>
    </row>
    <row r="788" spans="1:13" s="45" customFormat="1" ht="13.25" customHeight="1" x14ac:dyDescent="0.3">
      <c r="A788" s="55">
        <v>46141</v>
      </c>
      <c r="B788" s="56" t="e">
        <f>VLOOKUP(C788,[7]完成订单!$D:$D,1,0)</f>
        <v>#N/A</v>
      </c>
      <c r="C788" s="57">
        <v>10400023311</v>
      </c>
      <c r="D788" s="57">
        <v>110001308383</v>
      </c>
      <c r="E788" s="57">
        <v>110001308384</v>
      </c>
      <c r="F788" s="58" t="s">
        <v>727</v>
      </c>
      <c r="G788" s="59">
        <v>800</v>
      </c>
      <c r="H788" s="53" t="e">
        <f>H787-2</f>
        <v>#N/A</v>
      </c>
      <c r="I788" s="55">
        <f t="shared" si="22"/>
        <v>46141</v>
      </c>
      <c r="J788" s="57" t="e">
        <f>VLOOKUP(D788,DIP计划!D:G,4,0)</f>
        <v>#N/A</v>
      </c>
      <c r="K788" s="4" t="e">
        <f t="shared" si="23"/>
        <v>#N/A</v>
      </c>
      <c r="L788" s="62"/>
      <c r="M788" s="63"/>
    </row>
    <row r="789" spans="1:13" s="45" customFormat="1" ht="13.25" customHeight="1" x14ac:dyDescent="0.3">
      <c r="A789" s="55">
        <v>46141</v>
      </c>
      <c r="B789" s="56">
        <f>VLOOKUP(C789,[7]完成订单!$D:$D,1,0)</f>
        <v>10880030977</v>
      </c>
      <c r="C789" s="57">
        <v>10880030977</v>
      </c>
      <c r="D789" s="57">
        <v>110001308387</v>
      </c>
      <c r="E789" s="57">
        <v>110001308387</v>
      </c>
      <c r="F789" s="58" t="s">
        <v>199</v>
      </c>
      <c r="G789" s="59">
        <v>200</v>
      </c>
      <c r="H789" s="53">
        <f>VLOOKUP(E789,DIP计划!E:J,6,0)</f>
        <v>46150</v>
      </c>
      <c r="I789" s="55">
        <f t="shared" si="22"/>
        <v>46141</v>
      </c>
      <c r="J789" s="57">
        <f>VLOOKUP(D789,DIP计划!D:G,4,0)</f>
        <v>200</v>
      </c>
      <c r="K789" s="4">
        <f t="shared" si="23"/>
        <v>0</v>
      </c>
      <c r="L789" s="62"/>
      <c r="M789" s="63"/>
    </row>
    <row r="790" spans="1:13" s="45" customFormat="1" ht="13.25" customHeight="1" x14ac:dyDescent="0.3">
      <c r="A790" s="55">
        <v>46141</v>
      </c>
      <c r="B790" s="56" t="e">
        <f>VLOOKUP(C790,[7]完成订单!$D:$D,1,0)</f>
        <v>#N/A</v>
      </c>
      <c r="C790" s="57">
        <v>10400024769</v>
      </c>
      <c r="D790" s="57">
        <v>110001308387</v>
      </c>
      <c r="E790" s="57">
        <v>110001308388</v>
      </c>
      <c r="F790" s="58" t="s">
        <v>199</v>
      </c>
      <c r="G790" s="59">
        <v>200</v>
      </c>
      <c r="H790" s="53">
        <f>H789-2</f>
        <v>46148</v>
      </c>
      <c r="I790" s="55">
        <f t="shared" si="22"/>
        <v>46141</v>
      </c>
      <c r="J790" s="57">
        <f>VLOOKUP(D790,DIP计划!D:G,4,0)</f>
        <v>200</v>
      </c>
      <c r="K790" s="4">
        <f t="shared" si="23"/>
        <v>0</v>
      </c>
      <c r="L790" s="62"/>
      <c r="M790" s="63"/>
    </row>
    <row r="791" spans="1:13" s="45" customFormat="1" ht="13.25" customHeight="1" x14ac:dyDescent="0.3">
      <c r="A791" s="55">
        <v>46141</v>
      </c>
      <c r="B791" s="56">
        <f>VLOOKUP(C791,[7]完成订单!$D:$D,1,0)</f>
        <v>10880035513</v>
      </c>
      <c r="C791" s="57">
        <v>10880035513</v>
      </c>
      <c r="D791" s="57">
        <v>110001308397</v>
      </c>
      <c r="E791" s="57">
        <v>110001308397</v>
      </c>
      <c r="F791" s="58" t="s">
        <v>167</v>
      </c>
      <c r="G791" s="59">
        <v>1000</v>
      </c>
      <c r="H791" s="53">
        <f>VLOOKUP(E791,DIP计划!E:J,6,0)</f>
        <v>46149</v>
      </c>
      <c r="I791" s="55">
        <f t="shared" si="22"/>
        <v>46141</v>
      </c>
      <c r="J791" s="57">
        <f>VLOOKUP(D791,DIP计划!D:G,4,0)</f>
        <v>1000</v>
      </c>
      <c r="K791" s="4">
        <f t="shared" si="23"/>
        <v>0</v>
      </c>
      <c r="L791" s="62"/>
      <c r="M791" s="63"/>
    </row>
    <row r="792" spans="1:13" s="45" customFormat="1" ht="13.25" customHeight="1" x14ac:dyDescent="0.3">
      <c r="A792" s="55">
        <v>46141</v>
      </c>
      <c r="B792" s="56" t="e">
        <f>VLOOKUP(C792,[7]完成订单!$D:$D,1,0)</f>
        <v>#N/A</v>
      </c>
      <c r="C792" s="57">
        <v>10400029789</v>
      </c>
      <c r="D792" s="57">
        <v>110001308397</v>
      </c>
      <c r="E792" s="57">
        <v>110001308398</v>
      </c>
      <c r="F792" s="58" t="s">
        <v>353</v>
      </c>
      <c r="G792" s="59">
        <v>1000</v>
      </c>
      <c r="H792" s="53">
        <f>H791-2</f>
        <v>46147</v>
      </c>
      <c r="I792" s="55">
        <f t="shared" si="22"/>
        <v>46141</v>
      </c>
      <c r="J792" s="57">
        <f>VLOOKUP(D792,DIP计划!D:G,4,0)</f>
        <v>1000</v>
      </c>
      <c r="K792" s="4">
        <f t="shared" si="23"/>
        <v>0</v>
      </c>
      <c r="L792" s="62"/>
      <c r="M792" s="63"/>
    </row>
    <row r="793" spans="1:13" s="45" customFormat="1" ht="13.25" customHeight="1" x14ac:dyDescent="0.3">
      <c r="A793" s="55">
        <v>46141</v>
      </c>
      <c r="B793" s="56">
        <f>VLOOKUP(C793,[7]完成订单!$D:$D,1,0)</f>
        <v>10880035661</v>
      </c>
      <c r="C793" s="57">
        <v>10880035661</v>
      </c>
      <c r="D793" s="57">
        <v>110001308399</v>
      </c>
      <c r="E793" s="57">
        <v>110001308399</v>
      </c>
      <c r="F793" s="58" t="s">
        <v>100</v>
      </c>
      <c r="G793" s="59">
        <v>800</v>
      </c>
      <c r="H793" s="53" t="e">
        <f>VLOOKUP(E793,DIP计划!E:J,6,0)</f>
        <v>#N/A</v>
      </c>
      <c r="I793" s="55">
        <f t="shared" si="22"/>
        <v>46141</v>
      </c>
      <c r="J793" s="57" t="e">
        <f>VLOOKUP(D793,DIP计划!D:G,4,0)</f>
        <v>#N/A</v>
      </c>
      <c r="K793" s="4" t="e">
        <f t="shared" si="23"/>
        <v>#N/A</v>
      </c>
      <c r="L793" s="62"/>
      <c r="M793" s="63"/>
    </row>
    <row r="794" spans="1:13" s="45" customFormat="1" ht="13.25" customHeight="1" x14ac:dyDescent="0.3">
      <c r="A794" s="55">
        <v>46141</v>
      </c>
      <c r="B794" s="56" t="e">
        <f>VLOOKUP(C794,[7]完成订单!$D:$D,1,0)</f>
        <v>#N/A</v>
      </c>
      <c r="C794" s="57">
        <v>10400030021</v>
      </c>
      <c r="D794" s="57">
        <v>110001308399</v>
      </c>
      <c r="E794" s="57">
        <v>110001308400</v>
      </c>
      <c r="F794" s="58" t="s">
        <v>290</v>
      </c>
      <c r="G794" s="59">
        <v>800</v>
      </c>
      <c r="H794" s="53" t="e">
        <f>H793-2</f>
        <v>#N/A</v>
      </c>
      <c r="I794" s="55">
        <f t="shared" si="22"/>
        <v>46141</v>
      </c>
      <c r="J794" s="57" t="e">
        <f>VLOOKUP(D794,DIP计划!D:G,4,0)</f>
        <v>#N/A</v>
      </c>
      <c r="K794" s="4" t="e">
        <f t="shared" si="23"/>
        <v>#N/A</v>
      </c>
      <c r="L794" s="62"/>
      <c r="M794" s="63"/>
    </row>
    <row r="795" spans="1:13" s="45" customFormat="1" ht="13.25" customHeight="1" x14ac:dyDescent="0.3">
      <c r="A795" s="55">
        <v>46141</v>
      </c>
      <c r="B795" s="56">
        <f>VLOOKUP(C795,[7]完成订单!$D:$D,1,0)</f>
        <v>10880036350</v>
      </c>
      <c r="C795" s="57">
        <v>10880036350</v>
      </c>
      <c r="D795" s="57">
        <v>110001308401</v>
      </c>
      <c r="E795" s="57">
        <v>110001308401</v>
      </c>
      <c r="F795" s="58" t="s">
        <v>225</v>
      </c>
      <c r="G795" s="59">
        <v>400</v>
      </c>
      <c r="H795" s="53" t="e">
        <f>VLOOKUP(E795,DIP计划!E:J,6,0)</f>
        <v>#N/A</v>
      </c>
      <c r="I795" s="55">
        <f t="shared" si="22"/>
        <v>46141</v>
      </c>
      <c r="J795" s="57" t="e">
        <f>VLOOKUP(D795,DIP计划!D:G,4,0)</f>
        <v>#N/A</v>
      </c>
      <c r="K795" s="4" t="e">
        <f t="shared" si="23"/>
        <v>#N/A</v>
      </c>
      <c r="L795" s="62"/>
      <c r="M795" s="63"/>
    </row>
    <row r="796" spans="1:13" s="45" customFormat="1" ht="13.25" customHeight="1" x14ac:dyDescent="0.3">
      <c r="A796" s="55">
        <v>46141</v>
      </c>
      <c r="B796" s="56" t="e">
        <f>VLOOKUP(C796,[7]完成订单!$D:$D,1,0)</f>
        <v>#N/A</v>
      </c>
      <c r="C796" s="57">
        <v>10400030941</v>
      </c>
      <c r="D796" s="57">
        <v>110001308401</v>
      </c>
      <c r="E796" s="57">
        <v>110001308402</v>
      </c>
      <c r="F796" s="58" t="s">
        <v>367</v>
      </c>
      <c r="G796" s="59">
        <v>400</v>
      </c>
      <c r="H796" s="53" t="e">
        <f>H795-2</f>
        <v>#N/A</v>
      </c>
      <c r="I796" s="55">
        <f t="shared" si="22"/>
        <v>46141</v>
      </c>
      <c r="J796" s="57" t="e">
        <f>VLOOKUP(D796,DIP计划!D:G,4,0)</f>
        <v>#N/A</v>
      </c>
      <c r="K796" s="4" t="e">
        <f t="shared" si="23"/>
        <v>#N/A</v>
      </c>
      <c r="L796" s="62"/>
      <c r="M796" s="63"/>
    </row>
    <row r="797" spans="1:13" s="45" customFormat="1" ht="13.25" customHeight="1" x14ac:dyDescent="0.3">
      <c r="A797" s="55">
        <v>46141</v>
      </c>
      <c r="B797" s="56">
        <f>VLOOKUP(C797,[7]完成订单!$D:$D,1,0)</f>
        <v>10880037426</v>
      </c>
      <c r="C797" s="57">
        <v>10880037426</v>
      </c>
      <c r="D797" s="57">
        <v>110001310953</v>
      </c>
      <c r="E797" s="57">
        <v>110001310953</v>
      </c>
      <c r="F797" s="58" t="s">
        <v>93</v>
      </c>
      <c r="G797" s="59">
        <v>2300</v>
      </c>
      <c r="H797" s="53" t="e">
        <f>VLOOKUP(E797,DIP计划!E:J,6,0)</f>
        <v>#N/A</v>
      </c>
      <c r="I797" s="55">
        <f t="shared" si="22"/>
        <v>46141</v>
      </c>
      <c r="J797" s="57" t="e">
        <f>VLOOKUP(D797,DIP计划!D:G,4,0)</f>
        <v>#N/A</v>
      </c>
      <c r="K797" s="4" t="e">
        <f t="shared" si="23"/>
        <v>#N/A</v>
      </c>
      <c r="L797" s="62"/>
      <c r="M797" s="63"/>
    </row>
    <row r="798" spans="1:13" s="45" customFormat="1" ht="13.25" customHeight="1" x14ac:dyDescent="0.3">
      <c r="A798" s="55">
        <v>46141</v>
      </c>
      <c r="B798" s="56" t="e">
        <f>VLOOKUP(C798,[7]完成订单!$D:$D,1,0)</f>
        <v>#N/A</v>
      </c>
      <c r="C798" s="57">
        <v>10400032382</v>
      </c>
      <c r="D798" s="57">
        <v>110001310953</v>
      </c>
      <c r="E798" s="57">
        <v>110001310954</v>
      </c>
      <c r="F798" s="58" t="s">
        <v>276</v>
      </c>
      <c r="G798" s="59">
        <v>2300</v>
      </c>
      <c r="H798" s="53" t="e">
        <f>H797-2</f>
        <v>#N/A</v>
      </c>
      <c r="I798" s="55">
        <f t="shared" si="22"/>
        <v>46141</v>
      </c>
      <c r="J798" s="57" t="e">
        <f>VLOOKUP(D798,DIP计划!D:G,4,0)</f>
        <v>#N/A</v>
      </c>
      <c r="K798" s="4" t="e">
        <f t="shared" si="23"/>
        <v>#N/A</v>
      </c>
      <c r="L798" s="62"/>
      <c r="M798" s="63"/>
    </row>
    <row r="799" spans="1:13" s="45" customFormat="1" ht="13.25" customHeight="1" x14ac:dyDescent="0.3">
      <c r="A799" s="55">
        <v>46141</v>
      </c>
      <c r="B799" s="56">
        <f>VLOOKUP(C799,[7]完成订单!$D:$D,1,0)</f>
        <v>10880037426</v>
      </c>
      <c r="C799" s="57">
        <v>10880037426</v>
      </c>
      <c r="D799" s="57">
        <v>110001310955</v>
      </c>
      <c r="E799" s="57">
        <v>110001310955</v>
      </c>
      <c r="F799" s="58" t="s">
        <v>93</v>
      </c>
      <c r="G799" s="59">
        <v>7700</v>
      </c>
      <c r="H799" s="53" t="e">
        <f>VLOOKUP(E799,DIP计划!E:J,6,0)</f>
        <v>#N/A</v>
      </c>
      <c r="I799" s="55">
        <f t="shared" si="22"/>
        <v>46141</v>
      </c>
      <c r="J799" s="57" t="e">
        <f>VLOOKUP(D799,DIP计划!D:G,4,0)</f>
        <v>#N/A</v>
      </c>
      <c r="K799" s="4" t="e">
        <f t="shared" si="23"/>
        <v>#N/A</v>
      </c>
      <c r="L799" s="62"/>
      <c r="M799" s="63"/>
    </row>
    <row r="800" spans="1:13" s="45" customFormat="1" ht="13.25" customHeight="1" x14ac:dyDescent="0.3">
      <c r="A800" s="55">
        <v>46141</v>
      </c>
      <c r="B800" s="56" t="e">
        <f>VLOOKUP(C800,[7]完成订单!$D:$D,1,0)</f>
        <v>#N/A</v>
      </c>
      <c r="C800" s="57">
        <v>10400032382</v>
      </c>
      <c r="D800" s="57">
        <v>110001310955</v>
      </c>
      <c r="E800" s="57">
        <v>110001310956</v>
      </c>
      <c r="F800" s="58" t="s">
        <v>276</v>
      </c>
      <c r="G800" s="59">
        <v>7700</v>
      </c>
      <c r="H800" s="53" t="e">
        <f>H799-2</f>
        <v>#N/A</v>
      </c>
      <c r="I800" s="55">
        <f t="shared" si="22"/>
        <v>46141</v>
      </c>
      <c r="J800" s="57" t="e">
        <f>VLOOKUP(D800,DIP计划!D:G,4,0)</f>
        <v>#N/A</v>
      </c>
      <c r="K800" s="4" t="e">
        <f t="shared" si="23"/>
        <v>#N/A</v>
      </c>
      <c r="L800" s="62"/>
      <c r="M800" s="63"/>
    </row>
    <row r="801" spans="1:13" s="45" customFormat="1" ht="13.25" customHeight="1" x14ac:dyDescent="0.3">
      <c r="A801" s="55">
        <v>46141</v>
      </c>
      <c r="B801" s="56">
        <f>VLOOKUP(C801,[7]完成订单!$D:$D,1,0)</f>
        <v>10880031160</v>
      </c>
      <c r="C801" s="57">
        <v>10880031160</v>
      </c>
      <c r="D801" s="57">
        <v>110001311067</v>
      </c>
      <c r="E801" s="57">
        <v>110001311067</v>
      </c>
      <c r="F801" s="58" t="s">
        <v>231</v>
      </c>
      <c r="G801" s="59">
        <v>400</v>
      </c>
      <c r="H801" s="53" t="e">
        <f>VLOOKUP(E801,DIP计划!E:J,6,0)</f>
        <v>#N/A</v>
      </c>
      <c r="I801" s="55">
        <f t="shared" si="22"/>
        <v>46141</v>
      </c>
      <c r="J801" s="57" t="e">
        <f>VLOOKUP(D801,DIP计划!D:G,4,0)</f>
        <v>#N/A</v>
      </c>
      <c r="K801" s="4" t="e">
        <f t="shared" si="23"/>
        <v>#N/A</v>
      </c>
      <c r="L801" s="62"/>
      <c r="M801" s="63"/>
    </row>
    <row r="802" spans="1:13" s="45" customFormat="1" ht="13.25" customHeight="1" x14ac:dyDescent="0.3">
      <c r="A802" s="55">
        <v>46141</v>
      </c>
      <c r="B802" s="56" t="e">
        <f>VLOOKUP(C802,[7]完成订单!$D:$D,1,0)</f>
        <v>#N/A</v>
      </c>
      <c r="C802" s="57">
        <v>10400024963</v>
      </c>
      <c r="D802" s="57">
        <v>110001311067</v>
      </c>
      <c r="E802" s="57">
        <v>110001311068</v>
      </c>
      <c r="F802" s="58" t="s">
        <v>231</v>
      </c>
      <c r="G802" s="59">
        <v>400</v>
      </c>
      <c r="H802" s="53" t="e">
        <f>H801-2</f>
        <v>#N/A</v>
      </c>
      <c r="I802" s="55">
        <f t="shared" si="22"/>
        <v>46141</v>
      </c>
      <c r="J802" s="57" t="e">
        <f>VLOOKUP(D802,DIP计划!D:G,4,0)</f>
        <v>#N/A</v>
      </c>
      <c r="K802" s="4" t="e">
        <f t="shared" si="23"/>
        <v>#N/A</v>
      </c>
      <c r="L802" s="62"/>
      <c r="M802" s="63"/>
    </row>
    <row r="803" spans="1:13" s="45" customFormat="1" ht="13.25" customHeight="1" x14ac:dyDescent="0.3">
      <c r="A803" s="55">
        <v>46141</v>
      </c>
      <c r="B803" s="56">
        <f>VLOOKUP(C803,[7]完成订单!$D:$D,1,0)</f>
        <v>10880033535</v>
      </c>
      <c r="C803" s="57">
        <v>10880033535</v>
      </c>
      <c r="D803" s="57">
        <v>110001311373</v>
      </c>
      <c r="E803" s="57">
        <v>110001311373</v>
      </c>
      <c r="F803" s="58" t="s">
        <v>157</v>
      </c>
      <c r="G803" s="59">
        <v>1000</v>
      </c>
      <c r="H803" s="53">
        <f>VLOOKUP(E803,DIP计划!E:J,6,0)</f>
        <v>46150</v>
      </c>
      <c r="I803" s="55">
        <f t="shared" si="22"/>
        <v>46141</v>
      </c>
      <c r="J803" s="57">
        <f>VLOOKUP(D803,DIP计划!D:G,4,0)</f>
        <v>1000</v>
      </c>
      <c r="K803" s="4">
        <f t="shared" si="23"/>
        <v>0</v>
      </c>
      <c r="L803" s="62"/>
      <c r="M803" s="63"/>
    </row>
    <row r="804" spans="1:13" s="45" customFormat="1" ht="13.25" customHeight="1" x14ac:dyDescent="0.3">
      <c r="A804" s="55">
        <v>46141</v>
      </c>
      <c r="B804" s="56" t="e">
        <f>VLOOKUP(C804,[7]完成订单!$D:$D,1,0)</f>
        <v>#N/A</v>
      </c>
      <c r="C804" s="57">
        <v>10400027323</v>
      </c>
      <c r="D804" s="57">
        <v>110001311373</v>
      </c>
      <c r="E804" s="57">
        <v>110001311374</v>
      </c>
      <c r="F804" s="58" t="s">
        <v>157</v>
      </c>
      <c r="G804" s="59">
        <v>1000</v>
      </c>
      <c r="H804" s="53">
        <f>H803-2</f>
        <v>46148</v>
      </c>
      <c r="I804" s="55">
        <f t="shared" si="22"/>
        <v>46141</v>
      </c>
      <c r="J804" s="57">
        <f>VLOOKUP(D804,DIP计划!D:G,4,0)</f>
        <v>1000</v>
      </c>
      <c r="K804" s="4">
        <f t="shared" si="23"/>
        <v>0</v>
      </c>
      <c r="L804" s="62"/>
      <c r="M804" s="63"/>
    </row>
    <row r="805" spans="1:13" s="45" customFormat="1" ht="13.25" customHeight="1" x14ac:dyDescent="0.3">
      <c r="A805" s="55">
        <v>46141</v>
      </c>
      <c r="B805" s="56" t="e">
        <f>VLOOKUP(C805,[7]完成订单!$D:$D,1,0)</f>
        <v>#N/A</v>
      </c>
      <c r="C805" s="57">
        <v>10880038229</v>
      </c>
      <c r="D805" s="57">
        <v>110001311533</v>
      </c>
      <c r="E805" s="57">
        <v>110001311533</v>
      </c>
      <c r="F805" s="58" t="s">
        <v>109</v>
      </c>
      <c r="G805" s="59">
        <v>250</v>
      </c>
      <c r="H805" s="53" t="e">
        <f>VLOOKUP(E805,DIP计划!E:J,6,0)</f>
        <v>#N/A</v>
      </c>
      <c r="I805" s="55">
        <f t="shared" si="22"/>
        <v>46141</v>
      </c>
      <c r="J805" s="57">
        <f>VLOOKUP(D805,DIP计划!D:G,4,0)</f>
        <v>250</v>
      </c>
      <c r="K805" s="4">
        <f t="shared" si="23"/>
        <v>0</v>
      </c>
      <c r="L805" s="62"/>
      <c r="M805" s="63"/>
    </row>
    <row r="806" spans="1:13" s="45" customFormat="1" ht="13.25" customHeight="1" x14ac:dyDescent="0.3">
      <c r="A806" s="55">
        <v>46141</v>
      </c>
      <c r="B806" s="56">
        <f>VLOOKUP(C806,[7]完成订单!$D:$D,1,0)</f>
        <v>10400033234</v>
      </c>
      <c r="C806" s="57">
        <v>10400033234</v>
      </c>
      <c r="D806" s="57">
        <v>110001311533</v>
      </c>
      <c r="E806" s="57">
        <v>110001311534</v>
      </c>
      <c r="F806" s="58" t="s">
        <v>124</v>
      </c>
      <c r="G806" s="59">
        <v>250</v>
      </c>
      <c r="H806" s="53">
        <f>VLOOKUP(E806,DIP计划!E:J,6,0)</f>
        <v>46147</v>
      </c>
      <c r="I806" s="55">
        <f t="shared" si="22"/>
        <v>46141</v>
      </c>
      <c r="J806" s="57">
        <f>VLOOKUP(D806,DIP计划!D:G,4,0)</f>
        <v>250</v>
      </c>
      <c r="K806" s="4">
        <f t="shared" si="23"/>
        <v>0</v>
      </c>
      <c r="L806" s="62"/>
      <c r="M806" s="63"/>
    </row>
    <row r="807" spans="1:13" s="45" customFormat="1" ht="13.25" customHeight="1" x14ac:dyDescent="0.3">
      <c r="A807" s="55">
        <v>46141</v>
      </c>
      <c r="B807" s="56" t="e">
        <f>VLOOKUP(C807,[7]完成订单!$D:$D,1,0)</f>
        <v>#N/A</v>
      </c>
      <c r="C807" s="57">
        <v>10400033462</v>
      </c>
      <c r="D807" s="57">
        <v>110001311533</v>
      </c>
      <c r="E807" s="57">
        <v>110001311535</v>
      </c>
      <c r="F807" s="58" t="s">
        <v>110</v>
      </c>
      <c r="G807" s="59">
        <v>250</v>
      </c>
      <c r="H807" s="53" t="e">
        <f>VLOOKUP(E807,DIP计划!E:J,6,0)</f>
        <v>#N/A</v>
      </c>
      <c r="I807" s="55">
        <f t="shared" si="22"/>
        <v>46141</v>
      </c>
      <c r="J807" s="57">
        <f>VLOOKUP(D807,DIP计划!D:G,4,0)</f>
        <v>250</v>
      </c>
      <c r="K807" s="4">
        <f t="shared" si="23"/>
        <v>0</v>
      </c>
      <c r="L807" s="62"/>
      <c r="M807" s="63"/>
    </row>
    <row r="808" spans="1:13" s="45" customFormat="1" ht="13.25" customHeight="1" x14ac:dyDescent="0.3">
      <c r="A808" s="55">
        <v>46141</v>
      </c>
      <c r="B808" s="56" t="e">
        <f>VLOOKUP(C808,[7]完成订单!$D:$D,1,0)</f>
        <v>#N/A</v>
      </c>
      <c r="C808" s="57">
        <v>10400033463</v>
      </c>
      <c r="D808" s="57">
        <v>110001311533</v>
      </c>
      <c r="E808" s="57">
        <v>110001311536</v>
      </c>
      <c r="F808" s="58" t="s">
        <v>110</v>
      </c>
      <c r="G808" s="59">
        <v>250</v>
      </c>
      <c r="H808" s="53" t="e">
        <f>H807-2</f>
        <v>#N/A</v>
      </c>
      <c r="I808" s="55">
        <f t="shared" si="22"/>
        <v>46141</v>
      </c>
      <c r="J808" s="57">
        <f>VLOOKUP(D808,DIP计划!D:G,4,0)</f>
        <v>250</v>
      </c>
      <c r="K808" s="4">
        <f t="shared" si="23"/>
        <v>0</v>
      </c>
      <c r="L808" s="62"/>
      <c r="M808" s="63"/>
    </row>
    <row r="809" spans="1:13" s="45" customFormat="1" ht="13.25" customHeight="1" x14ac:dyDescent="0.3">
      <c r="A809" s="55">
        <v>46141</v>
      </c>
      <c r="B809" s="56" t="e">
        <f>VLOOKUP(C809,[7]完成订单!$D:$D,1,0)</f>
        <v>#N/A</v>
      </c>
      <c r="C809" s="57">
        <v>10880038832</v>
      </c>
      <c r="D809" s="57">
        <v>110001311629</v>
      </c>
      <c r="E809" s="57">
        <v>110001311629</v>
      </c>
      <c r="F809" s="58" t="s">
        <v>134</v>
      </c>
      <c r="G809" s="59">
        <v>1800</v>
      </c>
      <c r="H809" s="53" t="e">
        <f>VLOOKUP(E809,DIP计划!E:J,6,0)</f>
        <v>#N/A</v>
      </c>
      <c r="I809" s="55">
        <f t="shared" si="22"/>
        <v>46141</v>
      </c>
      <c r="J809" s="57">
        <f>VLOOKUP(D809,DIP计划!D:G,4,0)</f>
        <v>1800</v>
      </c>
      <c r="K809" s="4">
        <f t="shared" si="23"/>
        <v>0</v>
      </c>
      <c r="L809" s="62"/>
      <c r="M809" s="63"/>
    </row>
    <row r="810" spans="1:13" s="45" customFormat="1" ht="13.25" customHeight="1" x14ac:dyDescent="0.3">
      <c r="A810" s="55">
        <v>46141</v>
      </c>
      <c r="B810" s="56">
        <f>VLOOKUP(C810,[7]完成订单!$D:$D,1,0)</f>
        <v>10400033234</v>
      </c>
      <c r="C810" s="57">
        <v>10400033234</v>
      </c>
      <c r="D810" s="57">
        <v>110001311629</v>
      </c>
      <c r="E810" s="57">
        <v>110001311630</v>
      </c>
      <c r="F810" s="58" t="s">
        <v>124</v>
      </c>
      <c r="G810" s="59">
        <v>1800</v>
      </c>
      <c r="H810" s="53">
        <f>VLOOKUP(E810,DIP计划!E:J,6,0)</f>
        <v>46142</v>
      </c>
      <c r="I810" s="55">
        <f t="shared" si="22"/>
        <v>46141</v>
      </c>
      <c r="J810" s="57">
        <f>VLOOKUP(D810,DIP计划!D:G,4,0)</f>
        <v>1800</v>
      </c>
      <c r="K810" s="4">
        <f t="shared" si="23"/>
        <v>0</v>
      </c>
      <c r="L810" s="62"/>
      <c r="M810" s="63"/>
    </row>
    <row r="811" spans="1:13" s="45" customFormat="1" ht="13.25" customHeight="1" x14ac:dyDescent="0.3">
      <c r="A811" s="55">
        <v>46141</v>
      </c>
      <c r="B811" s="56" t="e">
        <f>VLOOKUP(C811,[7]完成订单!$D:$D,1,0)</f>
        <v>#N/A</v>
      </c>
      <c r="C811" s="57">
        <v>10400034266</v>
      </c>
      <c r="D811" s="57">
        <v>110001311629</v>
      </c>
      <c r="E811" s="57">
        <v>110001311631</v>
      </c>
      <c r="F811" s="58" t="s">
        <v>135</v>
      </c>
      <c r="G811" s="59">
        <v>1800</v>
      </c>
      <c r="H811" s="53" t="e">
        <f>VLOOKUP(E811,DIP计划!E:J,6,0)</f>
        <v>#N/A</v>
      </c>
      <c r="I811" s="55">
        <f t="shared" si="22"/>
        <v>46141</v>
      </c>
      <c r="J811" s="57">
        <f>VLOOKUP(D811,DIP计划!D:G,4,0)</f>
        <v>1800</v>
      </c>
      <c r="K811" s="4">
        <f t="shared" si="23"/>
        <v>0</v>
      </c>
      <c r="L811" s="62"/>
      <c r="M811" s="63"/>
    </row>
    <row r="812" spans="1:13" s="45" customFormat="1" ht="13.25" customHeight="1" x14ac:dyDescent="0.3">
      <c r="A812" s="55">
        <v>46141</v>
      </c>
      <c r="B812" s="56" t="e">
        <f>VLOOKUP(C812,[7]完成订单!$D:$D,1,0)</f>
        <v>#N/A</v>
      </c>
      <c r="C812" s="57">
        <v>10400034267</v>
      </c>
      <c r="D812" s="57">
        <v>110001311629</v>
      </c>
      <c r="E812" s="57">
        <v>110001311632</v>
      </c>
      <c r="F812" s="58" t="s">
        <v>135</v>
      </c>
      <c r="G812" s="59">
        <v>1800</v>
      </c>
      <c r="H812" s="53" t="e">
        <f>H811-2</f>
        <v>#N/A</v>
      </c>
      <c r="I812" s="55">
        <f t="shared" si="22"/>
        <v>46141</v>
      </c>
      <c r="J812" s="57">
        <f>VLOOKUP(D812,DIP计划!D:G,4,0)</f>
        <v>1800</v>
      </c>
      <c r="K812" s="4">
        <f t="shared" si="23"/>
        <v>0</v>
      </c>
      <c r="L812" s="62"/>
      <c r="M812" s="63"/>
    </row>
    <row r="813" spans="1:13" s="45" customFormat="1" ht="13.25" customHeight="1" x14ac:dyDescent="0.3">
      <c r="A813" s="55">
        <v>46141</v>
      </c>
      <c r="B813" s="56">
        <f>VLOOKUP(C813,[7]完成订单!$D:$D,1,0)</f>
        <v>10880038833</v>
      </c>
      <c r="C813" s="57">
        <v>10880038833</v>
      </c>
      <c r="D813" s="57">
        <v>110001311645</v>
      </c>
      <c r="E813" s="57">
        <v>110001311645</v>
      </c>
      <c r="F813" s="58" t="s">
        <v>142</v>
      </c>
      <c r="G813" s="59">
        <v>750</v>
      </c>
      <c r="H813" s="53">
        <f>VLOOKUP(E813,DIP计划!E:J,6,0)</f>
        <v>46148</v>
      </c>
      <c r="I813" s="55">
        <f t="shared" si="22"/>
        <v>46141</v>
      </c>
      <c r="J813" s="57">
        <f>VLOOKUP(D813,DIP计划!D:G,4,0)</f>
        <v>750</v>
      </c>
      <c r="K813" s="4">
        <f t="shared" si="23"/>
        <v>0</v>
      </c>
      <c r="L813" s="62"/>
      <c r="M813" s="63"/>
    </row>
    <row r="814" spans="1:13" s="45" customFormat="1" ht="13.25" customHeight="1" x14ac:dyDescent="0.3">
      <c r="A814" s="55">
        <v>46141</v>
      </c>
      <c r="B814" s="56">
        <f>VLOOKUP(C814,[7]完成订单!$D:$D,1,0)</f>
        <v>10400033234</v>
      </c>
      <c r="C814" s="57">
        <v>10400033234</v>
      </c>
      <c r="D814" s="57">
        <v>110001311645</v>
      </c>
      <c r="E814" s="57">
        <v>110001311646</v>
      </c>
      <c r="F814" s="58" t="s">
        <v>124</v>
      </c>
      <c r="G814" s="59">
        <v>750</v>
      </c>
      <c r="H814" s="53" t="e">
        <f>VLOOKUP(E814,DIP计划!E:J,6,0)</f>
        <v>#N/A</v>
      </c>
      <c r="I814" s="55">
        <f t="shared" si="22"/>
        <v>46141</v>
      </c>
      <c r="J814" s="57">
        <f>VLOOKUP(D814,DIP计划!D:G,4,0)</f>
        <v>750</v>
      </c>
      <c r="K814" s="4">
        <f t="shared" si="23"/>
        <v>0</v>
      </c>
      <c r="L814" s="62"/>
      <c r="M814" s="63"/>
    </row>
    <row r="815" spans="1:13" s="45" customFormat="1" ht="13.25" customHeight="1" x14ac:dyDescent="0.3">
      <c r="A815" s="55">
        <v>46141</v>
      </c>
      <c r="B815" s="56">
        <f>VLOOKUP(C815,[7]完成订单!$D:$D,1,0)</f>
        <v>10400034268</v>
      </c>
      <c r="C815" s="57">
        <v>10400034268</v>
      </c>
      <c r="D815" s="57">
        <v>110001311645</v>
      </c>
      <c r="E815" s="57">
        <v>110001311647</v>
      </c>
      <c r="F815" s="58" t="s">
        <v>143</v>
      </c>
      <c r="G815" s="59">
        <v>750</v>
      </c>
      <c r="H815" s="53">
        <f>VLOOKUP(E815,DIP计划!E:J,6,0)</f>
        <v>46148</v>
      </c>
      <c r="I815" s="55">
        <f t="shared" si="22"/>
        <v>46141</v>
      </c>
      <c r="J815" s="57">
        <f>VLOOKUP(D815,DIP计划!D:G,4,0)</f>
        <v>750</v>
      </c>
      <c r="K815" s="4">
        <f t="shared" si="23"/>
        <v>0</v>
      </c>
      <c r="L815" s="62"/>
      <c r="M815" s="63"/>
    </row>
    <row r="816" spans="1:13" s="45" customFormat="1" ht="13.25" customHeight="1" x14ac:dyDescent="0.3">
      <c r="A816" s="55">
        <v>46141</v>
      </c>
      <c r="B816" s="56" t="e">
        <f>VLOOKUP(C816,[7]完成订单!$D:$D,1,0)</f>
        <v>#N/A</v>
      </c>
      <c r="C816" s="57">
        <v>10400034269</v>
      </c>
      <c r="D816" s="57">
        <v>110001311645</v>
      </c>
      <c r="E816" s="57">
        <v>110001311648</v>
      </c>
      <c r="F816" s="58" t="s">
        <v>143</v>
      </c>
      <c r="G816" s="59">
        <v>750</v>
      </c>
      <c r="H816" s="53">
        <f>H815-2</f>
        <v>46146</v>
      </c>
      <c r="I816" s="55">
        <f t="shared" si="22"/>
        <v>46141</v>
      </c>
      <c r="J816" s="57">
        <f>VLOOKUP(D816,DIP计划!D:G,4,0)</f>
        <v>750</v>
      </c>
      <c r="K816" s="4">
        <f t="shared" si="23"/>
        <v>0</v>
      </c>
      <c r="L816" s="62"/>
      <c r="M816" s="63"/>
    </row>
    <row r="817" spans="1:13" s="45" customFormat="1" ht="13.25" customHeight="1" x14ac:dyDescent="0.3">
      <c r="A817" s="55">
        <v>46141</v>
      </c>
      <c r="B817" s="56" t="e">
        <f>VLOOKUP(C817,[7]完成订单!$D:$D,1,0)</f>
        <v>#N/A</v>
      </c>
      <c r="C817" s="57">
        <v>10880038727</v>
      </c>
      <c r="D817" s="57">
        <v>110001311661</v>
      </c>
      <c r="E817" s="57">
        <v>110001311661</v>
      </c>
      <c r="F817" s="58" t="s">
        <v>1808</v>
      </c>
      <c r="G817" s="59">
        <v>1550</v>
      </c>
      <c r="H817" s="53" t="e">
        <f>VLOOKUP(E817,DIP计划!E:J,6,0)</f>
        <v>#N/A</v>
      </c>
      <c r="I817" s="55">
        <f t="shared" si="22"/>
        <v>46141</v>
      </c>
      <c r="J817" s="57" t="e">
        <f>VLOOKUP(D817,DIP计划!D:G,4,0)</f>
        <v>#N/A</v>
      </c>
      <c r="K817" s="4" t="e">
        <f t="shared" si="23"/>
        <v>#N/A</v>
      </c>
      <c r="L817" s="62"/>
      <c r="M817" s="63"/>
    </row>
    <row r="818" spans="1:13" s="45" customFormat="1" ht="13.25" customHeight="1" x14ac:dyDescent="0.3">
      <c r="A818" s="55">
        <v>46141</v>
      </c>
      <c r="B818" s="56">
        <f>VLOOKUP(C818,[7]完成订单!$D:$D,1,0)</f>
        <v>10400033234</v>
      </c>
      <c r="C818" s="57">
        <v>10400033234</v>
      </c>
      <c r="D818" s="57">
        <v>110001311661</v>
      </c>
      <c r="E818" s="57">
        <v>110001311662</v>
      </c>
      <c r="F818" s="58" t="s">
        <v>124</v>
      </c>
      <c r="G818" s="59">
        <v>1550</v>
      </c>
      <c r="H818" s="53" t="e">
        <f>VLOOKUP(E818,DIP计划!E:J,6,0)</f>
        <v>#N/A</v>
      </c>
      <c r="I818" s="55">
        <f t="shared" si="22"/>
        <v>46141</v>
      </c>
      <c r="J818" s="57" t="e">
        <f>VLOOKUP(D818,DIP计划!D:G,4,0)</f>
        <v>#N/A</v>
      </c>
      <c r="K818" s="4" t="e">
        <f t="shared" si="23"/>
        <v>#N/A</v>
      </c>
      <c r="L818" s="62"/>
      <c r="M818" s="63"/>
    </row>
    <row r="819" spans="1:13" s="45" customFormat="1" ht="13.25" customHeight="1" x14ac:dyDescent="0.3">
      <c r="A819" s="55">
        <v>46141</v>
      </c>
      <c r="B819" s="56" t="e">
        <f>VLOOKUP(C819,[7]完成订单!$D:$D,1,0)</f>
        <v>#N/A</v>
      </c>
      <c r="C819" s="57">
        <v>10400034094</v>
      </c>
      <c r="D819" s="57">
        <v>110001311661</v>
      </c>
      <c r="E819" s="57">
        <v>110001311663</v>
      </c>
      <c r="F819" s="58" t="s">
        <v>1809</v>
      </c>
      <c r="G819" s="59">
        <v>1550</v>
      </c>
      <c r="H819" s="53" t="e">
        <f>VLOOKUP(E819,DIP计划!E:J,6,0)</f>
        <v>#N/A</v>
      </c>
      <c r="I819" s="55">
        <f t="shared" si="22"/>
        <v>46141</v>
      </c>
      <c r="J819" s="57" t="e">
        <f>VLOOKUP(D819,DIP计划!D:G,4,0)</f>
        <v>#N/A</v>
      </c>
      <c r="K819" s="4" t="e">
        <f t="shared" si="23"/>
        <v>#N/A</v>
      </c>
      <c r="L819" s="62"/>
      <c r="M819" s="63"/>
    </row>
    <row r="820" spans="1:13" s="45" customFormat="1" ht="13.25" customHeight="1" x14ac:dyDescent="0.3">
      <c r="A820" s="55">
        <v>46141</v>
      </c>
      <c r="B820" s="56" t="e">
        <f>VLOOKUP(C820,[7]完成订单!$D:$D,1,0)</f>
        <v>#N/A</v>
      </c>
      <c r="C820" s="57">
        <v>10400034095</v>
      </c>
      <c r="D820" s="57">
        <v>110001311661</v>
      </c>
      <c r="E820" s="57">
        <v>110001311664</v>
      </c>
      <c r="F820" s="58" t="s">
        <v>1809</v>
      </c>
      <c r="G820" s="59">
        <v>1550</v>
      </c>
      <c r="H820" s="53" t="e">
        <f>H819-2</f>
        <v>#N/A</v>
      </c>
      <c r="I820" s="55">
        <f t="shared" si="22"/>
        <v>46141</v>
      </c>
      <c r="J820" s="57" t="e">
        <f>VLOOKUP(D820,DIP计划!D:G,4,0)</f>
        <v>#N/A</v>
      </c>
      <c r="K820" s="4" t="e">
        <f t="shared" si="23"/>
        <v>#N/A</v>
      </c>
      <c r="L820" s="62"/>
      <c r="M820" s="63"/>
    </row>
    <row r="821" spans="1:13" s="45" customFormat="1" ht="13.25" customHeight="1" x14ac:dyDescent="0.3">
      <c r="A821" s="55">
        <v>46141</v>
      </c>
      <c r="B821" s="56">
        <f>VLOOKUP(C821,[7]完成订单!$D:$D,1,0)</f>
        <v>10880036764</v>
      </c>
      <c r="C821" s="57">
        <v>10880036764</v>
      </c>
      <c r="D821" s="57">
        <v>110001313083</v>
      </c>
      <c r="E821" s="57">
        <v>110001313083</v>
      </c>
      <c r="F821" s="58" t="s">
        <v>190</v>
      </c>
      <c r="G821" s="59">
        <v>200</v>
      </c>
      <c r="H821" s="53" t="e">
        <f>VLOOKUP(E821,DIP计划!E:J,6,0)</f>
        <v>#N/A</v>
      </c>
      <c r="I821" s="55">
        <f t="shared" si="22"/>
        <v>46141</v>
      </c>
      <c r="J821" s="57" t="e">
        <f>VLOOKUP(D821,DIP计划!D:G,4,0)</f>
        <v>#N/A</v>
      </c>
      <c r="K821" s="4" t="e">
        <f t="shared" si="23"/>
        <v>#N/A</v>
      </c>
      <c r="L821" s="62"/>
      <c r="M821" s="63"/>
    </row>
    <row r="822" spans="1:13" s="45" customFormat="1" ht="13.25" customHeight="1" x14ac:dyDescent="0.3">
      <c r="A822" s="55">
        <v>46141</v>
      </c>
      <c r="B822" s="56" t="e">
        <f>VLOOKUP(C822,[7]完成订单!$D:$D,1,0)</f>
        <v>#N/A</v>
      </c>
      <c r="C822" s="57">
        <v>10400031490</v>
      </c>
      <c r="D822" s="57">
        <v>110001313083</v>
      </c>
      <c r="E822" s="57">
        <v>110001313084</v>
      </c>
      <c r="F822" s="58" t="s">
        <v>312</v>
      </c>
      <c r="G822" s="59">
        <v>200</v>
      </c>
      <c r="H822" s="53" t="e">
        <f>H821-2</f>
        <v>#N/A</v>
      </c>
      <c r="I822" s="55">
        <f t="shared" si="22"/>
        <v>46141</v>
      </c>
      <c r="J822" s="57" t="e">
        <f>VLOOKUP(D822,DIP计划!D:G,4,0)</f>
        <v>#N/A</v>
      </c>
      <c r="K822" s="4" t="e">
        <f t="shared" si="23"/>
        <v>#N/A</v>
      </c>
      <c r="L822" s="62"/>
      <c r="M822" s="63"/>
    </row>
    <row r="823" spans="1:13" s="45" customFormat="1" ht="13.25" customHeight="1" x14ac:dyDescent="0.3">
      <c r="A823" s="55">
        <v>46141</v>
      </c>
      <c r="B823" s="56">
        <f>VLOOKUP(C823,[7]完成订单!$D:$D,1,0)</f>
        <v>10880021174</v>
      </c>
      <c r="C823" s="57">
        <v>10880021174</v>
      </c>
      <c r="D823" s="57">
        <v>110001315084</v>
      </c>
      <c r="E823" s="57">
        <v>110001315084</v>
      </c>
      <c r="F823" s="58" t="s">
        <v>486</v>
      </c>
      <c r="G823" s="59">
        <v>100</v>
      </c>
      <c r="H823" s="53" t="e">
        <f>VLOOKUP(E823,DIP计划!E:J,6,0)</f>
        <v>#N/A</v>
      </c>
      <c r="I823" s="55">
        <f t="shared" si="22"/>
        <v>46141</v>
      </c>
      <c r="J823" s="57" t="e">
        <f>VLOOKUP(D823,DIP计划!D:G,4,0)</f>
        <v>#N/A</v>
      </c>
      <c r="K823" s="4" t="e">
        <f t="shared" si="23"/>
        <v>#N/A</v>
      </c>
      <c r="L823" s="62"/>
      <c r="M823" s="63"/>
    </row>
    <row r="824" spans="1:13" s="45" customFormat="1" ht="13.25" customHeight="1" x14ac:dyDescent="0.3">
      <c r="A824" s="55">
        <v>46141</v>
      </c>
      <c r="B824" s="56" t="e">
        <f>VLOOKUP(C824,[7]完成订单!$D:$D,1,0)</f>
        <v>#N/A</v>
      </c>
      <c r="C824" s="57">
        <v>10400020696</v>
      </c>
      <c r="D824" s="57">
        <v>110001315084</v>
      </c>
      <c r="E824" s="57">
        <v>110001315085</v>
      </c>
      <c r="F824" s="58" t="s">
        <v>1829</v>
      </c>
      <c r="G824" s="59">
        <v>100</v>
      </c>
      <c r="H824" s="53" t="e">
        <f>H823-2</f>
        <v>#N/A</v>
      </c>
      <c r="I824" s="55">
        <f t="shared" si="22"/>
        <v>46141</v>
      </c>
      <c r="J824" s="57" t="e">
        <f>VLOOKUP(D824,DIP计划!D:G,4,0)</f>
        <v>#N/A</v>
      </c>
      <c r="K824" s="4" t="e">
        <f t="shared" si="23"/>
        <v>#N/A</v>
      </c>
      <c r="L824" s="62"/>
      <c r="M824" s="63"/>
    </row>
    <row r="825" spans="1:13" s="45" customFormat="1" ht="13.25" customHeight="1" x14ac:dyDescent="0.3">
      <c r="A825" s="55">
        <v>46141</v>
      </c>
      <c r="B825" s="56">
        <f>VLOOKUP(C825,[7]完成订单!$D:$D,1,0)</f>
        <v>10880030596</v>
      </c>
      <c r="C825" s="57">
        <v>10880030596</v>
      </c>
      <c r="D825" s="57">
        <v>110001315116</v>
      </c>
      <c r="E825" s="57">
        <v>110001315116</v>
      </c>
      <c r="F825" s="58" t="s">
        <v>227</v>
      </c>
      <c r="G825" s="59">
        <v>200</v>
      </c>
      <c r="H825" s="53" t="e">
        <f>VLOOKUP(E825,DIP计划!E:J,6,0)</f>
        <v>#N/A</v>
      </c>
      <c r="I825" s="55">
        <f t="shared" si="22"/>
        <v>46141</v>
      </c>
      <c r="J825" s="57" t="e">
        <f>VLOOKUP(D825,DIP计划!D:G,4,0)</f>
        <v>#N/A</v>
      </c>
      <c r="K825" s="4" t="e">
        <f t="shared" si="23"/>
        <v>#N/A</v>
      </c>
      <c r="L825" s="62"/>
      <c r="M825" s="63"/>
    </row>
    <row r="826" spans="1:13" s="45" customFormat="1" ht="13.25" customHeight="1" x14ac:dyDescent="0.3">
      <c r="A826" s="55">
        <v>46141</v>
      </c>
      <c r="B826" s="56" t="e">
        <f>VLOOKUP(C826,[7]完成订单!$D:$D,1,0)</f>
        <v>#N/A</v>
      </c>
      <c r="C826" s="57">
        <v>10400024487</v>
      </c>
      <c r="D826" s="57">
        <v>110001315116</v>
      </c>
      <c r="E826" s="57">
        <v>110001315117</v>
      </c>
      <c r="F826" s="58" t="s">
        <v>227</v>
      </c>
      <c r="G826" s="59">
        <v>200</v>
      </c>
      <c r="H826" s="53" t="e">
        <f>H825-2</f>
        <v>#N/A</v>
      </c>
      <c r="I826" s="55">
        <f t="shared" si="22"/>
        <v>46141</v>
      </c>
      <c r="J826" s="57" t="e">
        <f>VLOOKUP(D826,DIP计划!D:G,4,0)</f>
        <v>#N/A</v>
      </c>
      <c r="K826" s="4" t="e">
        <f t="shared" si="23"/>
        <v>#N/A</v>
      </c>
      <c r="L826" s="62"/>
      <c r="M826" s="63"/>
    </row>
    <row r="827" spans="1:13" s="45" customFormat="1" ht="13.25" customHeight="1" x14ac:dyDescent="0.3">
      <c r="A827" s="55">
        <v>46141</v>
      </c>
      <c r="B827" s="56">
        <f>VLOOKUP(C827,[7]完成订单!$D:$D,1,0)</f>
        <v>10880036423</v>
      </c>
      <c r="C827" s="57">
        <v>10880036423</v>
      </c>
      <c r="D827" s="57">
        <v>110001315118</v>
      </c>
      <c r="E827" s="57">
        <v>110001315118</v>
      </c>
      <c r="F827" s="58" t="s">
        <v>170</v>
      </c>
      <c r="G827" s="59">
        <v>2400</v>
      </c>
      <c r="H827" s="53" t="e">
        <f>VLOOKUP(E827,DIP计划!E:J,6,0)</f>
        <v>#N/A</v>
      </c>
      <c r="I827" s="55">
        <f t="shared" si="22"/>
        <v>46141</v>
      </c>
      <c r="J827" s="57" t="e">
        <f>VLOOKUP(D827,DIP计划!D:G,4,0)</f>
        <v>#N/A</v>
      </c>
      <c r="K827" s="4" t="e">
        <f t="shared" si="23"/>
        <v>#N/A</v>
      </c>
      <c r="L827" s="62"/>
      <c r="M827" s="63"/>
    </row>
    <row r="828" spans="1:13" s="45" customFormat="1" ht="13.25" customHeight="1" x14ac:dyDescent="0.3">
      <c r="A828" s="55">
        <v>46141</v>
      </c>
      <c r="B828" s="56" t="e">
        <f>VLOOKUP(C828,[7]完成订单!$D:$D,1,0)</f>
        <v>#N/A</v>
      </c>
      <c r="C828" s="57">
        <v>10400031020</v>
      </c>
      <c r="D828" s="57">
        <v>110001315118</v>
      </c>
      <c r="E828" s="57">
        <v>110001315119</v>
      </c>
      <c r="F828" s="58" t="s">
        <v>311</v>
      </c>
      <c r="G828" s="59">
        <v>2400</v>
      </c>
      <c r="H828" s="53" t="e">
        <f>H827-2</f>
        <v>#N/A</v>
      </c>
      <c r="I828" s="55">
        <f t="shared" si="22"/>
        <v>46141</v>
      </c>
      <c r="J828" s="57" t="e">
        <f>VLOOKUP(D828,DIP计划!D:G,4,0)</f>
        <v>#N/A</v>
      </c>
      <c r="K828" s="4" t="e">
        <f t="shared" si="23"/>
        <v>#N/A</v>
      </c>
      <c r="L828" s="62"/>
      <c r="M828" s="63"/>
    </row>
    <row r="829" spans="1:13" s="45" customFormat="1" ht="13.25" customHeight="1" x14ac:dyDescent="0.3">
      <c r="A829" s="55">
        <v>46141</v>
      </c>
      <c r="B829" s="56">
        <f>VLOOKUP(C829,[7]完成订单!$D:$D,1,0)</f>
        <v>10880036364</v>
      </c>
      <c r="C829" s="57">
        <v>10880036364</v>
      </c>
      <c r="D829" s="57">
        <v>110001315161</v>
      </c>
      <c r="E829" s="57">
        <v>110001315161</v>
      </c>
      <c r="F829" s="58" t="s">
        <v>1812</v>
      </c>
      <c r="G829" s="59">
        <v>310</v>
      </c>
      <c r="H829" s="53">
        <f>VLOOKUP(E829,DIP计划!E:J,6,0)</f>
        <v>46147</v>
      </c>
      <c r="I829" s="55">
        <f t="shared" si="22"/>
        <v>46141</v>
      </c>
      <c r="J829" s="57">
        <f>VLOOKUP(D829,DIP计划!D:G,4,0)</f>
        <v>310</v>
      </c>
      <c r="K829" s="4">
        <f t="shared" si="23"/>
        <v>0</v>
      </c>
      <c r="L829" s="62"/>
      <c r="M829" s="63"/>
    </row>
    <row r="830" spans="1:13" s="45" customFormat="1" ht="13.25" customHeight="1" x14ac:dyDescent="0.3">
      <c r="A830" s="55">
        <v>46141</v>
      </c>
      <c r="B830" s="56">
        <f>VLOOKUP(C830,[7]完成订单!$D:$D,1,0)</f>
        <v>10400030956</v>
      </c>
      <c r="C830" s="57">
        <v>10400030956</v>
      </c>
      <c r="D830" s="57">
        <v>110001315161</v>
      </c>
      <c r="E830" s="57">
        <v>110001315162</v>
      </c>
      <c r="F830" s="58" t="s">
        <v>1813</v>
      </c>
      <c r="G830" s="59">
        <v>310</v>
      </c>
      <c r="H830" s="53">
        <f>VLOOKUP(E830,DIP计划!E:J,6,0)</f>
        <v>46147</v>
      </c>
      <c r="I830" s="55">
        <f t="shared" si="22"/>
        <v>46141</v>
      </c>
      <c r="J830" s="57">
        <f>VLOOKUP(D830,DIP计划!D:G,4,0)</f>
        <v>310</v>
      </c>
      <c r="K830" s="4">
        <f t="shared" si="23"/>
        <v>0</v>
      </c>
      <c r="L830" s="62"/>
      <c r="M830" s="63"/>
    </row>
    <row r="831" spans="1:13" s="45" customFormat="1" ht="13.25" customHeight="1" x14ac:dyDescent="0.3">
      <c r="A831" s="55">
        <v>46141</v>
      </c>
      <c r="B831" s="56">
        <f>VLOOKUP(C831,[7]完成订单!$D:$D,1,0)</f>
        <v>10400033234</v>
      </c>
      <c r="C831" s="57">
        <v>10400033234</v>
      </c>
      <c r="D831" s="57">
        <v>110001315161</v>
      </c>
      <c r="E831" s="57">
        <v>110001315163</v>
      </c>
      <c r="F831" s="58" t="s">
        <v>124</v>
      </c>
      <c r="G831" s="59">
        <v>310</v>
      </c>
      <c r="H831" s="53">
        <f>VLOOKUP(E831,DIP计划!E:J,6,0)</f>
        <v>46147</v>
      </c>
      <c r="I831" s="55">
        <f t="shared" si="22"/>
        <v>46141</v>
      </c>
      <c r="J831" s="57">
        <f>VLOOKUP(D831,DIP计划!D:G,4,0)</f>
        <v>310</v>
      </c>
      <c r="K831" s="4">
        <f t="shared" si="23"/>
        <v>0</v>
      </c>
      <c r="L831" s="62"/>
      <c r="M831" s="63"/>
    </row>
    <row r="832" spans="1:13" s="45" customFormat="1" ht="13.25" customHeight="1" x14ac:dyDescent="0.3">
      <c r="A832" s="55">
        <v>46141</v>
      </c>
      <c r="B832" s="56" t="e">
        <f>VLOOKUP(C832,[7]完成订单!$D:$D,1,0)</f>
        <v>#N/A</v>
      </c>
      <c r="C832" s="57">
        <v>10400030957</v>
      </c>
      <c r="D832" s="57">
        <v>110001315161</v>
      </c>
      <c r="E832" s="57">
        <v>110001315164</v>
      </c>
      <c r="F832" s="58" t="s">
        <v>1813</v>
      </c>
      <c r="G832" s="59">
        <v>310</v>
      </c>
      <c r="H832" s="53">
        <f>H831-2</f>
        <v>46145</v>
      </c>
      <c r="I832" s="55">
        <f t="shared" ref="I832:I857" si="24">A832</f>
        <v>46141</v>
      </c>
      <c r="J832" s="57">
        <f>VLOOKUP(D832,DIP计划!D:G,4,0)</f>
        <v>310</v>
      </c>
      <c r="K832" s="4">
        <f t="shared" ref="K832:K857" si="25">+J832-G832</f>
        <v>0</v>
      </c>
      <c r="L832" s="62"/>
      <c r="M832" s="63"/>
    </row>
    <row r="833" spans="1:13" s="45" customFormat="1" ht="13.25" customHeight="1" x14ac:dyDescent="0.3">
      <c r="A833" s="55">
        <v>46141</v>
      </c>
      <c r="B833" s="56">
        <f>VLOOKUP(C833,[7]完成订单!$D:$D,1,0)</f>
        <v>10880017516</v>
      </c>
      <c r="C833" s="57">
        <v>10880017516</v>
      </c>
      <c r="D833" s="57">
        <v>110001315293</v>
      </c>
      <c r="E833" s="57">
        <v>110001315293</v>
      </c>
      <c r="F833" s="58" t="s">
        <v>164</v>
      </c>
      <c r="G833" s="59">
        <v>3000</v>
      </c>
      <c r="H833" s="53">
        <f>VLOOKUP(E833,DIP计划!E:J,6,0)</f>
        <v>46148</v>
      </c>
      <c r="I833" s="55">
        <f t="shared" si="24"/>
        <v>46141</v>
      </c>
      <c r="J833" s="57">
        <f>VLOOKUP(D833,DIP计划!D:G,4,0)</f>
        <v>3000</v>
      </c>
      <c r="K833" s="4">
        <f t="shared" si="25"/>
        <v>0</v>
      </c>
      <c r="L833" s="62"/>
      <c r="M833" s="63"/>
    </row>
    <row r="834" spans="1:13" s="45" customFormat="1" ht="13.25" customHeight="1" x14ac:dyDescent="0.3">
      <c r="A834" s="55">
        <v>46141</v>
      </c>
      <c r="B834" s="56" t="e">
        <f>VLOOKUP(C834,[7]完成订单!$D:$D,1,0)</f>
        <v>#N/A</v>
      </c>
      <c r="C834" s="57">
        <v>10400017926</v>
      </c>
      <c r="D834" s="57">
        <v>110001315293</v>
      </c>
      <c r="E834" s="57">
        <v>110001315294</v>
      </c>
      <c r="F834" s="58" t="s">
        <v>164</v>
      </c>
      <c r="G834" s="59">
        <v>3000</v>
      </c>
      <c r="H834" s="53">
        <f>H833-2</f>
        <v>46146</v>
      </c>
      <c r="I834" s="55">
        <f t="shared" si="24"/>
        <v>46141</v>
      </c>
      <c r="J834" s="57">
        <f>VLOOKUP(D834,DIP计划!D:G,4,0)</f>
        <v>3000</v>
      </c>
      <c r="K834" s="4">
        <f t="shared" si="25"/>
        <v>0</v>
      </c>
      <c r="L834" s="62"/>
      <c r="M834" s="63"/>
    </row>
    <row r="835" spans="1:13" s="45" customFormat="1" ht="13.25" customHeight="1" x14ac:dyDescent="0.3">
      <c r="A835" s="55">
        <v>46141</v>
      </c>
      <c r="B835" s="56" t="e">
        <f>VLOOKUP(C835,[7]完成订单!$D:$D,1,0)</f>
        <v>#N/A</v>
      </c>
      <c r="C835" s="57">
        <v>10880038724</v>
      </c>
      <c r="D835" s="57">
        <v>880000121214</v>
      </c>
      <c r="E835" s="57">
        <v>880000121214</v>
      </c>
      <c r="F835" s="58" t="s">
        <v>148</v>
      </c>
      <c r="G835" s="59">
        <v>230</v>
      </c>
      <c r="H835" s="53" t="e">
        <f>VLOOKUP(E835,DIP计划!E:J,6,0)</f>
        <v>#N/A</v>
      </c>
      <c r="I835" s="55">
        <f t="shared" si="24"/>
        <v>46141</v>
      </c>
      <c r="J835" s="57" t="e">
        <f>VLOOKUP(D835,DIP计划!D:G,4,0)</f>
        <v>#N/A</v>
      </c>
      <c r="K835" s="4" t="e">
        <f t="shared" si="25"/>
        <v>#N/A</v>
      </c>
      <c r="L835" s="62"/>
      <c r="M835" s="63"/>
    </row>
    <row r="836" spans="1:13" s="45" customFormat="1" ht="13.25" customHeight="1" x14ac:dyDescent="0.3">
      <c r="A836" s="55">
        <v>46141</v>
      </c>
      <c r="B836" s="56">
        <f>VLOOKUP(C836,[7]完成订单!$D:$D,1,0)</f>
        <v>10400033234</v>
      </c>
      <c r="C836" s="57">
        <v>10400033234</v>
      </c>
      <c r="D836" s="57">
        <v>880000121214</v>
      </c>
      <c r="E836" s="57">
        <v>880000121215</v>
      </c>
      <c r="F836" s="58" t="s">
        <v>124</v>
      </c>
      <c r="G836" s="59">
        <v>230</v>
      </c>
      <c r="H836" s="53" t="e">
        <f>VLOOKUP(E836,DIP计划!E:J,6,0)</f>
        <v>#N/A</v>
      </c>
      <c r="I836" s="55">
        <f t="shared" si="24"/>
        <v>46141</v>
      </c>
      <c r="J836" s="57" t="e">
        <f>VLOOKUP(D836,DIP计划!D:G,4,0)</f>
        <v>#N/A</v>
      </c>
      <c r="K836" s="4" t="e">
        <f t="shared" si="25"/>
        <v>#N/A</v>
      </c>
      <c r="L836" s="62"/>
      <c r="M836" s="63"/>
    </row>
    <row r="837" spans="1:13" s="45" customFormat="1" ht="13.25" customHeight="1" x14ac:dyDescent="0.3">
      <c r="A837" s="55">
        <v>46141</v>
      </c>
      <c r="B837" s="56" t="e">
        <f>VLOOKUP(C837,[7]完成订单!$D:$D,1,0)</f>
        <v>#N/A</v>
      </c>
      <c r="C837" s="57">
        <v>10400034088</v>
      </c>
      <c r="D837" s="57">
        <v>880000121214</v>
      </c>
      <c r="E837" s="57">
        <v>880000121216</v>
      </c>
      <c r="F837" s="58" t="s">
        <v>1811</v>
      </c>
      <c r="G837" s="59">
        <v>230</v>
      </c>
      <c r="H837" s="53" t="e">
        <f>VLOOKUP(E837,DIP计划!E:J,6,0)</f>
        <v>#N/A</v>
      </c>
      <c r="I837" s="55">
        <f t="shared" si="24"/>
        <v>46141</v>
      </c>
      <c r="J837" s="57" t="e">
        <f>VLOOKUP(D837,DIP计划!D:G,4,0)</f>
        <v>#N/A</v>
      </c>
      <c r="K837" s="4" t="e">
        <f t="shared" si="25"/>
        <v>#N/A</v>
      </c>
      <c r="L837" s="62"/>
      <c r="M837" s="63"/>
    </row>
    <row r="838" spans="1:13" s="45" customFormat="1" ht="13.25" customHeight="1" x14ac:dyDescent="0.3">
      <c r="A838" s="55">
        <v>46141</v>
      </c>
      <c r="B838" s="56" t="e">
        <f>VLOOKUP(C838,[7]完成订单!$D:$D,1,0)</f>
        <v>#N/A</v>
      </c>
      <c r="C838" s="57">
        <v>10400034089</v>
      </c>
      <c r="D838" s="57">
        <v>880000121214</v>
      </c>
      <c r="E838" s="57">
        <v>880000121217</v>
      </c>
      <c r="F838" s="58" t="s">
        <v>1811</v>
      </c>
      <c r="G838" s="59">
        <v>230</v>
      </c>
      <c r="H838" s="53" t="e">
        <f>H837-2</f>
        <v>#N/A</v>
      </c>
      <c r="I838" s="55">
        <f t="shared" si="24"/>
        <v>46141</v>
      </c>
      <c r="J838" s="57" t="e">
        <f>VLOOKUP(D838,DIP计划!D:G,4,0)</f>
        <v>#N/A</v>
      </c>
      <c r="K838" s="4" t="e">
        <f t="shared" si="25"/>
        <v>#N/A</v>
      </c>
      <c r="L838" s="62"/>
      <c r="M838" s="63"/>
    </row>
    <row r="839" spans="1:13" s="45" customFormat="1" ht="13.25" customHeight="1" x14ac:dyDescent="0.3">
      <c r="A839" s="55">
        <v>46141</v>
      </c>
      <c r="B839" s="56" t="e">
        <f>VLOOKUP(C839,[7]完成订单!$D:$D,1,0)</f>
        <v>#N/A</v>
      </c>
      <c r="C839" s="57">
        <v>10880038727</v>
      </c>
      <c r="D839" s="57">
        <v>880000121535</v>
      </c>
      <c r="E839" s="57">
        <v>880000121535</v>
      </c>
      <c r="F839" s="58" t="s">
        <v>1808</v>
      </c>
      <c r="G839" s="59">
        <v>250</v>
      </c>
      <c r="H839" s="53">
        <f>VLOOKUP(E839,DIP计划!E:J,6,0)</f>
        <v>46147</v>
      </c>
      <c r="I839" s="55">
        <f t="shared" si="24"/>
        <v>46141</v>
      </c>
      <c r="J839" s="57">
        <f>VLOOKUP(D839,DIP计划!D:G,4,0)</f>
        <v>250</v>
      </c>
      <c r="K839" s="4">
        <f t="shared" si="25"/>
        <v>0</v>
      </c>
      <c r="L839" s="62"/>
      <c r="M839" s="63"/>
    </row>
    <row r="840" spans="1:13" s="45" customFormat="1" ht="13.25" customHeight="1" x14ac:dyDescent="0.3">
      <c r="A840" s="55">
        <v>46141</v>
      </c>
      <c r="B840" s="56">
        <f>VLOOKUP(C840,[7]完成订单!$D:$D,1,0)</f>
        <v>10400033234</v>
      </c>
      <c r="C840" s="57">
        <v>10400033234</v>
      </c>
      <c r="D840" s="57">
        <v>880000121535</v>
      </c>
      <c r="E840" s="57">
        <v>880000121536</v>
      </c>
      <c r="F840" s="58" t="s">
        <v>124</v>
      </c>
      <c r="G840" s="59">
        <v>250</v>
      </c>
      <c r="H840" s="53">
        <f>VLOOKUP(E840,DIP计划!E:J,6,0)</f>
        <v>46147</v>
      </c>
      <c r="I840" s="55">
        <f t="shared" si="24"/>
        <v>46141</v>
      </c>
      <c r="J840" s="57">
        <f>VLOOKUP(D840,DIP计划!D:G,4,0)</f>
        <v>250</v>
      </c>
      <c r="K840" s="4">
        <f t="shared" si="25"/>
        <v>0</v>
      </c>
      <c r="L840" s="62"/>
      <c r="M840" s="63"/>
    </row>
    <row r="841" spans="1:13" s="45" customFormat="1" ht="13.25" customHeight="1" x14ac:dyDescent="0.3">
      <c r="A841" s="55">
        <v>46141</v>
      </c>
      <c r="B841" s="56" t="e">
        <f>VLOOKUP(C841,[7]完成订单!$D:$D,1,0)</f>
        <v>#N/A</v>
      </c>
      <c r="C841" s="57">
        <v>10400034094</v>
      </c>
      <c r="D841" s="57">
        <v>880000121535</v>
      </c>
      <c r="E841" s="57">
        <v>880000121537</v>
      </c>
      <c r="F841" s="58" t="s">
        <v>1809</v>
      </c>
      <c r="G841" s="59">
        <v>250</v>
      </c>
      <c r="H841" s="53">
        <f>VLOOKUP(E841,DIP计划!E:J,6,0)</f>
        <v>46147</v>
      </c>
      <c r="I841" s="55">
        <f t="shared" si="24"/>
        <v>46141</v>
      </c>
      <c r="J841" s="57">
        <f>VLOOKUP(D841,DIP计划!D:G,4,0)</f>
        <v>250</v>
      </c>
      <c r="K841" s="4">
        <f t="shared" si="25"/>
        <v>0</v>
      </c>
      <c r="L841" s="62"/>
      <c r="M841" s="63"/>
    </row>
    <row r="842" spans="1:13" s="45" customFormat="1" ht="13.25" customHeight="1" x14ac:dyDescent="0.3">
      <c r="A842" s="55">
        <v>46141</v>
      </c>
      <c r="B842" s="56" t="e">
        <f>VLOOKUP(C842,[7]完成订单!$D:$D,1,0)</f>
        <v>#N/A</v>
      </c>
      <c r="C842" s="57">
        <v>10400034095</v>
      </c>
      <c r="D842" s="57">
        <v>880000121535</v>
      </c>
      <c r="E842" s="57">
        <v>880000121608</v>
      </c>
      <c r="F842" s="58" t="s">
        <v>1809</v>
      </c>
      <c r="G842" s="59">
        <v>250</v>
      </c>
      <c r="H842" s="53">
        <f>H841-2</f>
        <v>46145</v>
      </c>
      <c r="I842" s="55">
        <f t="shared" si="24"/>
        <v>46141</v>
      </c>
      <c r="J842" s="57">
        <f>VLOOKUP(D842,DIP计划!D:G,4,0)</f>
        <v>250</v>
      </c>
      <c r="K842" s="4">
        <f t="shared" si="25"/>
        <v>0</v>
      </c>
      <c r="L842" s="62"/>
      <c r="M842" s="63"/>
    </row>
    <row r="843" spans="1:13" s="45" customFormat="1" ht="13.25" customHeight="1" x14ac:dyDescent="0.3">
      <c r="A843" s="55">
        <v>46141</v>
      </c>
      <c r="B843" s="56" t="e">
        <f>VLOOKUP(C843,[7]完成订单!$D:$D,1,0)</f>
        <v>#N/A</v>
      </c>
      <c r="C843" s="57">
        <v>10880039057</v>
      </c>
      <c r="D843" s="57">
        <v>880000121614</v>
      </c>
      <c r="E843" s="57">
        <v>880000121614</v>
      </c>
      <c r="F843" s="58" t="s">
        <v>1752</v>
      </c>
      <c r="G843" s="59">
        <v>200</v>
      </c>
      <c r="H843" s="53" t="e">
        <f>VLOOKUP(E843,DIP计划!E:J,6,0)</f>
        <v>#N/A</v>
      </c>
      <c r="I843" s="55">
        <f t="shared" si="24"/>
        <v>46141</v>
      </c>
      <c r="J843" s="57" t="e">
        <f>VLOOKUP(D843,DIP计划!D:G,4,0)</f>
        <v>#N/A</v>
      </c>
      <c r="K843" s="4" t="e">
        <f t="shared" si="25"/>
        <v>#N/A</v>
      </c>
      <c r="L843" s="62"/>
      <c r="M843" s="63"/>
    </row>
    <row r="844" spans="1:13" s="45" customFormat="1" ht="13.25" customHeight="1" x14ac:dyDescent="0.3">
      <c r="A844" s="55">
        <v>46141</v>
      </c>
      <c r="B844" s="56" t="e">
        <f>VLOOKUP(C844,[7]完成订单!$D:$D,1,0)</f>
        <v>#N/A</v>
      </c>
      <c r="C844" s="57">
        <v>10400034531</v>
      </c>
      <c r="D844" s="57">
        <v>880000121614</v>
      </c>
      <c r="E844" s="57">
        <v>880000121615</v>
      </c>
      <c r="F844" s="58" t="s">
        <v>1830</v>
      </c>
      <c r="G844" s="59">
        <v>200</v>
      </c>
      <c r="H844" s="53" t="e">
        <f>H843-2</f>
        <v>#N/A</v>
      </c>
      <c r="I844" s="55">
        <f t="shared" si="24"/>
        <v>46141</v>
      </c>
      <c r="J844" s="57" t="e">
        <f>VLOOKUP(D844,DIP计划!D:G,4,0)</f>
        <v>#N/A</v>
      </c>
      <c r="K844" s="4" t="e">
        <f t="shared" si="25"/>
        <v>#N/A</v>
      </c>
      <c r="L844" s="62"/>
      <c r="M844" s="63"/>
    </row>
    <row r="845" spans="1:13" s="45" customFormat="1" ht="13.25" customHeight="1" x14ac:dyDescent="0.3">
      <c r="A845" s="55">
        <v>46141</v>
      </c>
      <c r="B845" s="56" t="e">
        <f>VLOOKUP(C845,[7]完成订单!$D:$D,1,0)</f>
        <v>#N/A</v>
      </c>
      <c r="C845" s="57">
        <v>10880039059</v>
      </c>
      <c r="D845" s="57">
        <v>880000121616</v>
      </c>
      <c r="E845" s="57">
        <v>880000121616</v>
      </c>
      <c r="F845" s="58" t="s">
        <v>1753</v>
      </c>
      <c r="G845" s="59">
        <v>200</v>
      </c>
      <c r="H845" s="53" t="e">
        <f>VLOOKUP(E845,DIP计划!E:J,6,0)</f>
        <v>#N/A</v>
      </c>
      <c r="I845" s="55">
        <f t="shared" si="24"/>
        <v>46141</v>
      </c>
      <c r="J845" s="57" t="e">
        <f>VLOOKUP(D845,DIP计划!D:G,4,0)</f>
        <v>#N/A</v>
      </c>
      <c r="K845" s="4" t="e">
        <f t="shared" si="25"/>
        <v>#N/A</v>
      </c>
      <c r="L845" s="62"/>
      <c r="M845" s="63"/>
    </row>
    <row r="846" spans="1:13" s="45" customFormat="1" ht="13.25" customHeight="1" x14ac:dyDescent="0.3">
      <c r="A846" s="55">
        <v>46141</v>
      </c>
      <c r="B846" s="56" t="e">
        <f>VLOOKUP(C846,[7]完成订单!$D:$D,1,0)</f>
        <v>#N/A</v>
      </c>
      <c r="C846" s="57">
        <v>10400034532</v>
      </c>
      <c r="D846" s="57">
        <v>880000121616</v>
      </c>
      <c r="E846" s="57">
        <v>880000121617</v>
      </c>
      <c r="F846" s="58" t="s">
        <v>1831</v>
      </c>
      <c r="G846" s="59">
        <v>200</v>
      </c>
      <c r="H846" s="53" t="e">
        <f>H845-2</f>
        <v>#N/A</v>
      </c>
      <c r="I846" s="55">
        <f t="shared" si="24"/>
        <v>46141</v>
      </c>
      <c r="J846" s="57" t="e">
        <f>VLOOKUP(D846,DIP计划!D:G,4,0)</f>
        <v>#N/A</v>
      </c>
      <c r="K846" s="4" t="e">
        <f t="shared" si="25"/>
        <v>#N/A</v>
      </c>
      <c r="L846" s="62"/>
      <c r="M846" s="63"/>
    </row>
    <row r="847" spans="1:13" s="45" customFormat="1" ht="13.25" customHeight="1" x14ac:dyDescent="0.3">
      <c r="A847" s="55">
        <v>46141</v>
      </c>
      <c r="B847" s="56" t="e">
        <f>VLOOKUP(C847,[7]完成订单!$D:$D,1,0)</f>
        <v>#N/A</v>
      </c>
      <c r="C847" s="57">
        <v>10880038500</v>
      </c>
      <c r="D847" s="57">
        <v>880000121855</v>
      </c>
      <c r="E847" s="57">
        <v>880000121855</v>
      </c>
      <c r="F847" s="58" t="s">
        <v>1803</v>
      </c>
      <c r="G847" s="59">
        <v>200</v>
      </c>
      <c r="H847" s="53" t="e">
        <f>VLOOKUP(E847,DIP计划!E:J,6,0)</f>
        <v>#N/A</v>
      </c>
      <c r="I847" s="55">
        <f t="shared" si="24"/>
        <v>46141</v>
      </c>
      <c r="J847" s="57" t="e">
        <f>VLOOKUP(D847,DIP计划!D:G,4,0)</f>
        <v>#N/A</v>
      </c>
      <c r="K847" s="4" t="e">
        <f t="shared" si="25"/>
        <v>#N/A</v>
      </c>
      <c r="L847" s="62"/>
      <c r="M847" s="63"/>
    </row>
    <row r="848" spans="1:13" s="45" customFormat="1" ht="13.25" customHeight="1" x14ac:dyDescent="0.3">
      <c r="A848" s="55">
        <v>46141</v>
      </c>
      <c r="B848" s="56" t="e">
        <f>VLOOKUP(C848,[7]完成订单!$D:$D,1,0)</f>
        <v>#N/A</v>
      </c>
      <c r="C848" s="57">
        <v>10400033819</v>
      </c>
      <c r="D848" s="57">
        <v>880000121855</v>
      </c>
      <c r="E848" s="57">
        <v>880000121856</v>
      </c>
      <c r="F848" s="58" t="s">
        <v>1804</v>
      </c>
      <c r="G848" s="59">
        <v>200</v>
      </c>
      <c r="H848" s="53" t="e">
        <f>H847-2</f>
        <v>#N/A</v>
      </c>
      <c r="I848" s="55">
        <f t="shared" si="24"/>
        <v>46141</v>
      </c>
      <c r="J848" s="57" t="e">
        <f>VLOOKUP(D848,DIP计划!D:G,4,0)</f>
        <v>#N/A</v>
      </c>
      <c r="K848" s="4" t="e">
        <f t="shared" si="25"/>
        <v>#N/A</v>
      </c>
      <c r="L848" s="62"/>
      <c r="M848" s="63"/>
    </row>
    <row r="849" spans="1:13" s="45" customFormat="1" ht="13.25" customHeight="1" x14ac:dyDescent="0.3">
      <c r="A849" s="55">
        <v>46141</v>
      </c>
      <c r="B849" s="56" t="e">
        <f>VLOOKUP(C849,[7]完成订单!$D:$D,1,0)</f>
        <v>#N/A</v>
      </c>
      <c r="C849" s="57">
        <v>10400033821</v>
      </c>
      <c r="D849" s="57">
        <v>880000121855</v>
      </c>
      <c r="E849" s="57">
        <v>880000121857</v>
      </c>
      <c r="F849" s="58" t="s">
        <v>1832</v>
      </c>
      <c r="G849" s="59">
        <v>200</v>
      </c>
      <c r="H849" s="53" t="e">
        <f>VLOOKUP(E849,DIP计划!E:J,6,0)</f>
        <v>#N/A</v>
      </c>
      <c r="I849" s="55">
        <f t="shared" si="24"/>
        <v>46141</v>
      </c>
      <c r="J849" s="57" t="e">
        <f>VLOOKUP(D849,DIP计划!D:G,4,0)</f>
        <v>#N/A</v>
      </c>
      <c r="K849" s="4" t="e">
        <f t="shared" si="25"/>
        <v>#N/A</v>
      </c>
      <c r="L849" s="62"/>
      <c r="M849" s="63"/>
    </row>
    <row r="850" spans="1:13" x14ac:dyDescent="0.3">
      <c r="A850" s="64">
        <v>46142</v>
      </c>
      <c r="B850" s="65">
        <f>VLOOKUP(C850,[7]完成订单!$D:$D,1,0)</f>
        <v>10880031182</v>
      </c>
      <c r="C850" s="66">
        <v>10880031182</v>
      </c>
      <c r="D850" s="66">
        <v>110001263474</v>
      </c>
      <c r="E850" s="66">
        <v>110001263474</v>
      </c>
      <c r="F850" s="67" t="s">
        <v>236</v>
      </c>
      <c r="G850" s="66">
        <v>200</v>
      </c>
      <c r="H850" s="53" t="e">
        <f>VLOOKUP(E850,DIP计划!E:J,6,0)</f>
        <v>#N/A</v>
      </c>
      <c r="I850" s="64">
        <f t="shared" si="24"/>
        <v>46142</v>
      </c>
      <c r="J850" s="68" t="e">
        <f>VLOOKUP(D850,DIP计划!D:G,4,0)</f>
        <v>#N/A</v>
      </c>
      <c r="K850" s="5" t="e">
        <f t="shared" si="25"/>
        <v>#N/A</v>
      </c>
      <c r="L850" s="69"/>
    </row>
    <row r="851" spans="1:13" x14ac:dyDescent="0.3">
      <c r="A851" s="64">
        <v>46142</v>
      </c>
      <c r="B851" s="65" t="e">
        <f>VLOOKUP(C851,[7]完成订单!$D:$D,1,0)</f>
        <v>#N/A</v>
      </c>
      <c r="C851" s="66">
        <v>10400024979</v>
      </c>
      <c r="D851" s="66">
        <v>110001263474</v>
      </c>
      <c r="E851" s="66">
        <v>110001263475</v>
      </c>
      <c r="F851" s="67" t="s">
        <v>236</v>
      </c>
      <c r="G851" s="66">
        <v>200</v>
      </c>
      <c r="H851" s="53" t="e">
        <f>H850-2</f>
        <v>#N/A</v>
      </c>
      <c r="I851" s="64">
        <f t="shared" si="24"/>
        <v>46142</v>
      </c>
      <c r="J851" s="68" t="e">
        <f>VLOOKUP(D851,DIP计划!D:G,4,0)</f>
        <v>#N/A</v>
      </c>
      <c r="K851" s="5" t="e">
        <f t="shared" si="25"/>
        <v>#N/A</v>
      </c>
      <c r="L851" s="69"/>
    </row>
    <row r="852" spans="1:13" x14ac:dyDescent="0.3">
      <c r="A852" s="64">
        <v>46142</v>
      </c>
      <c r="B852" s="65">
        <f>VLOOKUP(C852,[7]完成订单!$D:$D,1,0)</f>
        <v>10880030450</v>
      </c>
      <c r="C852" s="66">
        <v>10880030450</v>
      </c>
      <c r="D852" s="66">
        <v>110001288299</v>
      </c>
      <c r="E852" s="66">
        <v>110001288299</v>
      </c>
      <c r="F852" s="67" t="s">
        <v>1839</v>
      </c>
      <c r="G852" s="66">
        <v>360</v>
      </c>
      <c r="H852" s="53" t="e">
        <f>VLOOKUP(E852,DIP计划!E:J,6,0)</f>
        <v>#N/A</v>
      </c>
      <c r="I852" s="64">
        <f t="shared" si="24"/>
        <v>46142</v>
      </c>
      <c r="J852" s="68" t="e">
        <f>VLOOKUP(D852,DIP计划!D:G,4,0)</f>
        <v>#N/A</v>
      </c>
      <c r="K852" s="5" t="e">
        <f t="shared" si="25"/>
        <v>#N/A</v>
      </c>
      <c r="L852" s="69"/>
    </row>
    <row r="853" spans="1:13" x14ac:dyDescent="0.3">
      <c r="A853" s="64">
        <v>46142</v>
      </c>
      <c r="B853" s="65" t="e">
        <f>VLOOKUP(C853,[7]完成订单!$D:$D,1,0)</f>
        <v>#N/A</v>
      </c>
      <c r="C853" s="66">
        <v>10400024212</v>
      </c>
      <c r="D853" s="66">
        <v>110001288299</v>
      </c>
      <c r="E853" s="66">
        <v>110001288300</v>
      </c>
      <c r="F853" s="67" t="s">
        <v>1839</v>
      </c>
      <c r="G853" s="66">
        <v>360</v>
      </c>
      <c r="H853" s="53" t="e">
        <f>H852-2</f>
        <v>#N/A</v>
      </c>
      <c r="I853" s="64">
        <f t="shared" si="24"/>
        <v>46142</v>
      </c>
      <c r="J853" s="68" t="e">
        <f>VLOOKUP(D853,DIP计划!D:G,4,0)</f>
        <v>#N/A</v>
      </c>
      <c r="K853" s="5" t="e">
        <f t="shared" si="25"/>
        <v>#N/A</v>
      </c>
      <c r="L853" s="69"/>
    </row>
    <row r="854" spans="1:13" x14ac:dyDescent="0.3">
      <c r="A854" s="64">
        <v>46142</v>
      </c>
      <c r="B854" s="65">
        <f>VLOOKUP(C854,[7]完成订单!$D:$D,1,0)</f>
        <v>10880030520</v>
      </c>
      <c r="C854" s="66">
        <v>10880030520</v>
      </c>
      <c r="D854" s="66">
        <v>110001292200</v>
      </c>
      <c r="E854" s="66">
        <v>110001292200</v>
      </c>
      <c r="F854" s="67" t="s">
        <v>214</v>
      </c>
      <c r="G854" s="66">
        <v>600</v>
      </c>
      <c r="H854" s="53" t="e">
        <f>VLOOKUP(E854,DIP计划!E:J,6,0)</f>
        <v>#N/A</v>
      </c>
      <c r="I854" s="64">
        <f t="shared" si="24"/>
        <v>46142</v>
      </c>
      <c r="J854" s="68" t="e">
        <f>VLOOKUP(D854,DIP计划!D:G,4,0)</f>
        <v>#N/A</v>
      </c>
      <c r="K854" s="5" t="e">
        <f t="shared" si="25"/>
        <v>#N/A</v>
      </c>
      <c r="L854" s="69"/>
    </row>
    <row r="855" spans="1:13" x14ac:dyDescent="0.3">
      <c r="A855" s="64">
        <v>46142</v>
      </c>
      <c r="B855" s="65" t="e">
        <f>VLOOKUP(C855,[7]完成订单!$D:$D,1,0)</f>
        <v>#N/A</v>
      </c>
      <c r="C855" s="66">
        <v>10400024279</v>
      </c>
      <c r="D855" s="66">
        <v>110001292200</v>
      </c>
      <c r="E855" s="66">
        <v>110001292201</v>
      </c>
      <c r="F855" s="67" t="s">
        <v>214</v>
      </c>
      <c r="G855" s="66">
        <v>600</v>
      </c>
      <c r="H855" s="53" t="e">
        <f>H854-2</f>
        <v>#N/A</v>
      </c>
      <c r="I855" s="64">
        <f t="shared" si="24"/>
        <v>46142</v>
      </c>
      <c r="J855" s="68" t="e">
        <f>VLOOKUP(D855,DIP计划!D:G,4,0)</f>
        <v>#N/A</v>
      </c>
      <c r="K855" s="5" t="e">
        <f t="shared" si="25"/>
        <v>#N/A</v>
      </c>
      <c r="L855" s="69"/>
    </row>
    <row r="856" spans="1:13" x14ac:dyDescent="0.3">
      <c r="A856" s="64">
        <v>46142</v>
      </c>
      <c r="B856" s="65">
        <f>VLOOKUP(C856,[7]完成订单!$D:$D,1,0)</f>
        <v>10880038579</v>
      </c>
      <c r="C856" s="66">
        <v>10880038579</v>
      </c>
      <c r="D856" s="66">
        <v>110001300143</v>
      </c>
      <c r="E856" s="66">
        <v>110001300143</v>
      </c>
      <c r="F856" s="67" t="s">
        <v>246</v>
      </c>
      <c r="G856" s="66">
        <v>3000</v>
      </c>
      <c r="H856" s="53" t="e">
        <f>VLOOKUP(E856,DIP计划!E:J,6,0)</f>
        <v>#N/A</v>
      </c>
      <c r="I856" s="64">
        <f t="shared" si="24"/>
        <v>46142</v>
      </c>
      <c r="J856" s="68" t="e">
        <f>VLOOKUP(D856,DIP计划!D:G,4,0)</f>
        <v>#N/A</v>
      </c>
      <c r="K856" s="5" t="e">
        <f t="shared" si="25"/>
        <v>#N/A</v>
      </c>
      <c r="L856" s="69"/>
    </row>
    <row r="857" spans="1:13" x14ac:dyDescent="0.3">
      <c r="A857" s="64">
        <v>46142</v>
      </c>
      <c r="B857" s="65" t="e">
        <f>VLOOKUP(C857,[7]完成订单!$D:$D,1,0)</f>
        <v>#N/A</v>
      </c>
      <c r="C857" s="66">
        <v>10400033915</v>
      </c>
      <c r="D857" s="66">
        <v>110001300143</v>
      </c>
      <c r="E857" s="66">
        <v>110001300144</v>
      </c>
      <c r="F857" s="67" t="s">
        <v>284</v>
      </c>
      <c r="G857" s="66">
        <v>3000</v>
      </c>
      <c r="H857" s="53" t="e">
        <f>H856-2</f>
        <v>#N/A</v>
      </c>
      <c r="I857" s="64">
        <f t="shared" si="24"/>
        <v>46142</v>
      </c>
      <c r="J857" s="68" t="e">
        <f>VLOOKUP(D857,DIP计划!D:G,4,0)</f>
        <v>#N/A</v>
      </c>
      <c r="K857" s="5" t="e">
        <f t="shared" si="25"/>
        <v>#N/A</v>
      </c>
      <c r="L857" s="69"/>
    </row>
    <row r="858" spans="1:13" x14ac:dyDescent="0.3">
      <c r="A858" s="64">
        <v>46142</v>
      </c>
      <c r="B858" s="65">
        <f>VLOOKUP(C858,[7]完成订单!$D:$D,1,0)</f>
        <v>10880028306</v>
      </c>
      <c r="C858" s="66">
        <v>10880028306</v>
      </c>
      <c r="D858" s="66">
        <v>110001302963</v>
      </c>
      <c r="E858" s="66">
        <v>110001302963</v>
      </c>
      <c r="F858" s="67" t="s">
        <v>185</v>
      </c>
      <c r="G858" s="66">
        <v>1000</v>
      </c>
      <c r="H858" s="53" t="e">
        <f>VLOOKUP(E858,DIP计划!E:J,6,0)</f>
        <v>#N/A</v>
      </c>
      <c r="I858" s="64">
        <f t="shared" ref="I858:I921" si="26">A858</f>
        <v>46142</v>
      </c>
      <c r="J858" s="68" t="e">
        <f>VLOOKUP(D858,DIP计划!D:G,4,0)</f>
        <v>#N/A</v>
      </c>
      <c r="K858" s="5" t="e">
        <f t="shared" ref="K858:K921" si="27">+J858-G858</f>
        <v>#N/A</v>
      </c>
      <c r="L858" s="69"/>
    </row>
    <row r="859" spans="1:13" x14ac:dyDescent="0.3">
      <c r="A859" s="64">
        <v>46142</v>
      </c>
      <c r="B859" s="65" t="e">
        <f>VLOOKUP(C859,[7]完成订单!$D:$D,1,0)</f>
        <v>#N/A</v>
      </c>
      <c r="C859" s="66">
        <v>10400022618</v>
      </c>
      <c r="D859" s="66">
        <v>110001302963</v>
      </c>
      <c r="E859" s="66">
        <v>110001302964</v>
      </c>
      <c r="F859" s="67" t="s">
        <v>185</v>
      </c>
      <c r="G859" s="66">
        <v>1000</v>
      </c>
      <c r="H859" s="53" t="e">
        <f>H858-2</f>
        <v>#N/A</v>
      </c>
      <c r="I859" s="64">
        <f t="shared" si="26"/>
        <v>46142</v>
      </c>
      <c r="J859" s="68" t="e">
        <f>VLOOKUP(D859,DIP计划!D:G,4,0)</f>
        <v>#N/A</v>
      </c>
      <c r="K859" s="5" t="e">
        <f t="shared" si="27"/>
        <v>#N/A</v>
      </c>
      <c r="L859" s="69"/>
    </row>
    <row r="860" spans="1:13" x14ac:dyDescent="0.3">
      <c r="A860" s="64">
        <v>46142</v>
      </c>
      <c r="B860" s="65">
        <f>VLOOKUP(C860,[7]完成订单!$D:$D,1,0)</f>
        <v>10880038122</v>
      </c>
      <c r="C860" s="66">
        <v>10880038122</v>
      </c>
      <c r="D860" s="66">
        <v>110001303143</v>
      </c>
      <c r="E860" s="66">
        <v>110001303143</v>
      </c>
      <c r="F860" s="67" t="s">
        <v>234</v>
      </c>
      <c r="G860" s="66">
        <v>6500</v>
      </c>
      <c r="H860" s="53" t="e">
        <f>VLOOKUP(E860,DIP计划!E:J,6,0)</f>
        <v>#N/A</v>
      </c>
      <c r="I860" s="64">
        <f t="shared" si="26"/>
        <v>46142</v>
      </c>
      <c r="J860" s="68" t="e">
        <f>VLOOKUP(D860,DIP计划!D:G,4,0)</f>
        <v>#N/A</v>
      </c>
      <c r="K860" s="5" t="e">
        <f t="shared" si="27"/>
        <v>#N/A</v>
      </c>
      <c r="L860" s="69"/>
    </row>
    <row r="861" spans="1:13" x14ac:dyDescent="0.3">
      <c r="A861" s="64">
        <v>46142</v>
      </c>
      <c r="B861" s="65" t="e">
        <f>VLOOKUP(C861,[7]完成订单!$D:$D,1,0)</f>
        <v>#N/A</v>
      </c>
      <c r="C861" s="66">
        <v>10400033326</v>
      </c>
      <c r="D861" s="66">
        <v>110001303143</v>
      </c>
      <c r="E861" s="66">
        <v>110001303144</v>
      </c>
      <c r="F861" s="67" t="s">
        <v>325</v>
      </c>
      <c r="G861" s="66">
        <v>6500</v>
      </c>
      <c r="H861" s="53" t="e">
        <f>H860-2</f>
        <v>#N/A</v>
      </c>
      <c r="I861" s="64">
        <f t="shared" si="26"/>
        <v>46142</v>
      </c>
      <c r="J861" s="68" t="e">
        <f>VLOOKUP(D861,DIP计划!D:G,4,0)</f>
        <v>#N/A</v>
      </c>
      <c r="K861" s="5" t="e">
        <f t="shared" si="27"/>
        <v>#N/A</v>
      </c>
      <c r="L861" s="69"/>
    </row>
    <row r="862" spans="1:13" x14ac:dyDescent="0.3">
      <c r="A862" s="64">
        <v>46142</v>
      </c>
      <c r="B862" s="65">
        <f>VLOOKUP(C862,[7]完成订单!$D:$D,1,0)</f>
        <v>10880038123</v>
      </c>
      <c r="C862" s="66">
        <v>10880038123</v>
      </c>
      <c r="D862" s="66">
        <v>110001303151</v>
      </c>
      <c r="E862" s="66">
        <v>110001303151</v>
      </c>
      <c r="F862" s="67" t="s">
        <v>235</v>
      </c>
      <c r="G862" s="66">
        <v>500</v>
      </c>
      <c r="H862" s="53" t="e">
        <f>VLOOKUP(E862,DIP计划!E:J,6,0)</f>
        <v>#N/A</v>
      </c>
      <c r="I862" s="64">
        <f t="shared" si="26"/>
        <v>46142</v>
      </c>
      <c r="J862" s="68" t="e">
        <f>VLOOKUP(D862,DIP计划!D:G,4,0)</f>
        <v>#N/A</v>
      </c>
      <c r="K862" s="5" t="e">
        <f t="shared" si="27"/>
        <v>#N/A</v>
      </c>
      <c r="L862" s="69"/>
    </row>
    <row r="863" spans="1:13" x14ac:dyDescent="0.3">
      <c r="A863" s="64">
        <v>46142</v>
      </c>
      <c r="B863" s="65" t="e">
        <f>VLOOKUP(C863,[7]完成订单!$D:$D,1,0)</f>
        <v>#N/A</v>
      </c>
      <c r="C863" s="66">
        <v>10400033327</v>
      </c>
      <c r="D863" s="66">
        <v>110001303151</v>
      </c>
      <c r="E863" s="66">
        <v>110001303152</v>
      </c>
      <c r="F863" s="67" t="s">
        <v>1844</v>
      </c>
      <c r="G863" s="66">
        <v>500</v>
      </c>
      <c r="H863" s="53" t="e">
        <f>H862-2</f>
        <v>#N/A</v>
      </c>
      <c r="I863" s="64">
        <f t="shared" si="26"/>
        <v>46142</v>
      </c>
      <c r="J863" s="68" t="e">
        <f>VLOOKUP(D863,DIP计划!D:G,4,0)</f>
        <v>#N/A</v>
      </c>
      <c r="K863" s="5" t="e">
        <f t="shared" si="27"/>
        <v>#N/A</v>
      </c>
      <c r="L863" s="69"/>
    </row>
    <row r="864" spans="1:13" x14ac:dyDescent="0.3">
      <c r="A864" s="64">
        <v>46142</v>
      </c>
      <c r="B864" s="65" t="e">
        <f>VLOOKUP(C864,[7]完成订单!$D:$D,1,0)</f>
        <v>#N/A</v>
      </c>
      <c r="C864" s="66">
        <v>10880037782</v>
      </c>
      <c r="D864" s="66">
        <v>110001310967</v>
      </c>
      <c r="E864" s="66">
        <v>110001310967</v>
      </c>
      <c r="F864" s="67" t="s">
        <v>1838</v>
      </c>
      <c r="G864" s="66">
        <v>2700</v>
      </c>
      <c r="H864" s="53" t="e">
        <f>VLOOKUP(E864,DIP计划!E:J,6,0)</f>
        <v>#N/A</v>
      </c>
      <c r="I864" s="64">
        <f t="shared" si="26"/>
        <v>46142</v>
      </c>
      <c r="J864" s="68" t="e">
        <f>VLOOKUP(D864,DIP计划!D:G,4,0)</f>
        <v>#N/A</v>
      </c>
      <c r="K864" s="5" t="e">
        <f t="shared" si="27"/>
        <v>#N/A</v>
      </c>
      <c r="L864" s="69"/>
    </row>
    <row r="865" spans="1:12" x14ac:dyDescent="0.3">
      <c r="A865" s="64">
        <v>46142</v>
      </c>
      <c r="B865" s="65" t="e">
        <f>VLOOKUP(C865,[7]完成订单!$D:$D,1,0)</f>
        <v>#N/A</v>
      </c>
      <c r="C865" s="66">
        <v>10400032894</v>
      </c>
      <c r="D865" s="66">
        <v>110001310967</v>
      </c>
      <c r="E865" s="66">
        <v>110001310968</v>
      </c>
      <c r="F865" s="67" t="s">
        <v>1840</v>
      </c>
      <c r="G865" s="66">
        <v>2700</v>
      </c>
      <c r="H865" s="53" t="e">
        <f>H864-2</f>
        <v>#N/A</v>
      </c>
      <c r="I865" s="64">
        <f t="shared" si="26"/>
        <v>46142</v>
      </c>
      <c r="J865" s="68" t="e">
        <f>VLOOKUP(D865,DIP计划!D:G,4,0)</f>
        <v>#N/A</v>
      </c>
      <c r="K865" s="5" t="e">
        <f t="shared" si="27"/>
        <v>#N/A</v>
      </c>
      <c r="L865" s="69"/>
    </row>
    <row r="866" spans="1:12" x14ac:dyDescent="0.3">
      <c r="A866" s="64">
        <v>46142</v>
      </c>
      <c r="B866" s="65">
        <f>VLOOKUP(C866,[7]完成订单!$D:$D,1,0)</f>
        <v>10880014363</v>
      </c>
      <c r="C866" s="66">
        <v>10880014363</v>
      </c>
      <c r="D866" s="66">
        <v>110001315930</v>
      </c>
      <c r="E866" s="66">
        <v>110001315930</v>
      </c>
      <c r="F866" s="67" t="s">
        <v>713</v>
      </c>
      <c r="G866" s="66">
        <v>200</v>
      </c>
      <c r="H866" s="53">
        <f>VLOOKUP(E866,DIP计划!E:J,6,0)</f>
        <v>46148</v>
      </c>
      <c r="I866" s="64">
        <f t="shared" si="26"/>
        <v>46142</v>
      </c>
      <c r="J866" s="68">
        <f>VLOOKUP(D866,DIP计划!D:G,4,0)</f>
        <v>200</v>
      </c>
      <c r="K866" s="5">
        <f t="shared" si="27"/>
        <v>0</v>
      </c>
      <c r="L866" s="69"/>
    </row>
    <row r="867" spans="1:12" x14ac:dyDescent="0.3">
      <c r="A867" s="64">
        <v>46142</v>
      </c>
      <c r="B867" s="65" t="e">
        <f>VLOOKUP(C867,[7]完成订单!$D:$D,1,0)</f>
        <v>#N/A</v>
      </c>
      <c r="C867" s="66">
        <v>10400015460</v>
      </c>
      <c r="D867" s="66">
        <v>110001315930</v>
      </c>
      <c r="E867" s="66">
        <v>110001315931</v>
      </c>
      <c r="F867" s="67" t="s">
        <v>713</v>
      </c>
      <c r="G867" s="66">
        <v>200</v>
      </c>
      <c r="H867" s="53">
        <f>H866-2</f>
        <v>46146</v>
      </c>
      <c r="I867" s="64">
        <f t="shared" si="26"/>
        <v>46142</v>
      </c>
      <c r="J867" s="68">
        <f>VLOOKUP(D867,DIP计划!D:G,4,0)</f>
        <v>200</v>
      </c>
      <c r="K867" s="5">
        <f t="shared" si="27"/>
        <v>0</v>
      </c>
      <c r="L867" s="69"/>
    </row>
    <row r="868" spans="1:12" x14ac:dyDescent="0.3">
      <c r="A868" s="64">
        <v>46142</v>
      </c>
      <c r="B868" s="65">
        <f>VLOOKUP(C868,[7]完成订单!$D:$D,1,0)</f>
        <v>10880031185</v>
      </c>
      <c r="C868" s="66">
        <v>10880031185</v>
      </c>
      <c r="D868" s="66">
        <v>110001315953</v>
      </c>
      <c r="E868" s="66">
        <v>110001315953</v>
      </c>
      <c r="F868" s="67" t="s">
        <v>172</v>
      </c>
      <c r="G868" s="66">
        <v>1450</v>
      </c>
      <c r="H868" s="53">
        <f>VLOOKUP(E868,DIP计划!E:J,6,0)</f>
        <v>46149</v>
      </c>
      <c r="I868" s="64">
        <f t="shared" si="26"/>
        <v>46142</v>
      </c>
      <c r="J868" s="68">
        <f>VLOOKUP(D868,DIP计划!D:G,4,0)</f>
        <v>1450</v>
      </c>
      <c r="K868" s="5">
        <f t="shared" si="27"/>
        <v>0</v>
      </c>
      <c r="L868" s="69"/>
    </row>
    <row r="869" spans="1:12" x14ac:dyDescent="0.3">
      <c r="A869" s="64">
        <v>46142</v>
      </c>
      <c r="B869" s="65" t="e">
        <f>VLOOKUP(C869,[7]完成订单!$D:$D,1,0)</f>
        <v>#N/A</v>
      </c>
      <c r="C869" s="66">
        <v>10400024982</v>
      </c>
      <c r="D869" s="66">
        <v>110001315953</v>
      </c>
      <c r="E869" s="66">
        <v>110001315954</v>
      </c>
      <c r="F869" s="67" t="s">
        <v>172</v>
      </c>
      <c r="G869" s="66">
        <v>1450</v>
      </c>
      <c r="H869" s="53">
        <f>H868-2</f>
        <v>46147</v>
      </c>
      <c r="I869" s="64">
        <f t="shared" si="26"/>
        <v>46142</v>
      </c>
      <c r="J869" s="68">
        <f>VLOOKUP(D869,DIP计划!D:G,4,0)</f>
        <v>1450</v>
      </c>
      <c r="K869" s="5">
        <f t="shared" si="27"/>
        <v>0</v>
      </c>
      <c r="L869" s="69"/>
    </row>
    <row r="870" spans="1:12" x14ac:dyDescent="0.3">
      <c r="A870" s="64">
        <v>46142</v>
      </c>
      <c r="B870" s="65">
        <f>VLOOKUP(C870,[7]完成订单!$D:$D,1,0)</f>
        <v>10880020677</v>
      </c>
      <c r="C870" s="66">
        <v>10880020677</v>
      </c>
      <c r="D870" s="66">
        <v>110001316283</v>
      </c>
      <c r="E870" s="66">
        <v>110001316283</v>
      </c>
      <c r="F870" s="67" t="s">
        <v>221</v>
      </c>
      <c r="G870" s="66">
        <v>50</v>
      </c>
      <c r="H870" s="53" t="e">
        <f>VLOOKUP(E870,DIP计划!E:J,6,0)</f>
        <v>#N/A</v>
      </c>
      <c r="I870" s="64">
        <f t="shared" si="26"/>
        <v>46142</v>
      </c>
      <c r="J870" s="68" t="e">
        <f>VLOOKUP(D870,DIP计划!D:G,4,0)</f>
        <v>#N/A</v>
      </c>
      <c r="K870" s="5" t="e">
        <f t="shared" si="27"/>
        <v>#N/A</v>
      </c>
      <c r="L870" s="69"/>
    </row>
    <row r="871" spans="1:12" x14ac:dyDescent="0.3">
      <c r="A871" s="64">
        <v>46142</v>
      </c>
      <c r="B871" s="65" t="e">
        <f>VLOOKUP(C871,[7]完成订单!$D:$D,1,0)</f>
        <v>#N/A</v>
      </c>
      <c r="C871" s="66">
        <v>10400020073</v>
      </c>
      <c r="D871" s="66">
        <v>110001316283</v>
      </c>
      <c r="E871" s="66">
        <v>110001316284</v>
      </c>
      <c r="F871" s="67" t="s">
        <v>221</v>
      </c>
      <c r="G871" s="66">
        <v>50</v>
      </c>
      <c r="H871" s="53" t="e">
        <f>H870-2</f>
        <v>#N/A</v>
      </c>
      <c r="I871" s="64">
        <f t="shared" si="26"/>
        <v>46142</v>
      </c>
      <c r="J871" s="68" t="e">
        <f>VLOOKUP(D871,DIP计划!D:G,4,0)</f>
        <v>#N/A</v>
      </c>
      <c r="K871" s="5" t="e">
        <f t="shared" si="27"/>
        <v>#N/A</v>
      </c>
      <c r="L871" s="69"/>
    </row>
    <row r="872" spans="1:12" x14ac:dyDescent="0.3">
      <c r="A872" s="64">
        <v>46142</v>
      </c>
      <c r="B872" s="65">
        <f>VLOOKUP(C872,[7]完成订单!$D:$D,1,0)</f>
        <v>10880020940</v>
      </c>
      <c r="C872" s="66">
        <v>10880020940</v>
      </c>
      <c r="D872" s="66">
        <v>110001316285</v>
      </c>
      <c r="E872" s="66">
        <v>110001316285</v>
      </c>
      <c r="F872" s="67" t="s">
        <v>222</v>
      </c>
      <c r="G872" s="66">
        <v>50</v>
      </c>
      <c r="H872" s="53" t="e">
        <f>VLOOKUP(E872,DIP计划!E:J,6,0)</f>
        <v>#N/A</v>
      </c>
      <c r="I872" s="64">
        <f t="shared" si="26"/>
        <v>46142</v>
      </c>
      <c r="J872" s="68" t="e">
        <f>VLOOKUP(D872,DIP计划!D:G,4,0)</f>
        <v>#N/A</v>
      </c>
      <c r="K872" s="5" t="e">
        <f t="shared" si="27"/>
        <v>#N/A</v>
      </c>
      <c r="L872" s="69"/>
    </row>
    <row r="873" spans="1:12" x14ac:dyDescent="0.3">
      <c r="A873" s="64">
        <v>46142</v>
      </c>
      <c r="B873" s="65" t="e">
        <f>VLOOKUP(C873,[7]完成订单!$D:$D,1,0)</f>
        <v>#N/A</v>
      </c>
      <c r="C873" s="66">
        <v>10400020411</v>
      </c>
      <c r="D873" s="66">
        <v>110001316285</v>
      </c>
      <c r="E873" s="66">
        <v>110001316286</v>
      </c>
      <c r="F873" s="67" t="s">
        <v>222</v>
      </c>
      <c r="G873" s="66">
        <v>50</v>
      </c>
      <c r="H873" s="53" t="e">
        <f>H872-2</f>
        <v>#N/A</v>
      </c>
      <c r="I873" s="64">
        <f t="shared" si="26"/>
        <v>46142</v>
      </c>
      <c r="J873" s="68" t="e">
        <f>VLOOKUP(D873,DIP计划!D:G,4,0)</f>
        <v>#N/A</v>
      </c>
      <c r="K873" s="5" t="e">
        <f t="shared" si="27"/>
        <v>#N/A</v>
      </c>
      <c r="L873" s="69"/>
    </row>
    <row r="874" spans="1:12" x14ac:dyDescent="0.3">
      <c r="A874" s="64">
        <v>46142</v>
      </c>
      <c r="B874" s="65" t="e">
        <f>VLOOKUP(C874,[7]完成订单!$D:$D,1,0)</f>
        <v>#N/A</v>
      </c>
      <c r="C874" s="66">
        <v>10880037782</v>
      </c>
      <c r="D874" s="66">
        <v>880000120390</v>
      </c>
      <c r="E874" s="66">
        <v>880000120390</v>
      </c>
      <c r="F874" s="67" t="s">
        <v>1838</v>
      </c>
      <c r="G874" s="66">
        <v>200</v>
      </c>
      <c r="H874" s="53">
        <f>VLOOKUP(E874,DIP计划!E:J,6,0)</f>
        <v>46147</v>
      </c>
      <c r="I874" s="64">
        <f t="shared" si="26"/>
        <v>46142</v>
      </c>
      <c r="J874" s="68">
        <f>VLOOKUP(D874,DIP计划!D:G,4,0)</f>
        <v>200</v>
      </c>
      <c r="K874" s="5">
        <f t="shared" si="27"/>
        <v>0</v>
      </c>
      <c r="L874" s="69"/>
    </row>
    <row r="875" spans="1:12" x14ac:dyDescent="0.3">
      <c r="A875" s="64">
        <v>46142</v>
      </c>
      <c r="B875" s="65" t="e">
        <f>VLOOKUP(C875,[7]完成订单!$D:$D,1,0)</f>
        <v>#N/A</v>
      </c>
      <c r="C875" s="66">
        <v>10400032894</v>
      </c>
      <c r="D875" s="66">
        <v>880000120390</v>
      </c>
      <c r="E875" s="66">
        <v>880000120391</v>
      </c>
      <c r="F875" s="67" t="s">
        <v>1840</v>
      </c>
      <c r="G875" s="66">
        <v>200</v>
      </c>
      <c r="H875" s="53">
        <f>H874-2</f>
        <v>46145</v>
      </c>
      <c r="I875" s="64">
        <f t="shared" si="26"/>
        <v>46142</v>
      </c>
      <c r="J875" s="68">
        <f>VLOOKUP(D875,DIP计划!D:G,4,0)</f>
        <v>200</v>
      </c>
      <c r="K875" s="5">
        <f t="shared" si="27"/>
        <v>0</v>
      </c>
      <c r="L875" s="69"/>
    </row>
    <row r="876" spans="1:12" x14ac:dyDescent="0.3">
      <c r="A876" s="64"/>
      <c r="B876" s="65" t="e">
        <f>VLOOKUP(C876,[7]完成订单!$D:$D,1,0)</f>
        <v>#N/A</v>
      </c>
      <c r="C876" s="66"/>
      <c r="D876" s="66"/>
      <c r="E876" s="66"/>
      <c r="F876" s="67"/>
      <c r="G876" s="66"/>
      <c r="H876" s="53" t="e">
        <f>VLOOKUP(E876,DIP计划!E:J,6,0)</f>
        <v>#N/A</v>
      </c>
      <c r="I876" s="64">
        <f t="shared" si="26"/>
        <v>0</v>
      </c>
      <c r="J876" s="68" t="e">
        <f>VLOOKUP(D876,DIP计划!D:G,4,0)</f>
        <v>#N/A</v>
      </c>
      <c r="K876" s="5" t="e">
        <f t="shared" si="27"/>
        <v>#N/A</v>
      </c>
      <c r="L876" s="69"/>
    </row>
    <row r="877" spans="1:12" x14ac:dyDescent="0.3">
      <c r="A877" s="64"/>
      <c r="B877" s="65" t="e">
        <f>VLOOKUP(C877,[7]完成订单!$D:$D,1,0)</f>
        <v>#N/A</v>
      </c>
      <c r="C877" s="66"/>
      <c r="D877" s="66"/>
      <c r="E877" s="66"/>
      <c r="F877" s="67"/>
      <c r="G877" s="66"/>
      <c r="H877" s="53" t="e">
        <f>VLOOKUP(E877,DIP计划!E:J,6,0)</f>
        <v>#N/A</v>
      </c>
      <c r="I877" s="64">
        <f t="shared" si="26"/>
        <v>0</v>
      </c>
      <c r="J877" s="68" t="e">
        <f>VLOOKUP(D877,DIP计划!D:G,4,0)</f>
        <v>#N/A</v>
      </c>
      <c r="K877" s="5" t="e">
        <f t="shared" si="27"/>
        <v>#N/A</v>
      </c>
      <c r="L877" s="69"/>
    </row>
    <row r="878" spans="1:12" x14ac:dyDescent="0.3">
      <c r="A878" s="64"/>
      <c r="B878" s="65" t="e">
        <f>VLOOKUP(C878,[7]完成订单!$D:$D,1,0)</f>
        <v>#N/A</v>
      </c>
      <c r="C878" s="66"/>
      <c r="D878" s="66"/>
      <c r="E878" s="66"/>
      <c r="F878" s="67"/>
      <c r="G878" s="66"/>
      <c r="H878" s="53" t="e">
        <f>VLOOKUP(E878,DIP计划!E:J,6,0)</f>
        <v>#N/A</v>
      </c>
      <c r="I878" s="64">
        <f t="shared" si="26"/>
        <v>0</v>
      </c>
      <c r="J878" s="68" t="e">
        <f>VLOOKUP(D878,DIP计划!D:G,4,0)</f>
        <v>#N/A</v>
      </c>
      <c r="K878" s="5" t="e">
        <f t="shared" si="27"/>
        <v>#N/A</v>
      </c>
      <c r="L878" s="69"/>
    </row>
    <row r="879" spans="1:12" x14ac:dyDescent="0.3">
      <c r="A879" s="64"/>
      <c r="B879" s="65" t="e">
        <f>VLOOKUP(C879,[7]完成订单!$D:$D,1,0)</f>
        <v>#N/A</v>
      </c>
      <c r="C879" s="66"/>
      <c r="D879" s="66"/>
      <c r="E879" s="66"/>
      <c r="F879" s="67"/>
      <c r="G879" s="66"/>
      <c r="H879" s="53" t="e">
        <f>VLOOKUP(E879,DIP计划!E:J,6,0)</f>
        <v>#N/A</v>
      </c>
      <c r="I879" s="64">
        <f t="shared" si="26"/>
        <v>0</v>
      </c>
      <c r="J879" s="68" t="e">
        <f>VLOOKUP(D879,DIP计划!D:G,4,0)</f>
        <v>#N/A</v>
      </c>
      <c r="K879" s="5" t="e">
        <f t="shared" si="27"/>
        <v>#N/A</v>
      </c>
      <c r="L879" s="69"/>
    </row>
    <row r="880" spans="1:12" x14ac:dyDescent="0.3">
      <c r="A880" s="64"/>
      <c r="B880" s="65" t="e">
        <f>VLOOKUP(C880,[7]完成订单!$D:$D,1,0)</f>
        <v>#N/A</v>
      </c>
      <c r="C880" s="66"/>
      <c r="D880" s="66"/>
      <c r="E880" s="66"/>
      <c r="F880" s="67"/>
      <c r="G880" s="66"/>
      <c r="H880" s="53" t="e">
        <f>VLOOKUP(E880,DIP计划!E:J,6,0)</f>
        <v>#N/A</v>
      </c>
      <c r="I880" s="64">
        <f t="shared" si="26"/>
        <v>0</v>
      </c>
      <c r="J880" s="68" t="e">
        <f>VLOOKUP(D880,DIP计划!D:G,4,0)</f>
        <v>#N/A</v>
      </c>
      <c r="K880" s="5" t="e">
        <f t="shared" si="27"/>
        <v>#N/A</v>
      </c>
      <c r="L880" s="69"/>
    </row>
    <row r="881" spans="1:12" x14ac:dyDescent="0.3">
      <c r="A881" s="64"/>
      <c r="B881" s="65" t="e">
        <f>VLOOKUP(C881,[7]完成订单!$D:$D,1,0)</f>
        <v>#N/A</v>
      </c>
      <c r="C881" s="66"/>
      <c r="D881" s="66"/>
      <c r="E881" s="66"/>
      <c r="F881" s="67"/>
      <c r="G881" s="66"/>
      <c r="H881" s="53" t="e">
        <f>VLOOKUP(E881,DIP计划!E:J,6,0)</f>
        <v>#N/A</v>
      </c>
      <c r="I881" s="64">
        <f t="shared" si="26"/>
        <v>0</v>
      </c>
      <c r="J881" s="68" t="e">
        <f>VLOOKUP(D881,DIP计划!D:G,4,0)</f>
        <v>#N/A</v>
      </c>
      <c r="K881" s="5" t="e">
        <f t="shared" si="27"/>
        <v>#N/A</v>
      </c>
      <c r="L881" s="69"/>
    </row>
    <row r="882" spans="1:12" x14ac:dyDescent="0.3">
      <c r="A882" s="64"/>
      <c r="B882" s="65" t="e">
        <f>VLOOKUP(C882,[7]完成订单!$D:$D,1,0)</f>
        <v>#N/A</v>
      </c>
      <c r="C882" s="66"/>
      <c r="D882" s="66"/>
      <c r="E882" s="66"/>
      <c r="F882" s="67"/>
      <c r="G882" s="66"/>
      <c r="H882" s="53" t="e">
        <f>VLOOKUP(E882,DIP计划!E:J,6,0)</f>
        <v>#N/A</v>
      </c>
      <c r="I882" s="64">
        <f t="shared" si="26"/>
        <v>0</v>
      </c>
      <c r="J882" s="68" t="e">
        <f>VLOOKUP(D882,DIP计划!D:G,4,0)</f>
        <v>#N/A</v>
      </c>
      <c r="K882" s="5" t="e">
        <f t="shared" si="27"/>
        <v>#N/A</v>
      </c>
      <c r="L882" s="69"/>
    </row>
    <row r="883" spans="1:12" x14ac:dyDescent="0.3">
      <c r="A883" s="64"/>
      <c r="B883" s="65" t="e">
        <f>VLOOKUP(C883,[7]完成订单!$D:$D,1,0)</f>
        <v>#N/A</v>
      </c>
      <c r="C883" s="66"/>
      <c r="D883" s="66"/>
      <c r="E883" s="66"/>
      <c r="F883" s="67"/>
      <c r="G883" s="66"/>
      <c r="H883" s="53" t="e">
        <f>VLOOKUP(E883,DIP计划!E:J,6,0)</f>
        <v>#N/A</v>
      </c>
      <c r="I883" s="64">
        <f t="shared" si="26"/>
        <v>0</v>
      </c>
      <c r="J883" s="68" t="e">
        <f>VLOOKUP(D883,DIP计划!D:G,4,0)</f>
        <v>#N/A</v>
      </c>
      <c r="K883" s="5" t="e">
        <f t="shared" si="27"/>
        <v>#N/A</v>
      </c>
      <c r="L883" s="69"/>
    </row>
    <row r="884" spans="1:12" x14ac:dyDescent="0.3">
      <c r="A884" s="64"/>
      <c r="B884" s="65" t="e">
        <f>VLOOKUP(C884,[7]完成订单!$D:$D,1,0)</f>
        <v>#N/A</v>
      </c>
      <c r="C884" s="66"/>
      <c r="D884" s="66"/>
      <c r="E884" s="66"/>
      <c r="F884" s="67"/>
      <c r="G884" s="66"/>
      <c r="H884" s="53" t="e">
        <f>VLOOKUP(E884,DIP计划!E:J,6,0)</f>
        <v>#N/A</v>
      </c>
      <c r="I884" s="64">
        <f t="shared" si="26"/>
        <v>0</v>
      </c>
      <c r="J884" s="68" t="e">
        <f>VLOOKUP(D884,DIP计划!D:G,4,0)</f>
        <v>#N/A</v>
      </c>
      <c r="K884" s="5" t="e">
        <f t="shared" si="27"/>
        <v>#N/A</v>
      </c>
      <c r="L884" s="69"/>
    </row>
    <row r="885" spans="1:12" x14ac:dyDescent="0.3">
      <c r="A885" s="64"/>
      <c r="B885" s="65" t="e">
        <f>VLOOKUP(C885,[7]完成订单!$D:$D,1,0)</f>
        <v>#N/A</v>
      </c>
      <c r="C885" s="66"/>
      <c r="D885" s="66"/>
      <c r="E885" s="66"/>
      <c r="F885" s="67"/>
      <c r="G885" s="66"/>
      <c r="H885" s="53" t="e">
        <f>VLOOKUP(E885,DIP计划!E:J,6,0)</f>
        <v>#N/A</v>
      </c>
      <c r="I885" s="64">
        <f t="shared" si="26"/>
        <v>0</v>
      </c>
      <c r="J885" s="68" t="e">
        <f>VLOOKUP(D885,DIP计划!D:G,4,0)</f>
        <v>#N/A</v>
      </c>
      <c r="K885" s="5" t="e">
        <f t="shared" si="27"/>
        <v>#N/A</v>
      </c>
      <c r="L885" s="69"/>
    </row>
    <row r="886" spans="1:12" x14ac:dyDescent="0.3">
      <c r="A886" s="64"/>
      <c r="B886" s="65" t="e">
        <f>VLOOKUP(C886,[7]完成订单!$D:$D,1,0)</f>
        <v>#N/A</v>
      </c>
      <c r="C886" s="66"/>
      <c r="D886" s="66"/>
      <c r="E886" s="66"/>
      <c r="F886" s="67"/>
      <c r="G886" s="66"/>
      <c r="H886" s="53" t="e">
        <f>VLOOKUP(E886,DIP计划!E:J,6,0)</f>
        <v>#N/A</v>
      </c>
      <c r="I886" s="64">
        <f t="shared" si="26"/>
        <v>0</v>
      </c>
      <c r="J886" s="68" t="e">
        <f>VLOOKUP(D886,DIP计划!D:G,4,0)</f>
        <v>#N/A</v>
      </c>
      <c r="K886" s="5" t="e">
        <f t="shared" si="27"/>
        <v>#N/A</v>
      </c>
      <c r="L886" s="69"/>
    </row>
    <row r="887" spans="1:12" x14ac:dyDescent="0.3">
      <c r="A887" s="64"/>
      <c r="B887" s="65" t="e">
        <f>VLOOKUP(C887,[7]完成订单!$D:$D,1,0)</f>
        <v>#N/A</v>
      </c>
      <c r="C887" s="66"/>
      <c r="D887" s="66"/>
      <c r="E887" s="66"/>
      <c r="F887" s="67"/>
      <c r="G887" s="66"/>
      <c r="H887" s="53" t="e">
        <f>VLOOKUP(E887,DIP计划!E:J,6,0)</f>
        <v>#N/A</v>
      </c>
      <c r="I887" s="64">
        <f t="shared" si="26"/>
        <v>0</v>
      </c>
      <c r="J887" s="68" t="e">
        <f>VLOOKUP(D887,DIP计划!D:G,4,0)</f>
        <v>#N/A</v>
      </c>
      <c r="K887" s="5" t="e">
        <f t="shared" si="27"/>
        <v>#N/A</v>
      </c>
      <c r="L887" s="69"/>
    </row>
    <row r="888" spans="1:12" x14ac:dyDescent="0.3">
      <c r="A888" s="64"/>
      <c r="B888" s="65" t="e">
        <f>VLOOKUP(C888,[7]完成订单!$D:$D,1,0)</f>
        <v>#N/A</v>
      </c>
      <c r="C888" s="66"/>
      <c r="D888" s="66"/>
      <c r="E888" s="66"/>
      <c r="F888" s="67"/>
      <c r="G888" s="66"/>
      <c r="H888" s="53" t="e">
        <f>VLOOKUP(E888,DIP计划!E:J,6,0)</f>
        <v>#N/A</v>
      </c>
      <c r="I888" s="64">
        <f t="shared" si="26"/>
        <v>0</v>
      </c>
      <c r="J888" s="68" t="e">
        <f>VLOOKUP(D888,DIP计划!D:G,4,0)</f>
        <v>#N/A</v>
      </c>
      <c r="K888" s="5" t="e">
        <f t="shared" si="27"/>
        <v>#N/A</v>
      </c>
      <c r="L888" s="69"/>
    </row>
    <row r="889" spans="1:12" x14ac:dyDescent="0.3">
      <c r="A889" s="64"/>
      <c r="B889" s="65" t="e">
        <f>VLOOKUP(C889,[7]完成订单!$D:$D,1,0)</f>
        <v>#N/A</v>
      </c>
      <c r="C889" s="66"/>
      <c r="D889" s="66"/>
      <c r="E889" s="66"/>
      <c r="F889" s="67"/>
      <c r="G889" s="66"/>
      <c r="H889" s="53" t="e">
        <f>VLOOKUP(E889,DIP计划!E:J,6,0)</f>
        <v>#N/A</v>
      </c>
      <c r="I889" s="64">
        <f t="shared" si="26"/>
        <v>0</v>
      </c>
      <c r="J889" s="68" t="e">
        <f>VLOOKUP(D889,DIP计划!D:G,4,0)</f>
        <v>#N/A</v>
      </c>
      <c r="K889" s="5" t="e">
        <f t="shared" si="27"/>
        <v>#N/A</v>
      </c>
      <c r="L889" s="69"/>
    </row>
    <row r="890" spans="1:12" x14ac:dyDescent="0.3">
      <c r="A890" s="64"/>
      <c r="B890" s="65" t="e">
        <f>VLOOKUP(C890,[7]完成订单!$D:$D,1,0)</f>
        <v>#N/A</v>
      </c>
      <c r="C890" s="66"/>
      <c r="D890" s="66"/>
      <c r="E890" s="66"/>
      <c r="F890" s="67"/>
      <c r="G890" s="66"/>
      <c r="H890" s="53" t="e">
        <f>VLOOKUP(E890,DIP计划!E:J,6,0)</f>
        <v>#N/A</v>
      </c>
      <c r="I890" s="64">
        <f t="shared" si="26"/>
        <v>0</v>
      </c>
      <c r="J890" s="68" t="e">
        <f>VLOOKUP(D890,DIP计划!D:G,4,0)</f>
        <v>#N/A</v>
      </c>
      <c r="K890" s="5" t="e">
        <f t="shared" si="27"/>
        <v>#N/A</v>
      </c>
      <c r="L890" s="69"/>
    </row>
    <row r="891" spans="1:12" x14ac:dyDescent="0.3">
      <c r="A891" s="64"/>
      <c r="B891" s="65" t="e">
        <f>VLOOKUP(C891,[7]完成订单!$D:$D,1,0)</f>
        <v>#N/A</v>
      </c>
      <c r="C891" s="66"/>
      <c r="D891" s="66"/>
      <c r="E891" s="66"/>
      <c r="F891" s="67"/>
      <c r="G891" s="66"/>
      <c r="H891" s="53" t="e">
        <f>VLOOKUP(E891,DIP计划!E:J,6,0)</f>
        <v>#N/A</v>
      </c>
      <c r="I891" s="64">
        <f t="shared" si="26"/>
        <v>0</v>
      </c>
      <c r="J891" s="68" t="e">
        <f>VLOOKUP(D891,DIP计划!D:G,4,0)</f>
        <v>#N/A</v>
      </c>
      <c r="K891" s="5" t="e">
        <f t="shared" si="27"/>
        <v>#N/A</v>
      </c>
      <c r="L891" s="69"/>
    </row>
    <row r="892" spans="1:12" x14ac:dyDescent="0.3">
      <c r="A892" s="64"/>
      <c r="B892" s="65" t="e">
        <f>VLOOKUP(C892,[7]完成订单!$D:$D,1,0)</f>
        <v>#N/A</v>
      </c>
      <c r="C892" s="66"/>
      <c r="D892" s="66"/>
      <c r="E892" s="66"/>
      <c r="F892" s="67"/>
      <c r="G892" s="66"/>
      <c r="H892" s="53" t="e">
        <f>VLOOKUP(E892,DIP计划!E:J,6,0)</f>
        <v>#N/A</v>
      </c>
      <c r="I892" s="64">
        <f t="shared" si="26"/>
        <v>0</v>
      </c>
      <c r="J892" s="68" t="e">
        <f>VLOOKUP(D892,DIP计划!D:G,4,0)</f>
        <v>#N/A</v>
      </c>
      <c r="K892" s="5" t="e">
        <f t="shared" si="27"/>
        <v>#N/A</v>
      </c>
      <c r="L892" s="69"/>
    </row>
    <row r="893" spans="1:12" x14ac:dyDescent="0.3">
      <c r="A893" s="64"/>
      <c r="B893" s="65" t="e">
        <f>VLOOKUP(C893,[7]完成订单!$D:$D,1,0)</f>
        <v>#N/A</v>
      </c>
      <c r="C893" s="66"/>
      <c r="D893" s="66"/>
      <c r="E893" s="66"/>
      <c r="F893" s="67"/>
      <c r="G893" s="66"/>
      <c r="H893" s="53" t="e">
        <f>VLOOKUP(E893,DIP计划!E:J,6,0)</f>
        <v>#N/A</v>
      </c>
      <c r="I893" s="64">
        <f t="shared" si="26"/>
        <v>0</v>
      </c>
      <c r="J893" s="68" t="e">
        <f>VLOOKUP(D893,DIP计划!D:G,4,0)</f>
        <v>#N/A</v>
      </c>
      <c r="K893" s="5" t="e">
        <f t="shared" si="27"/>
        <v>#N/A</v>
      </c>
      <c r="L893" s="69"/>
    </row>
    <row r="894" spans="1:12" x14ac:dyDescent="0.3">
      <c r="A894" s="64"/>
      <c r="B894" s="65" t="e">
        <f>VLOOKUP(C894,[7]完成订单!$D:$D,1,0)</f>
        <v>#N/A</v>
      </c>
      <c r="C894" s="66"/>
      <c r="D894" s="66"/>
      <c r="E894" s="66"/>
      <c r="F894" s="67"/>
      <c r="G894" s="66"/>
      <c r="H894" s="53" t="e">
        <f>VLOOKUP(E894,DIP计划!E:J,6,0)</f>
        <v>#N/A</v>
      </c>
      <c r="I894" s="64">
        <f t="shared" si="26"/>
        <v>0</v>
      </c>
      <c r="J894" s="68" t="e">
        <f>VLOOKUP(D894,DIP计划!D:G,4,0)</f>
        <v>#N/A</v>
      </c>
      <c r="K894" s="5" t="e">
        <f t="shared" si="27"/>
        <v>#N/A</v>
      </c>
      <c r="L894" s="69"/>
    </row>
    <row r="895" spans="1:12" x14ac:dyDescent="0.3">
      <c r="A895" s="64"/>
      <c r="B895" s="65" t="e">
        <f>VLOOKUP(C895,[7]完成订单!$D:$D,1,0)</f>
        <v>#N/A</v>
      </c>
      <c r="C895" s="66"/>
      <c r="D895" s="66"/>
      <c r="E895" s="66"/>
      <c r="F895" s="67"/>
      <c r="G895" s="66"/>
      <c r="H895" s="53" t="e">
        <f>VLOOKUP(E895,DIP计划!E:J,6,0)</f>
        <v>#N/A</v>
      </c>
      <c r="I895" s="64">
        <f t="shared" si="26"/>
        <v>0</v>
      </c>
      <c r="J895" s="68" t="e">
        <f>VLOOKUP(D895,DIP计划!D:G,4,0)</f>
        <v>#N/A</v>
      </c>
      <c r="K895" s="5" t="e">
        <f t="shared" si="27"/>
        <v>#N/A</v>
      </c>
      <c r="L895" s="69"/>
    </row>
    <row r="896" spans="1:12" x14ac:dyDescent="0.3">
      <c r="A896" s="64"/>
      <c r="B896" s="65" t="e">
        <f>VLOOKUP(C896,[7]完成订单!$D:$D,1,0)</f>
        <v>#N/A</v>
      </c>
      <c r="C896" s="66"/>
      <c r="D896" s="66"/>
      <c r="E896" s="66"/>
      <c r="F896" s="67"/>
      <c r="G896" s="66"/>
      <c r="H896" s="53" t="e">
        <f>VLOOKUP(E896,DIP计划!E:J,6,0)</f>
        <v>#N/A</v>
      </c>
      <c r="I896" s="64">
        <f t="shared" si="26"/>
        <v>0</v>
      </c>
      <c r="J896" s="68" t="e">
        <f>VLOOKUP(D896,DIP计划!D:G,4,0)</f>
        <v>#N/A</v>
      </c>
      <c r="K896" s="5" t="e">
        <f t="shared" si="27"/>
        <v>#N/A</v>
      </c>
      <c r="L896" s="69"/>
    </row>
    <row r="897" spans="1:12" x14ac:dyDescent="0.3">
      <c r="A897" s="64"/>
      <c r="B897" s="65" t="e">
        <f>VLOOKUP(C897,[7]完成订单!$D:$D,1,0)</f>
        <v>#N/A</v>
      </c>
      <c r="C897" s="66"/>
      <c r="D897" s="66"/>
      <c r="E897" s="66"/>
      <c r="F897" s="67"/>
      <c r="G897" s="66"/>
      <c r="H897" s="53" t="e">
        <f>VLOOKUP(E897,DIP计划!E:J,6,0)</f>
        <v>#N/A</v>
      </c>
      <c r="I897" s="64">
        <f t="shared" si="26"/>
        <v>0</v>
      </c>
      <c r="J897" s="68" t="e">
        <f>VLOOKUP(D897,DIP计划!D:G,4,0)</f>
        <v>#N/A</v>
      </c>
      <c r="K897" s="5" t="e">
        <f t="shared" si="27"/>
        <v>#N/A</v>
      </c>
      <c r="L897" s="69"/>
    </row>
    <row r="898" spans="1:12" x14ac:dyDescent="0.3">
      <c r="A898" s="64"/>
      <c r="B898" s="65" t="e">
        <f>VLOOKUP(C898,[7]完成订单!$D:$D,1,0)</f>
        <v>#N/A</v>
      </c>
      <c r="C898" s="66"/>
      <c r="D898" s="66"/>
      <c r="E898" s="66"/>
      <c r="F898" s="67"/>
      <c r="G898" s="66"/>
      <c r="H898" s="53" t="e">
        <f>VLOOKUP(E898,DIP计划!E:J,6,0)</f>
        <v>#N/A</v>
      </c>
      <c r="I898" s="64">
        <f t="shared" si="26"/>
        <v>0</v>
      </c>
      <c r="J898" s="68" t="e">
        <f>VLOOKUP(D898,DIP计划!D:G,4,0)</f>
        <v>#N/A</v>
      </c>
      <c r="K898" s="5" t="e">
        <f t="shared" si="27"/>
        <v>#N/A</v>
      </c>
      <c r="L898" s="69"/>
    </row>
    <row r="899" spans="1:12" x14ac:dyDescent="0.3">
      <c r="A899" s="64"/>
      <c r="B899" s="65" t="e">
        <f>VLOOKUP(C899,[7]完成订单!$D:$D,1,0)</f>
        <v>#N/A</v>
      </c>
      <c r="C899" s="66"/>
      <c r="D899" s="66"/>
      <c r="E899" s="66"/>
      <c r="F899" s="67"/>
      <c r="G899" s="66"/>
      <c r="H899" s="53" t="e">
        <f>VLOOKUP(E899,DIP计划!E:J,6,0)</f>
        <v>#N/A</v>
      </c>
      <c r="I899" s="64">
        <f t="shared" si="26"/>
        <v>0</v>
      </c>
      <c r="J899" s="68" t="e">
        <f>VLOOKUP(D899,DIP计划!D:G,4,0)</f>
        <v>#N/A</v>
      </c>
      <c r="K899" s="5" t="e">
        <f t="shared" si="27"/>
        <v>#N/A</v>
      </c>
      <c r="L899" s="69"/>
    </row>
    <row r="900" spans="1:12" x14ac:dyDescent="0.3">
      <c r="A900" s="64"/>
      <c r="B900" s="65" t="e">
        <f>VLOOKUP(C900,[7]完成订单!$D:$D,1,0)</f>
        <v>#N/A</v>
      </c>
      <c r="C900" s="66"/>
      <c r="D900" s="66"/>
      <c r="E900" s="66"/>
      <c r="F900" s="67"/>
      <c r="G900" s="66"/>
      <c r="H900" s="53" t="e">
        <f>VLOOKUP(E900,DIP计划!E:J,6,0)</f>
        <v>#N/A</v>
      </c>
      <c r="I900" s="64">
        <f t="shared" si="26"/>
        <v>0</v>
      </c>
      <c r="J900" s="68" t="e">
        <f>VLOOKUP(D900,DIP计划!D:G,4,0)</f>
        <v>#N/A</v>
      </c>
      <c r="K900" s="5" t="e">
        <f t="shared" si="27"/>
        <v>#N/A</v>
      </c>
      <c r="L900" s="69"/>
    </row>
    <row r="901" spans="1:12" x14ac:dyDescent="0.3">
      <c r="A901" s="64"/>
      <c r="B901" s="65" t="e">
        <f>VLOOKUP(C901,[7]完成订单!$D:$D,1,0)</f>
        <v>#N/A</v>
      </c>
      <c r="C901" s="66"/>
      <c r="D901" s="66"/>
      <c r="E901" s="66"/>
      <c r="F901" s="67"/>
      <c r="G901" s="66"/>
      <c r="H901" s="53" t="e">
        <f>VLOOKUP(E901,DIP计划!E:J,6,0)</f>
        <v>#N/A</v>
      </c>
      <c r="I901" s="64">
        <f t="shared" si="26"/>
        <v>0</v>
      </c>
      <c r="J901" s="68" t="e">
        <f>VLOOKUP(D901,DIP计划!D:G,4,0)</f>
        <v>#N/A</v>
      </c>
      <c r="K901" s="5" t="e">
        <f t="shared" si="27"/>
        <v>#N/A</v>
      </c>
      <c r="L901" s="69"/>
    </row>
    <row r="902" spans="1:12" x14ac:dyDescent="0.3">
      <c r="A902" s="64"/>
      <c r="B902" s="65" t="e">
        <f>VLOOKUP(C902,[7]完成订单!$D:$D,1,0)</f>
        <v>#N/A</v>
      </c>
      <c r="C902" s="66"/>
      <c r="D902" s="66"/>
      <c r="E902" s="66"/>
      <c r="F902" s="67"/>
      <c r="G902" s="66"/>
      <c r="H902" s="53" t="e">
        <f>VLOOKUP(E902,DIP计划!E:J,6,0)</f>
        <v>#N/A</v>
      </c>
      <c r="I902" s="64">
        <f t="shared" si="26"/>
        <v>0</v>
      </c>
      <c r="J902" s="68" t="e">
        <f>VLOOKUP(D902,DIP计划!D:G,4,0)</f>
        <v>#N/A</v>
      </c>
      <c r="K902" s="5" t="e">
        <f t="shared" si="27"/>
        <v>#N/A</v>
      </c>
      <c r="L902" s="69"/>
    </row>
    <row r="903" spans="1:12" x14ac:dyDescent="0.3">
      <c r="A903" s="64"/>
      <c r="B903" s="65" t="e">
        <f>VLOOKUP(C903,[7]完成订单!$D:$D,1,0)</f>
        <v>#N/A</v>
      </c>
      <c r="C903" s="66"/>
      <c r="D903" s="66"/>
      <c r="E903" s="66"/>
      <c r="F903" s="67"/>
      <c r="G903" s="66"/>
      <c r="H903" s="53" t="e">
        <f>VLOOKUP(E903,DIP计划!E:J,6,0)</f>
        <v>#N/A</v>
      </c>
      <c r="I903" s="64">
        <f t="shared" si="26"/>
        <v>0</v>
      </c>
      <c r="J903" s="68" t="e">
        <f>VLOOKUP(D903,DIP计划!D:G,4,0)</f>
        <v>#N/A</v>
      </c>
      <c r="K903" s="5" t="e">
        <f t="shared" si="27"/>
        <v>#N/A</v>
      </c>
      <c r="L903" s="69"/>
    </row>
    <row r="904" spans="1:12" x14ac:dyDescent="0.3">
      <c r="A904" s="64"/>
      <c r="B904" s="65" t="e">
        <f>VLOOKUP(C904,[7]完成订单!$D:$D,1,0)</f>
        <v>#N/A</v>
      </c>
      <c r="C904" s="66"/>
      <c r="D904" s="66"/>
      <c r="E904" s="66"/>
      <c r="F904" s="67"/>
      <c r="G904" s="66"/>
      <c r="H904" s="53" t="e">
        <f>VLOOKUP(E904,DIP计划!E:J,6,0)</f>
        <v>#N/A</v>
      </c>
      <c r="I904" s="64">
        <f t="shared" si="26"/>
        <v>0</v>
      </c>
      <c r="J904" s="68" t="e">
        <f>VLOOKUP(D904,DIP计划!D:G,4,0)</f>
        <v>#N/A</v>
      </c>
      <c r="K904" s="5" t="e">
        <f t="shared" si="27"/>
        <v>#N/A</v>
      </c>
      <c r="L904" s="69"/>
    </row>
    <row r="905" spans="1:12" x14ac:dyDescent="0.3">
      <c r="A905" s="64"/>
      <c r="B905" s="65" t="e">
        <f>VLOOKUP(C905,[7]完成订单!$D:$D,1,0)</f>
        <v>#N/A</v>
      </c>
      <c r="C905" s="66"/>
      <c r="D905" s="66"/>
      <c r="E905" s="66"/>
      <c r="F905" s="67"/>
      <c r="G905" s="66"/>
      <c r="H905" s="53" t="e">
        <f>VLOOKUP(E905,DIP计划!E:J,6,0)</f>
        <v>#N/A</v>
      </c>
      <c r="I905" s="64">
        <f t="shared" si="26"/>
        <v>0</v>
      </c>
      <c r="J905" s="68" t="e">
        <f>VLOOKUP(D905,DIP计划!D:G,4,0)</f>
        <v>#N/A</v>
      </c>
      <c r="K905" s="5" t="e">
        <f t="shared" si="27"/>
        <v>#N/A</v>
      </c>
      <c r="L905" s="69"/>
    </row>
    <row r="906" spans="1:12" x14ac:dyDescent="0.3">
      <c r="A906" s="64"/>
      <c r="B906" s="65" t="e">
        <f>VLOOKUP(C906,[7]完成订单!$D:$D,1,0)</f>
        <v>#N/A</v>
      </c>
      <c r="C906" s="66"/>
      <c r="D906" s="66"/>
      <c r="E906" s="66"/>
      <c r="F906" s="67"/>
      <c r="G906" s="66"/>
      <c r="H906" s="53" t="e">
        <f>VLOOKUP(E906,DIP计划!E:J,6,0)</f>
        <v>#N/A</v>
      </c>
      <c r="I906" s="64">
        <f t="shared" si="26"/>
        <v>0</v>
      </c>
      <c r="J906" s="68" t="e">
        <f>VLOOKUP(D906,DIP计划!D:G,4,0)</f>
        <v>#N/A</v>
      </c>
      <c r="K906" s="5" t="e">
        <f t="shared" si="27"/>
        <v>#N/A</v>
      </c>
      <c r="L906" s="69"/>
    </row>
    <row r="907" spans="1:12" x14ac:dyDescent="0.3">
      <c r="A907" s="64"/>
      <c r="B907" s="65" t="e">
        <f>VLOOKUP(C907,[7]完成订单!$D:$D,1,0)</f>
        <v>#N/A</v>
      </c>
      <c r="C907" s="66"/>
      <c r="D907" s="66"/>
      <c r="E907" s="66"/>
      <c r="F907" s="67"/>
      <c r="G907" s="66"/>
      <c r="H907" s="53" t="e">
        <f>VLOOKUP(E907,DIP计划!E:J,6,0)</f>
        <v>#N/A</v>
      </c>
      <c r="I907" s="64">
        <f t="shared" si="26"/>
        <v>0</v>
      </c>
      <c r="J907" s="68" t="e">
        <f>VLOOKUP(D907,DIP计划!D:G,4,0)</f>
        <v>#N/A</v>
      </c>
      <c r="K907" s="5" t="e">
        <f t="shared" si="27"/>
        <v>#N/A</v>
      </c>
      <c r="L907" s="69"/>
    </row>
    <row r="908" spans="1:12" x14ac:dyDescent="0.3">
      <c r="A908" s="64"/>
      <c r="B908" s="65" t="e">
        <f>VLOOKUP(C908,[7]完成订单!$D:$D,1,0)</f>
        <v>#N/A</v>
      </c>
      <c r="C908" s="66"/>
      <c r="D908" s="66"/>
      <c r="E908" s="66"/>
      <c r="F908" s="67"/>
      <c r="G908" s="66"/>
      <c r="H908" s="53" t="e">
        <f>VLOOKUP(E908,DIP计划!E:J,6,0)</f>
        <v>#N/A</v>
      </c>
      <c r="I908" s="64">
        <f t="shared" si="26"/>
        <v>0</v>
      </c>
      <c r="J908" s="68" t="e">
        <f>VLOOKUP(D908,DIP计划!D:G,4,0)</f>
        <v>#N/A</v>
      </c>
      <c r="K908" s="5" t="e">
        <f t="shared" si="27"/>
        <v>#N/A</v>
      </c>
      <c r="L908" s="69"/>
    </row>
    <row r="909" spans="1:12" x14ac:dyDescent="0.3">
      <c r="A909" s="64"/>
      <c r="B909" s="65" t="e">
        <f>VLOOKUP(C909,[7]完成订单!$D:$D,1,0)</f>
        <v>#N/A</v>
      </c>
      <c r="C909" s="66"/>
      <c r="D909" s="66"/>
      <c r="E909" s="66"/>
      <c r="F909" s="67"/>
      <c r="G909" s="66"/>
      <c r="H909" s="53" t="e">
        <f>VLOOKUP(E909,DIP计划!E:J,6,0)</f>
        <v>#N/A</v>
      </c>
      <c r="I909" s="64">
        <f t="shared" si="26"/>
        <v>0</v>
      </c>
      <c r="J909" s="68" t="e">
        <f>VLOOKUP(D909,DIP计划!D:G,4,0)</f>
        <v>#N/A</v>
      </c>
      <c r="K909" s="5" t="e">
        <f t="shared" si="27"/>
        <v>#N/A</v>
      </c>
      <c r="L909" s="69"/>
    </row>
    <row r="910" spans="1:12" x14ac:dyDescent="0.3">
      <c r="A910" s="64"/>
      <c r="B910" s="65" t="e">
        <f>VLOOKUP(C910,[7]完成订单!$D:$D,1,0)</f>
        <v>#N/A</v>
      </c>
      <c r="C910" s="66"/>
      <c r="D910" s="66"/>
      <c r="E910" s="66"/>
      <c r="F910" s="67"/>
      <c r="G910" s="66"/>
      <c r="H910" s="53" t="e">
        <f>VLOOKUP(E910,DIP计划!E:J,6,0)</f>
        <v>#N/A</v>
      </c>
      <c r="I910" s="64">
        <f t="shared" si="26"/>
        <v>0</v>
      </c>
      <c r="J910" s="68" t="e">
        <f>VLOOKUP(D910,DIP计划!D:G,4,0)</f>
        <v>#N/A</v>
      </c>
      <c r="K910" s="5" t="e">
        <f t="shared" si="27"/>
        <v>#N/A</v>
      </c>
      <c r="L910" s="69"/>
    </row>
    <row r="911" spans="1:12" x14ac:dyDescent="0.3">
      <c r="A911" s="64"/>
      <c r="B911" s="65" t="e">
        <f>VLOOKUP(C911,[7]完成订单!$D:$D,1,0)</f>
        <v>#N/A</v>
      </c>
      <c r="C911" s="66"/>
      <c r="D911" s="66"/>
      <c r="E911" s="66"/>
      <c r="F911" s="67"/>
      <c r="G911" s="66"/>
      <c r="H911" s="53" t="e">
        <f>VLOOKUP(E911,DIP计划!E:J,6,0)</f>
        <v>#N/A</v>
      </c>
      <c r="I911" s="64">
        <f t="shared" si="26"/>
        <v>0</v>
      </c>
      <c r="J911" s="68" t="e">
        <f>VLOOKUP(D911,DIP计划!D:G,4,0)</f>
        <v>#N/A</v>
      </c>
      <c r="K911" s="5" t="e">
        <f t="shared" si="27"/>
        <v>#N/A</v>
      </c>
      <c r="L911" s="69"/>
    </row>
    <row r="912" spans="1:12" x14ac:dyDescent="0.3">
      <c r="A912" s="64"/>
      <c r="B912" s="65" t="e">
        <f>VLOOKUP(C912,[7]完成订单!$D:$D,1,0)</f>
        <v>#N/A</v>
      </c>
      <c r="C912" s="66"/>
      <c r="D912" s="66"/>
      <c r="E912" s="66"/>
      <c r="F912" s="67"/>
      <c r="G912" s="66"/>
      <c r="H912" s="53" t="e">
        <f>VLOOKUP(E912,DIP计划!E:J,6,0)</f>
        <v>#N/A</v>
      </c>
      <c r="I912" s="64">
        <f t="shared" si="26"/>
        <v>0</v>
      </c>
      <c r="J912" s="68" t="e">
        <f>VLOOKUP(D912,DIP计划!D:G,4,0)</f>
        <v>#N/A</v>
      </c>
      <c r="K912" s="5" t="e">
        <f t="shared" si="27"/>
        <v>#N/A</v>
      </c>
      <c r="L912" s="69"/>
    </row>
    <row r="913" spans="1:12" x14ac:dyDescent="0.3">
      <c r="A913" s="64"/>
      <c r="B913" s="65" t="e">
        <f>VLOOKUP(C913,[7]完成订单!$D:$D,1,0)</f>
        <v>#N/A</v>
      </c>
      <c r="C913" s="66"/>
      <c r="D913" s="66"/>
      <c r="E913" s="66"/>
      <c r="F913" s="67"/>
      <c r="G913" s="66"/>
      <c r="H913" s="53" t="e">
        <f>VLOOKUP(E913,DIP计划!E:J,6,0)</f>
        <v>#N/A</v>
      </c>
      <c r="I913" s="64">
        <f t="shared" si="26"/>
        <v>0</v>
      </c>
      <c r="J913" s="68" t="e">
        <f>VLOOKUP(D913,DIP计划!D:G,4,0)</f>
        <v>#N/A</v>
      </c>
      <c r="K913" s="5" t="e">
        <f t="shared" si="27"/>
        <v>#N/A</v>
      </c>
      <c r="L913" s="69"/>
    </row>
    <row r="914" spans="1:12" x14ac:dyDescent="0.3">
      <c r="A914" s="64"/>
      <c r="B914" s="65" t="e">
        <f>VLOOKUP(C914,[7]完成订单!$D:$D,1,0)</f>
        <v>#N/A</v>
      </c>
      <c r="C914" s="66"/>
      <c r="D914" s="66"/>
      <c r="E914" s="66"/>
      <c r="F914" s="67"/>
      <c r="G914" s="66"/>
      <c r="H914" s="53" t="e">
        <f>VLOOKUP(E914,DIP计划!E:J,6,0)</f>
        <v>#N/A</v>
      </c>
      <c r="I914" s="64">
        <f t="shared" si="26"/>
        <v>0</v>
      </c>
      <c r="J914" s="68" t="e">
        <f>VLOOKUP(D914,DIP计划!D:G,4,0)</f>
        <v>#N/A</v>
      </c>
      <c r="K914" s="5" t="e">
        <f t="shared" si="27"/>
        <v>#N/A</v>
      </c>
      <c r="L914" s="69"/>
    </row>
    <row r="915" spans="1:12" x14ac:dyDescent="0.3">
      <c r="A915" s="64"/>
      <c r="B915" s="65" t="e">
        <f>VLOOKUP(C915,[7]完成订单!$D:$D,1,0)</f>
        <v>#N/A</v>
      </c>
      <c r="C915" s="66"/>
      <c r="D915" s="66"/>
      <c r="E915" s="66"/>
      <c r="F915" s="67"/>
      <c r="G915" s="66"/>
      <c r="H915" s="53" t="e">
        <f>VLOOKUP(E915,DIP计划!E:J,6,0)</f>
        <v>#N/A</v>
      </c>
      <c r="I915" s="64">
        <f t="shared" si="26"/>
        <v>0</v>
      </c>
      <c r="J915" s="68" t="e">
        <f>VLOOKUP(D915,DIP计划!D:G,4,0)</f>
        <v>#N/A</v>
      </c>
      <c r="K915" s="5" t="e">
        <f t="shared" si="27"/>
        <v>#N/A</v>
      </c>
      <c r="L915" s="69"/>
    </row>
    <row r="916" spans="1:12" x14ac:dyDescent="0.3">
      <c r="A916" s="64"/>
      <c r="B916" s="65" t="e">
        <f>VLOOKUP(C916,[7]完成订单!$D:$D,1,0)</f>
        <v>#N/A</v>
      </c>
      <c r="C916" s="66"/>
      <c r="D916" s="66"/>
      <c r="E916" s="66"/>
      <c r="F916" s="67"/>
      <c r="G916" s="66"/>
      <c r="H916" s="53" t="e">
        <f>VLOOKUP(E916,DIP计划!E:J,6,0)</f>
        <v>#N/A</v>
      </c>
      <c r="I916" s="64">
        <f t="shared" si="26"/>
        <v>0</v>
      </c>
      <c r="J916" s="68" t="e">
        <f>VLOOKUP(D916,DIP计划!D:G,4,0)</f>
        <v>#N/A</v>
      </c>
      <c r="K916" s="5" t="e">
        <f t="shared" si="27"/>
        <v>#N/A</v>
      </c>
      <c r="L916" s="69"/>
    </row>
    <row r="917" spans="1:12" x14ac:dyDescent="0.3">
      <c r="A917" s="64"/>
      <c r="B917" s="65" t="e">
        <f>VLOOKUP(C917,[7]完成订单!$D:$D,1,0)</f>
        <v>#N/A</v>
      </c>
      <c r="C917" s="66"/>
      <c r="D917" s="66"/>
      <c r="E917" s="66"/>
      <c r="F917" s="67"/>
      <c r="G917" s="66"/>
      <c r="H917" s="53" t="e">
        <f>VLOOKUP(E917,DIP计划!E:J,6,0)</f>
        <v>#N/A</v>
      </c>
      <c r="I917" s="64">
        <f t="shared" si="26"/>
        <v>0</v>
      </c>
      <c r="J917" s="68" t="e">
        <f>VLOOKUP(D917,DIP计划!D:G,4,0)</f>
        <v>#N/A</v>
      </c>
      <c r="K917" s="5" t="e">
        <f t="shared" si="27"/>
        <v>#N/A</v>
      </c>
      <c r="L917" s="69"/>
    </row>
    <row r="918" spans="1:12" x14ac:dyDescent="0.3">
      <c r="A918" s="64"/>
      <c r="B918" s="65" t="e">
        <f>VLOOKUP(C918,[7]完成订单!$D:$D,1,0)</f>
        <v>#N/A</v>
      </c>
      <c r="C918" s="66"/>
      <c r="D918" s="66"/>
      <c r="E918" s="66"/>
      <c r="F918" s="67"/>
      <c r="G918" s="66"/>
      <c r="H918" s="53" t="e">
        <f>VLOOKUP(E918,DIP计划!E:J,6,0)</f>
        <v>#N/A</v>
      </c>
      <c r="I918" s="64">
        <f t="shared" si="26"/>
        <v>0</v>
      </c>
      <c r="J918" s="68" t="e">
        <f>VLOOKUP(D918,DIP计划!D:G,4,0)</f>
        <v>#N/A</v>
      </c>
      <c r="K918" s="5" t="e">
        <f t="shared" si="27"/>
        <v>#N/A</v>
      </c>
      <c r="L918" s="69"/>
    </row>
    <row r="919" spans="1:12" x14ac:dyDescent="0.3">
      <c r="A919" s="64"/>
      <c r="B919" s="65" t="e">
        <f>VLOOKUP(C919,[7]完成订单!$D:$D,1,0)</f>
        <v>#N/A</v>
      </c>
      <c r="C919" s="66"/>
      <c r="D919" s="66"/>
      <c r="E919" s="66"/>
      <c r="F919" s="67"/>
      <c r="G919" s="66"/>
      <c r="H919" s="53" t="e">
        <f>VLOOKUP(E919,DIP计划!E:J,6,0)</f>
        <v>#N/A</v>
      </c>
      <c r="I919" s="64">
        <f t="shared" si="26"/>
        <v>0</v>
      </c>
      <c r="J919" s="68" t="e">
        <f>VLOOKUP(D919,DIP计划!D:G,4,0)</f>
        <v>#N/A</v>
      </c>
      <c r="K919" s="5" t="e">
        <f t="shared" si="27"/>
        <v>#N/A</v>
      </c>
      <c r="L919" s="69"/>
    </row>
    <row r="920" spans="1:12" x14ac:dyDescent="0.3">
      <c r="A920" s="64"/>
      <c r="B920" s="65" t="e">
        <f>VLOOKUP(C920,[7]完成订单!$D:$D,1,0)</f>
        <v>#N/A</v>
      </c>
      <c r="C920" s="66"/>
      <c r="D920" s="66"/>
      <c r="E920" s="66"/>
      <c r="F920" s="67"/>
      <c r="G920" s="66"/>
      <c r="H920" s="53" t="e">
        <f>VLOOKUP(E920,DIP计划!E:J,6,0)</f>
        <v>#N/A</v>
      </c>
      <c r="I920" s="64">
        <f t="shared" si="26"/>
        <v>0</v>
      </c>
      <c r="J920" s="68" t="e">
        <f>VLOOKUP(D920,DIP计划!D:G,4,0)</f>
        <v>#N/A</v>
      </c>
      <c r="K920" s="5" t="e">
        <f t="shared" si="27"/>
        <v>#N/A</v>
      </c>
      <c r="L920" s="69"/>
    </row>
    <row r="921" spans="1:12" x14ac:dyDescent="0.3">
      <c r="A921" s="64"/>
      <c r="B921" s="65" t="e">
        <f>VLOOKUP(C921,[7]完成订单!$D:$D,1,0)</f>
        <v>#N/A</v>
      </c>
      <c r="C921" s="66"/>
      <c r="D921" s="66"/>
      <c r="E921" s="66"/>
      <c r="F921" s="67"/>
      <c r="G921" s="66"/>
      <c r="H921" s="53" t="e">
        <f>VLOOKUP(E921,DIP计划!E:J,6,0)</f>
        <v>#N/A</v>
      </c>
      <c r="I921" s="64">
        <f t="shared" si="26"/>
        <v>0</v>
      </c>
      <c r="J921" s="68" t="e">
        <f>VLOOKUP(D921,DIP计划!D:G,4,0)</f>
        <v>#N/A</v>
      </c>
      <c r="K921" s="5" t="e">
        <f t="shared" si="27"/>
        <v>#N/A</v>
      </c>
      <c r="L921" s="69"/>
    </row>
    <row r="922" spans="1:12" x14ac:dyDescent="0.3">
      <c r="A922" s="64"/>
      <c r="B922" s="65" t="e">
        <f>VLOOKUP(C922,[7]完成订单!$D:$D,1,0)</f>
        <v>#N/A</v>
      </c>
      <c r="C922" s="66"/>
      <c r="D922" s="66"/>
      <c r="E922" s="66"/>
      <c r="F922" s="67"/>
      <c r="G922" s="66"/>
      <c r="H922" s="53" t="e">
        <f>VLOOKUP(E922,DIP计划!E:J,6,0)</f>
        <v>#N/A</v>
      </c>
      <c r="I922" s="64">
        <f t="shared" ref="I922:I985" si="28">A922</f>
        <v>0</v>
      </c>
      <c r="J922" s="68" t="e">
        <f>VLOOKUP(D922,DIP计划!D:G,4,0)</f>
        <v>#N/A</v>
      </c>
      <c r="K922" s="5" t="e">
        <f t="shared" ref="K922:K985" si="29">+J922-G922</f>
        <v>#N/A</v>
      </c>
      <c r="L922" s="69"/>
    </row>
    <row r="923" spans="1:12" x14ac:dyDescent="0.3">
      <c r="A923" s="64"/>
      <c r="B923" s="65" t="e">
        <f>VLOOKUP(C923,[7]完成订单!$D:$D,1,0)</f>
        <v>#N/A</v>
      </c>
      <c r="C923" s="66"/>
      <c r="D923" s="66"/>
      <c r="E923" s="66"/>
      <c r="F923" s="67"/>
      <c r="G923" s="66"/>
      <c r="H923" s="53" t="e">
        <f>VLOOKUP(E923,DIP计划!E:J,6,0)</f>
        <v>#N/A</v>
      </c>
      <c r="I923" s="64">
        <f t="shared" si="28"/>
        <v>0</v>
      </c>
      <c r="J923" s="68" t="e">
        <f>VLOOKUP(D923,DIP计划!D:G,4,0)</f>
        <v>#N/A</v>
      </c>
      <c r="K923" s="5" t="e">
        <f t="shared" si="29"/>
        <v>#N/A</v>
      </c>
      <c r="L923" s="69"/>
    </row>
    <row r="924" spans="1:12" x14ac:dyDescent="0.3">
      <c r="A924" s="64"/>
      <c r="B924" s="65" t="e">
        <f>VLOOKUP(C924,[7]完成订单!$D:$D,1,0)</f>
        <v>#N/A</v>
      </c>
      <c r="C924" s="66"/>
      <c r="D924" s="66"/>
      <c r="E924" s="66"/>
      <c r="F924" s="67"/>
      <c r="G924" s="66"/>
      <c r="H924" s="53" t="e">
        <f>VLOOKUP(E924,DIP计划!E:J,6,0)</f>
        <v>#N/A</v>
      </c>
      <c r="I924" s="64">
        <f t="shared" si="28"/>
        <v>0</v>
      </c>
      <c r="J924" s="68" t="e">
        <f>VLOOKUP(D924,DIP计划!D:G,4,0)</f>
        <v>#N/A</v>
      </c>
      <c r="K924" s="5" t="e">
        <f t="shared" si="29"/>
        <v>#N/A</v>
      </c>
      <c r="L924" s="69"/>
    </row>
    <row r="925" spans="1:12" x14ac:dyDescent="0.3">
      <c r="A925" s="64"/>
      <c r="B925" s="65" t="e">
        <f>VLOOKUP(C925,[7]完成订单!$D:$D,1,0)</f>
        <v>#N/A</v>
      </c>
      <c r="C925" s="66"/>
      <c r="D925" s="66"/>
      <c r="E925" s="66"/>
      <c r="F925" s="67"/>
      <c r="G925" s="66"/>
      <c r="H925" s="53" t="e">
        <f>VLOOKUP(E925,DIP计划!E:J,6,0)</f>
        <v>#N/A</v>
      </c>
      <c r="I925" s="64">
        <f t="shared" si="28"/>
        <v>0</v>
      </c>
      <c r="J925" s="68" t="e">
        <f>VLOOKUP(D925,DIP计划!D:G,4,0)</f>
        <v>#N/A</v>
      </c>
      <c r="K925" s="5" t="e">
        <f t="shared" si="29"/>
        <v>#N/A</v>
      </c>
      <c r="L925" s="69"/>
    </row>
    <row r="926" spans="1:12" x14ac:dyDescent="0.3">
      <c r="A926" s="64"/>
      <c r="B926" s="65" t="e">
        <f>VLOOKUP(C926,[7]完成订单!$D:$D,1,0)</f>
        <v>#N/A</v>
      </c>
      <c r="C926" s="66"/>
      <c r="D926" s="66"/>
      <c r="E926" s="66"/>
      <c r="F926" s="67"/>
      <c r="G926" s="66"/>
      <c r="H926" s="53" t="e">
        <f>VLOOKUP(E926,DIP计划!E:J,6,0)</f>
        <v>#N/A</v>
      </c>
      <c r="I926" s="64">
        <f t="shared" si="28"/>
        <v>0</v>
      </c>
      <c r="J926" s="68" t="e">
        <f>VLOOKUP(D926,DIP计划!D:G,4,0)</f>
        <v>#N/A</v>
      </c>
      <c r="K926" s="5" t="e">
        <f t="shared" si="29"/>
        <v>#N/A</v>
      </c>
      <c r="L926" s="69"/>
    </row>
    <row r="927" spans="1:12" x14ac:dyDescent="0.3">
      <c r="A927" s="64"/>
      <c r="B927" s="65" t="e">
        <f>VLOOKUP(C927,[7]完成订单!$D:$D,1,0)</f>
        <v>#N/A</v>
      </c>
      <c r="C927" s="66"/>
      <c r="D927" s="66"/>
      <c r="E927" s="66"/>
      <c r="F927" s="67"/>
      <c r="G927" s="66"/>
      <c r="H927" s="53" t="e">
        <f>VLOOKUP(E927,DIP计划!E:J,6,0)</f>
        <v>#N/A</v>
      </c>
      <c r="I927" s="64">
        <f t="shared" si="28"/>
        <v>0</v>
      </c>
      <c r="J927" s="68" t="e">
        <f>VLOOKUP(D927,DIP计划!D:G,4,0)</f>
        <v>#N/A</v>
      </c>
      <c r="K927" s="5" t="e">
        <f t="shared" si="29"/>
        <v>#N/A</v>
      </c>
      <c r="L927" s="69"/>
    </row>
    <row r="928" spans="1:12" x14ac:dyDescent="0.3">
      <c r="A928" s="64"/>
      <c r="B928" s="65" t="e">
        <f>VLOOKUP(C928,[7]完成订单!$D:$D,1,0)</f>
        <v>#N/A</v>
      </c>
      <c r="C928" s="66"/>
      <c r="D928" s="66"/>
      <c r="E928" s="66"/>
      <c r="F928" s="67"/>
      <c r="G928" s="66"/>
      <c r="H928" s="53" t="e">
        <f>VLOOKUP(E928,DIP计划!E:J,6,0)</f>
        <v>#N/A</v>
      </c>
      <c r="I928" s="64">
        <f t="shared" si="28"/>
        <v>0</v>
      </c>
      <c r="J928" s="68" t="e">
        <f>VLOOKUP(D928,DIP计划!D:G,4,0)</f>
        <v>#N/A</v>
      </c>
      <c r="K928" s="5" t="e">
        <f t="shared" si="29"/>
        <v>#N/A</v>
      </c>
      <c r="L928" s="69"/>
    </row>
    <row r="929" spans="1:12" x14ac:dyDescent="0.3">
      <c r="A929" s="64"/>
      <c r="B929" s="65" t="e">
        <f>VLOOKUP(C929,[7]完成订单!$D:$D,1,0)</f>
        <v>#N/A</v>
      </c>
      <c r="C929" s="66"/>
      <c r="D929" s="66"/>
      <c r="E929" s="66"/>
      <c r="F929" s="67"/>
      <c r="G929" s="66"/>
      <c r="H929" s="53" t="e">
        <f>VLOOKUP(E929,DIP计划!E:J,6,0)</f>
        <v>#N/A</v>
      </c>
      <c r="I929" s="64">
        <f t="shared" si="28"/>
        <v>0</v>
      </c>
      <c r="J929" s="68" t="e">
        <f>VLOOKUP(D929,DIP计划!D:G,4,0)</f>
        <v>#N/A</v>
      </c>
      <c r="K929" s="5" t="e">
        <f t="shared" si="29"/>
        <v>#N/A</v>
      </c>
      <c r="L929" s="69"/>
    </row>
    <row r="930" spans="1:12" x14ac:dyDescent="0.3">
      <c r="A930" s="64"/>
      <c r="B930" s="65" t="e">
        <f>VLOOKUP(C930,[7]完成订单!$D:$D,1,0)</f>
        <v>#N/A</v>
      </c>
      <c r="C930" s="66"/>
      <c r="D930" s="66"/>
      <c r="E930" s="66"/>
      <c r="F930" s="67"/>
      <c r="G930" s="66"/>
      <c r="H930" s="53" t="e">
        <f>VLOOKUP(E930,DIP计划!E:J,6,0)</f>
        <v>#N/A</v>
      </c>
      <c r="I930" s="64">
        <f t="shared" si="28"/>
        <v>0</v>
      </c>
      <c r="J930" s="68" t="e">
        <f>VLOOKUP(D930,DIP计划!D:G,4,0)</f>
        <v>#N/A</v>
      </c>
      <c r="K930" s="5" t="e">
        <f t="shared" si="29"/>
        <v>#N/A</v>
      </c>
      <c r="L930" s="69"/>
    </row>
    <row r="931" spans="1:12" x14ac:dyDescent="0.3">
      <c r="A931" s="64"/>
      <c r="B931" s="65" t="e">
        <f>VLOOKUP(C931,[7]完成订单!$D:$D,1,0)</f>
        <v>#N/A</v>
      </c>
      <c r="C931" s="66"/>
      <c r="D931" s="66"/>
      <c r="E931" s="66"/>
      <c r="F931" s="67"/>
      <c r="G931" s="66"/>
      <c r="H931" s="53" t="e">
        <f>VLOOKUP(E931,DIP计划!E:J,6,0)</f>
        <v>#N/A</v>
      </c>
      <c r="I931" s="64">
        <f t="shared" si="28"/>
        <v>0</v>
      </c>
      <c r="J931" s="68" t="e">
        <f>VLOOKUP(D931,DIP计划!D:G,4,0)</f>
        <v>#N/A</v>
      </c>
      <c r="K931" s="5" t="e">
        <f t="shared" si="29"/>
        <v>#N/A</v>
      </c>
      <c r="L931" s="69"/>
    </row>
    <row r="932" spans="1:12" x14ac:dyDescent="0.3">
      <c r="A932" s="64"/>
      <c r="B932" s="65" t="e">
        <f>VLOOKUP(C932,[7]完成订单!$D:$D,1,0)</f>
        <v>#N/A</v>
      </c>
      <c r="C932" s="66"/>
      <c r="D932" s="66"/>
      <c r="E932" s="66"/>
      <c r="F932" s="67"/>
      <c r="G932" s="66"/>
      <c r="H932" s="53" t="e">
        <f>VLOOKUP(E932,DIP计划!E:J,6,0)</f>
        <v>#N/A</v>
      </c>
      <c r="I932" s="64">
        <f t="shared" si="28"/>
        <v>0</v>
      </c>
      <c r="J932" s="68" t="e">
        <f>VLOOKUP(D932,DIP计划!D:G,4,0)</f>
        <v>#N/A</v>
      </c>
      <c r="K932" s="5" t="e">
        <f t="shared" si="29"/>
        <v>#N/A</v>
      </c>
      <c r="L932" s="69"/>
    </row>
    <row r="933" spans="1:12" x14ac:dyDescent="0.3">
      <c r="A933" s="64"/>
      <c r="B933" s="65" t="e">
        <f>VLOOKUP(C933,[7]完成订单!$D:$D,1,0)</f>
        <v>#N/A</v>
      </c>
      <c r="C933" s="66"/>
      <c r="D933" s="66"/>
      <c r="E933" s="66"/>
      <c r="F933" s="67"/>
      <c r="G933" s="66"/>
      <c r="H933" s="53" t="e">
        <f>VLOOKUP(E933,DIP计划!E:J,6,0)</f>
        <v>#N/A</v>
      </c>
      <c r="I933" s="64">
        <f t="shared" si="28"/>
        <v>0</v>
      </c>
      <c r="J933" s="68" t="e">
        <f>VLOOKUP(D933,DIP计划!D:G,4,0)</f>
        <v>#N/A</v>
      </c>
      <c r="K933" s="5" t="e">
        <f t="shared" si="29"/>
        <v>#N/A</v>
      </c>
      <c r="L933" s="69"/>
    </row>
    <row r="934" spans="1:12" x14ac:dyDescent="0.3">
      <c r="A934" s="64"/>
      <c r="B934" s="65" t="e">
        <f>VLOOKUP(C934,[7]完成订单!$D:$D,1,0)</f>
        <v>#N/A</v>
      </c>
      <c r="C934" s="66"/>
      <c r="D934" s="66"/>
      <c r="E934" s="66"/>
      <c r="F934" s="67"/>
      <c r="G934" s="66"/>
      <c r="H934" s="53" t="e">
        <f>VLOOKUP(E934,DIP计划!E:J,6,0)</f>
        <v>#N/A</v>
      </c>
      <c r="I934" s="64">
        <f t="shared" si="28"/>
        <v>0</v>
      </c>
      <c r="J934" s="68" t="e">
        <f>VLOOKUP(D934,DIP计划!D:G,4,0)</f>
        <v>#N/A</v>
      </c>
      <c r="K934" s="5" t="e">
        <f t="shared" si="29"/>
        <v>#N/A</v>
      </c>
      <c r="L934" s="69"/>
    </row>
    <row r="935" spans="1:12" x14ac:dyDescent="0.3">
      <c r="A935" s="64"/>
      <c r="B935" s="65" t="e">
        <f>VLOOKUP(C935,[7]完成订单!$D:$D,1,0)</f>
        <v>#N/A</v>
      </c>
      <c r="C935" s="66"/>
      <c r="D935" s="66"/>
      <c r="E935" s="66"/>
      <c r="F935" s="67"/>
      <c r="G935" s="66"/>
      <c r="H935" s="53" t="e">
        <f>VLOOKUP(E935,DIP计划!E:J,6,0)</f>
        <v>#N/A</v>
      </c>
      <c r="I935" s="64">
        <f t="shared" si="28"/>
        <v>0</v>
      </c>
      <c r="J935" s="68" t="e">
        <f>VLOOKUP(D935,DIP计划!D:G,4,0)</f>
        <v>#N/A</v>
      </c>
      <c r="K935" s="5" t="e">
        <f t="shared" si="29"/>
        <v>#N/A</v>
      </c>
      <c r="L935" s="69"/>
    </row>
    <row r="936" spans="1:12" x14ac:dyDescent="0.3">
      <c r="A936" s="64"/>
      <c r="B936" s="65" t="e">
        <f>VLOOKUP(C936,[7]完成订单!$D:$D,1,0)</f>
        <v>#N/A</v>
      </c>
      <c r="C936" s="66"/>
      <c r="D936" s="66"/>
      <c r="E936" s="66"/>
      <c r="F936" s="67"/>
      <c r="G936" s="66"/>
      <c r="H936" s="53" t="e">
        <f>VLOOKUP(E936,DIP计划!E:J,6,0)</f>
        <v>#N/A</v>
      </c>
      <c r="I936" s="64">
        <f t="shared" si="28"/>
        <v>0</v>
      </c>
      <c r="J936" s="68" t="e">
        <f>VLOOKUP(D936,DIP计划!D:G,4,0)</f>
        <v>#N/A</v>
      </c>
      <c r="K936" s="5" t="e">
        <f t="shared" si="29"/>
        <v>#N/A</v>
      </c>
      <c r="L936" s="69"/>
    </row>
    <row r="937" spans="1:12" x14ac:dyDescent="0.3">
      <c r="A937" s="64"/>
      <c r="B937" s="65" t="e">
        <f>VLOOKUP(C937,[7]完成订单!$D:$D,1,0)</f>
        <v>#N/A</v>
      </c>
      <c r="C937" s="66"/>
      <c r="D937" s="66"/>
      <c r="E937" s="66"/>
      <c r="F937" s="67"/>
      <c r="G937" s="66"/>
      <c r="H937" s="53" t="e">
        <f>VLOOKUP(E937,DIP计划!E:J,6,0)</f>
        <v>#N/A</v>
      </c>
      <c r="I937" s="64">
        <f t="shared" si="28"/>
        <v>0</v>
      </c>
      <c r="J937" s="68" t="e">
        <f>VLOOKUP(D937,DIP计划!D:G,4,0)</f>
        <v>#N/A</v>
      </c>
      <c r="K937" s="5" t="e">
        <f t="shared" si="29"/>
        <v>#N/A</v>
      </c>
      <c r="L937" s="69"/>
    </row>
    <row r="938" spans="1:12" x14ac:dyDescent="0.3">
      <c r="A938" s="64"/>
      <c r="B938" s="65" t="e">
        <f>VLOOKUP(C938,[7]完成订单!$D:$D,1,0)</f>
        <v>#N/A</v>
      </c>
      <c r="C938" s="66"/>
      <c r="D938" s="66"/>
      <c r="E938" s="66"/>
      <c r="F938" s="67"/>
      <c r="G938" s="66"/>
      <c r="H938" s="53" t="e">
        <f>VLOOKUP(E938,DIP计划!E:J,6,0)</f>
        <v>#N/A</v>
      </c>
      <c r="I938" s="64">
        <f t="shared" si="28"/>
        <v>0</v>
      </c>
      <c r="J938" s="68" t="e">
        <f>VLOOKUP(D938,DIP计划!D:G,4,0)</f>
        <v>#N/A</v>
      </c>
      <c r="K938" s="5" t="e">
        <f t="shared" si="29"/>
        <v>#N/A</v>
      </c>
      <c r="L938" s="69"/>
    </row>
    <row r="939" spans="1:12" x14ac:dyDescent="0.3">
      <c r="A939" s="64"/>
      <c r="B939" s="65" t="e">
        <f>VLOOKUP(C939,[7]完成订单!$D:$D,1,0)</f>
        <v>#N/A</v>
      </c>
      <c r="C939" s="66"/>
      <c r="D939" s="66"/>
      <c r="E939" s="66"/>
      <c r="F939" s="67"/>
      <c r="G939" s="66"/>
      <c r="H939" s="53" t="e">
        <f>VLOOKUP(E939,DIP计划!E:J,6,0)</f>
        <v>#N/A</v>
      </c>
      <c r="I939" s="64">
        <f t="shared" si="28"/>
        <v>0</v>
      </c>
      <c r="J939" s="68" t="e">
        <f>VLOOKUP(D939,DIP计划!D:G,4,0)</f>
        <v>#N/A</v>
      </c>
      <c r="K939" s="5" t="e">
        <f t="shared" si="29"/>
        <v>#N/A</v>
      </c>
      <c r="L939" s="69"/>
    </row>
    <row r="940" spans="1:12" x14ac:dyDescent="0.3">
      <c r="A940" s="64"/>
      <c r="B940" s="65" t="e">
        <f>VLOOKUP(C940,[7]完成订单!$D:$D,1,0)</f>
        <v>#N/A</v>
      </c>
      <c r="C940" s="66"/>
      <c r="D940" s="66"/>
      <c r="E940" s="66"/>
      <c r="F940" s="67"/>
      <c r="G940" s="66"/>
      <c r="H940" s="53" t="e">
        <f>VLOOKUP(E940,DIP计划!E:J,6,0)</f>
        <v>#N/A</v>
      </c>
      <c r="I940" s="64">
        <f t="shared" si="28"/>
        <v>0</v>
      </c>
      <c r="J940" s="68" t="e">
        <f>VLOOKUP(D940,DIP计划!D:G,4,0)</f>
        <v>#N/A</v>
      </c>
      <c r="K940" s="5" t="e">
        <f t="shared" si="29"/>
        <v>#N/A</v>
      </c>
      <c r="L940" s="69"/>
    </row>
    <row r="941" spans="1:12" x14ac:dyDescent="0.3">
      <c r="A941" s="64"/>
      <c r="B941" s="65" t="e">
        <f>VLOOKUP(C941,[7]完成订单!$D:$D,1,0)</f>
        <v>#N/A</v>
      </c>
      <c r="C941" s="66"/>
      <c r="D941" s="66"/>
      <c r="E941" s="66"/>
      <c r="F941" s="67"/>
      <c r="G941" s="66"/>
      <c r="H941" s="53" t="e">
        <f>VLOOKUP(E941,DIP计划!E:J,6,0)</f>
        <v>#N/A</v>
      </c>
      <c r="I941" s="64">
        <f t="shared" si="28"/>
        <v>0</v>
      </c>
      <c r="J941" s="68" t="e">
        <f>VLOOKUP(D941,DIP计划!D:G,4,0)</f>
        <v>#N/A</v>
      </c>
      <c r="K941" s="5" t="e">
        <f t="shared" si="29"/>
        <v>#N/A</v>
      </c>
      <c r="L941" s="69"/>
    </row>
    <row r="942" spans="1:12" x14ac:dyDescent="0.3">
      <c r="A942" s="64"/>
      <c r="B942" s="65" t="e">
        <f>VLOOKUP(C942,[7]完成订单!$D:$D,1,0)</f>
        <v>#N/A</v>
      </c>
      <c r="C942" s="66"/>
      <c r="D942" s="66"/>
      <c r="E942" s="66"/>
      <c r="F942" s="67"/>
      <c r="G942" s="66"/>
      <c r="H942" s="53" t="e">
        <f>VLOOKUP(E942,DIP计划!E:J,6,0)</f>
        <v>#N/A</v>
      </c>
      <c r="I942" s="64">
        <f t="shared" si="28"/>
        <v>0</v>
      </c>
      <c r="J942" s="68" t="e">
        <f>VLOOKUP(D942,DIP计划!D:G,4,0)</f>
        <v>#N/A</v>
      </c>
      <c r="K942" s="5" t="e">
        <f t="shared" si="29"/>
        <v>#N/A</v>
      </c>
      <c r="L942" s="69"/>
    </row>
    <row r="943" spans="1:12" x14ac:dyDescent="0.3">
      <c r="A943" s="64"/>
      <c r="B943" s="65" t="e">
        <f>VLOOKUP(C943,[7]完成订单!$D:$D,1,0)</f>
        <v>#N/A</v>
      </c>
      <c r="C943" s="66"/>
      <c r="D943" s="66"/>
      <c r="E943" s="66"/>
      <c r="F943" s="67"/>
      <c r="G943" s="66"/>
      <c r="H943" s="53" t="e">
        <f>VLOOKUP(E943,DIP计划!E:J,6,0)</f>
        <v>#N/A</v>
      </c>
      <c r="I943" s="64">
        <f t="shared" si="28"/>
        <v>0</v>
      </c>
      <c r="J943" s="68" t="e">
        <f>VLOOKUP(D943,DIP计划!D:G,4,0)</f>
        <v>#N/A</v>
      </c>
      <c r="K943" s="5" t="e">
        <f t="shared" si="29"/>
        <v>#N/A</v>
      </c>
      <c r="L943" s="69"/>
    </row>
    <row r="944" spans="1:12" x14ac:dyDescent="0.3">
      <c r="A944" s="64"/>
      <c r="B944" s="65" t="e">
        <f>VLOOKUP(C944,[7]完成订单!$D:$D,1,0)</f>
        <v>#N/A</v>
      </c>
      <c r="C944" s="66"/>
      <c r="D944" s="66"/>
      <c r="E944" s="66"/>
      <c r="F944" s="67"/>
      <c r="G944" s="66"/>
      <c r="H944" s="53" t="e">
        <f>VLOOKUP(E944,DIP计划!E:J,6,0)</f>
        <v>#N/A</v>
      </c>
      <c r="I944" s="64">
        <f t="shared" si="28"/>
        <v>0</v>
      </c>
      <c r="J944" s="68" t="e">
        <f>VLOOKUP(D944,DIP计划!D:G,4,0)</f>
        <v>#N/A</v>
      </c>
      <c r="K944" s="5" t="e">
        <f t="shared" si="29"/>
        <v>#N/A</v>
      </c>
      <c r="L944" s="69"/>
    </row>
    <row r="945" spans="1:12" x14ac:dyDescent="0.3">
      <c r="A945" s="64"/>
      <c r="B945" s="65" t="e">
        <f>VLOOKUP(C945,[7]完成订单!$D:$D,1,0)</f>
        <v>#N/A</v>
      </c>
      <c r="C945" s="66"/>
      <c r="D945" s="66"/>
      <c r="E945" s="66"/>
      <c r="F945" s="67"/>
      <c r="G945" s="66"/>
      <c r="H945" s="53" t="e">
        <f>VLOOKUP(E945,DIP计划!E:J,6,0)</f>
        <v>#N/A</v>
      </c>
      <c r="I945" s="64">
        <f t="shared" si="28"/>
        <v>0</v>
      </c>
      <c r="J945" s="68" t="e">
        <f>VLOOKUP(D945,DIP计划!D:G,4,0)</f>
        <v>#N/A</v>
      </c>
      <c r="K945" s="5" t="e">
        <f t="shared" si="29"/>
        <v>#N/A</v>
      </c>
      <c r="L945" s="69"/>
    </row>
    <row r="946" spans="1:12" x14ac:dyDescent="0.3">
      <c r="A946" s="64"/>
      <c r="B946" s="65" t="e">
        <f>VLOOKUP(C946,[7]完成订单!$D:$D,1,0)</f>
        <v>#N/A</v>
      </c>
      <c r="C946" s="66"/>
      <c r="D946" s="66"/>
      <c r="E946" s="66"/>
      <c r="F946" s="67"/>
      <c r="G946" s="66"/>
      <c r="H946" s="53" t="e">
        <f>VLOOKUP(E946,DIP计划!E:J,6,0)</f>
        <v>#N/A</v>
      </c>
      <c r="I946" s="64">
        <f t="shared" si="28"/>
        <v>0</v>
      </c>
      <c r="J946" s="68" t="e">
        <f>VLOOKUP(D946,DIP计划!D:G,4,0)</f>
        <v>#N/A</v>
      </c>
      <c r="K946" s="5" t="e">
        <f t="shared" si="29"/>
        <v>#N/A</v>
      </c>
      <c r="L946" s="69"/>
    </row>
    <row r="947" spans="1:12" x14ac:dyDescent="0.3">
      <c r="A947" s="64"/>
      <c r="B947" s="65" t="e">
        <f>VLOOKUP(C947,[7]完成订单!$D:$D,1,0)</f>
        <v>#N/A</v>
      </c>
      <c r="C947" s="66"/>
      <c r="D947" s="66"/>
      <c r="E947" s="66"/>
      <c r="F947" s="67"/>
      <c r="G947" s="66"/>
      <c r="H947" s="53" t="e">
        <f>VLOOKUP(E947,DIP计划!E:J,6,0)</f>
        <v>#N/A</v>
      </c>
      <c r="I947" s="64">
        <f t="shared" si="28"/>
        <v>0</v>
      </c>
      <c r="J947" s="68" t="e">
        <f>VLOOKUP(D947,DIP计划!D:G,4,0)</f>
        <v>#N/A</v>
      </c>
      <c r="K947" s="5" t="e">
        <f t="shared" si="29"/>
        <v>#N/A</v>
      </c>
      <c r="L947" s="69"/>
    </row>
    <row r="948" spans="1:12" x14ac:dyDescent="0.3">
      <c r="A948" s="64"/>
      <c r="B948" s="65" t="e">
        <f>VLOOKUP(C948,[7]完成订单!$D:$D,1,0)</f>
        <v>#N/A</v>
      </c>
      <c r="C948" s="66"/>
      <c r="D948" s="66"/>
      <c r="E948" s="66"/>
      <c r="F948" s="67"/>
      <c r="G948" s="66"/>
      <c r="H948" s="53" t="e">
        <f>VLOOKUP(E948,DIP计划!E:J,6,0)</f>
        <v>#N/A</v>
      </c>
      <c r="I948" s="64">
        <f t="shared" si="28"/>
        <v>0</v>
      </c>
      <c r="J948" s="68" t="e">
        <f>VLOOKUP(D948,DIP计划!D:G,4,0)</f>
        <v>#N/A</v>
      </c>
      <c r="K948" s="5" t="e">
        <f t="shared" si="29"/>
        <v>#N/A</v>
      </c>
      <c r="L948" s="69"/>
    </row>
    <row r="949" spans="1:12" x14ac:dyDescent="0.3">
      <c r="A949" s="64"/>
      <c r="B949" s="65" t="e">
        <f>VLOOKUP(C949,[7]完成订单!$D:$D,1,0)</f>
        <v>#N/A</v>
      </c>
      <c r="C949" s="66"/>
      <c r="D949" s="66"/>
      <c r="E949" s="66"/>
      <c r="F949" s="67"/>
      <c r="G949" s="66"/>
      <c r="H949" s="53" t="e">
        <f>VLOOKUP(E949,DIP计划!E:J,6,0)</f>
        <v>#N/A</v>
      </c>
      <c r="I949" s="64">
        <f t="shared" si="28"/>
        <v>0</v>
      </c>
      <c r="J949" s="68" t="e">
        <f>VLOOKUP(D949,DIP计划!D:G,4,0)</f>
        <v>#N/A</v>
      </c>
      <c r="K949" s="5" t="e">
        <f t="shared" si="29"/>
        <v>#N/A</v>
      </c>
      <c r="L949" s="69"/>
    </row>
    <row r="950" spans="1:12" x14ac:dyDescent="0.3">
      <c r="A950" s="64"/>
      <c r="B950" s="65" t="e">
        <f>VLOOKUP(C950,[7]完成订单!$D:$D,1,0)</f>
        <v>#N/A</v>
      </c>
      <c r="C950" s="66"/>
      <c r="D950" s="66"/>
      <c r="E950" s="66"/>
      <c r="F950" s="67"/>
      <c r="G950" s="66"/>
      <c r="H950" s="53" t="e">
        <f>VLOOKUP(E950,DIP计划!E:J,6,0)</f>
        <v>#N/A</v>
      </c>
      <c r="I950" s="64">
        <f t="shared" si="28"/>
        <v>0</v>
      </c>
      <c r="J950" s="68" t="e">
        <f>VLOOKUP(D950,DIP计划!D:G,4,0)</f>
        <v>#N/A</v>
      </c>
      <c r="K950" s="5" t="e">
        <f t="shared" si="29"/>
        <v>#N/A</v>
      </c>
      <c r="L950" s="69"/>
    </row>
    <row r="951" spans="1:12" x14ac:dyDescent="0.3">
      <c r="A951" s="64"/>
      <c r="B951" s="65" t="e">
        <f>VLOOKUP(C951,[7]完成订单!$D:$D,1,0)</f>
        <v>#N/A</v>
      </c>
      <c r="C951" s="66"/>
      <c r="D951" s="66"/>
      <c r="E951" s="66"/>
      <c r="F951" s="67"/>
      <c r="G951" s="66"/>
      <c r="H951" s="53" t="e">
        <f>VLOOKUP(E951,DIP计划!E:J,6,0)</f>
        <v>#N/A</v>
      </c>
      <c r="I951" s="64">
        <f t="shared" si="28"/>
        <v>0</v>
      </c>
      <c r="J951" s="68" t="e">
        <f>VLOOKUP(D951,DIP计划!D:G,4,0)</f>
        <v>#N/A</v>
      </c>
      <c r="K951" s="5" t="e">
        <f t="shared" si="29"/>
        <v>#N/A</v>
      </c>
      <c r="L951" s="69"/>
    </row>
    <row r="952" spans="1:12" x14ac:dyDescent="0.3">
      <c r="A952" s="64"/>
      <c r="B952" s="65" t="e">
        <f>VLOOKUP(C952,[7]完成订单!$D:$D,1,0)</f>
        <v>#N/A</v>
      </c>
      <c r="C952" s="66"/>
      <c r="D952" s="66"/>
      <c r="E952" s="66"/>
      <c r="F952" s="67"/>
      <c r="G952" s="66"/>
      <c r="H952" s="53" t="e">
        <f>VLOOKUP(E952,DIP计划!E:J,6,0)</f>
        <v>#N/A</v>
      </c>
      <c r="I952" s="64">
        <f t="shared" si="28"/>
        <v>0</v>
      </c>
      <c r="J952" s="68" t="e">
        <f>VLOOKUP(D952,DIP计划!D:G,4,0)</f>
        <v>#N/A</v>
      </c>
      <c r="K952" s="5" t="e">
        <f t="shared" si="29"/>
        <v>#N/A</v>
      </c>
      <c r="L952" s="69"/>
    </row>
    <row r="953" spans="1:12" x14ac:dyDescent="0.3">
      <c r="A953" s="64"/>
      <c r="B953" s="65" t="e">
        <f>VLOOKUP(C953,[7]完成订单!$D:$D,1,0)</f>
        <v>#N/A</v>
      </c>
      <c r="C953" s="66"/>
      <c r="D953" s="66"/>
      <c r="E953" s="66"/>
      <c r="F953" s="67"/>
      <c r="G953" s="66"/>
      <c r="H953" s="53" t="e">
        <f>VLOOKUP(E953,DIP计划!E:J,6,0)</f>
        <v>#N/A</v>
      </c>
      <c r="I953" s="64">
        <f t="shared" si="28"/>
        <v>0</v>
      </c>
      <c r="J953" s="68" t="e">
        <f>VLOOKUP(D953,DIP计划!D:G,4,0)</f>
        <v>#N/A</v>
      </c>
      <c r="K953" s="5" t="e">
        <f t="shared" si="29"/>
        <v>#N/A</v>
      </c>
      <c r="L953" s="69"/>
    </row>
    <row r="954" spans="1:12" x14ac:dyDescent="0.3">
      <c r="A954" s="64"/>
      <c r="B954" s="65" t="e">
        <f>VLOOKUP(C954,[7]完成订单!$D:$D,1,0)</f>
        <v>#N/A</v>
      </c>
      <c r="C954" s="66"/>
      <c r="D954" s="66"/>
      <c r="E954" s="66"/>
      <c r="F954" s="67"/>
      <c r="G954" s="66"/>
      <c r="H954" s="53" t="e">
        <f>VLOOKUP(E954,DIP计划!E:J,6,0)</f>
        <v>#N/A</v>
      </c>
      <c r="I954" s="64">
        <f t="shared" si="28"/>
        <v>0</v>
      </c>
      <c r="J954" s="68" t="e">
        <f>VLOOKUP(D954,DIP计划!D:G,4,0)</f>
        <v>#N/A</v>
      </c>
      <c r="K954" s="5" t="e">
        <f t="shared" si="29"/>
        <v>#N/A</v>
      </c>
      <c r="L954" s="69"/>
    </row>
    <row r="955" spans="1:12" x14ac:dyDescent="0.3">
      <c r="A955" s="64"/>
      <c r="B955" s="65" t="e">
        <f>VLOOKUP(C955,[7]完成订单!$D:$D,1,0)</f>
        <v>#N/A</v>
      </c>
      <c r="C955" s="66"/>
      <c r="D955" s="66"/>
      <c r="E955" s="66"/>
      <c r="F955" s="67"/>
      <c r="G955" s="66"/>
      <c r="H955" s="53" t="e">
        <f>VLOOKUP(E955,DIP计划!E:J,6,0)</f>
        <v>#N/A</v>
      </c>
      <c r="I955" s="64">
        <f t="shared" si="28"/>
        <v>0</v>
      </c>
      <c r="J955" s="68" t="e">
        <f>VLOOKUP(D955,DIP计划!D:G,4,0)</f>
        <v>#N/A</v>
      </c>
      <c r="K955" s="5" t="e">
        <f t="shared" si="29"/>
        <v>#N/A</v>
      </c>
      <c r="L955" s="69"/>
    </row>
    <row r="956" spans="1:12" x14ac:dyDescent="0.3">
      <c r="A956" s="64"/>
      <c r="B956" s="65" t="e">
        <f>VLOOKUP(C956,[7]完成订单!$D:$D,1,0)</f>
        <v>#N/A</v>
      </c>
      <c r="C956" s="66"/>
      <c r="D956" s="66"/>
      <c r="E956" s="66"/>
      <c r="F956" s="67"/>
      <c r="G956" s="66"/>
      <c r="H956" s="53" t="e">
        <f>VLOOKUP(E956,DIP计划!E:J,6,0)</f>
        <v>#N/A</v>
      </c>
      <c r="I956" s="64">
        <f t="shared" si="28"/>
        <v>0</v>
      </c>
      <c r="J956" s="68" t="e">
        <f>VLOOKUP(D956,DIP计划!D:G,4,0)</f>
        <v>#N/A</v>
      </c>
      <c r="K956" s="5" t="e">
        <f t="shared" si="29"/>
        <v>#N/A</v>
      </c>
      <c r="L956" s="69"/>
    </row>
    <row r="957" spans="1:12" x14ac:dyDescent="0.3">
      <c r="A957" s="64"/>
      <c r="B957" s="65" t="e">
        <f>VLOOKUP(C957,[7]完成订单!$D:$D,1,0)</f>
        <v>#N/A</v>
      </c>
      <c r="C957" s="66"/>
      <c r="D957" s="66"/>
      <c r="E957" s="66"/>
      <c r="F957" s="67"/>
      <c r="G957" s="66"/>
      <c r="H957" s="53" t="e">
        <f>VLOOKUP(E957,DIP计划!E:J,6,0)</f>
        <v>#N/A</v>
      </c>
      <c r="I957" s="64">
        <f t="shared" si="28"/>
        <v>0</v>
      </c>
      <c r="J957" s="68" t="e">
        <f>VLOOKUP(D957,DIP计划!D:G,4,0)</f>
        <v>#N/A</v>
      </c>
      <c r="K957" s="5" t="e">
        <f t="shared" si="29"/>
        <v>#N/A</v>
      </c>
      <c r="L957" s="69"/>
    </row>
    <row r="958" spans="1:12" x14ac:dyDescent="0.3">
      <c r="A958" s="64"/>
      <c r="B958" s="65" t="e">
        <f>VLOOKUP(C958,[7]完成订单!$D:$D,1,0)</f>
        <v>#N/A</v>
      </c>
      <c r="C958" s="66"/>
      <c r="D958" s="66"/>
      <c r="E958" s="66"/>
      <c r="F958" s="67"/>
      <c r="G958" s="66"/>
      <c r="H958" s="53" t="e">
        <f>VLOOKUP(E958,DIP计划!E:J,6,0)</f>
        <v>#N/A</v>
      </c>
      <c r="I958" s="64">
        <f t="shared" si="28"/>
        <v>0</v>
      </c>
      <c r="J958" s="68" t="e">
        <f>VLOOKUP(D958,DIP计划!D:G,4,0)</f>
        <v>#N/A</v>
      </c>
      <c r="K958" s="5" t="e">
        <f t="shared" si="29"/>
        <v>#N/A</v>
      </c>
      <c r="L958" s="69"/>
    </row>
    <row r="959" spans="1:12" x14ac:dyDescent="0.3">
      <c r="A959" s="64"/>
      <c r="B959" s="65" t="e">
        <f>VLOOKUP(C959,[7]完成订单!$D:$D,1,0)</f>
        <v>#N/A</v>
      </c>
      <c r="C959" s="66"/>
      <c r="D959" s="66"/>
      <c r="E959" s="66"/>
      <c r="F959" s="67"/>
      <c r="G959" s="66"/>
      <c r="H959" s="53" t="e">
        <f>VLOOKUP(E959,DIP计划!E:J,6,0)</f>
        <v>#N/A</v>
      </c>
      <c r="I959" s="64">
        <f t="shared" si="28"/>
        <v>0</v>
      </c>
      <c r="J959" s="68" t="e">
        <f>VLOOKUP(D959,DIP计划!D:G,4,0)</f>
        <v>#N/A</v>
      </c>
      <c r="K959" s="5" t="e">
        <f t="shared" si="29"/>
        <v>#N/A</v>
      </c>
      <c r="L959" s="69"/>
    </row>
    <row r="960" spans="1:12" x14ac:dyDescent="0.3">
      <c r="A960" s="64"/>
      <c r="B960" s="65" t="e">
        <f>VLOOKUP(C960,[7]完成订单!$D:$D,1,0)</f>
        <v>#N/A</v>
      </c>
      <c r="C960" s="66"/>
      <c r="D960" s="66"/>
      <c r="E960" s="66"/>
      <c r="F960" s="67"/>
      <c r="G960" s="66"/>
      <c r="H960" s="53" t="e">
        <f>VLOOKUP(E960,DIP计划!E:J,6,0)</f>
        <v>#N/A</v>
      </c>
      <c r="I960" s="64">
        <f t="shared" si="28"/>
        <v>0</v>
      </c>
      <c r="J960" s="68" t="e">
        <f>VLOOKUP(D960,DIP计划!D:G,4,0)</f>
        <v>#N/A</v>
      </c>
      <c r="K960" s="5" t="e">
        <f t="shared" si="29"/>
        <v>#N/A</v>
      </c>
      <c r="L960" s="69"/>
    </row>
    <row r="961" spans="1:12" x14ac:dyDescent="0.3">
      <c r="A961" s="64"/>
      <c r="B961" s="65" t="e">
        <f>VLOOKUP(C961,[7]完成订单!$D:$D,1,0)</f>
        <v>#N/A</v>
      </c>
      <c r="C961" s="66"/>
      <c r="D961" s="66"/>
      <c r="E961" s="66"/>
      <c r="F961" s="67"/>
      <c r="G961" s="66"/>
      <c r="H961" s="53" t="e">
        <f>VLOOKUP(E961,DIP计划!E:J,6,0)</f>
        <v>#N/A</v>
      </c>
      <c r="I961" s="64">
        <f t="shared" si="28"/>
        <v>0</v>
      </c>
      <c r="J961" s="68" t="e">
        <f>VLOOKUP(D961,DIP计划!D:G,4,0)</f>
        <v>#N/A</v>
      </c>
      <c r="K961" s="5" t="e">
        <f t="shared" si="29"/>
        <v>#N/A</v>
      </c>
      <c r="L961" s="69"/>
    </row>
    <row r="962" spans="1:12" x14ac:dyDescent="0.3">
      <c r="A962" s="64"/>
      <c r="B962" s="65" t="e">
        <f>VLOOKUP(C962,[7]完成订单!$D:$D,1,0)</f>
        <v>#N/A</v>
      </c>
      <c r="C962" s="66"/>
      <c r="D962" s="66"/>
      <c r="E962" s="66"/>
      <c r="F962" s="67"/>
      <c r="G962" s="66"/>
      <c r="H962" s="53" t="e">
        <f>VLOOKUP(E962,DIP计划!E:J,6,0)</f>
        <v>#N/A</v>
      </c>
      <c r="I962" s="64">
        <f t="shared" si="28"/>
        <v>0</v>
      </c>
      <c r="J962" s="68" t="e">
        <f>VLOOKUP(D962,DIP计划!D:G,4,0)</f>
        <v>#N/A</v>
      </c>
      <c r="K962" s="5" t="e">
        <f t="shared" si="29"/>
        <v>#N/A</v>
      </c>
      <c r="L962" s="69"/>
    </row>
    <row r="963" spans="1:12" x14ac:dyDescent="0.3">
      <c r="A963" s="64"/>
      <c r="B963" s="65" t="e">
        <f>VLOOKUP(C963,[7]完成订单!$D:$D,1,0)</f>
        <v>#N/A</v>
      </c>
      <c r="C963" s="66"/>
      <c r="D963" s="66"/>
      <c r="E963" s="66"/>
      <c r="F963" s="67"/>
      <c r="G963" s="66"/>
      <c r="H963" s="53" t="e">
        <f>VLOOKUP(E963,DIP计划!E:J,6,0)</f>
        <v>#N/A</v>
      </c>
      <c r="I963" s="64">
        <f t="shared" si="28"/>
        <v>0</v>
      </c>
      <c r="J963" s="68" t="e">
        <f>VLOOKUP(D963,DIP计划!D:G,4,0)</f>
        <v>#N/A</v>
      </c>
      <c r="K963" s="5" t="e">
        <f t="shared" si="29"/>
        <v>#N/A</v>
      </c>
      <c r="L963" s="69"/>
    </row>
    <row r="964" spans="1:12" x14ac:dyDescent="0.3">
      <c r="A964" s="64"/>
      <c r="B964" s="65" t="e">
        <f>VLOOKUP(C964,[7]完成订单!$D:$D,1,0)</f>
        <v>#N/A</v>
      </c>
      <c r="C964" s="66"/>
      <c r="D964" s="66"/>
      <c r="E964" s="66"/>
      <c r="F964" s="67"/>
      <c r="G964" s="66"/>
      <c r="H964" s="53" t="e">
        <f>VLOOKUP(E964,DIP计划!E:J,6,0)</f>
        <v>#N/A</v>
      </c>
      <c r="I964" s="64">
        <f t="shared" si="28"/>
        <v>0</v>
      </c>
      <c r="J964" s="68" t="e">
        <f>VLOOKUP(D964,DIP计划!D:G,4,0)</f>
        <v>#N/A</v>
      </c>
      <c r="K964" s="5" t="e">
        <f t="shared" si="29"/>
        <v>#N/A</v>
      </c>
      <c r="L964" s="69"/>
    </row>
    <row r="965" spans="1:12" x14ac:dyDescent="0.3">
      <c r="A965" s="64"/>
      <c r="B965" s="65" t="e">
        <f>VLOOKUP(C965,[7]完成订单!$D:$D,1,0)</f>
        <v>#N/A</v>
      </c>
      <c r="C965" s="66"/>
      <c r="D965" s="66"/>
      <c r="E965" s="66"/>
      <c r="F965" s="67"/>
      <c r="G965" s="66"/>
      <c r="H965" s="53" t="e">
        <f>VLOOKUP(E965,DIP计划!E:J,6,0)</f>
        <v>#N/A</v>
      </c>
      <c r="I965" s="64">
        <f t="shared" si="28"/>
        <v>0</v>
      </c>
      <c r="J965" s="68" t="e">
        <f>VLOOKUP(D965,DIP计划!D:G,4,0)</f>
        <v>#N/A</v>
      </c>
      <c r="K965" s="5" t="e">
        <f t="shared" si="29"/>
        <v>#N/A</v>
      </c>
      <c r="L965" s="69"/>
    </row>
    <row r="966" spans="1:12" x14ac:dyDescent="0.3">
      <c r="A966" s="64"/>
      <c r="B966" s="65" t="e">
        <f>VLOOKUP(C966,[7]完成订单!$D:$D,1,0)</f>
        <v>#N/A</v>
      </c>
      <c r="C966" s="66"/>
      <c r="D966" s="66"/>
      <c r="E966" s="66"/>
      <c r="F966" s="67"/>
      <c r="G966" s="66"/>
      <c r="H966" s="53" t="e">
        <f>VLOOKUP(E966,DIP计划!E:J,6,0)</f>
        <v>#N/A</v>
      </c>
      <c r="I966" s="64">
        <f t="shared" si="28"/>
        <v>0</v>
      </c>
      <c r="J966" s="68" t="e">
        <f>VLOOKUP(D966,DIP计划!D:G,4,0)</f>
        <v>#N/A</v>
      </c>
      <c r="K966" s="5" t="e">
        <f t="shared" si="29"/>
        <v>#N/A</v>
      </c>
      <c r="L966" s="69"/>
    </row>
    <row r="967" spans="1:12" x14ac:dyDescent="0.3">
      <c r="A967" s="64"/>
      <c r="B967" s="65" t="e">
        <f>VLOOKUP(C967,[7]完成订单!$D:$D,1,0)</f>
        <v>#N/A</v>
      </c>
      <c r="C967" s="66"/>
      <c r="D967" s="66"/>
      <c r="E967" s="66"/>
      <c r="F967" s="67"/>
      <c r="G967" s="66"/>
      <c r="H967" s="53" t="e">
        <f>VLOOKUP(E967,DIP计划!E:J,6,0)</f>
        <v>#N/A</v>
      </c>
      <c r="I967" s="64">
        <f t="shared" si="28"/>
        <v>0</v>
      </c>
      <c r="J967" s="68" t="e">
        <f>VLOOKUP(D967,DIP计划!D:G,4,0)</f>
        <v>#N/A</v>
      </c>
      <c r="K967" s="5" t="e">
        <f t="shared" si="29"/>
        <v>#N/A</v>
      </c>
      <c r="L967" s="69"/>
    </row>
    <row r="968" spans="1:12" x14ac:dyDescent="0.3">
      <c r="A968" s="64"/>
      <c r="B968" s="65" t="e">
        <f>VLOOKUP(C968,[7]完成订单!$D:$D,1,0)</f>
        <v>#N/A</v>
      </c>
      <c r="C968" s="66"/>
      <c r="D968" s="66"/>
      <c r="E968" s="66"/>
      <c r="F968" s="67"/>
      <c r="G968" s="66"/>
      <c r="H968" s="53" t="e">
        <f>VLOOKUP(E968,DIP计划!E:J,6,0)</f>
        <v>#N/A</v>
      </c>
      <c r="I968" s="64">
        <f t="shared" si="28"/>
        <v>0</v>
      </c>
      <c r="J968" s="68" t="e">
        <f>VLOOKUP(D968,DIP计划!D:G,4,0)</f>
        <v>#N/A</v>
      </c>
      <c r="K968" s="5" t="e">
        <f t="shared" si="29"/>
        <v>#N/A</v>
      </c>
      <c r="L968" s="69"/>
    </row>
    <row r="969" spans="1:12" x14ac:dyDescent="0.3">
      <c r="A969" s="64"/>
      <c r="B969" s="65" t="e">
        <f>VLOOKUP(C969,[7]完成订单!$D:$D,1,0)</f>
        <v>#N/A</v>
      </c>
      <c r="C969" s="66"/>
      <c r="D969" s="66"/>
      <c r="E969" s="66"/>
      <c r="F969" s="67"/>
      <c r="G969" s="66"/>
      <c r="H969" s="53" t="e">
        <f>VLOOKUP(E969,DIP计划!E:J,6,0)</f>
        <v>#N/A</v>
      </c>
      <c r="I969" s="64">
        <f t="shared" si="28"/>
        <v>0</v>
      </c>
      <c r="J969" s="68" t="e">
        <f>VLOOKUP(D969,DIP计划!D:G,4,0)</f>
        <v>#N/A</v>
      </c>
      <c r="K969" s="5" t="e">
        <f t="shared" si="29"/>
        <v>#N/A</v>
      </c>
      <c r="L969" s="69"/>
    </row>
    <row r="970" spans="1:12" x14ac:dyDescent="0.3">
      <c r="A970" s="64"/>
      <c r="B970" s="65" t="e">
        <f>VLOOKUP(C970,[7]完成订单!$D:$D,1,0)</f>
        <v>#N/A</v>
      </c>
      <c r="C970" s="66"/>
      <c r="D970" s="66"/>
      <c r="E970" s="66"/>
      <c r="F970" s="67"/>
      <c r="G970" s="66"/>
      <c r="H970" s="53" t="e">
        <f>VLOOKUP(E970,DIP计划!E:J,6,0)</f>
        <v>#N/A</v>
      </c>
      <c r="I970" s="64">
        <f t="shared" si="28"/>
        <v>0</v>
      </c>
      <c r="J970" s="68" t="e">
        <f>VLOOKUP(D970,DIP计划!D:G,4,0)</f>
        <v>#N/A</v>
      </c>
      <c r="K970" s="5" t="e">
        <f t="shared" si="29"/>
        <v>#N/A</v>
      </c>
      <c r="L970" s="69"/>
    </row>
    <row r="971" spans="1:12" x14ac:dyDescent="0.3">
      <c r="A971" s="64"/>
      <c r="B971" s="65" t="e">
        <f>VLOOKUP(C971,[7]完成订单!$D:$D,1,0)</f>
        <v>#N/A</v>
      </c>
      <c r="C971" s="66"/>
      <c r="D971" s="66"/>
      <c r="E971" s="66"/>
      <c r="F971" s="67"/>
      <c r="G971" s="66"/>
      <c r="H971" s="53" t="e">
        <f>VLOOKUP(E971,DIP计划!E:J,6,0)</f>
        <v>#N/A</v>
      </c>
      <c r="I971" s="64">
        <f t="shared" si="28"/>
        <v>0</v>
      </c>
      <c r="J971" s="68" t="e">
        <f>VLOOKUP(D971,DIP计划!D:G,4,0)</f>
        <v>#N/A</v>
      </c>
      <c r="K971" s="5" t="e">
        <f t="shared" si="29"/>
        <v>#N/A</v>
      </c>
      <c r="L971" s="69"/>
    </row>
    <row r="972" spans="1:12" x14ac:dyDescent="0.3">
      <c r="A972" s="64"/>
      <c r="B972" s="65" t="e">
        <f>VLOOKUP(C972,[7]完成订单!$D:$D,1,0)</f>
        <v>#N/A</v>
      </c>
      <c r="C972" s="66"/>
      <c r="D972" s="66"/>
      <c r="E972" s="66"/>
      <c r="F972" s="67"/>
      <c r="G972" s="66"/>
      <c r="H972" s="53" t="e">
        <f>VLOOKUP(E972,DIP计划!E:J,6,0)</f>
        <v>#N/A</v>
      </c>
      <c r="I972" s="64">
        <f t="shared" si="28"/>
        <v>0</v>
      </c>
      <c r="J972" s="68" t="e">
        <f>VLOOKUP(D972,DIP计划!D:G,4,0)</f>
        <v>#N/A</v>
      </c>
      <c r="K972" s="5" t="e">
        <f t="shared" si="29"/>
        <v>#N/A</v>
      </c>
      <c r="L972" s="69"/>
    </row>
    <row r="973" spans="1:12" x14ac:dyDescent="0.3">
      <c r="A973" s="64"/>
      <c r="B973" s="65" t="e">
        <f>VLOOKUP(C973,[7]完成订单!$D:$D,1,0)</f>
        <v>#N/A</v>
      </c>
      <c r="C973" s="66"/>
      <c r="D973" s="66"/>
      <c r="E973" s="66"/>
      <c r="F973" s="67"/>
      <c r="G973" s="66"/>
      <c r="H973" s="53" t="e">
        <f>VLOOKUP(E973,DIP计划!E:J,6,0)</f>
        <v>#N/A</v>
      </c>
      <c r="I973" s="64">
        <f t="shared" si="28"/>
        <v>0</v>
      </c>
      <c r="J973" s="68" t="e">
        <f>VLOOKUP(D973,DIP计划!D:G,4,0)</f>
        <v>#N/A</v>
      </c>
      <c r="K973" s="5" t="e">
        <f t="shared" si="29"/>
        <v>#N/A</v>
      </c>
      <c r="L973" s="69"/>
    </row>
    <row r="974" spans="1:12" x14ac:dyDescent="0.3">
      <c r="A974" s="64"/>
      <c r="B974" s="65" t="e">
        <f>VLOOKUP(C974,[7]完成订单!$D:$D,1,0)</f>
        <v>#N/A</v>
      </c>
      <c r="C974" s="66"/>
      <c r="D974" s="66"/>
      <c r="E974" s="66"/>
      <c r="F974" s="67"/>
      <c r="G974" s="66"/>
      <c r="H974" s="53" t="e">
        <f>VLOOKUP(E974,DIP计划!E:J,6,0)</f>
        <v>#N/A</v>
      </c>
      <c r="I974" s="64">
        <f t="shared" si="28"/>
        <v>0</v>
      </c>
      <c r="J974" s="68" t="e">
        <f>VLOOKUP(D974,DIP计划!D:G,4,0)</f>
        <v>#N/A</v>
      </c>
      <c r="K974" s="5" t="e">
        <f t="shared" si="29"/>
        <v>#N/A</v>
      </c>
      <c r="L974" s="69"/>
    </row>
    <row r="975" spans="1:12" x14ac:dyDescent="0.3">
      <c r="A975" s="64"/>
      <c r="B975" s="65" t="e">
        <f>VLOOKUP(C975,[7]完成订单!$D:$D,1,0)</f>
        <v>#N/A</v>
      </c>
      <c r="C975" s="66"/>
      <c r="D975" s="66"/>
      <c r="E975" s="66"/>
      <c r="F975" s="67"/>
      <c r="G975" s="66"/>
      <c r="H975" s="53" t="e">
        <f>VLOOKUP(E975,DIP计划!E:J,6,0)</f>
        <v>#N/A</v>
      </c>
      <c r="I975" s="64">
        <f t="shared" si="28"/>
        <v>0</v>
      </c>
      <c r="J975" s="68" t="e">
        <f>VLOOKUP(D975,DIP计划!D:G,4,0)</f>
        <v>#N/A</v>
      </c>
      <c r="K975" s="5" t="e">
        <f t="shared" si="29"/>
        <v>#N/A</v>
      </c>
      <c r="L975" s="69"/>
    </row>
    <row r="976" spans="1:12" x14ac:dyDescent="0.3">
      <c r="A976" s="64"/>
      <c r="B976" s="65" t="e">
        <f>VLOOKUP(C976,[7]完成订单!$D:$D,1,0)</f>
        <v>#N/A</v>
      </c>
      <c r="C976" s="66"/>
      <c r="D976" s="66"/>
      <c r="E976" s="66"/>
      <c r="F976" s="67"/>
      <c r="G976" s="66"/>
      <c r="H976" s="53" t="e">
        <f>VLOOKUP(E976,DIP计划!E:J,6,0)</f>
        <v>#N/A</v>
      </c>
      <c r="I976" s="64">
        <f t="shared" si="28"/>
        <v>0</v>
      </c>
      <c r="J976" s="68" t="e">
        <f>VLOOKUP(D976,DIP计划!D:G,4,0)</f>
        <v>#N/A</v>
      </c>
      <c r="K976" s="5" t="e">
        <f t="shared" si="29"/>
        <v>#N/A</v>
      </c>
      <c r="L976" s="69"/>
    </row>
    <row r="977" spans="1:12" x14ac:dyDescent="0.3">
      <c r="A977" s="64"/>
      <c r="B977" s="65" t="e">
        <f>VLOOKUP(C977,[7]完成订单!$D:$D,1,0)</f>
        <v>#N/A</v>
      </c>
      <c r="C977" s="66"/>
      <c r="D977" s="66"/>
      <c r="E977" s="66"/>
      <c r="F977" s="67"/>
      <c r="G977" s="66"/>
      <c r="H977" s="53" t="e">
        <f>VLOOKUP(E977,DIP计划!E:J,6,0)</f>
        <v>#N/A</v>
      </c>
      <c r="I977" s="64">
        <f t="shared" si="28"/>
        <v>0</v>
      </c>
      <c r="J977" s="68" t="e">
        <f>VLOOKUP(D977,DIP计划!D:G,4,0)</f>
        <v>#N/A</v>
      </c>
      <c r="K977" s="5" t="e">
        <f t="shared" si="29"/>
        <v>#N/A</v>
      </c>
      <c r="L977" s="69"/>
    </row>
    <row r="978" spans="1:12" x14ac:dyDescent="0.3">
      <c r="A978" s="64"/>
      <c r="B978" s="65" t="e">
        <f>VLOOKUP(C978,[7]完成订单!$D:$D,1,0)</f>
        <v>#N/A</v>
      </c>
      <c r="C978" s="66"/>
      <c r="D978" s="66"/>
      <c r="E978" s="66"/>
      <c r="F978" s="67"/>
      <c r="G978" s="66"/>
      <c r="H978" s="53" t="e">
        <f>VLOOKUP(E978,DIP计划!E:J,6,0)</f>
        <v>#N/A</v>
      </c>
      <c r="I978" s="64">
        <f t="shared" si="28"/>
        <v>0</v>
      </c>
      <c r="J978" s="68" t="e">
        <f>VLOOKUP(D978,DIP计划!D:G,4,0)</f>
        <v>#N/A</v>
      </c>
      <c r="K978" s="5" t="e">
        <f t="shared" si="29"/>
        <v>#N/A</v>
      </c>
      <c r="L978" s="69"/>
    </row>
    <row r="979" spans="1:12" x14ac:dyDescent="0.3">
      <c r="A979" s="64"/>
      <c r="B979" s="65" t="e">
        <f>VLOOKUP(C979,[7]完成订单!$D:$D,1,0)</f>
        <v>#N/A</v>
      </c>
      <c r="C979" s="66"/>
      <c r="D979" s="66"/>
      <c r="E979" s="66"/>
      <c r="F979" s="67"/>
      <c r="G979" s="66"/>
      <c r="H979" s="53" t="e">
        <f>VLOOKUP(E979,DIP计划!E:J,6,0)</f>
        <v>#N/A</v>
      </c>
      <c r="I979" s="64">
        <f t="shared" si="28"/>
        <v>0</v>
      </c>
      <c r="J979" s="68" t="e">
        <f>VLOOKUP(D979,DIP计划!D:G,4,0)</f>
        <v>#N/A</v>
      </c>
      <c r="K979" s="5" t="e">
        <f t="shared" si="29"/>
        <v>#N/A</v>
      </c>
      <c r="L979" s="69"/>
    </row>
    <row r="980" spans="1:12" x14ac:dyDescent="0.3">
      <c r="A980" s="64"/>
      <c r="B980" s="65" t="e">
        <f>VLOOKUP(C980,[7]完成订单!$D:$D,1,0)</f>
        <v>#N/A</v>
      </c>
      <c r="C980" s="66"/>
      <c r="D980" s="66"/>
      <c r="E980" s="66"/>
      <c r="F980" s="67"/>
      <c r="G980" s="66"/>
      <c r="H980" s="53" t="e">
        <f>VLOOKUP(E980,DIP计划!E:J,6,0)</f>
        <v>#N/A</v>
      </c>
      <c r="I980" s="64">
        <f t="shared" si="28"/>
        <v>0</v>
      </c>
      <c r="J980" s="68" t="e">
        <f>VLOOKUP(D980,DIP计划!D:G,4,0)</f>
        <v>#N/A</v>
      </c>
      <c r="K980" s="5" t="e">
        <f t="shared" si="29"/>
        <v>#N/A</v>
      </c>
      <c r="L980" s="69"/>
    </row>
    <row r="981" spans="1:12" x14ac:dyDescent="0.3">
      <c r="A981" s="64"/>
      <c r="B981" s="65" t="e">
        <f>VLOOKUP(C981,[7]完成订单!$D:$D,1,0)</f>
        <v>#N/A</v>
      </c>
      <c r="C981" s="66"/>
      <c r="D981" s="66"/>
      <c r="E981" s="66"/>
      <c r="F981" s="67"/>
      <c r="G981" s="66"/>
      <c r="H981" s="53" t="e">
        <f>VLOOKUP(E981,DIP计划!E:J,6,0)</f>
        <v>#N/A</v>
      </c>
      <c r="I981" s="64">
        <f t="shared" si="28"/>
        <v>0</v>
      </c>
      <c r="J981" s="68" t="e">
        <f>VLOOKUP(D981,DIP计划!D:G,4,0)</f>
        <v>#N/A</v>
      </c>
      <c r="K981" s="5" t="e">
        <f t="shared" si="29"/>
        <v>#N/A</v>
      </c>
      <c r="L981" s="69"/>
    </row>
    <row r="982" spans="1:12" x14ac:dyDescent="0.3">
      <c r="A982" s="64"/>
      <c r="B982" s="65" t="e">
        <f>VLOOKUP(C982,[7]完成订单!$D:$D,1,0)</f>
        <v>#N/A</v>
      </c>
      <c r="C982" s="66"/>
      <c r="D982" s="66"/>
      <c r="E982" s="66"/>
      <c r="F982" s="67"/>
      <c r="G982" s="66"/>
      <c r="H982" s="53" t="e">
        <f>VLOOKUP(E982,DIP计划!E:J,6,0)</f>
        <v>#N/A</v>
      </c>
      <c r="I982" s="64">
        <f t="shared" si="28"/>
        <v>0</v>
      </c>
      <c r="J982" s="68" t="e">
        <f>VLOOKUP(D982,DIP计划!D:G,4,0)</f>
        <v>#N/A</v>
      </c>
      <c r="K982" s="5" t="e">
        <f t="shared" si="29"/>
        <v>#N/A</v>
      </c>
      <c r="L982" s="69"/>
    </row>
    <row r="983" spans="1:12" x14ac:dyDescent="0.3">
      <c r="A983" s="64"/>
      <c r="B983" s="65" t="e">
        <f>VLOOKUP(C983,[7]完成订单!$D:$D,1,0)</f>
        <v>#N/A</v>
      </c>
      <c r="C983" s="66"/>
      <c r="D983" s="66"/>
      <c r="E983" s="66"/>
      <c r="F983" s="67"/>
      <c r="G983" s="66"/>
      <c r="H983" s="53" t="e">
        <f>VLOOKUP(E983,DIP计划!E:J,6,0)</f>
        <v>#N/A</v>
      </c>
      <c r="I983" s="64">
        <f t="shared" si="28"/>
        <v>0</v>
      </c>
      <c r="J983" s="68" t="e">
        <f>VLOOKUP(D983,DIP计划!D:G,4,0)</f>
        <v>#N/A</v>
      </c>
      <c r="K983" s="5" t="e">
        <f t="shared" si="29"/>
        <v>#N/A</v>
      </c>
      <c r="L983" s="69"/>
    </row>
    <row r="984" spans="1:12" x14ac:dyDescent="0.3">
      <c r="A984" s="64"/>
      <c r="B984" s="65" t="e">
        <f>VLOOKUP(C984,[7]完成订单!$D:$D,1,0)</f>
        <v>#N/A</v>
      </c>
      <c r="C984" s="66"/>
      <c r="D984" s="66"/>
      <c r="E984" s="66"/>
      <c r="F984" s="67"/>
      <c r="G984" s="66"/>
      <c r="H984" s="53" t="e">
        <f>VLOOKUP(E984,DIP计划!E:J,6,0)</f>
        <v>#N/A</v>
      </c>
      <c r="I984" s="64">
        <f t="shared" si="28"/>
        <v>0</v>
      </c>
      <c r="J984" s="68" t="e">
        <f>VLOOKUP(D984,DIP计划!D:G,4,0)</f>
        <v>#N/A</v>
      </c>
      <c r="K984" s="5" t="e">
        <f t="shared" si="29"/>
        <v>#N/A</v>
      </c>
      <c r="L984" s="69"/>
    </row>
    <row r="985" spans="1:12" x14ac:dyDescent="0.3">
      <c r="A985" s="64"/>
      <c r="B985" s="65" t="e">
        <f>VLOOKUP(C985,[7]完成订单!$D:$D,1,0)</f>
        <v>#N/A</v>
      </c>
      <c r="C985" s="66"/>
      <c r="D985" s="66"/>
      <c r="E985" s="66"/>
      <c r="F985" s="67"/>
      <c r="G985" s="66"/>
      <c r="H985" s="53" t="e">
        <f>VLOOKUP(E985,DIP计划!E:J,6,0)</f>
        <v>#N/A</v>
      </c>
      <c r="I985" s="64">
        <f t="shared" si="28"/>
        <v>0</v>
      </c>
      <c r="J985" s="68" t="e">
        <f>VLOOKUP(D985,DIP计划!D:G,4,0)</f>
        <v>#N/A</v>
      </c>
      <c r="K985" s="5" t="e">
        <f t="shared" si="29"/>
        <v>#N/A</v>
      </c>
      <c r="L985" s="69"/>
    </row>
    <row r="986" spans="1:12" x14ac:dyDescent="0.3">
      <c r="A986" s="64"/>
      <c r="B986" s="65" t="e">
        <f>VLOOKUP(C986,[7]完成订单!$D:$D,1,0)</f>
        <v>#N/A</v>
      </c>
      <c r="C986" s="66"/>
      <c r="D986" s="66"/>
      <c r="E986" s="66"/>
      <c r="F986" s="67"/>
      <c r="G986" s="66"/>
      <c r="H986" s="53" t="e">
        <f>VLOOKUP(E986,DIP计划!E:J,6,0)</f>
        <v>#N/A</v>
      </c>
      <c r="I986" s="64">
        <f t="shared" ref="I986:I1049" si="30">A986</f>
        <v>0</v>
      </c>
      <c r="J986" s="68" t="e">
        <f>VLOOKUP(D986,DIP计划!D:G,4,0)</f>
        <v>#N/A</v>
      </c>
      <c r="K986" s="5" t="e">
        <f t="shared" ref="K986:K1049" si="31">+J986-G986</f>
        <v>#N/A</v>
      </c>
      <c r="L986" s="69"/>
    </row>
    <row r="987" spans="1:12" x14ac:dyDescent="0.3">
      <c r="A987" s="64"/>
      <c r="B987" s="65" t="e">
        <f>VLOOKUP(C987,[7]完成订单!$D:$D,1,0)</f>
        <v>#N/A</v>
      </c>
      <c r="C987" s="66"/>
      <c r="D987" s="66"/>
      <c r="E987" s="66"/>
      <c r="F987" s="67"/>
      <c r="G987" s="66"/>
      <c r="H987" s="53" t="e">
        <f>VLOOKUP(E987,DIP计划!E:J,6,0)</f>
        <v>#N/A</v>
      </c>
      <c r="I987" s="64">
        <f t="shared" si="30"/>
        <v>0</v>
      </c>
      <c r="J987" s="68" t="e">
        <f>VLOOKUP(D987,DIP计划!D:G,4,0)</f>
        <v>#N/A</v>
      </c>
      <c r="K987" s="5" t="e">
        <f t="shared" si="31"/>
        <v>#N/A</v>
      </c>
      <c r="L987" s="69"/>
    </row>
    <row r="988" spans="1:12" x14ac:dyDescent="0.3">
      <c r="A988" s="64"/>
      <c r="B988" s="65" t="e">
        <f>VLOOKUP(C988,[7]完成订单!$D:$D,1,0)</f>
        <v>#N/A</v>
      </c>
      <c r="C988" s="66"/>
      <c r="D988" s="66"/>
      <c r="E988" s="66"/>
      <c r="F988" s="67"/>
      <c r="G988" s="66"/>
      <c r="H988" s="53" t="e">
        <f>VLOOKUP(E988,DIP计划!E:J,6,0)</f>
        <v>#N/A</v>
      </c>
      <c r="I988" s="64">
        <f t="shared" si="30"/>
        <v>0</v>
      </c>
      <c r="J988" s="68" t="e">
        <f>VLOOKUP(D988,DIP计划!D:G,4,0)</f>
        <v>#N/A</v>
      </c>
      <c r="K988" s="5" t="e">
        <f t="shared" si="31"/>
        <v>#N/A</v>
      </c>
      <c r="L988" s="69"/>
    </row>
    <row r="989" spans="1:12" x14ac:dyDescent="0.3">
      <c r="A989" s="64"/>
      <c r="B989" s="65" t="e">
        <f>VLOOKUP(C989,[7]完成订单!$D:$D,1,0)</f>
        <v>#N/A</v>
      </c>
      <c r="C989" s="66"/>
      <c r="D989" s="66"/>
      <c r="E989" s="66"/>
      <c r="F989" s="67"/>
      <c r="G989" s="66"/>
      <c r="H989" s="53" t="e">
        <f>VLOOKUP(E989,DIP计划!E:J,6,0)</f>
        <v>#N/A</v>
      </c>
      <c r="I989" s="64">
        <f t="shared" si="30"/>
        <v>0</v>
      </c>
      <c r="J989" s="68" t="e">
        <f>VLOOKUP(D989,DIP计划!D:G,4,0)</f>
        <v>#N/A</v>
      </c>
      <c r="K989" s="5" t="e">
        <f t="shared" si="31"/>
        <v>#N/A</v>
      </c>
      <c r="L989" s="69"/>
    </row>
    <row r="990" spans="1:12" x14ac:dyDescent="0.3">
      <c r="A990" s="64"/>
      <c r="B990" s="65" t="e">
        <f>VLOOKUP(C990,[7]完成订单!$D:$D,1,0)</f>
        <v>#N/A</v>
      </c>
      <c r="C990" s="66"/>
      <c r="D990" s="66"/>
      <c r="E990" s="66"/>
      <c r="F990" s="67"/>
      <c r="G990" s="66"/>
      <c r="H990" s="53" t="e">
        <f>VLOOKUP(E990,DIP计划!E:J,6,0)</f>
        <v>#N/A</v>
      </c>
      <c r="I990" s="64">
        <f t="shared" si="30"/>
        <v>0</v>
      </c>
      <c r="J990" s="68" t="e">
        <f>VLOOKUP(D990,DIP计划!D:G,4,0)</f>
        <v>#N/A</v>
      </c>
      <c r="K990" s="5" t="e">
        <f t="shared" si="31"/>
        <v>#N/A</v>
      </c>
      <c r="L990" s="69"/>
    </row>
    <row r="991" spans="1:12" x14ac:dyDescent="0.3">
      <c r="A991" s="64"/>
      <c r="B991" s="65" t="e">
        <f>VLOOKUP(C991,[7]完成订单!$D:$D,1,0)</f>
        <v>#N/A</v>
      </c>
      <c r="C991" s="66"/>
      <c r="D991" s="66"/>
      <c r="E991" s="66"/>
      <c r="F991" s="67"/>
      <c r="G991" s="66"/>
      <c r="H991" s="53" t="e">
        <f>VLOOKUP(E991,DIP计划!E:J,6,0)</f>
        <v>#N/A</v>
      </c>
      <c r="I991" s="64">
        <f t="shared" si="30"/>
        <v>0</v>
      </c>
      <c r="J991" s="68" t="e">
        <f>VLOOKUP(D991,DIP计划!D:G,4,0)</f>
        <v>#N/A</v>
      </c>
      <c r="K991" s="5" t="e">
        <f t="shared" si="31"/>
        <v>#N/A</v>
      </c>
      <c r="L991" s="69"/>
    </row>
    <row r="992" spans="1:12" x14ac:dyDescent="0.3">
      <c r="A992" s="64"/>
      <c r="B992" s="65" t="e">
        <f>VLOOKUP(C992,[7]完成订单!$D:$D,1,0)</f>
        <v>#N/A</v>
      </c>
      <c r="C992" s="66"/>
      <c r="D992" s="66"/>
      <c r="E992" s="66"/>
      <c r="F992" s="67"/>
      <c r="G992" s="66"/>
      <c r="H992" s="53" t="e">
        <f>VLOOKUP(E992,DIP计划!E:J,6,0)</f>
        <v>#N/A</v>
      </c>
      <c r="I992" s="64">
        <f t="shared" si="30"/>
        <v>0</v>
      </c>
      <c r="J992" s="68" t="e">
        <f>VLOOKUP(D992,DIP计划!D:G,4,0)</f>
        <v>#N/A</v>
      </c>
      <c r="K992" s="5" t="e">
        <f t="shared" si="31"/>
        <v>#N/A</v>
      </c>
      <c r="L992" s="69"/>
    </row>
    <row r="993" spans="1:12" x14ac:dyDescent="0.3">
      <c r="A993" s="64"/>
      <c r="B993" s="65" t="e">
        <f>VLOOKUP(C993,[7]完成订单!$D:$D,1,0)</f>
        <v>#N/A</v>
      </c>
      <c r="C993" s="66"/>
      <c r="D993" s="66"/>
      <c r="E993" s="66"/>
      <c r="F993" s="67"/>
      <c r="G993" s="66"/>
      <c r="H993" s="53" t="e">
        <f>VLOOKUP(E993,DIP计划!E:J,6,0)</f>
        <v>#N/A</v>
      </c>
      <c r="I993" s="64">
        <f t="shared" si="30"/>
        <v>0</v>
      </c>
      <c r="J993" s="68" t="e">
        <f>VLOOKUP(D993,DIP计划!D:G,4,0)</f>
        <v>#N/A</v>
      </c>
      <c r="K993" s="5" t="e">
        <f t="shared" si="31"/>
        <v>#N/A</v>
      </c>
      <c r="L993" s="69"/>
    </row>
    <row r="994" spans="1:12" x14ac:dyDescent="0.3">
      <c r="A994" s="64"/>
      <c r="B994" s="65" t="e">
        <f>VLOOKUP(C994,[7]完成订单!$D:$D,1,0)</f>
        <v>#N/A</v>
      </c>
      <c r="C994" s="66"/>
      <c r="D994" s="66"/>
      <c r="E994" s="66"/>
      <c r="F994" s="67"/>
      <c r="G994" s="66"/>
      <c r="H994" s="53" t="e">
        <f>VLOOKUP(E994,DIP计划!E:J,6,0)</f>
        <v>#N/A</v>
      </c>
      <c r="I994" s="64">
        <f t="shared" si="30"/>
        <v>0</v>
      </c>
      <c r="J994" s="68" t="e">
        <f>VLOOKUP(D994,DIP计划!D:G,4,0)</f>
        <v>#N/A</v>
      </c>
      <c r="K994" s="5" t="e">
        <f t="shared" si="31"/>
        <v>#N/A</v>
      </c>
      <c r="L994" s="69"/>
    </row>
    <row r="995" spans="1:12" x14ac:dyDescent="0.3">
      <c r="A995" s="64"/>
      <c r="B995" s="65" t="e">
        <f>VLOOKUP(C995,[7]完成订单!$D:$D,1,0)</f>
        <v>#N/A</v>
      </c>
      <c r="C995" s="66"/>
      <c r="D995" s="66"/>
      <c r="E995" s="66"/>
      <c r="F995" s="67"/>
      <c r="G995" s="66"/>
      <c r="H995" s="53" t="e">
        <f>VLOOKUP(E995,DIP计划!E:J,6,0)</f>
        <v>#N/A</v>
      </c>
      <c r="I995" s="64">
        <f t="shared" si="30"/>
        <v>0</v>
      </c>
      <c r="J995" s="68" t="e">
        <f>VLOOKUP(D995,DIP计划!D:G,4,0)</f>
        <v>#N/A</v>
      </c>
      <c r="K995" s="5" t="e">
        <f t="shared" si="31"/>
        <v>#N/A</v>
      </c>
      <c r="L995" s="69"/>
    </row>
    <row r="996" spans="1:12" x14ac:dyDescent="0.3">
      <c r="A996" s="64"/>
      <c r="B996" s="65" t="e">
        <f>VLOOKUP(C996,[7]完成订单!$D:$D,1,0)</f>
        <v>#N/A</v>
      </c>
      <c r="C996" s="66"/>
      <c r="D996" s="66"/>
      <c r="E996" s="66"/>
      <c r="F996" s="67"/>
      <c r="G996" s="66"/>
      <c r="H996" s="53" t="e">
        <f>VLOOKUP(E996,DIP计划!E:J,6,0)</f>
        <v>#N/A</v>
      </c>
      <c r="I996" s="64">
        <f t="shared" si="30"/>
        <v>0</v>
      </c>
      <c r="J996" s="68" t="e">
        <f>VLOOKUP(D996,DIP计划!D:G,4,0)</f>
        <v>#N/A</v>
      </c>
      <c r="K996" s="5" t="e">
        <f t="shared" si="31"/>
        <v>#N/A</v>
      </c>
      <c r="L996" s="69"/>
    </row>
    <row r="997" spans="1:12" x14ac:dyDescent="0.3">
      <c r="A997" s="64"/>
      <c r="B997" s="65" t="e">
        <f>VLOOKUP(C997,[7]完成订单!$D:$D,1,0)</f>
        <v>#N/A</v>
      </c>
      <c r="C997" s="66"/>
      <c r="D997" s="66"/>
      <c r="E997" s="66"/>
      <c r="F997" s="67"/>
      <c r="G997" s="66"/>
      <c r="H997" s="53" t="e">
        <f>VLOOKUP(E997,DIP计划!E:J,6,0)</f>
        <v>#N/A</v>
      </c>
      <c r="I997" s="64">
        <f t="shared" si="30"/>
        <v>0</v>
      </c>
      <c r="J997" s="68" t="e">
        <f>VLOOKUP(D997,DIP计划!D:G,4,0)</f>
        <v>#N/A</v>
      </c>
      <c r="K997" s="5" t="e">
        <f t="shared" si="31"/>
        <v>#N/A</v>
      </c>
      <c r="L997" s="69"/>
    </row>
    <row r="998" spans="1:12" x14ac:dyDescent="0.3">
      <c r="A998" s="64"/>
      <c r="B998" s="65" t="e">
        <f>VLOOKUP(C998,[7]完成订单!$D:$D,1,0)</f>
        <v>#N/A</v>
      </c>
      <c r="C998" s="66"/>
      <c r="D998" s="66"/>
      <c r="E998" s="66"/>
      <c r="F998" s="67"/>
      <c r="G998" s="66"/>
      <c r="H998" s="53" t="e">
        <f>VLOOKUP(E998,DIP计划!E:J,6,0)</f>
        <v>#N/A</v>
      </c>
      <c r="I998" s="64">
        <f t="shared" si="30"/>
        <v>0</v>
      </c>
      <c r="J998" s="68" t="e">
        <f>VLOOKUP(D998,DIP计划!D:G,4,0)</f>
        <v>#N/A</v>
      </c>
      <c r="K998" s="5" t="e">
        <f t="shared" si="31"/>
        <v>#N/A</v>
      </c>
      <c r="L998" s="69"/>
    </row>
    <row r="999" spans="1:12" x14ac:dyDescent="0.3">
      <c r="A999" s="64"/>
      <c r="B999" s="65" t="e">
        <f>VLOOKUP(C999,[7]完成订单!$D:$D,1,0)</f>
        <v>#N/A</v>
      </c>
      <c r="C999" s="66"/>
      <c r="D999" s="66"/>
      <c r="E999" s="66"/>
      <c r="F999" s="67"/>
      <c r="G999" s="66"/>
      <c r="H999" s="53" t="e">
        <f>VLOOKUP(E999,DIP计划!E:J,6,0)</f>
        <v>#N/A</v>
      </c>
      <c r="I999" s="64">
        <f t="shared" si="30"/>
        <v>0</v>
      </c>
      <c r="J999" s="68" t="e">
        <f>VLOOKUP(D999,DIP计划!D:G,4,0)</f>
        <v>#N/A</v>
      </c>
      <c r="K999" s="5" t="e">
        <f t="shared" si="31"/>
        <v>#N/A</v>
      </c>
      <c r="L999" s="69"/>
    </row>
    <row r="1000" spans="1:12" x14ac:dyDescent="0.3">
      <c r="A1000" s="64"/>
      <c r="B1000" s="65" t="e">
        <f>VLOOKUP(C1000,[7]完成订单!$D:$D,1,0)</f>
        <v>#N/A</v>
      </c>
      <c r="C1000" s="66"/>
      <c r="D1000" s="66"/>
      <c r="E1000" s="66"/>
      <c r="F1000" s="67"/>
      <c r="G1000" s="66"/>
      <c r="H1000" s="53" t="e">
        <f>VLOOKUP(E1000,DIP计划!E:J,6,0)</f>
        <v>#N/A</v>
      </c>
      <c r="I1000" s="64">
        <f t="shared" si="30"/>
        <v>0</v>
      </c>
      <c r="J1000" s="68" t="e">
        <f>VLOOKUP(D1000,DIP计划!D:G,4,0)</f>
        <v>#N/A</v>
      </c>
      <c r="K1000" s="5" t="e">
        <f t="shared" si="31"/>
        <v>#N/A</v>
      </c>
      <c r="L1000" s="69"/>
    </row>
    <row r="1001" spans="1:12" x14ac:dyDescent="0.3">
      <c r="A1001" s="64"/>
      <c r="B1001" s="65" t="e">
        <f>VLOOKUP(C1001,[7]完成订单!$D:$D,1,0)</f>
        <v>#N/A</v>
      </c>
      <c r="C1001" s="66"/>
      <c r="D1001" s="66"/>
      <c r="E1001" s="66"/>
      <c r="F1001" s="67"/>
      <c r="G1001" s="66"/>
      <c r="H1001" s="53" t="e">
        <f>VLOOKUP(E1001,DIP计划!E:J,6,0)</f>
        <v>#N/A</v>
      </c>
      <c r="I1001" s="64">
        <f t="shared" si="30"/>
        <v>0</v>
      </c>
      <c r="J1001" s="68" t="e">
        <f>VLOOKUP(D1001,DIP计划!D:G,4,0)</f>
        <v>#N/A</v>
      </c>
      <c r="K1001" s="5" t="e">
        <f t="shared" si="31"/>
        <v>#N/A</v>
      </c>
      <c r="L1001" s="69"/>
    </row>
    <row r="1002" spans="1:12" x14ac:dyDescent="0.3">
      <c r="A1002" s="64"/>
      <c r="B1002" s="65" t="e">
        <f>VLOOKUP(C1002,[7]完成订单!$D:$D,1,0)</f>
        <v>#N/A</v>
      </c>
      <c r="C1002" s="66"/>
      <c r="D1002" s="66"/>
      <c r="E1002" s="66"/>
      <c r="F1002" s="67"/>
      <c r="G1002" s="66"/>
      <c r="H1002" s="53" t="e">
        <f>VLOOKUP(E1002,DIP计划!E:J,6,0)</f>
        <v>#N/A</v>
      </c>
      <c r="I1002" s="64">
        <f t="shared" si="30"/>
        <v>0</v>
      </c>
      <c r="J1002" s="68" t="e">
        <f>VLOOKUP(D1002,DIP计划!D:G,4,0)</f>
        <v>#N/A</v>
      </c>
      <c r="K1002" s="5" t="e">
        <f t="shared" si="31"/>
        <v>#N/A</v>
      </c>
      <c r="L1002" s="69"/>
    </row>
    <row r="1003" spans="1:12" x14ac:dyDescent="0.3">
      <c r="A1003" s="64"/>
      <c r="B1003" s="65" t="e">
        <f>VLOOKUP(C1003,[7]完成订单!$D:$D,1,0)</f>
        <v>#N/A</v>
      </c>
      <c r="C1003" s="66"/>
      <c r="D1003" s="66"/>
      <c r="E1003" s="66"/>
      <c r="F1003" s="67"/>
      <c r="G1003" s="66"/>
      <c r="H1003" s="53" t="e">
        <f>VLOOKUP(E1003,DIP计划!E:J,6,0)</f>
        <v>#N/A</v>
      </c>
      <c r="I1003" s="64">
        <f t="shared" si="30"/>
        <v>0</v>
      </c>
      <c r="J1003" s="68" t="e">
        <f>VLOOKUP(D1003,DIP计划!D:G,4,0)</f>
        <v>#N/A</v>
      </c>
      <c r="K1003" s="5" t="e">
        <f t="shared" si="31"/>
        <v>#N/A</v>
      </c>
      <c r="L1003" s="69"/>
    </row>
    <row r="1004" spans="1:12" x14ac:dyDescent="0.3">
      <c r="A1004" s="64"/>
      <c r="B1004" s="65" t="e">
        <f>VLOOKUP(C1004,[7]完成订单!$D:$D,1,0)</f>
        <v>#N/A</v>
      </c>
      <c r="C1004" s="66"/>
      <c r="D1004" s="66"/>
      <c r="E1004" s="66"/>
      <c r="F1004" s="67"/>
      <c r="G1004" s="66"/>
      <c r="H1004" s="53" t="e">
        <f>VLOOKUP(E1004,DIP计划!E:J,6,0)</f>
        <v>#N/A</v>
      </c>
      <c r="I1004" s="64">
        <f t="shared" si="30"/>
        <v>0</v>
      </c>
      <c r="J1004" s="68" t="e">
        <f>VLOOKUP(D1004,DIP计划!D:G,4,0)</f>
        <v>#N/A</v>
      </c>
      <c r="K1004" s="5" t="e">
        <f t="shared" si="31"/>
        <v>#N/A</v>
      </c>
      <c r="L1004" s="69"/>
    </row>
    <row r="1005" spans="1:12" x14ac:dyDescent="0.3">
      <c r="A1005" s="64"/>
      <c r="B1005" s="65" t="e">
        <f>VLOOKUP(C1005,[7]完成订单!$D:$D,1,0)</f>
        <v>#N/A</v>
      </c>
      <c r="C1005" s="66"/>
      <c r="D1005" s="66"/>
      <c r="E1005" s="66"/>
      <c r="F1005" s="67"/>
      <c r="G1005" s="66"/>
      <c r="H1005" s="53" t="e">
        <f>VLOOKUP(E1005,DIP计划!E:J,6,0)</f>
        <v>#N/A</v>
      </c>
      <c r="I1005" s="64">
        <f t="shared" si="30"/>
        <v>0</v>
      </c>
      <c r="J1005" s="68" t="e">
        <f>VLOOKUP(D1005,DIP计划!D:G,4,0)</f>
        <v>#N/A</v>
      </c>
      <c r="K1005" s="5" t="e">
        <f t="shared" si="31"/>
        <v>#N/A</v>
      </c>
      <c r="L1005" s="69"/>
    </row>
    <row r="1006" spans="1:12" x14ac:dyDescent="0.3">
      <c r="A1006" s="64"/>
      <c r="B1006" s="65" t="e">
        <f>VLOOKUP(C1006,[7]完成订单!$D:$D,1,0)</f>
        <v>#N/A</v>
      </c>
      <c r="C1006" s="66"/>
      <c r="D1006" s="66"/>
      <c r="E1006" s="66"/>
      <c r="F1006" s="67"/>
      <c r="G1006" s="66"/>
      <c r="H1006" s="53" t="e">
        <f>VLOOKUP(E1006,DIP计划!E:J,6,0)</f>
        <v>#N/A</v>
      </c>
      <c r="I1006" s="64">
        <f t="shared" si="30"/>
        <v>0</v>
      </c>
      <c r="J1006" s="68" t="e">
        <f>VLOOKUP(D1006,DIP计划!D:G,4,0)</f>
        <v>#N/A</v>
      </c>
      <c r="K1006" s="5" t="e">
        <f t="shared" si="31"/>
        <v>#N/A</v>
      </c>
      <c r="L1006" s="69"/>
    </row>
    <row r="1007" spans="1:12" x14ac:dyDescent="0.3">
      <c r="A1007" s="64"/>
      <c r="B1007" s="65" t="e">
        <f>VLOOKUP(C1007,[7]完成订单!$D:$D,1,0)</f>
        <v>#N/A</v>
      </c>
      <c r="C1007" s="66"/>
      <c r="D1007" s="66"/>
      <c r="E1007" s="66"/>
      <c r="F1007" s="67"/>
      <c r="G1007" s="66"/>
      <c r="H1007" s="53" t="e">
        <f>VLOOKUP(E1007,DIP计划!E:J,6,0)</f>
        <v>#N/A</v>
      </c>
      <c r="I1007" s="64">
        <f t="shared" si="30"/>
        <v>0</v>
      </c>
      <c r="J1007" s="68" t="e">
        <f>VLOOKUP(D1007,DIP计划!D:G,4,0)</f>
        <v>#N/A</v>
      </c>
      <c r="K1007" s="5" t="e">
        <f t="shared" si="31"/>
        <v>#N/A</v>
      </c>
      <c r="L1007" s="69"/>
    </row>
    <row r="1008" spans="1:12" x14ac:dyDescent="0.3">
      <c r="A1008" s="64"/>
      <c r="B1008" s="65" t="e">
        <f>VLOOKUP(C1008,[7]完成订单!$D:$D,1,0)</f>
        <v>#N/A</v>
      </c>
      <c r="C1008" s="66"/>
      <c r="D1008" s="66"/>
      <c r="E1008" s="66"/>
      <c r="F1008" s="67"/>
      <c r="G1008" s="66"/>
      <c r="H1008" s="53" t="e">
        <f>VLOOKUP(E1008,DIP计划!E:J,6,0)</f>
        <v>#N/A</v>
      </c>
      <c r="I1008" s="64">
        <f t="shared" si="30"/>
        <v>0</v>
      </c>
      <c r="J1008" s="68" t="e">
        <f>VLOOKUP(D1008,DIP计划!D:G,4,0)</f>
        <v>#N/A</v>
      </c>
      <c r="K1008" s="5" t="e">
        <f t="shared" si="31"/>
        <v>#N/A</v>
      </c>
      <c r="L1008" s="69"/>
    </row>
    <row r="1009" spans="1:12" x14ac:dyDescent="0.3">
      <c r="A1009" s="64"/>
      <c r="B1009" s="65" t="e">
        <f>VLOOKUP(C1009,[7]完成订单!$D:$D,1,0)</f>
        <v>#N/A</v>
      </c>
      <c r="C1009" s="66"/>
      <c r="D1009" s="66"/>
      <c r="E1009" s="66"/>
      <c r="F1009" s="67"/>
      <c r="G1009" s="66"/>
      <c r="H1009" s="53" t="e">
        <f>VLOOKUP(E1009,DIP计划!E:J,6,0)</f>
        <v>#N/A</v>
      </c>
      <c r="I1009" s="64">
        <f t="shared" si="30"/>
        <v>0</v>
      </c>
      <c r="J1009" s="68" t="e">
        <f>VLOOKUP(D1009,DIP计划!D:G,4,0)</f>
        <v>#N/A</v>
      </c>
      <c r="K1009" s="5" t="e">
        <f t="shared" si="31"/>
        <v>#N/A</v>
      </c>
      <c r="L1009" s="69"/>
    </row>
    <row r="1010" spans="1:12" x14ac:dyDescent="0.3">
      <c r="A1010" s="64"/>
      <c r="B1010" s="65" t="e">
        <f>VLOOKUP(C1010,[7]完成订单!$D:$D,1,0)</f>
        <v>#N/A</v>
      </c>
      <c r="C1010" s="66"/>
      <c r="D1010" s="66"/>
      <c r="E1010" s="66"/>
      <c r="F1010" s="67"/>
      <c r="G1010" s="66"/>
      <c r="H1010" s="53" t="e">
        <f>VLOOKUP(E1010,DIP计划!E:J,6,0)</f>
        <v>#N/A</v>
      </c>
      <c r="I1010" s="64">
        <f t="shared" si="30"/>
        <v>0</v>
      </c>
      <c r="J1010" s="68" t="e">
        <f>VLOOKUP(D1010,DIP计划!D:G,4,0)</f>
        <v>#N/A</v>
      </c>
      <c r="K1010" s="5" t="e">
        <f t="shared" si="31"/>
        <v>#N/A</v>
      </c>
      <c r="L1010" s="69"/>
    </row>
    <row r="1011" spans="1:12" x14ac:dyDescent="0.3">
      <c r="A1011" s="64"/>
      <c r="B1011" s="65" t="e">
        <f>VLOOKUP(C1011,[7]完成订单!$D:$D,1,0)</f>
        <v>#N/A</v>
      </c>
      <c r="C1011" s="66"/>
      <c r="D1011" s="66"/>
      <c r="E1011" s="66"/>
      <c r="F1011" s="67"/>
      <c r="G1011" s="66"/>
      <c r="H1011" s="53" t="e">
        <f>VLOOKUP(E1011,DIP计划!E:J,6,0)</f>
        <v>#N/A</v>
      </c>
      <c r="I1011" s="64">
        <f t="shared" si="30"/>
        <v>0</v>
      </c>
      <c r="J1011" s="68" t="e">
        <f>VLOOKUP(D1011,DIP计划!D:G,4,0)</f>
        <v>#N/A</v>
      </c>
      <c r="K1011" s="5" t="e">
        <f t="shared" si="31"/>
        <v>#N/A</v>
      </c>
      <c r="L1011" s="69"/>
    </row>
    <row r="1012" spans="1:12" x14ac:dyDescent="0.3">
      <c r="A1012" s="64"/>
      <c r="B1012" s="65" t="e">
        <f>VLOOKUP(C1012,[7]完成订单!$D:$D,1,0)</f>
        <v>#N/A</v>
      </c>
      <c r="C1012" s="66"/>
      <c r="D1012" s="66"/>
      <c r="E1012" s="66"/>
      <c r="F1012" s="67"/>
      <c r="G1012" s="66"/>
      <c r="H1012" s="53" t="e">
        <f>VLOOKUP(E1012,DIP计划!E:J,6,0)</f>
        <v>#N/A</v>
      </c>
      <c r="I1012" s="64">
        <f t="shared" si="30"/>
        <v>0</v>
      </c>
      <c r="J1012" s="68" t="e">
        <f>VLOOKUP(D1012,DIP计划!D:G,4,0)</f>
        <v>#N/A</v>
      </c>
      <c r="K1012" s="5" t="e">
        <f t="shared" si="31"/>
        <v>#N/A</v>
      </c>
      <c r="L1012" s="69"/>
    </row>
    <row r="1013" spans="1:12" x14ac:dyDescent="0.3">
      <c r="A1013" s="64"/>
      <c r="B1013" s="65" t="e">
        <f>VLOOKUP(C1013,[7]完成订单!$D:$D,1,0)</f>
        <v>#N/A</v>
      </c>
      <c r="C1013" s="66"/>
      <c r="D1013" s="66"/>
      <c r="E1013" s="66"/>
      <c r="F1013" s="67"/>
      <c r="G1013" s="66"/>
      <c r="H1013" s="53" t="e">
        <f>VLOOKUP(E1013,DIP计划!E:J,6,0)</f>
        <v>#N/A</v>
      </c>
      <c r="I1013" s="64">
        <f t="shared" si="30"/>
        <v>0</v>
      </c>
      <c r="J1013" s="68" t="e">
        <f>VLOOKUP(D1013,DIP计划!D:G,4,0)</f>
        <v>#N/A</v>
      </c>
      <c r="K1013" s="5" t="e">
        <f t="shared" si="31"/>
        <v>#N/A</v>
      </c>
      <c r="L1013" s="69"/>
    </row>
    <row r="1014" spans="1:12" x14ac:dyDescent="0.3">
      <c r="A1014" s="64"/>
      <c r="B1014" s="65" t="e">
        <f>VLOOKUP(C1014,[7]完成订单!$D:$D,1,0)</f>
        <v>#N/A</v>
      </c>
      <c r="C1014" s="66"/>
      <c r="D1014" s="66"/>
      <c r="E1014" s="66"/>
      <c r="F1014" s="67"/>
      <c r="G1014" s="66"/>
      <c r="H1014" s="53" t="e">
        <f>VLOOKUP(E1014,DIP计划!E:J,6,0)</f>
        <v>#N/A</v>
      </c>
      <c r="I1014" s="64">
        <f t="shared" si="30"/>
        <v>0</v>
      </c>
      <c r="J1014" s="68" t="e">
        <f>VLOOKUP(D1014,DIP计划!D:G,4,0)</f>
        <v>#N/A</v>
      </c>
      <c r="K1014" s="5" t="e">
        <f t="shared" si="31"/>
        <v>#N/A</v>
      </c>
      <c r="L1014" s="69"/>
    </row>
    <row r="1015" spans="1:12" x14ac:dyDescent="0.3">
      <c r="A1015" s="64"/>
      <c r="B1015" s="65" t="e">
        <f>VLOOKUP(C1015,[7]完成订单!$D:$D,1,0)</f>
        <v>#N/A</v>
      </c>
      <c r="C1015" s="66"/>
      <c r="D1015" s="66"/>
      <c r="E1015" s="66"/>
      <c r="F1015" s="67"/>
      <c r="G1015" s="66"/>
      <c r="H1015" s="53" t="e">
        <f>VLOOKUP(E1015,DIP计划!E:J,6,0)</f>
        <v>#N/A</v>
      </c>
      <c r="I1015" s="64">
        <f t="shared" si="30"/>
        <v>0</v>
      </c>
      <c r="J1015" s="68" t="e">
        <f>VLOOKUP(D1015,DIP计划!D:G,4,0)</f>
        <v>#N/A</v>
      </c>
      <c r="K1015" s="5" t="e">
        <f t="shared" si="31"/>
        <v>#N/A</v>
      </c>
      <c r="L1015" s="69"/>
    </row>
    <row r="1016" spans="1:12" x14ac:dyDescent="0.3">
      <c r="A1016" s="64"/>
      <c r="B1016" s="65" t="e">
        <f>VLOOKUP(C1016,[7]完成订单!$D:$D,1,0)</f>
        <v>#N/A</v>
      </c>
      <c r="C1016" s="66"/>
      <c r="D1016" s="66"/>
      <c r="E1016" s="66"/>
      <c r="F1016" s="67"/>
      <c r="G1016" s="66"/>
      <c r="H1016" s="53" t="e">
        <f>VLOOKUP(E1016,DIP计划!E:J,6,0)</f>
        <v>#N/A</v>
      </c>
      <c r="I1016" s="64">
        <f t="shared" si="30"/>
        <v>0</v>
      </c>
      <c r="J1016" s="68" t="e">
        <f>VLOOKUP(D1016,DIP计划!D:G,4,0)</f>
        <v>#N/A</v>
      </c>
      <c r="K1016" s="5" t="e">
        <f t="shared" si="31"/>
        <v>#N/A</v>
      </c>
      <c r="L1016" s="69"/>
    </row>
    <row r="1017" spans="1:12" x14ac:dyDescent="0.3">
      <c r="A1017" s="64"/>
      <c r="B1017" s="65" t="e">
        <f>VLOOKUP(C1017,[7]完成订单!$D:$D,1,0)</f>
        <v>#N/A</v>
      </c>
      <c r="C1017" s="66"/>
      <c r="D1017" s="66"/>
      <c r="E1017" s="66"/>
      <c r="F1017" s="67"/>
      <c r="G1017" s="66"/>
      <c r="H1017" s="53" t="e">
        <f>VLOOKUP(E1017,DIP计划!E:J,6,0)</f>
        <v>#N/A</v>
      </c>
      <c r="I1017" s="64">
        <f t="shared" si="30"/>
        <v>0</v>
      </c>
      <c r="J1017" s="68" t="e">
        <f>VLOOKUP(D1017,DIP计划!D:G,4,0)</f>
        <v>#N/A</v>
      </c>
      <c r="K1017" s="5" t="e">
        <f t="shared" si="31"/>
        <v>#N/A</v>
      </c>
      <c r="L1017" s="69"/>
    </row>
    <row r="1018" spans="1:12" x14ac:dyDescent="0.3">
      <c r="A1018" s="64"/>
      <c r="B1018" s="65" t="e">
        <f>VLOOKUP(C1018,[7]完成订单!$D:$D,1,0)</f>
        <v>#N/A</v>
      </c>
      <c r="C1018" s="66"/>
      <c r="D1018" s="66"/>
      <c r="E1018" s="66"/>
      <c r="F1018" s="67"/>
      <c r="G1018" s="66"/>
      <c r="H1018" s="53" t="e">
        <f>VLOOKUP(E1018,DIP计划!E:J,6,0)</f>
        <v>#N/A</v>
      </c>
      <c r="I1018" s="64">
        <f t="shared" si="30"/>
        <v>0</v>
      </c>
      <c r="J1018" s="68" t="e">
        <f>VLOOKUP(D1018,DIP计划!D:G,4,0)</f>
        <v>#N/A</v>
      </c>
      <c r="K1018" s="5" t="e">
        <f t="shared" si="31"/>
        <v>#N/A</v>
      </c>
      <c r="L1018" s="69"/>
    </row>
    <row r="1019" spans="1:12" x14ac:dyDescent="0.3">
      <c r="A1019" s="64"/>
      <c r="B1019" s="65" t="e">
        <f>VLOOKUP(C1019,[7]完成订单!$D:$D,1,0)</f>
        <v>#N/A</v>
      </c>
      <c r="C1019" s="66"/>
      <c r="D1019" s="66"/>
      <c r="E1019" s="66"/>
      <c r="F1019" s="67"/>
      <c r="G1019" s="66"/>
      <c r="H1019" s="53" t="e">
        <f>VLOOKUP(E1019,DIP计划!E:J,6,0)</f>
        <v>#N/A</v>
      </c>
      <c r="I1019" s="64">
        <f t="shared" si="30"/>
        <v>0</v>
      </c>
      <c r="J1019" s="68" t="e">
        <f>VLOOKUP(D1019,DIP计划!D:G,4,0)</f>
        <v>#N/A</v>
      </c>
      <c r="K1019" s="5" t="e">
        <f t="shared" si="31"/>
        <v>#N/A</v>
      </c>
      <c r="L1019" s="69"/>
    </row>
    <row r="1020" spans="1:12" x14ac:dyDescent="0.3">
      <c r="A1020" s="64"/>
      <c r="B1020" s="65" t="e">
        <f>VLOOKUP(C1020,[7]完成订单!$D:$D,1,0)</f>
        <v>#N/A</v>
      </c>
      <c r="C1020" s="66"/>
      <c r="D1020" s="66"/>
      <c r="E1020" s="66"/>
      <c r="F1020" s="67"/>
      <c r="G1020" s="66"/>
      <c r="H1020" s="53" t="e">
        <f>VLOOKUP(E1020,DIP计划!E:J,6,0)</f>
        <v>#N/A</v>
      </c>
      <c r="I1020" s="64">
        <f t="shared" si="30"/>
        <v>0</v>
      </c>
      <c r="J1020" s="68" t="e">
        <f>VLOOKUP(D1020,DIP计划!D:G,4,0)</f>
        <v>#N/A</v>
      </c>
      <c r="K1020" s="5" t="e">
        <f t="shared" si="31"/>
        <v>#N/A</v>
      </c>
      <c r="L1020" s="69"/>
    </row>
    <row r="1021" spans="1:12" x14ac:dyDescent="0.3">
      <c r="A1021" s="64"/>
      <c r="B1021" s="65" t="e">
        <f>VLOOKUP(C1021,[7]完成订单!$D:$D,1,0)</f>
        <v>#N/A</v>
      </c>
      <c r="C1021" s="66"/>
      <c r="D1021" s="66"/>
      <c r="E1021" s="66"/>
      <c r="F1021" s="67"/>
      <c r="G1021" s="66"/>
      <c r="H1021" s="53" t="e">
        <f>VLOOKUP(E1021,DIP计划!E:J,6,0)</f>
        <v>#N/A</v>
      </c>
      <c r="I1021" s="64">
        <f t="shared" si="30"/>
        <v>0</v>
      </c>
      <c r="J1021" s="68" t="e">
        <f>VLOOKUP(D1021,DIP计划!D:G,4,0)</f>
        <v>#N/A</v>
      </c>
      <c r="K1021" s="5" t="e">
        <f t="shared" si="31"/>
        <v>#N/A</v>
      </c>
      <c r="L1021" s="69"/>
    </row>
    <row r="1022" spans="1:12" x14ac:dyDescent="0.3">
      <c r="A1022" s="64"/>
      <c r="B1022" s="65" t="e">
        <f>VLOOKUP(C1022,[7]完成订单!$D:$D,1,0)</f>
        <v>#N/A</v>
      </c>
      <c r="C1022" s="66"/>
      <c r="D1022" s="66"/>
      <c r="E1022" s="66"/>
      <c r="F1022" s="67"/>
      <c r="G1022" s="66"/>
      <c r="H1022" s="53" t="e">
        <f>VLOOKUP(E1022,DIP计划!E:J,6,0)</f>
        <v>#N/A</v>
      </c>
      <c r="I1022" s="64">
        <f t="shared" si="30"/>
        <v>0</v>
      </c>
      <c r="J1022" s="68" t="e">
        <f>VLOOKUP(D1022,DIP计划!D:G,4,0)</f>
        <v>#N/A</v>
      </c>
      <c r="K1022" s="5" t="e">
        <f t="shared" si="31"/>
        <v>#N/A</v>
      </c>
      <c r="L1022" s="69"/>
    </row>
    <row r="1023" spans="1:12" x14ac:dyDescent="0.3">
      <c r="A1023" s="64"/>
      <c r="B1023" s="65" t="e">
        <f>VLOOKUP(C1023,[7]完成订单!$D:$D,1,0)</f>
        <v>#N/A</v>
      </c>
      <c r="C1023" s="66"/>
      <c r="D1023" s="66"/>
      <c r="E1023" s="66"/>
      <c r="F1023" s="67"/>
      <c r="G1023" s="66"/>
      <c r="H1023" s="53" t="e">
        <f>VLOOKUP(E1023,DIP计划!E:J,6,0)</f>
        <v>#N/A</v>
      </c>
      <c r="I1023" s="64">
        <f t="shared" si="30"/>
        <v>0</v>
      </c>
      <c r="J1023" s="68" t="e">
        <f>VLOOKUP(D1023,DIP计划!D:G,4,0)</f>
        <v>#N/A</v>
      </c>
      <c r="K1023" s="5" t="e">
        <f t="shared" si="31"/>
        <v>#N/A</v>
      </c>
      <c r="L1023" s="69"/>
    </row>
    <row r="1024" spans="1:12" x14ac:dyDescent="0.3">
      <c r="A1024" s="64"/>
      <c r="B1024" s="65" t="e">
        <f>VLOOKUP(C1024,[7]完成订单!$D:$D,1,0)</f>
        <v>#N/A</v>
      </c>
      <c r="C1024" s="66"/>
      <c r="D1024" s="66"/>
      <c r="E1024" s="66"/>
      <c r="F1024" s="67"/>
      <c r="G1024" s="66"/>
      <c r="H1024" s="53" t="e">
        <f>VLOOKUP(E1024,DIP计划!E:J,6,0)</f>
        <v>#N/A</v>
      </c>
      <c r="I1024" s="64">
        <f t="shared" si="30"/>
        <v>0</v>
      </c>
      <c r="J1024" s="68" t="e">
        <f>VLOOKUP(D1024,DIP计划!D:G,4,0)</f>
        <v>#N/A</v>
      </c>
      <c r="K1024" s="5" t="e">
        <f t="shared" si="31"/>
        <v>#N/A</v>
      </c>
      <c r="L1024" s="69"/>
    </row>
    <row r="1025" spans="1:12" x14ac:dyDescent="0.3">
      <c r="A1025" s="64"/>
      <c r="B1025" s="65" t="e">
        <f>VLOOKUP(C1025,[7]完成订单!$D:$D,1,0)</f>
        <v>#N/A</v>
      </c>
      <c r="C1025" s="66"/>
      <c r="D1025" s="66"/>
      <c r="E1025" s="66"/>
      <c r="F1025" s="67"/>
      <c r="G1025" s="66"/>
      <c r="H1025" s="53" t="e">
        <f>VLOOKUP(E1025,DIP计划!E:J,6,0)</f>
        <v>#N/A</v>
      </c>
      <c r="I1025" s="64">
        <f t="shared" si="30"/>
        <v>0</v>
      </c>
      <c r="J1025" s="68" t="e">
        <f>VLOOKUP(D1025,DIP计划!D:G,4,0)</f>
        <v>#N/A</v>
      </c>
      <c r="K1025" s="5" t="e">
        <f t="shared" si="31"/>
        <v>#N/A</v>
      </c>
      <c r="L1025" s="69"/>
    </row>
    <row r="1026" spans="1:12" x14ac:dyDescent="0.3">
      <c r="A1026" s="64"/>
      <c r="B1026" s="65" t="e">
        <f>VLOOKUP(C1026,[7]完成订单!$D:$D,1,0)</f>
        <v>#N/A</v>
      </c>
      <c r="C1026" s="66"/>
      <c r="D1026" s="66"/>
      <c r="E1026" s="66"/>
      <c r="F1026" s="67"/>
      <c r="G1026" s="66"/>
      <c r="H1026" s="53" t="e">
        <f>VLOOKUP(E1026,DIP计划!E:J,6,0)</f>
        <v>#N/A</v>
      </c>
      <c r="I1026" s="64">
        <f t="shared" si="30"/>
        <v>0</v>
      </c>
      <c r="J1026" s="68" t="e">
        <f>VLOOKUP(D1026,DIP计划!D:G,4,0)</f>
        <v>#N/A</v>
      </c>
      <c r="K1026" s="5" t="e">
        <f t="shared" si="31"/>
        <v>#N/A</v>
      </c>
      <c r="L1026" s="69"/>
    </row>
    <row r="1027" spans="1:12" x14ac:dyDescent="0.3">
      <c r="A1027" s="64"/>
      <c r="B1027" s="65" t="e">
        <f>VLOOKUP(C1027,[7]完成订单!$D:$D,1,0)</f>
        <v>#N/A</v>
      </c>
      <c r="C1027" s="66"/>
      <c r="D1027" s="66"/>
      <c r="E1027" s="66"/>
      <c r="F1027" s="67"/>
      <c r="G1027" s="66"/>
      <c r="H1027" s="53" t="e">
        <f>VLOOKUP(E1027,DIP计划!E:J,6,0)</f>
        <v>#N/A</v>
      </c>
      <c r="I1027" s="64">
        <f t="shared" si="30"/>
        <v>0</v>
      </c>
      <c r="J1027" s="68" t="e">
        <f>VLOOKUP(D1027,DIP计划!D:G,4,0)</f>
        <v>#N/A</v>
      </c>
      <c r="K1027" s="5" t="e">
        <f t="shared" si="31"/>
        <v>#N/A</v>
      </c>
      <c r="L1027" s="69"/>
    </row>
    <row r="1028" spans="1:12" x14ac:dyDescent="0.3">
      <c r="A1028" s="64"/>
      <c r="B1028" s="65" t="e">
        <f>VLOOKUP(C1028,[7]完成订单!$D:$D,1,0)</f>
        <v>#N/A</v>
      </c>
      <c r="C1028" s="66"/>
      <c r="D1028" s="66"/>
      <c r="E1028" s="66"/>
      <c r="F1028" s="67"/>
      <c r="G1028" s="66"/>
      <c r="H1028" s="53" t="e">
        <f>VLOOKUP(E1028,DIP计划!E:J,6,0)</f>
        <v>#N/A</v>
      </c>
      <c r="I1028" s="64">
        <f t="shared" si="30"/>
        <v>0</v>
      </c>
      <c r="J1028" s="68" t="e">
        <f>VLOOKUP(D1028,DIP计划!D:G,4,0)</f>
        <v>#N/A</v>
      </c>
      <c r="K1028" s="5" t="e">
        <f t="shared" si="31"/>
        <v>#N/A</v>
      </c>
      <c r="L1028" s="69"/>
    </row>
    <row r="1029" spans="1:12" x14ac:dyDescent="0.3">
      <c r="A1029" s="64"/>
      <c r="B1029" s="65" t="e">
        <f>VLOOKUP(C1029,[7]完成订单!$D:$D,1,0)</f>
        <v>#N/A</v>
      </c>
      <c r="C1029" s="66"/>
      <c r="D1029" s="66"/>
      <c r="E1029" s="66"/>
      <c r="F1029" s="67"/>
      <c r="G1029" s="66"/>
      <c r="H1029" s="53" t="e">
        <f>VLOOKUP(E1029,DIP计划!E:J,6,0)</f>
        <v>#N/A</v>
      </c>
      <c r="I1029" s="64">
        <f t="shared" si="30"/>
        <v>0</v>
      </c>
      <c r="J1029" s="68" t="e">
        <f>VLOOKUP(D1029,DIP计划!D:G,4,0)</f>
        <v>#N/A</v>
      </c>
      <c r="K1029" s="5" t="e">
        <f t="shared" si="31"/>
        <v>#N/A</v>
      </c>
      <c r="L1029" s="69"/>
    </row>
    <row r="1030" spans="1:12" x14ac:dyDescent="0.3">
      <c r="A1030" s="64"/>
      <c r="B1030" s="65" t="e">
        <f>VLOOKUP(C1030,[7]完成订单!$D:$D,1,0)</f>
        <v>#N/A</v>
      </c>
      <c r="C1030" s="66"/>
      <c r="D1030" s="66"/>
      <c r="E1030" s="66"/>
      <c r="F1030" s="67"/>
      <c r="G1030" s="66"/>
      <c r="H1030" s="53" t="e">
        <f>VLOOKUP(E1030,DIP计划!E:J,6,0)</f>
        <v>#N/A</v>
      </c>
      <c r="I1030" s="64">
        <f t="shared" si="30"/>
        <v>0</v>
      </c>
      <c r="J1030" s="68" t="e">
        <f>VLOOKUP(D1030,DIP计划!D:G,4,0)</f>
        <v>#N/A</v>
      </c>
      <c r="K1030" s="5" t="e">
        <f t="shared" si="31"/>
        <v>#N/A</v>
      </c>
      <c r="L1030" s="69"/>
    </row>
    <row r="1031" spans="1:12" x14ac:dyDescent="0.3">
      <c r="A1031" s="64"/>
      <c r="B1031" s="65" t="e">
        <f>VLOOKUP(C1031,[7]完成订单!$D:$D,1,0)</f>
        <v>#N/A</v>
      </c>
      <c r="C1031" s="66"/>
      <c r="D1031" s="66"/>
      <c r="E1031" s="66"/>
      <c r="F1031" s="67"/>
      <c r="G1031" s="66"/>
      <c r="H1031" s="53" t="e">
        <f>VLOOKUP(E1031,DIP计划!E:J,6,0)</f>
        <v>#N/A</v>
      </c>
      <c r="I1031" s="64">
        <f t="shared" si="30"/>
        <v>0</v>
      </c>
      <c r="J1031" s="68" t="e">
        <f>VLOOKUP(D1031,DIP计划!D:G,4,0)</f>
        <v>#N/A</v>
      </c>
      <c r="K1031" s="5" t="e">
        <f t="shared" si="31"/>
        <v>#N/A</v>
      </c>
      <c r="L1031" s="69"/>
    </row>
    <row r="1032" spans="1:12" x14ac:dyDescent="0.3">
      <c r="A1032" s="64"/>
      <c r="B1032" s="65" t="e">
        <f>VLOOKUP(C1032,[7]完成订单!$D:$D,1,0)</f>
        <v>#N/A</v>
      </c>
      <c r="C1032" s="66"/>
      <c r="D1032" s="66"/>
      <c r="E1032" s="66"/>
      <c r="F1032" s="67"/>
      <c r="G1032" s="66"/>
      <c r="H1032" s="53" t="e">
        <f>VLOOKUP(E1032,DIP计划!E:J,6,0)</f>
        <v>#N/A</v>
      </c>
      <c r="I1032" s="64">
        <f t="shared" si="30"/>
        <v>0</v>
      </c>
      <c r="J1032" s="68" t="e">
        <f>VLOOKUP(D1032,DIP计划!D:G,4,0)</f>
        <v>#N/A</v>
      </c>
      <c r="K1032" s="5" t="e">
        <f t="shared" si="31"/>
        <v>#N/A</v>
      </c>
      <c r="L1032" s="69"/>
    </row>
    <row r="1033" spans="1:12" x14ac:dyDescent="0.3">
      <c r="A1033" s="64"/>
      <c r="B1033" s="65" t="e">
        <f>VLOOKUP(C1033,[7]完成订单!$D:$D,1,0)</f>
        <v>#N/A</v>
      </c>
      <c r="C1033" s="66"/>
      <c r="D1033" s="66"/>
      <c r="E1033" s="66"/>
      <c r="F1033" s="67"/>
      <c r="G1033" s="66"/>
      <c r="H1033" s="53" t="e">
        <f>VLOOKUP(E1033,DIP计划!E:J,6,0)</f>
        <v>#N/A</v>
      </c>
      <c r="I1033" s="64">
        <f t="shared" si="30"/>
        <v>0</v>
      </c>
      <c r="J1033" s="68" t="e">
        <f>VLOOKUP(D1033,DIP计划!D:G,4,0)</f>
        <v>#N/A</v>
      </c>
      <c r="K1033" s="5" t="e">
        <f t="shared" si="31"/>
        <v>#N/A</v>
      </c>
      <c r="L1033" s="69"/>
    </row>
    <row r="1034" spans="1:12" x14ac:dyDescent="0.3">
      <c r="A1034" s="64"/>
      <c r="B1034" s="65" t="e">
        <f>VLOOKUP(C1034,[7]完成订单!$D:$D,1,0)</f>
        <v>#N/A</v>
      </c>
      <c r="C1034" s="66"/>
      <c r="D1034" s="66"/>
      <c r="E1034" s="66"/>
      <c r="F1034" s="67"/>
      <c r="G1034" s="66"/>
      <c r="H1034" s="53" t="e">
        <f>VLOOKUP(E1034,DIP计划!E:J,6,0)</f>
        <v>#N/A</v>
      </c>
      <c r="I1034" s="64">
        <f t="shared" si="30"/>
        <v>0</v>
      </c>
      <c r="J1034" s="68" t="e">
        <f>VLOOKUP(D1034,DIP计划!D:G,4,0)</f>
        <v>#N/A</v>
      </c>
      <c r="K1034" s="5" t="e">
        <f t="shared" si="31"/>
        <v>#N/A</v>
      </c>
      <c r="L1034" s="69"/>
    </row>
    <row r="1035" spans="1:12" x14ac:dyDescent="0.3">
      <c r="A1035" s="64"/>
      <c r="B1035" s="65" t="e">
        <f>VLOOKUP(C1035,[7]完成订单!$D:$D,1,0)</f>
        <v>#N/A</v>
      </c>
      <c r="C1035" s="66"/>
      <c r="D1035" s="66"/>
      <c r="E1035" s="66"/>
      <c r="F1035" s="67"/>
      <c r="G1035" s="66"/>
      <c r="H1035" s="53" t="e">
        <f>VLOOKUP(E1035,DIP计划!E:J,6,0)</f>
        <v>#N/A</v>
      </c>
      <c r="I1035" s="64">
        <f t="shared" si="30"/>
        <v>0</v>
      </c>
      <c r="J1035" s="68" t="e">
        <f>VLOOKUP(D1035,DIP计划!D:G,4,0)</f>
        <v>#N/A</v>
      </c>
      <c r="K1035" s="5" t="e">
        <f t="shared" si="31"/>
        <v>#N/A</v>
      </c>
      <c r="L1035" s="69"/>
    </row>
    <row r="1036" spans="1:12" x14ac:dyDescent="0.3">
      <c r="A1036" s="64"/>
      <c r="B1036" s="65" t="e">
        <f>VLOOKUP(C1036,[7]完成订单!$D:$D,1,0)</f>
        <v>#N/A</v>
      </c>
      <c r="C1036" s="66"/>
      <c r="D1036" s="66"/>
      <c r="E1036" s="66"/>
      <c r="F1036" s="67"/>
      <c r="G1036" s="66"/>
      <c r="H1036" s="53" t="e">
        <f>VLOOKUP(E1036,DIP计划!E:J,6,0)</f>
        <v>#N/A</v>
      </c>
      <c r="I1036" s="64">
        <f t="shared" si="30"/>
        <v>0</v>
      </c>
      <c r="J1036" s="68" t="e">
        <f>VLOOKUP(D1036,DIP计划!D:G,4,0)</f>
        <v>#N/A</v>
      </c>
      <c r="K1036" s="5" t="e">
        <f t="shared" si="31"/>
        <v>#N/A</v>
      </c>
      <c r="L1036" s="69"/>
    </row>
    <row r="1037" spans="1:12" x14ac:dyDescent="0.3">
      <c r="A1037" s="64"/>
      <c r="B1037" s="65" t="e">
        <f>VLOOKUP(C1037,[7]完成订单!$D:$D,1,0)</f>
        <v>#N/A</v>
      </c>
      <c r="C1037" s="66"/>
      <c r="D1037" s="66"/>
      <c r="E1037" s="66"/>
      <c r="F1037" s="67"/>
      <c r="G1037" s="66"/>
      <c r="H1037" s="53" t="e">
        <f>VLOOKUP(E1037,DIP计划!E:J,6,0)</f>
        <v>#N/A</v>
      </c>
      <c r="I1037" s="64">
        <f t="shared" si="30"/>
        <v>0</v>
      </c>
      <c r="J1037" s="68" t="e">
        <f>VLOOKUP(D1037,DIP计划!D:G,4,0)</f>
        <v>#N/A</v>
      </c>
      <c r="K1037" s="5" t="e">
        <f t="shared" si="31"/>
        <v>#N/A</v>
      </c>
      <c r="L1037" s="69"/>
    </row>
    <row r="1038" spans="1:12" x14ac:dyDescent="0.3">
      <c r="A1038" s="64"/>
      <c r="B1038" s="65" t="e">
        <f>VLOOKUP(C1038,[7]完成订单!$D:$D,1,0)</f>
        <v>#N/A</v>
      </c>
      <c r="C1038" s="66"/>
      <c r="D1038" s="66"/>
      <c r="E1038" s="66"/>
      <c r="F1038" s="67"/>
      <c r="G1038" s="66"/>
      <c r="H1038" s="53" t="e">
        <f>VLOOKUP(E1038,DIP计划!E:J,6,0)</f>
        <v>#N/A</v>
      </c>
      <c r="I1038" s="64">
        <f t="shared" si="30"/>
        <v>0</v>
      </c>
      <c r="J1038" s="68" t="e">
        <f>VLOOKUP(D1038,DIP计划!D:G,4,0)</f>
        <v>#N/A</v>
      </c>
      <c r="K1038" s="5" t="e">
        <f t="shared" si="31"/>
        <v>#N/A</v>
      </c>
      <c r="L1038" s="69"/>
    </row>
    <row r="1039" spans="1:12" x14ac:dyDescent="0.3">
      <c r="A1039" s="64"/>
      <c r="B1039" s="65" t="e">
        <f>VLOOKUP(C1039,[7]完成订单!$D:$D,1,0)</f>
        <v>#N/A</v>
      </c>
      <c r="C1039" s="66"/>
      <c r="D1039" s="66"/>
      <c r="E1039" s="66"/>
      <c r="F1039" s="67"/>
      <c r="G1039" s="66"/>
      <c r="H1039" s="53" t="e">
        <f>VLOOKUP(E1039,DIP计划!E:J,6,0)</f>
        <v>#N/A</v>
      </c>
      <c r="I1039" s="64">
        <f t="shared" si="30"/>
        <v>0</v>
      </c>
      <c r="J1039" s="68" t="e">
        <f>VLOOKUP(D1039,DIP计划!D:G,4,0)</f>
        <v>#N/A</v>
      </c>
      <c r="K1039" s="5" t="e">
        <f t="shared" si="31"/>
        <v>#N/A</v>
      </c>
      <c r="L1039" s="69"/>
    </row>
    <row r="1040" spans="1:12" x14ac:dyDescent="0.3">
      <c r="A1040" s="64"/>
      <c r="B1040" s="65" t="e">
        <f>VLOOKUP(C1040,[7]完成订单!$D:$D,1,0)</f>
        <v>#N/A</v>
      </c>
      <c r="C1040" s="66"/>
      <c r="D1040" s="66"/>
      <c r="E1040" s="66"/>
      <c r="F1040" s="67"/>
      <c r="G1040" s="66"/>
      <c r="H1040" s="53" t="e">
        <f>VLOOKUP(E1040,DIP计划!E:J,6,0)</f>
        <v>#N/A</v>
      </c>
      <c r="I1040" s="64">
        <f t="shared" si="30"/>
        <v>0</v>
      </c>
      <c r="J1040" s="68" t="e">
        <f>VLOOKUP(D1040,DIP计划!D:G,4,0)</f>
        <v>#N/A</v>
      </c>
      <c r="K1040" s="5" t="e">
        <f t="shared" si="31"/>
        <v>#N/A</v>
      </c>
      <c r="L1040" s="69"/>
    </row>
    <row r="1041" spans="1:12" x14ac:dyDescent="0.3">
      <c r="A1041" s="64"/>
      <c r="B1041" s="65" t="e">
        <f>VLOOKUP(C1041,[7]完成订单!$D:$D,1,0)</f>
        <v>#N/A</v>
      </c>
      <c r="C1041" s="66"/>
      <c r="D1041" s="66"/>
      <c r="E1041" s="66"/>
      <c r="F1041" s="67"/>
      <c r="G1041" s="66"/>
      <c r="H1041" s="53" t="e">
        <f>VLOOKUP(E1041,DIP计划!E:J,6,0)</f>
        <v>#N/A</v>
      </c>
      <c r="I1041" s="64">
        <f t="shared" si="30"/>
        <v>0</v>
      </c>
      <c r="J1041" s="68" t="e">
        <f>VLOOKUP(D1041,DIP计划!D:G,4,0)</f>
        <v>#N/A</v>
      </c>
      <c r="K1041" s="5" t="e">
        <f t="shared" si="31"/>
        <v>#N/A</v>
      </c>
      <c r="L1041" s="69"/>
    </row>
    <row r="1042" spans="1:12" x14ac:dyDescent="0.3">
      <c r="A1042" s="64"/>
      <c r="B1042" s="65" t="e">
        <f>VLOOKUP(C1042,[7]完成订单!$D:$D,1,0)</f>
        <v>#N/A</v>
      </c>
      <c r="C1042" s="66"/>
      <c r="D1042" s="66"/>
      <c r="E1042" s="66"/>
      <c r="F1042" s="67"/>
      <c r="G1042" s="66"/>
      <c r="H1042" s="53" t="e">
        <f>VLOOKUP(E1042,DIP计划!E:J,6,0)</f>
        <v>#N/A</v>
      </c>
      <c r="I1042" s="64">
        <f t="shared" si="30"/>
        <v>0</v>
      </c>
      <c r="J1042" s="68" t="e">
        <f>VLOOKUP(D1042,DIP计划!D:G,4,0)</f>
        <v>#N/A</v>
      </c>
      <c r="K1042" s="5" t="e">
        <f t="shared" si="31"/>
        <v>#N/A</v>
      </c>
      <c r="L1042" s="69"/>
    </row>
    <row r="1043" spans="1:12" x14ac:dyDescent="0.3">
      <c r="A1043" s="64"/>
      <c r="B1043" s="65" t="e">
        <f>VLOOKUP(C1043,[7]完成订单!$D:$D,1,0)</f>
        <v>#N/A</v>
      </c>
      <c r="C1043" s="66"/>
      <c r="D1043" s="66"/>
      <c r="E1043" s="66"/>
      <c r="F1043" s="67"/>
      <c r="G1043" s="66"/>
      <c r="H1043" s="53" t="e">
        <f>VLOOKUP(E1043,DIP计划!E:J,6,0)</f>
        <v>#N/A</v>
      </c>
      <c r="I1043" s="64">
        <f t="shared" si="30"/>
        <v>0</v>
      </c>
      <c r="J1043" s="68" t="e">
        <f>VLOOKUP(D1043,DIP计划!D:G,4,0)</f>
        <v>#N/A</v>
      </c>
      <c r="K1043" s="5" t="e">
        <f t="shared" si="31"/>
        <v>#N/A</v>
      </c>
      <c r="L1043" s="69"/>
    </row>
    <row r="1044" spans="1:12" x14ac:dyDescent="0.3">
      <c r="A1044" s="64"/>
      <c r="B1044" s="65" t="e">
        <f>VLOOKUP(C1044,[7]完成订单!$D:$D,1,0)</f>
        <v>#N/A</v>
      </c>
      <c r="C1044" s="66"/>
      <c r="D1044" s="66"/>
      <c r="E1044" s="66"/>
      <c r="F1044" s="67"/>
      <c r="G1044" s="66"/>
      <c r="H1044" s="53" t="e">
        <f>VLOOKUP(E1044,DIP计划!E:J,6,0)</f>
        <v>#N/A</v>
      </c>
      <c r="I1044" s="64">
        <f t="shared" si="30"/>
        <v>0</v>
      </c>
      <c r="J1044" s="68" t="e">
        <f>VLOOKUP(D1044,DIP计划!D:G,4,0)</f>
        <v>#N/A</v>
      </c>
      <c r="K1044" s="5" t="e">
        <f t="shared" si="31"/>
        <v>#N/A</v>
      </c>
      <c r="L1044" s="69"/>
    </row>
    <row r="1045" spans="1:12" x14ac:dyDescent="0.3">
      <c r="A1045" s="64"/>
      <c r="B1045" s="65" t="e">
        <f>VLOOKUP(C1045,[7]完成订单!$D:$D,1,0)</f>
        <v>#N/A</v>
      </c>
      <c r="C1045" s="66"/>
      <c r="D1045" s="66"/>
      <c r="E1045" s="66"/>
      <c r="F1045" s="67"/>
      <c r="G1045" s="66"/>
      <c r="H1045" s="53" t="e">
        <f>VLOOKUP(E1045,DIP计划!E:J,6,0)</f>
        <v>#N/A</v>
      </c>
      <c r="I1045" s="64">
        <f t="shared" si="30"/>
        <v>0</v>
      </c>
      <c r="J1045" s="68" t="e">
        <f>VLOOKUP(D1045,DIP计划!D:G,4,0)</f>
        <v>#N/A</v>
      </c>
      <c r="K1045" s="5" t="e">
        <f t="shared" si="31"/>
        <v>#N/A</v>
      </c>
      <c r="L1045" s="69"/>
    </row>
    <row r="1046" spans="1:12" x14ac:dyDescent="0.3">
      <c r="A1046" s="64"/>
      <c r="B1046" s="65" t="e">
        <f>VLOOKUP(C1046,[7]完成订单!$D:$D,1,0)</f>
        <v>#N/A</v>
      </c>
      <c r="C1046" s="66"/>
      <c r="D1046" s="66"/>
      <c r="E1046" s="66"/>
      <c r="F1046" s="67"/>
      <c r="G1046" s="66"/>
      <c r="H1046" s="53" t="e">
        <f>VLOOKUP(E1046,DIP计划!E:J,6,0)</f>
        <v>#N/A</v>
      </c>
      <c r="I1046" s="64">
        <f t="shared" si="30"/>
        <v>0</v>
      </c>
      <c r="J1046" s="68" t="e">
        <f>VLOOKUP(D1046,DIP计划!D:G,4,0)</f>
        <v>#N/A</v>
      </c>
      <c r="K1046" s="5" t="e">
        <f t="shared" si="31"/>
        <v>#N/A</v>
      </c>
      <c r="L1046" s="69"/>
    </row>
    <row r="1047" spans="1:12" x14ac:dyDescent="0.3">
      <c r="A1047" s="64"/>
      <c r="B1047" s="65" t="e">
        <f>VLOOKUP(C1047,[7]完成订单!$D:$D,1,0)</f>
        <v>#N/A</v>
      </c>
      <c r="C1047" s="66"/>
      <c r="D1047" s="66"/>
      <c r="E1047" s="66"/>
      <c r="F1047" s="67"/>
      <c r="G1047" s="66"/>
      <c r="H1047" s="53" t="e">
        <f>VLOOKUP(E1047,DIP计划!E:J,6,0)</f>
        <v>#N/A</v>
      </c>
      <c r="I1047" s="64">
        <f t="shared" si="30"/>
        <v>0</v>
      </c>
      <c r="J1047" s="68" t="e">
        <f>VLOOKUP(D1047,DIP计划!D:G,4,0)</f>
        <v>#N/A</v>
      </c>
      <c r="K1047" s="5" t="e">
        <f t="shared" si="31"/>
        <v>#N/A</v>
      </c>
      <c r="L1047" s="69"/>
    </row>
    <row r="1048" spans="1:12" x14ac:dyDescent="0.3">
      <c r="A1048" s="64"/>
      <c r="B1048" s="65" t="e">
        <f>VLOOKUP(C1048,[7]完成订单!$D:$D,1,0)</f>
        <v>#N/A</v>
      </c>
      <c r="C1048" s="66"/>
      <c r="D1048" s="66"/>
      <c r="E1048" s="66"/>
      <c r="F1048" s="67"/>
      <c r="G1048" s="66"/>
      <c r="H1048" s="53" t="e">
        <f>VLOOKUP(E1048,DIP计划!E:J,6,0)</f>
        <v>#N/A</v>
      </c>
      <c r="I1048" s="64">
        <f t="shared" si="30"/>
        <v>0</v>
      </c>
      <c r="J1048" s="68" t="e">
        <f>VLOOKUP(D1048,DIP计划!D:G,4,0)</f>
        <v>#N/A</v>
      </c>
      <c r="K1048" s="5" t="e">
        <f t="shared" si="31"/>
        <v>#N/A</v>
      </c>
      <c r="L1048" s="69"/>
    </row>
    <row r="1049" spans="1:12" x14ac:dyDescent="0.3">
      <c r="A1049" s="64"/>
      <c r="B1049" s="65" t="e">
        <f>VLOOKUP(C1049,[7]完成订单!$D:$D,1,0)</f>
        <v>#N/A</v>
      </c>
      <c r="C1049" s="66"/>
      <c r="D1049" s="66"/>
      <c r="E1049" s="66"/>
      <c r="F1049" s="67"/>
      <c r="G1049" s="66"/>
      <c r="H1049" s="53" t="e">
        <f>VLOOKUP(E1049,DIP计划!E:J,6,0)</f>
        <v>#N/A</v>
      </c>
      <c r="I1049" s="64">
        <f t="shared" si="30"/>
        <v>0</v>
      </c>
      <c r="J1049" s="68" t="e">
        <f>VLOOKUP(D1049,DIP计划!D:G,4,0)</f>
        <v>#N/A</v>
      </c>
      <c r="K1049" s="5" t="e">
        <f t="shared" si="31"/>
        <v>#N/A</v>
      </c>
      <c r="L1049" s="69"/>
    </row>
    <row r="1050" spans="1:12" x14ac:dyDescent="0.3">
      <c r="A1050" s="64"/>
      <c r="B1050" s="65" t="e">
        <f>VLOOKUP(C1050,[7]完成订单!$D:$D,1,0)</f>
        <v>#N/A</v>
      </c>
      <c r="C1050" s="66"/>
      <c r="D1050" s="66"/>
      <c r="E1050" s="66"/>
      <c r="F1050" s="67"/>
      <c r="G1050" s="66"/>
      <c r="H1050" s="53" t="e">
        <f>VLOOKUP(E1050,DIP计划!E:J,6,0)</f>
        <v>#N/A</v>
      </c>
      <c r="I1050" s="64">
        <f t="shared" ref="I1050:I1113" si="32">A1050</f>
        <v>0</v>
      </c>
      <c r="J1050" s="68" t="e">
        <f>VLOOKUP(D1050,DIP计划!D:G,4,0)</f>
        <v>#N/A</v>
      </c>
      <c r="K1050" s="5" t="e">
        <f t="shared" ref="K1050:K1113" si="33">+J1050-G1050</f>
        <v>#N/A</v>
      </c>
      <c r="L1050" s="69"/>
    </row>
    <row r="1051" spans="1:12" x14ac:dyDescent="0.3">
      <c r="A1051" s="64"/>
      <c r="B1051" s="65" t="e">
        <f>VLOOKUP(C1051,[7]完成订单!$D:$D,1,0)</f>
        <v>#N/A</v>
      </c>
      <c r="C1051" s="66"/>
      <c r="D1051" s="66"/>
      <c r="E1051" s="66"/>
      <c r="F1051" s="67"/>
      <c r="G1051" s="66"/>
      <c r="H1051" s="53" t="e">
        <f>VLOOKUP(E1051,DIP计划!E:J,6,0)</f>
        <v>#N/A</v>
      </c>
      <c r="I1051" s="64">
        <f t="shared" si="32"/>
        <v>0</v>
      </c>
      <c r="J1051" s="68" t="e">
        <f>VLOOKUP(D1051,DIP计划!D:G,4,0)</f>
        <v>#N/A</v>
      </c>
      <c r="K1051" s="5" t="e">
        <f t="shared" si="33"/>
        <v>#N/A</v>
      </c>
      <c r="L1051" s="69"/>
    </row>
    <row r="1052" spans="1:12" x14ac:dyDescent="0.3">
      <c r="A1052" s="64"/>
      <c r="B1052" s="65" t="e">
        <f>VLOOKUP(C1052,[7]完成订单!$D:$D,1,0)</f>
        <v>#N/A</v>
      </c>
      <c r="C1052" s="66"/>
      <c r="D1052" s="66"/>
      <c r="E1052" s="66"/>
      <c r="F1052" s="67"/>
      <c r="G1052" s="66"/>
      <c r="H1052" s="53" t="e">
        <f>VLOOKUP(E1052,DIP计划!E:J,6,0)</f>
        <v>#N/A</v>
      </c>
      <c r="I1052" s="64">
        <f t="shared" si="32"/>
        <v>0</v>
      </c>
      <c r="J1052" s="68" t="e">
        <f>VLOOKUP(D1052,DIP计划!D:G,4,0)</f>
        <v>#N/A</v>
      </c>
      <c r="K1052" s="5" t="e">
        <f t="shared" si="33"/>
        <v>#N/A</v>
      </c>
      <c r="L1052" s="69"/>
    </row>
    <row r="1053" spans="1:12" x14ac:dyDescent="0.3">
      <c r="A1053" s="64"/>
      <c r="B1053" s="65" t="e">
        <f>VLOOKUP(C1053,[7]完成订单!$D:$D,1,0)</f>
        <v>#N/A</v>
      </c>
      <c r="C1053" s="66"/>
      <c r="D1053" s="66"/>
      <c r="E1053" s="66"/>
      <c r="F1053" s="67"/>
      <c r="G1053" s="66"/>
      <c r="H1053" s="53" t="e">
        <f>VLOOKUP(E1053,DIP计划!E:J,6,0)</f>
        <v>#N/A</v>
      </c>
      <c r="I1053" s="64">
        <f t="shared" si="32"/>
        <v>0</v>
      </c>
      <c r="J1053" s="68" t="e">
        <f>VLOOKUP(D1053,DIP计划!D:G,4,0)</f>
        <v>#N/A</v>
      </c>
      <c r="K1053" s="5" t="e">
        <f t="shared" si="33"/>
        <v>#N/A</v>
      </c>
      <c r="L1053" s="69"/>
    </row>
    <row r="1054" spans="1:12" x14ac:dyDescent="0.3">
      <c r="A1054" s="64"/>
      <c r="B1054" s="65" t="e">
        <f>VLOOKUP(C1054,[7]完成订单!$D:$D,1,0)</f>
        <v>#N/A</v>
      </c>
      <c r="C1054" s="66"/>
      <c r="D1054" s="66"/>
      <c r="E1054" s="66"/>
      <c r="F1054" s="67"/>
      <c r="G1054" s="66"/>
      <c r="H1054" s="53" t="e">
        <f>VLOOKUP(E1054,DIP计划!E:J,6,0)</f>
        <v>#N/A</v>
      </c>
      <c r="I1054" s="64">
        <f t="shared" si="32"/>
        <v>0</v>
      </c>
      <c r="J1054" s="68" t="e">
        <f>VLOOKUP(D1054,DIP计划!D:G,4,0)</f>
        <v>#N/A</v>
      </c>
      <c r="K1054" s="5" t="e">
        <f t="shared" si="33"/>
        <v>#N/A</v>
      </c>
      <c r="L1054" s="69"/>
    </row>
    <row r="1055" spans="1:12" x14ac:dyDescent="0.3">
      <c r="A1055" s="64"/>
      <c r="B1055" s="65" t="e">
        <f>VLOOKUP(C1055,[7]完成订单!$D:$D,1,0)</f>
        <v>#N/A</v>
      </c>
      <c r="C1055" s="66"/>
      <c r="D1055" s="66"/>
      <c r="E1055" s="66"/>
      <c r="F1055" s="67"/>
      <c r="G1055" s="66"/>
      <c r="H1055" s="53" t="e">
        <f>VLOOKUP(E1055,DIP计划!E:J,6,0)</f>
        <v>#N/A</v>
      </c>
      <c r="I1055" s="64">
        <f t="shared" si="32"/>
        <v>0</v>
      </c>
      <c r="J1055" s="68" t="e">
        <f>VLOOKUP(D1055,DIP计划!D:G,4,0)</f>
        <v>#N/A</v>
      </c>
      <c r="K1055" s="5" t="e">
        <f t="shared" si="33"/>
        <v>#N/A</v>
      </c>
      <c r="L1055" s="69"/>
    </row>
    <row r="1056" spans="1:12" x14ac:dyDescent="0.3">
      <c r="A1056" s="64"/>
      <c r="B1056" s="65" t="e">
        <f>VLOOKUP(C1056,[7]完成订单!$D:$D,1,0)</f>
        <v>#N/A</v>
      </c>
      <c r="C1056" s="66"/>
      <c r="D1056" s="66"/>
      <c r="E1056" s="66"/>
      <c r="F1056" s="67"/>
      <c r="G1056" s="66"/>
      <c r="H1056" s="53" t="e">
        <f>VLOOKUP(E1056,DIP计划!E:J,6,0)</f>
        <v>#N/A</v>
      </c>
      <c r="I1056" s="64">
        <f t="shared" si="32"/>
        <v>0</v>
      </c>
      <c r="J1056" s="68" t="e">
        <f>VLOOKUP(D1056,DIP计划!D:G,4,0)</f>
        <v>#N/A</v>
      </c>
      <c r="K1056" s="5" t="e">
        <f t="shared" si="33"/>
        <v>#N/A</v>
      </c>
      <c r="L1056" s="69"/>
    </row>
    <row r="1057" spans="1:12" x14ac:dyDescent="0.3">
      <c r="A1057" s="64"/>
      <c r="B1057" s="65" t="e">
        <f>VLOOKUP(C1057,[7]完成订单!$D:$D,1,0)</f>
        <v>#N/A</v>
      </c>
      <c r="C1057" s="66"/>
      <c r="D1057" s="66"/>
      <c r="E1057" s="66"/>
      <c r="F1057" s="67"/>
      <c r="G1057" s="66"/>
      <c r="H1057" s="53" t="e">
        <f>VLOOKUP(E1057,DIP计划!E:J,6,0)</f>
        <v>#N/A</v>
      </c>
      <c r="I1057" s="64">
        <f t="shared" si="32"/>
        <v>0</v>
      </c>
      <c r="J1057" s="68" t="e">
        <f>VLOOKUP(D1057,DIP计划!D:G,4,0)</f>
        <v>#N/A</v>
      </c>
      <c r="K1057" s="5" t="e">
        <f t="shared" si="33"/>
        <v>#N/A</v>
      </c>
      <c r="L1057" s="69"/>
    </row>
    <row r="1058" spans="1:12" x14ac:dyDescent="0.3">
      <c r="A1058" s="64"/>
      <c r="B1058" s="65" t="e">
        <f>VLOOKUP(C1058,[7]完成订单!$D:$D,1,0)</f>
        <v>#N/A</v>
      </c>
      <c r="C1058" s="66"/>
      <c r="D1058" s="66"/>
      <c r="E1058" s="66"/>
      <c r="F1058" s="67"/>
      <c r="G1058" s="66"/>
      <c r="H1058" s="53" t="e">
        <f>VLOOKUP(E1058,DIP计划!E:J,6,0)</f>
        <v>#N/A</v>
      </c>
      <c r="I1058" s="64">
        <f t="shared" si="32"/>
        <v>0</v>
      </c>
      <c r="J1058" s="68" t="e">
        <f>VLOOKUP(D1058,DIP计划!D:G,4,0)</f>
        <v>#N/A</v>
      </c>
      <c r="K1058" s="5" t="e">
        <f t="shared" si="33"/>
        <v>#N/A</v>
      </c>
      <c r="L1058" s="69"/>
    </row>
    <row r="1059" spans="1:12" x14ac:dyDescent="0.3">
      <c r="A1059" s="64"/>
      <c r="B1059" s="65" t="e">
        <f>VLOOKUP(C1059,[7]完成订单!$D:$D,1,0)</f>
        <v>#N/A</v>
      </c>
      <c r="C1059" s="66"/>
      <c r="D1059" s="66"/>
      <c r="E1059" s="66"/>
      <c r="F1059" s="67"/>
      <c r="G1059" s="66"/>
      <c r="H1059" s="53" t="e">
        <f>VLOOKUP(E1059,DIP计划!E:J,6,0)</f>
        <v>#N/A</v>
      </c>
      <c r="I1059" s="64">
        <f t="shared" si="32"/>
        <v>0</v>
      </c>
      <c r="J1059" s="68" t="e">
        <f>VLOOKUP(D1059,DIP计划!D:G,4,0)</f>
        <v>#N/A</v>
      </c>
      <c r="K1059" s="5" t="e">
        <f t="shared" si="33"/>
        <v>#N/A</v>
      </c>
      <c r="L1059" s="69"/>
    </row>
    <row r="1060" spans="1:12" x14ac:dyDescent="0.3">
      <c r="A1060" s="64"/>
      <c r="B1060" s="65" t="e">
        <f>VLOOKUP(C1060,[7]完成订单!$D:$D,1,0)</f>
        <v>#N/A</v>
      </c>
      <c r="C1060" s="66"/>
      <c r="D1060" s="66"/>
      <c r="E1060" s="66"/>
      <c r="F1060" s="67"/>
      <c r="G1060" s="66"/>
      <c r="H1060" s="53" t="e">
        <f>VLOOKUP(E1060,DIP计划!E:J,6,0)</f>
        <v>#N/A</v>
      </c>
      <c r="I1060" s="64">
        <f t="shared" si="32"/>
        <v>0</v>
      </c>
      <c r="J1060" s="68" t="e">
        <f>VLOOKUP(D1060,DIP计划!D:G,4,0)</f>
        <v>#N/A</v>
      </c>
      <c r="K1060" s="5" t="e">
        <f t="shared" si="33"/>
        <v>#N/A</v>
      </c>
      <c r="L1060" s="69"/>
    </row>
    <row r="1061" spans="1:12" x14ac:dyDescent="0.3">
      <c r="A1061" s="64"/>
      <c r="B1061" s="65" t="e">
        <f>VLOOKUP(C1061,[7]完成订单!$D:$D,1,0)</f>
        <v>#N/A</v>
      </c>
      <c r="C1061" s="66"/>
      <c r="D1061" s="66"/>
      <c r="E1061" s="66"/>
      <c r="F1061" s="67"/>
      <c r="G1061" s="66"/>
      <c r="H1061" s="53" t="e">
        <f>VLOOKUP(E1061,DIP计划!E:J,6,0)</f>
        <v>#N/A</v>
      </c>
      <c r="I1061" s="64">
        <f t="shared" si="32"/>
        <v>0</v>
      </c>
      <c r="J1061" s="68" t="e">
        <f>VLOOKUP(D1061,DIP计划!D:G,4,0)</f>
        <v>#N/A</v>
      </c>
      <c r="K1061" s="5" t="e">
        <f t="shared" si="33"/>
        <v>#N/A</v>
      </c>
      <c r="L1061" s="69"/>
    </row>
    <row r="1062" spans="1:12" x14ac:dyDescent="0.3">
      <c r="A1062" s="64"/>
      <c r="B1062" s="65" t="e">
        <f>VLOOKUP(C1062,[7]完成订单!$D:$D,1,0)</f>
        <v>#N/A</v>
      </c>
      <c r="C1062" s="66"/>
      <c r="D1062" s="66"/>
      <c r="E1062" s="66"/>
      <c r="F1062" s="67"/>
      <c r="G1062" s="66"/>
      <c r="H1062" s="53" t="e">
        <f>VLOOKUP(E1062,DIP计划!E:J,6,0)</f>
        <v>#N/A</v>
      </c>
      <c r="I1062" s="64">
        <f t="shared" si="32"/>
        <v>0</v>
      </c>
      <c r="J1062" s="68" t="e">
        <f>VLOOKUP(D1062,DIP计划!D:G,4,0)</f>
        <v>#N/A</v>
      </c>
      <c r="K1062" s="5" t="e">
        <f t="shared" si="33"/>
        <v>#N/A</v>
      </c>
      <c r="L1062" s="69"/>
    </row>
    <row r="1063" spans="1:12" x14ac:dyDescent="0.3">
      <c r="A1063" s="64"/>
      <c r="B1063" s="65" t="e">
        <f>VLOOKUP(C1063,[7]完成订单!$D:$D,1,0)</f>
        <v>#N/A</v>
      </c>
      <c r="C1063" s="66"/>
      <c r="D1063" s="66"/>
      <c r="E1063" s="66"/>
      <c r="F1063" s="67"/>
      <c r="G1063" s="66"/>
      <c r="H1063" s="53" t="e">
        <f>VLOOKUP(E1063,DIP计划!E:J,6,0)</f>
        <v>#N/A</v>
      </c>
      <c r="I1063" s="64">
        <f t="shared" si="32"/>
        <v>0</v>
      </c>
      <c r="J1063" s="68" t="e">
        <f>VLOOKUP(D1063,DIP计划!D:G,4,0)</f>
        <v>#N/A</v>
      </c>
      <c r="K1063" s="5" t="e">
        <f t="shared" si="33"/>
        <v>#N/A</v>
      </c>
      <c r="L1063" s="69"/>
    </row>
    <row r="1064" spans="1:12" x14ac:dyDescent="0.3">
      <c r="A1064" s="64"/>
      <c r="B1064" s="65" t="e">
        <f>VLOOKUP(C1064,[7]完成订单!$D:$D,1,0)</f>
        <v>#N/A</v>
      </c>
      <c r="C1064" s="66"/>
      <c r="D1064" s="66"/>
      <c r="E1064" s="66"/>
      <c r="F1064" s="67"/>
      <c r="G1064" s="66"/>
      <c r="H1064" s="53" t="e">
        <f>VLOOKUP(E1064,DIP计划!E:J,6,0)</f>
        <v>#N/A</v>
      </c>
      <c r="I1064" s="64">
        <f t="shared" si="32"/>
        <v>0</v>
      </c>
      <c r="J1064" s="68" t="e">
        <f>VLOOKUP(D1064,DIP计划!D:G,4,0)</f>
        <v>#N/A</v>
      </c>
      <c r="K1064" s="5" t="e">
        <f t="shared" si="33"/>
        <v>#N/A</v>
      </c>
      <c r="L1064" s="69"/>
    </row>
    <row r="1065" spans="1:12" x14ac:dyDescent="0.3">
      <c r="A1065" s="64"/>
      <c r="B1065" s="65" t="e">
        <f>VLOOKUP(C1065,[7]完成订单!$D:$D,1,0)</f>
        <v>#N/A</v>
      </c>
      <c r="C1065" s="66"/>
      <c r="D1065" s="66"/>
      <c r="E1065" s="66"/>
      <c r="F1065" s="67"/>
      <c r="G1065" s="66"/>
      <c r="H1065" s="53" t="e">
        <f>VLOOKUP(E1065,DIP计划!E:J,6,0)</f>
        <v>#N/A</v>
      </c>
      <c r="I1065" s="64">
        <f t="shared" si="32"/>
        <v>0</v>
      </c>
      <c r="J1065" s="68" t="e">
        <f>VLOOKUP(D1065,DIP计划!D:G,4,0)</f>
        <v>#N/A</v>
      </c>
      <c r="K1065" s="5" t="e">
        <f t="shared" si="33"/>
        <v>#N/A</v>
      </c>
      <c r="L1065" s="69"/>
    </row>
    <row r="1066" spans="1:12" x14ac:dyDescent="0.3">
      <c r="A1066" s="64"/>
      <c r="B1066" s="65" t="e">
        <f>VLOOKUP(C1066,[7]完成订单!$D:$D,1,0)</f>
        <v>#N/A</v>
      </c>
      <c r="C1066" s="66"/>
      <c r="D1066" s="66"/>
      <c r="E1066" s="66"/>
      <c r="F1066" s="67"/>
      <c r="G1066" s="66"/>
      <c r="H1066" s="53" t="e">
        <f>VLOOKUP(E1066,DIP计划!E:J,6,0)</f>
        <v>#N/A</v>
      </c>
      <c r="I1066" s="64">
        <f t="shared" si="32"/>
        <v>0</v>
      </c>
      <c r="J1066" s="68" t="e">
        <f>VLOOKUP(D1066,DIP计划!D:G,4,0)</f>
        <v>#N/A</v>
      </c>
      <c r="K1066" s="5" t="e">
        <f t="shared" si="33"/>
        <v>#N/A</v>
      </c>
      <c r="L1066" s="69"/>
    </row>
    <row r="1067" spans="1:12" x14ac:dyDescent="0.3">
      <c r="A1067" s="64"/>
      <c r="B1067" s="65" t="e">
        <f>VLOOKUP(C1067,[7]完成订单!$D:$D,1,0)</f>
        <v>#N/A</v>
      </c>
      <c r="C1067" s="66"/>
      <c r="D1067" s="66"/>
      <c r="E1067" s="66"/>
      <c r="F1067" s="67"/>
      <c r="G1067" s="66"/>
      <c r="H1067" s="53" t="e">
        <f>VLOOKUP(E1067,DIP计划!E:J,6,0)</f>
        <v>#N/A</v>
      </c>
      <c r="I1067" s="64">
        <f t="shared" si="32"/>
        <v>0</v>
      </c>
      <c r="J1067" s="68" t="e">
        <f>VLOOKUP(D1067,DIP计划!D:G,4,0)</f>
        <v>#N/A</v>
      </c>
      <c r="K1067" s="5" t="e">
        <f t="shared" si="33"/>
        <v>#N/A</v>
      </c>
      <c r="L1067" s="69"/>
    </row>
    <row r="1068" spans="1:12" x14ac:dyDescent="0.3">
      <c r="A1068" s="64"/>
      <c r="B1068" s="65" t="e">
        <f>VLOOKUP(C1068,[7]完成订单!$D:$D,1,0)</f>
        <v>#N/A</v>
      </c>
      <c r="C1068" s="66"/>
      <c r="D1068" s="66"/>
      <c r="E1068" s="66"/>
      <c r="F1068" s="67"/>
      <c r="G1068" s="66"/>
      <c r="H1068" s="53" t="e">
        <f>VLOOKUP(E1068,DIP计划!E:J,6,0)</f>
        <v>#N/A</v>
      </c>
      <c r="I1068" s="64">
        <f t="shared" si="32"/>
        <v>0</v>
      </c>
      <c r="J1068" s="68" t="e">
        <f>VLOOKUP(D1068,DIP计划!D:G,4,0)</f>
        <v>#N/A</v>
      </c>
      <c r="K1068" s="5" t="e">
        <f t="shared" si="33"/>
        <v>#N/A</v>
      </c>
      <c r="L1068" s="69"/>
    </row>
    <row r="1069" spans="1:12" x14ac:dyDescent="0.3">
      <c r="A1069" s="64"/>
      <c r="B1069" s="65" t="e">
        <f>VLOOKUP(C1069,[7]完成订单!$D:$D,1,0)</f>
        <v>#N/A</v>
      </c>
      <c r="C1069" s="66"/>
      <c r="D1069" s="66"/>
      <c r="E1069" s="66"/>
      <c r="F1069" s="67"/>
      <c r="G1069" s="66"/>
      <c r="H1069" s="53" t="e">
        <f>VLOOKUP(E1069,DIP计划!E:J,6,0)</f>
        <v>#N/A</v>
      </c>
      <c r="I1069" s="64">
        <f t="shared" si="32"/>
        <v>0</v>
      </c>
      <c r="J1069" s="68" t="e">
        <f>VLOOKUP(D1069,DIP计划!D:G,4,0)</f>
        <v>#N/A</v>
      </c>
      <c r="K1069" s="5" t="e">
        <f t="shared" si="33"/>
        <v>#N/A</v>
      </c>
      <c r="L1069" s="69"/>
    </row>
    <row r="1070" spans="1:12" x14ac:dyDescent="0.3">
      <c r="A1070" s="64"/>
      <c r="B1070" s="65" t="e">
        <f>VLOOKUP(C1070,[7]完成订单!$D:$D,1,0)</f>
        <v>#N/A</v>
      </c>
      <c r="C1070" s="66"/>
      <c r="D1070" s="66"/>
      <c r="E1070" s="66"/>
      <c r="F1070" s="67"/>
      <c r="G1070" s="66"/>
      <c r="H1070" s="53" t="e">
        <f>VLOOKUP(E1070,DIP计划!E:J,6,0)</f>
        <v>#N/A</v>
      </c>
      <c r="I1070" s="64">
        <f t="shared" si="32"/>
        <v>0</v>
      </c>
      <c r="J1070" s="68" t="e">
        <f>VLOOKUP(D1070,DIP计划!D:G,4,0)</f>
        <v>#N/A</v>
      </c>
      <c r="K1070" s="5" t="e">
        <f t="shared" si="33"/>
        <v>#N/A</v>
      </c>
      <c r="L1070" s="69"/>
    </row>
    <row r="1071" spans="1:12" x14ac:dyDescent="0.3">
      <c r="A1071" s="64"/>
      <c r="B1071" s="65" t="e">
        <f>VLOOKUP(C1071,[7]完成订单!$D:$D,1,0)</f>
        <v>#N/A</v>
      </c>
      <c r="C1071" s="66"/>
      <c r="D1071" s="66"/>
      <c r="E1071" s="66"/>
      <c r="F1071" s="67"/>
      <c r="G1071" s="66"/>
      <c r="H1071" s="53" t="e">
        <f>VLOOKUP(E1071,DIP计划!E:J,6,0)</f>
        <v>#N/A</v>
      </c>
      <c r="I1071" s="64">
        <f t="shared" si="32"/>
        <v>0</v>
      </c>
      <c r="J1071" s="68" t="e">
        <f>VLOOKUP(D1071,DIP计划!D:G,4,0)</f>
        <v>#N/A</v>
      </c>
      <c r="K1071" s="5" t="e">
        <f t="shared" si="33"/>
        <v>#N/A</v>
      </c>
      <c r="L1071" s="69"/>
    </row>
    <row r="1072" spans="1:12" x14ac:dyDescent="0.3">
      <c r="A1072" s="64"/>
      <c r="B1072" s="65" t="e">
        <f>VLOOKUP(C1072,[7]完成订单!$D:$D,1,0)</f>
        <v>#N/A</v>
      </c>
      <c r="C1072" s="66"/>
      <c r="D1072" s="66"/>
      <c r="E1072" s="66"/>
      <c r="F1072" s="67"/>
      <c r="G1072" s="66"/>
      <c r="H1072" s="53" t="e">
        <f>VLOOKUP(E1072,DIP计划!E:J,6,0)</f>
        <v>#N/A</v>
      </c>
      <c r="I1072" s="64">
        <f t="shared" si="32"/>
        <v>0</v>
      </c>
      <c r="J1072" s="68" t="e">
        <f>VLOOKUP(D1072,DIP计划!D:G,4,0)</f>
        <v>#N/A</v>
      </c>
      <c r="K1072" s="5" t="e">
        <f t="shared" si="33"/>
        <v>#N/A</v>
      </c>
      <c r="L1072" s="69"/>
    </row>
    <row r="1073" spans="1:12" x14ac:dyDescent="0.3">
      <c r="A1073" s="64"/>
      <c r="B1073" s="65" t="e">
        <f>VLOOKUP(C1073,[7]完成订单!$D:$D,1,0)</f>
        <v>#N/A</v>
      </c>
      <c r="C1073" s="66"/>
      <c r="D1073" s="66"/>
      <c r="E1073" s="66"/>
      <c r="F1073" s="67"/>
      <c r="G1073" s="66"/>
      <c r="H1073" s="53" t="e">
        <f>VLOOKUP(E1073,DIP计划!E:J,6,0)</f>
        <v>#N/A</v>
      </c>
      <c r="I1073" s="64">
        <f t="shared" si="32"/>
        <v>0</v>
      </c>
      <c r="J1073" s="68" t="e">
        <f>VLOOKUP(D1073,DIP计划!D:G,4,0)</f>
        <v>#N/A</v>
      </c>
      <c r="K1073" s="5" t="e">
        <f t="shared" si="33"/>
        <v>#N/A</v>
      </c>
      <c r="L1073" s="69"/>
    </row>
    <row r="1074" spans="1:12" x14ac:dyDescent="0.3">
      <c r="A1074" s="64"/>
      <c r="B1074" s="65" t="e">
        <f>VLOOKUP(C1074,[7]完成订单!$D:$D,1,0)</f>
        <v>#N/A</v>
      </c>
      <c r="C1074" s="66"/>
      <c r="D1074" s="66"/>
      <c r="E1074" s="66"/>
      <c r="F1074" s="67"/>
      <c r="G1074" s="66"/>
      <c r="H1074" s="53" t="e">
        <f>VLOOKUP(E1074,DIP计划!E:J,6,0)</f>
        <v>#N/A</v>
      </c>
      <c r="I1074" s="64">
        <f t="shared" si="32"/>
        <v>0</v>
      </c>
      <c r="J1074" s="68" t="e">
        <f>VLOOKUP(D1074,DIP计划!D:G,4,0)</f>
        <v>#N/A</v>
      </c>
      <c r="K1074" s="5" t="e">
        <f t="shared" si="33"/>
        <v>#N/A</v>
      </c>
      <c r="L1074" s="69"/>
    </row>
    <row r="1075" spans="1:12" x14ac:dyDescent="0.3">
      <c r="A1075" s="64"/>
      <c r="B1075" s="65" t="e">
        <f>VLOOKUP(C1075,[7]完成订单!$D:$D,1,0)</f>
        <v>#N/A</v>
      </c>
      <c r="C1075" s="66"/>
      <c r="D1075" s="66"/>
      <c r="E1075" s="66"/>
      <c r="F1075" s="67"/>
      <c r="G1075" s="66"/>
      <c r="H1075" s="53" t="e">
        <f>VLOOKUP(E1075,DIP计划!E:J,6,0)</f>
        <v>#N/A</v>
      </c>
      <c r="I1075" s="64">
        <f t="shared" si="32"/>
        <v>0</v>
      </c>
      <c r="J1075" s="68" t="e">
        <f>VLOOKUP(D1075,DIP计划!D:G,4,0)</f>
        <v>#N/A</v>
      </c>
      <c r="K1075" s="5" t="e">
        <f t="shared" si="33"/>
        <v>#N/A</v>
      </c>
      <c r="L1075" s="69"/>
    </row>
    <row r="1076" spans="1:12" x14ac:dyDescent="0.3">
      <c r="A1076" s="64"/>
      <c r="B1076" s="65" t="e">
        <f>VLOOKUP(C1076,[7]完成订单!$D:$D,1,0)</f>
        <v>#N/A</v>
      </c>
      <c r="C1076" s="66"/>
      <c r="D1076" s="66"/>
      <c r="E1076" s="66"/>
      <c r="F1076" s="67"/>
      <c r="G1076" s="66"/>
      <c r="H1076" s="53" t="e">
        <f>VLOOKUP(E1076,DIP计划!E:J,6,0)</f>
        <v>#N/A</v>
      </c>
      <c r="I1076" s="64">
        <f t="shared" si="32"/>
        <v>0</v>
      </c>
      <c r="J1076" s="68" t="e">
        <f>VLOOKUP(D1076,DIP计划!D:G,4,0)</f>
        <v>#N/A</v>
      </c>
      <c r="K1076" s="5" t="e">
        <f t="shared" si="33"/>
        <v>#N/A</v>
      </c>
      <c r="L1076" s="69"/>
    </row>
    <row r="1077" spans="1:12" x14ac:dyDescent="0.3">
      <c r="A1077" s="64"/>
      <c r="B1077" s="65" t="e">
        <f>VLOOKUP(C1077,[7]完成订单!$D:$D,1,0)</f>
        <v>#N/A</v>
      </c>
      <c r="C1077" s="66"/>
      <c r="D1077" s="66"/>
      <c r="E1077" s="66"/>
      <c r="F1077" s="67"/>
      <c r="G1077" s="66"/>
      <c r="H1077" s="53" t="e">
        <f>VLOOKUP(E1077,DIP计划!E:J,6,0)</f>
        <v>#N/A</v>
      </c>
      <c r="I1077" s="64">
        <f t="shared" si="32"/>
        <v>0</v>
      </c>
      <c r="J1077" s="68" t="e">
        <f>VLOOKUP(D1077,DIP计划!D:G,4,0)</f>
        <v>#N/A</v>
      </c>
      <c r="K1077" s="5" t="e">
        <f t="shared" si="33"/>
        <v>#N/A</v>
      </c>
      <c r="L1077" s="69"/>
    </row>
    <row r="1078" spans="1:12" x14ac:dyDescent="0.3">
      <c r="A1078" s="64"/>
      <c r="B1078" s="65" t="e">
        <f>VLOOKUP(C1078,[7]完成订单!$D:$D,1,0)</f>
        <v>#N/A</v>
      </c>
      <c r="C1078" s="66"/>
      <c r="D1078" s="66"/>
      <c r="E1078" s="66"/>
      <c r="F1078" s="67"/>
      <c r="G1078" s="66"/>
      <c r="H1078" s="53" t="e">
        <f>VLOOKUP(E1078,DIP计划!E:J,6,0)</f>
        <v>#N/A</v>
      </c>
      <c r="I1078" s="64">
        <f t="shared" si="32"/>
        <v>0</v>
      </c>
      <c r="J1078" s="68" t="e">
        <f>VLOOKUP(D1078,DIP计划!D:G,4,0)</f>
        <v>#N/A</v>
      </c>
      <c r="K1078" s="5" t="e">
        <f t="shared" si="33"/>
        <v>#N/A</v>
      </c>
      <c r="L1078" s="69"/>
    </row>
    <row r="1079" spans="1:12" x14ac:dyDescent="0.3">
      <c r="A1079" s="64"/>
      <c r="B1079" s="65" t="e">
        <f>VLOOKUP(C1079,[7]完成订单!$D:$D,1,0)</f>
        <v>#N/A</v>
      </c>
      <c r="C1079" s="66"/>
      <c r="D1079" s="66"/>
      <c r="E1079" s="66"/>
      <c r="F1079" s="67"/>
      <c r="G1079" s="66"/>
      <c r="H1079" s="53" t="e">
        <f>VLOOKUP(E1079,DIP计划!E:J,6,0)</f>
        <v>#N/A</v>
      </c>
      <c r="I1079" s="64">
        <f t="shared" si="32"/>
        <v>0</v>
      </c>
      <c r="J1079" s="68" t="e">
        <f>VLOOKUP(D1079,DIP计划!D:G,4,0)</f>
        <v>#N/A</v>
      </c>
      <c r="K1079" s="5" t="e">
        <f t="shared" si="33"/>
        <v>#N/A</v>
      </c>
      <c r="L1079" s="69"/>
    </row>
    <row r="1080" spans="1:12" x14ac:dyDescent="0.3">
      <c r="A1080" s="64"/>
      <c r="B1080" s="65" t="e">
        <f>VLOOKUP(C1080,[7]完成订单!$D:$D,1,0)</f>
        <v>#N/A</v>
      </c>
      <c r="C1080" s="66"/>
      <c r="D1080" s="66"/>
      <c r="E1080" s="66"/>
      <c r="F1080" s="67"/>
      <c r="G1080" s="66"/>
      <c r="H1080" s="53" t="e">
        <f>VLOOKUP(E1080,DIP计划!E:J,6,0)</f>
        <v>#N/A</v>
      </c>
      <c r="I1080" s="64">
        <f t="shared" si="32"/>
        <v>0</v>
      </c>
      <c r="J1080" s="68" t="e">
        <f>VLOOKUP(D1080,DIP计划!D:G,4,0)</f>
        <v>#N/A</v>
      </c>
      <c r="K1080" s="5" t="e">
        <f t="shared" si="33"/>
        <v>#N/A</v>
      </c>
      <c r="L1080" s="69"/>
    </row>
    <row r="1081" spans="1:12" x14ac:dyDescent="0.3">
      <c r="A1081" s="64"/>
      <c r="B1081" s="65" t="e">
        <f>VLOOKUP(C1081,[7]完成订单!$D:$D,1,0)</f>
        <v>#N/A</v>
      </c>
      <c r="C1081" s="66"/>
      <c r="D1081" s="66"/>
      <c r="E1081" s="66"/>
      <c r="F1081" s="67"/>
      <c r="G1081" s="66"/>
      <c r="H1081" s="53" t="e">
        <f>VLOOKUP(E1081,DIP计划!E:J,6,0)</f>
        <v>#N/A</v>
      </c>
      <c r="I1081" s="64">
        <f t="shared" si="32"/>
        <v>0</v>
      </c>
      <c r="J1081" s="68" t="e">
        <f>VLOOKUP(D1081,DIP计划!D:G,4,0)</f>
        <v>#N/A</v>
      </c>
      <c r="K1081" s="5" t="e">
        <f t="shared" si="33"/>
        <v>#N/A</v>
      </c>
      <c r="L1081" s="69"/>
    </row>
    <row r="1082" spans="1:12" x14ac:dyDescent="0.3">
      <c r="A1082" s="64"/>
      <c r="B1082" s="65" t="e">
        <f>VLOOKUP(C1082,[7]完成订单!$D:$D,1,0)</f>
        <v>#N/A</v>
      </c>
      <c r="C1082" s="66"/>
      <c r="D1082" s="66"/>
      <c r="E1082" s="66"/>
      <c r="F1082" s="67"/>
      <c r="G1082" s="66"/>
      <c r="H1082" s="53" t="e">
        <f>VLOOKUP(E1082,DIP计划!E:J,6,0)</f>
        <v>#N/A</v>
      </c>
      <c r="I1082" s="64">
        <f t="shared" si="32"/>
        <v>0</v>
      </c>
      <c r="J1082" s="68" t="e">
        <f>VLOOKUP(D1082,DIP计划!D:G,4,0)</f>
        <v>#N/A</v>
      </c>
      <c r="K1082" s="5" t="e">
        <f t="shared" si="33"/>
        <v>#N/A</v>
      </c>
      <c r="L1082" s="69"/>
    </row>
    <row r="1083" spans="1:12" x14ac:dyDescent="0.3">
      <c r="A1083" s="64"/>
      <c r="B1083" s="65" t="e">
        <f>VLOOKUP(C1083,[7]完成订单!$D:$D,1,0)</f>
        <v>#N/A</v>
      </c>
      <c r="C1083" s="66"/>
      <c r="D1083" s="66"/>
      <c r="E1083" s="66"/>
      <c r="F1083" s="67"/>
      <c r="G1083" s="66"/>
      <c r="H1083" s="53" t="e">
        <f>VLOOKUP(E1083,DIP计划!E:J,6,0)</f>
        <v>#N/A</v>
      </c>
      <c r="I1083" s="64">
        <f t="shared" si="32"/>
        <v>0</v>
      </c>
      <c r="J1083" s="68" t="e">
        <f>VLOOKUP(D1083,DIP计划!D:G,4,0)</f>
        <v>#N/A</v>
      </c>
      <c r="K1083" s="5" t="e">
        <f t="shared" si="33"/>
        <v>#N/A</v>
      </c>
      <c r="L1083" s="69"/>
    </row>
    <row r="1084" spans="1:12" x14ac:dyDescent="0.3">
      <c r="A1084" s="64"/>
      <c r="B1084" s="65" t="e">
        <f>VLOOKUP(C1084,[7]完成订单!$D:$D,1,0)</f>
        <v>#N/A</v>
      </c>
      <c r="C1084" s="66"/>
      <c r="D1084" s="66"/>
      <c r="E1084" s="66"/>
      <c r="F1084" s="67"/>
      <c r="G1084" s="66"/>
      <c r="H1084" s="53" t="e">
        <f>VLOOKUP(E1084,DIP计划!E:J,6,0)</f>
        <v>#N/A</v>
      </c>
      <c r="I1084" s="64">
        <f t="shared" si="32"/>
        <v>0</v>
      </c>
      <c r="J1084" s="68" t="e">
        <f>VLOOKUP(D1084,DIP计划!D:G,4,0)</f>
        <v>#N/A</v>
      </c>
      <c r="K1084" s="5" t="e">
        <f t="shared" si="33"/>
        <v>#N/A</v>
      </c>
      <c r="L1084" s="69"/>
    </row>
    <row r="1085" spans="1:12" x14ac:dyDescent="0.3">
      <c r="A1085" s="64"/>
      <c r="B1085" s="65" t="e">
        <f>VLOOKUP(C1085,[7]完成订单!$D:$D,1,0)</f>
        <v>#N/A</v>
      </c>
      <c r="C1085" s="66"/>
      <c r="D1085" s="66"/>
      <c r="E1085" s="66"/>
      <c r="F1085" s="67"/>
      <c r="G1085" s="66"/>
      <c r="H1085" s="53" t="e">
        <f>VLOOKUP(E1085,DIP计划!E:J,6,0)</f>
        <v>#N/A</v>
      </c>
      <c r="I1085" s="64">
        <f t="shared" si="32"/>
        <v>0</v>
      </c>
      <c r="J1085" s="68" t="e">
        <f>VLOOKUP(D1085,DIP计划!D:G,4,0)</f>
        <v>#N/A</v>
      </c>
      <c r="K1085" s="5" t="e">
        <f t="shared" si="33"/>
        <v>#N/A</v>
      </c>
      <c r="L1085" s="69"/>
    </row>
    <row r="1086" spans="1:12" x14ac:dyDescent="0.3">
      <c r="A1086" s="64"/>
      <c r="B1086" s="65" t="e">
        <f>VLOOKUP(C1086,[7]完成订单!$D:$D,1,0)</f>
        <v>#N/A</v>
      </c>
      <c r="C1086" s="66"/>
      <c r="D1086" s="66"/>
      <c r="E1086" s="66"/>
      <c r="F1086" s="67"/>
      <c r="G1086" s="66"/>
      <c r="H1086" s="53" t="e">
        <f>VLOOKUP(E1086,DIP计划!E:J,6,0)</f>
        <v>#N/A</v>
      </c>
      <c r="I1086" s="64">
        <f t="shared" si="32"/>
        <v>0</v>
      </c>
      <c r="J1086" s="68" t="e">
        <f>VLOOKUP(D1086,DIP计划!D:G,4,0)</f>
        <v>#N/A</v>
      </c>
      <c r="K1086" s="5" t="e">
        <f t="shared" si="33"/>
        <v>#N/A</v>
      </c>
      <c r="L1086" s="69"/>
    </row>
    <row r="1087" spans="1:12" x14ac:dyDescent="0.3">
      <c r="A1087" s="64"/>
      <c r="B1087" s="65" t="e">
        <f>VLOOKUP(C1087,[7]完成订单!$D:$D,1,0)</f>
        <v>#N/A</v>
      </c>
      <c r="C1087" s="66"/>
      <c r="D1087" s="66"/>
      <c r="E1087" s="66"/>
      <c r="F1087" s="67"/>
      <c r="G1087" s="66"/>
      <c r="H1087" s="53" t="e">
        <f>VLOOKUP(E1087,DIP计划!E:J,6,0)</f>
        <v>#N/A</v>
      </c>
      <c r="I1087" s="64">
        <f t="shared" si="32"/>
        <v>0</v>
      </c>
      <c r="J1087" s="68" t="e">
        <f>VLOOKUP(D1087,DIP计划!D:G,4,0)</f>
        <v>#N/A</v>
      </c>
      <c r="K1087" s="5" t="e">
        <f t="shared" si="33"/>
        <v>#N/A</v>
      </c>
      <c r="L1087" s="69"/>
    </row>
    <row r="1088" spans="1:12" x14ac:dyDescent="0.3">
      <c r="A1088" s="64"/>
      <c r="B1088" s="65" t="e">
        <f>VLOOKUP(C1088,[7]完成订单!$D:$D,1,0)</f>
        <v>#N/A</v>
      </c>
      <c r="C1088" s="66"/>
      <c r="D1088" s="66"/>
      <c r="E1088" s="66"/>
      <c r="F1088" s="67"/>
      <c r="G1088" s="66"/>
      <c r="H1088" s="53" t="e">
        <f>VLOOKUP(E1088,DIP计划!E:J,6,0)</f>
        <v>#N/A</v>
      </c>
      <c r="I1088" s="64">
        <f t="shared" si="32"/>
        <v>0</v>
      </c>
      <c r="J1088" s="68" t="e">
        <f>VLOOKUP(D1088,DIP计划!D:G,4,0)</f>
        <v>#N/A</v>
      </c>
      <c r="K1088" s="5" t="e">
        <f t="shared" si="33"/>
        <v>#N/A</v>
      </c>
      <c r="L1088" s="69"/>
    </row>
    <row r="1089" spans="1:12" x14ac:dyDescent="0.3">
      <c r="A1089" s="64"/>
      <c r="B1089" s="65" t="e">
        <f>VLOOKUP(C1089,[7]完成订单!$D:$D,1,0)</f>
        <v>#N/A</v>
      </c>
      <c r="C1089" s="66"/>
      <c r="D1089" s="66"/>
      <c r="E1089" s="66"/>
      <c r="F1089" s="67"/>
      <c r="G1089" s="66"/>
      <c r="H1089" s="53" t="e">
        <f>VLOOKUP(E1089,DIP计划!E:J,6,0)</f>
        <v>#N/A</v>
      </c>
      <c r="I1089" s="64">
        <f t="shared" si="32"/>
        <v>0</v>
      </c>
      <c r="J1089" s="68" t="e">
        <f>VLOOKUP(D1089,DIP计划!D:G,4,0)</f>
        <v>#N/A</v>
      </c>
      <c r="K1089" s="5" t="e">
        <f t="shared" si="33"/>
        <v>#N/A</v>
      </c>
      <c r="L1089" s="69"/>
    </row>
    <row r="1090" spans="1:12" x14ac:dyDescent="0.3">
      <c r="A1090" s="64"/>
      <c r="B1090" s="65" t="e">
        <f>VLOOKUP(C1090,[7]完成订单!$D:$D,1,0)</f>
        <v>#N/A</v>
      </c>
      <c r="C1090" s="66"/>
      <c r="D1090" s="66"/>
      <c r="E1090" s="66"/>
      <c r="F1090" s="67"/>
      <c r="G1090" s="66"/>
      <c r="H1090" s="53" t="e">
        <f>VLOOKUP(E1090,DIP计划!E:J,6,0)</f>
        <v>#N/A</v>
      </c>
      <c r="I1090" s="64">
        <f t="shared" si="32"/>
        <v>0</v>
      </c>
      <c r="J1090" s="68" t="e">
        <f>VLOOKUP(D1090,DIP计划!D:G,4,0)</f>
        <v>#N/A</v>
      </c>
      <c r="K1090" s="5" t="e">
        <f t="shared" si="33"/>
        <v>#N/A</v>
      </c>
      <c r="L1090" s="69"/>
    </row>
    <row r="1091" spans="1:12" x14ac:dyDescent="0.3">
      <c r="A1091" s="64"/>
      <c r="B1091" s="65" t="e">
        <f>VLOOKUP(C1091,[7]完成订单!$D:$D,1,0)</f>
        <v>#N/A</v>
      </c>
      <c r="C1091" s="66"/>
      <c r="D1091" s="66"/>
      <c r="E1091" s="66"/>
      <c r="F1091" s="67"/>
      <c r="G1091" s="66"/>
      <c r="H1091" s="53" t="e">
        <f>VLOOKUP(E1091,DIP计划!E:J,6,0)</f>
        <v>#N/A</v>
      </c>
      <c r="I1091" s="64">
        <f t="shared" si="32"/>
        <v>0</v>
      </c>
      <c r="J1091" s="68" t="e">
        <f>VLOOKUP(D1091,DIP计划!D:G,4,0)</f>
        <v>#N/A</v>
      </c>
      <c r="K1091" s="5" t="e">
        <f t="shared" si="33"/>
        <v>#N/A</v>
      </c>
      <c r="L1091" s="69"/>
    </row>
    <row r="1092" spans="1:12" x14ac:dyDescent="0.3">
      <c r="A1092" s="64"/>
      <c r="B1092" s="65" t="e">
        <f>VLOOKUP(C1092,[7]完成订单!$D:$D,1,0)</f>
        <v>#N/A</v>
      </c>
      <c r="C1092" s="66"/>
      <c r="D1092" s="66"/>
      <c r="E1092" s="66"/>
      <c r="F1092" s="67"/>
      <c r="G1092" s="66"/>
      <c r="H1092" s="53" t="e">
        <f>VLOOKUP(E1092,DIP计划!E:J,6,0)</f>
        <v>#N/A</v>
      </c>
      <c r="I1092" s="64">
        <f t="shared" si="32"/>
        <v>0</v>
      </c>
      <c r="J1092" s="68" t="e">
        <f>VLOOKUP(D1092,DIP计划!D:G,4,0)</f>
        <v>#N/A</v>
      </c>
      <c r="K1092" s="5" t="e">
        <f t="shared" si="33"/>
        <v>#N/A</v>
      </c>
      <c r="L1092" s="69"/>
    </row>
    <row r="1093" spans="1:12" x14ac:dyDescent="0.3">
      <c r="A1093" s="64"/>
      <c r="B1093" s="65" t="e">
        <f>VLOOKUP(C1093,[7]完成订单!$D:$D,1,0)</f>
        <v>#N/A</v>
      </c>
      <c r="C1093" s="66"/>
      <c r="D1093" s="66"/>
      <c r="E1093" s="66"/>
      <c r="F1093" s="67"/>
      <c r="G1093" s="66"/>
      <c r="H1093" s="53" t="e">
        <f>VLOOKUP(E1093,DIP计划!E:J,6,0)</f>
        <v>#N/A</v>
      </c>
      <c r="I1093" s="64">
        <f t="shared" si="32"/>
        <v>0</v>
      </c>
      <c r="J1093" s="68" t="e">
        <f>VLOOKUP(D1093,DIP计划!D:G,4,0)</f>
        <v>#N/A</v>
      </c>
      <c r="K1093" s="5" t="e">
        <f t="shared" si="33"/>
        <v>#N/A</v>
      </c>
      <c r="L1093" s="69"/>
    </row>
    <row r="1094" spans="1:12" x14ac:dyDescent="0.3">
      <c r="A1094" s="64"/>
      <c r="B1094" s="65" t="e">
        <f>VLOOKUP(C1094,[7]完成订单!$D:$D,1,0)</f>
        <v>#N/A</v>
      </c>
      <c r="C1094" s="66"/>
      <c r="D1094" s="66"/>
      <c r="E1094" s="66"/>
      <c r="F1094" s="67"/>
      <c r="G1094" s="66"/>
      <c r="H1094" s="53" t="e">
        <f>VLOOKUP(E1094,DIP计划!E:J,6,0)</f>
        <v>#N/A</v>
      </c>
      <c r="I1094" s="64">
        <f t="shared" si="32"/>
        <v>0</v>
      </c>
      <c r="J1094" s="68" t="e">
        <f>VLOOKUP(D1094,DIP计划!D:G,4,0)</f>
        <v>#N/A</v>
      </c>
      <c r="K1094" s="5" t="e">
        <f t="shared" si="33"/>
        <v>#N/A</v>
      </c>
      <c r="L1094" s="69"/>
    </row>
    <row r="1095" spans="1:12" x14ac:dyDescent="0.3">
      <c r="A1095" s="64"/>
      <c r="B1095" s="65" t="e">
        <f>VLOOKUP(C1095,[7]完成订单!$D:$D,1,0)</f>
        <v>#N/A</v>
      </c>
      <c r="C1095" s="66"/>
      <c r="D1095" s="66"/>
      <c r="E1095" s="66"/>
      <c r="F1095" s="67"/>
      <c r="G1095" s="66"/>
      <c r="H1095" s="53" t="e">
        <f>VLOOKUP(E1095,DIP计划!E:J,6,0)</f>
        <v>#N/A</v>
      </c>
      <c r="I1095" s="64">
        <f t="shared" si="32"/>
        <v>0</v>
      </c>
      <c r="J1095" s="68" t="e">
        <f>VLOOKUP(D1095,DIP计划!D:G,4,0)</f>
        <v>#N/A</v>
      </c>
      <c r="K1095" s="5" t="e">
        <f t="shared" si="33"/>
        <v>#N/A</v>
      </c>
      <c r="L1095" s="69"/>
    </row>
    <row r="1096" spans="1:12" x14ac:dyDescent="0.3">
      <c r="A1096" s="64"/>
      <c r="B1096" s="65" t="e">
        <f>VLOOKUP(C1096,[7]完成订单!$D:$D,1,0)</f>
        <v>#N/A</v>
      </c>
      <c r="C1096" s="66"/>
      <c r="D1096" s="66"/>
      <c r="E1096" s="66"/>
      <c r="F1096" s="67"/>
      <c r="G1096" s="66"/>
      <c r="H1096" s="53" t="e">
        <f>VLOOKUP(E1096,DIP计划!E:J,6,0)</f>
        <v>#N/A</v>
      </c>
      <c r="I1096" s="64">
        <f t="shared" si="32"/>
        <v>0</v>
      </c>
      <c r="J1096" s="68" t="e">
        <f>VLOOKUP(D1096,DIP计划!D:G,4,0)</f>
        <v>#N/A</v>
      </c>
      <c r="K1096" s="5" t="e">
        <f t="shared" si="33"/>
        <v>#N/A</v>
      </c>
      <c r="L1096" s="69"/>
    </row>
    <row r="1097" spans="1:12" x14ac:dyDescent="0.3">
      <c r="A1097" s="64"/>
      <c r="B1097" s="65" t="e">
        <f>VLOOKUP(C1097,[7]完成订单!$D:$D,1,0)</f>
        <v>#N/A</v>
      </c>
      <c r="C1097" s="66"/>
      <c r="D1097" s="66"/>
      <c r="E1097" s="66"/>
      <c r="F1097" s="67"/>
      <c r="G1097" s="66"/>
      <c r="H1097" s="53" t="e">
        <f>VLOOKUP(E1097,DIP计划!E:J,6,0)</f>
        <v>#N/A</v>
      </c>
      <c r="I1097" s="64">
        <f t="shared" si="32"/>
        <v>0</v>
      </c>
      <c r="J1097" s="68" t="e">
        <f>VLOOKUP(D1097,DIP计划!D:G,4,0)</f>
        <v>#N/A</v>
      </c>
      <c r="K1097" s="5" t="e">
        <f t="shared" si="33"/>
        <v>#N/A</v>
      </c>
      <c r="L1097" s="69"/>
    </row>
    <row r="1098" spans="1:12" x14ac:dyDescent="0.3">
      <c r="A1098" s="64"/>
      <c r="B1098" s="65" t="e">
        <f>VLOOKUP(C1098,[7]完成订单!$D:$D,1,0)</f>
        <v>#N/A</v>
      </c>
      <c r="C1098" s="66"/>
      <c r="D1098" s="66"/>
      <c r="E1098" s="66"/>
      <c r="F1098" s="67"/>
      <c r="G1098" s="66"/>
      <c r="H1098" s="53" t="e">
        <f>VLOOKUP(E1098,DIP计划!E:J,6,0)</f>
        <v>#N/A</v>
      </c>
      <c r="I1098" s="64">
        <f t="shared" si="32"/>
        <v>0</v>
      </c>
      <c r="J1098" s="68" t="e">
        <f>VLOOKUP(D1098,DIP计划!D:G,4,0)</f>
        <v>#N/A</v>
      </c>
      <c r="K1098" s="5" t="e">
        <f t="shared" si="33"/>
        <v>#N/A</v>
      </c>
      <c r="L1098" s="69"/>
    </row>
    <row r="1099" spans="1:12" x14ac:dyDescent="0.3">
      <c r="A1099" s="64"/>
      <c r="B1099" s="65" t="e">
        <f>VLOOKUP(C1099,[7]完成订单!$D:$D,1,0)</f>
        <v>#N/A</v>
      </c>
      <c r="C1099" s="66"/>
      <c r="D1099" s="66"/>
      <c r="E1099" s="66"/>
      <c r="F1099" s="67"/>
      <c r="G1099" s="66"/>
      <c r="H1099" s="53" t="e">
        <f>VLOOKUP(E1099,DIP计划!E:J,6,0)</f>
        <v>#N/A</v>
      </c>
      <c r="I1099" s="64">
        <f t="shared" si="32"/>
        <v>0</v>
      </c>
      <c r="J1099" s="68" t="e">
        <f>VLOOKUP(D1099,DIP计划!D:G,4,0)</f>
        <v>#N/A</v>
      </c>
      <c r="K1099" s="5" t="e">
        <f t="shared" si="33"/>
        <v>#N/A</v>
      </c>
      <c r="L1099" s="69"/>
    </row>
    <row r="1100" spans="1:12" x14ac:dyDescent="0.3">
      <c r="A1100" s="64"/>
      <c r="B1100" s="65" t="e">
        <f>VLOOKUP(C1100,[7]完成订单!$D:$D,1,0)</f>
        <v>#N/A</v>
      </c>
      <c r="C1100" s="66"/>
      <c r="D1100" s="66"/>
      <c r="E1100" s="66"/>
      <c r="F1100" s="67"/>
      <c r="G1100" s="66"/>
      <c r="H1100" s="53" t="e">
        <f>VLOOKUP(E1100,DIP计划!E:J,6,0)</f>
        <v>#N/A</v>
      </c>
      <c r="I1100" s="64">
        <f t="shared" si="32"/>
        <v>0</v>
      </c>
      <c r="J1100" s="68" t="e">
        <f>VLOOKUP(D1100,DIP计划!D:G,4,0)</f>
        <v>#N/A</v>
      </c>
      <c r="K1100" s="5" t="e">
        <f t="shared" si="33"/>
        <v>#N/A</v>
      </c>
      <c r="L1100" s="69"/>
    </row>
    <row r="1101" spans="1:12" x14ac:dyDescent="0.3">
      <c r="A1101" s="64"/>
      <c r="B1101" s="65" t="e">
        <f>VLOOKUP(C1101,[7]完成订单!$D:$D,1,0)</f>
        <v>#N/A</v>
      </c>
      <c r="C1101" s="66"/>
      <c r="D1101" s="66"/>
      <c r="E1101" s="66"/>
      <c r="F1101" s="67"/>
      <c r="G1101" s="66"/>
      <c r="H1101" s="53" t="e">
        <f>VLOOKUP(E1101,DIP计划!E:J,6,0)</f>
        <v>#N/A</v>
      </c>
      <c r="I1101" s="64">
        <f t="shared" si="32"/>
        <v>0</v>
      </c>
      <c r="J1101" s="68" t="e">
        <f>VLOOKUP(D1101,DIP计划!D:G,4,0)</f>
        <v>#N/A</v>
      </c>
      <c r="K1101" s="5" t="e">
        <f t="shared" si="33"/>
        <v>#N/A</v>
      </c>
      <c r="L1101" s="69"/>
    </row>
    <row r="1102" spans="1:12" x14ac:dyDescent="0.3">
      <c r="A1102" s="64"/>
      <c r="B1102" s="65" t="e">
        <f>VLOOKUP(C1102,[7]完成订单!$D:$D,1,0)</f>
        <v>#N/A</v>
      </c>
      <c r="C1102" s="66"/>
      <c r="D1102" s="66"/>
      <c r="E1102" s="66"/>
      <c r="F1102" s="67"/>
      <c r="G1102" s="66"/>
      <c r="H1102" s="53" t="e">
        <f>VLOOKUP(E1102,DIP计划!E:J,6,0)</f>
        <v>#N/A</v>
      </c>
      <c r="I1102" s="64">
        <f t="shared" si="32"/>
        <v>0</v>
      </c>
      <c r="J1102" s="68" t="e">
        <f>VLOOKUP(D1102,DIP计划!D:G,4,0)</f>
        <v>#N/A</v>
      </c>
      <c r="K1102" s="5" t="e">
        <f t="shared" si="33"/>
        <v>#N/A</v>
      </c>
      <c r="L1102" s="69"/>
    </row>
    <row r="1103" spans="1:12" x14ac:dyDescent="0.3">
      <c r="A1103" s="64"/>
      <c r="B1103" s="65" t="e">
        <f>VLOOKUP(C1103,[7]完成订单!$D:$D,1,0)</f>
        <v>#N/A</v>
      </c>
      <c r="C1103" s="66"/>
      <c r="D1103" s="66"/>
      <c r="E1103" s="66"/>
      <c r="F1103" s="67"/>
      <c r="G1103" s="66"/>
      <c r="H1103" s="53" t="e">
        <f>VLOOKUP(E1103,DIP计划!E:J,6,0)</f>
        <v>#N/A</v>
      </c>
      <c r="I1103" s="64">
        <f t="shared" si="32"/>
        <v>0</v>
      </c>
      <c r="J1103" s="68" t="e">
        <f>VLOOKUP(D1103,DIP计划!D:G,4,0)</f>
        <v>#N/A</v>
      </c>
      <c r="K1103" s="5" t="e">
        <f t="shared" si="33"/>
        <v>#N/A</v>
      </c>
      <c r="L1103" s="69"/>
    </row>
    <row r="1104" spans="1:12" x14ac:dyDescent="0.3">
      <c r="A1104" s="64"/>
      <c r="B1104" s="65" t="e">
        <f>VLOOKUP(C1104,[7]完成订单!$D:$D,1,0)</f>
        <v>#N/A</v>
      </c>
      <c r="C1104" s="66"/>
      <c r="D1104" s="66"/>
      <c r="E1104" s="66"/>
      <c r="F1104" s="67"/>
      <c r="G1104" s="66"/>
      <c r="H1104" s="53" t="e">
        <f>VLOOKUP(E1104,DIP计划!E:J,6,0)</f>
        <v>#N/A</v>
      </c>
      <c r="I1104" s="64">
        <f t="shared" si="32"/>
        <v>0</v>
      </c>
      <c r="J1104" s="68" t="e">
        <f>VLOOKUP(D1104,DIP计划!D:G,4,0)</f>
        <v>#N/A</v>
      </c>
      <c r="K1104" s="5" t="e">
        <f t="shared" si="33"/>
        <v>#N/A</v>
      </c>
      <c r="L1104" s="69"/>
    </row>
    <row r="1105" spans="1:12" x14ac:dyDescent="0.3">
      <c r="A1105" s="64"/>
      <c r="B1105" s="65" t="e">
        <f>VLOOKUP(C1105,[7]完成订单!$D:$D,1,0)</f>
        <v>#N/A</v>
      </c>
      <c r="C1105" s="66"/>
      <c r="D1105" s="66"/>
      <c r="E1105" s="66"/>
      <c r="F1105" s="67"/>
      <c r="G1105" s="66"/>
      <c r="H1105" s="53" t="e">
        <f>VLOOKUP(E1105,DIP计划!E:J,6,0)</f>
        <v>#N/A</v>
      </c>
      <c r="I1105" s="64">
        <f t="shared" si="32"/>
        <v>0</v>
      </c>
      <c r="J1105" s="68" t="e">
        <f>VLOOKUP(D1105,DIP计划!D:G,4,0)</f>
        <v>#N/A</v>
      </c>
      <c r="K1105" s="5" t="e">
        <f t="shared" si="33"/>
        <v>#N/A</v>
      </c>
      <c r="L1105" s="69"/>
    </row>
    <row r="1106" spans="1:12" x14ac:dyDescent="0.3">
      <c r="A1106" s="64"/>
      <c r="B1106" s="65" t="e">
        <f>VLOOKUP(C1106,[7]完成订单!$D:$D,1,0)</f>
        <v>#N/A</v>
      </c>
      <c r="C1106" s="66"/>
      <c r="D1106" s="66"/>
      <c r="E1106" s="66"/>
      <c r="F1106" s="67"/>
      <c r="G1106" s="66"/>
      <c r="H1106" s="53" t="e">
        <f>VLOOKUP(E1106,DIP计划!E:J,6,0)</f>
        <v>#N/A</v>
      </c>
      <c r="I1106" s="64">
        <f t="shared" si="32"/>
        <v>0</v>
      </c>
      <c r="J1106" s="68" t="e">
        <f>VLOOKUP(D1106,DIP计划!D:G,4,0)</f>
        <v>#N/A</v>
      </c>
      <c r="K1106" s="5" t="e">
        <f t="shared" si="33"/>
        <v>#N/A</v>
      </c>
      <c r="L1106" s="69"/>
    </row>
    <row r="1107" spans="1:12" x14ac:dyDescent="0.3">
      <c r="A1107" s="64"/>
      <c r="B1107" s="65" t="e">
        <f>VLOOKUP(C1107,[7]完成订单!$D:$D,1,0)</f>
        <v>#N/A</v>
      </c>
      <c r="C1107" s="66"/>
      <c r="D1107" s="66"/>
      <c r="E1107" s="66"/>
      <c r="F1107" s="67"/>
      <c r="G1107" s="66"/>
      <c r="H1107" s="53" t="e">
        <f>VLOOKUP(E1107,DIP计划!E:J,6,0)</f>
        <v>#N/A</v>
      </c>
      <c r="I1107" s="64">
        <f t="shared" si="32"/>
        <v>0</v>
      </c>
      <c r="J1107" s="68" t="e">
        <f>VLOOKUP(D1107,DIP计划!D:G,4,0)</f>
        <v>#N/A</v>
      </c>
      <c r="K1107" s="5" t="e">
        <f t="shared" si="33"/>
        <v>#N/A</v>
      </c>
      <c r="L1107" s="69"/>
    </row>
    <row r="1108" spans="1:12" x14ac:dyDescent="0.3">
      <c r="A1108" s="64"/>
      <c r="B1108" s="65" t="e">
        <f>VLOOKUP(C1108,[7]完成订单!$D:$D,1,0)</f>
        <v>#N/A</v>
      </c>
      <c r="C1108" s="66"/>
      <c r="D1108" s="66"/>
      <c r="E1108" s="66"/>
      <c r="F1108" s="67"/>
      <c r="G1108" s="66"/>
      <c r="H1108" s="53" t="e">
        <f>VLOOKUP(E1108,DIP计划!E:J,6,0)</f>
        <v>#N/A</v>
      </c>
      <c r="I1108" s="64">
        <f t="shared" si="32"/>
        <v>0</v>
      </c>
      <c r="J1108" s="68" t="e">
        <f>VLOOKUP(D1108,DIP计划!D:G,4,0)</f>
        <v>#N/A</v>
      </c>
      <c r="K1108" s="5" t="e">
        <f t="shared" si="33"/>
        <v>#N/A</v>
      </c>
      <c r="L1108" s="69"/>
    </row>
    <row r="1109" spans="1:12" x14ac:dyDescent="0.3">
      <c r="A1109" s="64"/>
      <c r="B1109" s="65" t="e">
        <f>VLOOKUP(C1109,[7]完成订单!$D:$D,1,0)</f>
        <v>#N/A</v>
      </c>
      <c r="C1109" s="66"/>
      <c r="D1109" s="66"/>
      <c r="E1109" s="66"/>
      <c r="F1109" s="67"/>
      <c r="G1109" s="66"/>
      <c r="H1109" s="53" t="e">
        <f>VLOOKUP(E1109,DIP计划!E:J,6,0)</f>
        <v>#N/A</v>
      </c>
      <c r="I1109" s="64">
        <f t="shared" si="32"/>
        <v>0</v>
      </c>
      <c r="J1109" s="68" t="e">
        <f>VLOOKUP(D1109,DIP计划!D:G,4,0)</f>
        <v>#N/A</v>
      </c>
      <c r="K1109" s="5" t="e">
        <f t="shared" si="33"/>
        <v>#N/A</v>
      </c>
      <c r="L1109" s="69"/>
    </row>
    <row r="1110" spans="1:12" x14ac:dyDescent="0.3">
      <c r="A1110" s="64"/>
      <c r="B1110" s="65" t="e">
        <f>VLOOKUP(C1110,[7]完成订单!$D:$D,1,0)</f>
        <v>#N/A</v>
      </c>
      <c r="C1110" s="66"/>
      <c r="D1110" s="66"/>
      <c r="E1110" s="66"/>
      <c r="F1110" s="67"/>
      <c r="G1110" s="66"/>
      <c r="H1110" s="53" t="e">
        <f>VLOOKUP(E1110,DIP计划!E:J,6,0)</f>
        <v>#N/A</v>
      </c>
      <c r="I1110" s="64">
        <f t="shared" si="32"/>
        <v>0</v>
      </c>
      <c r="J1110" s="68" t="e">
        <f>VLOOKUP(D1110,DIP计划!D:G,4,0)</f>
        <v>#N/A</v>
      </c>
      <c r="K1110" s="5" t="e">
        <f t="shared" si="33"/>
        <v>#N/A</v>
      </c>
      <c r="L1110" s="69"/>
    </row>
    <row r="1111" spans="1:12" x14ac:dyDescent="0.3">
      <c r="A1111" s="64"/>
      <c r="B1111" s="65" t="e">
        <f>VLOOKUP(C1111,[7]完成订单!$D:$D,1,0)</f>
        <v>#N/A</v>
      </c>
      <c r="C1111" s="66"/>
      <c r="D1111" s="66"/>
      <c r="E1111" s="66"/>
      <c r="F1111" s="67"/>
      <c r="G1111" s="66"/>
      <c r="H1111" s="53" t="e">
        <f>VLOOKUP(E1111,DIP计划!E:J,6,0)</f>
        <v>#N/A</v>
      </c>
      <c r="I1111" s="64">
        <f t="shared" si="32"/>
        <v>0</v>
      </c>
      <c r="J1111" s="68" t="e">
        <f>VLOOKUP(D1111,DIP计划!D:G,4,0)</f>
        <v>#N/A</v>
      </c>
      <c r="K1111" s="5" t="e">
        <f t="shared" si="33"/>
        <v>#N/A</v>
      </c>
      <c r="L1111" s="69"/>
    </row>
    <row r="1112" spans="1:12" x14ac:dyDescent="0.3">
      <c r="A1112" s="64"/>
      <c r="B1112" s="65" t="e">
        <f>VLOOKUP(C1112,[7]完成订单!$D:$D,1,0)</f>
        <v>#N/A</v>
      </c>
      <c r="C1112" s="66"/>
      <c r="D1112" s="66"/>
      <c r="E1112" s="66"/>
      <c r="F1112" s="67"/>
      <c r="G1112" s="66"/>
      <c r="H1112" s="53" t="e">
        <f>VLOOKUP(E1112,DIP计划!E:J,6,0)</f>
        <v>#N/A</v>
      </c>
      <c r="I1112" s="64">
        <f t="shared" si="32"/>
        <v>0</v>
      </c>
      <c r="J1112" s="68" t="e">
        <f>VLOOKUP(D1112,DIP计划!D:G,4,0)</f>
        <v>#N/A</v>
      </c>
      <c r="K1112" s="5" t="e">
        <f t="shared" si="33"/>
        <v>#N/A</v>
      </c>
      <c r="L1112" s="69"/>
    </row>
    <row r="1113" spans="1:12" x14ac:dyDescent="0.3">
      <c r="A1113" s="64"/>
      <c r="B1113" s="65" t="e">
        <f>VLOOKUP(C1113,[7]完成订单!$D:$D,1,0)</f>
        <v>#N/A</v>
      </c>
      <c r="C1113" s="66"/>
      <c r="D1113" s="66"/>
      <c r="E1113" s="66"/>
      <c r="F1113" s="67"/>
      <c r="G1113" s="66"/>
      <c r="H1113" s="53" t="e">
        <f>VLOOKUP(E1113,DIP计划!E:J,6,0)</f>
        <v>#N/A</v>
      </c>
      <c r="I1113" s="64">
        <f t="shared" si="32"/>
        <v>0</v>
      </c>
      <c r="J1113" s="68" t="e">
        <f>VLOOKUP(D1113,DIP计划!D:G,4,0)</f>
        <v>#N/A</v>
      </c>
      <c r="K1113" s="5" t="e">
        <f t="shared" si="33"/>
        <v>#N/A</v>
      </c>
      <c r="L1113" s="69"/>
    </row>
    <row r="1114" spans="1:12" x14ac:dyDescent="0.3">
      <c r="A1114" s="64"/>
      <c r="B1114" s="65" t="e">
        <f>VLOOKUP(C1114,[7]完成订单!$D:$D,1,0)</f>
        <v>#N/A</v>
      </c>
      <c r="C1114" s="66"/>
      <c r="D1114" s="66"/>
      <c r="E1114" s="66"/>
      <c r="F1114" s="67"/>
      <c r="G1114" s="66"/>
      <c r="H1114" s="53" t="e">
        <f>VLOOKUP(E1114,DIP计划!E:J,6,0)</f>
        <v>#N/A</v>
      </c>
      <c r="I1114" s="64">
        <f t="shared" ref="I1114:I1177" si="34">A1114</f>
        <v>0</v>
      </c>
      <c r="J1114" s="68" t="e">
        <f>VLOOKUP(D1114,DIP计划!D:G,4,0)</f>
        <v>#N/A</v>
      </c>
      <c r="K1114" s="5" t="e">
        <f t="shared" ref="K1114:K1177" si="35">+J1114-G1114</f>
        <v>#N/A</v>
      </c>
      <c r="L1114" s="69"/>
    </row>
    <row r="1115" spans="1:12" x14ac:dyDescent="0.3">
      <c r="A1115" s="64"/>
      <c r="B1115" s="65" t="e">
        <f>VLOOKUP(C1115,[7]完成订单!$D:$D,1,0)</f>
        <v>#N/A</v>
      </c>
      <c r="C1115" s="66"/>
      <c r="D1115" s="66"/>
      <c r="E1115" s="66"/>
      <c r="F1115" s="67"/>
      <c r="G1115" s="66"/>
      <c r="H1115" s="53" t="e">
        <f>VLOOKUP(E1115,DIP计划!E:J,6,0)</f>
        <v>#N/A</v>
      </c>
      <c r="I1115" s="64">
        <f t="shared" si="34"/>
        <v>0</v>
      </c>
      <c r="J1115" s="68" t="e">
        <f>VLOOKUP(D1115,DIP计划!D:G,4,0)</f>
        <v>#N/A</v>
      </c>
      <c r="K1115" s="5" t="e">
        <f t="shared" si="35"/>
        <v>#N/A</v>
      </c>
      <c r="L1115" s="69"/>
    </row>
    <row r="1116" spans="1:12" x14ac:dyDescent="0.3">
      <c r="A1116" s="64"/>
      <c r="B1116" s="65" t="e">
        <f>VLOOKUP(C1116,[7]完成订单!$D:$D,1,0)</f>
        <v>#N/A</v>
      </c>
      <c r="C1116" s="66"/>
      <c r="D1116" s="66"/>
      <c r="E1116" s="66"/>
      <c r="F1116" s="67"/>
      <c r="G1116" s="66"/>
      <c r="H1116" s="53" t="e">
        <f>VLOOKUP(E1116,DIP计划!E:J,6,0)</f>
        <v>#N/A</v>
      </c>
      <c r="I1116" s="64">
        <f t="shared" si="34"/>
        <v>0</v>
      </c>
      <c r="J1116" s="68" t="e">
        <f>VLOOKUP(D1116,DIP计划!D:G,4,0)</f>
        <v>#N/A</v>
      </c>
      <c r="K1116" s="5" t="e">
        <f t="shared" si="35"/>
        <v>#N/A</v>
      </c>
      <c r="L1116" s="69"/>
    </row>
    <row r="1117" spans="1:12" x14ac:dyDescent="0.3">
      <c r="A1117" s="64"/>
      <c r="B1117" s="65" t="e">
        <f>VLOOKUP(C1117,[7]完成订单!$D:$D,1,0)</f>
        <v>#N/A</v>
      </c>
      <c r="C1117" s="66"/>
      <c r="D1117" s="66"/>
      <c r="E1117" s="66"/>
      <c r="F1117" s="67"/>
      <c r="G1117" s="66"/>
      <c r="H1117" s="53" t="e">
        <f>VLOOKUP(E1117,DIP计划!E:J,6,0)</f>
        <v>#N/A</v>
      </c>
      <c r="I1117" s="64">
        <f t="shared" si="34"/>
        <v>0</v>
      </c>
      <c r="J1117" s="68" t="e">
        <f>VLOOKUP(D1117,DIP计划!D:G,4,0)</f>
        <v>#N/A</v>
      </c>
      <c r="K1117" s="5" t="e">
        <f t="shared" si="35"/>
        <v>#N/A</v>
      </c>
      <c r="L1117" s="69"/>
    </row>
    <row r="1118" spans="1:12" x14ac:dyDescent="0.3">
      <c r="A1118" s="64"/>
      <c r="B1118" s="65" t="e">
        <f>VLOOKUP(C1118,[7]完成订单!$D:$D,1,0)</f>
        <v>#N/A</v>
      </c>
      <c r="C1118" s="66"/>
      <c r="D1118" s="66"/>
      <c r="E1118" s="66"/>
      <c r="F1118" s="67"/>
      <c r="G1118" s="66"/>
      <c r="H1118" s="53" t="e">
        <f>VLOOKUP(E1118,DIP计划!E:J,6,0)</f>
        <v>#N/A</v>
      </c>
      <c r="I1118" s="64">
        <f t="shared" si="34"/>
        <v>0</v>
      </c>
      <c r="J1118" s="68" t="e">
        <f>VLOOKUP(D1118,DIP计划!D:G,4,0)</f>
        <v>#N/A</v>
      </c>
      <c r="K1118" s="5" t="e">
        <f t="shared" si="35"/>
        <v>#N/A</v>
      </c>
      <c r="L1118" s="69"/>
    </row>
    <row r="1119" spans="1:12" x14ac:dyDescent="0.3">
      <c r="A1119" s="64"/>
      <c r="B1119" s="65" t="e">
        <f>VLOOKUP(C1119,[7]完成订单!$D:$D,1,0)</f>
        <v>#N/A</v>
      </c>
      <c r="C1119" s="66"/>
      <c r="D1119" s="66"/>
      <c r="E1119" s="66"/>
      <c r="F1119" s="67"/>
      <c r="G1119" s="66"/>
      <c r="H1119" s="53" t="e">
        <f>VLOOKUP(E1119,DIP计划!E:J,6,0)</f>
        <v>#N/A</v>
      </c>
      <c r="I1119" s="64">
        <f t="shared" si="34"/>
        <v>0</v>
      </c>
      <c r="J1119" s="68" t="e">
        <f>VLOOKUP(D1119,DIP计划!D:G,4,0)</f>
        <v>#N/A</v>
      </c>
      <c r="K1119" s="5" t="e">
        <f t="shared" si="35"/>
        <v>#N/A</v>
      </c>
      <c r="L1119" s="69"/>
    </row>
    <row r="1120" spans="1:12" x14ac:dyDescent="0.3">
      <c r="A1120" s="64"/>
      <c r="B1120" s="65" t="e">
        <f>VLOOKUP(C1120,[7]完成订单!$D:$D,1,0)</f>
        <v>#N/A</v>
      </c>
      <c r="C1120" s="66"/>
      <c r="D1120" s="66"/>
      <c r="E1120" s="66"/>
      <c r="F1120" s="67"/>
      <c r="G1120" s="66"/>
      <c r="H1120" s="53" t="e">
        <f>VLOOKUP(E1120,DIP计划!E:J,6,0)</f>
        <v>#N/A</v>
      </c>
      <c r="I1120" s="64">
        <f t="shared" si="34"/>
        <v>0</v>
      </c>
      <c r="J1120" s="68" t="e">
        <f>VLOOKUP(D1120,DIP计划!D:G,4,0)</f>
        <v>#N/A</v>
      </c>
      <c r="K1120" s="5" t="e">
        <f t="shared" si="35"/>
        <v>#N/A</v>
      </c>
      <c r="L1120" s="69"/>
    </row>
    <row r="1121" spans="1:12" x14ac:dyDescent="0.3">
      <c r="A1121" s="64"/>
      <c r="B1121" s="65" t="e">
        <f>VLOOKUP(C1121,[7]完成订单!$D:$D,1,0)</f>
        <v>#N/A</v>
      </c>
      <c r="C1121" s="66"/>
      <c r="D1121" s="66"/>
      <c r="E1121" s="66"/>
      <c r="F1121" s="67"/>
      <c r="G1121" s="66"/>
      <c r="H1121" s="53" t="e">
        <f>VLOOKUP(E1121,DIP计划!E:J,6,0)</f>
        <v>#N/A</v>
      </c>
      <c r="I1121" s="64">
        <f t="shared" si="34"/>
        <v>0</v>
      </c>
      <c r="J1121" s="68" t="e">
        <f>VLOOKUP(D1121,DIP计划!D:G,4,0)</f>
        <v>#N/A</v>
      </c>
      <c r="K1121" s="5" t="e">
        <f t="shared" si="35"/>
        <v>#N/A</v>
      </c>
      <c r="L1121" s="69"/>
    </row>
    <row r="1122" spans="1:12" x14ac:dyDescent="0.3">
      <c r="A1122" s="64"/>
      <c r="B1122" s="65" t="e">
        <f>VLOOKUP(C1122,[7]完成订单!$D:$D,1,0)</f>
        <v>#N/A</v>
      </c>
      <c r="C1122" s="66"/>
      <c r="D1122" s="66"/>
      <c r="E1122" s="66"/>
      <c r="F1122" s="67"/>
      <c r="G1122" s="66"/>
      <c r="H1122" s="53" t="e">
        <f>VLOOKUP(E1122,DIP计划!E:J,6,0)</f>
        <v>#N/A</v>
      </c>
      <c r="I1122" s="64">
        <f t="shared" si="34"/>
        <v>0</v>
      </c>
      <c r="J1122" s="68" t="e">
        <f>VLOOKUP(D1122,DIP计划!D:G,4,0)</f>
        <v>#N/A</v>
      </c>
      <c r="K1122" s="5" t="e">
        <f t="shared" si="35"/>
        <v>#N/A</v>
      </c>
      <c r="L1122" s="69"/>
    </row>
    <row r="1123" spans="1:12" x14ac:dyDescent="0.3">
      <c r="A1123" s="64"/>
      <c r="B1123" s="65" t="e">
        <f>VLOOKUP(C1123,[7]完成订单!$D:$D,1,0)</f>
        <v>#N/A</v>
      </c>
      <c r="C1123" s="66"/>
      <c r="D1123" s="66"/>
      <c r="E1123" s="66"/>
      <c r="F1123" s="67"/>
      <c r="G1123" s="66"/>
      <c r="H1123" s="53" t="e">
        <f>VLOOKUP(E1123,DIP计划!E:J,6,0)</f>
        <v>#N/A</v>
      </c>
      <c r="I1123" s="64">
        <f t="shared" si="34"/>
        <v>0</v>
      </c>
      <c r="J1123" s="68" t="e">
        <f>VLOOKUP(D1123,DIP计划!D:G,4,0)</f>
        <v>#N/A</v>
      </c>
      <c r="K1123" s="5" t="e">
        <f t="shared" si="35"/>
        <v>#N/A</v>
      </c>
      <c r="L1123" s="69"/>
    </row>
    <row r="1124" spans="1:12" x14ac:dyDescent="0.3">
      <c r="A1124" s="64"/>
      <c r="B1124" s="65" t="e">
        <f>VLOOKUP(C1124,[7]完成订单!$D:$D,1,0)</f>
        <v>#N/A</v>
      </c>
      <c r="C1124" s="66"/>
      <c r="D1124" s="66"/>
      <c r="E1124" s="66"/>
      <c r="F1124" s="67"/>
      <c r="G1124" s="66"/>
      <c r="H1124" s="53" t="e">
        <f>VLOOKUP(E1124,DIP计划!E:J,6,0)</f>
        <v>#N/A</v>
      </c>
      <c r="I1124" s="64">
        <f t="shared" si="34"/>
        <v>0</v>
      </c>
      <c r="J1124" s="68" t="e">
        <f>VLOOKUP(D1124,DIP计划!D:G,4,0)</f>
        <v>#N/A</v>
      </c>
      <c r="K1124" s="5" t="e">
        <f t="shared" si="35"/>
        <v>#N/A</v>
      </c>
      <c r="L1124" s="69"/>
    </row>
    <row r="1125" spans="1:12" x14ac:dyDescent="0.3">
      <c r="A1125" s="64"/>
      <c r="B1125" s="65" t="e">
        <f>VLOOKUP(C1125,[7]完成订单!$D:$D,1,0)</f>
        <v>#N/A</v>
      </c>
      <c r="C1125" s="66"/>
      <c r="D1125" s="66"/>
      <c r="E1125" s="66"/>
      <c r="F1125" s="67"/>
      <c r="G1125" s="66"/>
      <c r="H1125" s="53" t="e">
        <f>VLOOKUP(E1125,DIP计划!E:J,6,0)</f>
        <v>#N/A</v>
      </c>
      <c r="I1125" s="64">
        <f t="shared" si="34"/>
        <v>0</v>
      </c>
      <c r="J1125" s="68" t="e">
        <f>VLOOKUP(D1125,DIP计划!D:G,4,0)</f>
        <v>#N/A</v>
      </c>
      <c r="K1125" s="5" t="e">
        <f t="shared" si="35"/>
        <v>#N/A</v>
      </c>
      <c r="L1125" s="69"/>
    </row>
    <row r="1126" spans="1:12" x14ac:dyDescent="0.3">
      <c r="A1126" s="64"/>
      <c r="B1126" s="65" t="e">
        <f>VLOOKUP(C1126,[7]完成订单!$D:$D,1,0)</f>
        <v>#N/A</v>
      </c>
      <c r="C1126" s="66"/>
      <c r="D1126" s="66"/>
      <c r="E1126" s="66"/>
      <c r="F1126" s="67"/>
      <c r="G1126" s="66"/>
      <c r="H1126" s="53" t="e">
        <f>VLOOKUP(E1126,DIP计划!E:J,6,0)</f>
        <v>#N/A</v>
      </c>
      <c r="I1126" s="64">
        <f t="shared" si="34"/>
        <v>0</v>
      </c>
      <c r="J1126" s="68" t="e">
        <f>VLOOKUP(D1126,DIP计划!D:G,4,0)</f>
        <v>#N/A</v>
      </c>
      <c r="K1126" s="5" t="e">
        <f t="shared" si="35"/>
        <v>#N/A</v>
      </c>
      <c r="L1126" s="69"/>
    </row>
    <row r="1127" spans="1:12" x14ac:dyDescent="0.3">
      <c r="A1127" s="64"/>
      <c r="B1127" s="65" t="e">
        <f>VLOOKUP(C1127,[7]完成订单!$D:$D,1,0)</f>
        <v>#N/A</v>
      </c>
      <c r="C1127" s="66"/>
      <c r="D1127" s="66"/>
      <c r="E1127" s="66"/>
      <c r="F1127" s="67"/>
      <c r="G1127" s="66"/>
      <c r="H1127" s="53" t="e">
        <f>VLOOKUP(E1127,DIP计划!E:J,6,0)</f>
        <v>#N/A</v>
      </c>
      <c r="I1127" s="64">
        <f t="shared" si="34"/>
        <v>0</v>
      </c>
      <c r="J1127" s="68" t="e">
        <f>VLOOKUP(D1127,DIP计划!D:G,4,0)</f>
        <v>#N/A</v>
      </c>
      <c r="K1127" s="5" t="e">
        <f t="shared" si="35"/>
        <v>#N/A</v>
      </c>
      <c r="L1127" s="69"/>
    </row>
    <row r="1128" spans="1:12" x14ac:dyDescent="0.3">
      <c r="A1128" s="64"/>
      <c r="B1128" s="65" t="e">
        <f>VLOOKUP(C1128,[7]完成订单!$D:$D,1,0)</f>
        <v>#N/A</v>
      </c>
      <c r="C1128" s="66"/>
      <c r="D1128" s="66"/>
      <c r="E1128" s="66"/>
      <c r="F1128" s="67"/>
      <c r="G1128" s="66"/>
      <c r="H1128" s="53" t="e">
        <f>VLOOKUP(E1128,DIP计划!E:J,6,0)</f>
        <v>#N/A</v>
      </c>
      <c r="I1128" s="64">
        <f t="shared" si="34"/>
        <v>0</v>
      </c>
      <c r="J1128" s="68" t="e">
        <f>VLOOKUP(D1128,DIP计划!D:G,4,0)</f>
        <v>#N/A</v>
      </c>
      <c r="K1128" s="5" t="e">
        <f t="shared" si="35"/>
        <v>#N/A</v>
      </c>
      <c r="L1128" s="69"/>
    </row>
    <row r="1129" spans="1:12" x14ac:dyDescent="0.3">
      <c r="A1129" s="64"/>
      <c r="B1129" s="65" t="e">
        <f>VLOOKUP(C1129,[7]完成订单!$D:$D,1,0)</f>
        <v>#N/A</v>
      </c>
      <c r="C1129" s="66"/>
      <c r="D1129" s="66"/>
      <c r="E1129" s="66"/>
      <c r="F1129" s="67"/>
      <c r="G1129" s="66"/>
      <c r="H1129" s="53" t="e">
        <f>VLOOKUP(E1129,DIP计划!E:J,6,0)</f>
        <v>#N/A</v>
      </c>
      <c r="I1129" s="64">
        <f t="shared" si="34"/>
        <v>0</v>
      </c>
      <c r="J1129" s="68" t="e">
        <f>VLOOKUP(D1129,DIP计划!D:G,4,0)</f>
        <v>#N/A</v>
      </c>
      <c r="K1129" s="5" t="e">
        <f t="shared" si="35"/>
        <v>#N/A</v>
      </c>
      <c r="L1129" s="69"/>
    </row>
    <row r="1130" spans="1:12" x14ac:dyDescent="0.3">
      <c r="A1130" s="64"/>
      <c r="B1130" s="65" t="e">
        <f>VLOOKUP(C1130,[7]完成订单!$D:$D,1,0)</f>
        <v>#N/A</v>
      </c>
      <c r="C1130" s="66"/>
      <c r="D1130" s="66"/>
      <c r="E1130" s="66"/>
      <c r="F1130" s="67"/>
      <c r="G1130" s="66"/>
      <c r="H1130" s="53" t="e">
        <f>VLOOKUP(E1130,DIP计划!E:J,6,0)</f>
        <v>#N/A</v>
      </c>
      <c r="I1130" s="64">
        <f t="shared" si="34"/>
        <v>0</v>
      </c>
      <c r="J1130" s="68" t="e">
        <f>VLOOKUP(D1130,DIP计划!D:G,4,0)</f>
        <v>#N/A</v>
      </c>
      <c r="K1130" s="5" t="e">
        <f t="shared" si="35"/>
        <v>#N/A</v>
      </c>
      <c r="L1130" s="69"/>
    </row>
    <row r="1131" spans="1:12" x14ac:dyDescent="0.3">
      <c r="A1131" s="64"/>
      <c r="B1131" s="65" t="e">
        <f>VLOOKUP(C1131,[7]完成订单!$D:$D,1,0)</f>
        <v>#N/A</v>
      </c>
      <c r="C1131" s="66"/>
      <c r="D1131" s="66"/>
      <c r="E1131" s="66"/>
      <c r="F1131" s="67"/>
      <c r="G1131" s="66"/>
      <c r="H1131" s="53" t="e">
        <f>VLOOKUP(E1131,DIP计划!E:J,6,0)</f>
        <v>#N/A</v>
      </c>
      <c r="I1131" s="64">
        <f t="shared" si="34"/>
        <v>0</v>
      </c>
      <c r="J1131" s="68" t="e">
        <f>VLOOKUP(D1131,DIP计划!D:G,4,0)</f>
        <v>#N/A</v>
      </c>
      <c r="K1131" s="5" t="e">
        <f t="shared" si="35"/>
        <v>#N/A</v>
      </c>
      <c r="L1131" s="69"/>
    </row>
    <row r="1132" spans="1:12" x14ac:dyDescent="0.3">
      <c r="A1132" s="64"/>
      <c r="B1132" s="65" t="e">
        <f>VLOOKUP(C1132,[7]完成订单!$D:$D,1,0)</f>
        <v>#N/A</v>
      </c>
      <c r="C1132" s="66"/>
      <c r="D1132" s="66"/>
      <c r="E1132" s="66"/>
      <c r="F1132" s="67"/>
      <c r="G1132" s="66"/>
      <c r="H1132" s="53" t="e">
        <f>VLOOKUP(E1132,DIP计划!E:J,6,0)</f>
        <v>#N/A</v>
      </c>
      <c r="I1132" s="64">
        <f t="shared" si="34"/>
        <v>0</v>
      </c>
      <c r="J1132" s="68" t="e">
        <f>VLOOKUP(D1132,DIP计划!D:G,4,0)</f>
        <v>#N/A</v>
      </c>
      <c r="K1132" s="5" t="e">
        <f t="shared" si="35"/>
        <v>#N/A</v>
      </c>
      <c r="L1132" s="69"/>
    </row>
    <row r="1133" spans="1:12" x14ac:dyDescent="0.3">
      <c r="A1133" s="64"/>
      <c r="B1133" s="65" t="e">
        <f>VLOOKUP(C1133,[7]完成订单!$D:$D,1,0)</f>
        <v>#N/A</v>
      </c>
      <c r="C1133" s="66"/>
      <c r="D1133" s="66"/>
      <c r="E1133" s="66"/>
      <c r="F1133" s="67"/>
      <c r="G1133" s="66"/>
      <c r="H1133" s="53" t="e">
        <f>VLOOKUP(E1133,DIP计划!E:J,6,0)</f>
        <v>#N/A</v>
      </c>
      <c r="I1133" s="64">
        <f t="shared" si="34"/>
        <v>0</v>
      </c>
      <c r="J1133" s="68" t="e">
        <f>VLOOKUP(D1133,DIP计划!D:G,4,0)</f>
        <v>#N/A</v>
      </c>
      <c r="K1133" s="5" t="e">
        <f t="shared" si="35"/>
        <v>#N/A</v>
      </c>
      <c r="L1133" s="69"/>
    </row>
    <row r="1134" spans="1:12" x14ac:dyDescent="0.3">
      <c r="A1134" s="64"/>
      <c r="B1134" s="65" t="e">
        <f>VLOOKUP(C1134,[7]完成订单!$D:$D,1,0)</f>
        <v>#N/A</v>
      </c>
      <c r="C1134" s="66"/>
      <c r="D1134" s="66"/>
      <c r="E1134" s="66"/>
      <c r="F1134" s="67"/>
      <c r="G1134" s="66"/>
      <c r="H1134" s="53" t="e">
        <f>VLOOKUP(E1134,DIP计划!E:J,6,0)</f>
        <v>#N/A</v>
      </c>
      <c r="I1134" s="64">
        <f t="shared" si="34"/>
        <v>0</v>
      </c>
      <c r="J1134" s="68" t="e">
        <f>VLOOKUP(D1134,DIP计划!D:G,4,0)</f>
        <v>#N/A</v>
      </c>
      <c r="K1134" s="5" t="e">
        <f t="shared" si="35"/>
        <v>#N/A</v>
      </c>
      <c r="L1134" s="69"/>
    </row>
    <row r="1135" spans="1:12" x14ac:dyDescent="0.3">
      <c r="A1135" s="64"/>
      <c r="B1135" s="65" t="e">
        <f>VLOOKUP(C1135,[7]完成订单!$D:$D,1,0)</f>
        <v>#N/A</v>
      </c>
      <c r="C1135" s="66"/>
      <c r="D1135" s="66"/>
      <c r="E1135" s="66"/>
      <c r="F1135" s="67"/>
      <c r="G1135" s="66"/>
      <c r="H1135" s="53" t="e">
        <f>VLOOKUP(E1135,DIP计划!E:J,6,0)</f>
        <v>#N/A</v>
      </c>
      <c r="I1135" s="64">
        <f t="shared" si="34"/>
        <v>0</v>
      </c>
      <c r="J1135" s="68" t="e">
        <f>VLOOKUP(D1135,DIP计划!D:G,4,0)</f>
        <v>#N/A</v>
      </c>
      <c r="K1135" s="5" t="e">
        <f t="shared" si="35"/>
        <v>#N/A</v>
      </c>
      <c r="L1135" s="69"/>
    </row>
    <row r="1136" spans="1:12" x14ac:dyDescent="0.3">
      <c r="A1136" s="64"/>
      <c r="B1136" s="65" t="e">
        <f>VLOOKUP(C1136,[7]完成订单!$D:$D,1,0)</f>
        <v>#N/A</v>
      </c>
      <c r="C1136" s="66"/>
      <c r="D1136" s="66"/>
      <c r="E1136" s="66"/>
      <c r="F1136" s="67"/>
      <c r="G1136" s="66"/>
      <c r="H1136" s="53" t="e">
        <f>VLOOKUP(E1136,DIP计划!E:J,6,0)</f>
        <v>#N/A</v>
      </c>
      <c r="I1136" s="64">
        <f t="shared" si="34"/>
        <v>0</v>
      </c>
      <c r="J1136" s="68" t="e">
        <f>VLOOKUP(D1136,DIP计划!D:G,4,0)</f>
        <v>#N/A</v>
      </c>
      <c r="K1136" s="5" t="e">
        <f t="shared" si="35"/>
        <v>#N/A</v>
      </c>
      <c r="L1136" s="69"/>
    </row>
    <row r="1137" spans="1:12" x14ac:dyDescent="0.3">
      <c r="A1137" s="64"/>
      <c r="B1137" s="65" t="e">
        <f>VLOOKUP(C1137,[7]完成订单!$D:$D,1,0)</f>
        <v>#N/A</v>
      </c>
      <c r="C1137" s="66"/>
      <c r="D1137" s="66"/>
      <c r="E1137" s="66"/>
      <c r="F1137" s="67"/>
      <c r="G1137" s="66"/>
      <c r="H1137" s="53" t="e">
        <f>VLOOKUP(E1137,DIP计划!E:J,6,0)</f>
        <v>#N/A</v>
      </c>
      <c r="I1137" s="64">
        <f t="shared" si="34"/>
        <v>0</v>
      </c>
      <c r="J1137" s="68" t="e">
        <f>VLOOKUP(D1137,DIP计划!D:G,4,0)</f>
        <v>#N/A</v>
      </c>
      <c r="K1137" s="5" t="e">
        <f t="shared" si="35"/>
        <v>#N/A</v>
      </c>
      <c r="L1137" s="69"/>
    </row>
    <row r="1138" spans="1:12" x14ac:dyDescent="0.3">
      <c r="A1138" s="64"/>
      <c r="B1138" s="65" t="e">
        <f>VLOOKUP(C1138,[7]完成订单!$D:$D,1,0)</f>
        <v>#N/A</v>
      </c>
      <c r="C1138" s="66"/>
      <c r="D1138" s="66"/>
      <c r="E1138" s="66"/>
      <c r="F1138" s="67"/>
      <c r="G1138" s="66"/>
      <c r="H1138" s="53" t="e">
        <f>VLOOKUP(E1138,DIP计划!E:J,6,0)</f>
        <v>#N/A</v>
      </c>
      <c r="I1138" s="64">
        <f t="shared" si="34"/>
        <v>0</v>
      </c>
      <c r="J1138" s="68" t="e">
        <f>VLOOKUP(D1138,DIP计划!D:G,4,0)</f>
        <v>#N/A</v>
      </c>
      <c r="K1138" s="5" t="e">
        <f t="shared" si="35"/>
        <v>#N/A</v>
      </c>
      <c r="L1138" s="69"/>
    </row>
    <row r="1139" spans="1:12" x14ac:dyDescent="0.3">
      <c r="A1139" s="64"/>
      <c r="B1139" s="65" t="e">
        <f>VLOOKUP(C1139,[7]完成订单!$D:$D,1,0)</f>
        <v>#N/A</v>
      </c>
      <c r="C1139" s="66"/>
      <c r="D1139" s="66"/>
      <c r="E1139" s="66"/>
      <c r="F1139" s="67"/>
      <c r="G1139" s="66"/>
      <c r="H1139" s="53" t="e">
        <f>VLOOKUP(E1139,DIP计划!E:J,6,0)</f>
        <v>#N/A</v>
      </c>
      <c r="I1139" s="64">
        <f t="shared" si="34"/>
        <v>0</v>
      </c>
      <c r="J1139" s="68" t="e">
        <f>VLOOKUP(D1139,DIP计划!D:G,4,0)</f>
        <v>#N/A</v>
      </c>
      <c r="K1139" s="5" t="e">
        <f t="shared" si="35"/>
        <v>#N/A</v>
      </c>
      <c r="L1139" s="69"/>
    </row>
    <row r="1140" spans="1:12" x14ac:dyDescent="0.3">
      <c r="A1140" s="64"/>
      <c r="B1140" s="65" t="e">
        <f>VLOOKUP(C1140,[7]完成订单!$D:$D,1,0)</f>
        <v>#N/A</v>
      </c>
      <c r="C1140" s="66"/>
      <c r="D1140" s="66"/>
      <c r="E1140" s="66"/>
      <c r="F1140" s="67"/>
      <c r="G1140" s="66"/>
      <c r="H1140" s="53" t="e">
        <f>VLOOKUP(E1140,DIP计划!E:J,6,0)</f>
        <v>#N/A</v>
      </c>
      <c r="I1140" s="64">
        <f t="shared" si="34"/>
        <v>0</v>
      </c>
      <c r="J1140" s="68" t="e">
        <f>VLOOKUP(D1140,DIP计划!D:G,4,0)</f>
        <v>#N/A</v>
      </c>
      <c r="K1140" s="5" t="e">
        <f t="shared" si="35"/>
        <v>#N/A</v>
      </c>
      <c r="L1140" s="69"/>
    </row>
    <row r="1141" spans="1:12" x14ac:dyDescent="0.3">
      <c r="A1141" s="64"/>
      <c r="B1141" s="65" t="e">
        <f>VLOOKUP(C1141,[7]完成订单!$D:$D,1,0)</f>
        <v>#N/A</v>
      </c>
      <c r="C1141" s="66"/>
      <c r="D1141" s="66"/>
      <c r="E1141" s="66"/>
      <c r="F1141" s="67"/>
      <c r="G1141" s="66"/>
      <c r="H1141" s="53" t="e">
        <f>VLOOKUP(E1141,DIP计划!E:J,6,0)</f>
        <v>#N/A</v>
      </c>
      <c r="I1141" s="64">
        <f t="shared" si="34"/>
        <v>0</v>
      </c>
      <c r="J1141" s="68" t="e">
        <f>VLOOKUP(D1141,DIP计划!D:G,4,0)</f>
        <v>#N/A</v>
      </c>
      <c r="K1141" s="5" t="e">
        <f t="shared" si="35"/>
        <v>#N/A</v>
      </c>
      <c r="L1141" s="69"/>
    </row>
    <row r="1142" spans="1:12" x14ac:dyDescent="0.3">
      <c r="A1142" s="64"/>
      <c r="B1142" s="65" t="e">
        <f>VLOOKUP(C1142,[7]完成订单!$D:$D,1,0)</f>
        <v>#N/A</v>
      </c>
      <c r="C1142" s="66"/>
      <c r="D1142" s="66"/>
      <c r="E1142" s="66"/>
      <c r="F1142" s="67"/>
      <c r="G1142" s="66"/>
      <c r="H1142" s="53" t="e">
        <f>VLOOKUP(E1142,DIP计划!E:J,6,0)</f>
        <v>#N/A</v>
      </c>
      <c r="I1142" s="64">
        <f t="shared" si="34"/>
        <v>0</v>
      </c>
      <c r="J1142" s="68" t="e">
        <f>VLOOKUP(D1142,DIP计划!D:G,4,0)</f>
        <v>#N/A</v>
      </c>
      <c r="K1142" s="5" t="e">
        <f t="shared" si="35"/>
        <v>#N/A</v>
      </c>
      <c r="L1142" s="69"/>
    </row>
    <row r="1143" spans="1:12" x14ac:dyDescent="0.3">
      <c r="A1143" s="64"/>
      <c r="B1143" s="65" t="e">
        <f>VLOOKUP(C1143,[7]完成订单!$D:$D,1,0)</f>
        <v>#N/A</v>
      </c>
      <c r="C1143" s="66"/>
      <c r="D1143" s="66"/>
      <c r="E1143" s="66"/>
      <c r="F1143" s="67"/>
      <c r="G1143" s="66"/>
      <c r="H1143" s="53" t="e">
        <f>VLOOKUP(E1143,DIP计划!E:J,6,0)</f>
        <v>#N/A</v>
      </c>
      <c r="I1143" s="64">
        <f t="shared" si="34"/>
        <v>0</v>
      </c>
      <c r="J1143" s="68" t="e">
        <f>VLOOKUP(D1143,DIP计划!D:G,4,0)</f>
        <v>#N/A</v>
      </c>
      <c r="K1143" s="5" t="e">
        <f t="shared" si="35"/>
        <v>#N/A</v>
      </c>
      <c r="L1143" s="69"/>
    </row>
    <row r="1144" spans="1:12" x14ac:dyDescent="0.3">
      <c r="A1144" s="64"/>
      <c r="B1144" s="65" t="e">
        <f>VLOOKUP(C1144,[7]完成订单!$D:$D,1,0)</f>
        <v>#N/A</v>
      </c>
      <c r="C1144" s="66"/>
      <c r="D1144" s="66"/>
      <c r="E1144" s="66"/>
      <c r="F1144" s="67"/>
      <c r="G1144" s="66"/>
      <c r="H1144" s="53" t="e">
        <f>VLOOKUP(E1144,DIP计划!E:J,6,0)</f>
        <v>#N/A</v>
      </c>
      <c r="I1144" s="64">
        <f t="shared" si="34"/>
        <v>0</v>
      </c>
      <c r="J1144" s="68" t="e">
        <f>VLOOKUP(D1144,DIP计划!D:G,4,0)</f>
        <v>#N/A</v>
      </c>
      <c r="K1144" s="5" t="e">
        <f t="shared" si="35"/>
        <v>#N/A</v>
      </c>
      <c r="L1144" s="69"/>
    </row>
    <row r="1145" spans="1:12" x14ac:dyDescent="0.3">
      <c r="A1145" s="64"/>
      <c r="B1145" s="65" t="e">
        <f>VLOOKUP(C1145,[7]完成订单!$D:$D,1,0)</f>
        <v>#N/A</v>
      </c>
      <c r="C1145" s="66"/>
      <c r="D1145" s="66"/>
      <c r="E1145" s="66"/>
      <c r="F1145" s="67"/>
      <c r="G1145" s="66"/>
      <c r="H1145" s="53" t="e">
        <f>VLOOKUP(E1145,DIP计划!E:J,6,0)</f>
        <v>#N/A</v>
      </c>
      <c r="I1145" s="64">
        <f t="shared" si="34"/>
        <v>0</v>
      </c>
      <c r="J1145" s="68" t="e">
        <f>VLOOKUP(D1145,DIP计划!D:G,4,0)</f>
        <v>#N/A</v>
      </c>
      <c r="K1145" s="5" t="e">
        <f t="shared" si="35"/>
        <v>#N/A</v>
      </c>
      <c r="L1145" s="69"/>
    </row>
    <row r="1146" spans="1:12" x14ac:dyDescent="0.3">
      <c r="A1146" s="64"/>
      <c r="B1146" s="65" t="e">
        <f>VLOOKUP(C1146,[7]完成订单!$D:$D,1,0)</f>
        <v>#N/A</v>
      </c>
      <c r="C1146" s="66"/>
      <c r="D1146" s="66"/>
      <c r="E1146" s="66"/>
      <c r="F1146" s="67"/>
      <c r="G1146" s="66"/>
      <c r="H1146" s="53" t="e">
        <f>VLOOKUP(E1146,DIP计划!E:J,6,0)</f>
        <v>#N/A</v>
      </c>
      <c r="I1146" s="64">
        <f t="shared" si="34"/>
        <v>0</v>
      </c>
      <c r="J1146" s="68" t="e">
        <f>VLOOKUP(D1146,DIP计划!D:G,4,0)</f>
        <v>#N/A</v>
      </c>
      <c r="K1146" s="5" t="e">
        <f t="shared" si="35"/>
        <v>#N/A</v>
      </c>
      <c r="L1146" s="69"/>
    </row>
    <row r="1147" spans="1:12" x14ac:dyDescent="0.3">
      <c r="A1147" s="64"/>
      <c r="B1147" s="65" t="e">
        <f>VLOOKUP(C1147,[7]完成订单!$D:$D,1,0)</f>
        <v>#N/A</v>
      </c>
      <c r="C1147" s="66"/>
      <c r="D1147" s="66"/>
      <c r="E1147" s="66"/>
      <c r="F1147" s="67"/>
      <c r="G1147" s="66"/>
      <c r="H1147" s="53" t="e">
        <f>VLOOKUP(E1147,DIP计划!E:J,6,0)</f>
        <v>#N/A</v>
      </c>
      <c r="I1147" s="64">
        <f t="shared" si="34"/>
        <v>0</v>
      </c>
      <c r="J1147" s="68" t="e">
        <f>VLOOKUP(D1147,DIP计划!D:G,4,0)</f>
        <v>#N/A</v>
      </c>
      <c r="K1147" s="5" t="e">
        <f t="shared" si="35"/>
        <v>#N/A</v>
      </c>
      <c r="L1147" s="69"/>
    </row>
    <row r="1148" spans="1:12" x14ac:dyDescent="0.3">
      <c r="A1148" s="64"/>
      <c r="B1148" s="65" t="e">
        <f>VLOOKUP(C1148,[7]完成订单!$D:$D,1,0)</f>
        <v>#N/A</v>
      </c>
      <c r="C1148" s="66"/>
      <c r="D1148" s="66"/>
      <c r="E1148" s="66"/>
      <c r="F1148" s="67"/>
      <c r="G1148" s="66"/>
      <c r="H1148" s="53" t="e">
        <f>VLOOKUP(E1148,DIP计划!E:J,6,0)</f>
        <v>#N/A</v>
      </c>
      <c r="I1148" s="64">
        <f t="shared" si="34"/>
        <v>0</v>
      </c>
      <c r="J1148" s="68" t="e">
        <f>VLOOKUP(D1148,DIP计划!D:G,4,0)</f>
        <v>#N/A</v>
      </c>
      <c r="K1148" s="5" t="e">
        <f t="shared" si="35"/>
        <v>#N/A</v>
      </c>
      <c r="L1148" s="69"/>
    </row>
    <row r="1149" spans="1:12" x14ac:dyDescent="0.3">
      <c r="A1149" s="64"/>
      <c r="B1149" s="65" t="e">
        <f>VLOOKUP(C1149,[7]完成订单!$D:$D,1,0)</f>
        <v>#N/A</v>
      </c>
      <c r="C1149" s="66"/>
      <c r="D1149" s="66"/>
      <c r="E1149" s="66"/>
      <c r="F1149" s="67"/>
      <c r="G1149" s="66"/>
      <c r="H1149" s="53" t="e">
        <f>VLOOKUP(E1149,DIP计划!E:J,6,0)</f>
        <v>#N/A</v>
      </c>
      <c r="I1149" s="64">
        <f t="shared" si="34"/>
        <v>0</v>
      </c>
      <c r="J1149" s="68" t="e">
        <f>VLOOKUP(D1149,DIP计划!D:G,4,0)</f>
        <v>#N/A</v>
      </c>
      <c r="K1149" s="5" t="e">
        <f t="shared" si="35"/>
        <v>#N/A</v>
      </c>
      <c r="L1149" s="69"/>
    </row>
    <row r="1150" spans="1:12" x14ac:dyDescent="0.3">
      <c r="A1150" s="64"/>
      <c r="B1150" s="65" t="e">
        <f>VLOOKUP(C1150,[7]完成订单!$D:$D,1,0)</f>
        <v>#N/A</v>
      </c>
      <c r="C1150" s="66"/>
      <c r="D1150" s="66"/>
      <c r="E1150" s="66"/>
      <c r="F1150" s="67"/>
      <c r="G1150" s="66"/>
      <c r="H1150" s="53" t="e">
        <f>VLOOKUP(E1150,DIP计划!E:J,6,0)</f>
        <v>#N/A</v>
      </c>
      <c r="I1150" s="64">
        <f t="shared" si="34"/>
        <v>0</v>
      </c>
      <c r="J1150" s="68" t="e">
        <f>VLOOKUP(D1150,DIP计划!D:G,4,0)</f>
        <v>#N/A</v>
      </c>
      <c r="K1150" s="5" t="e">
        <f t="shared" si="35"/>
        <v>#N/A</v>
      </c>
      <c r="L1150" s="69"/>
    </row>
    <row r="1151" spans="1:12" x14ac:dyDescent="0.3">
      <c r="A1151" s="64"/>
      <c r="B1151" s="65" t="e">
        <f>VLOOKUP(C1151,[7]完成订单!$D:$D,1,0)</f>
        <v>#N/A</v>
      </c>
      <c r="C1151" s="66"/>
      <c r="D1151" s="66"/>
      <c r="E1151" s="66"/>
      <c r="F1151" s="67"/>
      <c r="G1151" s="66"/>
      <c r="H1151" s="53" t="e">
        <f>VLOOKUP(E1151,DIP计划!E:J,6,0)</f>
        <v>#N/A</v>
      </c>
      <c r="I1151" s="64">
        <f t="shared" si="34"/>
        <v>0</v>
      </c>
      <c r="J1151" s="68" t="e">
        <f>VLOOKUP(D1151,DIP计划!D:G,4,0)</f>
        <v>#N/A</v>
      </c>
      <c r="K1151" s="5" t="e">
        <f t="shared" si="35"/>
        <v>#N/A</v>
      </c>
      <c r="L1151" s="69"/>
    </row>
    <row r="1152" spans="1:12" x14ac:dyDescent="0.3">
      <c r="A1152" s="64"/>
      <c r="B1152" s="65" t="e">
        <f>VLOOKUP(C1152,[7]完成订单!$D:$D,1,0)</f>
        <v>#N/A</v>
      </c>
      <c r="C1152" s="66"/>
      <c r="D1152" s="66"/>
      <c r="E1152" s="66"/>
      <c r="F1152" s="67"/>
      <c r="G1152" s="66"/>
      <c r="H1152" s="53" t="e">
        <f>VLOOKUP(E1152,DIP计划!E:J,6,0)</f>
        <v>#N/A</v>
      </c>
      <c r="I1152" s="64">
        <f t="shared" si="34"/>
        <v>0</v>
      </c>
      <c r="J1152" s="68" t="e">
        <f>VLOOKUP(D1152,DIP计划!D:G,4,0)</f>
        <v>#N/A</v>
      </c>
      <c r="K1152" s="5" t="e">
        <f t="shared" si="35"/>
        <v>#N/A</v>
      </c>
      <c r="L1152" s="69"/>
    </row>
    <row r="1153" spans="1:12" x14ac:dyDescent="0.3">
      <c r="A1153" s="64"/>
      <c r="B1153" s="65" t="e">
        <f>VLOOKUP(C1153,[7]完成订单!$D:$D,1,0)</f>
        <v>#N/A</v>
      </c>
      <c r="C1153" s="66"/>
      <c r="D1153" s="66"/>
      <c r="E1153" s="66"/>
      <c r="F1153" s="67"/>
      <c r="G1153" s="66"/>
      <c r="H1153" s="53" t="e">
        <f>VLOOKUP(E1153,DIP计划!E:J,6,0)</f>
        <v>#N/A</v>
      </c>
      <c r="I1153" s="64">
        <f t="shared" si="34"/>
        <v>0</v>
      </c>
      <c r="J1153" s="68" t="e">
        <f>VLOOKUP(D1153,DIP计划!D:G,4,0)</f>
        <v>#N/A</v>
      </c>
      <c r="K1153" s="5" t="e">
        <f t="shared" si="35"/>
        <v>#N/A</v>
      </c>
      <c r="L1153" s="69"/>
    </row>
    <row r="1154" spans="1:12" x14ac:dyDescent="0.3">
      <c r="A1154" s="64"/>
      <c r="B1154" s="65" t="e">
        <f>VLOOKUP(C1154,[7]完成订单!$D:$D,1,0)</f>
        <v>#N/A</v>
      </c>
      <c r="C1154" s="66"/>
      <c r="D1154" s="66"/>
      <c r="E1154" s="66"/>
      <c r="F1154" s="67"/>
      <c r="G1154" s="66"/>
      <c r="H1154" s="53" t="e">
        <f>VLOOKUP(E1154,DIP计划!E:J,6,0)</f>
        <v>#N/A</v>
      </c>
      <c r="I1154" s="64">
        <f t="shared" si="34"/>
        <v>0</v>
      </c>
      <c r="J1154" s="68" t="e">
        <f>VLOOKUP(D1154,DIP计划!D:G,4,0)</f>
        <v>#N/A</v>
      </c>
      <c r="K1154" s="5" t="e">
        <f t="shared" si="35"/>
        <v>#N/A</v>
      </c>
      <c r="L1154" s="69"/>
    </row>
    <row r="1155" spans="1:12" x14ac:dyDescent="0.3">
      <c r="A1155" s="64"/>
      <c r="B1155" s="65" t="e">
        <f>VLOOKUP(C1155,[7]完成订单!$D:$D,1,0)</f>
        <v>#N/A</v>
      </c>
      <c r="C1155" s="66"/>
      <c r="D1155" s="66"/>
      <c r="E1155" s="66"/>
      <c r="F1155" s="67"/>
      <c r="G1155" s="66"/>
      <c r="H1155" s="53" t="e">
        <f>VLOOKUP(E1155,DIP计划!E:J,6,0)</f>
        <v>#N/A</v>
      </c>
      <c r="I1155" s="64">
        <f t="shared" si="34"/>
        <v>0</v>
      </c>
      <c r="J1155" s="68" t="e">
        <f>VLOOKUP(D1155,DIP计划!D:G,4,0)</f>
        <v>#N/A</v>
      </c>
      <c r="K1155" s="5" t="e">
        <f t="shared" si="35"/>
        <v>#N/A</v>
      </c>
      <c r="L1155" s="69"/>
    </row>
    <row r="1156" spans="1:12" x14ac:dyDescent="0.3">
      <c r="A1156" s="64"/>
      <c r="B1156" s="65" t="e">
        <f>VLOOKUP(C1156,[7]完成订单!$D:$D,1,0)</f>
        <v>#N/A</v>
      </c>
      <c r="C1156" s="66"/>
      <c r="D1156" s="66"/>
      <c r="E1156" s="66"/>
      <c r="F1156" s="67"/>
      <c r="G1156" s="66"/>
      <c r="H1156" s="53" t="e">
        <f>VLOOKUP(E1156,DIP计划!E:J,6,0)</f>
        <v>#N/A</v>
      </c>
      <c r="I1156" s="64">
        <f t="shared" si="34"/>
        <v>0</v>
      </c>
      <c r="J1156" s="68" t="e">
        <f>VLOOKUP(D1156,DIP计划!D:G,4,0)</f>
        <v>#N/A</v>
      </c>
      <c r="K1156" s="5" t="e">
        <f t="shared" si="35"/>
        <v>#N/A</v>
      </c>
      <c r="L1156" s="69"/>
    </row>
    <row r="1157" spans="1:12" x14ac:dyDescent="0.3">
      <c r="A1157" s="64"/>
      <c r="B1157" s="65" t="e">
        <f>VLOOKUP(C1157,[7]完成订单!$D:$D,1,0)</f>
        <v>#N/A</v>
      </c>
      <c r="C1157" s="66"/>
      <c r="D1157" s="66"/>
      <c r="E1157" s="66"/>
      <c r="F1157" s="67"/>
      <c r="G1157" s="66"/>
      <c r="H1157" s="53" t="e">
        <f>VLOOKUP(E1157,DIP计划!E:J,6,0)</f>
        <v>#N/A</v>
      </c>
      <c r="I1157" s="64">
        <f t="shared" si="34"/>
        <v>0</v>
      </c>
      <c r="J1157" s="68" t="e">
        <f>VLOOKUP(D1157,DIP计划!D:G,4,0)</f>
        <v>#N/A</v>
      </c>
      <c r="K1157" s="5" t="e">
        <f t="shared" si="35"/>
        <v>#N/A</v>
      </c>
      <c r="L1157" s="69"/>
    </row>
    <row r="1158" spans="1:12" x14ac:dyDescent="0.3">
      <c r="A1158" s="64"/>
      <c r="B1158" s="65" t="e">
        <f>VLOOKUP(C1158,[7]完成订单!$D:$D,1,0)</f>
        <v>#N/A</v>
      </c>
      <c r="C1158" s="66"/>
      <c r="D1158" s="66"/>
      <c r="E1158" s="66"/>
      <c r="F1158" s="67"/>
      <c r="G1158" s="66"/>
      <c r="H1158" s="53" t="e">
        <f>VLOOKUP(E1158,DIP计划!E:J,6,0)</f>
        <v>#N/A</v>
      </c>
      <c r="I1158" s="64">
        <f t="shared" si="34"/>
        <v>0</v>
      </c>
      <c r="J1158" s="68" t="e">
        <f>VLOOKUP(D1158,DIP计划!D:G,4,0)</f>
        <v>#N/A</v>
      </c>
      <c r="K1158" s="5" t="e">
        <f t="shared" si="35"/>
        <v>#N/A</v>
      </c>
      <c r="L1158" s="69"/>
    </row>
    <row r="1159" spans="1:12" x14ac:dyDescent="0.3">
      <c r="A1159" s="64"/>
      <c r="B1159" s="65" t="e">
        <f>VLOOKUP(C1159,[7]完成订单!$D:$D,1,0)</f>
        <v>#N/A</v>
      </c>
      <c r="C1159" s="66"/>
      <c r="D1159" s="66"/>
      <c r="E1159" s="66"/>
      <c r="F1159" s="67"/>
      <c r="G1159" s="66"/>
      <c r="H1159" s="53" t="e">
        <f>VLOOKUP(E1159,DIP计划!E:J,6,0)</f>
        <v>#N/A</v>
      </c>
      <c r="I1159" s="64">
        <f t="shared" si="34"/>
        <v>0</v>
      </c>
      <c r="J1159" s="68" t="e">
        <f>VLOOKUP(D1159,DIP计划!D:G,4,0)</f>
        <v>#N/A</v>
      </c>
      <c r="K1159" s="5" t="e">
        <f t="shared" si="35"/>
        <v>#N/A</v>
      </c>
      <c r="L1159" s="69"/>
    </row>
    <row r="1160" spans="1:12" x14ac:dyDescent="0.3">
      <c r="A1160" s="64"/>
      <c r="B1160" s="65" t="e">
        <f>VLOOKUP(C1160,[7]完成订单!$D:$D,1,0)</f>
        <v>#N/A</v>
      </c>
      <c r="C1160" s="66"/>
      <c r="D1160" s="66"/>
      <c r="E1160" s="66"/>
      <c r="F1160" s="67"/>
      <c r="G1160" s="66"/>
      <c r="H1160" s="53" t="e">
        <f>VLOOKUP(E1160,DIP计划!E:J,6,0)</f>
        <v>#N/A</v>
      </c>
      <c r="I1160" s="64">
        <f t="shared" si="34"/>
        <v>0</v>
      </c>
      <c r="J1160" s="68" t="e">
        <f>VLOOKUP(D1160,DIP计划!D:G,4,0)</f>
        <v>#N/A</v>
      </c>
      <c r="K1160" s="5" t="e">
        <f t="shared" si="35"/>
        <v>#N/A</v>
      </c>
      <c r="L1160" s="69"/>
    </row>
    <row r="1161" spans="1:12" x14ac:dyDescent="0.3">
      <c r="A1161" s="64"/>
      <c r="B1161" s="65" t="e">
        <f>VLOOKUP(C1161,[7]完成订单!$D:$D,1,0)</f>
        <v>#N/A</v>
      </c>
      <c r="C1161" s="66"/>
      <c r="D1161" s="66"/>
      <c r="E1161" s="66"/>
      <c r="F1161" s="67"/>
      <c r="G1161" s="66"/>
      <c r="H1161" s="53" t="e">
        <f>VLOOKUP(E1161,DIP计划!E:J,6,0)</f>
        <v>#N/A</v>
      </c>
      <c r="I1161" s="64">
        <f t="shared" si="34"/>
        <v>0</v>
      </c>
      <c r="J1161" s="68" t="e">
        <f>VLOOKUP(D1161,DIP计划!D:G,4,0)</f>
        <v>#N/A</v>
      </c>
      <c r="K1161" s="5" t="e">
        <f t="shared" si="35"/>
        <v>#N/A</v>
      </c>
      <c r="L1161" s="69"/>
    </row>
    <row r="1162" spans="1:12" x14ac:dyDescent="0.3">
      <c r="A1162" s="64"/>
      <c r="B1162" s="65" t="e">
        <f>VLOOKUP(C1162,[7]完成订单!$D:$D,1,0)</f>
        <v>#N/A</v>
      </c>
      <c r="C1162" s="66"/>
      <c r="D1162" s="66"/>
      <c r="E1162" s="66"/>
      <c r="F1162" s="67"/>
      <c r="G1162" s="66"/>
      <c r="H1162" s="53" t="e">
        <f>VLOOKUP(E1162,DIP计划!E:J,6,0)</f>
        <v>#N/A</v>
      </c>
      <c r="I1162" s="64">
        <f t="shared" si="34"/>
        <v>0</v>
      </c>
      <c r="J1162" s="68" t="e">
        <f>VLOOKUP(D1162,DIP计划!D:G,4,0)</f>
        <v>#N/A</v>
      </c>
      <c r="K1162" s="5" t="e">
        <f t="shared" si="35"/>
        <v>#N/A</v>
      </c>
      <c r="L1162" s="69"/>
    </row>
    <row r="1163" spans="1:12" x14ac:dyDescent="0.3">
      <c r="A1163" s="64"/>
      <c r="B1163" s="65" t="e">
        <f>VLOOKUP(C1163,[7]完成订单!$D:$D,1,0)</f>
        <v>#N/A</v>
      </c>
      <c r="C1163" s="66"/>
      <c r="D1163" s="66"/>
      <c r="E1163" s="66"/>
      <c r="F1163" s="67"/>
      <c r="G1163" s="66"/>
      <c r="H1163" s="53" t="e">
        <f>VLOOKUP(E1163,DIP计划!E:J,6,0)</f>
        <v>#N/A</v>
      </c>
      <c r="I1163" s="64">
        <f t="shared" si="34"/>
        <v>0</v>
      </c>
      <c r="J1163" s="68" t="e">
        <f>VLOOKUP(D1163,DIP计划!D:G,4,0)</f>
        <v>#N/A</v>
      </c>
      <c r="K1163" s="5" t="e">
        <f t="shared" si="35"/>
        <v>#N/A</v>
      </c>
      <c r="L1163" s="69"/>
    </row>
    <row r="1164" spans="1:12" x14ac:dyDescent="0.3">
      <c r="A1164" s="64"/>
      <c r="B1164" s="65" t="e">
        <f>VLOOKUP(C1164,[7]完成订单!$D:$D,1,0)</f>
        <v>#N/A</v>
      </c>
      <c r="C1164" s="66"/>
      <c r="D1164" s="66"/>
      <c r="E1164" s="66"/>
      <c r="F1164" s="67"/>
      <c r="G1164" s="66"/>
      <c r="H1164" s="53" t="e">
        <f>VLOOKUP(E1164,DIP计划!E:J,6,0)</f>
        <v>#N/A</v>
      </c>
      <c r="I1164" s="64">
        <f t="shared" si="34"/>
        <v>0</v>
      </c>
      <c r="J1164" s="68" t="e">
        <f>VLOOKUP(D1164,DIP计划!D:G,4,0)</f>
        <v>#N/A</v>
      </c>
      <c r="K1164" s="5" t="e">
        <f t="shared" si="35"/>
        <v>#N/A</v>
      </c>
      <c r="L1164" s="69"/>
    </row>
    <row r="1165" spans="1:12" x14ac:dyDescent="0.3">
      <c r="A1165" s="64"/>
      <c r="B1165" s="65" t="e">
        <f>VLOOKUP(C1165,[7]完成订单!$D:$D,1,0)</f>
        <v>#N/A</v>
      </c>
      <c r="C1165" s="66"/>
      <c r="D1165" s="66"/>
      <c r="E1165" s="66"/>
      <c r="F1165" s="67"/>
      <c r="G1165" s="66"/>
      <c r="H1165" s="53" t="e">
        <f>VLOOKUP(E1165,DIP计划!E:J,6,0)</f>
        <v>#N/A</v>
      </c>
      <c r="I1165" s="64">
        <f t="shared" si="34"/>
        <v>0</v>
      </c>
      <c r="J1165" s="68" t="e">
        <f>VLOOKUP(D1165,DIP计划!D:G,4,0)</f>
        <v>#N/A</v>
      </c>
      <c r="K1165" s="5" t="e">
        <f t="shared" si="35"/>
        <v>#N/A</v>
      </c>
      <c r="L1165" s="69"/>
    </row>
    <row r="1166" spans="1:12" x14ac:dyDescent="0.3">
      <c r="A1166" s="64"/>
      <c r="B1166" s="65" t="e">
        <f>VLOOKUP(C1166,[7]完成订单!$D:$D,1,0)</f>
        <v>#N/A</v>
      </c>
      <c r="C1166" s="66"/>
      <c r="D1166" s="66"/>
      <c r="E1166" s="66"/>
      <c r="F1166" s="67"/>
      <c r="G1166" s="66"/>
      <c r="H1166" s="53" t="e">
        <f>VLOOKUP(E1166,DIP计划!E:J,6,0)</f>
        <v>#N/A</v>
      </c>
      <c r="I1166" s="64">
        <f t="shared" si="34"/>
        <v>0</v>
      </c>
      <c r="J1166" s="68" t="e">
        <f>VLOOKUP(D1166,DIP计划!D:G,4,0)</f>
        <v>#N/A</v>
      </c>
      <c r="K1166" s="5" t="e">
        <f t="shared" si="35"/>
        <v>#N/A</v>
      </c>
      <c r="L1166" s="69"/>
    </row>
    <row r="1167" spans="1:12" x14ac:dyDescent="0.3">
      <c r="A1167" s="64"/>
      <c r="B1167" s="65" t="e">
        <f>VLOOKUP(C1167,[7]完成订单!$D:$D,1,0)</f>
        <v>#N/A</v>
      </c>
      <c r="C1167" s="66"/>
      <c r="D1167" s="66"/>
      <c r="E1167" s="66"/>
      <c r="F1167" s="67"/>
      <c r="G1167" s="66"/>
      <c r="H1167" s="53" t="e">
        <f>VLOOKUP(E1167,DIP计划!E:J,6,0)</f>
        <v>#N/A</v>
      </c>
      <c r="I1167" s="64">
        <f t="shared" si="34"/>
        <v>0</v>
      </c>
      <c r="J1167" s="68" t="e">
        <f>VLOOKUP(D1167,DIP计划!D:G,4,0)</f>
        <v>#N/A</v>
      </c>
      <c r="K1167" s="5" t="e">
        <f t="shared" si="35"/>
        <v>#N/A</v>
      </c>
      <c r="L1167" s="69"/>
    </row>
    <row r="1168" spans="1:12" x14ac:dyDescent="0.3">
      <c r="A1168" s="64"/>
      <c r="B1168" s="65" t="e">
        <f>VLOOKUP(C1168,[7]完成订单!$D:$D,1,0)</f>
        <v>#N/A</v>
      </c>
      <c r="C1168" s="66"/>
      <c r="D1168" s="66"/>
      <c r="E1168" s="66"/>
      <c r="F1168" s="67"/>
      <c r="G1168" s="66"/>
      <c r="H1168" s="53" t="e">
        <f>VLOOKUP(E1168,DIP计划!E:J,6,0)</f>
        <v>#N/A</v>
      </c>
      <c r="I1168" s="64">
        <f t="shared" si="34"/>
        <v>0</v>
      </c>
      <c r="J1168" s="68" t="e">
        <f>VLOOKUP(D1168,DIP计划!D:G,4,0)</f>
        <v>#N/A</v>
      </c>
      <c r="K1168" s="5" t="e">
        <f t="shared" si="35"/>
        <v>#N/A</v>
      </c>
      <c r="L1168" s="69"/>
    </row>
    <row r="1169" spans="1:12" x14ac:dyDescent="0.3">
      <c r="A1169" s="64"/>
      <c r="B1169" s="65" t="e">
        <f>VLOOKUP(C1169,[7]完成订单!$D:$D,1,0)</f>
        <v>#N/A</v>
      </c>
      <c r="C1169" s="66"/>
      <c r="D1169" s="66"/>
      <c r="E1169" s="66"/>
      <c r="F1169" s="67"/>
      <c r="G1169" s="66"/>
      <c r="H1169" s="53" t="e">
        <f>VLOOKUP(E1169,DIP计划!E:J,6,0)</f>
        <v>#N/A</v>
      </c>
      <c r="I1169" s="64">
        <f t="shared" si="34"/>
        <v>0</v>
      </c>
      <c r="J1169" s="68" t="e">
        <f>VLOOKUP(D1169,DIP计划!D:G,4,0)</f>
        <v>#N/A</v>
      </c>
      <c r="K1169" s="5" t="e">
        <f t="shared" si="35"/>
        <v>#N/A</v>
      </c>
      <c r="L1169" s="69"/>
    </row>
    <row r="1170" spans="1:12" x14ac:dyDescent="0.3">
      <c r="A1170" s="64"/>
      <c r="B1170" s="65" t="e">
        <f>VLOOKUP(C1170,[7]完成订单!$D:$D,1,0)</f>
        <v>#N/A</v>
      </c>
      <c r="C1170" s="66"/>
      <c r="D1170" s="66"/>
      <c r="E1170" s="66"/>
      <c r="F1170" s="67"/>
      <c r="G1170" s="66"/>
      <c r="H1170" s="53" t="e">
        <f>VLOOKUP(E1170,DIP计划!E:J,6,0)</f>
        <v>#N/A</v>
      </c>
      <c r="I1170" s="64">
        <f t="shared" si="34"/>
        <v>0</v>
      </c>
      <c r="J1170" s="68" t="e">
        <f>VLOOKUP(D1170,DIP计划!D:G,4,0)</f>
        <v>#N/A</v>
      </c>
      <c r="K1170" s="5" t="e">
        <f t="shared" si="35"/>
        <v>#N/A</v>
      </c>
      <c r="L1170" s="69"/>
    </row>
    <row r="1171" spans="1:12" x14ac:dyDescent="0.3">
      <c r="A1171" s="64"/>
      <c r="B1171" s="65" t="e">
        <f>VLOOKUP(C1171,[7]完成订单!$D:$D,1,0)</f>
        <v>#N/A</v>
      </c>
      <c r="C1171" s="66"/>
      <c r="D1171" s="66"/>
      <c r="E1171" s="66"/>
      <c r="F1171" s="67"/>
      <c r="G1171" s="66"/>
      <c r="H1171" s="53" t="e">
        <f>VLOOKUP(E1171,DIP计划!E:J,6,0)</f>
        <v>#N/A</v>
      </c>
      <c r="I1171" s="64">
        <f t="shared" si="34"/>
        <v>0</v>
      </c>
      <c r="J1171" s="68" t="e">
        <f>VLOOKUP(D1171,DIP计划!D:G,4,0)</f>
        <v>#N/A</v>
      </c>
      <c r="K1171" s="5" t="e">
        <f t="shared" si="35"/>
        <v>#N/A</v>
      </c>
      <c r="L1171" s="69"/>
    </row>
    <row r="1172" spans="1:12" x14ac:dyDescent="0.3">
      <c r="A1172" s="64"/>
      <c r="B1172" s="65" t="e">
        <f>VLOOKUP(C1172,[7]完成订单!$D:$D,1,0)</f>
        <v>#N/A</v>
      </c>
      <c r="C1172" s="66"/>
      <c r="D1172" s="66"/>
      <c r="E1172" s="66"/>
      <c r="F1172" s="67"/>
      <c r="G1172" s="66"/>
      <c r="H1172" s="53" t="e">
        <f>VLOOKUP(E1172,DIP计划!E:J,6,0)</f>
        <v>#N/A</v>
      </c>
      <c r="I1172" s="64">
        <f t="shared" si="34"/>
        <v>0</v>
      </c>
      <c r="J1172" s="68" t="e">
        <f>VLOOKUP(D1172,DIP计划!D:G,4,0)</f>
        <v>#N/A</v>
      </c>
      <c r="K1172" s="5" t="e">
        <f t="shared" si="35"/>
        <v>#N/A</v>
      </c>
      <c r="L1172" s="69"/>
    </row>
    <row r="1173" spans="1:12" x14ac:dyDescent="0.3">
      <c r="A1173" s="64"/>
      <c r="B1173" s="65" t="e">
        <f>VLOOKUP(C1173,[7]完成订单!$D:$D,1,0)</f>
        <v>#N/A</v>
      </c>
      <c r="C1173" s="66"/>
      <c r="D1173" s="66"/>
      <c r="E1173" s="66"/>
      <c r="F1173" s="67"/>
      <c r="G1173" s="66"/>
      <c r="H1173" s="53" t="e">
        <f>VLOOKUP(E1173,DIP计划!E:J,6,0)</f>
        <v>#N/A</v>
      </c>
      <c r="I1173" s="64">
        <f t="shared" si="34"/>
        <v>0</v>
      </c>
      <c r="J1173" s="68" t="e">
        <f>VLOOKUP(D1173,DIP计划!D:G,4,0)</f>
        <v>#N/A</v>
      </c>
      <c r="K1173" s="5" t="e">
        <f t="shared" si="35"/>
        <v>#N/A</v>
      </c>
      <c r="L1173" s="69"/>
    </row>
    <row r="1174" spans="1:12" x14ac:dyDescent="0.3">
      <c r="A1174" s="64"/>
      <c r="B1174" s="65" t="e">
        <f>VLOOKUP(C1174,[7]完成订单!$D:$D,1,0)</f>
        <v>#N/A</v>
      </c>
      <c r="C1174" s="66"/>
      <c r="D1174" s="66"/>
      <c r="E1174" s="66"/>
      <c r="F1174" s="67"/>
      <c r="G1174" s="66"/>
      <c r="H1174" s="53" t="e">
        <f>VLOOKUP(E1174,DIP计划!E:J,6,0)</f>
        <v>#N/A</v>
      </c>
      <c r="I1174" s="64">
        <f t="shared" si="34"/>
        <v>0</v>
      </c>
      <c r="J1174" s="68" t="e">
        <f>VLOOKUP(D1174,DIP计划!D:G,4,0)</f>
        <v>#N/A</v>
      </c>
      <c r="K1174" s="5" t="e">
        <f t="shared" si="35"/>
        <v>#N/A</v>
      </c>
      <c r="L1174" s="69"/>
    </row>
    <row r="1175" spans="1:12" x14ac:dyDescent="0.3">
      <c r="A1175" s="64"/>
      <c r="B1175" s="65" t="e">
        <f>VLOOKUP(C1175,[7]完成订单!$D:$D,1,0)</f>
        <v>#N/A</v>
      </c>
      <c r="C1175" s="66"/>
      <c r="D1175" s="66"/>
      <c r="E1175" s="66"/>
      <c r="F1175" s="67"/>
      <c r="G1175" s="66"/>
      <c r="H1175" s="53" t="e">
        <f>VLOOKUP(E1175,DIP计划!E:J,6,0)</f>
        <v>#N/A</v>
      </c>
      <c r="I1175" s="64">
        <f t="shared" si="34"/>
        <v>0</v>
      </c>
      <c r="J1175" s="68" t="e">
        <f>VLOOKUP(D1175,DIP计划!D:G,4,0)</f>
        <v>#N/A</v>
      </c>
      <c r="K1175" s="5" t="e">
        <f t="shared" si="35"/>
        <v>#N/A</v>
      </c>
      <c r="L1175" s="69"/>
    </row>
    <row r="1176" spans="1:12" x14ac:dyDescent="0.3">
      <c r="A1176" s="64"/>
      <c r="B1176" s="65" t="e">
        <f>VLOOKUP(C1176,[7]完成订单!$D:$D,1,0)</f>
        <v>#N/A</v>
      </c>
      <c r="C1176" s="66"/>
      <c r="D1176" s="66"/>
      <c r="E1176" s="66"/>
      <c r="F1176" s="67"/>
      <c r="G1176" s="66"/>
      <c r="H1176" s="53" t="e">
        <f>VLOOKUP(E1176,DIP计划!E:J,6,0)</f>
        <v>#N/A</v>
      </c>
      <c r="I1176" s="64">
        <f t="shared" si="34"/>
        <v>0</v>
      </c>
      <c r="J1176" s="68" t="e">
        <f>VLOOKUP(D1176,DIP计划!D:G,4,0)</f>
        <v>#N/A</v>
      </c>
      <c r="K1176" s="5" t="e">
        <f t="shared" si="35"/>
        <v>#N/A</v>
      </c>
      <c r="L1176" s="69"/>
    </row>
    <row r="1177" spans="1:12" x14ac:dyDescent="0.3">
      <c r="A1177" s="64"/>
      <c r="B1177" s="65" t="e">
        <f>VLOOKUP(C1177,[7]完成订单!$D:$D,1,0)</f>
        <v>#N/A</v>
      </c>
      <c r="C1177" s="66"/>
      <c r="D1177" s="66"/>
      <c r="E1177" s="66"/>
      <c r="F1177" s="67"/>
      <c r="G1177" s="66"/>
      <c r="H1177" s="53" t="e">
        <f>VLOOKUP(E1177,DIP计划!E:J,6,0)</f>
        <v>#N/A</v>
      </c>
      <c r="I1177" s="64">
        <f t="shared" si="34"/>
        <v>0</v>
      </c>
      <c r="J1177" s="68" t="e">
        <f>VLOOKUP(D1177,DIP计划!D:G,4,0)</f>
        <v>#N/A</v>
      </c>
      <c r="K1177" s="5" t="e">
        <f t="shared" si="35"/>
        <v>#N/A</v>
      </c>
      <c r="L1177" s="69"/>
    </row>
    <row r="1178" spans="1:12" x14ac:dyDescent="0.3">
      <c r="A1178" s="64"/>
      <c r="B1178" s="65" t="e">
        <f>VLOOKUP(C1178,[7]完成订单!$D:$D,1,0)</f>
        <v>#N/A</v>
      </c>
      <c r="C1178" s="66"/>
      <c r="D1178" s="66"/>
      <c r="E1178" s="66"/>
      <c r="F1178" s="67"/>
      <c r="G1178" s="66"/>
      <c r="H1178" s="53" t="e">
        <f>VLOOKUP(E1178,DIP计划!E:J,6,0)</f>
        <v>#N/A</v>
      </c>
      <c r="I1178" s="64">
        <f t="shared" ref="I1178:I1241" si="36">A1178</f>
        <v>0</v>
      </c>
      <c r="J1178" s="68" t="e">
        <f>VLOOKUP(D1178,DIP计划!D:G,4,0)</f>
        <v>#N/A</v>
      </c>
      <c r="K1178" s="5" t="e">
        <f t="shared" ref="K1178:K1241" si="37">+J1178-G1178</f>
        <v>#N/A</v>
      </c>
      <c r="L1178" s="69"/>
    </row>
    <row r="1179" spans="1:12" x14ac:dyDescent="0.3">
      <c r="A1179" s="64"/>
      <c r="B1179" s="65" t="e">
        <f>VLOOKUP(C1179,[7]完成订单!$D:$D,1,0)</f>
        <v>#N/A</v>
      </c>
      <c r="C1179" s="66"/>
      <c r="D1179" s="66"/>
      <c r="E1179" s="66"/>
      <c r="F1179" s="67"/>
      <c r="G1179" s="66"/>
      <c r="H1179" s="53" t="e">
        <f>VLOOKUP(E1179,DIP计划!E:J,6,0)</f>
        <v>#N/A</v>
      </c>
      <c r="I1179" s="64">
        <f t="shared" si="36"/>
        <v>0</v>
      </c>
      <c r="J1179" s="68" t="e">
        <f>VLOOKUP(D1179,DIP计划!D:G,4,0)</f>
        <v>#N/A</v>
      </c>
      <c r="K1179" s="5" t="e">
        <f t="shared" si="37"/>
        <v>#N/A</v>
      </c>
      <c r="L1179" s="69"/>
    </row>
    <row r="1180" spans="1:12" x14ac:dyDescent="0.3">
      <c r="A1180" s="64"/>
      <c r="B1180" s="65" t="e">
        <f>VLOOKUP(C1180,[7]完成订单!$D:$D,1,0)</f>
        <v>#N/A</v>
      </c>
      <c r="C1180" s="66"/>
      <c r="D1180" s="66"/>
      <c r="E1180" s="66"/>
      <c r="F1180" s="67"/>
      <c r="G1180" s="66"/>
      <c r="H1180" s="53" t="e">
        <f>VLOOKUP(E1180,DIP计划!E:J,6,0)</f>
        <v>#N/A</v>
      </c>
      <c r="I1180" s="64">
        <f t="shared" si="36"/>
        <v>0</v>
      </c>
      <c r="J1180" s="68" t="e">
        <f>VLOOKUP(D1180,DIP计划!D:G,4,0)</f>
        <v>#N/A</v>
      </c>
      <c r="K1180" s="5" t="e">
        <f t="shared" si="37"/>
        <v>#N/A</v>
      </c>
      <c r="L1180" s="69"/>
    </row>
    <row r="1181" spans="1:12" x14ac:dyDescent="0.3">
      <c r="A1181" s="64"/>
      <c r="B1181" s="65" t="e">
        <f>VLOOKUP(C1181,[7]完成订单!$D:$D,1,0)</f>
        <v>#N/A</v>
      </c>
      <c r="C1181" s="66"/>
      <c r="D1181" s="66"/>
      <c r="E1181" s="66"/>
      <c r="F1181" s="67"/>
      <c r="G1181" s="66"/>
      <c r="H1181" s="53" t="e">
        <f>VLOOKUP(E1181,DIP计划!E:J,6,0)</f>
        <v>#N/A</v>
      </c>
      <c r="I1181" s="64">
        <f t="shared" si="36"/>
        <v>0</v>
      </c>
      <c r="J1181" s="68" t="e">
        <f>VLOOKUP(D1181,DIP计划!D:G,4,0)</f>
        <v>#N/A</v>
      </c>
      <c r="K1181" s="5" t="e">
        <f t="shared" si="37"/>
        <v>#N/A</v>
      </c>
      <c r="L1181" s="69"/>
    </row>
    <row r="1182" spans="1:12" x14ac:dyDescent="0.3">
      <c r="A1182" s="64"/>
      <c r="B1182" s="65" t="e">
        <f>VLOOKUP(C1182,[7]完成订单!$D:$D,1,0)</f>
        <v>#N/A</v>
      </c>
      <c r="C1182" s="66"/>
      <c r="D1182" s="66"/>
      <c r="E1182" s="66"/>
      <c r="F1182" s="67"/>
      <c r="G1182" s="66"/>
      <c r="H1182" s="53" t="e">
        <f>VLOOKUP(E1182,DIP计划!E:J,6,0)</f>
        <v>#N/A</v>
      </c>
      <c r="I1182" s="64">
        <f t="shared" si="36"/>
        <v>0</v>
      </c>
      <c r="J1182" s="68" t="e">
        <f>VLOOKUP(D1182,DIP计划!D:G,4,0)</f>
        <v>#N/A</v>
      </c>
      <c r="K1182" s="5" t="e">
        <f t="shared" si="37"/>
        <v>#N/A</v>
      </c>
      <c r="L1182" s="69"/>
    </row>
    <row r="1183" spans="1:12" x14ac:dyDescent="0.3">
      <c r="A1183" s="64"/>
      <c r="B1183" s="65" t="e">
        <f>VLOOKUP(C1183,[7]完成订单!$D:$D,1,0)</f>
        <v>#N/A</v>
      </c>
      <c r="C1183" s="66"/>
      <c r="D1183" s="66"/>
      <c r="E1183" s="66"/>
      <c r="F1183" s="67"/>
      <c r="G1183" s="66"/>
      <c r="H1183" s="53" t="e">
        <f>VLOOKUP(E1183,DIP计划!E:J,6,0)</f>
        <v>#N/A</v>
      </c>
      <c r="I1183" s="64">
        <f t="shared" si="36"/>
        <v>0</v>
      </c>
      <c r="J1183" s="68" t="e">
        <f>VLOOKUP(D1183,DIP计划!D:G,4,0)</f>
        <v>#N/A</v>
      </c>
      <c r="K1183" s="5" t="e">
        <f t="shared" si="37"/>
        <v>#N/A</v>
      </c>
      <c r="L1183" s="69"/>
    </row>
    <row r="1184" spans="1:12" x14ac:dyDescent="0.3">
      <c r="A1184" s="64"/>
      <c r="B1184" s="65" t="e">
        <f>VLOOKUP(C1184,[7]完成订单!$D:$D,1,0)</f>
        <v>#N/A</v>
      </c>
      <c r="C1184" s="66"/>
      <c r="D1184" s="66"/>
      <c r="E1184" s="66"/>
      <c r="F1184" s="67"/>
      <c r="G1184" s="66"/>
      <c r="H1184" s="53" t="e">
        <f>VLOOKUP(E1184,DIP计划!E:J,6,0)</f>
        <v>#N/A</v>
      </c>
      <c r="I1184" s="64">
        <f t="shared" si="36"/>
        <v>0</v>
      </c>
      <c r="J1184" s="68" t="e">
        <f>VLOOKUP(D1184,DIP计划!D:G,4,0)</f>
        <v>#N/A</v>
      </c>
      <c r="K1184" s="5" t="e">
        <f t="shared" si="37"/>
        <v>#N/A</v>
      </c>
      <c r="L1184" s="69"/>
    </row>
    <row r="1185" spans="1:12" x14ac:dyDescent="0.3">
      <c r="A1185" s="64"/>
      <c r="B1185" s="65" t="e">
        <f>VLOOKUP(C1185,[7]完成订单!$D:$D,1,0)</f>
        <v>#N/A</v>
      </c>
      <c r="C1185" s="66"/>
      <c r="D1185" s="66"/>
      <c r="E1185" s="66"/>
      <c r="F1185" s="67"/>
      <c r="G1185" s="66"/>
      <c r="H1185" s="53" t="e">
        <f>VLOOKUP(E1185,DIP计划!E:J,6,0)</f>
        <v>#N/A</v>
      </c>
      <c r="I1185" s="64">
        <f t="shared" si="36"/>
        <v>0</v>
      </c>
      <c r="J1185" s="68" t="e">
        <f>VLOOKUP(D1185,DIP计划!D:G,4,0)</f>
        <v>#N/A</v>
      </c>
      <c r="K1185" s="5" t="e">
        <f t="shared" si="37"/>
        <v>#N/A</v>
      </c>
      <c r="L1185" s="69"/>
    </row>
    <row r="1186" spans="1:12" x14ac:dyDescent="0.3">
      <c r="A1186" s="64"/>
      <c r="B1186" s="65" t="e">
        <f>VLOOKUP(C1186,[7]完成订单!$D:$D,1,0)</f>
        <v>#N/A</v>
      </c>
      <c r="C1186" s="66"/>
      <c r="D1186" s="66"/>
      <c r="E1186" s="66"/>
      <c r="F1186" s="67"/>
      <c r="G1186" s="66"/>
      <c r="H1186" s="53" t="e">
        <f>VLOOKUP(E1186,DIP计划!E:J,6,0)</f>
        <v>#N/A</v>
      </c>
      <c r="I1186" s="64">
        <f t="shared" si="36"/>
        <v>0</v>
      </c>
      <c r="J1186" s="68" t="e">
        <f>VLOOKUP(D1186,DIP计划!D:G,4,0)</f>
        <v>#N/A</v>
      </c>
      <c r="K1186" s="5" t="e">
        <f t="shared" si="37"/>
        <v>#N/A</v>
      </c>
      <c r="L1186" s="69"/>
    </row>
    <row r="1187" spans="1:12" x14ac:dyDescent="0.3">
      <c r="A1187" s="64"/>
      <c r="B1187" s="65" t="e">
        <f>VLOOKUP(C1187,[7]完成订单!$D:$D,1,0)</f>
        <v>#N/A</v>
      </c>
      <c r="C1187" s="66"/>
      <c r="D1187" s="66"/>
      <c r="E1187" s="66"/>
      <c r="F1187" s="67"/>
      <c r="G1187" s="66"/>
      <c r="H1187" s="53" t="e">
        <f>VLOOKUP(E1187,DIP计划!E:J,6,0)</f>
        <v>#N/A</v>
      </c>
      <c r="I1187" s="64">
        <f t="shared" si="36"/>
        <v>0</v>
      </c>
      <c r="J1187" s="68" t="e">
        <f>VLOOKUP(D1187,DIP计划!D:G,4,0)</f>
        <v>#N/A</v>
      </c>
      <c r="K1187" s="5" t="e">
        <f t="shared" si="37"/>
        <v>#N/A</v>
      </c>
      <c r="L1187" s="69"/>
    </row>
    <row r="1188" spans="1:12" x14ac:dyDescent="0.3">
      <c r="A1188" s="64"/>
      <c r="B1188" s="65" t="e">
        <f>VLOOKUP(C1188,[7]完成订单!$D:$D,1,0)</f>
        <v>#N/A</v>
      </c>
      <c r="C1188" s="66"/>
      <c r="D1188" s="66"/>
      <c r="E1188" s="66"/>
      <c r="F1188" s="67"/>
      <c r="G1188" s="66"/>
      <c r="H1188" s="53" t="e">
        <f>VLOOKUP(E1188,DIP计划!E:J,6,0)</f>
        <v>#N/A</v>
      </c>
      <c r="I1188" s="64">
        <f t="shared" si="36"/>
        <v>0</v>
      </c>
      <c r="J1188" s="68" t="e">
        <f>VLOOKUP(D1188,DIP计划!D:G,4,0)</f>
        <v>#N/A</v>
      </c>
      <c r="K1188" s="5" t="e">
        <f t="shared" si="37"/>
        <v>#N/A</v>
      </c>
      <c r="L1188" s="69"/>
    </row>
    <row r="1189" spans="1:12" x14ac:dyDescent="0.3">
      <c r="A1189" s="64"/>
      <c r="B1189" s="65" t="e">
        <f>VLOOKUP(C1189,[7]完成订单!$D:$D,1,0)</f>
        <v>#N/A</v>
      </c>
      <c r="C1189" s="66"/>
      <c r="D1189" s="66"/>
      <c r="E1189" s="66"/>
      <c r="F1189" s="67"/>
      <c r="G1189" s="66"/>
      <c r="H1189" s="53" t="e">
        <f>VLOOKUP(E1189,DIP计划!E:J,6,0)</f>
        <v>#N/A</v>
      </c>
      <c r="I1189" s="64">
        <f t="shared" si="36"/>
        <v>0</v>
      </c>
      <c r="J1189" s="68" t="e">
        <f>VLOOKUP(D1189,DIP计划!D:G,4,0)</f>
        <v>#N/A</v>
      </c>
      <c r="K1189" s="5" t="e">
        <f t="shared" si="37"/>
        <v>#N/A</v>
      </c>
      <c r="L1189" s="69"/>
    </row>
    <row r="1190" spans="1:12" x14ac:dyDescent="0.3">
      <c r="A1190" s="64"/>
      <c r="B1190" s="65" t="e">
        <f>VLOOKUP(C1190,[7]完成订单!$D:$D,1,0)</f>
        <v>#N/A</v>
      </c>
      <c r="C1190" s="66"/>
      <c r="D1190" s="66"/>
      <c r="E1190" s="66"/>
      <c r="F1190" s="67"/>
      <c r="G1190" s="66"/>
      <c r="H1190" s="53" t="e">
        <f>VLOOKUP(E1190,DIP计划!E:J,6,0)</f>
        <v>#N/A</v>
      </c>
      <c r="I1190" s="64">
        <f t="shared" si="36"/>
        <v>0</v>
      </c>
      <c r="J1190" s="68" t="e">
        <f>VLOOKUP(D1190,DIP计划!D:G,4,0)</f>
        <v>#N/A</v>
      </c>
      <c r="K1190" s="5" t="e">
        <f t="shared" si="37"/>
        <v>#N/A</v>
      </c>
      <c r="L1190" s="69"/>
    </row>
    <row r="1191" spans="1:12" x14ac:dyDescent="0.3">
      <c r="A1191" s="64"/>
      <c r="B1191" s="65" t="e">
        <f>VLOOKUP(C1191,[7]完成订单!$D:$D,1,0)</f>
        <v>#N/A</v>
      </c>
      <c r="C1191" s="66"/>
      <c r="D1191" s="66"/>
      <c r="E1191" s="66"/>
      <c r="F1191" s="67"/>
      <c r="G1191" s="66"/>
      <c r="H1191" s="53" t="e">
        <f>VLOOKUP(E1191,DIP计划!E:J,6,0)</f>
        <v>#N/A</v>
      </c>
      <c r="I1191" s="64">
        <f t="shared" si="36"/>
        <v>0</v>
      </c>
      <c r="J1191" s="68" t="e">
        <f>VLOOKUP(D1191,DIP计划!D:G,4,0)</f>
        <v>#N/A</v>
      </c>
      <c r="K1191" s="5" t="e">
        <f t="shared" si="37"/>
        <v>#N/A</v>
      </c>
      <c r="L1191" s="69"/>
    </row>
    <row r="1192" spans="1:12" x14ac:dyDescent="0.3">
      <c r="A1192" s="64"/>
      <c r="B1192" s="65" t="e">
        <f>VLOOKUP(C1192,[7]完成订单!$D:$D,1,0)</f>
        <v>#N/A</v>
      </c>
      <c r="C1192" s="66"/>
      <c r="D1192" s="66"/>
      <c r="E1192" s="66"/>
      <c r="F1192" s="67"/>
      <c r="G1192" s="66"/>
      <c r="H1192" s="53" t="e">
        <f>VLOOKUP(E1192,DIP计划!E:J,6,0)</f>
        <v>#N/A</v>
      </c>
      <c r="I1192" s="64">
        <f t="shared" si="36"/>
        <v>0</v>
      </c>
      <c r="J1192" s="68" t="e">
        <f>VLOOKUP(D1192,DIP计划!D:G,4,0)</f>
        <v>#N/A</v>
      </c>
      <c r="K1192" s="5" t="e">
        <f t="shared" si="37"/>
        <v>#N/A</v>
      </c>
      <c r="L1192" s="69"/>
    </row>
    <row r="1193" spans="1:12" x14ac:dyDescent="0.3">
      <c r="A1193" s="64"/>
      <c r="B1193" s="65" t="e">
        <f>VLOOKUP(C1193,[7]完成订单!$D:$D,1,0)</f>
        <v>#N/A</v>
      </c>
      <c r="C1193" s="66"/>
      <c r="D1193" s="66"/>
      <c r="E1193" s="66"/>
      <c r="F1193" s="67"/>
      <c r="G1193" s="66"/>
      <c r="H1193" s="53" t="e">
        <f>VLOOKUP(E1193,DIP计划!E:J,6,0)</f>
        <v>#N/A</v>
      </c>
      <c r="I1193" s="64">
        <f t="shared" si="36"/>
        <v>0</v>
      </c>
      <c r="J1193" s="68" t="e">
        <f>VLOOKUP(D1193,DIP计划!D:G,4,0)</f>
        <v>#N/A</v>
      </c>
      <c r="K1193" s="5" t="e">
        <f t="shared" si="37"/>
        <v>#N/A</v>
      </c>
      <c r="L1193" s="69"/>
    </row>
    <row r="1194" spans="1:12" x14ac:dyDescent="0.3">
      <c r="A1194" s="64"/>
      <c r="B1194" s="65" t="e">
        <f>VLOOKUP(C1194,[7]完成订单!$D:$D,1,0)</f>
        <v>#N/A</v>
      </c>
      <c r="C1194" s="66"/>
      <c r="D1194" s="66"/>
      <c r="E1194" s="66"/>
      <c r="F1194" s="67"/>
      <c r="G1194" s="66"/>
      <c r="H1194" s="53" t="e">
        <f>VLOOKUP(E1194,DIP计划!E:J,6,0)</f>
        <v>#N/A</v>
      </c>
      <c r="I1194" s="64">
        <f t="shared" si="36"/>
        <v>0</v>
      </c>
      <c r="J1194" s="68" t="e">
        <f>VLOOKUP(D1194,DIP计划!D:G,4,0)</f>
        <v>#N/A</v>
      </c>
      <c r="K1194" s="5" t="e">
        <f t="shared" si="37"/>
        <v>#N/A</v>
      </c>
      <c r="L1194" s="69"/>
    </row>
    <row r="1195" spans="1:12" x14ac:dyDescent="0.3">
      <c r="A1195" s="64"/>
      <c r="B1195" s="65" t="e">
        <f>VLOOKUP(C1195,[7]完成订单!$D:$D,1,0)</f>
        <v>#N/A</v>
      </c>
      <c r="C1195" s="66"/>
      <c r="D1195" s="66"/>
      <c r="E1195" s="66"/>
      <c r="F1195" s="67"/>
      <c r="G1195" s="66"/>
      <c r="H1195" s="53" t="e">
        <f>VLOOKUP(E1195,DIP计划!E:J,6,0)</f>
        <v>#N/A</v>
      </c>
      <c r="I1195" s="64">
        <f t="shared" si="36"/>
        <v>0</v>
      </c>
      <c r="J1195" s="68" t="e">
        <f>VLOOKUP(D1195,DIP计划!D:G,4,0)</f>
        <v>#N/A</v>
      </c>
      <c r="K1195" s="5" t="e">
        <f t="shared" si="37"/>
        <v>#N/A</v>
      </c>
      <c r="L1195" s="69"/>
    </row>
    <row r="1196" spans="1:12" x14ac:dyDescent="0.3">
      <c r="A1196" s="64"/>
      <c r="B1196" s="65" t="e">
        <f>VLOOKUP(C1196,[7]完成订单!$D:$D,1,0)</f>
        <v>#N/A</v>
      </c>
      <c r="C1196" s="66"/>
      <c r="D1196" s="66"/>
      <c r="E1196" s="66"/>
      <c r="F1196" s="67"/>
      <c r="G1196" s="66"/>
      <c r="H1196" s="53" t="e">
        <f>VLOOKUP(E1196,DIP计划!E:J,6,0)</f>
        <v>#N/A</v>
      </c>
      <c r="I1196" s="64">
        <f t="shared" si="36"/>
        <v>0</v>
      </c>
      <c r="J1196" s="68" t="e">
        <f>VLOOKUP(D1196,DIP计划!D:G,4,0)</f>
        <v>#N/A</v>
      </c>
      <c r="K1196" s="5" t="e">
        <f t="shared" si="37"/>
        <v>#N/A</v>
      </c>
      <c r="L1196" s="69"/>
    </row>
    <row r="1197" spans="1:12" x14ac:dyDescent="0.3">
      <c r="A1197" s="64"/>
      <c r="B1197" s="65" t="e">
        <f>VLOOKUP(C1197,[7]完成订单!$D:$D,1,0)</f>
        <v>#N/A</v>
      </c>
      <c r="C1197" s="66"/>
      <c r="D1197" s="66"/>
      <c r="E1197" s="66"/>
      <c r="F1197" s="67"/>
      <c r="G1197" s="66"/>
      <c r="H1197" s="53" t="e">
        <f>VLOOKUP(E1197,DIP计划!E:J,6,0)</f>
        <v>#N/A</v>
      </c>
      <c r="I1197" s="64">
        <f t="shared" si="36"/>
        <v>0</v>
      </c>
      <c r="J1197" s="68" t="e">
        <f>VLOOKUP(D1197,DIP计划!D:G,4,0)</f>
        <v>#N/A</v>
      </c>
      <c r="K1197" s="5" t="e">
        <f t="shared" si="37"/>
        <v>#N/A</v>
      </c>
      <c r="L1197" s="69"/>
    </row>
    <row r="1198" spans="1:12" x14ac:dyDescent="0.3">
      <c r="A1198" s="64"/>
      <c r="B1198" s="65" t="e">
        <f>VLOOKUP(C1198,[7]完成订单!$D:$D,1,0)</f>
        <v>#N/A</v>
      </c>
      <c r="C1198" s="66"/>
      <c r="D1198" s="66"/>
      <c r="E1198" s="66"/>
      <c r="F1198" s="67"/>
      <c r="G1198" s="66"/>
      <c r="H1198" s="53" t="e">
        <f>VLOOKUP(E1198,DIP计划!E:J,6,0)</f>
        <v>#N/A</v>
      </c>
      <c r="I1198" s="64">
        <f t="shared" si="36"/>
        <v>0</v>
      </c>
      <c r="J1198" s="68" t="e">
        <f>VLOOKUP(D1198,DIP计划!D:G,4,0)</f>
        <v>#N/A</v>
      </c>
      <c r="K1198" s="5" t="e">
        <f t="shared" si="37"/>
        <v>#N/A</v>
      </c>
      <c r="L1198" s="69"/>
    </row>
    <row r="1199" spans="1:12" x14ac:dyDescent="0.3">
      <c r="A1199" s="64"/>
      <c r="B1199" s="65" t="e">
        <f>VLOOKUP(C1199,[7]完成订单!$D:$D,1,0)</f>
        <v>#N/A</v>
      </c>
      <c r="C1199" s="66"/>
      <c r="D1199" s="66"/>
      <c r="E1199" s="66"/>
      <c r="F1199" s="67"/>
      <c r="G1199" s="66"/>
      <c r="H1199" s="53" t="e">
        <f>VLOOKUP(E1199,DIP计划!E:J,6,0)</f>
        <v>#N/A</v>
      </c>
      <c r="I1199" s="64">
        <f t="shared" si="36"/>
        <v>0</v>
      </c>
      <c r="J1199" s="68" t="e">
        <f>VLOOKUP(D1199,DIP计划!D:G,4,0)</f>
        <v>#N/A</v>
      </c>
      <c r="K1199" s="5" t="e">
        <f t="shared" si="37"/>
        <v>#N/A</v>
      </c>
      <c r="L1199" s="69"/>
    </row>
    <row r="1200" spans="1:12" x14ac:dyDescent="0.3">
      <c r="A1200" s="64"/>
      <c r="B1200" s="65" t="e">
        <f>VLOOKUP(C1200,[7]完成订单!$D:$D,1,0)</f>
        <v>#N/A</v>
      </c>
      <c r="C1200" s="66"/>
      <c r="D1200" s="66"/>
      <c r="E1200" s="66"/>
      <c r="F1200" s="67"/>
      <c r="G1200" s="66"/>
      <c r="H1200" s="53" t="e">
        <f>VLOOKUP(E1200,DIP计划!E:J,6,0)</f>
        <v>#N/A</v>
      </c>
      <c r="I1200" s="64">
        <f t="shared" si="36"/>
        <v>0</v>
      </c>
      <c r="J1200" s="68" t="e">
        <f>VLOOKUP(D1200,DIP计划!D:G,4,0)</f>
        <v>#N/A</v>
      </c>
      <c r="K1200" s="5" t="e">
        <f t="shared" si="37"/>
        <v>#N/A</v>
      </c>
      <c r="L1200" s="69"/>
    </row>
    <row r="1201" spans="1:12" x14ac:dyDescent="0.3">
      <c r="A1201" s="64"/>
      <c r="B1201" s="65" t="e">
        <f>VLOOKUP(C1201,[7]完成订单!$D:$D,1,0)</f>
        <v>#N/A</v>
      </c>
      <c r="C1201" s="66"/>
      <c r="D1201" s="66"/>
      <c r="E1201" s="66"/>
      <c r="F1201" s="67"/>
      <c r="G1201" s="66"/>
      <c r="H1201" s="53" t="e">
        <f>VLOOKUP(E1201,DIP计划!E:J,6,0)</f>
        <v>#N/A</v>
      </c>
      <c r="I1201" s="64">
        <f t="shared" si="36"/>
        <v>0</v>
      </c>
      <c r="J1201" s="68" t="e">
        <f>VLOOKUP(D1201,DIP计划!D:G,4,0)</f>
        <v>#N/A</v>
      </c>
      <c r="K1201" s="5" t="e">
        <f t="shared" si="37"/>
        <v>#N/A</v>
      </c>
      <c r="L1201" s="69"/>
    </row>
    <row r="1202" spans="1:12" x14ac:dyDescent="0.3">
      <c r="A1202" s="64"/>
      <c r="B1202" s="65" t="e">
        <f>VLOOKUP(C1202,[7]完成订单!$D:$D,1,0)</f>
        <v>#N/A</v>
      </c>
      <c r="C1202" s="66"/>
      <c r="D1202" s="66"/>
      <c r="E1202" s="66"/>
      <c r="F1202" s="67"/>
      <c r="G1202" s="66"/>
      <c r="H1202" s="53" t="e">
        <f>VLOOKUP(E1202,DIP计划!E:J,6,0)</f>
        <v>#N/A</v>
      </c>
      <c r="I1202" s="64">
        <f t="shared" si="36"/>
        <v>0</v>
      </c>
      <c r="J1202" s="68" t="e">
        <f>VLOOKUP(D1202,DIP计划!D:G,4,0)</f>
        <v>#N/A</v>
      </c>
      <c r="K1202" s="5" t="e">
        <f t="shared" si="37"/>
        <v>#N/A</v>
      </c>
      <c r="L1202" s="69"/>
    </row>
    <row r="1203" spans="1:12" x14ac:dyDescent="0.3">
      <c r="A1203" s="64"/>
      <c r="B1203" s="65" t="e">
        <f>VLOOKUP(C1203,[7]完成订单!$D:$D,1,0)</f>
        <v>#N/A</v>
      </c>
      <c r="C1203" s="66"/>
      <c r="D1203" s="66"/>
      <c r="E1203" s="66"/>
      <c r="F1203" s="67"/>
      <c r="G1203" s="66"/>
      <c r="H1203" s="53" t="e">
        <f>VLOOKUP(E1203,DIP计划!E:J,6,0)</f>
        <v>#N/A</v>
      </c>
      <c r="I1203" s="64">
        <f t="shared" si="36"/>
        <v>0</v>
      </c>
      <c r="J1203" s="68" t="e">
        <f>VLOOKUP(D1203,DIP计划!D:G,4,0)</f>
        <v>#N/A</v>
      </c>
      <c r="K1203" s="5" t="e">
        <f t="shared" si="37"/>
        <v>#N/A</v>
      </c>
      <c r="L1203" s="69"/>
    </row>
    <row r="1204" spans="1:12" x14ac:dyDescent="0.3">
      <c r="A1204" s="64"/>
      <c r="B1204" s="65" t="e">
        <f>VLOOKUP(C1204,[7]完成订单!$D:$D,1,0)</f>
        <v>#N/A</v>
      </c>
      <c r="C1204" s="66"/>
      <c r="D1204" s="66"/>
      <c r="E1204" s="66"/>
      <c r="F1204" s="67"/>
      <c r="G1204" s="66"/>
      <c r="H1204" s="53" t="e">
        <f>VLOOKUP(E1204,DIP计划!E:J,6,0)</f>
        <v>#N/A</v>
      </c>
      <c r="I1204" s="64">
        <f t="shared" si="36"/>
        <v>0</v>
      </c>
      <c r="J1204" s="68" t="e">
        <f>VLOOKUP(D1204,DIP计划!D:G,4,0)</f>
        <v>#N/A</v>
      </c>
      <c r="K1204" s="5" t="e">
        <f t="shared" si="37"/>
        <v>#N/A</v>
      </c>
      <c r="L1204" s="69"/>
    </row>
    <row r="1205" spans="1:12" x14ac:dyDescent="0.3">
      <c r="A1205" s="64"/>
      <c r="B1205" s="65" t="e">
        <f>VLOOKUP(C1205,[7]完成订单!$D:$D,1,0)</f>
        <v>#N/A</v>
      </c>
      <c r="C1205" s="66"/>
      <c r="D1205" s="66"/>
      <c r="E1205" s="66"/>
      <c r="F1205" s="67"/>
      <c r="G1205" s="66"/>
      <c r="H1205" s="53" t="e">
        <f>VLOOKUP(E1205,DIP计划!E:J,6,0)</f>
        <v>#N/A</v>
      </c>
      <c r="I1205" s="64">
        <f t="shared" si="36"/>
        <v>0</v>
      </c>
      <c r="J1205" s="68" t="e">
        <f>VLOOKUP(D1205,DIP计划!D:G,4,0)</f>
        <v>#N/A</v>
      </c>
      <c r="K1205" s="5" t="e">
        <f t="shared" si="37"/>
        <v>#N/A</v>
      </c>
      <c r="L1205" s="69"/>
    </row>
    <row r="1206" spans="1:12" x14ac:dyDescent="0.3">
      <c r="A1206" s="64"/>
      <c r="B1206" s="65" t="e">
        <f>VLOOKUP(C1206,[7]完成订单!$D:$D,1,0)</f>
        <v>#N/A</v>
      </c>
      <c r="C1206" s="66"/>
      <c r="D1206" s="66"/>
      <c r="E1206" s="66"/>
      <c r="F1206" s="67"/>
      <c r="G1206" s="66"/>
      <c r="H1206" s="53" t="e">
        <f>VLOOKUP(E1206,DIP计划!E:J,6,0)</f>
        <v>#N/A</v>
      </c>
      <c r="I1206" s="64">
        <f t="shared" si="36"/>
        <v>0</v>
      </c>
      <c r="J1206" s="68" t="e">
        <f>VLOOKUP(D1206,DIP计划!D:G,4,0)</f>
        <v>#N/A</v>
      </c>
      <c r="K1206" s="5" t="e">
        <f t="shared" si="37"/>
        <v>#N/A</v>
      </c>
      <c r="L1206" s="69"/>
    </row>
    <row r="1207" spans="1:12" x14ac:dyDescent="0.3">
      <c r="A1207" s="64"/>
      <c r="B1207" s="65" t="e">
        <f>VLOOKUP(C1207,[7]完成订单!$D:$D,1,0)</f>
        <v>#N/A</v>
      </c>
      <c r="C1207" s="66"/>
      <c r="D1207" s="66"/>
      <c r="E1207" s="66"/>
      <c r="F1207" s="67"/>
      <c r="G1207" s="66"/>
      <c r="H1207" s="53" t="e">
        <f>VLOOKUP(E1207,DIP计划!E:J,6,0)</f>
        <v>#N/A</v>
      </c>
      <c r="I1207" s="64">
        <f t="shared" si="36"/>
        <v>0</v>
      </c>
      <c r="J1207" s="68" t="e">
        <f>VLOOKUP(D1207,DIP计划!D:G,4,0)</f>
        <v>#N/A</v>
      </c>
      <c r="K1207" s="5" t="e">
        <f t="shared" si="37"/>
        <v>#N/A</v>
      </c>
      <c r="L1207" s="69"/>
    </row>
    <row r="1208" spans="1:12" x14ac:dyDescent="0.3">
      <c r="A1208" s="64"/>
      <c r="B1208" s="65" t="e">
        <f>VLOOKUP(C1208,[7]完成订单!$D:$D,1,0)</f>
        <v>#N/A</v>
      </c>
      <c r="C1208" s="66"/>
      <c r="D1208" s="66"/>
      <c r="E1208" s="66"/>
      <c r="F1208" s="67"/>
      <c r="G1208" s="66"/>
      <c r="H1208" s="53" t="e">
        <f>VLOOKUP(E1208,DIP计划!E:J,6,0)</f>
        <v>#N/A</v>
      </c>
      <c r="I1208" s="64">
        <f t="shared" si="36"/>
        <v>0</v>
      </c>
      <c r="J1208" s="68" t="e">
        <f>VLOOKUP(D1208,DIP计划!D:G,4,0)</f>
        <v>#N/A</v>
      </c>
      <c r="K1208" s="5" t="e">
        <f t="shared" si="37"/>
        <v>#N/A</v>
      </c>
      <c r="L1208" s="69"/>
    </row>
    <row r="1209" spans="1:12" x14ac:dyDescent="0.3">
      <c r="A1209" s="64"/>
      <c r="B1209" s="65" t="e">
        <f>VLOOKUP(C1209,[7]完成订单!$D:$D,1,0)</f>
        <v>#N/A</v>
      </c>
      <c r="C1209" s="66"/>
      <c r="D1209" s="66"/>
      <c r="E1209" s="66"/>
      <c r="F1209" s="67"/>
      <c r="G1209" s="66"/>
      <c r="H1209" s="53" t="e">
        <f>VLOOKUP(E1209,DIP计划!E:J,6,0)</f>
        <v>#N/A</v>
      </c>
      <c r="I1209" s="64">
        <f t="shared" si="36"/>
        <v>0</v>
      </c>
      <c r="J1209" s="68" t="e">
        <f>VLOOKUP(D1209,DIP计划!D:G,4,0)</f>
        <v>#N/A</v>
      </c>
      <c r="K1209" s="5" t="e">
        <f t="shared" si="37"/>
        <v>#N/A</v>
      </c>
      <c r="L1209" s="69"/>
    </row>
    <row r="1210" spans="1:12" x14ac:dyDescent="0.3">
      <c r="A1210" s="64"/>
      <c r="B1210" s="65" t="e">
        <f>VLOOKUP(C1210,[7]完成订单!$D:$D,1,0)</f>
        <v>#N/A</v>
      </c>
      <c r="C1210" s="66"/>
      <c r="D1210" s="66"/>
      <c r="E1210" s="66"/>
      <c r="F1210" s="67"/>
      <c r="G1210" s="66"/>
      <c r="H1210" s="53" t="e">
        <f>VLOOKUP(E1210,DIP计划!E:J,6,0)</f>
        <v>#N/A</v>
      </c>
      <c r="I1210" s="64">
        <f t="shared" si="36"/>
        <v>0</v>
      </c>
      <c r="J1210" s="68" t="e">
        <f>VLOOKUP(D1210,DIP计划!D:G,4,0)</f>
        <v>#N/A</v>
      </c>
      <c r="K1210" s="5" t="e">
        <f t="shared" si="37"/>
        <v>#N/A</v>
      </c>
      <c r="L1210" s="69"/>
    </row>
    <row r="1211" spans="1:12" x14ac:dyDescent="0.3">
      <c r="A1211" s="64"/>
      <c r="B1211" s="65" t="e">
        <f>VLOOKUP(C1211,[7]完成订单!$D:$D,1,0)</f>
        <v>#N/A</v>
      </c>
      <c r="C1211" s="66"/>
      <c r="D1211" s="66"/>
      <c r="E1211" s="66"/>
      <c r="F1211" s="67"/>
      <c r="G1211" s="66"/>
      <c r="H1211" s="53" t="e">
        <f>VLOOKUP(E1211,DIP计划!E:J,6,0)</f>
        <v>#N/A</v>
      </c>
      <c r="I1211" s="64">
        <f t="shared" si="36"/>
        <v>0</v>
      </c>
      <c r="J1211" s="68" t="e">
        <f>VLOOKUP(D1211,DIP计划!D:G,4,0)</f>
        <v>#N/A</v>
      </c>
      <c r="K1211" s="5" t="e">
        <f t="shared" si="37"/>
        <v>#N/A</v>
      </c>
      <c r="L1211" s="69"/>
    </row>
    <row r="1212" spans="1:12" x14ac:dyDescent="0.3">
      <c r="A1212" s="64"/>
      <c r="B1212" s="65" t="e">
        <f>VLOOKUP(C1212,[7]完成订单!$D:$D,1,0)</f>
        <v>#N/A</v>
      </c>
      <c r="C1212" s="66"/>
      <c r="D1212" s="66"/>
      <c r="E1212" s="66"/>
      <c r="F1212" s="67"/>
      <c r="G1212" s="66"/>
      <c r="H1212" s="53" t="e">
        <f>VLOOKUP(E1212,DIP计划!E:J,6,0)</f>
        <v>#N/A</v>
      </c>
      <c r="I1212" s="64">
        <f t="shared" si="36"/>
        <v>0</v>
      </c>
      <c r="J1212" s="68" t="e">
        <f>VLOOKUP(D1212,DIP计划!D:G,4,0)</f>
        <v>#N/A</v>
      </c>
      <c r="K1212" s="5" t="e">
        <f t="shared" si="37"/>
        <v>#N/A</v>
      </c>
      <c r="L1212" s="69"/>
    </row>
    <row r="1213" spans="1:12" x14ac:dyDescent="0.3">
      <c r="A1213" s="64"/>
      <c r="B1213" s="65" t="e">
        <f>VLOOKUP(C1213,[7]完成订单!$D:$D,1,0)</f>
        <v>#N/A</v>
      </c>
      <c r="C1213" s="66"/>
      <c r="D1213" s="66"/>
      <c r="E1213" s="66"/>
      <c r="F1213" s="67"/>
      <c r="G1213" s="66"/>
      <c r="H1213" s="53" t="e">
        <f>VLOOKUP(E1213,DIP计划!E:J,6,0)</f>
        <v>#N/A</v>
      </c>
      <c r="I1213" s="64">
        <f t="shared" si="36"/>
        <v>0</v>
      </c>
      <c r="J1213" s="68" t="e">
        <f>VLOOKUP(D1213,DIP计划!D:G,4,0)</f>
        <v>#N/A</v>
      </c>
      <c r="K1213" s="5" t="e">
        <f t="shared" si="37"/>
        <v>#N/A</v>
      </c>
      <c r="L1213" s="69"/>
    </row>
    <row r="1214" spans="1:12" x14ac:dyDescent="0.3">
      <c r="A1214" s="64"/>
      <c r="B1214" s="65" t="e">
        <f>VLOOKUP(C1214,[7]完成订单!$D:$D,1,0)</f>
        <v>#N/A</v>
      </c>
      <c r="C1214" s="66"/>
      <c r="D1214" s="66"/>
      <c r="E1214" s="66"/>
      <c r="F1214" s="67"/>
      <c r="G1214" s="66"/>
      <c r="H1214" s="53" t="e">
        <f>VLOOKUP(E1214,DIP计划!E:J,6,0)</f>
        <v>#N/A</v>
      </c>
      <c r="I1214" s="64">
        <f t="shared" si="36"/>
        <v>0</v>
      </c>
      <c r="J1214" s="68" t="e">
        <f>VLOOKUP(D1214,DIP计划!D:G,4,0)</f>
        <v>#N/A</v>
      </c>
      <c r="K1214" s="5" t="e">
        <f t="shared" si="37"/>
        <v>#N/A</v>
      </c>
      <c r="L1214" s="69"/>
    </row>
    <row r="1215" spans="1:12" x14ac:dyDescent="0.3">
      <c r="A1215" s="64"/>
      <c r="B1215" s="65" t="e">
        <f>VLOOKUP(C1215,[7]完成订单!$D:$D,1,0)</f>
        <v>#N/A</v>
      </c>
      <c r="C1215" s="66"/>
      <c r="D1215" s="66"/>
      <c r="E1215" s="66"/>
      <c r="F1215" s="67"/>
      <c r="G1215" s="66"/>
      <c r="H1215" s="53" t="e">
        <f>VLOOKUP(E1215,DIP计划!E:J,6,0)</f>
        <v>#N/A</v>
      </c>
      <c r="I1215" s="64">
        <f t="shared" si="36"/>
        <v>0</v>
      </c>
      <c r="J1215" s="68" t="e">
        <f>VLOOKUP(D1215,DIP计划!D:G,4,0)</f>
        <v>#N/A</v>
      </c>
      <c r="K1215" s="5" t="e">
        <f t="shared" si="37"/>
        <v>#N/A</v>
      </c>
      <c r="L1215" s="69"/>
    </row>
    <row r="1216" spans="1:12" x14ac:dyDescent="0.3">
      <c r="A1216" s="64"/>
      <c r="B1216" s="65" t="e">
        <f>VLOOKUP(C1216,[7]完成订单!$D:$D,1,0)</f>
        <v>#N/A</v>
      </c>
      <c r="C1216" s="66"/>
      <c r="D1216" s="66"/>
      <c r="E1216" s="66"/>
      <c r="F1216" s="67"/>
      <c r="G1216" s="66"/>
      <c r="H1216" s="53" t="e">
        <f>VLOOKUP(E1216,DIP计划!E:J,6,0)</f>
        <v>#N/A</v>
      </c>
      <c r="I1216" s="64">
        <f t="shared" si="36"/>
        <v>0</v>
      </c>
      <c r="J1216" s="68" t="e">
        <f>VLOOKUP(D1216,DIP计划!D:G,4,0)</f>
        <v>#N/A</v>
      </c>
      <c r="K1216" s="5" t="e">
        <f t="shared" si="37"/>
        <v>#N/A</v>
      </c>
      <c r="L1216" s="69"/>
    </row>
    <row r="1217" spans="1:12" x14ac:dyDescent="0.3">
      <c r="A1217" s="64"/>
      <c r="B1217" s="65" t="e">
        <f>VLOOKUP(C1217,[7]完成订单!$D:$D,1,0)</f>
        <v>#N/A</v>
      </c>
      <c r="C1217" s="66"/>
      <c r="D1217" s="66"/>
      <c r="E1217" s="66"/>
      <c r="F1217" s="67"/>
      <c r="G1217" s="66"/>
      <c r="H1217" s="53" t="e">
        <f>VLOOKUP(E1217,DIP计划!E:J,6,0)</f>
        <v>#N/A</v>
      </c>
      <c r="I1217" s="64">
        <f t="shared" si="36"/>
        <v>0</v>
      </c>
      <c r="J1217" s="68" t="e">
        <f>VLOOKUP(D1217,DIP计划!D:G,4,0)</f>
        <v>#N/A</v>
      </c>
      <c r="K1217" s="5" t="e">
        <f t="shared" si="37"/>
        <v>#N/A</v>
      </c>
      <c r="L1217" s="69"/>
    </row>
    <row r="1218" spans="1:12" x14ac:dyDescent="0.3">
      <c r="A1218" s="64"/>
      <c r="B1218" s="65" t="e">
        <f>VLOOKUP(C1218,[7]完成订单!$D:$D,1,0)</f>
        <v>#N/A</v>
      </c>
      <c r="C1218" s="66"/>
      <c r="D1218" s="66"/>
      <c r="E1218" s="66"/>
      <c r="F1218" s="67"/>
      <c r="G1218" s="66"/>
      <c r="H1218" s="53" t="e">
        <f>VLOOKUP(E1218,DIP计划!E:J,6,0)</f>
        <v>#N/A</v>
      </c>
      <c r="I1218" s="64">
        <f t="shared" si="36"/>
        <v>0</v>
      </c>
      <c r="J1218" s="68" t="e">
        <f>VLOOKUP(D1218,DIP计划!D:G,4,0)</f>
        <v>#N/A</v>
      </c>
      <c r="K1218" s="5" t="e">
        <f t="shared" si="37"/>
        <v>#N/A</v>
      </c>
      <c r="L1218" s="69"/>
    </row>
    <row r="1219" spans="1:12" x14ac:dyDescent="0.3">
      <c r="A1219" s="64"/>
      <c r="B1219" s="65" t="e">
        <f>VLOOKUP(C1219,[7]完成订单!$D:$D,1,0)</f>
        <v>#N/A</v>
      </c>
      <c r="C1219" s="66"/>
      <c r="D1219" s="66"/>
      <c r="E1219" s="66"/>
      <c r="F1219" s="67"/>
      <c r="G1219" s="66"/>
      <c r="H1219" s="53" t="e">
        <f>VLOOKUP(E1219,DIP计划!E:J,6,0)</f>
        <v>#N/A</v>
      </c>
      <c r="I1219" s="64">
        <f t="shared" si="36"/>
        <v>0</v>
      </c>
      <c r="J1219" s="68" t="e">
        <f>VLOOKUP(D1219,DIP计划!D:G,4,0)</f>
        <v>#N/A</v>
      </c>
      <c r="K1219" s="5" t="e">
        <f t="shared" si="37"/>
        <v>#N/A</v>
      </c>
      <c r="L1219" s="69"/>
    </row>
    <row r="1220" spans="1:12" x14ac:dyDescent="0.3">
      <c r="A1220" s="64"/>
      <c r="B1220" s="65" t="e">
        <f>VLOOKUP(C1220,[7]完成订单!$D:$D,1,0)</f>
        <v>#N/A</v>
      </c>
      <c r="C1220" s="66"/>
      <c r="D1220" s="66"/>
      <c r="E1220" s="66"/>
      <c r="F1220" s="67"/>
      <c r="G1220" s="66"/>
      <c r="H1220" s="53" t="e">
        <f>VLOOKUP(E1220,DIP计划!E:J,6,0)</f>
        <v>#N/A</v>
      </c>
      <c r="I1220" s="64">
        <f t="shared" si="36"/>
        <v>0</v>
      </c>
      <c r="J1220" s="68" t="e">
        <f>VLOOKUP(D1220,DIP计划!D:G,4,0)</f>
        <v>#N/A</v>
      </c>
      <c r="K1220" s="5" t="e">
        <f t="shared" si="37"/>
        <v>#N/A</v>
      </c>
      <c r="L1220" s="69"/>
    </row>
    <row r="1221" spans="1:12" x14ac:dyDescent="0.3">
      <c r="A1221" s="64"/>
      <c r="B1221" s="65" t="e">
        <f>VLOOKUP(C1221,[7]完成订单!$D:$D,1,0)</f>
        <v>#N/A</v>
      </c>
      <c r="C1221" s="66"/>
      <c r="D1221" s="66"/>
      <c r="E1221" s="66"/>
      <c r="F1221" s="67"/>
      <c r="G1221" s="66"/>
      <c r="H1221" s="53" t="e">
        <f>VLOOKUP(E1221,DIP计划!E:J,6,0)</f>
        <v>#N/A</v>
      </c>
      <c r="I1221" s="64">
        <f t="shared" si="36"/>
        <v>0</v>
      </c>
      <c r="J1221" s="68" t="e">
        <f>VLOOKUP(D1221,DIP计划!D:G,4,0)</f>
        <v>#N/A</v>
      </c>
      <c r="K1221" s="5" t="e">
        <f t="shared" si="37"/>
        <v>#N/A</v>
      </c>
      <c r="L1221" s="69"/>
    </row>
    <row r="1222" spans="1:12" x14ac:dyDescent="0.3">
      <c r="A1222" s="64"/>
      <c r="B1222" s="65" t="e">
        <f>VLOOKUP(C1222,[7]完成订单!$D:$D,1,0)</f>
        <v>#N/A</v>
      </c>
      <c r="C1222" s="66"/>
      <c r="D1222" s="66"/>
      <c r="E1222" s="66"/>
      <c r="F1222" s="67"/>
      <c r="G1222" s="66"/>
      <c r="H1222" s="53" t="e">
        <f>VLOOKUP(E1222,DIP计划!E:J,6,0)</f>
        <v>#N/A</v>
      </c>
      <c r="I1222" s="64">
        <f t="shared" si="36"/>
        <v>0</v>
      </c>
      <c r="J1222" s="68" t="e">
        <f>VLOOKUP(D1222,DIP计划!D:G,4,0)</f>
        <v>#N/A</v>
      </c>
      <c r="K1222" s="5" t="e">
        <f t="shared" si="37"/>
        <v>#N/A</v>
      </c>
      <c r="L1222" s="69"/>
    </row>
    <row r="1223" spans="1:12" x14ac:dyDescent="0.3">
      <c r="A1223" s="64"/>
      <c r="B1223" s="65" t="e">
        <f>VLOOKUP(C1223,[7]完成订单!$D:$D,1,0)</f>
        <v>#N/A</v>
      </c>
      <c r="C1223" s="66"/>
      <c r="D1223" s="66"/>
      <c r="E1223" s="66"/>
      <c r="F1223" s="67"/>
      <c r="G1223" s="66"/>
      <c r="H1223" s="53" t="e">
        <f>VLOOKUP(E1223,DIP计划!E:J,6,0)</f>
        <v>#N/A</v>
      </c>
      <c r="I1223" s="64">
        <f t="shared" si="36"/>
        <v>0</v>
      </c>
      <c r="J1223" s="68" t="e">
        <f>VLOOKUP(D1223,DIP计划!D:G,4,0)</f>
        <v>#N/A</v>
      </c>
      <c r="K1223" s="5" t="e">
        <f t="shared" si="37"/>
        <v>#N/A</v>
      </c>
      <c r="L1223" s="69"/>
    </row>
    <row r="1224" spans="1:12" x14ac:dyDescent="0.3">
      <c r="A1224" s="64"/>
      <c r="B1224" s="65" t="e">
        <f>VLOOKUP(C1224,[7]完成订单!$D:$D,1,0)</f>
        <v>#N/A</v>
      </c>
      <c r="C1224" s="66"/>
      <c r="D1224" s="66"/>
      <c r="E1224" s="66"/>
      <c r="F1224" s="67"/>
      <c r="G1224" s="66"/>
      <c r="H1224" s="53" t="e">
        <f>VLOOKUP(E1224,DIP计划!E:J,6,0)</f>
        <v>#N/A</v>
      </c>
      <c r="I1224" s="64">
        <f t="shared" si="36"/>
        <v>0</v>
      </c>
      <c r="J1224" s="68" t="e">
        <f>VLOOKUP(D1224,DIP计划!D:G,4,0)</f>
        <v>#N/A</v>
      </c>
      <c r="K1224" s="5" t="e">
        <f t="shared" si="37"/>
        <v>#N/A</v>
      </c>
      <c r="L1224" s="69"/>
    </row>
    <row r="1225" spans="1:12" x14ac:dyDescent="0.3">
      <c r="A1225" s="64"/>
      <c r="B1225" s="65" t="e">
        <f>VLOOKUP(C1225,[7]完成订单!$D:$D,1,0)</f>
        <v>#N/A</v>
      </c>
      <c r="C1225" s="66"/>
      <c r="D1225" s="66"/>
      <c r="E1225" s="66"/>
      <c r="F1225" s="67"/>
      <c r="G1225" s="66"/>
      <c r="H1225" s="53" t="e">
        <f>VLOOKUP(E1225,DIP计划!E:J,6,0)</f>
        <v>#N/A</v>
      </c>
      <c r="I1225" s="64">
        <f t="shared" si="36"/>
        <v>0</v>
      </c>
      <c r="J1225" s="68" t="e">
        <f>VLOOKUP(D1225,DIP计划!D:G,4,0)</f>
        <v>#N/A</v>
      </c>
      <c r="K1225" s="5" t="e">
        <f t="shared" si="37"/>
        <v>#N/A</v>
      </c>
      <c r="L1225" s="69"/>
    </row>
    <row r="1226" spans="1:12" x14ac:dyDescent="0.3">
      <c r="A1226" s="64"/>
      <c r="B1226" s="65" t="e">
        <f>VLOOKUP(C1226,[7]完成订单!$D:$D,1,0)</f>
        <v>#N/A</v>
      </c>
      <c r="C1226" s="66"/>
      <c r="D1226" s="66"/>
      <c r="E1226" s="66"/>
      <c r="F1226" s="67"/>
      <c r="G1226" s="66"/>
      <c r="H1226" s="53" t="e">
        <f>VLOOKUP(E1226,DIP计划!E:J,6,0)</f>
        <v>#N/A</v>
      </c>
      <c r="I1226" s="64">
        <f t="shared" si="36"/>
        <v>0</v>
      </c>
      <c r="J1226" s="68" t="e">
        <f>VLOOKUP(D1226,DIP计划!D:G,4,0)</f>
        <v>#N/A</v>
      </c>
      <c r="K1226" s="5" t="e">
        <f t="shared" si="37"/>
        <v>#N/A</v>
      </c>
      <c r="L1226" s="69"/>
    </row>
    <row r="1227" spans="1:12" x14ac:dyDescent="0.3">
      <c r="A1227" s="64"/>
      <c r="B1227" s="65" t="e">
        <f>VLOOKUP(C1227,[7]完成订单!$D:$D,1,0)</f>
        <v>#N/A</v>
      </c>
      <c r="C1227" s="66"/>
      <c r="D1227" s="66"/>
      <c r="E1227" s="66"/>
      <c r="F1227" s="67"/>
      <c r="G1227" s="66"/>
      <c r="H1227" s="53" t="e">
        <f>VLOOKUP(E1227,DIP计划!E:J,6,0)</f>
        <v>#N/A</v>
      </c>
      <c r="I1227" s="64">
        <f t="shared" si="36"/>
        <v>0</v>
      </c>
      <c r="J1227" s="68" t="e">
        <f>VLOOKUP(D1227,DIP计划!D:G,4,0)</f>
        <v>#N/A</v>
      </c>
      <c r="K1227" s="5" t="e">
        <f t="shared" si="37"/>
        <v>#N/A</v>
      </c>
      <c r="L1227" s="69"/>
    </row>
    <row r="1228" spans="1:12" x14ac:dyDescent="0.3">
      <c r="A1228" s="64"/>
      <c r="B1228" s="65" t="e">
        <f>VLOOKUP(C1228,[7]完成订单!$D:$D,1,0)</f>
        <v>#N/A</v>
      </c>
      <c r="C1228" s="66"/>
      <c r="D1228" s="66"/>
      <c r="E1228" s="66"/>
      <c r="F1228" s="67"/>
      <c r="G1228" s="66"/>
      <c r="H1228" s="53" t="e">
        <f>VLOOKUP(E1228,DIP计划!E:J,6,0)</f>
        <v>#N/A</v>
      </c>
      <c r="I1228" s="64">
        <f t="shared" si="36"/>
        <v>0</v>
      </c>
      <c r="J1228" s="68" t="e">
        <f>VLOOKUP(D1228,DIP计划!D:G,4,0)</f>
        <v>#N/A</v>
      </c>
      <c r="K1228" s="5" t="e">
        <f t="shared" si="37"/>
        <v>#N/A</v>
      </c>
      <c r="L1228" s="69"/>
    </row>
    <row r="1229" spans="1:12" x14ac:dyDescent="0.3">
      <c r="A1229" s="64"/>
      <c r="B1229" s="65" t="e">
        <f>VLOOKUP(C1229,[7]完成订单!$D:$D,1,0)</f>
        <v>#N/A</v>
      </c>
      <c r="C1229" s="66"/>
      <c r="D1229" s="66"/>
      <c r="E1229" s="66"/>
      <c r="F1229" s="67"/>
      <c r="G1229" s="66"/>
      <c r="H1229" s="53" t="e">
        <f>VLOOKUP(E1229,DIP计划!E:J,6,0)</f>
        <v>#N/A</v>
      </c>
      <c r="I1229" s="64">
        <f t="shared" si="36"/>
        <v>0</v>
      </c>
      <c r="J1229" s="68" t="e">
        <f>VLOOKUP(D1229,DIP计划!D:G,4,0)</f>
        <v>#N/A</v>
      </c>
      <c r="K1229" s="5" t="e">
        <f t="shared" si="37"/>
        <v>#N/A</v>
      </c>
      <c r="L1229" s="69"/>
    </row>
    <row r="1230" spans="1:12" x14ac:dyDescent="0.3">
      <c r="A1230" s="64"/>
      <c r="B1230" s="65" t="e">
        <f>VLOOKUP(C1230,[7]完成订单!$D:$D,1,0)</f>
        <v>#N/A</v>
      </c>
      <c r="C1230" s="66"/>
      <c r="D1230" s="66"/>
      <c r="E1230" s="66"/>
      <c r="F1230" s="67"/>
      <c r="G1230" s="66"/>
      <c r="H1230" s="53" t="e">
        <f>VLOOKUP(E1230,DIP计划!E:J,6,0)</f>
        <v>#N/A</v>
      </c>
      <c r="I1230" s="64">
        <f t="shared" si="36"/>
        <v>0</v>
      </c>
      <c r="J1230" s="68" t="e">
        <f>VLOOKUP(D1230,DIP计划!D:G,4,0)</f>
        <v>#N/A</v>
      </c>
      <c r="K1230" s="5" t="e">
        <f t="shared" si="37"/>
        <v>#N/A</v>
      </c>
      <c r="L1230" s="69"/>
    </row>
    <row r="1231" spans="1:12" x14ac:dyDescent="0.3">
      <c r="A1231" s="64"/>
      <c r="B1231" s="65" t="e">
        <f>VLOOKUP(C1231,[7]完成订单!$D:$D,1,0)</f>
        <v>#N/A</v>
      </c>
      <c r="C1231" s="66"/>
      <c r="D1231" s="66"/>
      <c r="E1231" s="66"/>
      <c r="F1231" s="67"/>
      <c r="G1231" s="66"/>
      <c r="H1231" s="53" t="e">
        <f>VLOOKUP(E1231,DIP计划!E:J,6,0)</f>
        <v>#N/A</v>
      </c>
      <c r="I1231" s="64">
        <f t="shared" si="36"/>
        <v>0</v>
      </c>
      <c r="J1231" s="68" t="e">
        <f>VLOOKUP(D1231,DIP计划!D:G,4,0)</f>
        <v>#N/A</v>
      </c>
      <c r="K1231" s="5" t="e">
        <f t="shared" si="37"/>
        <v>#N/A</v>
      </c>
      <c r="L1231" s="69"/>
    </row>
    <row r="1232" spans="1:12" x14ac:dyDescent="0.3">
      <c r="A1232" s="64"/>
      <c r="B1232" s="65" t="e">
        <f>VLOOKUP(C1232,[7]完成订单!$D:$D,1,0)</f>
        <v>#N/A</v>
      </c>
      <c r="C1232" s="66"/>
      <c r="D1232" s="66"/>
      <c r="E1232" s="66"/>
      <c r="F1232" s="67"/>
      <c r="G1232" s="66"/>
      <c r="H1232" s="53" t="e">
        <f>VLOOKUP(E1232,DIP计划!E:J,6,0)</f>
        <v>#N/A</v>
      </c>
      <c r="I1232" s="64">
        <f t="shared" si="36"/>
        <v>0</v>
      </c>
      <c r="J1232" s="68" t="e">
        <f>VLOOKUP(D1232,DIP计划!D:G,4,0)</f>
        <v>#N/A</v>
      </c>
      <c r="K1232" s="5" t="e">
        <f t="shared" si="37"/>
        <v>#N/A</v>
      </c>
      <c r="L1232" s="69"/>
    </row>
    <row r="1233" spans="1:12" x14ac:dyDescent="0.3">
      <c r="A1233" s="64"/>
      <c r="B1233" s="65" t="e">
        <f>VLOOKUP(C1233,[7]完成订单!$D:$D,1,0)</f>
        <v>#N/A</v>
      </c>
      <c r="C1233" s="66"/>
      <c r="D1233" s="66"/>
      <c r="E1233" s="66"/>
      <c r="F1233" s="67"/>
      <c r="G1233" s="66"/>
      <c r="H1233" s="53" t="e">
        <f>VLOOKUP(E1233,DIP计划!E:J,6,0)</f>
        <v>#N/A</v>
      </c>
      <c r="I1233" s="64">
        <f t="shared" si="36"/>
        <v>0</v>
      </c>
      <c r="J1233" s="68" t="e">
        <f>VLOOKUP(D1233,DIP计划!D:G,4,0)</f>
        <v>#N/A</v>
      </c>
      <c r="K1233" s="5" t="e">
        <f t="shared" si="37"/>
        <v>#N/A</v>
      </c>
      <c r="L1233" s="69"/>
    </row>
    <row r="1234" spans="1:12" x14ac:dyDescent="0.3">
      <c r="A1234" s="64"/>
      <c r="B1234" s="65" t="e">
        <f>VLOOKUP(C1234,[7]完成订单!$D:$D,1,0)</f>
        <v>#N/A</v>
      </c>
      <c r="C1234" s="66"/>
      <c r="D1234" s="66"/>
      <c r="E1234" s="66"/>
      <c r="F1234" s="67"/>
      <c r="G1234" s="66"/>
      <c r="H1234" s="53" t="e">
        <f>VLOOKUP(E1234,DIP计划!E:J,6,0)</f>
        <v>#N/A</v>
      </c>
      <c r="I1234" s="64">
        <f t="shared" si="36"/>
        <v>0</v>
      </c>
      <c r="J1234" s="68" t="e">
        <f>VLOOKUP(D1234,DIP计划!D:G,4,0)</f>
        <v>#N/A</v>
      </c>
      <c r="K1234" s="5" t="e">
        <f t="shared" si="37"/>
        <v>#N/A</v>
      </c>
      <c r="L1234" s="69"/>
    </row>
    <row r="1235" spans="1:12" x14ac:dyDescent="0.3">
      <c r="A1235" s="64"/>
      <c r="B1235" s="65" t="e">
        <f>VLOOKUP(C1235,[7]完成订单!$D:$D,1,0)</f>
        <v>#N/A</v>
      </c>
      <c r="C1235" s="66"/>
      <c r="D1235" s="66"/>
      <c r="E1235" s="66"/>
      <c r="F1235" s="67"/>
      <c r="G1235" s="66"/>
      <c r="H1235" s="53" t="e">
        <f>VLOOKUP(E1235,DIP计划!E:J,6,0)</f>
        <v>#N/A</v>
      </c>
      <c r="I1235" s="64">
        <f t="shared" si="36"/>
        <v>0</v>
      </c>
      <c r="J1235" s="68" t="e">
        <f>VLOOKUP(D1235,DIP计划!D:G,4,0)</f>
        <v>#N/A</v>
      </c>
      <c r="K1235" s="5" t="e">
        <f t="shared" si="37"/>
        <v>#N/A</v>
      </c>
      <c r="L1235" s="69"/>
    </row>
    <row r="1236" spans="1:12" x14ac:dyDescent="0.3">
      <c r="A1236" s="64"/>
      <c r="B1236" s="65" t="e">
        <f>VLOOKUP(C1236,[7]完成订单!$D:$D,1,0)</f>
        <v>#N/A</v>
      </c>
      <c r="C1236" s="66"/>
      <c r="D1236" s="66"/>
      <c r="E1236" s="66"/>
      <c r="F1236" s="67"/>
      <c r="G1236" s="66"/>
      <c r="H1236" s="53" t="e">
        <f>VLOOKUP(E1236,DIP计划!E:J,6,0)</f>
        <v>#N/A</v>
      </c>
      <c r="I1236" s="64">
        <f t="shared" si="36"/>
        <v>0</v>
      </c>
      <c r="J1236" s="68" t="e">
        <f>VLOOKUP(D1236,DIP计划!D:G,4,0)</f>
        <v>#N/A</v>
      </c>
      <c r="K1236" s="5" t="e">
        <f t="shared" si="37"/>
        <v>#N/A</v>
      </c>
      <c r="L1236" s="69"/>
    </row>
    <row r="1237" spans="1:12" x14ac:dyDescent="0.3">
      <c r="A1237" s="64"/>
      <c r="B1237" s="65" t="e">
        <f>VLOOKUP(C1237,[7]完成订单!$D:$D,1,0)</f>
        <v>#N/A</v>
      </c>
      <c r="C1237" s="66"/>
      <c r="D1237" s="66"/>
      <c r="E1237" s="66"/>
      <c r="F1237" s="67"/>
      <c r="G1237" s="66"/>
      <c r="H1237" s="53" t="e">
        <f>VLOOKUP(E1237,DIP计划!E:J,6,0)</f>
        <v>#N/A</v>
      </c>
      <c r="I1237" s="64">
        <f t="shared" si="36"/>
        <v>0</v>
      </c>
      <c r="J1237" s="68" t="e">
        <f>VLOOKUP(D1237,DIP计划!D:G,4,0)</f>
        <v>#N/A</v>
      </c>
      <c r="K1237" s="5" t="e">
        <f t="shared" si="37"/>
        <v>#N/A</v>
      </c>
      <c r="L1237" s="69"/>
    </row>
    <row r="1238" spans="1:12" x14ac:dyDescent="0.3">
      <c r="A1238" s="64"/>
      <c r="B1238" s="65" t="e">
        <f>VLOOKUP(C1238,[7]完成订单!$D:$D,1,0)</f>
        <v>#N/A</v>
      </c>
      <c r="C1238" s="66"/>
      <c r="D1238" s="66"/>
      <c r="E1238" s="66"/>
      <c r="F1238" s="67"/>
      <c r="G1238" s="66"/>
      <c r="H1238" s="53" t="e">
        <f>VLOOKUP(E1238,DIP计划!E:J,6,0)</f>
        <v>#N/A</v>
      </c>
      <c r="I1238" s="64">
        <f t="shared" si="36"/>
        <v>0</v>
      </c>
      <c r="J1238" s="68" t="e">
        <f>VLOOKUP(D1238,DIP计划!D:G,4,0)</f>
        <v>#N/A</v>
      </c>
      <c r="K1238" s="5" t="e">
        <f t="shared" si="37"/>
        <v>#N/A</v>
      </c>
      <c r="L1238" s="69"/>
    </row>
    <row r="1239" spans="1:12" x14ac:dyDescent="0.3">
      <c r="A1239" s="64"/>
      <c r="B1239" s="65" t="e">
        <f>VLOOKUP(C1239,[7]完成订单!$D:$D,1,0)</f>
        <v>#N/A</v>
      </c>
      <c r="C1239" s="66"/>
      <c r="D1239" s="66"/>
      <c r="E1239" s="66"/>
      <c r="F1239" s="67"/>
      <c r="G1239" s="66"/>
      <c r="H1239" s="53" t="e">
        <f>VLOOKUP(E1239,DIP计划!E:J,6,0)</f>
        <v>#N/A</v>
      </c>
      <c r="I1239" s="64">
        <f t="shared" si="36"/>
        <v>0</v>
      </c>
      <c r="J1239" s="68" t="e">
        <f>VLOOKUP(D1239,DIP计划!D:G,4,0)</f>
        <v>#N/A</v>
      </c>
      <c r="K1239" s="5" t="e">
        <f t="shared" si="37"/>
        <v>#N/A</v>
      </c>
      <c r="L1239" s="69"/>
    </row>
    <row r="1240" spans="1:12" x14ac:dyDescent="0.3">
      <c r="A1240" s="64"/>
      <c r="B1240" s="65" t="e">
        <f>VLOOKUP(C1240,[7]完成订单!$D:$D,1,0)</f>
        <v>#N/A</v>
      </c>
      <c r="C1240" s="66"/>
      <c r="D1240" s="66"/>
      <c r="E1240" s="66"/>
      <c r="F1240" s="67"/>
      <c r="G1240" s="66"/>
      <c r="H1240" s="53" t="e">
        <f>VLOOKUP(E1240,DIP计划!E:J,6,0)</f>
        <v>#N/A</v>
      </c>
      <c r="I1240" s="64">
        <f t="shared" si="36"/>
        <v>0</v>
      </c>
      <c r="J1240" s="68" t="e">
        <f>VLOOKUP(D1240,DIP计划!D:G,4,0)</f>
        <v>#N/A</v>
      </c>
      <c r="K1240" s="5" t="e">
        <f t="shared" si="37"/>
        <v>#N/A</v>
      </c>
      <c r="L1240" s="69"/>
    </row>
    <row r="1241" spans="1:12" x14ac:dyDescent="0.3">
      <c r="A1241" s="64"/>
      <c r="B1241" s="65" t="e">
        <f>VLOOKUP(C1241,[7]完成订单!$D:$D,1,0)</f>
        <v>#N/A</v>
      </c>
      <c r="C1241" s="66"/>
      <c r="D1241" s="66"/>
      <c r="E1241" s="66"/>
      <c r="F1241" s="67"/>
      <c r="G1241" s="66"/>
      <c r="H1241" s="53" t="e">
        <f>VLOOKUP(E1241,DIP计划!E:J,6,0)</f>
        <v>#N/A</v>
      </c>
      <c r="I1241" s="64">
        <f t="shared" si="36"/>
        <v>0</v>
      </c>
      <c r="J1241" s="68" t="e">
        <f>VLOOKUP(D1241,DIP计划!D:G,4,0)</f>
        <v>#N/A</v>
      </c>
      <c r="K1241" s="5" t="e">
        <f t="shared" si="37"/>
        <v>#N/A</v>
      </c>
      <c r="L1241" s="69"/>
    </row>
    <row r="1242" spans="1:12" x14ac:dyDescent="0.3">
      <c r="A1242" s="64"/>
      <c r="B1242" s="65" t="e">
        <f>VLOOKUP(C1242,[7]完成订单!$D:$D,1,0)</f>
        <v>#N/A</v>
      </c>
      <c r="C1242" s="66"/>
      <c r="D1242" s="66"/>
      <c r="E1242" s="66"/>
      <c r="F1242" s="67"/>
      <c r="G1242" s="66"/>
      <c r="H1242" s="53" t="e">
        <f>VLOOKUP(E1242,DIP计划!E:J,6,0)</f>
        <v>#N/A</v>
      </c>
      <c r="I1242" s="64">
        <f t="shared" ref="I1242:I1300" si="38">A1242</f>
        <v>0</v>
      </c>
      <c r="J1242" s="68" t="e">
        <f>VLOOKUP(D1242,DIP计划!D:G,4,0)</f>
        <v>#N/A</v>
      </c>
      <c r="K1242" s="5" t="e">
        <f t="shared" ref="K1242:K1300" si="39">+J1242-G1242</f>
        <v>#N/A</v>
      </c>
      <c r="L1242" s="69"/>
    </row>
    <row r="1243" spans="1:12" x14ac:dyDescent="0.3">
      <c r="A1243" s="64"/>
      <c r="B1243" s="65" t="e">
        <f>VLOOKUP(C1243,[7]完成订单!$D:$D,1,0)</f>
        <v>#N/A</v>
      </c>
      <c r="C1243" s="66"/>
      <c r="D1243" s="66"/>
      <c r="E1243" s="66"/>
      <c r="F1243" s="67"/>
      <c r="G1243" s="66"/>
      <c r="H1243" s="53" t="e">
        <f>VLOOKUP(E1243,DIP计划!E:J,6,0)</f>
        <v>#N/A</v>
      </c>
      <c r="I1243" s="64">
        <f t="shared" si="38"/>
        <v>0</v>
      </c>
      <c r="J1243" s="68" t="e">
        <f>VLOOKUP(D1243,DIP计划!D:G,4,0)</f>
        <v>#N/A</v>
      </c>
      <c r="K1243" s="5" t="e">
        <f t="shared" si="39"/>
        <v>#N/A</v>
      </c>
      <c r="L1243" s="69"/>
    </row>
    <row r="1244" spans="1:12" x14ac:dyDescent="0.3">
      <c r="A1244" s="64"/>
      <c r="B1244" s="65" t="e">
        <f>VLOOKUP(C1244,[7]完成订单!$D:$D,1,0)</f>
        <v>#N/A</v>
      </c>
      <c r="C1244" s="66"/>
      <c r="D1244" s="66"/>
      <c r="E1244" s="66"/>
      <c r="F1244" s="67"/>
      <c r="G1244" s="66"/>
      <c r="H1244" s="53" t="e">
        <f>VLOOKUP(E1244,DIP计划!E:J,6,0)</f>
        <v>#N/A</v>
      </c>
      <c r="I1244" s="64">
        <f t="shared" si="38"/>
        <v>0</v>
      </c>
      <c r="J1244" s="68" t="e">
        <f>VLOOKUP(D1244,DIP计划!D:G,4,0)</f>
        <v>#N/A</v>
      </c>
      <c r="K1244" s="5" t="e">
        <f t="shared" si="39"/>
        <v>#N/A</v>
      </c>
      <c r="L1244" s="69"/>
    </row>
    <row r="1245" spans="1:12" x14ac:dyDescent="0.3">
      <c r="A1245" s="64"/>
      <c r="B1245" s="65" t="e">
        <f>VLOOKUP(C1245,[7]完成订单!$D:$D,1,0)</f>
        <v>#N/A</v>
      </c>
      <c r="C1245" s="66"/>
      <c r="D1245" s="66"/>
      <c r="E1245" s="66"/>
      <c r="F1245" s="67"/>
      <c r="G1245" s="66"/>
      <c r="H1245" s="53" t="e">
        <f>VLOOKUP(E1245,DIP计划!E:J,6,0)</f>
        <v>#N/A</v>
      </c>
      <c r="I1245" s="64">
        <f t="shared" si="38"/>
        <v>0</v>
      </c>
      <c r="J1245" s="68" t="e">
        <f>VLOOKUP(D1245,DIP计划!D:G,4,0)</f>
        <v>#N/A</v>
      </c>
      <c r="K1245" s="5" t="e">
        <f t="shared" si="39"/>
        <v>#N/A</v>
      </c>
      <c r="L1245" s="69"/>
    </row>
    <row r="1246" spans="1:12" x14ac:dyDescent="0.3">
      <c r="A1246" s="64"/>
      <c r="B1246" s="65" t="e">
        <f>VLOOKUP(C1246,[7]完成订单!$D:$D,1,0)</f>
        <v>#N/A</v>
      </c>
      <c r="C1246" s="66"/>
      <c r="D1246" s="66"/>
      <c r="E1246" s="66"/>
      <c r="F1246" s="67"/>
      <c r="G1246" s="66"/>
      <c r="H1246" s="53" t="e">
        <f>VLOOKUP(E1246,DIP计划!E:J,6,0)</f>
        <v>#N/A</v>
      </c>
      <c r="I1246" s="64">
        <f t="shared" si="38"/>
        <v>0</v>
      </c>
      <c r="J1246" s="68" t="e">
        <f>VLOOKUP(D1246,DIP计划!D:G,4,0)</f>
        <v>#N/A</v>
      </c>
      <c r="K1246" s="5" t="e">
        <f t="shared" si="39"/>
        <v>#N/A</v>
      </c>
      <c r="L1246" s="69"/>
    </row>
    <row r="1247" spans="1:12" x14ac:dyDescent="0.3">
      <c r="A1247" s="64"/>
      <c r="B1247" s="65" t="e">
        <f>VLOOKUP(C1247,[7]完成订单!$D:$D,1,0)</f>
        <v>#N/A</v>
      </c>
      <c r="C1247" s="66"/>
      <c r="D1247" s="66"/>
      <c r="E1247" s="66"/>
      <c r="F1247" s="67"/>
      <c r="G1247" s="66"/>
      <c r="H1247" s="53" t="e">
        <f>VLOOKUP(E1247,DIP计划!E:J,6,0)</f>
        <v>#N/A</v>
      </c>
      <c r="I1247" s="64">
        <f t="shared" si="38"/>
        <v>0</v>
      </c>
      <c r="J1247" s="68" t="e">
        <f>VLOOKUP(D1247,DIP计划!D:G,4,0)</f>
        <v>#N/A</v>
      </c>
      <c r="K1247" s="5" t="e">
        <f t="shared" si="39"/>
        <v>#N/A</v>
      </c>
      <c r="L1247" s="69"/>
    </row>
    <row r="1248" spans="1:12" x14ac:dyDescent="0.3">
      <c r="A1248" s="64"/>
      <c r="B1248" s="65" t="e">
        <f>VLOOKUP(C1248,[7]完成订单!$D:$D,1,0)</f>
        <v>#N/A</v>
      </c>
      <c r="C1248" s="66"/>
      <c r="D1248" s="66"/>
      <c r="E1248" s="66"/>
      <c r="F1248" s="67"/>
      <c r="G1248" s="66"/>
      <c r="H1248" s="53" t="e">
        <f>VLOOKUP(E1248,DIP计划!E:J,6,0)</f>
        <v>#N/A</v>
      </c>
      <c r="I1248" s="64">
        <f t="shared" si="38"/>
        <v>0</v>
      </c>
      <c r="J1248" s="68" t="e">
        <f>VLOOKUP(D1248,DIP计划!D:G,4,0)</f>
        <v>#N/A</v>
      </c>
      <c r="K1248" s="5" t="e">
        <f t="shared" si="39"/>
        <v>#N/A</v>
      </c>
      <c r="L1248" s="69"/>
    </row>
    <row r="1249" spans="1:12" x14ac:dyDescent="0.3">
      <c r="A1249" s="64"/>
      <c r="B1249" s="65" t="e">
        <f>VLOOKUP(C1249,[7]完成订单!$D:$D,1,0)</f>
        <v>#N/A</v>
      </c>
      <c r="C1249" s="66"/>
      <c r="D1249" s="66"/>
      <c r="E1249" s="66"/>
      <c r="F1249" s="67"/>
      <c r="G1249" s="66"/>
      <c r="H1249" s="53" t="e">
        <f>VLOOKUP(E1249,DIP计划!E:J,6,0)</f>
        <v>#N/A</v>
      </c>
      <c r="I1249" s="64">
        <f t="shared" si="38"/>
        <v>0</v>
      </c>
      <c r="J1249" s="68" t="e">
        <f>VLOOKUP(D1249,DIP计划!D:G,4,0)</f>
        <v>#N/A</v>
      </c>
      <c r="K1249" s="5" t="e">
        <f t="shared" si="39"/>
        <v>#N/A</v>
      </c>
      <c r="L1249" s="69"/>
    </row>
    <row r="1250" spans="1:12" x14ac:dyDescent="0.3">
      <c r="A1250" s="64"/>
      <c r="B1250" s="65" t="e">
        <f>VLOOKUP(C1250,[7]完成订单!$D:$D,1,0)</f>
        <v>#N/A</v>
      </c>
      <c r="C1250" s="66"/>
      <c r="D1250" s="66"/>
      <c r="E1250" s="66"/>
      <c r="F1250" s="67"/>
      <c r="G1250" s="66"/>
      <c r="H1250" s="53" t="e">
        <f>VLOOKUP(E1250,DIP计划!E:J,6,0)</f>
        <v>#N/A</v>
      </c>
      <c r="I1250" s="64">
        <f t="shared" si="38"/>
        <v>0</v>
      </c>
      <c r="J1250" s="68" t="e">
        <f>VLOOKUP(D1250,DIP计划!D:G,4,0)</f>
        <v>#N/A</v>
      </c>
      <c r="K1250" s="5" t="e">
        <f t="shared" si="39"/>
        <v>#N/A</v>
      </c>
      <c r="L1250" s="69"/>
    </row>
    <row r="1251" spans="1:12" x14ac:dyDescent="0.3">
      <c r="A1251" s="64"/>
      <c r="B1251" s="65" t="e">
        <f>VLOOKUP(C1251,[7]完成订单!$D:$D,1,0)</f>
        <v>#N/A</v>
      </c>
      <c r="C1251" s="66"/>
      <c r="D1251" s="66"/>
      <c r="E1251" s="66"/>
      <c r="F1251" s="67"/>
      <c r="G1251" s="66"/>
      <c r="H1251" s="53" t="e">
        <f>VLOOKUP(E1251,DIP计划!E:J,6,0)</f>
        <v>#N/A</v>
      </c>
      <c r="I1251" s="64">
        <f t="shared" si="38"/>
        <v>0</v>
      </c>
      <c r="J1251" s="68" t="e">
        <f>VLOOKUP(D1251,DIP计划!D:G,4,0)</f>
        <v>#N/A</v>
      </c>
      <c r="K1251" s="5" t="e">
        <f t="shared" si="39"/>
        <v>#N/A</v>
      </c>
      <c r="L1251" s="69"/>
    </row>
    <row r="1252" spans="1:12" x14ac:dyDescent="0.3">
      <c r="A1252" s="64"/>
      <c r="B1252" s="65" t="e">
        <f>VLOOKUP(C1252,[7]完成订单!$D:$D,1,0)</f>
        <v>#N/A</v>
      </c>
      <c r="C1252" s="66"/>
      <c r="D1252" s="66"/>
      <c r="E1252" s="66"/>
      <c r="F1252" s="67"/>
      <c r="G1252" s="66"/>
      <c r="H1252" s="53" t="e">
        <f>VLOOKUP(E1252,DIP计划!E:J,6,0)</f>
        <v>#N/A</v>
      </c>
      <c r="I1252" s="64">
        <f t="shared" si="38"/>
        <v>0</v>
      </c>
      <c r="J1252" s="68" t="e">
        <f>VLOOKUP(D1252,DIP计划!D:G,4,0)</f>
        <v>#N/A</v>
      </c>
      <c r="K1252" s="5" t="e">
        <f t="shared" si="39"/>
        <v>#N/A</v>
      </c>
      <c r="L1252" s="69"/>
    </row>
    <row r="1253" spans="1:12" x14ac:dyDescent="0.3">
      <c r="A1253" s="64"/>
      <c r="B1253" s="65" t="e">
        <f>VLOOKUP(C1253,[7]完成订单!$D:$D,1,0)</f>
        <v>#N/A</v>
      </c>
      <c r="C1253" s="66"/>
      <c r="D1253" s="66"/>
      <c r="E1253" s="66"/>
      <c r="F1253" s="67"/>
      <c r="G1253" s="66"/>
      <c r="H1253" s="53" t="e">
        <f>VLOOKUP(E1253,DIP计划!E:J,6,0)</f>
        <v>#N/A</v>
      </c>
      <c r="I1253" s="64">
        <f t="shared" si="38"/>
        <v>0</v>
      </c>
      <c r="J1253" s="68" t="e">
        <f>VLOOKUP(D1253,DIP计划!D:G,4,0)</f>
        <v>#N/A</v>
      </c>
      <c r="K1253" s="5" t="e">
        <f t="shared" si="39"/>
        <v>#N/A</v>
      </c>
      <c r="L1253" s="69"/>
    </row>
    <row r="1254" spans="1:12" x14ac:dyDescent="0.3">
      <c r="A1254" s="64"/>
      <c r="B1254" s="65" t="e">
        <f>VLOOKUP(C1254,[7]完成订单!$D:$D,1,0)</f>
        <v>#N/A</v>
      </c>
      <c r="C1254" s="66"/>
      <c r="D1254" s="66"/>
      <c r="E1254" s="66"/>
      <c r="F1254" s="67"/>
      <c r="G1254" s="66"/>
      <c r="H1254" s="53" t="e">
        <f>VLOOKUP(E1254,DIP计划!E:J,6,0)</f>
        <v>#N/A</v>
      </c>
      <c r="I1254" s="64">
        <f t="shared" si="38"/>
        <v>0</v>
      </c>
      <c r="J1254" s="68" t="e">
        <f>VLOOKUP(D1254,DIP计划!D:G,4,0)</f>
        <v>#N/A</v>
      </c>
      <c r="K1254" s="5" t="e">
        <f t="shared" si="39"/>
        <v>#N/A</v>
      </c>
      <c r="L1254" s="69"/>
    </row>
    <row r="1255" spans="1:12" x14ac:dyDescent="0.3">
      <c r="A1255" s="64"/>
      <c r="B1255" s="65" t="e">
        <f>VLOOKUP(C1255,[7]完成订单!$D:$D,1,0)</f>
        <v>#N/A</v>
      </c>
      <c r="C1255" s="66"/>
      <c r="D1255" s="66"/>
      <c r="E1255" s="66"/>
      <c r="F1255" s="67"/>
      <c r="G1255" s="66"/>
      <c r="H1255" s="53" t="e">
        <f>VLOOKUP(E1255,DIP计划!E:J,6,0)</f>
        <v>#N/A</v>
      </c>
      <c r="I1255" s="64">
        <f t="shared" si="38"/>
        <v>0</v>
      </c>
      <c r="J1255" s="68" t="e">
        <f>VLOOKUP(D1255,DIP计划!D:G,4,0)</f>
        <v>#N/A</v>
      </c>
      <c r="K1255" s="5" t="e">
        <f t="shared" si="39"/>
        <v>#N/A</v>
      </c>
      <c r="L1255" s="69"/>
    </row>
    <row r="1256" spans="1:12" x14ac:dyDescent="0.3">
      <c r="A1256" s="64"/>
      <c r="B1256" s="65" t="e">
        <f>VLOOKUP(C1256,[7]完成订单!$D:$D,1,0)</f>
        <v>#N/A</v>
      </c>
      <c r="C1256" s="66"/>
      <c r="D1256" s="66"/>
      <c r="E1256" s="66"/>
      <c r="F1256" s="67"/>
      <c r="G1256" s="66"/>
      <c r="H1256" s="53" t="e">
        <f>VLOOKUP(E1256,DIP计划!E:J,6,0)</f>
        <v>#N/A</v>
      </c>
      <c r="I1256" s="64">
        <f t="shared" si="38"/>
        <v>0</v>
      </c>
      <c r="J1256" s="68" t="e">
        <f>VLOOKUP(D1256,DIP计划!D:G,4,0)</f>
        <v>#N/A</v>
      </c>
      <c r="K1256" s="5" t="e">
        <f t="shared" si="39"/>
        <v>#N/A</v>
      </c>
      <c r="L1256" s="69"/>
    </row>
    <row r="1257" spans="1:12" x14ac:dyDescent="0.3">
      <c r="A1257" s="64"/>
      <c r="B1257" s="65" t="e">
        <f>VLOOKUP(C1257,[7]完成订单!$D:$D,1,0)</f>
        <v>#N/A</v>
      </c>
      <c r="C1257" s="66"/>
      <c r="D1257" s="66"/>
      <c r="E1257" s="66"/>
      <c r="F1257" s="67"/>
      <c r="G1257" s="66"/>
      <c r="H1257" s="53" t="e">
        <f>VLOOKUP(E1257,DIP计划!E:J,6,0)</f>
        <v>#N/A</v>
      </c>
      <c r="I1257" s="64">
        <f t="shared" si="38"/>
        <v>0</v>
      </c>
      <c r="J1257" s="68" t="e">
        <f>VLOOKUP(D1257,DIP计划!D:G,4,0)</f>
        <v>#N/A</v>
      </c>
      <c r="K1257" s="5" t="e">
        <f t="shared" si="39"/>
        <v>#N/A</v>
      </c>
      <c r="L1257" s="69"/>
    </row>
    <row r="1258" spans="1:12" x14ac:dyDescent="0.3">
      <c r="A1258" s="64"/>
      <c r="B1258" s="65" t="e">
        <f>VLOOKUP(C1258,[7]完成订单!$D:$D,1,0)</f>
        <v>#N/A</v>
      </c>
      <c r="C1258" s="66"/>
      <c r="D1258" s="66"/>
      <c r="E1258" s="66"/>
      <c r="F1258" s="67"/>
      <c r="G1258" s="66"/>
      <c r="H1258" s="53" t="e">
        <f>VLOOKUP(E1258,DIP计划!E:J,6,0)</f>
        <v>#N/A</v>
      </c>
      <c r="I1258" s="64">
        <f t="shared" si="38"/>
        <v>0</v>
      </c>
      <c r="J1258" s="68" t="e">
        <f>VLOOKUP(D1258,DIP计划!D:G,4,0)</f>
        <v>#N/A</v>
      </c>
      <c r="K1258" s="5" t="e">
        <f t="shared" si="39"/>
        <v>#N/A</v>
      </c>
      <c r="L1258" s="69"/>
    </row>
    <row r="1259" spans="1:12" x14ac:dyDescent="0.3">
      <c r="A1259" s="64"/>
      <c r="B1259" s="65" t="e">
        <f>VLOOKUP(C1259,[7]完成订单!$D:$D,1,0)</f>
        <v>#N/A</v>
      </c>
      <c r="C1259" s="66"/>
      <c r="D1259" s="66"/>
      <c r="E1259" s="66"/>
      <c r="F1259" s="67"/>
      <c r="G1259" s="66"/>
      <c r="H1259" s="53" t="e">
        <f>VLOOKUP(E1259,DIP计划!E:J,6,0)</f>
        <v>#N/A</v>
      </c>
      <c r="I1259" s="64">
        <f t="shared" si="38"/>
        <v>0</v>
      </c>
      <c r="J1259" s="68" t="e">
        <f>VLOOKUP(D1259,DIP计划!D:G,4,0)</f>
        <v>#N/A</v>
      </c>
      <c r="K1259" s="5" t="e">
        <f t="shared" si="39"/>
        <v>#N/A</v>
      </c>
      <c r="L1259" s="69"/>
    </row>
    <row r="1260" spans="1:12" x14ac:dyDescent="0.3">
      <c r="A1260" s="64"/>
      <c r="B1260" s="65" t="e">
        <f>VLOOKUP(C1260,[7]完成订单!$D:$D,1,0)</f>
        <v>#N/A</v>
      </c>
      <c r="C1260" s="66"/>
      <c r="D1260" s="66"/>
      <c r="E1260" s="66"/>
      <c r="F1260" s="67"/>
      <c r="G1260" s="66"/>
      <c r="H1260" s="53" t="e">
        <f>VLOOKUP(E1260,DIP计划!E:J,6,0)</f>
        <v>#N/A</v>
      </c>
      <c r="I1260" s="64">
        <f t="shared" si="38"/>
        <v>0</v>
      </c>
      <c r="J1260" s="68" t="e">
        <f>VLOOKUP(D1260,DIP计划!D:G,4,0)</f>
        <v>#N/A</v>
      </c>
      <c r="K1260" s="5" t="e">
        <f t="shared" si="39"/>
        <v>#N/A</v>
      </c>
      <c r="L1260" s="69"/>
    </row>
    <row r="1261" spans="1:12" x14ac:dyDescent="0.3">
      <c r="A1261" s="64"/>
      <c r="B1261" s="65" t="e">
        <f>VLOOKUP(C1261,[7]完成订单!$D:$D,1,0)</f>
        <v>#N/A</v>
      </c>
      <c r="C1261" s="66"/>
      <c r="D1261" s="66"/>
      <c r="E1261" s="66"/>
      <c r="F1261" s="67"/>
      <c r="G1261" s="66"/>
      <c r="H1261" s="53" t="e">
        <f>VLOOKUP(E1261,DIP计划!E:J,6,0)</f>
        <v>#N/A</v>
      </c>
      <c r="I1261" s="64">
        <f t="shared" si="38"/>
        <v>0</v>
      </c>
      <c r="J1261" s="68" t="e">
        <f>VLOOKUP(D1261,DIP计划!D:G,4,0)</f>
        <v>#N/A</v>
      </c>
      <c r="K1261" s="5" t="e">
        <f t="shared" si="39"/>
        <v>#N/A</v>
      </c>
      <c r="L1261" s="69"/>
    </row>
    <row r="1262" spans="1:12" x14ac:dyDescent="0.3">
      <c r="A1262" s="64"/>
      <c r="B1262" s="65" t="e">
        <f>VLOOKUP(C1262,[7]完成订单!$D:$D,1,0)</f>
        <v>#N/A</v>
      </c>
      <c r="C1262" s="66"/>
      <c r="D1262" s="66"/>
      <c r="E1262" s="66"/>
      <c r="F1262" s="67"/>
      <c r="G1262" s="66"/>
      <c r="H1262" s="53" t="e">
        <f>VLOOKUP(E1262,DIP计划!E:J,6,0)</f>
        <v>#N/A</v>
      </c>
      <c r="I1262" s="64">
        <f t="shared" si="38"/>
        <v>0</v>
      </c>
      <c r="J1262" s="68" t="e">
        <f>VLOOKUP(D1262,DIP计划!D:G,4,0)</f>
        <v>#N/A</v>
      </c>
      <c r="K1262" s="5" t="e">
        <f t="shared" si="39"/>
        <v>#N/A</v>
      </c>
      <c r="L1262" s="69"/>
    </row>
    <row r="1263" spans="1:12" x14ac:dyDescent="0.3">
      <c r="A1263" s="64"/>
      <c r="B1263" s="65" t="e">
        <f>VLOOKUP(C1263,[7]完成订单!$D:$D,1,0)</f>
        <v>#N/A</v>
      </c>
      <c r="C1263" s="66"/>
      <c r="D1263" s="66"/>
      <c r="E1263" s="66"/>
      <c r="F1263" s="67"/>
      <c r="G1263" s="66"/>
      <c r="H1263" s="53" t="e">
        <f>VLOOKUP(E1263,DIP计划!E:J,6,0)</f>
        <v>#N/A</v>
      </c>
      <c r="I1263" s="64">
        <f t="shared" si="38"/>
        <v>0</v>
      </c>
      <c r="J1263" s="68" t="e">
        <f>VLOOKUP(D1263,DIP计划!D:G,4,0)</f>
        <v>#N/A</v>
      </c>
      <c r="K1263" s="5" t="e">
        <f t="shared" si="39"/>
        <v>#N/A</v>
      </c>
      <c r="L1263" s="69"/>
    </row>
    <row r="1264" spans="1:12" x14ac:dyDescent="0.3">
      <c r="A1264" s="64"/>
      <c r="B1264" s="65" t="e">
        <f>VLOOKUP(C1264,[7]完成订单!$D:$D,1,0)</f>
        <v>#N/A</v>
      </c>
      <c r="C1264" s="66"/>
      <c r="D1264" s="66"/>
      <c r="E1264" s="66"/>
      <c r="F1264" s="67"/>
      <c r="G1264" s="66"/>
      <c r="H1264" s="53" t="e">
        <f>VLOOKUP(E1264,DIP计划!E:J,6,0)</f>
        <v>#N/A</v>
      </c>
      <c r="I1264" s="64">
        <f t="shared" si="38"/>
        <v>0</v>
      </c>
      <c r="J1264" s="68" t="e">
        <f>VLOOKUP(D1264,DIP计划!D:G,4,0)</f>
        <v>#N/A</v>
      </c>
      <c r="K1264" s="5" t="e">
        <f t="shared" si="39"/>
        <v>#N/A</v>
      </c>
      <c r="L1264" s="69"/>
    </row>
    <row r="1265" spans="1:12" x14ac:dyDescent="0.3">
      <c r="A1265" s="64"/>
      <c r="B1265" s="65" t="e">
        <f>VLOOKUP(C1265,[7]完成订单!$D:$D,1,0)</f>
        <v>#N/A</v>
      </c>
      <c r="C1265" s="66"/>
      <c r="D1265" s="66"/>
      <c r="E1265" s="66"/>
      <c r="F1265" s="67"/>
      <c r="G1265" s="66"/>
      <c r="H1265" s="53" t="e">
        <f>VLOOKUP(E1265,DIP计划!E:J,6,0)</f>
        <v>#N/A</v>
      </c>
      <c r="I1265" s="64">
        <f t="shared" si="38"/>
        <v>0</v>
      </c>
      <c r="J1265" s="68" t="e">
        <f>VLOOKUP(D1265,DIP计划!D:G,4,0)</f>
        <v>#N/A</v>
      </c>
      <c r="K1265" s="5" t="e">
        <f t="shared" si="39"/>
        <v>#N/A</v>
      </c>
      <c r="L1265" s="69"/>
    </row>
    <row r="1266" spans="1:12" x14ac:dyDescent="0.3">
      <c r="A1266" s="64"/>
      <c r="B1266" s="65" t="e">
        <f>VLOOKUP(C1266,[7]完成订单!$D:$D,1,0)</f>
        <v>#N/A</v>
      </c>
      <c r="C1266" s="66"/>
      <c r="D1266" s="66"/>
      <c r="E1266" s="66"/>
      <c r="F1266" s="67"/>
      <c r="G1266" s="66"/>
      <c r="H1266" s="53" t="e">
        <f>VLOOKUP(E1266,DIP计划!E:J,6,0)</f>
        <v>#N/A</v>
      </c>
      <c r="I1266" s="64">
        <f t="shared" si="38"/>
        <v>0</v>
      </c>
      <c r="J1266" s="68" t="e">
        <f>VLOOKUP(D1266,DIP计划!D:G,4,0)</f>
        <v>#N/A</v>
      </c>
      <c r="K1266" s="5" t="e">
        <f t="shared" si="39"/>
        <v>#N/A</v>
      </c>
      <c r="L1266" s="69"/>
    </row>
    <row r="1267" spans="1:12" x14ac:dyDescent="0.3">
      <c r="A1267" s="64"/>
      <c r="B1267" s="65" t="e">
        <f>VLOOKUP(C1267,[7]完成订单!$D:$D,1,0)</f>
        <v>#N/A</v>
      </c>
      <c r="C1267" s="66"/>
      <c r="D1267" s="66"/>
      <c r="E1267" s="66"/>
      <c r="F1267" s="67"/>
      <c r="G1267" s="66"/>
      <c r="H1267" s="53" t="e">
        <f>VLOOKUP(E1267,DIP计划!E:J,6,0)</f>
        <v>#N/A</v>
      </c>
      <c r="I1267" s="64">
        <f t="shared" si="38"/>
        <v>0</v>
      </c>
      <c r="J1267" s="68" t="e">
        <f>VLOOKUP(D1267,DIP计划!D:G,4,0)</f>
        <v>#N/A</v>
      </c>
      <c r="K1267" s="5" t="e">
        <f t="shared" si="39"/>
        <v>#N/A</v>
      </c>
      <c r="L1267" s="69"/>
    </row>
    <row r="1268" spans="1:12" x14ac:dyDescent="0.3">
      <c r="A1268" s="64"/>
      <c r="B1268" s="65" t="e">
        <f>VLOOKUP(C1268,[7]完成订单!$D:$D,1,0)</f>
        <v>#N/A</v>
      </c>
      <c r="C1268" s="66"/>
      <c r="D1268" s="66"/>
      <c r="E1268" s="66"/>
      <c r="F1268" s="67"/>
      <c r="G1268" s="66"/>
      <c r="H1268" s="53" t="e">
        <f>VLOOKUP(E1268,DIP计划!E:J,6,0)</f>
        <v>#N/A</v>
      </c>
      <c r="I1268" s="64">
        <f t="shared" si="38"/>
        <v>0</v>
      </c>
      <c r="J1268" s="68" t="e">
        <f>VLOOKUP(D1268,DIP计划!D:G,4,0)</f>
        <v>#N/A</v>
      </c>
      <c r="K1268" s="5" t="e">
        <f t="shared" si="39"/>
        <v>#N/A</v>
      </c>
      <c r="L1268" s="69"/>
    </row>
    <row r="1269" spans="1:12" x14ac:dyDescent="0.3">
      <c r="A1269" s="64"/>
      <c r="B1269" s="65" t="e">
        <f>VLOOKUP(C1269,[7]完成订单!$D:$D,1,0)</f>
        <v>#N/A</v>
      </c>
      <c r="C1269" s="66"/>
      <c r="D1269" s="66"/>
      <c r="E1269" s="66"/>
      <c r="F1269" s="67"/>
      <c r="G1269" s="66"/>
      <c r="H1269" s="53" t="e">
        <f>VLOOKUP(E1269,DIP计划!E:J,6,0)</f>
        <v>#N/A</v>
      </c>
      <c r="I1269" s="64">
        <f t="shared" si="38"/>
        <v>0</v>
      </c>
      <c r="J1269" s="68" t="e">
        <f>VLOOKUP(D1269,DIP计划!D:G,4,0)</f>
        <v>#N/A</v>
      </c>
      <c r="K1269" s="5" t="e">
        <f t="shared" si="39"/>
        <v>#N/A</v>
      </c>
      <c r="L1269" s="69"/>
    </row>
    <row r="1270" spans="1:12" x14ac:dyDescent="0.3">
      <c r="A1270" s="64"/>
      <c r="B1270" s="65" t="e">
        <f>VLOOKUP(C1270,[7]完成订单!$D:$D,1,0)</f>
        <v>#N/A</v>
      </c>
      <c r="C1270" s="66"/>
      <c r="D1270" s="66"/>
      <c r="E1270" s="66"/>
      <c r="F1270" s="67"/>
      <c r="G1270" s="66"/>
      <c r="H1270" s="53" t="e">
        <f>VLOOKUP(E1270,DIP计划!E:J,6,0)</f>
        <v>#N/A</v>
      </c>
      <c r="I1270" s="64">
        <f t="shared" si="38"/>
        <v>0</v>
      </c>
      <c r="J1270" s="68" t="e">
        <f>VLOOKUP(D1270,DIP计划!D:G,4,0)</f>
        <v>#N/A</v>
      </c>
      <c r="K1270" s="5" t="e">
        <f t="shared" si="39"/>
        <v>#N/A</v>
      </c>
      <c r="L1270" s="69"/>
    </row>
    <row r="1271" spans="1:12" x14ac:dyDescent="0.3">
      <c r="A1271" s="64"/>
      <c r="B1271" s="65" t="e">
        <f>VLOOKUP(C1271,[7]完成订单!$D:$D,1,0)</f>
        <v>#N/A</v>
      </c>
      <c r="C1271" s="66"/>
      <c r="D1271" s="66"/>
      <c r="E1271" s="66"/>
      <c r="F1271" s="67"/>
      <c r="G1271" s="66"/>
      <c r="H1271" s="53" t="e">
        <f>VLOOKUP(E1271,DIP计划!E:J,6,0)</f>
        <v>#N/A</v>
      </c>
      <c r="I1271" s="64">
        <f t="shared" si="38"/>
        <v>0</v>
      </c>
      <c r="J1271" s="68" t="e">
        <f>VLOOKUP(D1271,DIP计划!D:G,4,0)</f>
        <v>#N/A</v>
      </c>
      <c r="K1271" s="5" t="e">
        <f t="shared" si="39"/>
        <v>#N/A</v>
      </c>
      <c r="L1271" s="69"/>
    </row>
    <row r="1272" spans="1:12" x14ac:dyDescent="0.3">
      <c r="A1272" s="64"/>
      <c r="B1272" s="65" t="e">
        <f>VLOOKUP(C1272,[7]完成订单!$D:$D,1,0)</f>
        <v>#N/A</v>
      </c>
      <c r="C1272" s="66"/>
      <c r="D1272" s="66"/>
      <c r="E1272" s="66"/>
      <c r="F1272" s="67"/>
      <c r="G1272" s="66"/>
      <c r="H1272" s="53" t="e">
        <f>VLOOKUP(E1272,DIP计划!E:J,6,0)</f>
        <v>#N/A</v>
      </c>
      <c r="I1272" s="64">
        <f t="shared" si="38"/>
        <v>0</v>
      </c>
      <c r="J1272" s="68" t="e">
        <f>VLOOKUP(D1272,DIP计划!D:G,4,0)</f>
        <v>#N/A</v>
      </c>
      <c r="K1272" s="5" t="e">
        <f t="shared" si="39"/>
        <v>#N/A</v>
      </c>
      <c r="L1272" s="69"/>
    </row>
    <row r="1273" spans="1:12" x14ac:dyDescent="0.3">
      <c r="A1273" s="64"/>
      <c r="B1273" s="65" t="e">
        <f>VLOOKUP(C1273,[7]完成订单!$D:$D,1,0)</f>
        <v>#N/A</v>
      </c>
      <c r="C1273" s="66"/>
      <c r="D1273" s="66"/>
      <c r="E1273" s="66"/>
      <c r="F1273" s="67"/>
      <c r="G1273" s="66"/>
      <c r="H1273" s="53" t="e">
        <f>VLOOKUP(E1273,DIP计划!E:J,6,0)</f>
        <v>#N/A</v>
      </c>
      <c r="I1273" s="64">
        <f t="shared" si="38"/>
        <v>0</v>
      </c>
      <c r="J1273" s="68" t="e">
        <f>VLOOKUP(D1273,DIP计划!D:G,4,0)</f>
        <v>#N/A</v>
      </c>
      <c r="K1273" s="5" t="e">
        <f t="shared" si="39"/>
        <v>#N/A</v>
      </c>
      <c r="L1273" s="69"/>
    </row>
    <row r="1274" spans="1:12" x14ac:dyDescent="0.3">
      <c r="A1274" s="64"/>
      <c r="B1274" s="65" t="e">
        <f>VLOOKUP(C1274,[7]完成订单!$D:$D,1,0)</f>
        <v>#N/A</v>
      </c>
      <c r="C1274" s="66"/>
      <c r="D1274" s="66"/>
      <c r="E1274" s="66"/>
      <c r="F1274" s="67"/>
      <c r="G1274" s="66"/>
      <c r="H1274" s="53" t="e">
        <f>VLOOKUP(E1274,DIP计划!E:J,6,0)</f>
        <v>#N/A</v>
      </c>
      <c r="I1274" s="64">
        <f t="shared" si="38"/>
        <v>0</v>
      </c>
      <c r="J1274" s="68" t="e">
        <f>VLOOKUP(D1274,DIP计划!D:G,4,0)</f>
        <v>#N/A</v>
      </c>
      <c r="K1274" s="5" t="e">
        <f t="shared" si="39"/>
        <v>#N/A</v>
      </c>
      <c r="L1274" s="69"/>
    </row>
    <row r="1275" spans="1:12" x14ac:dyDescent="0.3">
      <c r="A1275" s="64"/>
      <c r="B1275" s="65" t="e">
        <f>VLOOKUP(C1275,[7]完成订单!$D:$D,1,0)</f>
        <v>#N/A</v>
      </c>
      <c r="C1275" s="66"/>
      <c r="D1275" s="66"/>
      <c r="E1275" s="66"/>
      <c r="F1275" s="67"/>
      <c r="G1275" s="66"/>
      <c r="H1275" s="53" t="e">
        <f>VLOOKUP(E1275,DIP计划!E:J,6,0)</f>
        <v>#N/A</v>
      </c>
      <c r="I1275" s="64">
        <f t="shared" si="38"/>
        <v>0</v>
      </c>
      <c r="J1275" s="68" t="e">
        <f>VLOOKUP(D1275,DIP计划!D:G,4,0)</f>
        <v>#N/A</v>
      </c>
      <c r="K1275" s="5" t="e">
        <f t="shared" si="39"/>
        <v>#N/A</v>
      </c>
      <c r="L1275" s="69"/>
    </row>
    <row r="1276" spans="1:12" x14ac:dyDescent="0.3">
      <c r="A1276" s="64"/>
      <c r="B1276" s="65" t="e">
        <f>VLOOKUP(C1276,[7]完成订单!$D:$D,1,0)</f>
        <v>#N/A</v>
      </c>
      <c r="C1276" s="66"/>
      <c r="D1276" s="66"/>
      <c r="E1276" s="66"/>
      <c r="F1276" s="67"/>
      <c r="G1276" s="66"/>
      <c r="H1276" s="53" t="e">
        <f>VLOOKUP(E1276,DIP计划!E:J,6,0)</f>
        <v>#N/A</v>
      </c>
      <c r="I1276" s="64">
        <f t="shared" si="38"/>
        <v>0</v>
      </c>
      <c r="J1276" s="68" t="e">
        <f>VLOOKUP(D1276,DIP计划!D:G,4,0)</f>
        <v>#N/A</v>
      </c>
      <c r="K1276" s="5" t="e">
        <f t="shared" si="39"/>
        <v>#N/A</v>
      </c>
      <c r="L1276" s="69"/>
    </row>
    <row r="1277" spans="1:12" x14ac:dyDescent="0.3">
      <c r="A1277" s="64"/>
      <c r="B1277" s="65" t="e">
        <f>VLOOKUP(C1277,[7]完成订单!$D:$D,1,0)</f>
        <v>#N/A</v>
      </c>
      <c r="C1277" s="66"/>
      <c r="D1277" s="66"/>
      <c r="E1277" s="66"/>
      <c r="F1277" s="67"/>
      <c r="G1277" s="66"/>
      <c r="H1277" s="53" t="e">
        <f>VLOOKUP(E1277,DIP计划!E:J,6,0)</f>
        <v>#N/A</v>
      </c>
      <c r="I1277" s="64">
        <f t="shared" si="38"/>
        <v>0</v>
      </c>
      <c r="J1277" s="68" t="e">
        <f>VLOOKUP(D1277,DIP计划!D:G,4,0)</f>
        <v>#N/A</v>
      </c>
      <c r="K1277" s="5" t="e">
        <f t="shared" si="39"/>
        <v>#N/A</v>
      </c>
      <c r="L1277" s="69"/>
    </row>
    <row r="1278" spans="1:12" x14ac:dyDescent="0.3">
      <c r="A1278" s="64"/>
      <c r="B1278" s="65" t="e">
        <f>VLOOKUP(C1278,[7]完成订单!$D:$D,1,0)</f>
        <v>#N/A</v>
      </c>
      <c r="C1278" s="66"/>
      <c r="D1278" s="66"/>
      <c r="E1278" s="66"/>
      <c r="F1278" s="67"/>
      <c r="G1278" s="66"/>
      <c r="H1278" s="53" t="e">
        <f>VLOOKUP(E1278,DIP计划!E:J,6,0)</f>
        <v>#N/A</v>
      </c>
      <c r="I1278" s="64">
        <f t="shared" si="38"/>
        <v>0</v>
      </c>
      <c r="J1278" s="68" t="e">
        <f>VLOOKUP(D1278,DIP计划!D:G,4,0)</f>
        <v>#N/A</v>
      </c>
      <c r="K1278" s="5" t="e">
        <f t="shared" si="39"/>
        <v>#N/A</v>
      </c>
      <c r="L1278" s="69"/>
    </row>
    <row r="1279" spans="1:12" x14ac:dyDescent="0.3">
      <c r="A1279" s="64"/>
      <c r="B1279" s="65" t="e">
        <f>VLOOKUP(C1279,[7]完成订单!$D:$D,1,0)</f>
        <v>#N/A</v>
      </c>
      <c r="C1279" s="66"/>
      <c r="D1279" s="66"/>
      <c r="E1279" s="66"/>
      <c r="F1279" s="67"/>
      <c r="G1279" s="66"/>
      <c r="H1279" s="53" t="e">
        <f>VLOOKUP(E1279,DIP计划!E:J,6,0)</f>
        <v>#N/A</v>
      </c>
      <c r="I1279" s="64">
        <f t="shared" si="38"/>
        <v>0</v>
      </c>
      <c r="J1279" s="68" t="e">
        <f>VLOOKUP(D1279,DIP计划!D:G,4,0)</f>
        <v>#N/A</v>
      </c>
      <c r="K1279" s="5" t="e">
        <f t="shared" si="39"/>
        <v>#N/A</v>
      </c>
      <c r="L1279" s="69"/>
    </row>
    <row r="1280" spans="1:12" x14ac:dyDescent="0.3">
      <c r="A1280" s="64"/>
      <c r="B1280" s="65" t="e">
        <f>VLOOKUP(C1280,[7]完成订单!$D:$D,1,0)</f>
        <v>#N/A</v>
      </c>
      <c r="C1280" s="66"/>
      <c r="D1280" s="66"/>
      <c r="E1280" s="66"/>
      <c r="F1280" s="67"/>
      <c r="G1280" s="66"/>
      <c r="H1280" s="53" t="e">
        <f>VLOOKUP(E1280,DIP计划!E:J,6,0)</f>
        <v>#N/A</v>
      </c>
      <c r="I1280" s="64">
        <f t="shared" si="38"/>
        <v>0</v>
      </c>
      <c r="J1280" s="68" t="e">
        <f>VLOOKUP(D1280,DIP计划!D:G,4,0)</f>
        <v>#N/A</v>
      </c>
      <c r="K1280" s="5" t="e">
        <f t="shared" si="39"/>
        <v>#N/A</v>
      </c>
      <c r="L1280" s="69"/>
    </row>
    <row r="1281" spans="1:12" x14ac:dyDescent="0.3">
      <c r="A1281" s="64"/>
      <c r="B1281" s="65" t="e">
        <f>VLOOKUP(C1281,[7]完成订单!$D:$D,1,0)</f>
        <v>#N/A</v>
      </c>
      <c r="C1281" s="66"/>
      <c r="D1281" s="66"/>
      <c r="E1281" s="66"/>
      <c r="F1281" s="67"/>
      <c r="G1281" s="66"/>
      <c r="H1281" s="53" t="e">
        <f>VLOOKUP(E1281,DIP计划!E:J,6,0)</f>
        <v>#N/A</v>
      </c>
      <c r="I1281" s="64">
        <f t="shared" si="38"/>
        <v>0</v>
      </c>
      <c r="J1281" s="68" t="e">
        <f>VLOOKUP(D1281,DIP计划!D:G,4,0)</f>
        <v>#N/A</v>
      </c>
      <c r="K1281" s="5" t="e">
        <f t="shared" si="39"/>
        <v>#N/A</v>
      </c>
      <c r="L1281" s="69"/>
    </row>
    <row r="1282" spans="1:12" x14ac:dyDescent="0.3">
      <c r="A1282" s="64"/>
      <c r="B1282" s="65" t="e">
        <f>VLOOKUP(C1282,[7]完成订单!$D:$D,1,0)</f>
        <v>#N/A</v>
      </c>
      <c r="C1282" s="66"/>
      <c r="D1282" s="66"/>
      <c r="E1282" s="66"/>
      <c r="F1282" s="67"/>
      <c r="G1282" s="66"/>
      <c r="H1282" s="53" t="e">
        <f>VLOOKUP(E1282,DIP计划!E:J,6,0)</f>
        <v>#N/A</v>
      </c>
      <c r="I1282" s="64">
        <f t="shared" si="38"/>
        <v>0</v>
      </c>
      <c r="J1282" s="68" t="e">
        <f>VLOOKUP(D1282,DIP计划!D:G,4,0)</f>
        <v>#N/A</v>
      </c>
      <c r="K1282" s="5" t="e">
        <f t="shared" si="39"/>
        <v>#N/A</v>
      </c>
      <c r="L1282" s="69"/>
    </row>
    <row r="1283" spans="1:12" x14ac:dyDescent="0.3">
      <c r="A1283" s="64"/>
      <c r="B1283" s="65" t="e">
        <f>VLOOKUP(C1283,[7]完成订单!$D:$D,1,0)</f>
        <v>#N/A</v>
      </c>
      <c r="C1283" s="66"/>
      <c r="D1283" s="66"/>
      <c r="E1283" s="66"/>
      <c r="F1283" s="67"/>
      <c r="G1283" s="66"/>
      <c r="H1283" s="53" t="e">
        <f>VLOOKUP(E1283,DIP计划!E:J,6,0)</f>
        <v>#N/A</v>
      </c>
      <c r="I1283" s="64">
        <f t="shared" si="38"/>
        <v>0</v>
      </c>
      <c r="J1283" s="68" t="e">
        <f>VLOOKUP(D1283,DIP计划!D:G,4,0)</f>
        <v>#N/A</v>
      </c>
      <c r="K1283" s="5" t="e">
        <f t="shared" si="39"/>
        <v>#N/A</v>
      </c>
      <c r="L1283" s="69"/>
    </row>
    <row r="1284" spans="1:12" x14ac:dyDescent="0.3">
      <c r="A1284" s="64"/>
      <c r="B1284" s="65" t="e">
        <f>VLOOKUP(C1284,[7]完成订单!$D:$D,1,0)</f>
        <v>#N/A</v>
      </c>
      <c r="C1284" s="66"/>
      <c r="D1284" s="66"/>
      <c r="E1284" s="66"/>
      <c r="F1284" s="67"/>
      <c r="G1284" s="66"/>
      <c r="H1284" s="53" t="e">
        <f>VLOOKUP(E1284,DIP计划!E:J,6,0)</f>
        <v>#N/A</v>
      </c>
      <c r="I1284" s="64">
        <f t="shared" si="38"/>
        <v>0</v>
      </c>
      <c r="J1284" s="68" t="e">
        <f>VLOOKUP(D1284,DIP计划!D:G,4,0)</f>
        <v>#N/A</v>
      </c>
      <c r="K1284" s="5" t="e">
        <f t="shared" si="39"/>
        <v>#N/A</v>
      </c>
      <c r="L1284" s="69"/>
    </row>
    <row r="1285" spans="1:12" x14ac:dyDescent="0.3">
      <c r="A1285" s="64"/>
      <c r="B1285" s="65" t="e">
        <f>VLOOKUP(C1285,[7]完成订单!$D:$D,1,0)</f>
        <v>#N/A</v>
      </c>
      <c r="C1285" s="66"/>
      <c r="D1285" s="66"/>
      <c r="E1285" s="66"/>
      <c r="F1285" s="67"/>
      <c r="G1285" s="66"/>
      <c r="H1285" s="53" t="e">
        <f>VLOOKUP(E1285,DIP计划!E:J,6,0)</f>
        <v>#N/A</v>
      </c>
      <c r="I1285" s="64">
        <f t="shared" si="38"/>
        <v>0</v>
      </c>
      <c r="J1285" s="68" t="e">
        <f>VLOOKUP(D1285,DIP计划!D:G,4,0)</f>
        <v>#N/A</v>
      </c>
      <c r="K1285" s="5" t="e">
        <f t="shared" si="39"/>
        <v>#N/A</v>
      </c>
      <c r="L1285" s="69"/>
    </row>
    <row r="1286" spans="1:12" x14ac:dyDescent="0.3">
      <c r="A1286" s="64"/>
      <c r="B1286" s="65" t="e">
        <f>VLOOKUP(C1286,[7]完成订单!$D:$D,1,0)</f>
        <v>#N/A</v>
      </c>
      <c r="C1286" s="66"/>
      <c r="D1286" s="66"/>
      <c r="E1286" s="66"/>
      <c r="F1286" s="67"/>
      <c r="G1286" s="66"/>
      <c r="H1286" s="53" t="e">
        <f>VLOOKUP(E1286,DIP计划!E:J,6,0)</f>
        <v>#N/A</v>
      </c>
      <c r="I1286" s="64">
        <f t="shared" si="38"/>
        <v>0</v>
      </c>
      <c r="J1286" s="68" t="e">
        <f>VLOOKUP(D1286,DIP计划!D:G,4,0)</f>
        <v>#N/A</v>
      </c>
      <c r="K1286" s="5" t="e">
        <f t="shared" si="39"/>
        <v>#N/A</v>
      </c>
      <c r="L1286" s="69"/>
    </row>
    <row r="1287" spans="1:12" x14ac:dyDescent="0.3">
      <c r="A1287" s="64"/>
      <c r="B1287" s="65" t="e">
        <f>VLOOKUP(C1287,[7]完成订单!$D:$D,1,0)</f>
        <v>#N/A</v>
      </c>
      <c r="C1287" s="66"/>
      <c r="D1287" s="66"/>
      <c r="E1287" s="66"/>
      <c r="F1287" s="67"/>
      <c r="G1287" s="66"/>
      <c r="H1287" s="53" t="e">
        <f>VLOOKUP(E1287,DIP计划!E:J,6,0)</f>
        <v>#N/A</v>
      </c>
      <c r="I1287" s="64">
        <f t="shared" si="38"/>
        <v>0</v>
      </c>
      <c r="J1287" s="68" t="e">
        <f>VLOOKUP(D1287,DIP计划!D:G,4,0)</f>
        <v>#N/A</v>
      </c>
      <c r="K1287" s="5" t="e">
        <f t="shared" si="39"/>
        <v>#N/A</v>
      </c>
      <c r="L1287" s="69"/>
    </row>
    <row r="1288" spans="1:12" x14ac:dyDescent="0.3">
      <c r="A1288" s="64"/>
      <c r="B1288" s="65" t="e">
        <f>VLOOKUP(C1288,[7]完成订单!$D:$D,1,0)</f>
        <v>#N/A</v>
      </c>
      <c r="C1288" s="66"/>
      <c r="D1288" s="66"/>
      <c r="E1288" s="66"/>
      <c r="F1288" s="67"/>
      <c r="G1288" s="66"/>
      <c r="H1288" s="53" t="e">
        <f>VLOOKUP(E1288,DIP计划!E:J,6,0)</f>
        <v>#N/A</v>
      </c>
      <c r="I1288" s="64">
        <f t="shared" si="38"/>
        <v>0</v>
      </c>
      <c r="J1288" s="68" t="e">
        <f>VLOOKUP(D1288,DIP计划!D:G,4,0)</f>
        <v>#N/A</v>
      </c>
      <c r="K1288" s="5" t="e">
        <f t="shared" si="39"/>
        <v>#N/A</v>
      </c>
      <c r="L1288" s="69"/>
    </row>
    <row r="1289" spans="1:12" x14ac:dyDescent="0.3">
      <c r="A1289" s="64"/>
      <c r="B1289" s="65" t="e">
        <f>VLOOKUP(C1289,[7]完成订单!$D:$D,1,0)</f>
        <v>#N/A</v>
      </c>
      <c r="C1289" s="66"/>
      <c r="D1289" s="66"/>
      <c r="E1289" s="66"/>
      <c r="F1289" s="67"/>
      <c r="G1289" s="66"/>
      <c r="H1289" s="53" t="e">
        <f>VLOOKUP(E1289,DIP计划!E:J,6,0)</f>
        <v>#N/A</v>
      </c>
      <c r="I1289" s="64">
        <f t="shared" si="38"/>
        <v>0</v>
      </c>
      <c r="J1289" s="68" t="e">
        <f>VLOOKUP(D1289,DIP计划!D:G,4,0)</f>
        <v>#N/A</v>
      </c>
      <c r="K1289" s="5" t="e">
        <f t="shared" si="39"/>
        <v>#N/A</v>
      </c>
      <c r="L1289" s="69"/>
    </row>
    <row r="1290" spans="1:12" x14ac:dyDescent="0.3">
      <c r="A1290" s="64"/>
      <c r="B1290" s="65" t="e">
        <f>VLOOKUP(C1290,[7]完成订单!$D:$D,1,0)</f>
        <v>#N/A</v>
      </c>
      <c r="C1290" s="66"/>
      <c r="D1290" s="66"/>
      <c r="E1290" s="66"/>
      <c r="F1290" s="67"/>
      <c r="G1290" s="66"/>
      <c r="H1290" s="53" t="e">
        <f>VLOOKUP(E1290,DIP计划!E:J,6,0)</f>
        <v>#N/A</v>
      </c>
      <c r="I1290" s="64">
        <f t="shared" si="38"/>
        <v>0</v>
      </c>
      <c r="J1290" s="68" t="e">
        <f>VLOOKUP(D1290,DIP计划!D:G,4,0)</f>
        <v>#N/A</v>
      </c>
      <c r="K1290" s="5" t="e">
        <f t="shared" si="39"/>
        <v>#N/A</v>
      </c>
      <c r="L1290" s="69"/>
    </row>
    <row r="1291" spans="1:12" x14ac:dyDescent="0.3">
      <c r="A1291" s="64"/>
      <c r="B1291" s="65" t="e">
        <f>VLOOKUP(C1291,[7]完成订单!$D:$D,1,0)</f>
        <v>#N/A</v>
      </c>
      <c r="C1291" s="66"/>
      <c r="D1291" s="66"/>
      <c r="E1291" s="66"/>
      <c r="F1291" s="67"/>
      <c r="G1291" s="66"/>
      <c r="H1291" s="53" t="e">
        <f>VLOOKUP(E1291,DIP计划!E:J,6,0)</f>
        <v>#N/A</v>
      </c>
      <c r="I1291" s="64">
        <f t="shared" si="38"/>
        <v>0</v>
      </c>
      <c r="J1291" s="68" t="e">
        <f>VLOOKUP(D1291,DIP计划!D:G,4,0)</f>
        <v>#N/A</v>
      </c>
      <c r="K1291" s="5" t="e">
        <f t="shared" si="39"/>
        <v>#N/A</v>
      </c>
      <c r="L1291" s="69"/>
    </row>
    <row r="1292" spans="1:12" x14ac:dyDescent="0.3">
      <c r="A1292" s="64"/>
      <c r="B1292" s="65" t="e">
        <f>VLOOKUP(C1292,[7]完成订单!$D:$D,1,0)</f>
        <v>#N/A</v>
      </c>
      <c r="C1292" s="66"/>
      <c r="D1292" s="66"/>
      <c r="E1292" s="66"/>
      <c r="F1292" s="67"/>
      <c r="G1292" s="66"/>
      <c r="H1292" s="53" t="e">
        <f>VLOOKUP(E1292,DIP计划!E:J,6,0)</f>
        <v>#N/A</v>
      </c>
      <c r="I1292" s="64">
        <f t="shared" si="38"/>
        <v>0</v>
      </c>
      <c r="J1292" s="68" t="e">
        <f>VLOOKUP(D1292,DIP计划!D:G,4,0)</f>
        <v>#N/A</v>
      </c>
      <c r="K1292" s="5" t="e">
        <f t="shared" si="39"/>
        <v>#N/A</v>
      </c>
      <c r="L1292" s="69"/>
    </row>
    <row r="1293" spans="1:12" x14ac:dyDescent="0.3">
      <c r="A1293" s="64"/>
      <c r="B1293" s="65" t="e">
        <f>VLOOKUP(C1293,[7]完成订单!$D:$D,1,0)</f>
        <v>#N/A</v>
      </c>
      <c r="C1293" s="66"/>
      <c r="D1293" s="66"/>
      <c r="E1293" s="66"/>
      <c r="F1293" s="67"/>
      <c r="G1293" s="66"/>
      <c r="H1293" s="53" t="e">
        <f>VLOOKUP(E1293,DIP计划!E:J,6,0)</f>
        <v>#N/A</v>
      </c>
      <c r="I1293" s="64">
        <f t="shared" si="38"/>
        <v>0</v>
      </c>
      <c r="J1293" s="68" t="e">
        <f>VLOOKUP(D1293,DIP计划!D:G,4,0)</f>
        <v>#N/A</v>
      </c>
      <c r="K1293" s="5" t="e">
        <f t="shared" si="39"/>
        <v>#N/A</v>
      </c>
      <c r="L1293" s="69"/>
    </row>
    <row r="1294" spans="1:12" x14ac:dyDescent="0.3">
      <c r="A1294" s="64"/>
      <c r="B1294" s="65" t="e">
        <f>VLOOKUP(C1294,[7]完成订单!$D:$D,1,0)</f>
        <v>#N/A</v>
      </c>
      <c r="C1294" s="66"/>
      <c r="D1294" s="66"/>
      <c r="E1294" s="66"/>
      <c r="F1294" s="67"/>
      <c r="G1294" s="66"/>
      <c r="H1294" s="53" t="e">
        <f>VLOOKUP(E1294,DIP计划!E:J,6,0)</f>
        <v>#N/A</v>
      </c>
      <c r="I1294" s="64">
        <f t="shared" si="38"/>
        <v>0</v>
      </c>
      <c r="J1294" s="68" t="e">
        <f>VLOOKUP(D1294,DIP计划!D:G,4,0)</f>
        <v>#N/A</v>
      </c>
      <c r="K1294" s="5" t="e">
        <f t="shared" si="39"/>
        <v>#N/A</v>
      </c>
      <c r="L1294" s="69"/>
    </row>
    <row r="1295" spans="1:12" x14ac:dyDescent="0.3">
      <c r="A1295" s="64"/>
      <c r="B1295" s="65" t="e">
        <f>VLOOKUP(C1295,[7]完成订单!$D:$D,1,0)</f>
        <v>#N/A</v>
      </c>
      <c r="C1295" s="66"/>
      <c r="D1295" s="66"/>
      <c r="E1295" s="66"/>
      <c r="F1295" s="67"/>
      <c r="G1295" s="66"/>
      <c r="H1295" s="53" t="e">
        <f>VLOOKUP(E1295,DIP计划!E:J,6,0)</f>
        <v>#N/A</v>
      </c>
      <c r="I1295" s="64">
        <f t="shared" si="38"/>
        <v>0</v>
      </c>
      <c r="J1295" s="68" t="e">
        <f>VLOOKUP(D1295,DIP计划!D:G,4,0)</f>
        <v>#N/A</v>
      </c>
      <c r="K1295" s="5" t="e">
        <f t="shared" si="39"/>
        <v>#N/A</v>
      </c>
      <c r="L1295" s="69"/>
    </row>
    <row r="1296" spans="1:12" x14ac:dyDescent="0.3">
      <c r="A1296" s="64"/>
      <c r="B1296" s="65" t="e">
        <f>VLOOKUP(C1296,[7]完成订单!$D:$D,1,0)</f>
        <v>#N/A</v>
      </c>
      <c r="C1296" s="66"/>
      <c r="D1296" s="66"/>
      <c r="E1296" s="66"/>
      <c r="F1296" s="67"/>
      <c r="G1296" s="66"/>
      <c r="H1296" s="53" t="e">
        <f>VLOOKUP(E1296,DIP计划!E:J,6,0)</f>
        <v>#N/A</v>
      </c>
      <c r="I1296" s="64">
        <f t="shared" si="38"/>
        <v>0</v>
      </c>
      <c r="J1296" s="68" t="e">
        <f>VLOOKUP(D1296,DIP计划!D:G,4,0)</f>
        <v>#N/A</v>
      </c>
      <c r="K1296" s="5" t="e">
        <f t="shared" si="39"/>
        <v>#N/A</v>
      </c>
      <c r="L1296" s="69"/>
    </row>
    <row r="1297" spans="1:12" x14ac:dyDescent="0.3">
      <c r="A1297" s="64"/>
      <c r="B1297" s="65" t="e">
        <f>VLOOKUP(C1297,[7]完成订单!$D:$D,1,0)</f>
        <v>#N/A</v>
      </c>
      <c r="C1297" s="66"/>
      <c r="D1297" s="66"/>
      <c r="E1297" s="66"/>
      <c r="F1297" s="67"/>
      <c r="G1297" s="66"/>
      <c r="H1297" s="53" t="e">
        <f>VLOOKUP(E1297,DIP计划!E:J,6,0)</f>
        <v>#N/A</v>
      </c>
      <c r="I1297" s="64">
        <f t="shared" si="38"/>
        <v>0</v>
      </c>
      <c r="J1297" s="68" t="e">
        <f>VLOOKUP(D1297,DIP计划!D:G,4,0)</f>
        <v>#N/A</v>
      </c>
      <c r="K1297" s="5" t="e">
        <f t="shared" si="39"/>
        <v>#N/A</v>
      </c>
      <c r="L1297" s="69"/>
    </row>
    <row r="1298" spans="1:12" x14ac:dyDescent="0.3">
      <c r="A1298" s="64"/>
      <c r="B1298" s="65" t="e">
        <f>VLOOKUP(C1298,[7]完成订单!$D:$D,1,0)</f>
        <v>#N/A</v>
      </c>
      <c r="C1298" s="66"/>
      <c r="D1298" s="66"/>
      <c r="E1298" s="66"/>
      <c r="F1298" s="67"/>
      <c r="G1298" s="66"/>
      <c r="H1298" s="53" t="e">
        <f>VLOOKUP(E1298,DIP计划!E:J,6,0)</f>
        <v>#N/A</v>
      </c>
      <c r="I1298" s="64">
        <f t="shared" si="38"/>
        <v>0</v>
      </c>
      <c r="J1298" s="68" t="e">
        <f>VLOOKUP(D1298,DIP计划!D:G,4,0)</f>
        <v>#N/A</v>
      </c>
      <c r="K1298" s="5" t="e">
        <f t="shared" si="39"/>
        <v>#N/A</v>
      </c>
      <c r="L1298" s="69"/>
    </row>
    <row r="1299" spans="1:12" x14ac:dyDescent="0.3">
      <c r="A1299" s="64"/>
      <c r="B1299" s="65" t="e">
        <f>VLOOKUP(C1299,[7]完成订单!$D:$D,1,0)</f>
        <v>#N/A</v>
      </c>
      <c r="C1299" s="66"/>
      <c r="D1299" s="66"/>
      <c r="E1299" s="66"/>
      <c r="F1299" s="67"/>
      <c r="G1299" s="66"/>
      <c r="H1299" s="53" t="e">
        <f>VLOOKUP(E1299,DIP计划!E:J,6,0)</f>
        <v>#N/A</v>
      </c>
      <c r="I1299" s="64">
        <f t="shared" si="38"/>
        <v>0</v>
      </c>
      <c r="J1299" s="68" t="e">
        <f>VLOOKUP(D1299,DIP计划!D:G,4,0)</f>
        <v>#N/A</v>
      </c>
      <c r="K1299" s="5" t="e">
        <f t="shared" si="39"/>
        <v>#N/A</v>
      </c>
      <c r="L1299" s="69"/>
    </row>
    <row r="1300" spans="1:12" x14ac:dyDescent="0.3">
      <c r="A1300" s="64"/>
      <c r="B1300" s="65" t="e">
        <f>VLOOKUP(C1300,[7]完成订单!$D:$D,1,0)</f>
        <v>#N/A</v>
      </c>
      <c r="C1300" s="66"/>
      <c r="D1300" s="66"/>
      <c r="E1300" s="66"/>
      <c r="F1300" s="67"/>
      <c r="G1300" s="66"/>
      <c r="H1300" s="53" t="e">
        <f>VLOOKUP(E1300,DIP计划!E:J,6,0)</f>
        <v>#N/A</v>
      </c>
      <c r="I1300" s="64">
        <f t="shared" si="38"/>
        <v>0</v>
      </c>
      <c r="J1300" s="68" t="e">
        <f>VLOOKUP(D1300,DIP计划!D:G,4,0)</f>
        <v>#N/A</v>
      </c>
      <c r="K1300" s="5" t="e">
        <f t="shared" si="39"/>
        <v>#N/A</v>
      </c>
      <c r="L1300" s="69"/>
    </row>
    <row r="1043006" spans="11:11" x14ac:dyDescent="0.3">
      <c r="K1043006" s="70"/>
    </row>
    <row r="1043007" spans="11:11" x14ac:dyDescent="0.3">
      <c r="K1043007" s="70"/>
    </row>
    <row r="1043008" spans="11:11" x14ac:dyDescent="0.3">
      <c r="K1043008" s="70"/>
    </row>
    <row r="1043009" spans="11:11" x14ac:dyDescent="0.3">
      <c r="K1043009" s="70"/>
    </row>
    <row r="1043010" spans="11:11" x14ac:dyDescent="0.3">
      <c r="K1043010" s="70"/>
    </row>
    <row r="1043011" spans="11:11" x14ac:dyDescent="0.3">
      <c r="K1043011" s="70"/>
    </row>
    <row r="1043012" spans="11:11" x14ac:dyDescent="0.3">
      <c r="K1043012" s="70"/>
    </row>
    <row r="1043013" spans="11:11" x14ac:dyDescent="0.3">
      <c r="K1043013" s="70"/>
    </row>
    <row r="1043014" spans="11:11" x14ac:dyDescent="0.3">
      <c r="K1043014" s="70"/>
    </row>
    <row r="1043015" spans="11:11" x14ac:dyDescent="0.3">
      <c r="K1043015" s="70"/>
    </row>
    <row r="1043016" spans="11:11" x14ac:dyDescent="0.3">
      <c r="K1043016" s="70"/>
    </row>
    <row r="1043017" spans="11:11" x14ac:dyDescent="0.3">
      <c r="K1043017" s="70"/>
    </row>
    <row r="1043018" spans="11:11" x14ac:dyDescent="0.3">
      <c r="K1043018" s="70"/>
    </row>
    <row r="1043019" spans="11:11" x14ac:dyDescent="0.3">
      <c r="K1043019" s="70"/>
    </row>
    <row r="1043020" spans="11:11" x14ac:dyDescent="0.3">
      <c r="K1043020" s="70"/>
    </row>
    <row r="1043021" spans="11:11" x14ac:dyDescent="0.3">
      <c r="K1043021" s="70"/>
    </row>
    <row r="1043022" spans="11:11" x14ac:dyDescent="0.3">
      <c r="K1043022" s="70"/>
    </row>
    <row r="1043023" spans="11:11" x14ac:dyDescent="0.3">
      <c r="K1043023" s="54"/>
    </row>
    <row r="1043024" spans="11:11" x14ac:dyDescent="0.3">
      <c r="K1043024" s="54"/>
    </row>
    <row r="1043025" spans="11:11" x14ac:dyDescent="0.3">
      <c r="K1043025" s="54"/>
    </row>
    <row r="1043026" spans="11:11" x14ac:dyDescent="0.3">
      <c r="K1043026" s="54"/>
    </row>
    <row r="1043027" spans="11:11" x14ac:dyDescent="0.3">
      <c r="K1043027" s="54"/>
    </row>
    <row r="1043028" spans="11:11" x14ac:dyDescent="0.3">
      <c r="K1043028" s="54"/>
    </row>
    <row r="1043029" spans="11:11" x14ac:dyDescent="0.3">
      <c r="K1043029" s="54"/>
    </row>
    <row r="1043030" spans="11:11" x14ac:dyDescent="0.3">
      <c r="K1043030" s="54"/>
    </row>
    <row r="1043031" spans="11:11" x14ac:dyDescent="0.3">
      <c r="K1043031" s="54"/>
    </row>
    <row r="1043032" spans="11:11" x14ac:dyDescent="0.3">
      <c r="K1043032" s="54"/>
    </row>
    <row r="1043033" spans="11:11" x14ac:dyDescent="0.3">
      <c r="K1043033" s="54"/>
    </row>
    <row r="1043034" spans="11:11" x14ac:dyDescent="0.3">
      <c r="K1043034" s="54"/>
    </row>
    <row r="1043035" spans="11:11" x14ac:dyDescent="0.3">
      <c r="K1043035" s="54"/>
    </row>
    <row r="1043036" spans="11:11" x14ac:dyDescent="0.3">
      <c r="K1043036" s="54"/>
    </row>
    <row r="1043037" spans="11:11" x14ac:dyDescent="0.3">
      <c r="K1043037" s="54"/>
    </row>
    <row r="1043038" spans="11:11" x14ac:dyDescent="0.3">
      <c r="K1043038" s="54"/>
    </row>
    <row r="1043039" spans="11:11" x14ac:dyDescent="0.3">
      <c r="K1043039" s="54"/>
    </row>
    <row r="1043040" spans="11:11" x14ac:dyDescent="0.3">
      <c r="K1043040" s="54"/>
    </row>
    <row r="1043041" spans="11:11" x14ac:dyDescent="0.3">
      <c r="K1043041" s="54"/>
    </row>
    <row r="1043042" spans="11:11" x14ac:dyDescent="0.3">
      <c r="K1043042" s="54"/>
    </row>
    <row r="1043043" spans="11:11" x14ac:dyDescent="0.3">
      <c r="K1043043" s="54"/>
    </row>
    <row r="1043044" spans="11:11" x14ac:dyDescent="0.3">
      <c r="K1043044" s="54"/>
    </row>
    <row r="1043045" spans="11:11" x14ac:dyDescent="0.3">
      <c r="K1043045" s="54"/>
    </row>
    <row r="1043046" spans="11:11" x14ac:dyDescent="0.3">
      <c r="K1043046" s="54"/>
    </row>
    <row r="1043047" spans="11:11" x14ac:dyDescent="0.3">
      <c r="K1043047" s="54"/>
    </row>
    <row r="1043048" spans="11:11" x14ac:dyDescent="0.3">
      <c r="K1043048" s="54"/>
    </row>
    <row r="1043049" spans="11:11" x14ac:dyDescent="0.3">
      <c r="K1043049" s="54"/>
    </row>
    <row r="1043050" spans="11:11" x14ac:dyDescent="0.3">
      <c r="K1043050" s="54"/>
    </row>
    <row r="1043051" spans="11:11" x14ac:dyDescent="0.3">
      <c r="K1043051" s="54"/>
    </row>
    <row r="1043052" spans="11:11" x14ac:dyDescent="0.3">
      <c r="K1043052" s="54"/>
    </row>
    <row r="1043053" spans="11:11" x14ac:dyDescent="0.3">
      <c r="K1043053" s="54"/>
    </row>
    <row r="1043054" spans="11:11" x14ac:dyDescent="0.3">
      <c r="K1043054" s="54"/>
    </row>
    <row r="1043055" spans="11:11" x14ac:dyDescent="0.3">
      <c r="K1043055" s="54"/>
    </row>
    <row r="1043056" spans="11:11" x14ac:dyDescent="0.3">
      <c r="K1043056" s="54"/>
    </row>
    <row r="1043057" spans="11:11" x14ac:dyDescent="0.3">
      <c r="K1043057" s="54"/>
    </row>
    <row r="1043058" spans="11:11" x14ac:dyDescent="0.3">
      <c r="K1043058" s="54"/>
    </row>
    <row r="1043059" spans="11:11" x14ac:dyDescent="0.3">
      <c r="K1043059" s="54"/>
    </row>
    <row r="1043060" spans="11:11" x14ac:dyDescent="0.3">
      <c r="K1043060" s="54"/>
    </row>
    <row r="1043061" spans="11:11" x14ac:dyDescent="0.3">
      <c r="K1043061" s="54"/>
    </row>
    <row r="1043062" spans="11:11" x14ac:dyDescent="0.3">
      <c r="K1043062" s="54"/>
    </row>
    <row r="1043063" spans="11:11" x14ac:dyDescent="0.3">
      <c r="K1043063" s="54"/>
    </row>
    <row r="1043064" spans="11:11" x14ac:dyDescent="0.3">
      <c r="K1043064" s="54"/>
    </row>
    <row r="1043065" spans="11:11" x14ac:dyDescent="0.3">
      <c r="K1043065" s="54"/>
    </row>
    <row r="1043066" spans="11:11" x14ac:dyDescent="0.3">
      <c r="K1043066" s="54"/>
    </row>
    <row r="1043067" spans="11:11" x14ac:dyDescent="0.3">
      <c r="K1043067" s="54"/>
    </row>
    <row r="1043068" spans="11:11" x14ac:dyDescent="0.3">
      <c r="K1043068" s="54"/>
    </row>
    <row r="1043069" spans="11:11" x14ac:dyDescent="0.3">
      <c r="K1043069" s="54"/>
    </row>
    <row r="1043070" spans="11:11" x14ac:dyDescent="0.3">
      <c r="K1043070" s="54"/>
    </row>
    <row r="1043071" spans="11:11" x14ac:dyDescent="0.3">
      <c r="K1043071" s="54"/>
    </row>
    <row r="1043072" spans="11:11" x14ac:dyDescent="0.3">
      <c r="K1043072" s="54"/>
    </row>
    <row r="1043073" spans="11:11" x14ac:dyDescent="0.3">
      <c r="K1043073" s="54"/>
    </row>
    <row r="1043074" spans="11:11" x14ac:dyDescent="0.3">
      <c r="K1043074" s="54"/>
    </row>
    <row r="1043075" spans="11:11" x14ac:dyDescent="0.3">
      <c r="K1043075" s="54"/>
    </row>
    <row r="1043076" spans="11:11" x14ac:dyDescent="0.3">
      <c r="K1043076" s="54"/>
    </row>
    <row r="1043077" spans="11:11" x14ac:dyDescent="0.3">
      <c r="K1043077" s="54"/>
    </row>
    <row r="1043078" spans="11:11" x14ac:dyDescent="0.3">
      <c r="K1043078" s="54"/>
    </row>
    <row r="1043079" spans="11:11" x14ac:dyDescent="0.3">
      <c r="K1043079" s="54"/>
    </row>
    <row r="1043080" spans="11:11" x14ac:dyDescent="0.3">
      <c r="K1043080" s="54"/>
    </row>
    <row r="1043081" spans="11:11" x14ac:dyDescent="0.3">
      <c r="K1043081" s="54"/>
    </row>
  </sheetData>
  <autoFilter ref="A1:K1300" xr:uid="{00000000-0009-0000-0000-000001000000}"/>
  <phoneticPr fontId="7" type="noConversion"/>
  <conditionalFormatting sqref="E2:E111">
    <cfRule type="duplicateValues" dxfId="1009" priority="2216825"/>
  </conditionalFormatting>
  <conditionalFormatting sqref="E112:E153">
    <cfRule type="duplicateValues" dxfId="1008" priority="98"/>
  </conditionalFormatting>
  <conditionalFormatting sqref="E154:E230">
    <cfRule type="duplicateValues" dxfId="1007" priority="2217181"/>
    <cfRule type="duplicateValues" dxfId="1006" priority="2217183"/>
  </conditionalFormatting>
  <conditionalFormatting sqref="E231:E268">
    <cfRule type="duplicateValues" dxfId="1005" priority="2218094"/>
    <cfRule type="duplicateValues" dxfId="1004" priority="2218095"/>
  </conditionalFormatting>
  <conditionalFormatting sqref="E269:E504">
    <cfRule type="duplicateValues" dxfId="1003" priority="49"/>
    <cfRule type="duplicateValues" dxfId="1002" priority="50"/>
    <cfRule type="duplicateValues" dxfId="1001" priority="51"/>
    <cfRule type="duplicateValues" dxfId="1000" priority="52"/>
    <cfRule type="duplicateValues" dxfId="999" priority="53"/>
  </conditionalFormatting>
  <conditionalFormatting sqref="E1301:E1048576">
    <cfRule type="duplicateValues" dxfId="998" priority="240"/>
  </conditionalFormatting>
  <conditionalFormatting sqref="E856 E1:E268 E1301:E1048576">
    <cfRule type="duplicateValues" dxfId="997" priority="54"/>
  </conditionalFormatting>
  <conditionalFormatting sqref="E1301:E1048576 E2:E153">
    <cfRule type="duplicateValues" dxfId="996" priority="96"/>
  </conditionalFormatting>
  <conditionalFormatting sqref="E505:E536">
    <cfRule type="duplicateValues" dxfId="995" priority="44"/>
    <cfRule type="duplicateValues" dxfId="994" priority="45"/>
    <cfRule type="duplicateValues" dxfId="993" priority="46"/>
    <cfRule type="duplicateValues" dxfId="992" priority="47"/>
    <cfRule type="duplicateValues" dxfId="991" priority="48"/>
  </conditionalFormatting>
  <conditionalFormatting sqref="E856 E1301:E1048576">
    <cfRule type="duplicateValues" dxfId="990" priority="2220238"/>
  </conditionalFormatting>
  <conditionalFormatting sqref="E856 E2:E268 E1301:E1048576">
    <cfRule type="duplicateValues" dxfId="989" priority="2220248"/>
  </conditionalFormatting>
  <conditionalFormatting sqref="E537:E566">
    <cfRule type="duplicateValues" dxfId="988" priority="39"/>
    <cfRule type="duplicateValues" dxfId="987" priority="40"/>
    <cfRule type="duplicateValues" dxfId="986" priority="41"/>
    <cfRule type="duplicateValues" dxfId="985" priority="42"/>
    <cfRule type="duplicateValues" dxfId="984" priority="43"/>
  </conditionalFormatting>
  <conditionalFormatting sqref="E856 E1:E566 E1301:E1048576">
    <cfRule type="duplicateValues" dxfId="983" priority="38"/>
  </conditionalFormatting>
  <conditionalFormatting sqref="E567:E656">
    <cfRule type="duplicateValues" dxfId="982" priority="2220728"/>
  </conditionalFormatting>
  <conditionalFormatting sqref="E567:E656">
    <cfRule type="duplicateValues" dxfId="981" priority="2220730"/>
    <cfRule type="duplicateValues" dxfId="980" priority="2220731"/>
    <cfRule type="duplicateValues" dxfId="979" priority="2220732"/>
    <cfRule type="duplicateValues" dxfId="978" priority="2220733"/>
    <cfRule type="duplicateValues" dxfId="977" priority="2220734"/>
  </conditionalFormatting>
  <conditionalFormatting sqref="E856">
    <cfRule type="duplicateValues" dxfId="976" priority="2220750"/>
    <cfRule type="duplicateValues" dxfId="975" priority="2220751"/>
  </conditionalFormatting>
  <conditionalFormatting sqref="E857:E1300">
    <cfRule type="duplicateValues" dxfId="974" priority="12"/>
  </conditionalFormatting>
  <conditionalFormatting sqref="E857:E1300">
    <cfRule type="duplicateValues" dxfId="973" priority="11"/>
  </conditionalFormatting>
  <conditionalFormatting sqref="E857:E1300">
    <cfRule type="duplicateValues" dxfId="972" priority="10"/>
  </conditionalFormatting>
  <conditionalFormatting sqref="E857:E1300">
    <cfRule type="duplicateValues" dxfId="971" priority="9"/>
  </conditionalFormatting>
  <conditionalFormatting sqref="E857:E1300">
    <cfRule type="duplicateValues" dxfId="970" priority="7"/>
    <cfRule type="duplicateValues" dxfId="969" priority="8"/>
  </conditionalFormatting>
  <conditionalFormatting sqref="E850:E855">
    <cfRule type="duplicateValues" dxfId="968" priority="2220760"/>
  </conditionalFormatting>
  <conditionalFormatting sqref="E850:E855">
    <cfRule type="duplicateValues" dxfId="967" priority="2220766"/>
  </conditionalFormatting>
  <conditionalFormatting sqref="E850:E855">
    <cfRule type="duplicateValues" dxfId="966" priority="2220768"/>
    <cfRule type="duplicateValues" dxfId="965" priority="2220769"/>
  </conditionalFormatting>
  <conditionalFormatting sqref="E657:E849">
    <cfRule type="duplicateValues" dxfId="964" priority="6"/>
  </conditionalFormatting>
  <conditionalFormatting sqref="E657:E849">
    <cfRule type="duplicateValues" dxfId="963" priority="1"/>
    <cfRule type="duplicateValues" dxfId="962" priority="2"/>
    <cfRule type="duplicateValues" dxfId="961" priority="3"/>
    <cfRule type="duplicateValues" dxfId="960" priority="4"/>
    <cfRule type="duplicateValues" dxfId="959" priority="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 filterMode="1"/>
  <dimension ref="A1:L2244"/>
  <sheetViews>
    <sheetView workbookViewId="0">
      <pane xSplit="6" ySplit="1" topLeftCell="G1274" activePane="bottomRight" state="frozen"/>
      <selection pane="topRight"/>
      <selection pane="bottomLeft"/>
      <selection pane="bottomRight" activeCell="E1347" sqref="E1347"/>
    </sheetView>
  </sheetViews>
  <sheetFormatPr defaultColWidth="9" defaultRowHeight="14" x14ac:dyDescent="0.3"/>
  <cols>
    <col min="1" max="1" width="6.9140625" style="4" customWidth="1"/>
    <col min="2" max="2" width="10" style="4" customWidth="1"/>
    <col min="3" max="3" width="13.33203125" style="4" customWidth="1"/>
    <col min="4" max="4" width="14.4140625" style="5" customWidth="1"/>
    <col min="5" max="5" width="34.6640625" style="4" customWidth="1"/>
    <col min="6" max="6" width="10.08203125" style="4" customWidth="1"/>
    <col min="7" max="7" width="9.9140625" style="6" customWidth="1"/>
    <col min="8" max="8" width="7.08203125" style="6" customWidth="1"/>
    <col min="9" max="9" width="49.25" style="4" customWidth="1"/>
    <col min="10" max="10" width="25" style="4" customWidth="1"/>
    <col min="11" max="11" width="10.4140625" style="4" customWidth="1"/>
    <col min="12" max="16384" width="9" style="4"/>
  </cols>
  <sheetData>
    <row r="1" spans="1:11" x14ac:dyDescent="0.3">
      <c r="A1" s="7" t="s">
        <v>370</v>
      </c>
      <c r="B1" s="7" t="s">
        <v>371</v>
      </c>
      <c r="C1" s="7" t="s">
        <v>372</v>
      </c>
      <c r="D1" s="8" t="s">
        <v>269</v>
      </c>
      <c r="E1" s="7" t="s">
        <v>4</v>
      </c>
      <c r="F1" s="7" t="s">
        <v>5</v>
      </c>
      <c r="G1" s="9" t="s">
        <v>373</v>
      </c>
      <c r="H1" s="9" t="s">
        <v>374</v>
      </c>
      <c r="I1" s="7" t="s">
        <v>375</v>
      </c>
      <c r="J1" s="7" t="s">
        <v>376</v>
      </c>
      <c r="K1" s="7" t="s">
        <v>13</v>
      </c>
    </row>
    <row r="2" spans="1:11" hidden="1" x14ac:dyDescent="0.3">
      <c r="A2" s="10" t="s">
        <v>377</v>
      </c>
      <c r="B2" s="10">
        <v>30007090</v>
      </c>
      <c r="C2" s="10">
        <v>10880018097</v>
      </c>
      <c r="D2" s="11">
        <v>990000024386</v>
      </c>
      <c r="E2" s="10" t="s">
        <v>65</v>
      </c>
      <c r="F2" s="10">
        <v>2386</v>
      </c>
      <c r="G2" s="12">
        <v>44856</v>
      </c>
      <c r="H2" s="12"/>
      <c r="I2" s="10" t="s">
        <v>378</v>
      </c>
      <c r="J2" s="13" t="s">
        <v>379</v>
      </c>
      <c r="K2" s="17"/>
    </row>
    <row r="3" spans="1:11" hidden="1" x14ac:dyDescent="0.3">
      <c r="A3" s="10" t="s">
        <v>377</v>
      </c>
      <c r="B3" s="10">
        <v>30007091</v>
      </c>
      <c r="C3" s="10">
        <v>10880018097</v>
      </c>
      <c r="D3" s="11">
        <v>990000024387</v>
      </c>
      <c r="E3" s="10" t="s">
        <v>65</v>
      </c>
      <c r="F3" s="10">
        <v>264</v>
      </c>
      <c r="G3" s="12">
        <v>44856</v>
      </c>
      <c r="H3" s="12"/>
      <c r="I3" s="10" t="s">
        <v>378</v>
      </c>
      <c r="J3" s="13" t="s">
        <v>379</v>
      </c>
      <c r="K3" s="17"/>
    </row>
    <row r="4" spans="1:11" hidden="1" x14ac:dyDescent="0.3">
      <c r="A4" s="10" t="s">
        <v>377</v>
      </c>
      <c r="B4" s="10">
        <v>30007093</v>
      </c>
      <c r="C4" s="10">
        <v>10880018097</v>
      </c>
      <c r="D4" s="11">
        <v>990000024388</v>
      </c>
      <c r="E4" s="10" t="s">
        <v>65</v>
      </c>
      <c r="F4" s="10">
        <v>2231</v>
      </c>
      <c r="G4" s="12">
        <v>44856</v>
      </c>
      <c r="H4" s="12"/>
      <c r="I4" s="10" t="s">
        <v>378</v>
      </c>
      <c r="J4" s="13" t="s">
        <v>379</v>
      </c>
      <c r="K4" s="17"/>
    </row>
    <row r="5" spans="1:11" hidden="1" x14ac:dyDescent="0.3">
      <c r="A5" s="10" t="s">
        <v>377</v>
      </c>
      <c r="B5" s="10">
        <v>30007101</v>
      </c>
      <c r="C5" s="10">
        <v>10880018097</v>
      </c>
      <c r="D5" s="11">
        <v>990000024480</v>
      </c>
      <c r="E5" s="10" t="s">
        <v>65</v>
      </c>
      <c r="F5" s="10">
        <v>969</v>
      </c>
      <c r="G5" s="12">
        <v>44858</v>
      </c>
      <c r="H5" s="12"/>
      <c r="I5" s="10" t="s">
        <v>378</v>
      </c>
      <c r="J5" s="13" t="s">
        <v>379</v>
      </c>
      <c r="K5" s="17"/>
    </row>
    <row r="6" spans="1:11" hidden="1" x14ac:dyDescent="0.3">
      <c r="A6" s="10" t="s">
        <v>377</v>
      </c>
      <c r="B6" s="10">
        <v>1204808</v>
      </c>
      <c r="C6" s="10">
        <v>10880017536</v>
      </c>
      <c r="D6" s="11">
        <v>990000024584</v>
      </c>
      <c r="E6" s="10" t="s">
        <v>171</v>
      </c>
      <c r="F6" s="10">
        <v>14</v>
      </c>
      <c r="G6" s="12">
        <v>44865</v>
      </c>
      <c r="H6" s="12"/>
      <c r="I6" s="10" t="s">
        <v>380</v>
      </c>
      <c r="J6" s="10" t="s">
        <v>379</v>
      </c>
      <c r="K6" s="17"/>
    </row>
    <row r="7" spans="1:11" hidden="1" x14ac:dyDescent="0.3">
      <c r="A7" s="10" t="s">
        <v>377</v>
      </c>
      <c r="B7" s="10">
        <v>1204809</v>
      </c>
      <c r="C7" s="10">
        <v>10880017536</v>
      </c>
      <c r="D7" s="11">
        <v>990000024585</v>
      </c>
      <c r="E7" s="10" t="s">
        <v>171</v>
      </c>
      <c r="F7" s="10">
        <v>200</v>
      </c>
      <c r="G7" s="12">
        <v>44865</v>
      </c>
      <c r="H7" s="12"/>
      <c r="I7" s="10" t="s">
        <v>380</v>
      </c>
      <c r="J7" s="13" t="s">
        <v>379</v>
      </c>
      <c r="K7" s="17"/>
    </row>
    <row r="8" spans="1:11" hidden="1" x14ac:dyDescent="0.3">
      <c r="A8" s="10" t="s">
        <v>377</v>
      </c>
      <c r="B8" s="10">
        <v>1211747</v>
      </c>
      <c r="C8" s="10">
        <v>10880017536</v>
      </c>
      <c r="D8" s="11">
        <v>990000024586</v>
      </c>
      <c r="E8" s="10" t="s">
        <v>171</v>
      </c>
      <c r="F8" s="10">
        <v>1174</v>
      </c>
      <c r="G8" s="12">
        <v>44865</v>
      </c>
      <c r="H8" s="12"/>
      <c r="I8" s="10" t="s">
        <v>380</v>
      </c>
      <c r="J8" s="13" t="s">
        <v>379</v>
      </c>
      <c r="K8" s="17"/>
    </row>
    <row r="9" spans="1:11" hidden="1" x14ac:dyDescent="0.3">
      <c r="A9" s="10" t="s">
        <v>377</v>
      </c>
      <c r="B9" s="10">
        <v>1219155</v>
      </c>
      <c r="C9" s="10">
        <v>10880017536</v>
      </c>
      <c r="D9" s="11">
        <v>990000024587</v>
      </c>
      <c r="E9" s="10" t="s">
        <v>171</v>
      </c>
      <c r="F9" s="10">
        <v>989</v>
      </c>
      <c r="G9" s="12">
        <v>44865</v>
      </c>
      <c r="H9" s="12"/>
      <c r="I9" s="10" t="s">
        <v>380</v>
      </c>
      <c r="J9" s="13" t="s">
        <v>379</v>
      </c>
      <c r="K9" s="17"/>
    </row>
    <row r="10" spans="1:11" hidden="1" x14ac:dyDescent="0.3">
      <c r="A10" s="10" t="s">
        <v>377</v>
      </c>
      <c r="B10" s="10">
        <v>1217877</v>
      </c>
      <c r="C10" s="10">
        <v>10880017532</v>
      </c>
      <c r="D10" s="11">
        <v>990000024588</v>
      </c>
      <c r="E10" s="10" t="s">
        <v>381</v>
      </c>
      <c r="F10" s="10">
        <v>997</v>
      </c>
      <c r="G10" s="12">
        <v>44865</v>
      </c>
      <c r="H10" s="12"/>
      <c r="I10" s="10" t="s">
        <v>382</v>
      </c>
      <c r="J10" s="13" t="s">
        <v>379</v>
      </c>
      <c r="K10" s="17"/>
    </row>
    <row r="11" spans="1:11" hidden="1" x14ac:dyDescent="0.3">
      <c r="A11" s="10" t="s">
        <v>377</v>
      </c>
      <c r="B11" s="10">
        <v>1217874</v>
      </c>
      <c r="C11" s="10">
        <v>10880017530</v>
      </c>
      <c r="D11" s="11">
        <v>990000024621</v>
      </c>
      <c r="E11" s="10" t="s">
        <v>383</v>
      </c>
      <c r="F11" s="10">
        <v>1920</v>
      </c>
      <c r="G11" s="12">
        <v>44868</v>
      </c>
      <c r="H11" s="12"/>
      <c r="I11" s="10" t="s">
        <v>382</v>
      </c>
      <c r="J11" s="13" t="s">
        <v>379</v>
      </c>
      <c r="K11" s="17"/>
    </row>
    <row r="12" spans="1:11" hidden="1" x14ac:dyDescent="0.3">
      <c r="A12" s="10" t="s">
        <v>377</v>
      </c>
      <c r="B12" s="10">
        <v>1217875</v>
      </c>
      <c r="C12" s="10">
        <v>10880017530</v>
      </c>
      <c r="D12" s="11">
        <v>990000024622</v>
      </c>
      <c r="E12" s="10" t="s">
        <v>383</v>
      </c>
      <c r="F12" s="10">
        <v>2880</v>
      </c>
      <c r="G12" s="12">
        <v>44868</v>
      </c>
      <c r="H12" s="12"/>
      <c r="I12" s="10" t="s">
        <v>382</v>
      </c>
      <c r="J12" s="13" t="s">
        <v>379</v>
      </c>
      <c r="K12" s="17"/>
    </row>
    <row r="13" spans="1:11" hidden="1" x14ac:dyDescent="0.3">
      <c r="A13" s="10" t="s">
        <v>377</v>
      </c>
      <c r="B13" s="10">
        <v>1217880</v>
      </c>
      <c r="C13" s="10">
        <v>10880017533</v>
      </c>
      <c r="D13" s="11">
        <v>990000024620</v>
      </c>
      <c r="E13" s="10" t="s">
        <v>384</v>
      </c>
      <c r="F13" s="10">
        <v>5979</v>
      </c>
      <c r="G13" s="12">
        <v>44868</v>
      </c>
      <c r="H13" s="12"/>
      <c r="I13" s="10" t="s">
        <v>382</v>
      </c>
      <c r="J13" s="13" t="s">
        <v>379</v>
      </c>
      <c r="K13" s="17"/>
    </row>
    <row r="14" spans="1:11" hidden="1" x14ac:dyDescent="0.3">
      <c r="A14" s="10" t="s">
        <v>377</v>
      </c>
      <c r="B14" s="10">
        <v>30007181</v>
      </c>
      <c r="C14" s="10">
        <v>10880018096</v>
      </c>
      <c r="D14" s="11">
        <v>990000024815</v>
      </c>
      <c r="E14" s="10" t="s">
        <v>385</v>
      </c>
      <c r="F14" s="10">
        <v>850</v>
      </c>
      <c r="G14" s="12">
        <v>44874</v>
      </c>
      <c r="H14" s="12"/>
      <c r="I14" s="10" t="s">
        <v>386</v>
      </c>
      <c r="J14" s="13" t="s">
        <v>379</v>
      </c>
      <c r="K14" s="17"/>
    </row>
    <row r="15" spans="1:11" hidden="1" x14ac:dyDescent="0.3">
      <c r="A15" s="10" t="s">
        <v>377</v>
      </c>
      <c r="B15" s="10">
        <v>30007182</v>
      </c>
      <c r="C15" s="10">
        <v>10880018097</v>
      </c>
      <c r="D15" s="11">
        <v>990000024816</v>
      </c>
      <c r="E15" s="10" t="s">
        <v>65</v>
      </c>
      <c r="F15" s="10">
        <v>854</v>
      </c>
      <c r="G15" s="12">
        <v>44874</v>
      </c>
      <c r="H15" s="12"/>
      <c r="I15" s="10" t="s">
        <v>386</v>
      </c>
      <c r="J15" s="13" t="s">
        <v>379</v>
      </c>
      <c r="K15" s="17"/>
    </row>
    <row r="16" spans="1:11" hidden="1" x14ac:dyDescent="0.3">
      <c r="A16" s="10" t="s">
        <v>377</v>
      </c>
      <c r="B16" s="10">
        <v>1221593</v>
      </c>
      <c r="C16" s="10">
        <v>10880017535</v>
      </c>
      <c r="D16" s="11">
        <v>990000025013</v>
      </c>
      <c r="E16" s="10" t="s">
        <v>387</v>
      </c>
      <c r="F16" s="10">
        <v>355</v>
      </c>
      <c r="G16" s="12">
        <v>44887</v>
      </c>
      <c r="H16" s="12"/>
      <c r="I16" s="10" t="s">
        <v>388</v>
      </c>
      <c r="J16" s="10" t="s">
        <v>389</v>
      </c>
      <c r="K16" s="17"/>
    </row>
    <row r="17" spans="1:11" hidden="1" x14ac:dyDescent="0.3">
      <c r="A17" s="10" t="s">
        <v>377</v>
      </c>
      <c r="B17" s="10">
        <v>1202901</v>
      </c>
      <c r="C17" s="10">
        <v>10880017533</v>
      </c>
      <c r="D17" s="11">
        <v>990000025014</v>
      </c>
      <c r="E17" s="10" t="s">
        <v>384</v>
      </c>
      <c r="F17" s="10">
        <v>291</v>
      </c>
      <c r="G17" s="12">
        <v>44887</v>
      </c>
      <c r="H17" s="12"/>
      <c r="I17" s="10" t="s">
        <v>388</v>
      </c>
      <c r="J17" s="10" t="s">
        <v>389</v>
      </c>
      <c r="K17" s="17"/>
    </row>
    <row r="18" spans="1:11" hidden="1" x14ac:dyDescent="0.3">
      <c r="A18" s="10" t="s">
        <v>377</v>
      </c>
      <c r="B18" s="10">
        <v>1202899</v>
      </c>
      <c r="C18" s="10">
        <v>10880017531</v>
      </c>
      <c r="D18" s="11">
        <v>990000025015</v>
      </c>
      <c r="E18" s="10" t="s">
        <v>390</v>
      </c>
      <c r="F18" s="10">
        <v>1226</v>
      </c>
      <c r="G18" s="12">
        <v>44887</v>
      </c>
      <c r="H18" s="12"/>
      <c r="I18" s="10" t="s">
        <v>388</v>
      </c>
      <c r="J18" s="10" t="s">
        <v>389</v>
      </c>
      <c r="K18" s="17"/>
    </row>
    <row r="19" spans="1:11" hidden="1" x14ac:dyDescent="0.3">
      <c r="A19" s="10" t="s">
        <v>377</v>
      </c>
      <c r="B19" s="10">
        <v>1217958</v>
      </c>
      <c r="C19" s="10">
        <v>10880017537</v>
      </c>
      <c r="D19" s="11">
        <v>990000025016</v>
      </c>
      <c r="E19" s="10" t="s">
        <v>391</v>
      </c>
      <c r="F19" s="10">
        <v>30</v>
      </c>
      <c r="G19" s="12">
        <v>44887</v>
      </c>
      <c r="H19" s="12"/>
      <c r="I19" s="10" t="s">
        <v>388</v>
      </c>
      <c r="J19" s="10" t="s">
        <v>389</v>
      </c>
      <c r="K19" s="17"/>
    </row>
    <row r="20" spans="1:11" hidden="1" x14ac:dyDescent="0.3">
      <c r="A20" s="10" t="s">
        <v>377</v>
      </c>
      <c r="B20" s="10">
        <v>1202893</v>
      </c>
      <c r="C20" s="10">
        <v>10880017534</v>
      </c>
      <c r="D20" s="11">
        <v>990000025017</v>
      </c>
      <c r="E20" s="10" t="s">
        <v>392</v>
      </c>
      <c r="F20" s="10">
        <v>811</v>
      </c>
      <c r="G20" s="12">
        <v>44887</v>
      </c>
      <c r="H20" s="12"/>
      <c r="I20" s="10" t="s">
        <v>388</v>
      </c>
      <c r="J20" s="10" t="s">
        <v>389</v>
      </c>
      <c r="K20" s="17"/>
    </row>
    <row r="21" spans="1:11" hidden="1" x14ac:dyDescent="0.3">
      <c r="A21" s="10" t="s">
        <v>377</v>
      </c>
      <c r="B21" s="10">
        <v>1202902</v>
      </c>
      <c r="C21" s="10">
        <v>10880017534</v>
      </c>
      <c r="D21" s="11">
        <v>990000025018</v>
      </c>
      <c r="E21" s="10" t="s">
        <v>392</v>
      </c>
      <c r="F21" s="10">
        <v>3197</v>
      </c>
      <c r="G21" s="12">
        <v>44887</v>
      </c>
      <c r="H21" s="12"/>
      <c r="I21" s="10" t="s">
        <v>388</v>
      </c>
      <c r="J21" s="10" t="s">
        <v>389</v>
      </c>
      <c r="K21" s="17"/>
    </row>
    <row r="22" spans="1:11" hidden="1" x14ac:dyDescent="0.3">
      <c r="A22" s="10" t="s">
        <v>377</v>
      </c>
      <c r="B22" s="10">
        <v>1223070</v>
      </c>
      <c r="C22" s="10">
        <v>10880020230</v>
      </c>
      <c r="D22" s="11">
        <v>990000025063</v>
      </c>
      <c r="E22" s="10" t="s">
        <v>393</v>
      </c>
      <c r="F22" s="10">
        <v>100</v>
      </c>
      <c r="G22" s="12">
        <v>44887</v>
      </c>
      <c r="H22" s="12"/>
      <c r="I22" s="10" t="s">
        <v>394</v>
      </c>
      <c r="J22" s="13" t="s">
        <v>389</v>
      </c>
      <c r="K22" s="17"/>
    </row>
    <row r="23" spans="1:11" hidden="1" x14ac:dyDescent="0.3">
      <c r="A23" s="13" t="s">
        <v>377</v>
      </c>
      <c r="B23" s="13">
        <v>1217956</v>
      </c>
      <c r="C23" s="13">
        <v>10880017535</v>
      </c>
      <c r="D23" s="14">
        <v>990000024190</v>
      </c>
      <c r="E23" s="13" t="s">
        <v>387</v>
      </c>
      <c r="F23" s="13">
        <v>402</v>
      </c>
      <c r="G23" s="15">
        <v>44887</v>
      </c>
      <c r="H23" s="15">
        <v>44887</v>
      </c>
      <c r="I23" s="13" t="s">
        <v>395</v>
      </c>
      <c r="J23" s="13" t="s">
        <v>396</v>
      </c>
      <c r="K23" s="18"/>
    </row>
    <row r="24" spans="1:11" hidden="1" x14ac:dyDescent="0.3">
      <c r="A24" s="13" t="s">
        <v>397</v>
      </c>
      <c r="B24" s="13">
        <v>1224353</v>
      </c>
      <c r="C24" s="13">
        <v>10880018850</v>
      </c>
      <c r="D24" s="14">
        <v>990000024999</v>
      </c>
      <c r="E24" s="13" t="s">
        <v>398</v>
      </c>
      <c r="F24" s="13">
        <v>160</v>
      </c>
      <c r="G24" s="15">
        <v>44887</v>
      </c>
      <c r="H24" s="15">
        <v>44887</v>
      </c>
      <c r="I24" s="13" t="s">
        <v>399</v>
      </c>
      <c r="J24" s="13" t="s">
        <v>389</v>
      </c>
      <c r="K24" s="18"/>
    </row>
    <row r="25" spans="1:11" hidden="1" x14ac:dyDescent="0.3">
      <c r="A25" s="13" t="s">
        <v>397</v>
      </c>
      <c r="B25" s="13">
        <v>1224363</v>
      </c>
      <c r="C25" s="13">
        <v>10880018850</v>
      </c>
      <c r="D25" s="14">
        <v>990000025000</v>
      </c>
      <c r="E25" s="13" t="s">
        <v>398</v>
      </c>
      <c r="F25" s="13">
        <v>683</v>
      </c>
      <c r="G25" s="15">
        <v>44887</v>
      </c>
      <c r="H25" s="15">
        <v>44887</v>
      </c>
      <c r="I25" s="13" t="s">
        <v>399</v>
      </c>
      <c r="J25" s="13" t="s">
        <v>389</v>
      </c>
      <c r="K25" s="18"/>
    </row>
    <row r="26" spans="1:11" hidden="1" x14ac:dyDescent="0.3">
      <c r="A26" s="13" t="s">
        <v>377</v>
      </c>
      <c r="B26" s="13">
        <v>1220657</v>
      </c>
      <c r="C26" s="13">
        <v>10880017949</v>
      </c>
      <c r="D26" s="14">
        <v>990000025128</v>
      </c>
      <c r="E26" s="13" t="s">
        <v>400</v>
      </c>
      <c r="F26" s="13">
        <v>2000</v>
      </c>
      <c r="G26" s="15">
        <v>44891</v>
      </c>
      <c r="H26" s="15">
        <v>44891</v>
      </c>
      <c r="I26" s="13" t="s">
        <v>401</v>
      </c>
      <c r="J26" s="13" t="s">
        <v>389</v>
      </c>
      <c r="K26" s="18"/>
    </row>
    <row r="27" spans="1:11" hidden="1" x14ac:dyDescent="0.3">
      <c r="A27" s="13" t="s">
        <v>377</v>
      </c>
      <c r="B27" s="13">
        <v>1220658</v>
      </c>
      <c r="C27" s="13">
        <v>10880017949</v>
      </c>
      <c r="D27" s="14">
        <v>990000025129</v>
      </c>
      <c r="E27" s="13" t="s">
        <v>400</v>
      </c>
      <c r="F27" s="13">
        <v>1683</v>
      </c>
      <c r="G27" s="15">
        <v>44891</v>
      </c>
      <c r="H27" s="15">
        <v>44891</v>
      </c>
      <c r="I27" s="13" t="s">
        <v>401</v>
      </c>
      <c r="J27" s="13" t="s">
        <v>389</v>
      </c>
      <c r="K27" s="18"/>
    </row>
    <row r="28" spans="1:11" hidden="1" x14ac:dyDescent="0.3">
      <c r="A28" s="13" t="s">
        <v>377</v>
      </c>
      <c r="B28" s="13">
        <v>1219153</v>
      </c>
      <c r="C28" s="13">
        <v>10880017526</v>
      </c>
      <c r="D28" s="14">
        <v>990000025145</v>
      </c>
      <c r="E28" s="13" t="s">
        <v>402</v>
      </c>
      <c r="F28" s="13">
        <v>2985</v>
      </c>
      <c r="G28" s="15">
        <v>44891</v>
      </c>
      <c r="H28" s="15">
        <v>44891</v>
      </c>
      <c r="I28" s="13" t="s">
        <v>403</v>
      </c>
      <c r="J28" s="13" t="s">
        <v>396</v>
      </c>
      <c r="K28" s="18"/>
    </row>
    <row r="29" spans="1:11" hidden="1" x14ac:dyDescent="0.3">
      <c r="A29" s="13" t="s">
        <v>377</v>
      </c>
      <c r="B29" s="13">
        <v>1217967</v>
      </c>
      <c r="C29" s="13">
        <v>10880017526</v>
      </c>
      <c r="D29" s="14">
        <v>990000025182</v>
      </c>
      <c r="E29" s="13" t="s">
        <v>402</v>
      </c>
      <c r="F29" s="13">
        <v>1056</v>
      </c>
      <c r="G29" s="15">
        <v>44891</v>
      </c>
      <c r="H29" s="15">
        <v>44891</v>
      </c>
      <c r="I29" s="13" t="s">
        <v>403</v>
      </c>
      <c r="J29" s="13" t="s">
        <v>396</v>
      </c>
      <c r="K29" s="18"/>
    </row>
    <row r="30" spans="1:11" hidden="1" x14ac:dyDescent="0.3">
      <c r="A30" s="10" t="s">
        <v>377</v>
      </c>
      <c r="B30" s="10">
        <v>30007266</v>
      </c>
      <c r="C30" s="10">
        <v>10880017536</v>
      </c>
      <c r="D30" s="11">
        <v>990000025311</v>
      </c>
      <c r="E30" s="10" t="s">
        <v>171</v>
      </c>
      <c r="F30" s="10">
        <v>320</v>
      </c>
      <c r="G30" s="12">
        <v>44901</v>
      </c>
      <c r="H30" s="12"/>
      <c r="I30" s="10" t="s">
        <v>404</v>
      </c>
      <c r="J30" s="13" t="s">
        <v>379</v>
      </c>
      <c r="K30" s="17"/>
    </row>
    <row r="31" spans="1:11" hidden="1" x14ac:dyDescent="0.3">
      <c r="A31" s="13" t="s">
        <v>377</v>
      </c>
      <c r="B31" s="13">
        <v>1217967</v>
      </c>
      <c r="C31" s="13">
        <v>10880017526</v>
      </c>
      <c r="D31" s="14">
        <v>990000025272</v>
      </c>
      <c r="E31" s="13" t="s">
        <v>402</v>
      </c>
      <c r="F31" s="13">
        <v>600</v>
      </c>
      <c r="G31" s="15">
        <v>44902</v>
      </c>
      <c r="H31" s="15">
        <v>44902</v>
      </c>
      <c r="I31" s="13" t="s">
        <v>405</v>
      </c>
      <c r="J31" s="13" t="s">
        <v>389</v>
      </c>
      <c r="K31" s="18"/>
    </row>
    <row r="32" spans="1:11" hidden="1" x14ac:dyDescent="0.3">
      <c r="A32" s="10" t="s">
        <v>377</v>
      </c>
      <c r="B32" s="10">
        <v>30007278</v>
      </c>
      <c r="C32" s="10">
        <v>10880017516</v>
      </c>
      <c r="D32" s="11">
        <v>990000025459</v>
      </c>
      <c r="E32" s="10" t="s">
        <v>164</v>
      </c>
      <c r="F32" s="10">
        <v>140</v>
      </c>
      <c r="G32" s="12">
        <v>44909</v>
      </c>
      <c r="H32" s="12"/>
      <c r="I32" s="10" t="s">
        <v>406</v>
      </c>
      <c r="J32" s="13" t="s">
        <v>389</v>
      </c>
      <c r="K32" s="17"/>
    </row>
    <row r="33" spans="1:12" hidden="1" x14ac:dyDescent="0.3">
      <c r="A33" s="13" t="s">
        <v>377</v>
      </c>
      <c r="B33" s="13">
        <v>1207740</v>
      </c>
      <c r="C33" s="13">
        <v>10880019434</v>
      </c>
      <c r="D33" s="14">
        <v>990000025130</v>
      </c>
      <c r="E33" s="13" t="s">
        <v>407</v>
      </c>
      <c r="F33" s="13">
        <v>157</v>
      </c>
      <c r="G33" s="15">
        <v>44909</v>
      </c>
      <c r="H33" s="15">
        <v>44909</v>
      </c>
      <c r="I33" s="13" t="s">
        <v>408</v>
      </c>
      <c r="J33" s="13" t="s">
        <v>389</v>
      </c>
      <c r="K33" s="18"/>
    </row>
    <row r="34" spans="1:12" hidden="1" x14ac:dyDescent="0.3">
      <c r="A34" s="13" t="s">
        <v>377</v>
      </c>
      <c r="B34" s="13">
        <v>1218793</v>
      </c>
      <c r="C34" s="13">
        <v>10880020678</v>
      </c>
      <c r="D34" s="14">
        <v>990000025402</v>
      </c>
      <c r="E34" s="13" t="s">
        <v>409</v>
      </c>
      <c r="F34" s="13">
        <v>200</v>
      </c>
      <c r="G34" s="15">
        <v>44909</v>
      </c>
      <c r="H34" s="15">
        <v>44909</v>
      </c>
      <c r="I34" s="13" t="s">
        <v>410</v>
      </c>
      <c r="J34" s="13" t="s">
        <v>389</v>
      </c>
      <c r="K34" s="18"/>
    </row>
    <row r="35" spans="1:12" hidden="1" x14ac:dyDescent="0.3">
      <c r="A35" s="13" t="s">
        <v>377</v>
      </c>
      <c r="B35" s="13">
        <v>1218795</v>
      </c>
      <c r="C35" s="13">
        <v>10880020678</v>
      </c>
      <c r="D35" s="14">
        <v>990000025403</v>
      </c>
      <c r="E35" s="13" t="s">
        <v>409</v>
      </c>
      <c r="F35" s="13">
        <v>400</v>
      </c>
      <c r="G35" s="15">
        <v>44909</v>
      </c>
      <c r="H35" s="15">
        <v>44909</v>
      </c>
      <c r="I35" s="13" t="s">
        <v>410</v>
      </c>
      <c r="J35" s="13" t="s">
        <v>389</v>
      </c>
      <c r="K35" s="18"/>
    </row>
    <row r="36" spans="1:12" hidden="1" x14ac:dyDescent="0.3">
      <c r="A36" s="13" t="s">
        <v>377</v>
      </c>
      <c r="B36" s="13">
        <v>1218796</v>
      </c>
      <c r="C36" s="13">
        <v>10880020678</v>
      </c>
      <c r="D36" s="14">
        <v>990000025404</v>
      </c>
      <c r="E36" s="13" t="s">
        <v>409</v>
      </c>
      <c r="F36" s="13">
        <v>1997</v>
      </c>
      <c r="G36" s="15">
        <v>44909</v>
      </c>
      <c r="H36" s="15">
        <v>44909</v>
      </c>
      <c r="I36" s="13" t="s">
        <v>410</v>
      </c>
      <c r="J36" s="13" t="s">
        <v>389</v>
      </c>
      <c r="K36" s="18"/>
    </row>
    <row r="37" spans="1:12" hidden="1" x14ac:dyDescent="0.3">
      <c r="A37" s="13" t="s">
        <v>377</v>
      </c>
      <c r="B37" s="13">
        <v>30007278</v>
      </c>
      <c r="C37" s="13">
        <v>10880017516</v>
      </c>
      <c r="D37" s="14">
        <v>990000025273</v>
      </c>
      <c r="E37" s="13" t="s">
        <v>164</v>
      </c>
      <c r="F37" s="13">
        <v>316</v>
      </c>
      <c r="G37" s="15">
        <v>44911</v>
      </c>
      <c r="H37" s="15">
        <v>44911</v>
      </c>
      <c r="I37" s="13" t="s">
        <v>411</v>
      </c>
      <c r="J37" s="13" t="s">
        <v>379</v>
      </c>
      <c r="K37" s="18"/>
    </row>
    <row r="38" spans="1:12" s="1" customFormat="1" hidden="1" x14ac:dyDescent="0.3">
      <c r="A38" s="13" t="s">
        <v>377</v>
      </c>
      <c r="B38" s="13">
        <v>30007279</v>
      </c>
      <c r="C38" s="13">
        <v>10880017516</v>
      </c>
      <c r="D38" s="14">
        <v>990000025274</v>
      </c>
      <c r="E38" s="13" t="s">
        <v>164</v>
      </c>
      <c r="F38" s="13">
        <v>2985</v>
      </c>
      <c r="G38" s="15">
        <v>44911</v>
      </c>
      <c r="H38" s="15">
        <v>44911</v>
      </c>
      <c r="I38" s="13" t="s">
        <v>411</v>
      </c>
      <c r="J38" s="13" t="s">
        <v>379</v>
      </c>
      <c r="K38" s="18"/>
      <c r="L38" s="4"/>
    </row>
    <row r="39" spans="1:12" s="1" customFormat="1" hidden="1" x14ac:dyDescent="0.3">
      <c r="A39" s="10" t="s">
        <v>377</v>
      </c>
      <c r="B39" s="10">
        <v>30007317</v>
      </c>
      <c r="C39" s="10">
        <v>10880017526</v>
      </c>
      <c r="D39" s="11">
        <v>990000025547</v>
      </c>
      <c r="E39" s="10" t="s">
        <v>402</v>
      </c>
      <c r="F39" s="10">
        <v>140</v>
      </c>
      <c r="G39" s="12">
        <v>44917</v>
      </c>
      <c r="H39" s="12"/>
      <c r="I39" s="10" t="s">
        <v>406</v>
      </c>
      <c r="J39" s="13" t="s">
        <v>389</v>
      </c>
      <c r="K39" s="17"/>
      <c r="L39" s="4"/>
    </row>
    <row r="40" spans="1:12" s="1" customFormat="1" hidden="1" x14ac:dyDescent="0.3">
      <c r="A40" s="10" t="s">
        <v>412</v>
      </c>
      <c r="B40" s="10">
        <v>1219950</v>
      </c>
      <c r="C40" s="10">
        <v>10880019920</v>
      </c>
      <c r="D40" s="11">
        <v>990000025661</v>
      </c>
      <c r="E40" s="10" t="s">
        <v>413</v>
      </c>
      <c r="F40" s="10">
        <v>244</v>
      </c>
      <c r="G40" s="12">
        <v>44931</v>
      </c>
      <c r="H40" s="12"/>
      <c r="I40" s="10" t="s">
        <v>414</v>
      </c>
      <c r="J40" s="13" t="s">
        <v>389</v>
      </c>
      <c r="K40" s="17"/>
      <c r="L40" s="4"/>
    </row>
    <row r="41" spans="1:12" hidden="1" x14ac:dyDescent="0.3">
      <c r="A41" s="10" t="s">
        <v>397</v>
      </c>
      <c r="B41" s="10">
        <v>1224490</v>
      </c>
      <c r="C41" s="10">
        <v>10880018097</v>
      </c>
      <c r="D41" s="11">
        <v>990000026292</v>
      </c>
      <c r="E41" s="10" t="s">
        <v>65</v>
      </c>
      <c r="F41" s="10">
        <v>4771</v>
      </c>
      <c r="G41" s="12">
        <v>44993</v>
      </c>
      <c r="H41" s="12"/>
      <c r="I41" s="10" t="s">
        <v>415</v>
      </c>
      <c r="J41" s="10" t="s">
        <v>379</v>
      </c>
      <c r="K41" s="17"/>
    </row>
    <row r="42" spans="1:12" hidden="1" x14ac:dyDescent="0.3">
      <c r="A42" s="10" t="s">
        <v>377</v>
      </c>
      <c r="B42" s="10">
        <v>30007278</v>
      </c>
      <c r="C42" s="10">
        <v>10880017516</v>
      </c>
      <c r="D42" s="11">
        <v>990000026351</v>
      </c>
      <c r="E42" s="10" t="s">
        <v>164</v>
      </c>
      <c r="F42" s="10">
        <v>316</v>
      </c>
      <c r="G42" s="12">
        <v>44999</v>
      </c>
      <c r="H42" s="12"/>
      <c r="I42" s="10" t="s">
        <v>416</v>
      </c>
      <c r="J42" s="10" t="s">
        <v>396</v>
      </c>
      <c r="K42" s="17"/>
    </row>
    <row r="43" spans="1:12" hidden="1" x14ac:dyDescent="0.3">
      <c r="A43" s="10" t="s">
        <v>377</v>
      </c>
      <c r="B43" s="10">
        <v>30007279</v>
      </c>
      <c r="C43" s="10">
        <v>10880017516</v>
      </c>
      <c r="D43" s="11">
        <v>990000026352</v>
      </c>
      <c r="E43" s="10" t="s">
        <v>164</v>
      </c>
      <c r="F43" s="10">
        <v>2981</v>
      </c>
      <c r="G43" s="12">
        <v>44999</v>
      </c>
      <c r="H43" s="12"/>
      <c r="I43" s="10" t="s">
        <v>416</v>
      </c>
      <c r="J43" s="10" t="s">
        <v>396</v>
      </c>
      <c r="K43" s="17"/>
    </row>
    <row r="44" spans="1:12" hidden="1" x14ac:dyDescent="0.3">
      <c r="A44" s="10" t="s">
        <v>377</v>
      </c>
      <c r="B44" s="10">
        <v>1237318</v>
      </c>
      <c r="C44" s="10">
        <v>10880022044</v>
      </c>
      <c r="D44" s="11">
        <v>990000026450</v>
      </c>
      <c r="E44" s="10" t="s">
        <v>417</v>
      </c>
      <c r="F44" s="10">
        <v>200</v>
      </c>
      <c r="G44" s="12">
        <v>45002</v>
      </c>
      <c r="H44" s="12"/>
      <c r="I44" s="10" t="s">
        <v>418</v>
      </c>
      <c r="J44" s="10" t="s">
        <v>379</v>
      </c>
      <c r="K44" s="17"/>
    </row>
    <row r="45" spans="1:12" s="1" customFormat="1" hidden="1" x14ac:dyDescent="0.3">
      <c r="A45" s="10" t="s">
        <v>377</v>
      </c>
      <c r="B45" s="10">
        <v>1236064</v>
      </c>
      <c r="C45" s="10">
        <v>10880019434</v>
      </c>
      <c r="D45" s="11">
        <v>990000026498</v>
      </c>
      <c r="E45" s="10" t="s">
        <v>407</v>
      </c>
      <c r="F45" s="10">
        <v>157</v>
      </c>
      <c r="G45" s="12">
        <v>45007</v>
      </c>
      <c r="H45" s="12">
        <v>45007</v>
      </c>
      <c r="I45" s="10" t="s">
        <v>419</v>
      </c>
      <c r="J45" s="10" t="s">
        <v>379</v>
      </c>
      <c r="K45" s="17"/>
      <c r="L45" s="4"/>
    </row>
    <row r="46" spans="1:12" s="1" customFormat="1" hidden="1" x14ac:dyDescent="0.3">
      <c r="A46" s="10" t="s">
        <v>377</v>
      </c>
      <c r="B46" s="10">
        <v>1231929</v>
      </c>
      <c r="C46" s="10">
        <v>10880021311</v>
      </c>
      <c r="D46" s="11">
        <v>990000026499</v>
      </c>
      <c r="E46" s="10" t="s">
        <v>188</v>
      </c>
      <c r="F46" s="10">
        <v>470</v>
      </c>
      <c r="G46" s="12">
        <v>45008</v>
      </c>
      <c r="H46" s="12"/>
      <c r="I46" s="10" t="s">
        <v>420</v>
      </c>
      <c r="J46" s="10" t="s">
        <v>379</v>
      </c>
      <c r="K46" s="17"/>
      <c r="L46" s="4"/>
    </row>
    <row r="47" spans="1:12" s="1" customFormat="1" hidden="1" x14ac:dyDescent="0.3">
      <c r="A47" s="10" t="s">
        <v>377</v>
      </c>
      <c r="B47" s="10">
        <v>1231930</v>
      </c>
      <c r="C47" s="10">
        <v>10880021015</v>
      </c>
      <c r="D47" s="11">
        <v>990000026576</v>
      </c>
      <c r="E47" s="10" t="s">
        <v>82</v>
      </c>
      <c r="F47" s="10">
        <v>1200</v>
      </c>
      <c r="G47" s="12">
        <v>45012</v>
      </c>
      <c r="H47" s="12"/>
      <c r="I47" s="10" t="s">
        <v>421</v>
      </c>
      <c r="J47" s="10" t="s">
        <v>379</v>
      </c>
      <c r="K47" s="17"/>
      <c r="L47" s="4"/>
    </row>
    <row r="48" spans="1:12" s="1" customFormat="1" hidden="1" x14ac:dyDescent="0.3">
      <c r="A48" s="13" t="s">
        <v>377</v>
      </c>
      <c r="B48" s="13">
        <v>1234724</v>
      </c>
      <c r="C48" s="13">
        <v>10880018096</v>
      </c>
      <c r="D48" s="14">
        <v>990000026575</v>
      </c>
      <c r="E48" s="13" t="s">
        <v>385</v>
      </c>
      <c r="F48" s="13">
        <v>651</v>
      </c>
      <c r="G48" s="15">
        <v>45012</v>
      </c>
      <c r="H48" s="15">
        <v>45012</v>
      </c>
      <c r="I48" s="13" t="s">
        <v>422</v>
      </c>
      <c r="J48" s="13" t="s">
        <v>423</v>
      </c>
      <c r="K48" s="18" t="s">
        <v>424</v>
      </c>
      <c r="L48" s="4"/>
    </row>
    <row r="49" spans="1:12" s="1" customFormat="1" hidden="1" x14ac:dyDescent="0.3">
      <c r="A49" s="13" t="s">
        <v>377</v>
      </c>
      <c r="B49" s="13">
        <v>1231932</v>
      </c>
      <c r="C49" s="13">
        <v>10880021019</v>
      </c>
      <c r="D49" s="14">
        <v>990000026577</v>
      </c>
      <c r="E49" s="13" t="s">
        <v>83</v>
      </c>
      <c r="F49" s="13">
        <v>3231</v>
      </c>
      <c r="G49" s="15">
        <v>45012</v>
      </c>
      <c r="H49" s="15">
        <v>45012</v>
      </c>
      <c r="I49" s="13" t="s">
        <v>425</v>
      </c>
      <c r="J49" s="13" t="s">
        <v>423</v>
      </c>
      <c r="K49" s="18"/>
      <c r="L49" s="4"/>
    </row>
    <row r="50" spans="1:12" hidden="1" x14ac:dyDescent="0.3">
      <c r="A50" s="13" t="s">
        <v>377</v>
      </c>
      <c r="B50" s="13">
        <v>1237866</v>
      </c>
      <c r="C50" s="13">
        <v>10880018097</v>
      </c>
      <c r="D50" s="14">
        <v>990000026578</v>
      </c>
      <c r="E50" s="13" t="s">
        <v>65</v>
      </c>
      <c r="F50" s="13">
        <v>4976</v>
      </c>
      <c r="G50" s="15">
        <v>45012</v>
      </c>
      <c r="H50" s="15">
        <v>45012</v>
      </c>
      <c r="I50" s="13" t="s">
        <v>426</v>
      </c>
      <c r="J50" s="13" t="s">
        <v>423</v>
      </c>
      <c r="K50" s="18" t="s">
        <v>424</v>
      </c>
    </row>
    <row r="51" spans="1:12" hidden="1" x14ac:dyDescent="0.3">
      <c r="A51" s="13" t="s">
        <v>377</v>
      </c>
      <c r="B51" s="13">
        <v>1234728</v>
      </c>
      <c r="C51" s="13">
        <v>10880018097</v>
      </c>
      <c r="D51" s="14">
        <v>990000026579</v>
      </c>
      <c r="E51" s="13" t="s">
        <v>65</v>
      </c>
      <c r="F51" s="13">
        <v>1143</v>
      </c>
      <c r="G51" s="15">
        <v>45012</v>
      </c>
      <c r="H51" s="15">
        <v>45012</v>
      </c>
      <c r="I51" s="13" t="s">
        <v>426</v>
      </c>
      <c r="J51" s="13" t="s">
        <v>423</v>
      </c>
      <c r="K51" s="18" t="s">
        <v>424</v>
      </c>
    </row>
    <row r="52" spans="1:12" hidden="1" x14ac:dyDescent="0.3">
      <c r="A52" s="13" t="s">
        <v>377</v>
      </c>
      <c r="B52" s="13">
        <v>1227035</v>
      </c>
      <c r="C52" s="13">
        <v>10880018097</v>
      </c>
      <c r="D52" s="14">
        <v>990000026580</v>
      </c>
      <c r="E52" s="13" t="s">
        <v>65</v>
      </c>
      <c r="F52" s="13">
        <v>5</v>
      </c>
      <c r="G52" s="15">
        <v>45012</v>
      </c>
      <c r="H52" s="15">
        <v>45012</v>
      </c>
      <c r="I52" s="13" t="s">
        <v>426</v>
      </c>
      <c r="J52" s="13" t="s">
        <v>423</v>
      </c>
      <c r="K52" s="18" t="s">
        <v>424</v>
      </c>
    </row>
    <row r="53" spans="1:12" hidden="1" x14ac:dyDescent="0.3">
      <c r="A53" s="10" t="s">
        <v>412</v>
      </c>
      <c r="B53" s="10">
        <v>1232773</v>
      </c>
      <c r="C53" s="10">
        <v>10880019923</v>
      </c>
      <c r="D53" s="11">
        <v>990000026639</v>
      </c>
      <c r="E53" s="10" t="s">
        <v>427</v>
      </c>
      <c r="F53" s="10">
        <v>649</v>
      </c>
      <c r="G53" s="12">
        <v>45020</v>
      </c>
      <c r="H53" s="12"/>
      <c r="I53" s="10" t="s">
        <v>428</v>
      </c>
      <c r="J53" s="13" t="s">
        <v>389</v>
      </c>
      <c r="K53" s="17"/>
    </row>
    <row r="54" spans="1:12" hidden="1" x14ac:dyDescent="0.3">
      <c r="A54" s="10" t="s">
        <v>397</v>
      </c>
      <c r="B54" s="10">
        <v>1235232</v>
      </c>
      <c r="C54" s="10">
        <v>10880019240</v>
      </c>
      <c r="D54" s="11">
        <v>990000026636</v>
      </c>
      <c r="E54" s="10" t="s">
        <v>81</v>
      </c>
      <c r="F54" s="10">
        <v>1000</v>
      </c>
      <c r="G54" s="12">
        <v>45020</v>
      </c>
      <c r="H54" s="12"/>
      <c r="I54" s="10" t="s">
        <v>429</v>
      </c>
      <c r="J54" s="10" t="s">
        <v>430</v>
      </c>
      <c r="K54" s="17"/>
    </row>
    <row r="55" spans="1:12" hidden="1" x14ac:dyDescent="0.3">
      <c r="A55" s="13" t="s">
        <v>412</v>
      </c>
      <c r="B55" s="13">
        <v>1232498</v>
      </c>
      <c r="C55" s="13">
        <v>10880019923</v>
      </c>
      <c r="D55" s="14">
        <v>990000026660</v>
      </c>
      <c r="E55" s="13" t="s">
        <v>427</v>
      </c>
      <c r="F55" s="13">
        <v>16</v>
      </c>
      <c r="G55" s="15">
        <v>45020</v>
      </c>
      <c r="H55" s="15">
        <v>45020</v>
      </c>
      <c r="I55" s="13" t="s">
        <v>428</v>
      </c>
      <c r="J55" s="13" t="s">
        <v>431</v>
      </c>
      <c r="K55" s="18" t="s">
        <v>432</v>
      </c>
    </row>
    <row r="56" spans="1:12" hidden="1" x14ac:dyDescent="0.3">
      <c r="A56" s="10" t="s">
        <v>377</v>
      </c>
      <c r="B56" s="10">
        <v>1238873</v>
      </c>
      <c r="C56" s="10">
        <v>10880020940</v>
      </c>
      <c r="D56" s="11">
        <v>990000026842</v>
      </c>
      <c r="E56" s="10" t="s">
        <v>222</v>
      </c>
      <c r="F56" s="10">
        <v>330</v>
      </c>
      <c r="G56" s="12">
        <v>45026</v>
      </c>
      <c r="H56" s="12"/>
      <c r="I56" s="10" t="s">
        <v>433</v>
      </c>
      <c r="J56" s="10" t="s">
        <v>379</v>
      </c>
      <c r="K56" s="17"/>
    </row>
    <row r="57" spans="1:12" hidden="1" x14ac:dyDescent="0.3">
      <c r="A57" s="10" t="s">
        <v>377</v>
      </c>
      <c r="B57" s="10">
        <v>1203757</v>
      </c>
      <c r="C57" s="10">
        <v>10880017950</v>
      </c>
      <c r="D57" s="11">
        <v>990000026847</v>
      </c>
      <c r="E57" s="10" t="s">
        <v>434</v>
      </c>
      <c r="F57" s="10">
        <v>828</v>
      </c>
      <c r="G57" s="12">
        <v>45027</v>
      </c>
      <c r="H57" s="12"/>
      <c r="I57" s="10" t="s">
        <v>435</v>
      </c>
      <c r="J57" s="10" t="s">
        <v>396</v>
      </c>
      <c r="K57" s="17"/>
    </row>
    <row r="58" spans="1:12" s="2" customFormat="1" hidden="1" x14ac:dyDescent="0.3">
      <c r="A58" s="10" t="s">
        <v>397</v>
      </c>
      <c r="B58" s="10">
        <v>1238873</v>
      </c>
      <c r="C58" s="10">
        <v>10880020940</v>
      </c>
      <c r="D58" s="11">
        <v>990000026923</v>
      </c>
      <c r="E58" s="10" t="s">
        <v>222</v>
      </c>
      <c r="F58" s="10">
        <v>1661</v>
      </c>
      <c r="G58" s="12">
        <v>45031</v>
      </c>
      <c r="H58" s="12"/>
      <c r="I58" s="10" t="s">
        <v>436</v>
      </c>
      <c r="J58" s="10" t="s">
        <v>379</v>
      </c>
      <c r="K58" s="17"/>
      <c r="L58" s="4"/>
    </row>
    <row r="59" spans="1:12" hidden="1" x14ac:dyDescent="0.3">
      <c r="A59" s="10" t="s">
        <v>397</v>
      </c>
      <c r="B59" s="10">
        <v>1241603</v>
      </c>
      <c r="C59" s="10">
        <v>10880020940</v>
      </c>
      <c r="D59" s="11">
        <v>990000026951</v>
      </c>
      <c r="E59" s="10" t="s">
        <v>222</v>
      </c>
      <c r="F59" s="10">
        <v>2000</v>
      </c>
      <c r="G59" s="16">
        <v>45031</v>
      </c>
      <c r="H59" s="16"/>
      <c r="I59" s="10" t="s">
        <v>437</v>
      </c>
      <c r="J59" s="10" t="s">
        <v>379</v>
      </c>
      <c r="K59" s="17"/>
    </row>
    <row r="60" spans="1:12" s="2" customFormat="1" hidden="1" x14ac:dyDescent="0.3">
      <c r="A60" s="13" t="s">
        <v>397</v>
      </c>
      <c r="B60" s="13">
        <v>1238875</v>
      </c>
      <c r="C60" s="13">
        <v>10880020940</v>
      </c>
      <c r="D60" s="14">
        <v>990000026922</v>
      </c>
      <c r="E60" s="13" t="s">
        <v>222</v>
      </c>
      <c r="F60" s="13">
        <v>2000</v>
      </c>
      <c r="G60" s="15">
        <v>45031</v>
      </c>
      <c r="H60" s="15">
        <v>45031</v>
      </c>
      <c r="I60" s="13" t="s">
        <v>437</v>
      </c>
      <c r="J60" s="13" t="s">
        <v>379</v>
      </c>
      <c r="K60" s="18"/>
      <c r="L60" s="4"/>
    </row>
    <row r="61" spans="1:12" hidden="1" x14ac:dyDescent="0.3">
      <c r="A61" s="13" t="s">
        <v>397</v>
      </c>
      <c r="B61" s="13">
        <v>1228881</v>
      </c>
      <c r="C61" s="13">
        <v>10880020681</v>
      </c>
      <c r="D61" s="14">
        <v>990000026952</v>
      </c>
      <c r="E61" s="13" t="s">
        <v>438</v>
      </c>
      <c r="F61" s="13">
        <v>3156</v>
      </c>
      <c r="G61" s="15">
        <v>45033</v>
      </c>
      <c r="H61" s="15">
        <v>45054</v>
      </c>
      <c r="I61" s="13" t="s">
        <v>439</v>
      </c>
      <c r="J61" s="10" t="s">
        <v>379</v>
      </c>
      <c r="K61" s="18"/>
    </row>
    <row r="62" spans="1:12" ht="15" hidden="1" customHeight="1" x14ac:dyDescent="0.3">
      <c r="A62" s="13" t="s">
        <v>377</v>
      </c>
      <c r="B62" s="13">
        <v>1239388</v>
      </c>
      <c r="C62" s="13">
        <v>10880022123</v>
      </c>
      <c r="D62" s="14">
        <v>990000026928</v>
      </c>
      <c r="E62" s="13" t="s">
        <v>247</v>
      </c>
      <c r="F62" s="13">
        <v>200</v>
      </c>
      <c r="G62" s="15">
        <v>45033</v>
      </c>
      <c r="H62" s="15">
        <v>45033</v>
      </c>
      <c r="I62" s="13" t="s">
        <v>440</v>
      </c>
      <c r="J62" s="13" t="s">
        <v>379</v>
      </c>
      <c r="K62" s="18"/>
    </row>
    <row r="63" spans="1:12" ht="15" hidden="1" customHeight="1" x14ac:dyDescent="0.3">
      <c r="A63" s="10" t="s">
        <v>397</v>
      </c>
      <c r="B63" s="10">
        <v>1229581</v>
      </c>
      <c r="C63" s="10">
        <v>10880020940</v>
      </c>
      <c r="D63" s="11">
        <v>990000026966</v>
      </c>
      <c r="E63" s="10" t="s">
        <v>222</v>
      </c>
      <c r="F63" s="10">
        <v>972</v>
      </c>
      <c r="G63" s="12">
        <v>45035</v>
      </c>
      <c r="H63" s="12"/>
      <c r="I63" s="10" t="s">
        <v>441</v>
      </c>
      <c r="J63" s="10" t="s">
        <v>379</v>
      </c>
      <c r="K63" s="17"/>
    </row>
    <row r="64" spans="1:12" ht="15" hidden="1" customHeight="1" x14ac:dyDescent="0.3">
      <c r="A64" s="13" t="s">
        <v>397</v>
      </c>
      <c r="B64" s="13">
        <v>1229405</v>
      </c>
      <c r="C64" s="13">
        <v>10880020681</v>
      </c>
      <c r="D64" s="14">
        <v>990000026967</v>
      </c>
      <c r="E64" s="13" t="s">
        <v>438</v>
      </c>
      <c r="F64" s="13">
        <v>896</v>
      </c>
      <c r="G64" s="15">
        <v>45035</v>
      </c>
      <c r="H64" s="15"/>
      <c r="I64" s="13" t="s">
        <v>439</v>
      </c>
      <c r="J64" s="10" t="s">
        <v>379</v>
      </c>
      <c r="K64" s="18"/>
    </row>
    <row r="65" spans="1:12" ht="15" hidden="1" customHeight="1" x14ac:dyDescent="0.3">
      <c r="A65" s="13" t="s">
        <v>397</v>
      </c>
      <c r="B65" s="13">
        <v>30007665</v>
      </c>
      <c r="C65" s="13">
        <v>10880020678</v>
      </c>
      <c r="D65" s="14">
        <v>990000027023</v>
      </c>
      <c r="E65" s="13" t="s">
        <v>409</v>
      </c>
      <c r="F65" s="13">
        <v>896</v>
      </c>
      <c r="G65" s="15">
        <v>45037</v>
      </c>
      <c r="H65" s="15"/>
      <c r="I65" s="13" t="s">
        <v>442</v>
      </c>
      <c r="J65" s="13" t="s">
        <v>379</v>
      </c>
      <c r="K65" s="18"/>
    </row>
    <row r="66" spans="1:12" ht="15" hidden="1" customHeight="1" x14ac:dyDescent="0.3">
      <c r="A66" s="10" t="s">
        <v>397</v>
      </c>
      <c r="B66" s="10">
        <v>1241604</v>
      </c>
      <c r="C66" s="10">
        <v>10880020940</v>
      </c>
      <c r="D66" s="11">
        <v>990000027030</v>
      </c>
      <c r="E66" s="10" t="s">
        <v>222</v>
      </c>
      <c r="F66" s="10">
        <v>2993</v>
      </c>
      <c r="G66" s="12">
        <v>45040</v>
      </c>
      <c r="H66" s="12"/>
      <c r="I66" s="10" t="s">
        <v>437</v>
      </c>
      <c r="J66" s="10" t="s">
        <v>379</v>
      </c>
      <c r="K66" s="17"/>
    </row>
    <row r="67" spans="1:12" s="2" customFormat="1" ht="15" hidden="1" customHeight="1" x14ac:dyDescent="0.3">
      <c r="A67" s="13" t="s">
        <v>377</v>
      </c>
      <c r="B67" s="13">
        <v>1239392</v>
      </c>
      <c r="C67" s="13">
        <v>10880022123</v>
      </c>
      <c r="D67" s="14">
        <v>990000027152</v>
      </c>
      <c r="E67" s="13" t="s">
        <v>247</v>
      </c>
      <c r="F67" s="13">
        <v>3700</v>
      </c>
      <c r="G67" s="15">
        <v>45044</v>
      </c>
      <c r="H67" s="15">
        <v>45052</v>
      </c>
      <c r="I67" s="13" t="s">
        <v>443</v>
      </c>
      <c r="J67" s="10" t="s">
        <v>379</v>
      </c>
      <c r="K67" s="18"/>
      <c r="L67" s="4"/>
    </row>
    <row r="68" spans="1:12" s="2" customFormat="1" ht="15" hidden="1" customHeight="1" x14ac:dyDescent="0.3">
      <c r="A68" s="13" t="s">
        <v>377</v>
      </c>
      <c r="B68" s="13">
        <v>1241221</v>
      </c>
      <c r="C68" s="13">
        <v>10880018847</v>
      </c>
      <c r="D68" s="14">
        <v>990000027166</v>
      </c>
      <c r="E68" s="13" t="s">
        <v>444</v>
      </c>
      <c r="F68" s="13">
        <v>2000</v>
      </c>
      <c r="G68" s="15">
        <v>45051</v>
      </c>
      <c r="H68" s="15">
        <v>45059</v>
      </c>
      <c r="I68" s="13" t="s">
        <v>445</v>
      </c>
      <c r="J68" s="13" t="s">
        <v>430</v>
      </c>
      <c r="K68" s="18"/>
      <c r="L68" s="4"/>
    </row>
    <row r="69" spans="1:12" s="2" customFormat="1" ht="15" hidden="1" customHeight="1" x14ac:dyDescent="0.3">
      <c r="A69" s="13" t="s">
        <v>377</v>
      </c>
      <c r="B69" s="13">
        <v>1241544</v>
      </c>
      <c r="C69" s="13">
        <v>10880018850</v>
      </c>
      <c r="D69" s="14">
        <v>990000027164</v>
      </c>
      <c r="E69" s="13" t="s">
        <v>398</v>
      </c>
      <c r="F69" s="13">
        <v>2000</v>
      </c>
      <c r="G69" s="15">
        <v>45051</v>
      </c>
      <c r="H69" s="15">
        <v>45051</v>
      </c>
      <c r="I69" s="13" t="s">
        <v>446</v>
      </c>
      <c r="J69" s="13" t="s">
        <v>389</v>
      </c>
      <c r="K69" s="18"/>
      <c r="L69" s="4"/>
    </row>
    <row r="70" spans="1:12" s="2" customFormat="1" ht="15" hidden="1" customHeight="1" x14ac:dyDescent="0.3">
      <c r="A70" s="13" t="s">
        <v>377</v>
      </c>
      <c r="B70" s="13">
        <v>1241540</v>
      </c>
      <c r="C70" s="13">
        <v>10880018850</v>
      </c>
      <c r="D70" s="14">
        <v>990000027165</v>
      </c>
      <c r="E70" s="13" t="s">
        <v>398</v>
      </c>
      <c r="F70" s="13">
        <v>520</v>
      </c>
      <c r="G70" s="15">
        <v>45051</v>
      </c>
      <c r="H70" s="15">
        <v>45068</v>
      </c>
      <c r="I70" s="13" t="s">
        <v>446</v>
      </c>
      <c r="J70" s="13" t="s">
        <v>389</v>
      </c>
      <c r="K70" s="18"/>
      <c r="L70" s="4"/>
    </row>
    <row r="71" spans="1:12" s="2" customFormat="1" ht="15" hidden="1" customHeight="1" x14ac:dyDescent="0.3">
      <c r="A71" s="13" t="s">
        <v>397</v>
      </c>
      <c r="B71" s="13">
        <v>1241220</v>
      </c>
      <c r="C71" s="13">
        <v>10880018847</v>
      </c>
      <c r="D71" s="14">
        <v>990000027168</v>
      </c>
      <c r="E71" s="13" t="s">
        <v>444</v>
      </c>
      <c r="F71" s="13">
        <v>2995</v>
      </c>
      <c r="G71" s="15">
        <v>45051</v>
      </c>
      <c r="H71" s="15">
        <v>45069</v>
      </c>
      <c r="I71" s="13" t="s">
        <v>445</v>
      </c>
      <c r="J71" s="13" t="s">
        <v>389</v>
      </c>
      <c r="K71" s="18"/>
      <c r="L71" s="4"/>
    </row>
    <row r="72" spans="1:12" s="2" customFormat="1" ht="15" hidden="1" customHeight="1" x14ac:dyDescent="0.3">
      <c r="A72" s="13" t="s">
        <v>377</v>
      </c>
      <c r="B72" s="13">
        <v>1227504</v>
      </c>
      <c r="C72" s="13">
        <v>10880018847</v>
      </c>
      <c r="D72" s="14">
        <v>990000027167</v>
      </c>
      <c r="E72" s="13" t="s">
        <v>444</v>
      </c>
      <c r="F72" s="13">
        <v>1588</v>
      </c>
      <c r="G72" s="15">
        <v>45051</v>
      </c>
      <c r="H72" s="15">
        <v>45051</v>
      </c>
      <c r="I72" s="13" t="s">
        <v>445</v>
      </c>
      <c r="J72" s="13" t="s">
        <v>389</v>
      </c>
      <c r="K72" s="18"/>
      <c r="L72" s="4"/>
    </row>
    <row r="73" spans="1:12" s="2" customFormat="1" ht="15" hidden="1" customHeight="1" x14ac:dyDescent="0.3">
      <c r="A73" s="13" t="s">
        <v>377</v>
      </c>
      <c r="B73" s="13">
        <v>1231930</v>
      </c>
      <c r="C73" s="13">
        <v>10880021015</v>
      </c>
      <c r="D73" s="14">
        <v>990000027216</v>
      </c>
      <c r="E73" s="13" t="s">
        <v>82</v>
      </c>
      <c r="F73" s="13">
        <v>1882</v>
      </c>
      <c r="G73" s="15">
        <v>45055</v>
      </c>
      <c r="H73" s="15">
        <v>45055</v>
      </c>
      <c r="I73" s="13" t="s">
        <v>447</v>
      </c>
      <c r="J73" s="10" t="s">
        <v>379</v>
      </c>
      <c r="K73" s="18"/>
      <c r="L73" s="4"/>
    </row>
    <row r="74" spans="1:12" s="2" customFormat="1" ht="15" hidden="1" customHeight="1" x14ac:dyDescent="0.3">
      <c r="A74" s="13" t="s">
        <v>448</v>
      </c>
      <c r="B74" s="13">
        <v>1239393</v>
      </c>
      <c r="C74" s="13">
        <v>10880022123</v>
      </c>
      <c r="D74" s="14">
        <v>990000027560</v>
      </c>
      <c r="E74" s="13" t="s">
        <v>247</v>
      </c>
      <c r="F74" s="13">
        <v>6398</v>
      </c>
      <c r="G74" s="15">
        <v>45072</v>
      </c>
      <c r="H74" s="15">
        <v>45077</v>
      </c>
      <c r="I74" s="13" t="s">
        <v>449</v>
      </c>
      <c r="J74" s="13" t="s">
        <v>389</v>
      </c>
      <c r="K74" s="18"/>
      <c r="L74" s="4"/>
    </row>
    <row r="75" spans="1:12" s="2" customFormat="1" ht="15" hidden="1" customHeight="1" x14ac:dyDescent="0.3">
      <c r="A75" s="13" t="s">
        <v>448</v>
      </c>
      <c r="B75" s="13">
        <v>1239392</v>
      </c>
      <c r="C75" s="13">
        <v>10880022123</v>
      </c>
      <c r="D75" s="14">
        <v>990000027561</v>
      </c>
      <c r="E75" s="13" t="s">
        <v>247</v>
      </c>
      <c r="F75" s="13">
        <v>3175</v>
      </c>
      <c r="G75" s="15">
        <v>45072</v>
      </c>
      <c r="H75" s="15">
        <v>45077</v>
      </c>
      <c r="I75" s="13" t="s">
        <v>449</v>
      </c>
      <c r="J75" s="13" t="s">
        <v>389</v>
      </c>
      <c r="K75" s="18"/>
      <c r="L75" s="4"/>
    </row>
    <row r="76" spans="1:12" s="2" customFormat="1" ht="15" hidden="1" customHeight="1" x14ac:dyDescent="0.3">
      <c r="A76" s="13" t="s">
        <v>377</v>
      </c>
      <c r="B76" s="13">
        <v>1217968</v>
      </c>
      <c r="C76" s="13">
        <v>10880017527</v>
      </c>
      <c r="D76" s="14">
        <v>990000027638</v>
      </c>
      <c r="E76" s="13" t="s">
        <v>173</v>
      </c>
      <c r="F76" s="13">
        <v>386</v>
      </c>
      <c r="G76" s="15">
        <v>45077</v>
      </c>
      <c r="H76" s="15">
        <v>45089</v>
      </c>
      <c r="I76" s="13" t="s">
        <v>450</v>
      </c>
      <c r="J76" s="13" t="s">
        <v>379</v>
      </c>
      <c r="K76" s="18"/>
      <c r="L76" s="4"/>
    </row>
    <row r="77" spans="1:12" s="2" customFormat="1" ht="15" hidden="1" customHeight="1" x14ac:dyDescent="0.3">
      <c r="A77" s="13" t="s">
        <v>377</v>
      </c>
      <c r="B77" s="13">
        <v>1215929</v>
      </c>
      <c r="C77" s="13">
        <v>10880017527</v>
      </c>
      <c r="D77" s="14">
        <v>990000027639</v>
      </c>
      <c r="E77" s="13" t="s">
        <v>173</v>
      </c>
      <c r="F77" s="13">
        <v>30</v>
      </c>
      <c r="G77" s="15">
        <v>45077</v>
      </c>
      <c r="H77" s="15">
        <v>45089</v>
      </c>
      <c r="I77" s="13" t="s">
        <v>450</v>
      </c>
      <c r="J77" s="13" t="s">
        <v>379</v>
      </c>
      <c r="K77" s="18"/>
      <c r="L77" s="4"/>
    </row>
    <row r="78" spans="1:12" s="2" customFormat="1" ht="15" hidden="1" customHeight="1" x14ac:dyDescent="0.3">
      <c r="A78" s="13" t="s">
        <v>377</v>
      </c>
      <c r="B78" s="13">
        <v>30007784</v>
      </c>
      <c r="C78" s="13">
        <v>10880018847</v>
      </c>
      <c r="D78" s="14">
        <v>990000027665</v>
      </c>
      <c r="E78" s="13" t="s">
        <v>444</v>
      </c>
      <c r="F78" s="13">
        <v>6474</v>
      </c>
      <c r="G78" s="15">
        <v>45079</v>
      </c>
      <c r="H78" s="15">
        <v>45089</v>
      </c>
      <c r="I78" s="13" t="s">
        <v>451</v>
      </c>
      <c r="J78" s="13" t="s">
        <v>379</v>
      </c>
      <c r="K78" s="18"/>
      <c r="L78" s="4"/>
    </row>
    <row r="79" spans="1:12" s="2" customFormat="1" ht="15" hidden="1" customHeight="1" x14ac:dyDescent="0.3">
      <c r="A79" s="13" t="s">
        <v>377</v>
      </c>
      <c r="B79" s="13">
        <v>30007785</v>
      </c>
      <c r="C79" s="13">
        <v>10880018845</v>
      </c>
      <c r="D79" s="14">
        <v>990000027679</v>
      </c>
      <c r="E79" s="13" t="s">
        <v>452</v>
      </c>
      <c r="F79" s="13">
        <v>1994</v>
      </c>
      <c r="G79" s="15">
        <v>45079</v>
      </c>
      <c r="H79" s="15">
        <v>45089</v>
      </c>
      <c r="I79" s="13" t="s">
        <v>453</v>
      </c>
      <c r="J79" s="13" t="s">
        <v>379</v>
      </c>
      <c r="K79" s="18"/>
      <c r="L79" s="4"/>
    </row>
    <row r="80" spans="1:12" s="2" customFormat="1" ht="15" hidden="1" customHeight="1" x14ac:dyDescent="0.3">
      <c r="A80" s="13" t="s">
        <v>377</v>
      </c>
      <c r="B80" s="13">
        <v>30007814</v>
      </c>
      <c r="C80" s="13">
        <v>10880018845</v>
      </c>
      <c r="D80" s="14">
        <v>990000027680</v>
      </c>
      <c r="E80" s="13" t="s">
        <v>452</v>
      </c>
      <c r="F80" s="13">
        <v>2578</v>
      </c>
      <c r="G80" s="15">
        <v>45079</v>
      </c>
      <c r="H80" s="15">
        <v>45089</v>
      </c>
      <c r="I80" s="13" t="s">
        <v>454</v>
      </c>
      <c r="J80" s="13" t="s">
        <v>379</v>
      </c>
      <c r="K80" s="18"/>
      <c r="L80" s="4"/>
    </row>
    <row r="81" spans="1:12" s="2" customFormat="1" ht="15" hidden="1" customHeight="1" x14ac:dyDescent="0.3">
      <c r="A81" s="13" t="s">
        <v>377</v>
      </c>
      <c r="B81" s="13">
        <v>1244195</v>
      </c>
      <c r="C81" s="13">
        <v>10880027989</v>
      </c>
      <c r="D81" s="14">
        <v>990000027737</v>
      </c>
      <c r="E81" s="13" t="s">
        <v>455</v>
      </c>
      <c r="F81" s="13">
        <v>150</v>
      </c>
      <c r="G81" s="15">
        <v>45084</v>
      </c>
      <c r="H81" s="15">
        <v>45086</v>
      </c>
      <c r="I81" s="13" t="s">
        <v>456</v>
      </c>
      <c r="J81" s="13" t="s">
        <v>430</v>
      </c>
      <c r="K81" s="18" t="s">
        <v>457</v>
      </c>
      <c r="L81" s="4"/>
    </row>
    <row r="82" spans="1:12" s="2" customFormat="1" ht="15" hidden="1" customHeight="1" x14ac:dyDescent="0.3">
      <c r="A82" s="13" t="s">
        <v>397</v>
      </c>
      <c r="B82" s="13">
        <v>30007861</v>
      </c>
      <c r="C82" s="13">
        <v>10880022436</v>
      </c>
      <c r="D82" s="14">
        <v>990000027974</v>
      </c>
      <c r="E82" s="13" t="s">
        <v>458</v>
      </c>
      <c r="F82" s="13">
        <v>20</v>
      </c>
      <c r="G82" s="15">
        <v>45093</v>
      </c>
      <c r="H82" s="15">
        <v>45095</v>
      </c>
      <c r="I82" s="13" t="s">
        <v>459</v>
      </c>
      <c r="J82" s="13" t="s">
        <v>379</v>
      </c>
      <c r="K82" s="18"/>
      <c r="L82" s="4"/>
    </row>
    <row r="83" spans="1:12" s="2" customFormat="1" ht="15" hidden="1" customHeight="1" x14ac:dyDescent="0.3">
      <c r="A83" s="13" t="s">
        <v>448</v>
      </c>
      <c r="B83" s="13">
        <v>1237311</v>
      </c>
      <c r="C83" s="13">
        <v>10880022044</v>
      </c>
      <c r="D83" s="14">
        <v>990000028032</v>
      </c>
      <c r="E83" s="13" t="s">
        <v>417</v>
      </c>
      <c r="F83" s="13">
        <v>1629</v>
      </c>
      <c r="G83" s="15">
        <v>45098</v>
      </c>
      <c r="H83" s="15">
        <v>45098</v>
      </c>
      <c r="I83" s="13" t="s">
        <v>460</v>
      </c>
      <c r="J83" s="13" t="s">
        <v>389</v>
      </c>
      <c r="K83" s="18"/>
      <c r="L83" s="4"/>
    </row>
    <row r="84" spans="1:12" s="2" customFormat="1" ht="15" hidden="1" customHeight="1" x14ac:dyDescent="0.3">
      <c r="A84" s="13" t="s">
        <v>377</v>
      </c>
      <c r="B84" s="13">
        <v>30007784</v>
      </c>
      <c r="C84" s="13">
        <v>10880018847</v>
      </c>
      <c r="D84" s="14">
        <v>990000028160</v>
      </c>
      <c r="E84" s="13" t="s">
        <v>444</v>
      </c>
      <c r="F84" s="13">
        <v>5637</v>
      </c>
      <c r="G84" s="15">
        <v>45107</v>
      </c>
      <c r="H84" s="15">
        <v>45136</v>
      </c>
      <c r="I84" s="13" t="s">
        <v>461</v>
      </c>
      <c r="J84" s="13" t="s">
        <v>379</v>
      </c>
      <c r="K84" s="18"/>
      <c r="L84" s="4"/>
    </row>
    <row r="85" spans="1:12" s="2" customFormat="1" ht="15" hidden="1" customHeight="1" x14ac:dyDescent="0.3">
      <c r="A85" s="13" t="s">
        <v>377</v>
      </c>
      <c r="B85" s="13">
        <v>1243106</v>
      </c>
      <c r="C85" s="13">
        <v>10880017531</v>
      </c>
      <c r="D85" s="14">
        <v>990000028179</v>
      </c>
      <c r="E85" s="13" t="s">
        <v>390</v>
      </c>
      <c r="F85" s="13">
        <v>320</v>
      </c>
      <c r="G85" s="15">
        <v>45111</v>
      </c>
      <c r="H85" s="15">
        <v>45112</v>
      </c>
      <c r="I85" s="13" t="s">
        <v>462</v>
      </c>
      <c r="J85" s="13" t="s">
        <v>379</v>
      </c>
      <c r="K85" s="18"/>
      <c r="L85" s="4"/>
    </row>
    <row r="86" spans="1:12" s="2" customFormat="1" ht="15" hidden="1" customHeight="1" x14ac:dyDescent="0.3">
      <c r="A86" s="13" t="s">
        <v>397</v>
      </c>
      <c r="B86" s="13">
        <v>1248538</v>
      </c>
      <c r="C86" s="13">
        <v>10880021029</v>
      </c>
      <c r="D86" s="14">
        <v>990000028248</v>
      </c>
      <c r="E86" s="13" t="s">
        <v>187</v>
      </c>
      <c r="F86" s="13">
        <v>1394</v>
      </c>
      <c r="G86" s="15">
        <v>45112</v>
      </c>
      <c r="H86" s="15">
        <v>45113</v>
      </c>
      <c r="I86" s="13" t="s">
        <v>463</v>
      </c>
      <c r="J86" s="13" t="s">
        <v>389</v>
      </c>
      <c r="K86" s="18"/>
      <c r="L86" s="4"/>
    </row>
    <row r="87" spans="1:12" s="2" customFormat="1" ht="15" hidden="1" customHeight="1" x14ac:dyDescent="0.3">
      <c r="A87" s="13" t="s">
        <v>397</v>
      </c>
      <c r="B87" s="13">
        <v>1247144</v>
      </c>
      <c r="C87" s="13">
        <v>10880021029</v>
      </c>
      <c r="D87" s="14">
        <v>990000028249</v>
      </c>
      <c r="E87" s="13" t="s">
        <v>187</v>
      </c>
      <c r="F87" s="13">
        <v>672</v>
      </c>
      <c r="G87" s="15">
        <v>45112</v>
      </c>
      <c r="H87" s="15">
        <v>45113</v>
      </c>
      <c r="I87" s="13" t="s">
        <v>463</v>
      </c>
      <c r="J87" s="13" t="s">
        <v>389</v>
      </c>
      <c r="K87" s="18"/>
      <c r="L87" s="4"/>
    </row>
    <row r="88" spans="1:12" s="2" customFormat="1" ht="15" hidden="1" customHeight="1" x14ac:dyDescent="0.3">
      <c r="A88" s="13" t="s">
        <v>397</v>
      </c>
      <c r="B88" s="13">
        <v>1229578</v>
      </c>
      <c r="C88" s="13">
        <v>10880018850</v>
      </c>
      <c r="D88" s="14">
        <v>990000028251</v>
      </c>
      <c r="E88" s="13" t="s">
        <v>398</v>
      </c>
      <c r="F88" s="13">
        <v>1304</v>
      </c>
      <c r="G88" s="15">
        <v>45112</v>
      </c>
      <c r="H88" s="15">
        <v>45115</v>
      </c>
      <c r="I88" s="13" t="s">
        <v>464</v>
      </c>
      <c r="J88" s="13" t="s">
        <v>389</v>
      </c>
      <c r="K88" s="18"/>
      <c r="L88" s="4"/>
    </row>
    <row r="89" spans="1:12" s="2" customFormat="1" ht="15" hidden="1" customHeight="1" x14ac:dyDescent="0.3">
      <c r="A89" s="13" t="s">
        <v>397</v>
      </c>
      <c r="B89" s="13">
        <v>1247096</v>
      </c>
      <c r="C89" s="13">
        <v>10880018850</v>
      </c>
      <c r="D89" s="14">
        <v>990000028252</v>
      </c>
      <c r="E89" s="13" t="s">
        <v>398</v>
      </c>
      <c r="F89" s="13">
        <v>1998</v>
      </c>
      <c r="G89" s="15">
        <v>45112</v>
      </c>
      <c r="H89" s="15">
        <v>45115</v>
      </c>
      <c r="I89" s="13" t="s">
        <v>464</v>
      </c>
      <c r="J89" s="13" t="s">
        <v>389</v>
      </c>
      <c r="K89" s="18"/>
      <c r="L89" s="4"/>
    </row>
    <row r="90" spans="1:12" s="2" customFormat="1" ht="15" hidden="1" customHeight="1" x14ac:dyDescent="0.3">
      <c r="A90" s="13" t="s">
        <v>397</v>
      </c>
      <c r="B90" s="13">
        <v>30007785</v>
      </c>
      <c r="C90" s="13">
        <v>10880018845</v>
      </c>
      <c r="D90" s="14">
        <v>990000028273</v>
      </c>
      <c r="E90" s="13" t="s">
        <v>452</v>
      </c>
      <c r="F90" s="13">
        <v>1993</v>
      </c>
      <c r="G90" s="15">
        <v>45114</v>
      </c>
      <c r="H90" s="15">
        <v>45115</v>
      </c>
      <c r="I90" s="13" t="s">
        <v>465</v>
      </c>
      <c r="J90" s="13" t="s">
        <v>396</v>
      </c>
      <c r="K90" s="18"/>
      <c r="L90" s="4"/>
    </row>
    <row r="91" spans="1:12" s="2" customFormat="1" ht="15" hidden="1" customHeight="1" x14ac:dyDescent="0.3">
      <c r="A91" s="13" t="s">
        <v>397</v>
      </c>
      <c r="B91" s="13">
        <v>1243104</v>
      </c>
      <c r="C91" s="13">
        <v>10880017531</v>
      </c>
      <c r="D91" s="14">
        <v>990000028275</v>
      </c>
      <c r="E91" s="13" t="s">
        <v>390</v>
      </c>
      <c r="F91" s="13">
        <v>930</v>
      </c>
      <c r="G91" s="15">
        <v>45114</v>
      </c>
      <c r="H91" s="15">
        <v>45136</v>
      </c>
      <c r="I91" s="13" t="s">
        <v>466</v>
      </c>
      <c r="J91" s="13" t="s">
        <v>396</v>
      </c>
      <c r="K91" s="18"/>
      <c r="L91" s="4"/>
    </row>
    <row r="92" spans="1:12" s="2" customFormat="1" ht="15" hidden="1" customHeight="1" x14ac:dyDescent="0.3">
      <c r="A92" s="13" t="s">
        <v>397</v>
      </c>
      <c r="B92" s="13">
        <v>30007814</v>
      </c>
      <c r="C92" s="13">
        <v>10880018845</v>
      </c>
      <c r="D92" s="14">
        <v>990000028274</v>
      </c>
      <c r="E92" s="13" t="s">
        <v>452</v>
      </c>
      <c r="F92" s="13">
        <v>2576</v>
      </c>
      <c r="G92" s="15">
        <v>45114</v>
      </c>
      <c r="H92" s="15">
        <v>45148</v>
      </c>
      <c r="I92" s="13" t="s">
        <v>467</v>
      </c>
      <c r="J92" s="13" t="s">
        <v>396</v>
      </c>
      <c r="K92" s="18"/>
      <c r="L92" s="4"/>
    </row>
    <row r="93" spans="1:12" s="2" customFormat="1" ht="15" hidden="1" customHeight="1" x14ac:dyDescent="0.3">
      <c r="A93" s="13" t="s">
        <v>448</v>
      </c>
      <c r="B93" s="13">
        <v>1237308</v>
      </c>
      <c r="C93" s="13">
        <v>10880022044</v>
      </c>
      <c r="D93" s="14">
        <v>990000028486</v>
      </c>
      <c r="E93" s="13" t="s">
        <v>417</v>
      </c>
      <c r="F93" s="13">
        <v>2623</v>
      </c>
      <c r="G93" s="15">
        <v>45124</v>
      </c>
      <c r="H93" s="15">
        <v>45124</v>
      </c>
      <c r="I93" s="13" t="s">
        <v>468</v>
      </c>
      <c r="J93" s="13" t="s">
        <v>389</v>
      </c>
      <c r="K93" s="18"/>
      <c r="L93" s="4"/>
    </row>
    <row r="94" spans="1:12" s="2" customFormat="1" ht="15" hidden="1" customHeight="1" x14ac:dyDescent="0.3">
      <c r="A94" s="13" t="s">
        <v>397</v>
      </c>
      <c r="B94" s="13">
        <v>1243105</v>
      </c>
      <c r="C94" s="13">
        <v>10880017531</v>
      </c>
      <c r="D94" s="14">
        <v>990000028532</v>
      </c>
      <c r="E94" s="13" t="s">
        <v>390</v>
      </c>
      <c r="F94" s="13">
        <v>1000</v>
      </c>
      <c r="G94" s="15">
        <v>45125</v>
      </c>
      <c r="H94" s="15">
        <v>45149</v>
      </c>
      <c r="I94" s="13" t="s">
        <v>466</v>
      </c>
      <c r="J94" s="13" t="s">
        <v>396</v>
      </c>
      <c r="K94" s="18"/>
      <c r="L94" s="4"/>
    </row>
    <row r="95" spans="1:12" s="2" customFormat="1" ht="15" hidden="1" customHeight="1" x14ac:dyDescent="0.3">
      <c r="A95" s="13" t="s">
        <v>397</v>
      </c>
      <c r="B95" s="13">
        <v>1243106</v>
      </c>
      <c r="C95" s="13">
        <v>10880017531</v>
      </c>
      <c r="D95" s="14">
        <v>990000028533</v>
      </c>
      <c r="E95" s="13" t="s">
        <v>390</v>
      </c>
      <c r="F95" s="13">
        <v>997</v>
      </c>
      <c r="G95" s="15">
        <v>45125</v>
      </c>
      <c r="H95" s="15">
        <v>45148</v>
      </c>
      <c r="I95" s="13" t="s">
        <v>466</v>
      </c>
      <c r="J95" s="13" t="s">
        <v>396</v>
      </c>
      <c r="K95" s="18"/>
      <c r="L95" s="4"/>
    </row>
    <row r="96" spans="1:12" s="2" customFormat="1" ht="15" hidden="1" customHeight="1" x14ac:dyDescent="0.3">
      <c r="A96" s="13" t="s">
        <v>412</v>
      </c>
      <c r="B96" s="13">
        <v>1248556</v>
      </c>
      <c r="C96" s="13">
        <v>10880019222</v>
      </c>
      <c r="D96" s="14">
        <v>990000028495</v>
      </c>
      <c r="E96" s="13" t="s">
        <v>469</v>
      </c>
      <c r="F96" s="13">
        <v>401</v>
      </c>
      <c r="G96" s="15">
        <v>45127</v>
      </c>
      <c r="H96" s="15">
        <v>45131</v>
      </c>
      <c r="I96" s="13" t="s">
        <v>470</v>
      </c>
      <c r="J96" s="13" t="s">
        <v>396</v>
      </c>
      <c r="K96" s="18"/>
      <c r="L96" s="4"/>
    </row>
    <row r="97" spans="1:12" s="2" customFormat="1" ht="15" hidden="1" customHeight="1" x14ac:dyDescent="0.3">
      <c r="A97" s="13" t="s">
        <v>377</v>
      </c>
      <c r="B97" s="13">
        <v>1222397</v>
      </c>
      <c r="C97" s="13">
        <v>10880020647</v>
      </c>
      <c r="D97" s="14">
        <v>990000028593</v>
      </c>
      <c r="E97" s="13" t="s">
        <v>471</v>
      </c>
      <c r="F97" s="13">
        <v>169</v>
      </c>
      <c r="G97" s="15">
        <v>45133</v>
      </c>
      <c r="H97" s="15">
        <v>45133</v>
      </c>
      <c r="I97" s="13" t="s">
        <v>472</v>
      </c>
      <c r="J97" s="13" t="s">
        <v>379</v>
      </c>
      <c r="K97" s="18"/>
      <c r="L97" s="4"/>
    </row>
    <row r="98" spans="1:12" s="2" customFormat="1" ht="15" hidden="1" customHeight="1" x14ac:dyDescent="0.3">
      <c r="A98" s="13" t="s">
        <v>377</v>
      </c>
      <c r="B98" s="13">
        <v>1241220</v>
      </c>
      <c r="C98" s="13">
        <v>10880018847</v>
      </c>
      <c r="D98" s="14">
        <v>990000028592</v>
      </c>
      <c r="E98" s="13" t="s">
        <v>444</v>
      </c>
      <c r="F98" s="13">
        <v>840</v>
      </c>
      <c r="G98" s="15">
        <v>45133</v>
      </c>
      <c r="H98" s="15">
        <v>45139</v>
      </c>
      <c r="I98" s="13" t="s">
        <v>461</v>
      </c>
      <c r="J98" s="13" t="s">
        <v>379</v>
      </c>
      <c r="K98" s="18"/>
      <c r="L98" s="4"/>
    </row>
    <row r="99" spans="1:12" s="2" customFormat="1" ht="15" hidden="1" customHeight="1" x14ac:dyDescent="0.3">
      <c r="A99" s="13" t="s">
        <v>412</v>
      </c>
      <c r="B99" s="13">
        <v>1252818</v>
      </c>
      <c r="C99" s="13">
        <v>10880019266</v>
      </c>
      <c r="D99" s="14">
        <v>990000028654</v>
      </c>
      <c r="E99" s="13" t="s">
        <v>473</v>
      </c>
      <c r="F99" s="13">
        <v>172</v>
      </c>
      <c r="G99" s="15">
        <v>45135</v>
      </c>
      <c r="H99" s="15">
        <v>45142</v>
      </c>
      <c r="I99" s="13" t="s">
        <v>474</v>
      </c>
      <c r="J99" s="13" t="s">
        <v>431</v>
      </c>
      <c r="K99" s="18"/>
      <c r="L99" s="4"/>
    </row>
    <row r="100" spans="1:12" s="2" customFormat="1" ht="15" hidden="1" customHeight="1" x14ac:dyDescent="0.3">
      <c r="A100" s="13" t="s">
        <v>397</v>
      </c>
      <c r="B100" s="13">
        <v>1229577</v>
      </c>
      <c r="C100" s="13">
        <v>10880017530</v>
      </c>
      <c r="D100" s="14">
        <v>990000028739</v>
      </c>
      <c r="E100" s="13" t="s">
        <v>383</v>
      </c>
      <c r="F100" s="13">
        <v>1335</v>
      </c>
      <c r="G100" s="15">
        <v>45138</v>
      </c>
      <c r="H100" s="15">
        <v>45152</v>
      </c>
      <c r="I100" s="13" t="s">
        <v>475</v>
      </c>
      <c r="J100" s="13" t="s">
        <v>396</v>
      </c>
      <c r="K100" s="18"/>
      <c r="L100" s="4"/>
    </row>
    <row r="101" spans="1:12" s="2" customFormat="1" ht="15" hidden="1" customHeight="1" x14ac:dyDescent="0.3">
      <c r="A101" s="13" t="s">
        <v>377</v>
      </c>
      <c r="B101" s="13">
        <v>1207282</v>
      </c>
      <c r="C101" s="13">
        <v>10880019040</v>
      </c>
      <c r="D101" s="14">
        <v>990000028776</v>
      </c>
      <c r="E101" s="13" t="s">
        <v>476</v>
      </c>
      <c r="F101" s="13">
        <v>590</v>
      </c>
      <c r="G101" s="15">
        <v>45142</v>
      </c>
      <c r="H101" s="15">
        <v>45146</v>
      </c>
      <c r="I101" s="13" t="s">
        <v>477</v>
      </c>
      <c r="J101" s="13" t="s">
        <v>396</v>
      </c>
      <c r="K101" s="18"/>
      <c r="L101" s="4"/>
    </row>
    <row r="102" spans="1:12" s="2" customFormat="1" ht="15" hidden="1" customHeight="1" x14ac:dyDescent="0.3">
      <c r="A102" s="13" t="s">
        <v>377</v>
      </c>
      <c r="B102" s="13">
        <v>1207999</v>
      </c>
      <c r="C102" s="13">
        <v>10880019039</v>
      </c>
      <c r="D102" s="14">
        <v>990000028775</v>
      </c>
      <c r="E102" s="13" t="s">
        <v>478</v>
      </c>
      <c r="F102" s="13">
        <v>571</v>
      </c>
      <c r="G102" s="15">
        <v>45142</v>
      </c>
      <c r="H102" s="15">
        <v>45147</v>
      </c>
      <c r="I102" s="13" t="s">
        <v>479</v>
      </c>
      <c r="J102" s="13" t="s">
        <v>396</v>
      </c>
      <c r="K102" s="18"/>
      <c r="L102" s="4"/>
    </row>
    <row r="103" spans="1:12" s="2" customFormat="1" ht="15" hidden="1" customHeight="1" x14ac:dyDescent="0.3">
      <c r="A103" s="13" t="s">
        <v>412</v>
      </c>
      <c r="B103" s="13">
        <v>30008103</v>
      </c>
      <c r="C103" s="13">
        <v>10880021983</v>
      </c>
      <c r="D103" s="14">
        <v>990000028873</v>
      </c>
      <c r="E103" s="13" t="s">
        <v>480</v>
      </c>
      <c r="F103" s="13">
        <v>76</v>
      </c>
      <c r="G103" s="15">
        <v>45149</v>
      </c>
      <c r="H103" s="15">
        <v>45152</v>
      </c>
      <c r="I103" s="13" t="s">
        <v>481</v>
      </c>
      <c r="J103" s="13" t="s">
        <v>379</v>
      </c>
      <c r="K103" s="18"/>
      <c r="L103" s="4"/>
    </row>
    <row r="104" spans="1:12" s="2" customFormat="1" ht="15" hidden="1" customHeight="1" x14ac:dyDescent="0.3">
      <c r="A104" s="13" t="s">
        <v>377</v>
      </c>
      <c r="B104" s="13">
        <v>1228505</v>
      </c>
      <c r="C104" s="13">
        <v>10880021173</v>
      </c>
      <c r="D104" s="14">
        <v>990000029096</v>
      </c>
      <c r="E104" s="13" t="s">
        <v>482</v>
      </c>
      <c r="F104" s="13">
        <v>199</v>
      </c>
      <c r="G104" s="15">
        <v>45161</v>
      </c>
      <c r="H104" s="15">
        <v>45164</v>
      </c>
      <c r="I104" s="13" t="s">
        <v>483</v>
      </c>
      <c r="J104" s="13" t="s">
        <v>379</v>
      </c>
      <c r="K104" s="18"/>
      <c r="L104" s="4"/>
    </row>
    <row r="105" spans="1:12" s="2" customFormat="1" ht="15" hidden="1" customHeight="1" x14ac:dyDescent="0.3">
      <c r="A105" s="13" t="s">
        <v>377</v>
      </c>
      <c r="B105" s="13">
        <v>1228514</v>
      </c>
      <c r="C105" s="13">
        <v>10880021318</v>
      </c>
      <c r="D105" s="14">
        <v>990000029097</v>
      </c>
      <c r="E105" s="13" t="s">
        <v>484</v>
      </c>
      <c r="F105" s="13">
        <v>195</v>
      </c>
      <c r="G105" s="15">
        <v>45161</v>
      </c>
      <c r="H105" s="15">
        <v>45164</v>
      </c>
      <c r="I105" s="13" t="s">
        <v>485</v>
      </c>
      <c r="J105" s="13" t="s">
        <v>379</v>
      </c>
      <c r="K105" s="18"/>
      <c r="L105" s="4"/>
    </row>
    <row r="106" spans="1:12" s="2" customFormat="1" ht="15" hidden="1" customHeight="1" x14ac:dyDescent="0.3">
      <c r="A106" s="13" t="s">
        <v>397</v>
      </c>
      <c r="B106" s="13">
        <v>1228515</v>
      </c>
      <c r="C106" s="13">
        <v>10880021318</v>
      </c>
      <c r="D106" s="14">
        <v>990000029117</v>
      </c>
      <c r="E106" s="13" t="s">
        <v>484</v>
      </c>
      <c r="F106" s="13">
        <v>200</v>
      </c>
      <c r="G106" s="15">
        <v>45161</v>
      </c>
      <c r="H106" s="15">
        <v>45163</v>
      </c>
      <c r="I106" s="13" t="s">
        <v>485</v>
      </c>
      <c r="J106" s="13" t="s">
        <v>379</v>
      </c>
      <c r="K106" s="18"/>
      <c r="L106" s="4"/>
    </row>
    <row r="107" spans="1:12" s="2" customFormat="1" ht="15" hidden="1" customHeight="1" x14ac:dyDescent="0.3">
      <c r="A107" s="13" t="s">
        <v>377</v>
      </c>
      <c r="B107" s="13">
        <v>1228511</v>
      </c>
      <c r="C107" s="13">
        <v>10880021174</v>
      </c>
      <c r="D107" s="14">
        <v>990000029263</v>
      </c>
      <c r="E107" s="13" t="s">
        <v>486</v>
      </c>
      <c r="F107" s="13">
        <v>197</v>
      </c>
      <c r="G107" s="15">
        <v>45167</v>
      </c>
      <c r="H107" s="15" t="s">
        <v>487</v>
      </c>
      <c r="I107" s="13" t="s">
        <v>488</v>
      </c>
      <c r="J107" s="13" t="s">
        <v>489</v>
      </c>
      <c r="K107" s="18"/>
      <c r="L107" s="4"/>
    </row>
    <row r="108" spans="1:12" s="2" customFormat="1" ht="15" hidden="1" customHeight="1" x14ac:dyDescent="0.3">
      <c r="A108" s="13" t="s">
        <v>448</v>
      </c>
      <c r="B108" s="13">
        <v>1248556</v>
      </c>
      <c r="C108" s="13">
        <v>10880019222</v>
      </c>
      <c r="D108" s="14">
        <v>990000029267</v>
      </c>
      <c r="E108" s="13" t="s">
        <v>469</v>
      </c>
      <c r="F108" s="13">
        <v>175</v>
      </c>
      <c r="G108" s="15">
        <v>45167</v>
      </c>
      <c r="H108" s="15">
        <v>45178</v>
      </c>
      <c r="I108" s="13" t="s">
        <v>490</v>
      </c>
      <c r="J108" s="13" t="s">
        <v>423</v>
      </c>
      <c r="K108" s="18"/>
      <c r="L108" s="4"/>
    </row>
    <row r="109" spans="1:12" s="2" customFormat="1" ht="15" hidden="1" customHeight="1" x14ac:dyDescent="0.3">
      <c r="A109" s="13" t="s">
        <v>377</v>
      </c>
      <c r="B109" s="13">
        <v>1228509</v>
      </c>
      <c r="C109" s="13">
        <v>10880021175</v>
      </c>
      <c r="D109" s="14">
        <v>990000029262</v>
      </c>
      <c r="E109" s="13" t="s">
        <v>491</v>
      </c>
      <c r="F109" s="13">
        <f>196-12</f>
        <v>184</v>
      </c>
      <c r="G109" s="15">
        <v>45167</v>
      </c>
      <c r="H109" s="15">
        <v>45253</v>
      </c>
      <c r="I109" s="13" t="s">
        <v>492</v>
      </c>
      <c r="J109" s="13" t="s">
        <v>379</v>
      </c>
      <c r="K109" s="18"/>
      <c r="L109" s="4"/>
    </row>
    <row r="110" spans="1:12" s="2" customFormat="1" ht="15" hidden="1" customHeight="1" x14ac:dyDescent="0.3">
      <c r="A110" s="13" t="s">
        <v>377</v>
      </c>
      <c r="B110" s="13">
        <v>1231932</v>
      </c>
      <c r="C110" s="13">
        <v>10880021019</v>
      </c>
      <c r="D110" s="14">
        <v>990000029261</v>
      </c>
      <c r="E110" s="13" t="s">
        <v>83</v>
      </c>
      <c r="F110" s="13">
        <v>830</v>
      </c>
      <c r="G110" s="15">
        <v>45167</v>
      </c>
      <c r="H110" s="15">
        <v>45318</v>
      </c>
      <c r="I110" s="13" t="s">
        <v>493</v>
      </c>
      <c r="J110" s="13" t="s">
        <v>379</v>
      </c>
      <c r="K110" s="18"/>
      <c r="L110" s="4"/>
    </row>
    <row r="111" spans="1:12" s="2" customFormat="1" ht="15" hidden="1" customHeight="1" x14ac:dyDescent="0.3">
      <c r="A111" s="13" t="s">
        <v>377</v>
      </c>
      <c r="B111" s="13">
        <v>1228507</v>
      </c>
      <c r="C111" s="13">
        <v>10880021172</v>
      </c>
      <c r="D111" s="14">
        <v>990000029264</v>
      </c>
      <c r="E111" s="13" t="s">
        <v>494</v>
      </c>
      <c r="F111" s="13">
        <v>199</v>
      </c>
      <c r="G111" s="15">
        <v>45167</v>
      </c>
      <c r="H111" s="15">
        <v>45324</v>
      </c>
      <c r="I111" s="13" t="s">
        <v>495</v>
      </c>
      <c r="J111" s="13" t="s">
        <v>379</v>
      </c>
      <c r="K111" s="18"/>
      <c r="L111" s="4"/>
    </row>
    <row r="112" spans="1:12" s="2" customFormat="1" ht="15" hidden="1" customHeight="1" x14ac:dyDescent="0.3">
      <c r="A112" s="13" t="s">
        <v>377</v>
      </c>
      <c r="B112" s="13">
        <v>1207999</v>
      </c>
      <c r="C112" s="13">
        <v>10880019039</v>
      </c>
      <c r="D112" s="14">
        <v>990000029480</v>
      </c>
      <c r="E112" s="13" t="s">
        <v>478</v>
      </c>
      <c r="F112" s="13">
        <v>672</v>
      </c>
      <c r="G112" s="15">
        <v>45177</v>
      </c>
      <c r="H112" s="15">
        <v>45195</v>
      </c>
      <c r="I112" s="13" t="s">
        <v>479</v>
      </c>
      <c r="J112" s="13" t="s">
        <v>379</v>
      </c>
      <c r="K112" s="18"/>
      <c r="L112" s="4"/>
    </row>
    <row r="113" spans="1:12" s="2" customFormat="1" ht="15" hidden="1" customHeight="1" x14ac:dyDescent="0.3">
      <c r="A113" s="13" t="s">
        <v>377</v>
      </c>
      <c r="B113" s="13">
        <v>1207282</v>
      </c>
      <c r="C113" s="13">
        <v>10880019040</v>
      </c>
      <c r="D113" s="14">
        <v>990000029481</v>
      </c>
      <c r="E113" s="13" t="s">
        <v>476</v>
      </c>
      <c r="F113" s="13">
        <v>672</v>
      </c>
      <c r="G113" s="15">
        <v>45177</v>
      </c>
      <c r="H113" s="15">
        <v>45195</v>
      </c>
      <c r="I113" s="13" t="s">
        <v>479</v>
      </c>
      <c r="J113" s="13" t="s">
        <v>379</v>
      </c>
      <c r="K113" s="18"/>
      <c r="L113" s="4"/>
    </row>
    <row r="114" spans="1:12" s="2" customFormat="1" ht="15" hidden="1" customHeight="1" x14ac:dyDescent="0.3">
      <c r="A114" s="13" t="s">
        <v>412</v>
      </c>
      <c r="B114" s="13">
        <v>1249133</v>
      </c>
      <c r="C114" s="13">
        <v>10880019266</v>
      </c>
      <c r="D114" s="14">
        <v>990000029528</v>
      </c>
      <c r="E114" s="13" t="s">
        <v>473</v>
      </c>
      <c r="F114" s="13">
        <v>267</v>
      </c>
      <c r="G114" s="15">
        <v>45181</v>
      </c>
      <c r="H114" s="15">
        <v>45182</v>
      </c>
      <c r="I114" s="13" t="s">
        <v>496</v>
      </c>
      <c r="J114" s="13" t="s">
        <v>431</v>
      </c>
      <c r="K114" s="18"/>
      <c r="L114" s="4"/>
    </row>
    <row r="115" spans="1:12" s="2" customFormat="1" ht="15" hidden="1" customHeight="1" x14ac:dyDescent="0.3">
      <c r="A115" s="13" t="s">
        <v>412</v>
      </c>
      <c r="B115" s="13">
        <v>30008163</v>
      </c>
      <c r="C115" s="13">
        <v>10880021983</v>
      </c>
      <c r="D115" s="14">
        <v>990000029529</v>
      </c>
      <c r="E115" s="13" t="s">
        <v>480</v>
      </c>
      <c r="F115" s="13">
        <v>13</v>
      </c>
      <c r="G115" s="15">
        <v>45181</v>
      </c>
      <c r="H115" s="15">
        <v>45182</v>
      </c>
      <c r="I115" s="13" t="s">
        <v>497</v>
      </c>
      <c r="J115" s="13" t="s">
        <v>379</v>
      </c>
      <c r="K115" s="18"/>
      <c r="L115" s="4"/>
    </row>
    <row r="116" spans="1:12" s="2" customFormat="1" ht="15" hidden="1" customHeight="1" x14ac:dyDescent="0.3">
      <c r="A116" s="13" t="s">
        <v>397</v>
      </c>
      <c r="B116" s="13">
        <v>1245417</v>
      </c>
      <c r="C116" s="13">
        <v>10880022436</v>
      </c>
      <c r="D116" s="14">
        <v>990000029536</v>
      </c>
      <c r="E116" s="13" t="s">
        <v>458</v>
      </c>
      <c r="F116" s="13">
        <v>20</v>
      </c>
      <c r="G116" s="15">
        <v>45184</v>
      </c>
      <c r="H116" s="15">
        <v>45185</v>
      </c>
      <c r="I116" s="13" t="s">
        <v>498</v>
      </c>
      <c r="J116" s="13" t="s">
        <v>379</v>
      </c>
      <c r="K116" s="18"/>
      <c r="L116" s="4"/>
    </row>
    <row r="117" spans="1:12" s="2" customFormat="1" ht="15" hidden="1" customHeight="1" x14ac:dyDescent="0.3">
      <c r="A117" s="13" t="s">
        <v>397</v>
      </c>
      <c r="B117" s="13">
        <v>1245415</v>
      </c>
      <c r="C117" s="13">
        <v>10880022435</v>
      </c>
      <c r="D117" s="14">
        <v>990000029537</v>
      </c>
      <c r="E117" s="13" t="s">
        <v>499</v>
      </c>
      <c r="F117" s="13">
        <v>20</v>
      </c>
      <c r="G117" s="15">
        <v>45184</v>
      </c>
      <c r="H117" s="15">
        <v>45185</v>
      </c>
      <c r="I117" s="13" t="s">
        <v>500</v>
      </c>
      <c r="J117" s="13" t="s">
        <v>379</v>
      </c>
      <c r="K117" s="18"/>
      <c r="L117" s="4"/>
    </row>
    <row r="118" spans="1:12" s="2" customFormat="1" ht="15" hidden="1" customHeight="1" x14ac:dyDescent="0.3">
      <c r="A118" s="13" t="s">
        <v>397</v>
      </c>
      <c r="B118" s="13">
        <v>1244924</v>
      </c>
      <c r="C118" s="13">
        <v>10880022434</v>
      </c>
      <c r="D118" s="14">
        <v>990000029538</v>
      </c>
      <c r="E118" s="13" t="s">
        <v>501</v>
      </c>
      <c r="F118" s="13">
        <v>40</v>
      </c>
      <c r="G118" s="15">
        <v>45184</v>
      </c>
      <c r="H118" s="15">
        <v>45185</v>
      </c>
      <c r="I118" s="13" t="s">
        <v>502</v>
      </c>
      <c r="J118" s="13" t="s">
        <v>379</v>
      </c>
      <c r="K118" s="18"/>
      <c r="L118" s="4"/>
    </row>
    <row r="119" spans="1:12" s="2" customFormat="1" ht="15" hidden="1" customHeight="1" x14ac:dyDescent="0.3">
      <c r="A119" s="13" t="s">
        <v>377</v>
      </c>
      <c r="B119" s="13">
        <v>1222397</v>
      </c>
      <c r="C119" s="13">
        <v>10880020647</v>
      </c>
      <c r="D119" s="14">
        <v>990000029684</v>
      </c>
      <c r="E119" s="13" t="s">
        <v>471</v>
      </c>
      <c r="F119" s="13">
        <v>129</v>
      </c>
      <c r="G119" s="15">
        <v>45184</v>
      </c>
      <c r="H119" s="15">
        <v>45185</v>
      </c>
      <c r="I119" s="13" t="s">
        <v>503</v>
      </c>
      <c r="J119" s="13" t="s">
        <v>379</v>
      </c>
      <c r="K119" s="18"/>
      <c r="L119" s="4"/>
    </row>
    <row r="120" spans="1:12" s="2" customFormat="1" ht="15" hidden="1" customHeight="1" x14ac:dyDescent="0.3">
      <c r="A120" s="13" t="s">
        <v>397</v>
      </c>
      <c r="B120" s="13">
        <v>1237348</v>
      </c>
      <c r="C120" s="13">
        <v>10880022044</v>
      </c>
      <c r="D120" s="14">
        <v>990000029683</v>
      </c>
      <c r="E120" s="13" t="s">
        <v>417</v>
      </c>
      <c r="F120" s="13">
        <v>1000</v>
      </c>
      <c r="G120" s="15">
        <v>45184</v>
      </c>
      <c r="H120" s="15">
        <v>45191</v>
      </c>
      <c r="I120" s="13" t="s">
        <v>468</v>
      </c>
      <c r="J120" s="13" t="s">
        <v>389</v>
      </c>
      <c r="K120" s="18"/>
      <c r="L120" s="4"/>
    </row>
    <row r="121" spans="1:12" s="2" customFormat="1" ht="15" hidden="1" customHeight="1" x14ac:dyDescent="0.3">
      <c r="A121" s="13" t="s">
        <v>397</v>
      </c>
      <c r="B121" s="13">
        <v>1253141</v>
      </c>
      <c r="C121" s="13">
        <v>10880022123</v>
      </c>
      <c r="D121" s="14">
        <v>990000029679</v>
      </c>
      <c r="E121" s="13" t="s">
        <v>247</v>
      </c>
      <c r="F121" s="13">
        <v>5112</v>
      </c>
      <c r="G121" s="15">
        <v>45188</v>
      </c>
      <c r="H121" s="15">
        <v>45191</v>
      </c>
      <c r="I121" s="13" t="s">
        <v>504</v>
      </c>
      <c r="J121" s="13" t="s">
        <v>389</v>
      </c>
      <c r="K121" s="18"/>
      <c r="L121" s="4"/>
    </row>
    <row r="122" spans="1:12" s="2" customFormat="1" ht="15" hidden="1" customHeight="1" x14ac:dyDescent="0.3">
      <c r="A122" s="13" t="s">
        <v>448</v>
      </c>
      <c r="B122" s="13">
        <v>1233297</v>
      </c>
      <c r="C122" s="13">
        <v>10880020187</v>
      </c>
      <c r="D122" s="14">
        <v>990000029728</v>
      </c>
      <c r="E122" s="13" t="s">
        <v>223</v>
      </c>
      <c r="F122" s="13">
        <v>182</v>
      </c>
      <c r="G122" s="15">
        <v>45189</v>
      </c>
      <c r="H122" s="15">
        <v>45209</v>
      </c>
      <c r="I122" s="13" t="s">
        <v>505</v>
      </c>
      <c r="J122" s="13" t="s">
        <v>379</v>
      </c>
      <c r="K122" s="18"/>
      <c r="L122" s="4"/>
    </row>
    <row r="123" spans="1:12" s="2" customFormat="1" ht="15" hidden="1" customHeight="1" x14ac:dyDescent="0.3">
      <c r="A123" s="13" t="s">
        <v>397</v>
      </c>
      <c r="B123" s="13">
        <v>1262025</v>
      </c>
      <c r="C123" s="13">
        <v>10880018093</v>
      </c>
      <c r="D123" s="14">
        <v>990000029762</v>
      </c>
      <c r="E123" s="13" t="s">
        <v>162</v>
      </c>
      <c r="F123" s="13">
        <v>5000</v>
      </c>
      <c r="G123" s="15">
        <v>45191</v>
      </c>
      <c r="H123" s="15">
        <v>45195</v>
      </c>
      <c r="I123" s="13" t="s">
        <v>506</v>
      </c>
      <c r="J123" s="13" t="s">
        <v>379</v>
      </c>
      <c r="K123" s="18"/>
      <c r="L123" s="4"/>
    </row>
    <row r="124" spans="1:12" s="2" customFormat="1" ht="15" hidden="1" customHeight="1" x14ac:dyDescent="0.3">
      <c r="A124" s="13" t="s">
        <v>397</v>
      </c>
      <c r="B124" s="13">
        <v>1241533</v>
      </c>
      <c r="C124" s="13">
        <v>10880018093</v>
      </c>
      <c r="D124" s="14">
        <v>990000029761</v>
      </c>
      <c r="E124" s="13" t="s">
        <v>162</v>
      </c>
      <c r="F124" s="13">
        <v>7</v>
      </c>
      <c r="G124" s="15">
        <v>45191</v>
      </c>
      <c r="H124" s="15">
        <v>45195</v>
      </c>
      <c r="I124" s="13" t="s">
        <v>506</v>
      </c>
      <c r="J124" s="13" t="s">
        <v>379</v>
      </c>
      <c r="K124" s="18"/>
      <c r="L124" s="4"/>
    </row>
    <row r="125" spans="1:12" s="2" customFormat="1" ht="15" hidden="1" customHeight="1" x14ac:dyDescent="0.3">
      <c r="A125" s="13" t="s">
        <v>397</v>
      </c>
      <c r="B125" s="13">
        <v>1240493</v>
      </c>
      <c r="C125" s="13">
        <v>10880018093</v>
      </c>
      <c r="D125" s="14">
        <v>990000029760</v>
      </c>
      <c r="E125" s="13" t="s">
        <v>162</v>
      </c>
      <c r="F125" s="13">
        <v>83</v>
      </c>
      <c r="G125" s="15">
        <v>45191</v>
      </c>
      <c r="H125" s="15">
        <v>45195</v>
      </c>
      <c r="I125" s="13" t="s">
        <v>506</v>
      </c>
      <c r="J125" s="13" t="s">
        <v>379</v>
      </c>
      <c r="K125" s="18"/>
      <c r="L125" s="4"/>
    </row>
    <row r="126" spans="1:12" s="2" customFormat="1" ht="15" hidden="1" customHeight="1" x14ac:dyDescent="0.3">
      <c r="A126" s="13" t="s">
        <v>397</v>
      </c>
      <c r="B126" s="13">
        <v>1232833</v>
      </c>
      <c r="C126" s="13">
        <v>10880018093</v>
      </c>
      <c r="D126" s="14">
        <v>990000029738</v>
      </c>
      <c r="E126" s="13" t="s">
        <v>162</v>
      </c>
      <c r="F126" s="13">
        <v>1513</v>
      </c>
      <c r="G126" s="15">
        <v>45191</v>
      </c>
      <c r="H126" s="15">
        <v>45195</v>
      </c>
      <c r="I126" s="13" t="s">
        <v>506</v>
      </c>
      <c r="J126" s="13" t="s">
        <v>379</v>
      </c>
      <c r="K126" s="18"/>
      <c r="L126" s="4"/>
    </row>
    <row r="127" spans="1:12" s="2" customFormat="1" ht="15" hidden="1" customHeight="1" x14ac:dyDescent="0.3">
      <c r="A127" s="13" t="s">
        <v>377</v>
      </c>
      <c r="B127" s="13">
        <v>30008360</v>
      </c>
      <c r="C127" s="13">
        <v>10880018096</v>
      </c>
      <c r="D127" s="14">
        <v>990000029763</v>
      </c>
      <c r="E127" s="13" t="s">
        <v>385</v>
      </c>
      <c r="F127" s="13">
        <v>513</v>
      </c>
      <c r="G127" s="15">
        <v>45191</v>
      </c>
      <c r="H127" s="15">
        <v>45227</v>
      </c>
      <c r="I127" s="13" t="s">
        <v>507</v>
      </c>
      <c r="J127" s="13" t="s">
        <v>379</v>
      </c>
      <c r="K127" s="18"/>
      <c r="L127" s="4"/>
    </row>
    <row r="128" spans="1:12" s="2" customFormat="1" ht="15" hidden="1" customHeight="1" x14ac:dyDescent="0.3">
      <c r="A128" s="13" t="s">
        <v>377</v>
      </c>
      <c r="B128" s="13">
        <v>30008408</v>
      </c>
      <c r="C128" s="13">
        <v>10880018097</v>
      </c>
      <c r="D128" s="14">
        <v>990000029804</v>
      </c>
      <c r="E128" s="13" t="s">
        <v>65</v>
      </c>
      <c r="F128" s="13">
        <v>486</v>
      </c>
      <c r="G128" s="15">
        <v>45195</v>
      </c>
      <c r="H128" s="15">
        <v>45235</v>
      </c>
      <c r="I128" s="13" t="s">
        <v>508</v>
      </c>
      <c r="J128" s="13" t="s">
        <v>379</v>
      </c>
      <c r="K128" s="18" t="s">
        <v>509</v>
      </c>
      <c r="L128" s="4"/>
    </row>
    <row r="129" spans="1:12" s="2" customFormat="1" ht="15" hidden="1" customHeight="1" x14ac:dyDescent="0.3">
      <c r="A129" s="10" t="s">
        <v>377</v>
      </c>
      <c r="B129" s="10">
        <v>30008407</v>
      </c>
      <c r="C129" s="10">
        <v>10880018097</v>
      </c>
      <c r="D129" s="11">
        <v>990000029805</v>
      </c>
      <c r="E129" s="10" t="s">
        <v>65</v>
      </c>
      <c r="F129" s="10">
        <v>764</v>
      </c>
      <c r="G129" s="12">
        <v>45195</v>
      </c>
      <c r="H129" s="12">
        <v>45467</v>
      </c>
      <c r="I129" s="10" t="s">
        <v>508</v>
      </c>
      <c r="J129" s="13" t="s">
        <v>379</v>
      </c>
      <c r="K129" s="17"/>
      <c r="L129" s="4"/>
    </row>
    <row r="130" spans="1:12" s="2" customFormat="1" ht="15" hidden="1" customHeight="1" x14ac:dyDescent="0.3">
      <c r="A130" s="13" t="s">
        <v>377</v>
      </c>
      <c r="B130" s="13">
        <v>30008463</v>
      </c>
      <c r="C130" s="13">
        <v>10880018091</v>
      </c>
      <c r="D130" s="14">
        <v>990000029853</v>
      </c>
      <c r="E130" s="13" t="s">
        <v>510</v>
      </c>
      <c r="F130" s="13">
        <v>60</v>
      </c>
      <c r="G130" s="15">
        <v>45207</v>
      </c>
      <c r="H130" s="15">
        <v>45209</v>
      </c>
      <c r="I130" s="13" t="s">
        <v>511</v>
      </c>
      <c r="J130" s="13" t="s">
        <v>379</v>
      </c>
      <c r="K130" s="18"/>
      <c r="L130" s="4"/>
    </row>
    <row r="131" spans="1:12" s="2" customFormat="1" ht="15" hidden="1" customHeight="1" x14ac:dyDescent="0.3">
      <c r="A131" s="13" t="s">
        <v>377</v>
      </c>
      <c r="B131" s="13">
        <v>30008401</v>
      </c>
      <c r="C131" s="13">
        <v>10880017537</v>
      </c>
      <c r="D131" s="14">
        <v>990000029856</v>
      </c>
      <c r="E131" s="13" t="s">
        <v>391</v>
      </c>
      <c r="F131" s="13">
        <v>275</v>
      </c>
      <c r="G131" s="15">
        <v>45208</v>
      </c>
      <c r="H131" s="15">
        <v>45211</v>
      </c>
      <c r="I131" s="13" t="s">
        <v>512</v>
      </c>
      <c r="J131" s="13" t="s">
        <v>379</v>
      </c>
      <c r="K131" s="18"/>
      <c r="L131" s="4"/>
    </row>
    <row r="132" spans="1:12" s="2" customFormat="1" ht="15" hidden="1" customHeight="1" x14ac:dyDescent="0.3">
      <c r="A132" s="13" t="s">
        <v>377</v>
      </c>
      <c r="B132" s="13">
        <v>30008404</v>
      </c>
      <c r="C132" s="13">
        <v>10880017537</v>
      </c>
      <c r="D132" s="14">
        <v>990000029857</v>
      </c>
      <c r="E132" s="13" t="s">
        <v>391</v>
      </c>
      <c r="F132" s="13">
        <v>325</v>
      </c>
      <c r="G132" s="15">
        <v>45208</v>
      </c>
      <c r="H132" s="15">
        <v>45211</v>
      </c>
      <c r="I132" s="13" t="s">
        <v>512</v>
      </c>
      <c r="J132" s="13" t="s">
        <v>379</v>
      </c>
      <c r="K132" s="18"/>
      <c r="L132" s="4"/>
    </row>
    <row r="133" spans="1:12" s="2" customFormat="1" ht="15" hidden="1" customHeight="1" x14ac:dyDescent="0.3">
      <c r="A133" s="13" t="s">
        <v>377</v>
      </c>
      <c r="B133" s="13">
        <v>30008491</v>
      </c>
      <c r="C133" s="13">
        <v>10880017530</v>
      </c>
      <c r="D133" s="14">
        <v>990000029994</v>
      </c>
      <c r="E133" s="13" t="s">
        <v>383</v>
      </c>
      <c r="F133" s="13">
        <v>50</v>
      </c>
      <c r="G133" s="15">
        <v>45212</v>
      </c>
      <c r="H133" s="15">
        <v>45213</v>
      </c>
      <c r="I133" s="13" t="s">
        <v>513</v>
      </c>
      <c r="J133" s="13" t="s">
        <v>379</v>
      </c>
      <c r="K133" s="18"/>
      <c r="L133" s="4"/>
    </row>
    <row r="134" spans="1:12" s="2" customFormat="1" ht="15" hidden="1" customHeight="1" x14ac:dyDescent="0.3">
      <c r="A134" s="13" t="s">
        <v>377</v>
      </c>
      <c r="B134" s="13">
        <v>30008480</v>
      </c>
      <c r="C134" s="13">
        <v>10880030296</v>
      </c>
      <c r="D134" s="14">
        <v>990000030075</v>
      </c>
      <c r="E134" s="13" t="s">
        <v>514</v>
      </c>
      <c r="F134" s="13">
        <v>38</v>
      </c>
      <c r="G134" s="15">
        <v>45215</v>
      </c>
      <c r="H134" s="15">
        <v>45215</v>
      </c>
      <c r="I134" s="13" t="s">
        <v>515</v>
      </c>
      <c r="J134" s="13" t="s">
        <v>379</v>
      </c>
      <c r="K134" s="18"/>
      <c r="L134" s="4"/>
    </row>
    <row r="135" spans="1:12" s="2" customFormat="1" ht="15" hidden="1" customHeight="1" x14ac:dyDescent="0.3">
      <c r="A135" s="13" t="s">
        <v>377</v>
      </c>
      <c r="B135" s="13">
        <v>30008481</v>
      </c>
      <c r="C135" s="13">
        <v>10880030296</v>
      </c>
      <c r="D135" s="14">
        <v>990000030076</v>
      </c>
      <c r="E135" s="13" t="s">
        <v>514</v>
      </c>
      <c r="F135" s="13">
        <v>3000</v>
      </c>
      <c r="G135" s="15">
        <v>45215</v>
      </c>
      <c r="H135" s="15">
        <v>45215</v>
      </c>
      <c r="I135" s="13" t="s">
        <v>515</v>
      </c>
      <c r="J135" s="13" t="s">
        <v>379</v>
      </c>
      <c r="K135" s="18"/>
      <c r="L135" s="4"/>
    </row>
    <row r="136" spans="1:12" s="2" customFormat="1" ht="15" hidden="1" customHeight="1" x14ac:dyDescent="0.3">
      <c r="A136" s="13" t="s">
        <v>377</v>
      </c>
      <c r="B136" s="13">
        <v>30008482</v>
      </c>
      <c r="C136" s="13">
        <v>10880030296</v>
      </c>
      <c r="D136" s="14">
        <v>990000030077</v>
      </c>
      <c r="E136" s="13" t="s">
        <v>514</v>
      </c>
      <c r="F136" s="13">
        <v>2800</v>
      </c>
      <c r="G136" s="15">
        <v>45215</v>
      </c>
      <c r="H136" s="15">
        <v>45215</v>
      </c>
      <c r="I136" s="13" t="s">
        <v>515</v>
      </c>
      <c r="J136" s="13" t="s">
        <v>379</v>
      </c>
      <c r="K136" s="18"/>
      <c r="L136" s="4"/>
    </row>
    <row r="137" spans="1:12" s="2" customFormat="1" ht="15" hidden="1" customHeight="1" x14ac:dyDescent="0.3">
      <c r="A137" s="13" t="s">
        <v>377</v>
      </c>
      <c r="B137" s="13">
        <v>30008483</v>
      </c>
      <c r="C137" s="13">
        <v>10880030296</v>
      </c>
      <c r="D137" s="14">
        <v>990000030078</v>
      </c>
      <c r="E137" s="13" t="s">
        <v>514</v>
      </c>
      <c r="F137" s="13">
        <v>2000</v>
      </c>
      <c r="G137" s="15">
        <v>45215</v>
      </c>
      <c r="H137" s="15">
        <v>45215</v>
      </c>
      <c r="I137" s="13" t="s">
        <v>515</v>
      </c>
      <c r="J137" s="13" t="s">
        <v>379</v>
      </c>
      <c r="K137" s="18"/>
      <c r="L137" s="4"/>
    </row>
    <row r="138" spans="1:12" s="2" customFormat="1" ht="15" hidden="1" customHeight="1" x14ac:dyDescent="0.3">
      <c r="A138" s="13" t="s">
        <v>377</v>
      </c>
      <c r="B138" s="13">
        <v>30008484</v>
      </c>
      <c r="C138" s="13">
        <v>10880030296</v>
      </c>
      <c r="D138" s="14">
        <v>990000030079</v>
      </c>
      <c r="E138" s="13" t="s">
        <v>514</v>
      </c>
      <c r="F138" s="13">
        <v>2000</v>
      </c>
      <c r="G138" s="15">
        <v>45215</v>
      </c>
      <c r="H138" s="15">
        <v>45215</v>
      </c>
      <c r="I138" s="13" t="s">
        <v>515</v>
      </c>
      <c r="J138" s="13" t="s">
        <v>379</v>
      </c>
      <c r="K138" s="18"/>
      <c r="L138" s="4"/>
    </row>
    <row r="139" spans="1:12" s="2" customFormat="1" ht="15" hidden="1" customHeight="1" x14ac:dyDescent="0.3">
      <c r="A139" s="13" t="s">
        <v>377</v>
      </c>
      <c r="B139" s="13">
        <v>30008485</v>
      </c>
      <c r="C139" s="13">
        <v>10880030296</v>
      </c>
      <c r="D139" s="14">
        <v>990000030100</v>
      </c>
      <c r="E139" s="13" t="s">
        <v>514</v>
      </c>
      <c r="F139" s="13">
        <v>1698</v>
      </c>
      <c r="G139" s="15">
        <v>45215</v>
      </c>
      <c r="H139" s="15">
        <v>45215</v>
      </c>
      <c r="I139" s="13" t="s">
        <v>515</v>
      </c>
      <c r="J139" s="13" t="s">
        <v>379</v>
      </c>
      <c r="K139" s="18"/>
      <c r="L139" s="4"/>
    </row>
    <row r="140" spans="1:12" s="2" customFormat="1" ht="15" hidden="1" customHeight="1" x14ac:dyDescent="0.3">
      <c r="A140" s="10" t="s">
        <v>377</v>
      </c>
      <c r="B140" s="10">
        <v>1245543</v>
      </c>
      <c r="C140" s="10">
        <v>10880022444</v>
      </c>
      <c r="D140" s="11">
        <v>990000030101</v>
      </c>
      <c r="E140" s="10" t="s">
        <v>516</v>
      </c>
      <c r="F140" s="10">
        <v>40</v>
      </c>
      <c r="G140" s="12">
        <v>45216</v>
      </c>
      <c r="H140" s="12" t="s">
        <v>517</v>
      </c>
      <c r="I140" s="10" t="s">
        <v>518</v>
      </c>
      <c r="J140" s="13" t="s">
        <v>489</v>
      </c>
      <c r="K140" s="17"/>
      <c r="L140" s="4"/>
    </row>
    <row r="141" spans="1:12" s="2" customFormat="1" ht="15" hidden="1" customHeight="1" x14ac:dyDescent="0.3">
      <c r="A141" s="13" t="s">
        <v>397</v>
      </c>
      <c r="B141" s="13">
        <v>30008510</v>
      </c>
      <c r="C141" s="13">
        <v>10880030338</v>
      </c>
      <c r="D141" s="14">
        <v>990000030112</v>
      </c>
      <c r="E141" s="13" t="s">
        <v>519</v>
      </c>
      <c r="F141" s="13">
        <v>8</v>
      </c>
      <c r="G141" s="15">
        <v>45218</v>
      </c>
      <c r="H141" s="15">
        <v>45220</v>
      </c>
      <c r="I141" s="13" t="s">
        <v>520</v>
      </c>
      <c r="J141" s="13" t="s">
        <v>379</v>
      </c>
      <c r="K141" s="18"/>
      <c r="L141" s="4"/>
    </row>
    <row r="142" spans="1:12" s="2" customFormat="1" ht="15" hidden="1" customHeight="1" x14ac:dyDescent="0.3">
      <c r="A142" s="13" t="s">
        <v>377</v>
      </c>
      <c r="B142" s="13">
        <v>30008538</v>
      </c>
      <c r="C142" s="13">
        <v>10880021175</v>
      </c>
      <c r="D142" s="14">
        <v>990000030161</v>
      </c>
      <c r="E142" s="13" t="s">
        <v>491</v>
      </c>
      <c r="F142" s="13">
        <v>5</v>
      </c>
      <c r="G142" s="15">
        <v>45219</v>
      </c>
      <c r="H142" s="15">
        <v>45220</v>
      </c>
      <c r="I142" s="13" t="s">
        <v>521</v>
      </c>
      <c r="J142" s="13" t="s">
        <v>379</v>
      </c>
      <c r="K142" s="18"/>
      <c r="L142" s="4"/>
    </row>
    <row r="143" spans="1:12" s="2" customFormat="1" ht="15" hidden="1" customHeight="1" x14ac:dyDescent="0.3">
      <c r="A143" s="13" t="s">
        <v>397</v>
      </c>
      <c r="B143" s="13">
        <v>30008549</v>
      </c>
      <c r="C143" s="13">
        <v>10880030243</v>
      </c>
      <c r="D143" s="14">
        <v>990000030167</v>
      </c>
      <c r="E143" s="13" t="s">
        <v>522</v>
      </c>
      <c r="F143" s="13">
        <v>30</v>
      </c>
      <c r="G143" s="15">
        <v>45222</v>
      </c>
      <c r="H143" s="15">
        <v>45223</v>
      </c>
      <c r="I143" s="13" t="s">
        <v>523</v>
      </c>
      <c r="J143" s="13" t="s">
        <v>379</v>
      </c>
      <c r="K143" s="18"/>
      <c r="L143" s="4"/>
    </row>
    <row r="144" spans="1:12" s="2" customFormat="1" ht="15" hidden="1" customHeight="1" x14ac:dyDescent="0.3">
      <c r="A144" s="13" t="s">
        <v>377</v>
      </c>
      <c r="B144" s="13">
        <v>30008551</v>
      </c>
      <c r="C144" s="13">
        <v>10880022405</v>
      </c>
      <c r="D144" s="14">
        <v>990000030236</v>
      </c>
      <c r="E144" s="13" t="s">
        <v>524</v>
      </c>
      <c r="F144" s="13">
        <v>70</v>
      </c>
      <c r="G144" s="15">
        <v>45223</v>
      </c>
      <c r="H144" s="15">
        <v>45229</v>
      </c>
      <c r="I144" s="13" t="s">
        <v>525</v>
      </c>
      <c r="J144" s="13" t="s">
        <v>379</v>
      </c>
      <c r="K144" s="18"/>
      <c r="L144" s="4"/>
    </row>
    <row r="145" spans="1:12" s="2" customFormat="1" ht="15" hidden="1" customHeight="1" x14ac:dyDescent="0.3">
      <c r="A145" s="13" t="s">
        <v>377</v>
      </c>
      <c r="B145" s="13">
        <v>1242888</v>
      </c>
      <c r="C145" s="13">
        <v>10880022501</v>
      </c>
      <c r="D145" s="14">
        <v>990000030237</v>
      </c>
      <c r="E145" s="13" t="s">
        <v>526</v>
      </c>
      <c r="F145" s="13">
        <v>70</v>
      </c>
      <c r="G145" s="15">
        <v>45223</v>
      </c>
      <c r="H145" s="15">
        <v>45230</v>
      </c>
      <c r="I145" s="13" t="s">
        <v>527</v>
      </c>
      <c r="J145" s="13" t="s">
        <v>379</v>
      </c>
      <c r="K145" s="18"/>
      <c r="L145" s="4"/>
    </row>
    <row r="146" spans="1:12" s="2" customFormat="1" ht="15" hidden="1" customHeight="1" x14ac:dyDescent="0.3">
      <c r="A146" s="13" t="s">
        <v>377</v>
      </c>
      <c r="B146" s="13">
        <v>1240855</v>
      </c>
      <c r="C146" s="13">
        <v>10880022406</v>
      </c>
      <c r="D146" s="14">
        <v>990000030238</v>
      </c>
      <c r="E146" s="13" t="s">
        <v>528</v>
      </c>
      <c r="F146" s="13">
        <v>70</v>
      </c>
      <c r="G146" s="15">
        <v>45223</v>
      </c>
      <c r="H146" s="15">
        <v>45230</v>
      </c>
      <c r="I146" s="13" t="s">
        <v>529</v>
      </c>
      <c r="J146" s="13" t="s">
        <v>379</v>
      </c>
      <c r="K146" s="18"/>
      <c r="L146" s="4"/>
    </row>
    <row r="147" spans="1:12" s="2" customFormat="1" ht="15" hidden="1" customHeight="1" x14ac:dyDescent="0.3">
      <c r="A147" s="13" t="s">
        <v>377</v>
      </c>
      <c r="B147" s="13">
        <v>30008585</v>
      </c>
      <c r="C147" s="13">
        <v>10880030296</v>
      </c>
      <c r="D147" s="14">
        <v>990000030304</v>
      </c>
      <c r="E147" s="13" t="s">
        <v>514</v>
      </c>
      <c r="F147" s="13">
        <v>99</v>
      </c>
      <c r="G147" s="15">
        <v>45226</v>
      </c>
      <c r="H147" s="15">
        <v>45226</v>
      </c>
      <c r="I147" s="13" t="s">
        <v>515</v>
      </c>
      <c r="J147" s="13" t="s">
        <v>379</v>
      </c>
      <c r="K147" s="18"/>
      <c r="L147" s="4"/>
    </row>
    <row r="148" spans="1:12" s="2" customFormat="1" ht="15" hidden="1" customHeight="1" x14ac:dyDescent="0.3">
      <c r="A148" s="13" t="s">
        <v>377</v>
      </c>
      <c r="B148" s="13">
        <v>30008586</v>
      </c>
      <c r="C148" s="13">
        <v>10880030296</v>
      </c>
      <c r="D148" s="14">
        <v>990000030305</v>
      </c>
      <c r="E148" s="13" t="s">
        <v>514</v>
      </c>
      <c r="F148" s="13">
        <v>4988</v>
      </c>
      <c r="G148" s="15">
        <v>45226</v>
      </c>
      <c r="H148" s="15">
        <v>45226</v>
      </c>
      <c r="I148" s="13" t="s">
        <v>515</v>
      </c>
      <c r="J148" s="13" t="s">
        <v>379</v>
      </c>
      <c r="K148" s="18"/>
      <c r="L148" s="4"/>
    </row>
    <row r="149" spans="1:12" s="2" customFormat="1" ht="15" hidden="1" customHeight="1" x14ac:dyDescent="0.3">
      <c r="A149" s="13" t="s">
        <v>377</v>
      </c>
      <c r="B149" s="13">
        <v>30008588</v>
      </c>
      <c r="C149" s="13">
        <v>10880030296</v>
      </c>
      <c r="D149" s="14">
        <v>990000030306</v>
      </c>
      <c r="E149" s="13" t="s">
        <v>514</v>
      </c>
      <c r="F149" s="13">
        <v>5000</v>
      </c>
      <c r="G149" s="15">
        <v>45226</v>
      </c>
      <c r="H149" s="15">
        <v>45226</v>
      </c>
      <c r="I149" s="13" t="s">
        <v>515</v>
      </c>
      <c r="J149" s="13" t="s">
        <v>379</v>
      </c>
      <c r="K149" s="18"/>
      <c r="L149" s="4"/>
    </row>
    <row r="150" spans="1:12" s="2" customFormat="1" ht="15" hidden="1" customHeight="1" x14ac:dyDescent="0.3">
      <c r="A150" s="13" t="s">
        <v>377</v>
      </c>
      <c r="B150" s="13">
        <v>30008589</v>
      </c>
      <c r="C150" s="13">
        <v>10880030296</v>
      </c>
      <c r="D150" s="14">
        <v>990000030307</v>
      </c>
      <c r="E150" s="13" t="s">
        <v>514</v>
      </c>
      <c r="F150" s="13">
        <v>2500</v>
      </c>
      <c r="G150" s="15">
        <v>45226</v>
      </c>
      <c r="H150" s="15">
        <v>45226</v>
      </c>
      <c r="I150" s="13" t="s">
        <v>515</v>
      </c>
      <c r="J150" s="13" t="s">
        <v>379</v>
      </c>
      <c r="K150" s="18"/>
      <c r="L150" s="4"/>
    </row>
    <row r="151" spans="1:12" s="2" customFormat="1" ht="15" hidden="1" customHeight="1" x14ac:dyDescent="0.3">
      <c r="A151" s="13" t="s">
        <v>377</v>
      </c>
      <c r="B151" s="13">
        <v>30008590</v>
      </c>
      <c r="C151" s="13">
        <v>10880030296</v>
      </c>
      <c r="D151" s="14">
        <v>990000030308</v>
      </c>
      <c r="E151" s="13" t="s">
        <v>514</v>
      </c>
      <c r="F151" s="13">
        <v>5000</v>
      </c>
      <c r="G151" s="15">
        <v>45226</v>
      </c>
      <c r="H151" s="15">
        <v>45226</v>
      </c>
      <c r="I151" s="13" t="s">
        <v>515</v>
      </c>
      <c r="J151" s="13" t="s">
        <v>379</v>
      </c>
      <c r="K151" s="18"/>
      <c r="L151" s="4"/>
    </row>
    <row r="152" spans="1:12" s="2" customFormat="1" ht="15" hidden="1" customHeight="1" x14ac:dyDescent="0.3">
      <c r="A152" s="13" t="s">
        <v>377</v>
      </c>
      <c r="B152" s="13">
        <v>30008591</v>
      </c>
      <c r="C152" s="13">
        <v>10880030296</v>
      </c>
      <c r="D152" s="14">
        <v>990000030309</v>
      </c>
      <c r="E152" s="13" t="s">
        <v>514</v>
      </c>
      <c r="F152" s="13">
        <v>2</v>
      </c>
      <c r="G152" s="15">
        <v>45226</v>
      </c>
      <c r="H152" s="15">
        <v>45226</v>
      </c>
      <c r="I152" s="13" t="s">
        <v>515</v>
      </c>
      <c r="J152" s="13" t="s">
        <v>379</v>
      </c>
      <c r="K152" s="18"/>
      <c r="L152" s="4"/>
    </row>
    <row r="153" spans="1:12" s="2" customFormat="1" ht="15" hidden="1" customHeight="1" x14ac:dyDescent="0.3">
      <c r="A153" s="13" t="s">
        <v>377</v>
      </c>
      <c r="B153" s="13">
        <v>30008614</v>
      </c>
      <c r="C153" s="13">
        <v>10880028833</v>
      </c>
      <c r="D153" s="14">
        <v>990000030348</v>
      </c>
      <c r="E153" s="13" t="s">
        <v>530</v>
      </c>
      <c r="F153" s="13">
        <v>100</v>
      </c>
      <c r="G153" s="15">
        <v>45229</v>
      </c>
      <c r="H153" s="15">
        <v>45230</v>
      </c>
      <c r="I153" s="13" t="s">
        <v>531</v>
      </c>
      <c r="J153" s="13" t="s">
        <v>379</v>
      </c>
      <c r="K153" s="18"/>
      <c r="L153" s="4"/>
    </row>
    <row r="154" spans="1:12" s="2" customFormat="1" ht="15" hidden="1" customHeight="1" x14ac:dyDescent="0.3">
      <c r="A154" s="13" t="s">
        <v>377</v>
      </c>
      <c r="B154" s="13">
        <v>30008611</v>
      </c>
      <c r="C154" s="13">
        <v>10880018096</v>
      </c>
      <c r="D154" s="14">
        <v>990000030351</v>
      </c>
      <c r="E154" s="13" t="s">
        <v>385</v>
      </c>
      <c r="F154" s="13">
        <v>400</v>
      </c>
      <c r="G154" s="15">
        <v>45230</v>
      </c>
      <c r="H154" s="15">
        <v>45230</v>
      </c>
      <c r="I154" s="13" t="s">
        <v>532</v>
      </c>
      <c r="J154" s="13" t="s">
        <v>379</v>
      </c>
      <c r="K154" s="18"/>
      <c r="L154" s="4"/>
    </row>
    <row r="155" spans="1:12" s="2" customFormat="1" ht="15" hidden="1" customHeight="1" x14ac:dyDescent="0.3">
      <c r="A155" s="13" t="s">
        <v>377</v>
      </c>
      <c r="B155" s="13">
        <v>1228509</v>
      </c>
      <c r="C155" s="13">
        <v>10880021175</v>
      </c>
      <c r="D155" s="14">
        <v>990000030421</v>
      </c>
      <c r="E155" s="13" t="s">
        <v>491</v>
      </c>
      <c r="F155" s="13">
        <v>12</v>
      </c>
      <c r="G155" s="15">
        <v>45233</v>
      </c>
      <c r="H155" s="15">
        <v>45234</v>
      </c>
      <c r="I155" s="13" t="s">
        <v>533</v>
      </c>
      <c r="J155" s="13" t="s">
        <v>379</v>
      </c>
      <c r="K155" s="18"/>
      <c r="L155" s="4"/>
    </row>
    <row r="156" spans="1:12" s="2" customFormat="1" ht="15" hidden="1" customHeight="1" x14ac:dyDescent="0.3">
      <c r="A156" s="13" t="s">
        <v>377</v>
      </c>
      <c r="B156" s="13">
        <v>30008360</v>
      </c>
      <c r="C156" s="13">
        <v>10880018096</v>
      </c>
      <c r="D156" s="14">
        <v>990000030422</v>
      </c>
      <c r="E156" s="13" t="s">
        <v>385</v>
      </c>
      <c r="F156" s="13">
        <v>200</v>
      </c>
      <c r="G156" s="15">
        <v>45233</v>
      </c>
      <c r="H156" s="15">
        <v>45235</v>
      </c>
      <c r="I156" s="13" t="s">
        <v>534</v>
      </c>
      <c r="J156" s="13" t="s">
        <v>379</v>
      </c>
      <c r="K156" s="18"/>
      <c r="L156" s="4"/>
    </row>
    <row r="157" spans="1:12" s="2" customFormat="1" ht="15" hidden="1" customHeight="1" x14ac:dyDescent="0.3">
      <c r="A157" s="13" t="s">
        <v>377</v>
      </c>
      <c r="B157" s="13">
        <v>1207999</v>
      </c>
      <c r="C157" s="13">
        <v>10880019039</v>
      </c>
      <c r="D157" s="14">
        <v>990000030503</v>
      </c>
      <c r="E157" s="13" t="s">
        <v>478</v>
      </c>
      <c r="F157" s="13">
        <v>1</v>
      </c>
      <c r="G157" s="15">
        <v>45238</v>
      </c>
      <c r="H157" s="15" t="s">
        <v>487</v>
      </c>
      <c r="I157" s="13" t="s">
        <v>535</v>
      </c>
      <c r="J157" s="13" t="s">
        <v>489</v>
      </c>
      <c r="K157" s="18"/>
      <c r="L157" s="4"/>
    </row>
    <row r="158" spans="1:12" s="2" customFormat="1" ht="15" hidden="1" customHeight="1" x14ac:dyDescent="0.3">
      <c r="A158" s="13" t="s">
        <v>377</v>
      </c>
      <c r="B158" s="13">
        <v>30008691</v>
      </c>
      <c r="C158" s="13">
        <v>10880029156</v>
      </c>
      <c r="D158" s="14">
        <v>990000030740</v>
      </c>
      <c r="E158" s="13" t="s">
        <v>536</v>
      </c>
      <c r="F158" s="13">
        <v>2000</v>
      </c>
      <c r="G158" s="15">
        <v>45246</v>
      </c>
      <c r="H158" s="15">
        <v>45302</v>
      </c>
      <c r="I158" s="13" t="s">
        <v>537</v>
      </c>
      <c r="J158" s="13" t="s">
        <v>379</v>
      </c>
      <c r="K158" s="18"/>
      <c r="L158" s="4"/>
    </row>
    <row r="159" spans="1:12" s="2" customFormat="1" ht="15" hidden="1" customHeight="1" x14ac:dyDescent="0.3">
      <c r="A159" s="13" t="s">
        <v>397</v>
      </c>
      <c r="B159" s="13">
        <v>1256084</v>
      </c>
      <c r="C159" s="13">
        <v>10880027854</v>
      </c>
      <c r="D159" s="14">
        <v>990000030755</v>
      </c>
      <c r="E159" s="13" t="s">
        <v>538</v>
      </c>
      <c r="F159" s="13">
        <v>79</v>
      </c>
      <c r="G159" s="15">
        <v>45251</v>
      </c>
      <c r="H159" s="15">
        <v>45252</v>
      </c>
      <c r="I159" s="13" t="s">
        <v>539</v>
      </c>
      <c r="J159" s="13" t="s">
        <v>379</v>
      </c>
      <c r="K159" s="18"/>
      <c r="L159" s="4"/>
    </row>
    <row r="160" spans="1:12" s="2" customFormat="1" ht="15" hidden="1" customHeight="1" x14ac:dyDescent="0.3">
      <c r="A160" s="13" t="s">
        <v>377</v>
      </c>
      <c r="B160" s="13">
        <v>1267235</v>
      </c>
      <c r="C160" s="13">
        <v>10880017949</v>
      </c>
      <c r="D160" s="14">
        <v>990000030759</v>
      </c>
      <c r="E160" s="13" t="s">
        <v>400</v>
      </c>
      <c r="F160" s="13">
        <v>8</v>
      </c>
      <c r="G160" s="15">
        <v>45252</v>
      </c>
      <c r="H160" s="15">
        <v>45252</v>
      </c>
      <c r="I160" s="13" t="s">
        <v>540</v>
      </c>
      <c r="J160" s="13" t="s">
        <v>379</v>
      </c>
      <c r="K160" s="18"/>
      <c r="L160" s="4"/>
    </row>
    <row r="161" spans="1:12" s="2" customFormat="1" ht="15" hidden="1" customHeight="1" x14ac:dyDescent="0.3">
      <c r="A161" s="13" t="s">
        <v>377</v>
      </c>
      <c r="B161" s="13">
        <v>30008766</v>
      </c>
      <c r="C161" s="13">
        <v>10880030920</v>
      </c>
      <c r="D161" s="14">
        <v>990000030859</v>
      </c>
      <c r="E161" s="13" t="s">
        <v>85</v>
      </c>
      <c r="F161" s="13">
        <v>5973</v>
      </c>
      <c r="G161" s="15">
        <v>45254</v>
      </c>
      <c r="H161" s="15">
        <v>45636</v>
      </c>
      <c r="I161" s="13" t="s">
        <v>541</v>
      </c>
      <c r="J161" s="13" t="s">
        <v>379</v>
      </c>
      <c r="K161" s="18"/>
      <c r="L161" s="4"/>
    </row>
    <row r="162" spans="1:12" s="2" customFormat="1" ht="15" hidden="1" customHeight="1" x14ac:dyDescent="0.3">
      <c r="A162" s="13" t="s">
        <v>377</v>
      </c>
      <c r="B162" s="13">
        <v>30008767</v>
      </c>
      <c r="C162" s="13">
        <v>10880030920</v>
      </c>
      <c r="D162" s="14">
        <v>990000030880</v>
      </c>
      <c r="E162" s="13" t="s">
        <v>85</v>
      </c>
      <c r="F162" s="19">
        <v>5171</v>
      </c>
      <c r="G162" s="15">
        <v>45254</v>
      </c>
      <c r="H162" s="15">
        <v>45636</v>
      </c>
      <c r="I162" s="13" t="s">
        <v>541</v>
      </c>
      <c r="J162" s="13" t="s">
        <v>379</v>
      </c>
      <c r="K162" s="18"/>
      <c r="L162" s="4"/>
    </row>
    <row r="163" spans="1:12" s="2" customFormat="1" ht="15" hidden="1" customHeight="1" x14ac:dyDescent="0.3">
      <c r="A163" s="13" t="s">
        <v>542</v>
      </c>
      <c r="B163" s="13">
        <v>1244891</v>
      </c>
      <c r="C163" s="13">
        <v>10880012825</v>
      </c>
      <c r="D163" s="14">
        <v>990000030921</v>
      </c>
      <c r="E163" s="13" t="s">
        <v>543</v>
      </c>
      <c r="F163" s="13">
        <v>4</v>
      </c>
      <c r="G163" s="15">
        <v>45258</v>
      </c>
      <c r="H163" s="15" t="s">
        <v>487</v>
      </c>
      <c r="I163" s="13" t="s">
        <v>544</v>
      </c>
      <c r="J163" s="13" t="s">
        <v>489</v>
      </c>
      <c r="K163" s="18"/>
      <c r="L163" s="4"/>
    </row>
    <row r="164" spans="1:12" s="2" customFormat="1" ht="15" hidden="1" customHeight="1" x14ac:dyDescent="0.3">
      <c r="A164" s="13" t="s">
        <v>397</v>
      </c>
      <c r="B164" s="13">
        <v>1220641</v>
      </c>
      <c r="C164" s="13">
        <v>10880017516</v>
      </c>
      <c r="D164" s="14">
        <v>990000030922</v>
      </c>
      <c r="E164" s="13" t="s">
        <v>164</v>
      </c>
      <c r="F164" s="13">
        <v>3</v>
      </c>
      <c r="G164" s="15">
        <v>45258</v>
      </c>
      <c r="H164" s="15" t="s">
        <v>487</v>
      </c>
      <c r="I164" s="13" t="s">
        <v>544</v>
      </c>
      <c r="J164" s="13" t="s">
        <v>489</v>
      </c>
      <c r="K164" s="18"/>
      <c r="L164" s="4"/>
    </row>
    <row r="165" spans="1:12" s="2" customFormat="1" ht="15" hidden="1" customHeight="1" x14ac:dyDescent="0.3">
      <c r="A165" s="13" t="s">
        <v>545</v>
      </c>
      <c r="B165" s="13">
        <v>1221617</v>
      </c>
      <c r="C165" s="13">
        <v>10880017516</v>
      </c>
      <c r="D165" s="14">
        <v>990000030923</v>
      </c>
      <c r="E165" s="13" t="s">
        <v>164</v>
      </c>
      <c r="F165" s="13">
        <v>3</v>
      </c>
      <c r="G165" s="15">
        <v>45258</v>
      </c>
      <c r="H165" s="15" t="s">
        <v>487</v>
      </c>
      <c r="I165" s="13" t="s">
        <v>544</v>
      </c>
      <c r="J165" s="13" t="s">
        <v>489</v>
      </c>
      <c r="K165" s="18"/>
      <c r="L165" s="4"/>
    </row>
    <row r="166" spans="1:12" s="2" customFormat="1" ht="15" hidden="1" customHeight="1" x14ac:dyDescent="0.3">
      <c r="A166" s="13" t="s">
        <v>397</v>
      </c>
      <c r="B166" s="13">
        <v>1241524</v>
      </c>
      <c r="C166" s="13">
        <v>10880017526</v>
      </c>
      <c r="D166" s="14">
        <v>990000030981</v>
      </c>
      <c r="E166" s="13" t="s">
        <v>402</v>
      </c>
      <c r="F166" s="13">
        <v>9</v>
      </c>
      <c r="G166" s="15">
        <v>45259</v>
      </c>
      <c r="H166" s="15" t="s">
        <v>487</v>
      </c>
      <c r="I166" s="13" t="s">
        <v>544</v>
      </c>
      <c r="J166" s="13" t="s">
        <v>489</v>
      </c>
      <c r="K166" s="18"/>
      <c r="L166" s="4"/>
    </row>
    <row r="167" spans="1:12" s="2" customFormat="1" ht="15" hidden="1" customHeight="1" x14ac:dyDescent="0.3">
      <c r="A167" s="13" t="s">
        <v>397</v>
      </c>
      <c r="B167" s="13">
        <v>1241219</v>
      </c>
      <c r="C167" s="13">
        <v>10880017536</v>
      </c>
      <c r="D167" s="14">
        <v>990000030982</v>
      </c>
      <c r="E167" s="13" t="s">
        <v>171</v>
      </c>
      <c r="F167" s="13">
        <v>2</v>
      </c>
      <c r="G167" s="15">
        <v>45259</v>
      </c>
      <c r="H167" s="15" t="s">
        <v>487</v>
      </c>
      <c r="I167" s="13" t="s">
        <v>544</v>
      </c>
      <c r="J167" s="13" t="s">
        <v>489</v>
      </c>
      <c r="K167" s="18"/>
      <c r="L167" s="4"/>
    </row>
    <row r="168" spans="1:12" s="2" customFormat="1" ht="15" hidden="1" customHeight="1" x14ac:dyDescent="0.3">
      <c r="A168" s="13" t="s">
        <v>377</v>
      </c>
      <c r="B168" s="13">
        <v>1219027</v>
      </c>
      <c r="C168" s="13">
        <v>10880017524</v>
      </c>
      <c r="D168" s="14">
        <v>990000030986</v>
      </c>
      <c r="E168" s="13" t="s">
        <v>182</v>
      </c>
      <c r="F168" s="13">
        <v>3725</v>
      </c>
      <c r="G168" s="15">
        <v>45261</v>
      </c>
      <c r="H168" s="15">
        <v>45280</v>
      </c>
      <c r="I168" s="13" t="s">
        <v>546</v>
      </c>
      <c r="J168" s="13" t="s">
        <v>379</v>
      </c>
      <c r="K168" s="18"/>
      <c r="L168" s="4"/>
    </row>
    <row r="169" spans="1:12" s="2" customFormat="1" ht="15" hidden="1" customHeight="1" x14ac:dyDescent="0.3">
      <c r="A169" s="13" t="s">
        <v>547</v>
      </c>
      <c r="B169" s="13">
        <v>1220643</v>
      </c>
      <c r="C169" s="13">
        <v>10880017524</v>
      </c>
      <c r="D169" s="14">
        <v>990000030987</v>
      </c>
      <c r="E169" s="13" t="s">
        <v>182</v>
      </c>
      <c r="F169" s="13">
        <v>3959</v>
      </c>
      <c r="G169" s="15">
        <v>45261</v>
      </c>
      <c r="H169" s="15">
        <v>45287</v>
      </c>
      <c r="I169" s="13" t="s">
        <v>546</v>
      </c>
      <c r="J169" s="13" t="s">
        <v>379</v>
      </c>
      <c r="K169" s="18"/>
      <c r="L169" s="4"/>
    </row>
    <row r="170" spans="1:12" s="2" customFormat="1" ht="15" hidden="1" customHeight="1" x14ac:dyDescent="0.3">
      <c r="A170" s="13" t="s">
        <v>548</v>
      </c>
      <c r="B170" s="13">
        <v>30008802</v>
      </c>
      <c r="C170" s="13">
        <v>10880012825</v>
      </c>
      <c r="D170" s="14">
        <v>990000031062</v>
      </c>
      <c r="E170" s="13" t="s">
        <v>543</v>
      </c>
      <c r="F170" s="13">
        <v>220</v>
      </c>
      <c r="G170" s="15">
        <v>45264</v>
      </c>
      <c r="H170" s="15"/>
      <c r="I170" s="13" t="s">
        <v>549</v>
      </c>
      <c r="J170" s="13" t="s">
        <v>379</v>
      </c>
      <c r="K170" s="18"/>
      <c r="L170" s="4"/>
    </row>
    <row r="171" spans="1:12" s="2" customFormat="1" ht="14.25" hidden="1" customHeight="1" x14ac:dyDescent="0.3">
      <c r="A171" s="13" t="s">
        <v>377</v>
      </c>
      <c r="B171" s="13">
        <v>30008798</v>
      </c>
      <c r="C171" s="13">
        <v>10880029156</v>
      </c>
      <c r="D171" s="14">
        <v>990000030998</v>
      </c>
      <c r="E171" s="13" t="s">
        <v>536</v>
      </c>
      <c r="F171" s="13">
        <v>1</v>
      </c>
      <c r="G171" s="15">
        <v>45264</v>
      </c>
      <c r="H171" s="15">
        <v>45238</v>
      </c>
      <c r="I171" s="13" t="s">
        <v>535</v>
      </c>
      <c r="J171" s="13" t="s">
        <v>379</v>
      </c>
      <c r="K171" s="18"/>
      <c r="L171" s="4"/>
    </row>
    <row r="172" spans="1:12" s="2" customFormat="1" ht="14.25" hidden="1" customHeight="1" x14ac:dyDescent="0.3">
      <c r="A172" s="13" t="s">
        <v>550</v>
      </c>
      <c r="B172" s="13">
        <v>30008770</v>
      </c>
      <c r="C172" s="13">
        <v>10880030920</v>
      </c>
      <c r="D172" s="14">
        <v>990000031124</v>
      </c>
      <c r="E172" s="13" t="s">
        <v>85</v>
      </c>
      <c r="F172" s="13">
        <v>4741</v>
      </c>
      <c r="G172" s="15">
        <v>45266</v>
      </c>
      <c r="H172" s="15">
        <v>45274</v>
      </c>
      <c r="I172" s="13" t="s">
        <v>551</v>
      </c>
      <c r="J172" s="13" t="s">
        <v>379</v>
      </c>
      <c r="K172" s="18"/>
      <c r="L172" s="4"/>
    </row>
    <row r="173" spans="1:12" s="2" customFormat="1" ht="15" hidden="1" customHeight="1" x14ac:dyDescent="0.3">
      <c r="A173" s="13" t="s">
        <v>550</v>
      </c>
      <c r="B173" s="13">
        <v>30008769</v>
      </c>
      <c r="C173" s="13">
        <v>10880030920</v>
      </c>
      <c r="D173" s="14">
        <v>990000031125</v>
      </c>
      <c r="E173" s="13" t="s">
        <v>85</v>
      </c>
      <c r="F173" s="13">
        <v>4003</v>
      </c>
      <c r="G173" s="15">
        <v>45266</v>
      </c>
      <c r="H173" s="15">
        <v>45280</v>
      </c>
      <c r="I173" s="13" t="s">
        <v>551</v>
      </c>
      <c r="J173" s="13" t="s">
        <v>379</v>
      </c>
      <c r="K173" s="18"/>
      <c r="L173" s="4"/>
    </row>
    <row r="174" spans="1:12" s="2" customFormat="1" ht="15" hidden="1" customHeight="1" x14ac:dyDescent="0.3">
      <c r="A174" s="13" t="s">
        <v>548</v>
      </c>
      <c r="B174" s="13">
        <v>1262294</v>
      </c>
      <c r="C174" s="13">
        <v>10880019222</v>
      </c>
      <c r="D174" s="14">
        <v>990000031164</v>
      </c>
      <c r="E174" s="13" t="s">
        <v>469</v>
      </c>
      <c r="F174" s="13">
        <v>44</v>
      </c>
      <c r="G174" s="15">
        <v>45269</v>
      </c>
      <c r="H174" s="15" t="s">
        <v>487</v>
      </c>
      <c r="I174" s="13" t="s">
        <v>552</v>
      </c>
      <c r="J174" s="13" t="s">
        <v>489</v>
      </c>
      <c r="K174" s="18"/>
      <c r="L174" s="4"/>
    </row>
    <row r="175" spans="1:12" s="2" customFormat="1" ht="15" hidden="1" customHeight="1" x14ac:dyDescent="0.3">
      <c r="A175" s="13" t="s">
        <v>377</v>
      </c>
      <c r="B175" s="13">
        <v>30008830</v>
      </c>
      <c r="C175" s="13">
        <v>10880018096</v>
      </c>
      <c r="D175" s="14">
        <v>990000031171</v>
      </c>
      <c r="E175" s="13" t="s">
        <v>385</v>
      </c>
      <c r="F175" s="13">
        <v>94</v>
      </c>
      <c r="G175" s="15">
        <v>45271</v>
      </c>
      <c r="H175" s="15" t="s">
        <v>487</v>
      </c>
      <c r="I175" s="13" t="s">
        <v>553</v>
      </c>
      <c r="J175" s="13" t="s">
        <v>489</v>
      </c>
      <c r="K175" s="18"/>
      <c r="L175" s="4"/>
    </row>
    <row r="176" spans="1:12" s="2" customFormat="1" ht="15" hidden="1" customHeight="1" x14ac:dyDescent="0.3">
      <c r="A176" s="13" t="s">
        <v>377</v>
      </c>
      <c r="B176" s="13">
        <v>30008831</v>
      </c>
      <c r="C176" s="13">
        <v>10880018096</v>
      </c>
      <c r="D176" s="14">
        <v>990000031172</v>
      </c>
      <c r="E176" s="13" t="s">
        <v>385</v>
      </c>
      <c r="F176" s="13">
        <v>331</v>
      </c>
      <c r="G176" s="15">
        <v>45271</v>
      </c>
      <c r="H176" s="15" t="s">
        <v>487</v>
      </c>
      <c r="I176" s="13" t="s">
        <v>553</v>
      </c>
      <c r="J176" s="13" t="s">
        <v>489</v>
      </c>
      <c r="K176" s="18"/>
      <c r="L176" s="4"/>
    </row>
    <row r="177" spans="1:12" s="2" customFormat="1" ht="15" hidden="1" customHeight="1" x14ac:dyDescent="0.3">
      <c r="A177" s="13" t="s">
        <v>377</v>
      </c>
      <c r="B177" s="13">
        <v>30008833</v>
      </c>
      <c r="C177" s="13">
        <v>10880018097</v>
      </c>
      <c r="D177" s="14">
        <v>990000031170</v>
      </c>
      <c r="E177" s="13" t="s">
        <v>65</v>
      </c>
      <c r="F177" s="13">
        <v>545</v>
      </c>
      <c r="G177" s="15">
        <v>45271</v>
      </c>
      <c r="H177" s="15" t="s">
        <v>487</v>
      </c>
      <c r="I177" s="13" t="s">
        <v>554</v>
      </c>
      <c r="J177" s="13" t="s">
        <v>489</v>
      </c>
      <c r="K177" s="18"/>
      <c r="L177" s="4"/>
    </row>
    <row r="178" spans="1:12" s="2" customFormat="1" ht="15" hidden="1" customHeight="1" x14ac:dyDescent="0.3">
      <c r="A178" s="13" t="s">
        <v>548</v>
      </c>
      <c r="B178" s="13">
        <v>30008841</v>
      </c>
      <c r="C178" s="13">
        <v>10880021985</v>
      </c>
      <c r="D178" s="14">
        <v>990000031201</v>
      </c>
      <c r="E178" s="13" t="s">
        <v>555</v>
      </c>
      <c r="F178" s="13">
        <v>36</v>
      </c>
      <c r="G178" s="15">
        <v>45272</v>
      </c>
      <c r="H178" s="15">
        <v>45273</v>
      </c>
      <c r="I178" s="13" t="s">
        <v>556</v>
      </c>
      <c r="J178" s="13" t="s">
        <v>379</v>
      </c>
      <c r="K178" s="18"/>
      <c r="L178" s="4"/>
    </row>
    <row r="179" spans="1:12" s="2" customFormat="1" ht="15" hidden="1" customHeight="1" x14ac:dyDescent="0.3">
      <c r="A179" s="13" t="s">
        <v>550</v>
      </c>
      <c r="B179" s="13">
        <v>30008851</v>
      </c>
      <c r="C179" s="13">
        <v>10880018097</v>
      </c>
      <c r="D179" s="14">
        <v>990000031200</v>
      </c>
      <c r="E179" s="13" t="s">
        <v>65</v>
      </c>
      <c r="F179" s="13">
        <v>575</v>
      </c>
      <c r="G179" s="15">
        <v>45272</v>
      </c>
      <c r="H179" s="15">
        <v>45273</v>
      </c>
      <c r="I179" s="13" t="s">
        <v>557</v>
      </c>
      <c r="J179" s="13" t="s">
        <v>379</v>
      </c>
      <c r="K179" s="18"/>
      <c r="L179" s="4"/>
    </row>
    <row r="180" spans="1:12" s="2" customFormat="1" ht="15" hidden="1" customHeight="1" x14ac:dyDescent="0.3">
      <c r="A180" s="13" t="s">
        <v>550</v>
      </c>
      <c r="B180" s="13">
        <v>30008852</v>
      </c>
      <c r="C180" s="13">
        <v>10880018097</v>
      </c>
      <c r="D180" s="14">
        <v>990000031207</v>
      </c>
      <c r="E180" s="13" t="s">
        <v>65</v>
      </c>
      <c r="F180" s="13">
        <v>448</v>
      </c>
      <c r="G180" s="15">
        <v>45273</v>
      </c>
      <c r="H180" s="15">
        <v>45273</v>
      </c>
      <c r="I180" s="13" t="s">
        <v>557</v>
      </c>
      <c r="J180" s="13" t="s">
        <v>379</v>
      </c>
      <c r="K180" s="18"/>
      <c r="L180" s="4"/>
    </row>
    <row r="181" spans="1:12" s="2" customFormat="1" ht="15" hidden="1" customHeight="1" x14ac:dyDescent="0.3">
      <c r="A181" s="13" t="s">
        <v>550</v>
      </c>
      <c r="B181" s="13">
        <v>30008862</v>
      </c>
      <c r="C181" s="13">
        <v>10880018096</v>
      </c>
      <c r="D181" s="14">
        <v>990000031211</v>
      </c>
      <c r="E181" s="13" t="s">
        <v>385</v>
      </c>
      <c r="F181" s="13">
        <v>448</v>
      </c>
      <c r="G181" s="15">
        <v>45274</v>
      </c>
      <c r="H181" s="15">
        <v>45274</v>
      </c>
      <c r="I181" s="13" t="s">
        <v>558</v>
      </c>
      <c r="J181" s="13" t="s">
        <v>379</v>
      </c>
      <c r="K181" s="18"/>
      <c r="L181" s="4"/>
    </row>
    <row r="182" spans="1:12" s="2" customFormat="1" ht="15" hidden="1" customHeight="1" x14ac:dyDescent="0.3">
      <c r="A182" s="13" t="s">
        <v>548</v>
      </c>
      <c r="B182" s="13">
        <v>30008872</v>
      </c>
      <c r="C182" s="13">
        <v>10880021985</v>
      </c>
      <c r="D182" s="14">
        <v>990000031217</v>
      </c>
      <c r="E182" s="13" t="s">
        <v>555</v>
      </c>
      <c r="F182" s="13">
        <v>108</v>
      </c>
      <c r="G182" s="15">
        <v>45275</v>
      </c>
      <c r="H182" s="15">
        <v>45278</v>
      </c>
      <c r="I182" s="13" t="s">
        <v>559</v>
      </c>
      <c r="J182" s="13" t="s">
        <v>379</v>
      </c>
      <c r="K182" s="18"/>
      <c r="L182" s="4"/>
    </row>
    <row r="183" spans="1:12" s="2" customFormat="1" ht="15" hidden="1" customHeight="1" x14ac:dyDescent="0.3">
      <c r="A183" s="13" t="s">
        <v>550</v>
      </c>
      <c r="B183" s="13">
        <v>30008768</v>
      </c>
      <c r="C183" s="13">
        <v>10880030920</v>
      </c>
      <c r="D183" s="14">
        <v>990000031214</v>
      </c>
      <c r="E183" s="13" t="s">
        <v>85</v>
      </c>
      <c r="F183" s="13">
        <v>1309</v>
      </c>
      <c r="G183" s="15">
        <v>45275</v>
      </c>
      <c r="H183" s="15">
        <v>45280</v>
      </c>
      <c r="I183" s="13" t="s">
        <v>551</v>
      </c>
      <c r="J183" s="13" t="s">
        <v>379</v>
      </c>
      <c r="K183" s="18"/>
      <c r="L183" s="4"/>
    </row>
    <row r="184" spans="1:12" s="2" customFormat="1" ht="15" hidden="1" customHeight="1" x14ac:dyDescent="0.3">
      <c r="A184" s="13" t="s">
        <v>550</v>
      </c>
      <c r="B184" s="13">
        <v>1207279</v>
      </c>
      <c r="C184" s="13">
        <v>10880019039</v>
      </c>
      <c r="D184" s="14">
        <v>990000031216</v>
      </c>
      <c r="E184" s="13" t="s">
        <v>478</v>
      </c>
      <c r="F184" s="13">
        <v>448</v>
      </c>
      <c r="G184" s="15">
        <v>45275</v>
      </c>
      <c r="H184" s="15">
        <v>45286</v>
      </c>
      <c r="I184" s="13" t="s">
        <v>560</v>
      </c>
      <c r="J184" s="13" t="s">
        <v>379</v>
      </c>
      <c r="K184" s="18"/>
      <c r="L184" s="4"/>
    </row>
    <row r="185" spans="1:12" s="2" customFormat="1" ht="15" hidden="1" customHeight="1" x14ac:dyDescent="0.3">
      <c r="A185" s="10" t="s">
        <v>545</v>
      </c>
      <c r="B185" s="10">
        <v>30008861</v>
      </c>
      <c r="C185" s="10">
        <v>10880030920</v>
      </c>
      <c r="D185" s="11">
        <v>990000031215</v>
      </c>
      <c r="E185" s="10" t="s">
        <v>85</v>
      </c>
      <c r="F185" s="10">
        <v>1992</v>
      </c>
      <c r="G185" s="12">
        <v>45275</v>
      </c>
      <c r="H185" s="12">
        <v>45467</v>
      </c>
      <c r="I185" s="10" t="s">
        <v>561</v>
      </c>
      <c r="J185" s="13" t="s">
        <v>379</v>
      </c>
      <c r="K185" s="17"/>
      <c r="L185" s="4"/>
    </row>
    <row r="186" spans="1:12" s="2" customFormat="1" ht="15" hidden="1" customHeight="1" x14ac:dyDescent="0.3">
      <c r="A186" s="13" t="s">
        <v>397</v>
      </c>
      <c r="B186" s="13">
        <v>1273720</v>
      </c>
      <c r="C186" s="13">
        <v>10880027958</v>
      </c>
      <c r="D186" s="14">
        <v>990000031384</v>
      </c>
      <c r="E186" s="13" t="s">
        <v>562</v>
      </c>
      <c r="F186" s="13">
        <v>425</v>
      </c>
      <c r="G186" s="15">
        <v>45282</v>
      </c>
      <c r="H186" s="15">
        <v>45283</v>
      </c>
      <c r="I186" s="13" t="s">
        <v>563</v>
      </c>
      <c r="J186" s="13" t="s">
        <v>379</v>
      </c>
      <c r="K186" s="18"/>
      <c r="L186" s="4"/>
    </row>
    <row r="187" spans="1:12" s="2" customFormat="1" ht="15" hidden="1" customHeight="1" x14ac:dyDescent="0.3">
      <c r="A187" s="13" t="s">
        <v>397</v>
      </c>
      <c r="B187" s="13">
        <v>1273721</v>
      </c>
      <c r="C187" s="13">
        <v>10880027958</v>
      </c>
      <c r="D187" s="14">
        <v>990000031385</v>
      </c>
      <c r="E187" s="13" t="s">
        <v>562</v>
      </c>
      <c r="F187" s="13">
        <v>256</v>
      </c>
      <c r="G187" s="15">
        <v>45282</v>
      </c>
      <c r="H187" s="15">
        <v>45285</v>
      </c>
      <c r="I187" s="13" t="s">
        <v>563</v>
      </c>
      <c r="J187" s="13" t="s">
        <v>379</v>
      </c>
      <c r="K187" s="18"/>
      <c r="L187" s="4"/>
    </row>
    <row r="188" spans="1:12" s="2" customFormat="1" ht="15" hidden="1" customHeight="1" x14ac:dyDescent="0.3">
      <c r="A188" s="13" t="s">
        <v>397</v>
      </c>
      <c r="B188" s="13">
        <v>1273722</v>
      </c>
      <c r="C188" s="13">
        <v>10880027958</v>
      </c>
      <c r="D188" s="14">
        <v>990000031386</v>
      </c>
      <c r="E188" s="13" t="s">
        <v>562</v>
      </c>
      <c r="F188" s="13">
        <v>511</v>
      </c>
      <c r="G188" s="15">
        <v>45282</v>
      </c>
      <c r="H188" s="15">
        <v>45288</v>
      </c>
      <c r="I188" s="13" t="s">
        <v>563</v>
      </c>
      <c r="J188" s="13" t="s">
        <v>379</v>
      </c>
      <c r="K188" s="18"/>
      <c r="L188" s="4"/>
    </row>
    <row r="189" spans="1:12" s="2" customFormat="1" ht="15" hidden="1" customHeight="1" x14ac:dyDescent="0.3">
      <c r="A189" s="13" t="s">
        <v>397</v>
      </c>
      <c r="B189" s="13">
        <v>1275921</v>
      </c>
      <c r="C189" s="13">
        <v>10880027957</v>
      </c>
      <c r="D189" s="14">
        <v>990000031387</v>
      </c>
      <c r="E189" s="13" t="s">
        <v>564</v>
      </c>
      <c r="F189" s="13">
        <v>578</v>
      </c>
      <c r="G189" s="15">
        <v>45282</v>
      </c>
      <c r="H189" s="15">
        <v>45289</v>
      </c>
      <c r="I189" s="13" t="s">
        <v>565</v>
      </c>
      <c r="J189" s="13" t="s">
        <v>379</v>
      </c>
      <c r="K189" s="18"/>
      <c r="L189" s="4"/>
    </row>
    <row r="190" spans="1:12" s="2" customFormat="1" ht="15" hidden="1" customHeight="1" x14ac:dyDescent="0.3">
      <c r="A190" s="13" t="s">
        <v>550</v>
      </c>
      <c r="B190" s="13">
        <v>1245549</v>
      </c>
      <c r="C190" s="13">
        <v>10880022444</v>
      </c>
      <c r="D190" s="14">
        <v>990000031426</v>
      </c>
      <c r="E190" s="13" t="s">
        <v>516</v>
      </c>
      <c r="F190" s="13">
        <v>2998</v>
      </c>
      <c r="G190" s="15">
        <v>45289</v>
      </c>
      <c r="H190" s="15">
        <v>45289</v>
      </c>
      <c r="I190" s="13" t="s">
        <v>566</v>
      </c>
      <c r="J190" s="13" t="s">
        <v>430</v>
      </c>
      <c r="K190" s="18"/>
      <c r="L190" s="4"/>
    </row>
    <row r="191" spans="1:12" s="2" customFormat="1" ht="15" hidden="1" customHeight="1" x14ac:dyDescent="0.3">
      <c r="A191" s="13" t="s">
        <v>550</v>
      </c>
      <c r="B191" s="13">
        <v>1244153</v>
      </c>
      <c r="C191" s="13">
        <v>10880022443</v>
      </c>
      <c r="D191" s="14">
        <v>990000031427</v>
      </c>
      <c r="E191" s="13" t="s">
        <v>567</v>
      </c>
      <c r="F191" s="13">
        <v>2000</v>
      </c>
      <c r="G191" s="15">
        <v>45289</v>
      </c>
      <c r="H191" s="15">
        <v>45289</v>
      </c>
      <c r="I191" s="13" t="s">
        <v>568</v>
      </c>
      <c r="J191" s="13" t="s">
        <v>430</v>
      </c>
      <c r="K191" s="18"/>
      <c r="L191" s="4"/>
    </row>
    <row r="192" spans="1:12" s="2" customFormat="1" ht="15" hidden="1" customHeight="1" x14ac:dyDescent="0.3">
      <c r="A192" s="13" t="s">
        <v>550</v>
      </c>
      <c r="B192" s="13">
        <v>1246152</v>
      </c>
      <c r="C192" s="13">
        <v>10880022406</v>
      </c>
      <c r="D192" s="14">
        <v>990000031437</v>
      </c>
      <c r="E192" s="13" t="s">
        <v>528</v>
      </c>
      <c r="F192" s="13">
        <v>150</v>
      </c>
      <c r="G192" s="15">
        <v>45293</v>
      </c>
      <c r="H192" s="15">
        <v>45303</v>
      </c>
      <c r="I192" s="13" t="s">
        <v>569</v>
      </c>
      <c r="J192" s="13" t="s">
        <v>430</v>
      </c>
      <c r="K192" s="18"/>
      <c r="L192" s="4"/>
    </row>
    <row r="193" spans="1:12" s="2" customFormat="1" ht="15" hidden="1" customHeight="1" x14ac:dyDescent="0.3">
      <c r="A193" s="13" t="s">
        <v>448</v>
      </c>
      <c r="B193" s="13">
        <v>1278277</v>
      </c>
      <c r="C193" s="13">
        <v>10880020647</v>
      </c>
      <c r="D193" s="14">
        <v>990000031587</v>
      </c>
      <c r="E193" s="13" t="s">
        <v>471</v>
      </c>
      <c r="F193" s="13">
        <v>1300</v>
      </c>
      <c r="G193" s="15">
        <v>45297</v>
      </c>
      <c r="H193" s="15">
        <v>45303</v>
      </c>
      <c r="I193" s="13" t="s">
        <v>570</v>
      </c>
      <c r="J193" s="13" t="s">
        <v>379</v>
      </c>
      <c r="K193" s="18"/>
      <c r="L193" s="4"/>
    </row>
    <row r="194" spans="1:12" s="2" customFormat="1" ht="15" hidden="1" customHeight="1" x14ac:dyDescent="0.3">
      <c r="A194" s="13" t="s">
        <v>448</v>
      </c>
      <c r="B194" s="13">
        <v>1236070</v>
      </c>
      <c r="C194" s="13">
        <v>10880021315</v>
      </c>
      <c r="D194" s="14">
        <v>990000031606</v>
      </c>
      <c r="E194" s="13" t="s">
        <v>571</v>
      </c>
      <c r="F194" s="13">
        <v>786</v>
      </c>
      <c r="G194" s="15">
        <v>45300</v>
      </c>
      <c r="H194" s="15">
        <v>45301</v>
      </c>
      <c r="I194" s="13" t="s">
        <v>572</v>
      </c>
      <c r="J194" s="13" t="s">
        <v>379</v>
      </c>
      <c r="K194" s="18"/>
      <c r="L194" s="4"/>
    </row>
    <row r="195" spans="1:12" s="2" customFormat="1" ht="15" hidden="1" customHeight="1" x14ac:dyDescent="0.3">
      <c r="A195" s="13" t="s">
        <v>550</v>
      </c>
      <c r="B195" s="13">
        <v>1263114</v>
      </c>
      <c r="C195" s="13">
        <v>10880019773</v>
      </c>
      <c r="D195" s="14">
        <v>990000031608</v>
      </c>
      <c r="E195" s="13" t="s">
        <v>573</v>
      </c>
      <c r="F195" s="13">
        <v>45</v>
      </c>
      <c r="G195" s="15">
        <v>45300</v>
      </c>
      <c r="H195" s="15">
        <v>45301</v>
      </c>
      <c r="I195" s="13" t="s">
        <v>574</v>
      </c>
      <c r="J195" s="13" t="s">
        <v>379</v>
      </c>
      <c r="K195" s="18"/>
      <c r="L195" s="4"/>
    </row>
    <row r="196" spans="1:12" s="2" customFormat="1" ht="15" hidden="1" customHeight="1" x14ac:dyDescent="0.3">
      <c r="A196" s="13" t="s">
        <v>448</v>
      </c>
      <c r="B196" s="13">
        <v>1270501</v>
      </c>
      <c r="C196" s="13">
        <v>10880028905</v>
      </c>
      <c r="D196" s="14">
        <v>990000031810</v>
      </c>
      <c r="E196" s="13" t="s">
        <v>575</v>
      </c>
      <c r="F196" s="13">
        <v>170</v>
      </c>
      <c r="G196" s="15">
        <v>45308</v>
      </c>
      <c r="H196" s="15">
        <v>45308</v>
      </c>
      <c r="I196" s="13" t="s">
        <v>576</v>
      </c>
      <c r="J196" s="13" t="s">
        <v>379</v>
      </c>
      <c r="K196" s="18"/>
      <c r="L196" s="4"/>
    </row>
    <row r="197" spans="1:12" s="2" customFormat="1" ht="15" hidden="1" customHeight="1" x14ac:dyDescent="0.3">
      <c r="A197" s="13" t="s">
        <v>448</v>
      </c>
      <c r="B197" s="13">
        <v>1266725</v>
      </c>
      <c r="C197" s="13">
        <v>10880030023</v>
      </c>
      <c r="D197" s="14">
        <v>990000031878</v>
      </c>
      <c r="E197" s="13" t="s">
        <v>577</v>
      </c>
      <c r="F197" s="13">
        <v>181</v>
      </c>
      <c r="G197" s="15">
        <v>45313</v>
      </c>
      <c r="H197" s="15">
        <v>45316</v>
      </c>
      <c r="I197" s="13" t="s">
        <v>578</v>
      </c>
      <c r="J197" s="13" t="s">
        <v>379</v>
      </c>
      <c r="K197" s="18"/>
      <c r="L197" s="4"/>
    </row>
    <row r="198" spans="1:12" s="2" customFormat="1" ht="15" hidden="1" customHeight="1" x14ac:dyDescent="0.3">
      <c r="A198" s="13" t="s">
        <v>448</v>
      </c>
      <c r="B198" s="13">
        <v>30009055</v>
      </c>
      <c r="C198" s="13">
        <v>10880031072</v>
      </c>
      <c r="D198" s="14">
        <v>990000031953</v>
      </c>
      <c r="E198" s="13" t="s">
        <v>579</v>
      </c>
      <c r="F198" s="13">
        <v>5000</v>
      </c>
      <c r="G198" s="15">
        <v>45314</v>
      </c>
      <c r="H198" s="15">
        <v>45314</v>
      </c>
      <c r="I198" s="13" t="s">
        <v>580</v>
      </c>
      <c r="J198" s="13" t="s">
        <v>379</v>
      </c>
      <c r="K198" s="18"/>
      <c r="L198" s="4"/>
    </row>
    <row r="199" spans="1:12" s="2" customFormat="1" ht="15" hidden="1" customHeight="1" x14ac:dyDescent="0.3">
      <c r="A199" s="13" t="s">
        <v>448</v>
      </c>
      <c r="B199" s="13">
        <v>1235232</v>
      </c>
      <c r="C199" s="13">
        <v>10880019240</v>
      </c>
      <c r="D199" s="14">
        <v>990000031948</v>
      </c>
      <c r="E199" s="13" t="s">
        <v>81</v>
      </c>
      <c r="F199" s="13">
        <v>346</v>
      </c>
      <c r="G199" s="15">
        <v>45314</v>
      </c>
      <c r="H199" s="15">
        <v>45323</v>
      </c>
      <c r="I199" s="13" t="s">
        <v>581</v>
      </c>
      <c r="J199" s="13" t="s">
        <v>379</v>
      </c>
      <c r="K199" s="18"/>
      <c r="L199" s="4"/>
    </row>
    <row r="200" spans="1:12" s="2" customFormat="1" ht="15" hidden="1" customHeight="1" x14ac:dyDescent="0.3">
      <c r="A200" s="13" t="s">
        <v>448</v>
      </c>
      <c r="B200" s="13">
        <v>1240868</v>
      </c>
      <c r="C200" s="13">
        <v>10880019240</v>
      </c>
      <c r="D200" s="14">
        <v>990000031950</v>
      </c>
      <c r="E200" s="13" t="s">
        <v>81</v>
      </c>
      <c r="F200" s="13">
        <v>79</v>
      </c>
      <c r="G200" s="15">
        <v>45314</v>
      </c>
      <c r="H200" s="15">
        <v>45323</v>
      </c>
      <c r="I200" s="13" t="s">
        <v>581</v>
      </c>
      <c r="J200" s="13" t="s">
        <v>379</v>
      </c>
      <c r="K200" s="18"/>
      <c r="L200" s="4"/>
    </row>
    <row r="201" spans="1:12" s="2" customFormat="1" ht="15" hidden="1" customHeight="1" x14ac:dyDescent="0.3">
      <c r="A201" s="13" t="s">
        <v>448</v>
      </c>
      <c r="B201" s="13">
        <v>1235233</v>
      </c>
      <c r="C201" s="13">
        <v>10880019240</v>
      </c>
      <c r="D201" s="14">
        <v>990000031949</v>
      </c>
      <c r="E201" s="13" t="s">
        <v>81</v>
      </c>
      <c r="F201" s="13">
        <v>548</v>
      </c>
      <c r="G201" s="15">
        <v>45314</v>
      </c>
      <c r="H201" s="15">
        <v>45354</v>
      </c>
      <c r="I201" s="13" t="s">
        <v>581</v>
      </c>
      <c r="J201" s="13" t="s">
        <v>379</v>
      </c>
      <c r="K201" s="18"/>
      <c r="L201" s="4"/>
    </row>
    <row r="202" spans="1:12" s="2" customFormat="1" ht="15" hidden="1" customHeight="1" x14ac:dyDescent="0.3">
      <c r="A202" s="10" t="s">
        <v>448</v>
      </c>
      <c r="B202" s="10">
        <v>30009054</v>
      </c>
      <c r="C202" s="10">
        <v>10880019240</v>
      </c>
      <c r="D202" s="11">
        <v>990000031951</v>
      </c>
      <c r="E202" s="10" t="s">
        <v>81</v>
      </c>
      <c r="F202" s="10">
        <v>139</v>
      </c>
      <c r="G202" s="12">
        <v>45314</v>
      </c>
      <c r="H202" s="12">
        <v>45443</v>
      </c>
      <c r="I202" s="10" t="s">
        <v>582</v>
      </c>
      <c r="J202" s="13" t="s">
        <v>379</v>
      </c>
      <c r="K202" s="17"/>
      <c r="L202" s="4"/>
    </row>
    <row r="203" spans="1:12" s="2" customFormat="1" ht="15" hidden="1" customHeight="1" x14ac:dyDescent="0.3">
      <c r="A203" s="13" t="s">
        <v>448</v>
      </c>
      <c r="B203" s="13">
        <v>1237348</v>
      </c>
      <c r="C203" s="13">
        <v>10880022044</v>
      </c>
      <c r="D203" s="14">
        <v>990000031954</v>
      </c>
      <c r="E203" s="13" t="s">
        <v>417</v>
      </c>
      <c r="F203" s="13">
        <v>4182</v>
      </c>
      <c r="G203" s="15">
        <v>45315</v>
      </c>
      <c r="H203" s="15">
        <v>45316</v>
      </c>
      <c r="I203" s="13" t="s">
        <v>583</v>
      </c>
      <c r="J203" s="13" t="s">
        <v>389</v>
      </c>
      <c r="K203" s="18"/>
      <c r="L203" s="4"/>
    </row>
    <row r="204" spans="1:12" s="2" customFormat="1" ht="15" hidden="1" customHeight="1" x14ac:dyDescent="0.3">
      <c r="A204" s="13" t="s">
        <v>448</v>
      </c>
      <c r="B204" s="13">
        <v>1270543</v>
      </c>
      <c r="C204" s="13">
        <v>10880030243</v>
      </c>
      <c r="D204" s="14">
        <v>990000031958</v>
      </c>
      <c r="E204" s="13" t="s">
        <v>522</v>
      </c>
      <c r="F204" s="13">
        <v>624</v>
      </c>
      <c r="G204" s="15">
        <v>45316</v>
      </c>
      <c r="H204" s="15">
        <v>45316</v>
      </c>
      <c r="I204" s="13" t="s">
        <v>584</v>
      </c>
      <c r="J204" s="13" t="s">
        <v>379</v>
      </c>
      <c r="K204" s="18"/>
      <c r="L204" s="4"/>
    </row>
    <row r="205" spans="1:12" s="2" customFormat="1" ht="15" hidden="1" customHeight="1" x14ac:dyDescent="0.3">
      <c r="A205" s="13" t="s">
        <v>448</v>
      </c>
      <c r="B205" s="13">
        <v>30008549</v>
      </c>
      <c r="C205" s="13">
        <v>10880030243</v>
      </c>
      <c r="D205" s="14">
        <v>990000031959</v>
      </c>
      <c r="E205" s="13" t="s">
        <v>522</v>
      </c>
      <c r="F205" s="13">
        <v>2</v>
      </c>
      <c r="G205" s="15">
        <v>45316</v>
      </c>
      <c r="H205" s="15">
        <v>45318</v>
      </c>
      <c r="I205" s="13" t="s">
        <v>584</v>
      </c>
      <c r="J205" s="13" t="s">
        <v>379</v>
      </c>
      <c r="K205" s="18"/>
      <c r="L205" s="4"/>
    </row>
    <row r="206" spans="1:12" s="2" customFormat="1" ht="15" hidden="1" customHeight="1" x14ac:dyDescent="0.3">
      <c r="A206" s="13" t="s">
        <v>448</v>
      </c>
      <c r="B206" s="13">
        <v>30009057</v>
      </c>
      <c r="C206" s="13">
        <v>10880031072</v>
      </c>
      <c r="D206" s="14">
        <v>990000031994</v>
      </c>
      <c r="E206" s="13" t="s">
        <v>579</v>
      </c>
      <c r="F206" s="13">
        <v>3200</v>
      </c>
      <c r="G206" s="15">
        <v>45318</v>
      </c>
      <c r="H206" s="15">
        <v>45318</v>
      </c>
      <c r="I206" s="13" t="s">
        <v>580</v>
      </c>
      <c r="J206" s="13" t="s">
        <v>379</v>
      </c>
      <c r="K206" s="18"/>
      <c r="L206" s="4"/>
    </row>
    <row r="207" spans="1:12" s="2" customFormat="1" ht="15" hidden="1" customHeight="1" x14ac:dyDescent="0.3">
      <c r="A207" s="13" t="s">
        <v>448</v>
      </c>
      <c r="B207" s="13">
        <v>30009058</v>
      </c>
      <c r="C207" s="13">
        <v>10880031072</v>
      </c>
      <c r="D207" s="14">
        <v>990000031995</v>
      </c>
      <c r="E207" s="13" t="s">
        <v>579</v>
      </c>
      <c r="F207" s="13">
        <v>694</v>
      </c>
      <c r="G207" s="15">
        <v>45318</v>
      </c>
      <c r="H207" s="15">
        <v>45318</v>
      </c>
      <c r="I207" s="13" t="s">
        <v>580</v>
      </c>
      <c r="J207" s="13" t="s">
        <v>379</v>
      </c>
      <c r="K207" s="18"/>
      <c r="L207" s="4"/>
    </row>
    <row r="208" spans="1:12" s="2" customFormat="1" ht="15" hidden="1" customHeight="1" x14ac:dyDescent="0.3">
      <c r="A208" s="13" t="s">
        <v>448</v>
      </c>
      <c r="B208" s="13">
        <v>30009059</v>
      </c>
      <c r="C208" s="13">
        <v>10880031096</v>
      </c>
      <c r="D208" s="14">
        <v>990000031996</v>
      </c>
      <c r="E208" s="13" t="s">
        <v>278</v>
      </c>
      <c r="F208" s="13">
        <v>1461</v>
      </c>
      <c r="G208" s="15">
        <v>45318</v>
      </c>
      <c r="H208" s="15">
        <v>45318</v>
      </c>
      <c r="I208" s="13" t="s">
        <v>580</v>
      </c>
      <c r="J208" s="13" t="s">
        <v>379</v>
      </c>
      <c r="K208" s="18"/>
      <c r="L208" s="4"/>
    </row>
    <row r="209" spans="1:12" s="2" customFormat="1" ht="15" hidden="1" customHeight="1" x14ac:dyDescent="0.3">
      <c r="A209" s="13" t="s">
        <v>448</v>
      </c>
      <c r="B209" s="13">
        <v>30009059</v>
      </c>
      <c r="C209" s="13">
        <v>10880031096</v>
      </c>
      <c r="D209" s="14">
        <v>990000032122</v>
      </c>
      <c r="E209" s="13" t="s">
        <v>278</v>
      </c>
      <c r="F209" s="13">
        <v>45</v>
      </c>
      <c r="G209" s="15">
        <v>45318</v>
      </c>
      <c r="H209" s="15">
        <v>45318</v>
      </c>
      <c r="I209" s="13" t="s">
        <v>580</v>
      </c>
      <c r="J209" s="13" t="s">
        <v>379</v>
      </c>
      <c r="K209" s="18"/>
      <c r="L209" s="4"/>
    </row>
    <row r="210" spans="1:12" s="2" customFormat="1" ht="15" hidden="1" customHeight="1" x14ac:dyDescent="0.3">
      <c r="A210" s="13" t="s">
        <v>377</v>
      </c>
      <c r="B210" s="13">
        <v>1207999</v>
      </c>
      <c r="C210" s="13">
        <v>10880019039</v>
      </c>
      <c r="D210" s="14">
        <v>990000031997</v>
      </c>
      <c r="E210" s="13" t="s">
        <v>478</v>
      </c>
      <c r="F210" s="13">
        <v>50</v>
      </c>
      <c r="G210" s="15">
        <v>45318</v>
      </c>
      <c r="H210" s="15">
        <v>45318</v>
      </c>
      <c r="I210" s="13" t="s">
        <v>585</v>
      </c>
      <c r="J210" s="13" t="s">
        <v>379</v>
      </c>
      <c r="K210" s="18"/>
      <c r="L210" s="4"/>
    </row>
    <row r="211" spans="1:12" s="2" customFormat="1" ht="15" hidden="1" customHeight="1" x14ac:dyDescent="0.3">
      <c r="A211" s="13" t="s">
        <v>448</v>
      </c>
      <c r="B211" s="13">
        <v>1268771</v>
      </c>
      <c r="C211" s="13">
        <v>10880028393</v>
      </c>
      <c r="D211" s="14">
        <v>990000032125</v>
      </c>
      <c r="E211" s="13" t="s">
        <v>586</v>
      </c>
      <c r="F211" s="13">
        <v>415</v>
      </c>
      <c r="G211" s="15">
        <v>45320</v>
      </c>
      <c r="H211" s="15">
        <v>45339</v>
      </c>
      <c r="I211" s="13" t="s">
        <v>587</v>
      </c>
      <c r="J211" s="13" t="s">
        <v>379</v>
      </c>
      <c r="K211" s="18"/>
      <c r="L211" s="4"/>
    </row>
    <row r="212" spans="1:12" s="2" customFormat="1" ht="15" hidden="1" customHeight="1" x14ac:dyDescent="0.3">
      <c r="A212" s="13" t="s">
        <v>448</v>
      </c>
      <c r="B212" s="13">
        <v>1265604</v>
      </c>
      <c r="C212" s="13">
        <v>10880028393</v>
      </c>
      <c r="D212" s="14">
        <v>990000032126</v>
      </c>
      <c r="E212" s="13" t="s">
        <v>586</v>
      </c>
      <c r="F212" s="13">
        <v>385</v>
      </c>
      <c r="G212" s="15">
        <v>45320</v>
      </c>
      <c r="H212" s="15">
        <v>45385</v>
      </c>
      <c r="I212" s="13" t="s">
        <v>587</v>
      </c>
      <c r="J212" s="13" t="s">
        <v>379</v>
      </c>
      <c r="K212" s="18"/>
      <c r="L212" s="4"/>
    </row>
    <row r="213" spans="1:12" s="2" customFormat="1" ht="15" hidden="1" customHeight="1" x14ac:dyDescent="0.3">
      <c r="A213" s="13" t="s">
        <v>448</v>
      </c>
      <c r="B213" s="13">
        <v>1276580</v>
      </c>
      <c r="C213" s="13">
        <v>10880029958</v>
      </c>
      <c r="D213" s="14">
        <v>990000032139</v>
      </c>
      <c r="E213" s="13" t="s">
        <v>251</v>
      </c>
      <c r="F213" s="13">
        <v>720</v>
      </c>
      <c r="G213" s="15">
        <v>45321</v>
      </c>
      <c r="H213" s="15">
        <v>45324</v>
      </c>
      <c r="I213" s="13" t="s">
        <v>588</v>
      </c>
      <c r="J213" s="13" t="s">
        <v>430</v>
      </c>
      <c r="K213" s="18"/>
      <c r="L213" s="4"/>
    </row>
    <row r="214" spans="1:12" s="2" customFormat="1" ht="15" hidden="1" customHeight="1" x14ac:dyDescent="0.3">
      <c r="A214" s="13" t="s">
        <v>448</v>
      </c>
      <c r="B214" s="13">
        <v>1276582</v>
      </c>
      <c r="C214" s="13">
        <v>10880029958</v>
      </c>
      <c r="D214" s="14">
        <v>990000032140</v>
      </c>
      <c r="E214" s="13" t="s">
        <v>251</v>
      </c>
      <c r="F214" s="13">
        <v>20</v>
      </c>
      <c r="G214" s="15">
        <v>45321</v>
      </c>
      <c r="H214" s="15">
        <v>45324</v>
      </c>
      <c r="I214" s="13" t="s">
        <v>588</v>
      </c>
      <c r="J214" s="13" t="s">
        <v>430</v>
      </c>
      <c r="K214" s="18"/>
      <c r="L214" s="4"/>
    </row>
    <row r="215" spans="1:12" s="2" customFormat="1" ht="15" hidden="1" customHeight="1" x14ac:dyDescent="0.3">
      <c r="A215" s="13" t="s">
        <v>448</v>
      </c>
      <c r="B215" s="13">
        <v>1283467</v>
      </c>
      <c r="C215" s="13">
        <v>10880029958</v>
      </c>
      <c r="D215" s="14">
        <v>990000032141</v>
      </c>
      <c r="E215" s="13" t="s">
        <v>251</v>
      </c>
      <c r="F215" s="13">
        <v>100</v>
      </c>
      <c r="G215" s="15">
        <v>45321</v>
      </c>
      <c r="H215" s="15">
        <v>45324</v>
      </c>
      <c r="I215" s="13" t="s">
        <v>588</v>
      </c>
      <c r="J215" s="13" t="s">
        <v>430</v>
      </c>
      <c r="K215" s="18"/>
      <c r="L215" s="4"/>
    </row>
    <row r="216" spans="1:12" s="2" customFormat="1" ht="15" hidden="1" customHeight="1" x14ac:dyDescent="0.3">
      <c r="A216" s="13" t="s">
        <v>448</v>
      </c>
      <c r="B216" s="13">
        <v>30009115</v>
      </c>
      <c r="C216" s="13">
        <v>10880031072</v>
      </c>
      <c r="D216" s="14">
        <v>990000032262</v>
      </c>
      <c r="E216" s="13" t="s">
        <v>579</v>
      </c>
      <c r="F216" s="13">
        <v>2820</v>
      </c>
      <c r="G216" s="15">
        <v>45340</v>
      </c>
      <c r="H216" s="15">
        <v>45340</v>
      </c>
      <c r="I216" s="13" t="s">
        <v>580</v>
      </c>
      <c r="J216" s="13" t="s">
        <v>379</v>
      </c>
      <c r="K216" s="18"/>
      <c r="L216" s="4"/>
    </row>
    <row r="217" spans="1:12" s="2" customFormat="1" ht="15" hidden="1" customHeight="1" x14ac:dyDescent="0.3">
      <c r="A217" s="13" t="s">
        <v>448</v>
      </c>
      <c r="B217" s="13">
        <v>30009116</v>
      </c>
      <c r="C217" s="13">
        <v>10880031096</v>
      </c>
      <c r="D217" s="14">
        <v>990000032263</v>
      </c>
      <c r="E217" s="13" t="s">
        <v>278</v>
      </c>
      <c r="F217" s="13">
        <v>600</v>
      </c>
      <c r="G217" s="15">
        <v>45340</v>
      </c>
      <c r="H217" s="15">
        <v>45340</v>
      </c>
      <c r="I217" s="13" t="s">
        <v>580</v>
      </c>
      <c r="J217" s="13" t="s">
        <v>379</v>
      </c>
      <c r="K217" s="18"/>
      <c r="L217" s="4"/>
    </row>
    <row r="218" spans="1:12" s="2" customFormat="1" ht="15" hidden="1" customHeight="1" x14ac:dyDescent="0.3">
      <c r="A218" s="13" t="s">
        <v>542</v>
      </c>
      <c r="B218" s="13">
        <v>1276968</v>
      </c>
      <c r="C218" s="13">
        <v>10880030432</v>
      </c>
      <c r="D218" s="14">
        <v>990000032158</v>
      </c>
      <c r="E218" s="13" t="s">
        <v>589</v>
      </c>
      <c r="F218" s="13">
        <v>46</v>
      </c>
      <c r="G218" s="15">
        <v>45340</v>
      </c>
      <c r="H218" s="15">
        <v>45356</v>
      </c>
      <c r="I218" s="13" t="s">
        <v>590</v>
      </c>
      <c r="J218" s="13" t="s">
        <v>389</v>
      </c>
      <c r="K218" s="18"/>
      <c r="L218" s="4"/>
    </row>
    <row r="219" spans="1:12" s="2" customFormat="1" ht="15" hidden="1" customHeight="1" x14ac:dyDescent="0.3">
      <c r="A219" s="13" t="s">
        <v>448</v>
      </c>
      <c r="B219" s="13">
        <v>1270543</v>
      </c>
      <c r="C219" s="13">
        <v>10880030243</v>
      </c>
      <c r="D219" s="14">
        <v>990000032269</v>
      </c>
      <c r="E219" s="13" t="s">
        <v>522</v>
      </c>
      <c r="F219" s="13">
        <v>333</v>
      </c>
      <c r="G219" s="15">
        <v>45342</v>
      </c>
      <c r="H219" s="15">
        <v>45346</v>
      </c>
      <c r="I219" s="13" t="s">
        <v>591</v>
      </c>
      <c r="J219" s="13" t="s">
        <v>379</v>
      </c>
      <c r="K219" s="18"/>
      <c r="L219" s="4"/>
    </row>
    <row r="220" spans="1:12" s="2" customFormat="1" ht="15" hidden="1" customHeight="1" x14ac:dyDescent="0.3">
      <c r="A220" s="13" t="s">
        <v>448</v>
      </c>
      <c r="B220" s="13">
        <v>30009148</v>
      </c>
      <c r="C220" s="13">
        <v>10880031072</v>
      </c>
      <c r="D220" s="14">
        <v>990000032397</v>
      </c>
      <c r="E220" s="13" t="s">
        <v>579</v>
      </c>
      <c r="F220" s="13">
        <v>4999</v>
      </c>
      <c r="G220" s="15">
        <v>45349</v>
      </c>
      <c r="H220" s="15">
        <v>45349</v>
      </c>
      <c r="I220" s="13" t="s">
        <v>580</v>
      </c>
      <c r="J220" s="13" t="s">
        <v>379</v>
      </c>
      <c r="K220" s="18"/>
      <c r="L220" s="4"/>
    </row>
    <row r="221" spans="1:12" s="2" customFormat="1" ht="15" hidden="1" customHeight="1" x14ac:dyDescent="0.3">
      <c r="A221" s="13" t="s">
        <v>448</v>
      </c>
      <c r="B221" s="13">
        <v>30009149</v>
      </c>
      <c r="C221" s="13">
        <v>10880031072</v>
      </c>
      <c r="D221" s="14">
        <v>990000032398</v>
      </c>
      <c r="E221" s="13" t="s">
        <v>579</v>
      </c>
      <c r="F221" s="13">
        <v>200</v>
      </c>
      <c r="G221" s="15">
        <v>45349</v>
      </c>
      <c r="H221" s="15">
        <v>45349</v>
      </c>
      <c r="I221" s="13" t="s">
        <v>580</v>
      </c>
      <c r="J221" s="13" t="s">
        <v>379</v>
      </c>
      <c r="K221" s="18"/>
      <c r="L221" s="4"/>
    </row>
    <row r="222" spans="1:12" s="2" customFormat="1" ht="15" hidden="1" customHeight="1" x14ac:dyDescent="0.3">
      <c r="A222" s="13" t="s">
        <v>448</v>
      </c>
      <c r="B222" s="13">
        <v>30009150</v>
      </c>
      <c r="C222" s="13">
        <v>10880031096</v>
      </c>
      <c r="D222" s="14">
        <v>990000032399</v>
      </c>
      <c r="E222" s="13" t="s">
        <v>278</v>
      </c>
      <c r="F222" s="13">
        <v>1999</v>
      </c>
      <c r="G222" s="15">
        <v>45349</v>
      </c>
      <c r="H222" s="15">
        <v>45349</v>
      </c>
      <c r="I222" s="13" t="s">
        <v>580</v>
      </c>
      <c r="J222" s="13" t="s">
        <v>379</v>
      </c>
      <c r="K222" s="18"/>
      <c r="L222" s="4"/>
    </row>
    <row r="223" spans="1:12" s="2" customFormat="1" ht="15" hidden="1" customHeight="1" x14ac:dyDescent="0.3">
      <c r="A223" s="13" t="s">
        <v>448</v>
      </c>
      <c r="B223" s="13">
        <v>1274213</v>
      </c>
      <c r="C223" s="13">
        <v>10880028345</v>
      </c>
      <c r="D223" s="14">
        <v>990000032394</v>
      </c>
      <c r="E223" s="13" t="s">
        <v>592</v>
      </c>
      <c r="F223" s="13">
        <v>1271</v>
      </c>
      <c r="G223" s="15">
        <v>45349</v>
      </c>
      <c r="H223" s="15">
        <v>45351</v>
      </c>
      <c r="I223" s="13" t="s">
        <v>593</v>
      </c>
      <c r="J223" s="13" t="s">
        <v>423</v>
      </c>
      <c r="K223" s="18"/>
      <c r="L223" s="4"/>
    </row>
    <row r="224" spans="1:12" s="2" customFormat="1" ht="15" hidden="1" customHeight="1" x14ac:dyDescent="0.3">
      <c r="A224" s="13" t="s">
        <v>448</v>
      </c>
      <c r="B224" s="13">
        <v>1274233</v>
      </c>
      <c r="C224" s="13">
        <v>10880028345</v>
      </c>
      <c r="D224" s="14">
        <v>990000032395</v>
      </c>
      <c r="E224" s="13" t="s">
        <v>592</v>
      </c>
      <c r="F224" s="13">
        <v>25</v>
      </c>
      <c r="G224" s="15">
        <v>45349</v>
      </c>
      <c r="H224" s="15">
        <v>45351</v>
      </c>
      <c r="I224" s="13" t="s">
        <v>593</v>
      </c>
      <c r="J224" s="13" t="s">
        <v>423</v>
      </c>
      <c r="K224" s="18"/>
      <c r="L224" s="4"/>
    </row>
    <row r="225" spans="1:12" s="2" customFormat="1" ht="15" hidden="1" customHeight="1" x14ac:dyDescent="0.3">
      <c r="A225" s="13" t="s">
        <v>594</v>
      </c>
      <c r="B225" s="13">
        <v>1231929</v>
      </c>
      <c r="C225" s="13">
        <v>10880021311</v>
      </c>
      <c r="D225" s="14">
        <v>990000032481</v>
      </c>
      <c r="E225" s="13" t="s">
        <v>188</v>
      </c>
      <c r="F225" s="13">
        <v>240</v>
      </c>
      <c r="G225" s="15">
        <v>45351</v>
      </c>
      <c r="H225" s="15">
        <v>45352</v>
      </c>
      <c r="I225" s="13" t="s">
        <v>595</v>
      </c>
      <c r="J225" s="13" t="s">
        <v>379</v>
      </c>
      <c r="K225" s="18"/>
      <c r="L225" s="4"/>
    </row>
    <row r="226" spans="1:12" s="2" customFormat="1" ht="15" hidden="1" customHeight="1" x14ac:dyDescent="0.3">
      <c r="A226" s="13" t="s">
        <v>596</v>
      </c>
      <c r="B226" s="13">
        <v>1274194</v>
      </c>
      <c r="C226" s="13">
        <v>10880030299</v>
      </c>
      <c r="D226" s="14">
        <v>990000032543</v>
      </c>
      <c r="E226" s="13" t="s">
        <v>597</v>
      </c>
      <c r="F226" s="13">
        <v>198</v>
      </c>
      <c r="G226" s="15">
        <v>45357</v>
      </c>
      <c r="H226" s="15">
        <v>45359</v>
      </c>
      <c r="I226" s="13" t="s">
        <v>598</v>
      </c>
      <c r="J226" s="13" t="s">
        <v>379</v>
      </c>
      <c r="K226" s="18"/>
      <c r="L226" s="4"/>
    </row>
    <row r="227" spans="1:12" s="2" customFormat="1" ht="15" hidden="1" customHeight="1" x14ac:dyDescent="0.3">
      <c r="A227" s="13" t="s">
        <v>596</v>
      </c>
      <c r="B227" s="13">
        <v>1263728</v>
      </c>
      <c r="C227" s="13">
        <v>10880019773</v>
      </c>
      <c r="D227" s="14">
        <v>990000032581</v>
      </c>
      <c r="E227" s="13" t="s">
        <v>573</v>
      </c>
      <c r="F227" s="13">
        <v>469</v>
      </c>
      <c r="G227" s="15">
        <v>45359</v>
      </c>
      <c r="H227" s="15">
        <v>45361</v>
      </c>
      <c r="I227" s="13" t="s">
        <v>599</v>
      </c>
      <c r="J227" s="13" t="s">
        <v>379</v>
      </c>
      <c r="K227" s="18"/>
      <c r="L227" s="4"/>
    </row>
    <row r="228" spans="1:12" s="2" customFormat="1" ht="15" hidden="1" customHeight="1" x14ac:dyDescent="0.3">
      <c r="A228" s="13" t="s">
        <v>596</v>
      </c>
      <c r="B228" s="13">
        <v>30009109</v>
      </c>
      <c r="C228" s="13">
        <v>10880019773</v>
      </c>
      <c r="D228" s="14">
        <v>990000032582</v>
      </c>
      <c r="E228" s="13" t="s">
        <v>573</v>
      </c>
      <c r="F228" s="13">
        <v>86</v>
      </c>
      <c r="G228" s="15">
        <v>45359</v>
      </c>
      <c r="H228" s="15">
        <v>45361</v>
      </c>
      <c r="I228" s="13" t="s">
        <v>599</v>
      </c>
      <c r="J228" s="13" t="s">
        <v>379</v>
      </c>
      <c r="K228" s="18"/>
      <c r="L228" s="4"/>
    </row>
    <row r="229" spans="1:12" s="2" customFormat="1" ht="15" hidden="1" customHeight="1" x14ac:dyDescent="0.3">
      <c r="A229" s="13" t="s">
        <v>377</v>
      </c>
      <c r="B229" s="13">
        <v>1249660</v>
      </c>
      <c r="C229" s="13">
        <v>10880016525</v>
      </c>
      <c r="D229" s="14">
        <v>990000032599</v>
      </c>
      <c r="E229" s="13" t="s">
        <v>600</v>
      </c>
      <c r="F229" s="13">
        <v>77</v>
      </c>
      <c r="G229" s="15">
        <v>45363</v>
      </c>
      <c r="H229" s="15">
        <v>45364</v>
      </c>
      <c r="I229" s="13" t="s">
        <v>601</v>
      </c>
      <c r="J229" s="13" t="s">
        <v>389</v>
      </c>
      <c r="K229" s="18"/>
      <c r="L229" s="4"/>
    </row>
    <row r="230" spans="1:12" s="2" customFormat="1" ht="15" hidden="1" customHeight="1" x14ac:dyDescent="0.3">
      <c r="A230" s="13" t="s">
        <v>377</v>
      </c>
      <c r="B230" s="13">
        <v>1207279</v>
      </c>
      <c r="C230" s="13">
        <v>10880019039</v>
      </c>
      <c r="D230" s="14">
        <v>990000032710</v>
      </c>
      <c r="E230" s="13" t="s">
        <v>478</v>
      </c>
      <c r="F230" s="13">
        <v>300</v>
      </c>
      <c r="G230" s="15">
        <v>45366</v>
      </c>
      <c r="H230" s="15">
        <v>45367</v>
      </c>
      <c r="I230" s="13" t="s">
        <v>602</v>
      </c>
      <c r="J230" s="13" t="s">
        <v>379</v>
      </c>
      <c r="K230" s="18"/>
      <c r="L230" s="4"/>
    </row>
    <row r="231" spans="1:12" s="2" customFormat="1" ht="15" hidden="1" customHeight="1" x14ac:dyDescent="0.3">
      <c r="A231" s="13" t="s">
        <v>377</v>
      </c>
      <c r="B231" s="13">
        <v>1283132</v>
      </c>
      <c r="C231" s="13">
        <v>10880030132</v>
      </c>
      <c r="D231" s="14">
        <v>990000032712</v>
      </c>
      <c r="E231" s="13" t="s">
        <v>603</v>
      </c>
      <c r="F231" s="13">
        <v>197</v>
      </c>
      <c r="G231" s="15">
        <v>45367</v>
      </c>
      <c r="H231" s="15">
        <v>45373</v>
      </c>
      <c r="I231" s="13" t="s">
        <v>604</v>
      </c>
      <c r="J231" s="13" t="s">
        <v>396</v>
      </c>
      <c r="K231" s="18"/>
      <c r="L231" s="4"/>
    </row>
    <row r="232" spans="1:12" s="2" customFormat="1" ht="15" hidden="1" customHeight="1" x14ac:dyDescent="0.3">
      <c r="A232" s="13" t="s">
        <v>397</v>
      </c>
      <c r="B232" s="13">
        <v>1247147</v>
      </c>
      <c r="C232" s="13">
        <v>10880020678</v>
      </c>
      <c r="D232" s="14">
        <v>990000032718</v>
      </c>
      <c r="E232" s="13" t="s">
        <v>409</v>
      </c>
      <c r="F232" s="13">
        <v>2</v>
      </c>
      <c r="G232" s="15">
        <v>45369</v>
      </c>
      <c r="H232" s="15"/>
      <c r="I232" s="13" t="s">
        <v>605</v>
      </c>
      <c r="J232" s="13" t="s">
        <v>379</v>
      </c>
      <c r="K232" s="18"/>
      <c r="L232" s="4"/>
    </row>
    <row r="233" spans="1:12" s="2" customFormat="1" ht="15" hidden="1" customHeight="1" x14ac:dyDescent="0.3">
      <c r="A233" s="13" t="s">
        <v>397</v>
      </c>
      <c r="B233" s="13">
        <v>1278146</v>
      </c>
      <c r="C233" s="13">
        <v>10880020678</v>
      </c>
      <c r="D233" s="14">
        <v>990000032719</v>
      </c>
      <c r="E233" s="13" t="s">
        <v>409</v>
      </c>
      <c r="F233" s="13">
        <v>2</v>
      </c>
      <c r="G233" s="15">
        <v>45369</v>
      </c>
      <c r="H233" s="15" t="s">
        <v>487</v>
      </c>
      <c r="I233" s="13" t="s">
        <v>605</v>
      </c>
      <c r="J233" s="13" t="s">
        <v>489</v>
      </c>
      <c r="K233" s="18"/>
      <c r="L233" s="4"/>
    </row>
    <row r="234" spans="1:12" s="2" customFormat="1" ht="15" hidden="1" customHeight="1" x14ac:dyDescent="0.3">
      <c r="A234" s="13" t="s">
        <v>397</v>
      </c>
      <c r="B234" s="13">
        <v>1273804</v>
      </c>
      <c r="C234" s="13">
        <v>10880020678</v>
      </c>
      <c r="D234" s="14">
        <v>990000032717</v>
      </c>
      <c r="E234" s="13" t="s">
        <v>409</v>
      </c>
      <c r="F234" s="13">
        <v>1232</v>
      </c>
      <c r="G234" s="15">
        <v>45369</v>
      </c>
      <c r="H234" s="15">
        <v>45370</v>
      </c>
      <c r="I234" s="13" t="s">
        <v>605</v>
      </c>
      <c r="J234" s="13" t="s">
        <v>379</v>
      </c>
      <c r="K234" s="18"/>
      <c r="L234" s="4"/>
    </row>
    <row r="235" spans="1:12" s="2" customFormat="1" ht="15" hidden="1" customHeight="1" x14ac:dyDescent="0.3">
      <c r="A235" s="13" t="s">
        <v>397</v>
      </c>
      <c r="B235" s="13">
        <v>1278143</v>
      </c>
      <c r="C235" s="13">
        <v>10880020678</v>
      </c>
      <c r="D235" s="14">
        <v>990000032752</v>
      </c>
      <c r="E235" s="13" t="s">
        <v>409</v>
      </c>
      <c r="F235" s="13">
        <v>519</v>
      </c>
      <c r="G235" s="15">
        <v>45369</v>
      </c>
      <c r="H235" s="15">
        <v>45370</v>
      </c>
      <c r="I235" s="13" t="s">
        <v>605</v>
      </c>
      <c r="J235" s="13" t="s">
        <v>379</v>
      </c>
      <c r="K235" s="18"/>
      <c r="L235" s="4"/>
    </row>
    <row r="236" spans="1:12" s="2" customFormat="1" ht="15" hidden="1" customHeight="1" x14ac:dyDescent="0.3">
      <c r="A236" s="13" t="s">
        <v>397</v>
      </c>
      <c r="B236" s="13">
        <v>1278144</v>
      </c>
      <c r="C236" s="13">
        <v>10880020678</v>
      </c>
      <c r="D236" s="14">
        <v>990000032753</v>
      </c>
      <c r="E236" s="13" t="s">
        <v>409</v>
      </c>
      <c r="F236" s="13">
        <v>120</v>
      </c>
      <c r="G236" s="15">
        <v>45369</v>
      </c>
      <c r="H236" s="15">
        <v>45370</v>
      </c>
      <c r="I236" s="13" t="s">
        <v>605</v>
      </c>
      <c r="J236" s="13" t="s">
        <v>379</v>
      </c>
      <c r="K236" s="18"/>
      <c r="L236" s="4"/>
    </row>
    <row r="237" spans="1:12" s="2" customFormat="1" ht="15" hidden="1" customHeight="1" x14ac:dyDescent="0.3">
      <c r="A237" s="13" t="s">
        <v>397</v>
      </c>
      <c r="B237" s="13">
        <v>1278142</v>
      </c>
      <c r="C237" s="13">
        <v>10880020678</v>
      </c>
      <c r="D237" s="14">
        <v>990000032754</v>
      </c>
      <c r="E237" s="13" t="s">
        <v>409</v>
      </c>
      <c r="F237" s="13">
        <v>1</v>
      </c>
      <c r="G237" s="15">
        <v>45369</v>
      </c>
      <c r="H237" s="15">
        <v>45370</v>
      </c>
      <c r="I237" s="13" t="s">
        <v>605</v>
      </c>
      <c r="J237" s="13" t="s">
        <v>379</v>
      </c>
      <c r="K237" s="18"/>
      <c r="L237" s="4"/>
    </row>
    <row r="238" spans="1:12" s="2" customFormat="1" ht="15" hidden="1" customHeight="1" x14ac:dyDescent="0.3">
      <c r="A238" s="13" t="s">
        <v>397</v>
      </c>
      <c r="B238" s="13">
        <v>1262317</v>
      </c>
      <c r="C238" s="13">
        <v>10880028169</v>
      </c>
      <c r="D238" s="14">
        <v>990000032823</v>
      </c>
      <c r="E238" s="13" t="s">
        <v>606</v>
      </c>
      <c r="F238" s="13">
        <v>38</v>
      </c>
      <c r="G238" s="15">
        <v>45372</v>
      </c>
      <c r="H238" s="15">
        <v>45373</v>
      </c>
      <c r="I238" s="13" t="s">
        <v>607</v>
      </c>
      <c r="J238" s="13" t="s">
        <v>389</v>
      </c>
      <c r="K238" s="18"/>
      <c r="L238" s="4"/>
    </row>
    <row r="239" spans="1:12" s="2" customFormat="1" ht="15" hidden="1" customHeight="1" x14ac:dyDescent="0.3">
      <c r="A239" s="13" t="s">
        <v>397</v>
      </c>
      <c r="B239" s="13">
        <v>1263652</v>
      </c>
      <c r="C239" s="13">
        <v>10880028169</v>
      </c>
      <c r="D239" s="14">
        <v>990000032824</v>
      </c>
      <c r="E239" s="13" t="s">
        <v>606</v>
      </c>
      <c r="F239" s="13">
        <v>71</v>
      </c>
      <c r="G239" s="15">
        <v>45372</v>
      </c>
      <c r="H239" s="15">
        <v>45373</v>
      </c>
      <c r="I239" s="13" t="s">
        <v>607</v>
      </c>
      <c r="J239" s="13" t="s">
        <v>389</v>
      </c>
      <c r="K239" s="18"/>
      <c r="L239" s="4"/>
    </row>
    <row r="240" spans="1:12" s="2" customFormat="1" ht="15" hidden="1" customHeight="1" x14ac:dyDescent="0.3">
      <c r="A240" s="13" t="s">
        <v>594</v>
      </c>
      <c r="B240" s="13">
        <v>1231929</v>
      </c>
      <c r="C240" s="13">
        <v>10880021311</v>
      </c>
      <c r="D240" s="14">
        <v>990000032826</v>
      </c>
      <c r="E240" s="13" t="s">
        <v>188</v>
      </c>
      <c r="F240" s="13">
        <v>420</v>
      </c>
      <c r="G240" s="15">
        <v>45372</v>
      </c>
      <c r="H240" s="15">
        <v>45373</v>
      </c>
      <c r="I240" s="13" t="s">
        <v>608</v>
      </c>
      <c r="J240" s="13" t="s">
        <v>379</v>
      </c>
      <c r="K240" s="18"/>
      <c r="L240" s="4"/>
    </row>
    <row r="241" spans="1:12" s="2" customFormat="1" ht="15" hidden="1" customHeight="1" x14ac:dyDescent="0.3">
      <c r="A241" s="13" t="s">
        <v>377</v>
      </c>
      <c r="B241" s="13">
        <v>30008691</v>
      </c>
      <c r="C241" s="13">
        <v>10880029156</v>
      </c>
      <c r="D241" s="14">
        <v>990000032825</v>
      </c>
      <c r="E241" s="13" t="s">
        <v>536</v>
      </c>
      <c r="F241" s="13">
        <v>384</v>
      </c>
      <c r="G241" s="15">
        <v>45372</v>
      </c>
      <c r="H241" s="15">
        <v>45373</v>
      </c>
      <c r="I241" s="13" t="s">
        <v>609</v>
      </c>
      <c r="J241" s="13" t="s">
        <v>379</v>
      </c>
      <c r="K241" s="18"/>
      <c r="L241" s="4"/>
    </row>
    <row r="242" spans="1:12" s="2" customFormat="1" ht="15" hidden="1" customHeight="1" x14ac:dyDescent="0.3">
      <c r="A242" s="13" t="s">
        <v>596</v>
      </c>
      <c r="B242" s="13">
        <v>1262294</v>
      </c>
      <c r="C242" s="13">
        <v>10880019222</v>
      </c>
      <c r="D242" s="14">
        <v>990000032839</v>
      </c>
      <c r="E242" s="13" t="s">
        <v>469</v>
      </c>
      <c r="F242" s="13">
        <v>553</v>
      </c>
      <c r="G242" s="15">
        <v>45373</v>
      </c>
      <c r="H242" s="15">
        <v>45376</v>
      </c>
      <c r="I242" s="13" t="s">
        <v>610</v>
      </c>
      <c r="J242" s="13" t="s">
        <v>379</v>
      </c>
      <c r="K242" s="18"/>
      <c r="L242" s="4"/>
    </row>
    <row r="243" spans="1:12" s="2" customFormat="1" ht="15" hidden="1" customHeight="1" x14ac:dyDescent="0.3">
      <c r="A243" s="13" t="s">
        <v>448</v>
      </c>
      <c r="B243" s="13">
        <v>1256425</v>
      </c>
      <c r="C243" s="13">
        <v>10880021315</v>
      </c>
      <c r="D243" s="14">
        <v>990000032835</v>
      </c>
      <c r="E243" s="13" t="s">
        <v>571</v>
      </c>
      <c r="F243" s="13">
        <v>86</v>
      </c>
      <c r="G243" s="15">
        <v>45373</v>
      </c>
      <c r="H243" s="15">
        <v>45376</v>
      </c>
      <c r="I243" s="13" t="s">
        <v>611</v>
      </c>
      <c r="J243" s="13" t="s">
        <v>379</v>
      </c>
      <c r="K243" s="18"/>
      <c r="L243" s="4"/>
    </row>
    <row r="244" spans="1:12" s="2" customFormat="1" ht="15" hidden="1" customHeight="1" x14ac:dyDescent="0.3">
      <c r="A244" s="13" t="s">
        <v>448</v>
      </c>
      <c r="B244" s="13">
        <v>1231501</v>
      </c>
      <c r="C244" s="13">
        <v>10880021316</v>
      </c>
      <c r="D244" s="14">
        <v>990000032836</v>
      </c>
      <c r="E244" s="13" t="s">
        <v>612</v>
      </c>
      <c r="F244" s="13">
        <v>389</v>
      </c>
      <c r="G244" s="15">
        <v>45373</v>
      </c>
      <c r="H244" s="15">
        <v>45376</v>
      </c>
      <c r="I244" s="13" t="s">
        <v>613</v>
      </c>
      <c r="J244" s="13" t="s">
        <v>379</v>
      </c>
      <c r="K244" s="18"/>
      <c r="L244" s="4"/>
    </row>
    <row r="245" spans="1:12" s="2" customFormat="1" ht="15" hidden="1" customHeight="1" x14ac:dyDescent="0.3">
      <c r="A245" s="13" t="s">
        <v>448</v>
      </c>
      <c r="B245" s="13">
        <v>1231503</v>
      </c>
      <c r="C245" s="13">
        <v>10880021316</v>
      </c>
      <c r="D245" s="14">
        <v>990000032837</v>
      </c>
      <c r="E245" s="13" t="s">
        <v>612</v>
      </c>
      <c r="F245" s="13">
        <v>25</v>
      </c>
      <c r="G245" s="15">
        <v>45373</v>
      </c>
      <c r="H245" s="15">
        <v>45376</v>
      </c>
      <c r="I245" s="13" t="s">
        <v>613</v>
      </c>
      <c r="J245" s="13" t="s">
        <v>379</v>
      </c>
      <c r="K245" s="18"/>
      <c r="L245" s="4"/>
    </row>
    <row r="246" spans="1:12" s="2" customFormat="1" ht="15" hidden="1" customHeight="1" x14ac:dyDescent="0.3">
      <c r="A246" s="13" t="s">
        <v>448</v>
      </c>
      <c r="B246" s="13">
        <v>1278393</v>
      </c>
      <c r="C246" s="13">
        <v>10880030491</v>
      </c>
      <c r="D246" s="14">
        <v>990000032922</v>
      </c>
      <c r="E246" s="13" t="s">
        <v>614</v>
      </c>
      <c r="F246" s="13">
        <v>452</v>
      </c>
      <c r="G246" s="15">
        <v>45373</v>
      </c>
      <c r="H246" s="15">
        <v>45390</v>
      </c>
      <c r="I246" s="13" t="s">
        <v>615</v>
      </c>
      <c r="J246" s="13" t="s">
        <v>389</v>
      </c>
      <c r="K246" s="18"/>
      <c r="L246" s="4"/>
    </row>
    <row r="247" spans="1:12" s="2" customFormat="1" ht="15" hidden="1" customHeight="1" x14ac:dyDescent="0.3">
      <c r="A247" s="13" t="s">
        <v>448</v>
      </c>
      <c r="B247" s="13">
        <v>1286078</v>
      </c>
      <c r="C247" s="13">
        <v>10880030491</v>
      </c>
      <c r="D247" s="14">
        <v>990000032923</v>
      </c>
      <c r="E247" s="13" t="s">
        <v>614</v>
      </c>
      <c r="F247" s="13">
        <v>28</v>
      </c>
      <c r="G247" s="15">
        <v>45373</v>
      </c>
      <c r="H247" s="15">
        <v>45390</v>
      </c>
      <c r="I247" s="13" t="s">
        <v>615</v>
      </c>
      <c r="J247" s="13" t="s">
        <v>389</v>
      </c>
      <c r="K247" s="18"/>
      <c r="L247" s="4"/>
    </row>
    <row r="248" spans="1:12" s="2" customFormat="1" ht="15" hidden="1" customHeight="1" x14ac:dyDescent="0.3">
      <c r="A248" s="13" t="s">
        <v>448</v>
      </c>
      <c r="B248" s="13">
        <v>1278392</v>
      </c>
      <c r="C248" s="13">
        <v>10880030491</v>
      </c>
      <c r="D248" s="14">
        <v>990000032921</v>
      </c>
      <c r="E248" s="13" t="s">
        <v>614</v>
      </c>
      <c r="F248" s="13">
        <v>5000</v>
      </c>
      <c r="G248" s="15">
        <v>45373</v>
      </c>
      <c r="H248" s="15">
        <v>45395</v>
      </c>
      <c r="I248" s="13" t="s">
        <v>615</v>
      </c>
      <c r="J248" s="13" t="s">
        <v>389</v>
      </c>
      <c r="K248" s="18"/>
      <c r="L248" s="4"/>
    </row>
    <row r="249" spans="1:12" s="2" customFormat="1" ht="15" hidden="1" customHeight="1" x14ac:dyDescent="0.3">
      <c r="A249" s="13" t="s">
        <v>377</v>
      </c>
      <c r="B249" s="13">
        <v>1207283</v>
      </c>
      <c r="C249" s="13">
        <v>10880019039</v>
      </c>
      <c r="D249" s="14">
        <v>990000032928</v>
      </c>
      <c r="E249" s="13" t="s">
        <v>478</v>
      </c>
      <c r="F249" s="13">
        <v>300</v>
      </c>
      <c r="G249" s="15">
        <v>45376</v>
      </c>
      <c r="H249" s="15">
        <v>45378</v>
      </c>
      <c r="I249" s="13" t="s">
        <v>602</v>
      </c>
      <c r="J249" s="13" t="s">
        <v>379</v>
      </c>
      <c r="K249" s="18"/>
      <c r="L249" s="4"/>
    </row>
    <row r="250" spans="1:12" s="2" customFormat="1" ht="15" hidden="1" customHeight="1" x14ac:dyDescent="0.3">
      <c r="A250" s="13" t="s">
        <v>448</v>
      </c>
      <c r="B250" s="13">
        <v>1237347</v>
      </c>
      <c r="C250" s="13">
        <v>10880022044</v>
      </c>
      <c r="D250" s="14">
        <v>990000032819</v>
      </c>
      <c r="E250" s="13" t="s">
        <v>417</v>
      </c>
      <c r="F250" s="13">
        <v>1629</v>
      </c>
      <c r="G250" s="15">
        <v>45376</v>
      </c>
      <c r="H250" s="15">
        <v>45380</v>
      </c>
      <c r="I250" s="13" t="s">
        <v>616</v>
      </c>
      <c r="J250" s="13" t="s">
        <v>379</v>
      </c>
      <c r="K250" s="18"/>
      <c r="L250" s="4"/>
    </row>
    <row r="251" spans="1:12" s="2" customFormat="1" ht="15" hidden="1" customHeight="1" x14ac:dyDescent="0.3">
      <c r="A251" s="13" t="s">
        <v>448</v>
      </c>
      <c r="B251" s="13">
        <v>1237311</v>
      </c>
      <c r="C251" s="13">
        <v>10880022044</v>
      </c>
      <c r="D251" s="14">
        <v>990000032822</v>
      </c>
      <c r="E251" s="13" t="s">
        <v>417</v>
      </c>
      <c r="F251" s="13">
        <v>51</v>
      </c>
      <c r="G251" s="15">
        <v>45376</v>
      </c>
      <c r="H251" s="15" t="s">
        <v>487</v>
      </c>
      <c r="I251" s="13" t="s">
        <v>616</v>
      </c>
      <c r="J251" s="13" t="s">
        <v>489</v>
      </c>
      <c r="K251" s="18"/>
      <c r="L251" s="4"/>
    </row>
    <row r="252" spans="1:12" s="2" customFormat="1" ht="15" hidden="1" customHeight="1" x14ac:dyDescent="0.3">
      <c r="A252" s="13" t="s">
        <v>594</v>
      </c>
      <c r="B252" s="13">
        <v>1238934</v>
      </c>
      <c r="C252" s="13">
        <v>10880021311</v>
      </c>
      <c r="D252" s="14">
        <v>990000032934</v>
      </c>
      <c r="E252" s="13" t="s">
        <v>188</v>
      </c>
      <c r="F252" s="13">
        <v>53</v>
      </c>
      <c r="G252" s="15">
        <v>45377</v>
      </c>
      <c r="H252" s="15">
        <v>45396</v>
      </c>
      <c r="I252" s="13" t="s">
        <v>608</v>
      </c>
      <c r="J252" s="13" t="s">
        <v>379</v>
      </c>
      <c r="K252" s="18"/>
      <c r="L252" s="4"/>
    </row>
    <row r="253" spans="1:12" s="2" customFormat="1" ht="15" hidden="1" customHeight="1" x14ac:dyDescent="0.3">
      <c r="A253" s="13" t="s">
        <v>594</v>
      </c>
      <c r="B253" s="13">
        <v>1238935</v>
      </c>
      <c r="C253" s="13">
        <v>10880021311</v>
      </c>
      <c r="D253" s="14">
        <v>990000032935</v>
      </c>
      <c r="E253" s="13" t="s">
        <v>188</v>
      </c>
      <c r="F253" s="13">
        <v>996</v>
      </c>
      <c r="G253" s="15">
        <v>45377</v>
      </c>
      <c r="H253" s="15">
        <v>45398</v>
      </c>
      <c r="I253" s="13" t="s">
        <v>608</v>
      </c>
      <c r="J253" s="13" t="s">
        <v>379</v>
      </c>
      <c r="K253" s="18"/>
      <c r="L253" s="4"/>
    </row>
    <row r="254" spans="1:12" s="2" customFormat="1" ht="15" hidden="1" customHeight="1" x14ac:dyDescent="0.3">
      <c r="A254" s="13" t="s">
        <v>594</v>
      </c>
      <c r="B254" s="13">
        <v>1282470</v>
      </c>
      <c r="C254" s="13">
        <v>10880031018</v>
      </c>
      <c r="D254" s="14">
        <v>990000032938</v>
      </c>
      <c r="E254" s="13" t="s">
        <v>617</v>
      </c>
      <c r="F254" s="13">
        <v>480</v>
      </c>
      <c r="G254" s="15">
        <v>45378</v>
      </c>
      <c r="H254" s="15">
        <v>45382</v>
      </c>
      <c r="I254" s="13" t="s">
        <v>618</v>
      </c>
      <c r="J254" s="13" t="s">
        <v>379</v>
      </c>
      <c r="K254" s="18"/>
      <c r="L254" s="4"/>
    </row>
    <row r="255" spans="1:12" s="2" customFormat="1" ht="15" hidden="1" customHeight="1" x14ac:dyDescent="0.3">
      <c r="A255" s="13" t="s">
        <v>545</v>
      </c>
      <c r="B255" s="13">
        <v>30009344</v>
      </c>
      <c r="C255" s="13">
        <v>10880018843</v>
      </c>
      <c r="D255" s="14">
        <v>990000033047</v>
      </c>
      <c r="E255" s="13" t="s">
        <v>619</v>
      </c>
      <c r="F255" s="13">
        <v>120</v>
      </c>
      <c r="G255" s="15">
        <v>45383</v>
      </c>
      <c r="H255" s="15">
        <v>45385</v>
      </c>
      <c r="I255" s="13" t="s">
        <v>620</v>
      </c>
      <c r="J255" s="13" t="s">
        <v>379</v>
      </c>
      <c r="K255" s="18"/>
      <c r="L255" s="4"/>
    </row>
    <row r="256" spans="1:12" s="2" customFormat="1" ht="15" hidden="1" customHeight="1" x14ac:dyDescent="0.3">
      <c r="A256" s="13" t="s">
        <v>545</v>
      </c>
      <c r="B256" s="13">
        <v>30009345</v>
      </c>
      <c r="C256" s="13">
        <v>10880018850</v>
      </c>
      <c r="D256" s="14">
        <v>990000033050</v>
      </c>
      <c r="E256" s="13" t="s">
        <v>398</v>
      </c>
      <c r="F256" s="13">
        <v>1021</v>
      </c>
      <c r="G256" s="15">
        <v>45384</v>
      </c>
      <c r="H256" s="15">
        <v>45392</v>
      </c>
      <c r="I256" s="13" t="s">
        <v>621</v>
      </c>
      <c r="J256" s="13" t="s">
        <v>379</v>
      </c>
      <c r="K256" s="18"/>
      <c r="L256" s="4"/>
    </row>
    <row r="257" spans="1:12" s="2" customFormat="1" ht="15" hidden="1" customHeight="1" x14ac:dyDescent="0.3">
      <c r="A257" s="13" t="s">
        <v>448</v>
      </c>
      <c r="B257" s="13">
        <v>1222397</v>
      </c>
      <c r="C257" s="13">
        <v>10880020647</v>
      </c>
      <c r="D257" s="14">
        <v>990000033051</v>
      </c>
      <c r="E257" s="13" t="s">
        <v>471</v>
      </c>
      <c r="F257" s="13">
        <v>506</v>
      </c>
      <c r="G257" s="15">
        <v>45384</v>
      </c>
      <c r="H257" s="15">
        <v>45391</v>
      </c>
      <c r="I257" s="13" t="s">
        <v>622</v>
      </c>
      <c r="J257" s="13" t="s">
        <v>379</v>
      </c>
      <c r="K257" s="18"/>
      <c r="L257" s="4"/>
    </row>
    <row r="258" spans="1:12" s="2" customFormat="1" ht="15" hidden="1" customHeight="1" x14ac:dyDescent="0.3">
      <c r="A258" s="13" t="s">
        <v>448</v>
      </c>
      <c r="B258" s="13">
        <v>1278277</v>
      </c>
      <c r="C258" s="13">
        <v>10880020647</v>
      </c>
      <c r="D258" s="14">
        <v>990000033052</v>
      </c>
      <c r="E258" s="13" t="s">
        <v>471</v>
      </c>
      <c r="F258" s="13">
        <v>401</v>
      </c>
      <c r="G258" s="15">
        <v>45384</v>
      </c>
      <c r="H258" s="15">
        <v>45391</v>
      </c>
      <c r="I258" s="13" t="s">
        <v>622</v>
      </c>
      <c r="J258" s="13" t="s">
        <v>379</v>
      </c>
      <c r="K258" s="18"/>
      <c r="L258" s="4"/>
    </row>
    <row r="259" spans="1:12" s="2" customFormat="1" ht="15" hidden="1" customHeight="1" x14ac:dyDescent="0.3">
      <c r="A259" s="13" t="s">
        <v>448</v>
      </c>
      <c r="B259" s="13">
        <v>30009354</v>
      </c>
      <c r="C259" s="13">
        <v>10880031570</v>
      </c>
      <c r="D259" s="14">
        <v>990000033169</v>
      </c>
      <c r="E259" s="13" t="s">
        <v>623</v>
      </c>
      <c r="F259" s="13">
        <v>1200</v>
      </c>
      <c r="G259" s="15">
        <v>45390</v>
      </c>
      <c r="H259" s="15" t="s">
        <v>487</v>
      </c>
      <c r="I259" s="13" t="s">
        <v>580</v>
      </c>
      <c r="J259" s="13" t="s">
        <v>489</v>
      </c>
      <c r="K259" s="18"/>
      <c r="L259" s="4"/>
    </row>
    <row r="260" spans="1:12" s="2" customFormat="1" ht="15" hidden="1" customHeight="1" x14ac:dyDescent="0.3">
      <c r="A260" s="13" t="s">
        <v>624</v>
      </c>
      <c r="B260" s="13">
        <v>1284840</v>
      </c>
      <c r="C260" s="13">
        <v>10880031307</v>
      </c>
      <c r="D260" s="14">
        <v>990000033172</v>
      </c>
      <c r="E260" s="13" t="s">
        <v>238</v>
      </c>
      <c r="F260" s="13">
        <v>90</v>
      </c>
      <c r="G260" s="15">
        <v>45390</v>
      </c>
      <c r="H260" s="15">
        <v>45397</v>
      </c>
      <c r="I260" s="13" t="s">
        <v>625</v>
      </c>
      <c r="J260" s="13" t="s">
        <v>379</v>
      </c>
      <c r="K260" s="18"/>
      <c r="L260" s="4"/>
    </row>
    <row r="261" spans="1:12" s="2" customFormat="1" ht="15" hidden="1" customHeight="1" x14ac:dyDescent="0.3">
      <c r="A261" s="13" t="s">
        <v>624</v>
      </c>
      <c r="B261" s="13">
        <v>1262026</v>
      </c>
      <c r="C261" s="13">
        <v>10880020187</v>
      </c>
      <c r="D261" s="14">
        <v>990000033175</v>
      </c>
      <c r="E261" s="13" t="s">
        <v>223</v>
      </c>
      <c r="F261" s="13">
        <v>194</v>
      </c>
      <c r="G261" s="15">
        <v>45390</v>
      </c>
      <c r="H261" s="15">
        <v>45400</v>
      </c>
      <c r="I261" s="13" t="s">
        <v>626</v>
      </c>
      <c r="J261" s="13" t="s">
        <v>379</v>
      </c>
      <c r="K261" s="18"/>
      <c r="L261" s="4"/>
    </row>
    <row r="262" spans="1:12" s="2" customFormat="1" ht="15" hidden="1" customHeight="1" x14ac:dyDescent="0.3">
      <c r="A262" s="13" t="s">
        <v>624</v>
      </c>
      <c r="B262" s="13">
        <v>1215113</v>
      </c>
      <c r="C262" s="13">
        <v>10880020189</v>
      </c>
      <c r="D262" s="14">
        <v>990000033174</v>
      </c>
      <c r="E262" s="13" t="s">
        <v>627</v>
      </c>
      <c r="F262" s="13">
        <v>191</v>
      </c>
      <c r="G262" s="15">
        <v>45390</v>
      </c>
      <c r="H262" s="15" t="s">
        <v>487</v>
      </c>
      <c r="I262" s="13" t="s">
        <v>628</v>
      </c>
      <c r="J262" s="13" t="s">
        <v>489</v>
      </c>
      <c r="K262" s="18"/>
      <c r="L262" s="4"/>
    </row>
    <row r="263" spans="1:12" s="2" customFormat="1" ht="15" hidden="1" customHeight="1" x14ac:dyDescent="0.3">
      <c r="A263" s="13" t="s">
        <v>624</v>
      </c>
      <c r="B263" s="13">
        <v>1228508</v>
      </c>
      <c r="C263" s="13">
        <v>10880021172</v>
      </c>
      <c r="D263" s="14">
        <v>990000033173</v>
      </c>
      <c r="E263" s="13" t="s">
        <v>494</v>
      </c>
      <c r="F263" s="13">
        <v>15</v>
      </c>
      <c r="G263" s="15">
        <v>45390</v>
      </c>
      <c r="H263" s="15" t="s">
        <v>487</v>
      </c>
      <c r="I263" s="13" t="s">
        <v>629</v>
      </c>
      <c r="J263" s="13" t="s">
        <v>489</v>
      </c>
      <c r="K263" s="18"/>
      <c r="L263" s="4"/>
    </row>
    <row r="264" spans="1:12" s="2" customFormat="1" ht="15" hidden="1" customHeight="1" x14ac:dyDescent="0.3">
      <c r="A264" s="13" t="s">
        <v>630</v>
      </c>
      <c r="B264" s="13">
        <v>1289830</v>
      </c>
      <c r="C264" s="13">
        <v>10880029999</v>
      </c>
      <c r="D264" s="14">
        <v>990000033203</v>
      </c>
      <c r="E264" s="13" t="s">
        <v>631</v>
      </c>
      <c r="F264" s="13">
        <v>193</v>
      </c>
      <c r="G264" s="15">
        <v>45391</v>
      </c>
      <c r="H264" s="15">
        <v>45397</v>
      </c>
      <c r="I264" s="13" t="s">
        <v>632</v>
      </c>
      <c r="J264" s="13" t="s">
        <v>379</v>
      </c>
      <c r="K264" s="18"/>
      <c r="L264" s="4"/>
    </row>
    <row r="265" spans="1:12" s="2" customFormat="1" ht="15" hidden="1" customHeight="1" x14ac:dyDescent="0.3">
      <c r="A265" s="13" t="s">
        <v>630</v>
      </c>
      <c r="B265" s="13">
        <v>1258106</v>
      </c>
      <c r="C265" s="13">
        <v>10880020677</v>
      </c>
      <c r="D265" s="14">
        <v>990000033200</v>
      </c>
      <c r="E265" s="13" t="s">
        <v>221</v>
      </c>
      <c r="F265" s="13">
        <v>129</v>
      </c>
      <c r="G265" s="15">
        <v>45391</v>
      </c>
      <c r="H265" s="15">
        <v>45469</v>
      </c>
      <c r="I265" s="13" t="s">
        <v>633</v>
      </c>
      <c r="J265" s="13" t="s">
        <v>379</v>
      </c>
      <c r="K265" s="18"/>
      <c r="L265" s="4"/>
    </row>
    <row r="266" spans="1:12" s="2" customFormat="1" ht="15" hidden="1" customHeight="1" x14ac:dyDescent="0.3">
      <c r="A266" s="13" t="s">
        <v>630</v>
      </c>
      <c r="B266" s="13">
        <v>1246034</v>
      </c>
      <c r="C266" s="13">
        <v>10880020677</v>
      </c>
      <c r="D266" s="14">
        <v>990000033201</v>
      </c>
      <c r="E266" s="13" t="s">
        <v>221</v>
      </c>
      <c r="F266" s="13">
        <v>8</v>
      </c>
      <c r="G266" s="15">
        <v>45391</v>
      </c>
      <c r="H266" s="15">
        <v>45469</v>
      </c>
      <c r="I266" s="13" t="s">
        <v>633</v>
      </c>
      <c r="J266" s="13" t="s">
        <v>379</v>
      </c>
      <c r="K266" s="18"/>
      <c r="L266" s="4"/>
    </row>
    <row r="267" spans="1:12" s="2" customFormat="1" ht="15" hidden="1" customHeight="1" x14ac:dyDescent="0.3">
      <c r="A267" s="13" t="s">
        <v>630</v>
      </c>
      <c r="B267" s="13">
        <v>1238928</v>
      </c>
      <c r="C267" s="13">
        <v>10880020677</v>
      </c>
      <c r="D267" s="14">
        <v>990000033202</v>
      </c>
      <c r="E267" s="13" t="s">
        <v>221</v>
      </c>
      <c r="F267" s="13">
        <v>1</v>
      </c>
      <c r="G267" s="15">
        <v>45391</v>
      </c>
      <c r="H267" s="15">
        <v>45469</v>
      </c>
      <c r="I267" s="13" t="s">
        <v>633</v>
      </c>
      <c r="J267" s="13" t="s">
        <v>379</v>
      </c>
      <c r="K267" s="18"/>
      <c r="L267" s="4"/>
    </row>
    <row r="268" spans="1:12" s="2" customFormat="1" ht="15" hidden="1" customHeight="1" x14ac:dyDescent="0.3">
      <c r="A268" s="13" t="s">
        <v>630</v>
      </c>
      <c r="B268" s="13">
        <v>30009386</v>
      </c>
      <c r="C268" s="13">
        <v>10880020192</v>
      </c>
      <c r="D268" s="14">
        <v>990000033206</v>
      </c>
      <c r="E268" s="13" t="s">
        <v>634</v>
      </c>
      <c r="F268" s="13">
        <v>200</v>
      </c>
      <c r="G268" s="15">
        <v>45392</v>
      </c>
      <c r="H268" s="15">
        <v>45401</v>
      </c>
      <c r="I268" s="13" t="s">
        <v>635</v>
      </c>
      <c r="J268" s="13" t="s">
        <v>379</v>
      </c>
      <c r="K268" s="18"/>
      <c r="L268" s="4"/>
    </row>
    <row r="269" spans="1:12" s="2" customFormat="1" ht="15" hidden="1" customHeight="1" x14ac:dyDescent="0.3">
      <c r="A269" s="13" t="s">
        <v>630</v>
      </c>
      <c r="B269" s="13">
        <v>30009400</v>
      </c>
      <c r="C269" s="13">
        <v>10880021015</v>
      </c>
      <c r="D269" s="14">
        <v>990000033249</v>
      </c>
      <c r="E269" s="13" t="s">
        <v>82</v>
      </c>
      <c r="F269" s="13">
        <v>85</v>
      </c>
      <c r="G269" s="15">
        <v>45394</v>
      </c>
      <c r="H269" s="15">
        <v>45396</v>
      </c>
      <c r="I269" s="13" t="s">
        <v>636</v>
      </c>
      <c r="J269" s="13" t="s">
        <v>379</v>
      </c>
      <c r="K269" s="18"/>
      <c r="L269" s="4"/>
    </row>
    <row r="270" spans="1:12" s="2" customFormat="1" ht="15" hidden="1" customHeight="1" x14ac:dyDescent="0.3">
      <c r="A270" s="13" t="s">
        <v>630</v>
      </c>
      <c r="B270" s="13">
        <v>30008958</v>
      </c>
      <c r="C270" s="13">
        <v>10880020192</v>
      </c>
      <c r="D270" s="14">
        <v>990000033243</v>
      </c>
      <c r="E270" s="13" t="s">
        <v>634</v>
      </c>
      <c r="F270" s="13">
        <v>191</v>
      </c>
      <c r="G270" s="15">
        <v>45394</v>
      </c>
      <c r="H270" s="15">
        <v>45436</v>
      </c>
      <c r="I270" s="13" t="s">
        <v>628</v>
      </c>
      <c r="J270" s="13" t="s">
        <v>379</v>
      </c>
      <c r="K270" s="18"/>
      <c r="L270" s="4"/>
    </row>
    <row r="271" spans="1:12" s="2" customFormat="1" ht="15" hidden="1" customHeight="1" x14ac:dyDescent="0.3">
      <c r="A271" s="13" t="s">
        <v>630</v>
      </c>
      <c r="B271" s="13">
        <v>30009411</v>
      </c>
      <c r="C271" s="13">
        <v>10880017516</v>
      </c>
      <c r="D271" s="14">
        <v>990000033405</v>
      </c>
      <c r="E271" s="13" t="s">
        <v>164</v>
      </c>
      <c r="F271" s="13">
        <v>588</v>
      </c>
      <c r="G271" s="15">
        <v>45399</v>
      </c>
      <c r="H271" s="15">
        <v>45430</v>
      </c>
      <c r="I271" s="13" t="s">
        <v>637</v>
      </c>
      <c r="J271" s="13" t="s">
        <v>379</v>
      </c>
      <c r="K271" s="18"/>
      <c r="L271" s="4"/>
    </row>
    <row r="272" spans="1:12" s="2" customFormat="1" ht="15" hidden="1" customHeight="1" x14ac:dyDescent="0.3">
      <c r="A272" s="13" t="s">
        <v>630</v>
      </c>
      <c r="B272" s="13">
        <v>30009417</v>
      </c>
      <c r="C272" s="13">
        <v>10880017530</v>
      </c>
      <c r="D272" s="14">
        <v>990000033409</v>
      </c>
      <c r="E272" s="13" t="s">
        <v>383</v>
      </c>
      <c r="F272" s="13">
        <v>1399</v>
      </c>
      <c r="G272" s="15">
        <v>45400</v>
      </c>
      <c r="H272" s="15">
        <v>45420</v>
      </c>
      <c r="I272" s="13" t="s">
        <v>638</v>
      </c>
      <c r="J272" s="13" t="s">
        <v>379</v>
      </c>
      <c r="K272" s="18"/>
      <c r="L272" s="4"/>
    </row>
    <row r="273" spans="1:12" s="2" customFormat="1" ht="15" hidden="1" customHeight="1" x14ac:dyDescent="0.3">
      <c r="A273" s="13" t="s">
        <v>412</v>
      </c>
      <c r="B273" s="13">
        <v>1302562</v>
      </c>
      <c r="C273" s="13">
        <v>10880032042</v>
      </c>
      <c r="D273" s="14">
        <v>990000033492</v>
      </c>
      <c r="E273" s="13" t="s">
        <v>639</v>
      </c>
      <c r="F273" s="13">
        <v>100</v>
      </c>
      <c r="G273" s="15">
        <v>45405</v>
      </c>
      <c r="H273" s="15">
        <v>45407</v>
      </c>
      <c r="I273" s="13" t="s">
        <v>640</v>
      </c>
      <c r="J273" s="13" t="s">
        <v>431</v>
      </c>
      <c r="K273" s="18"/>
      <c r="L273" s="4"/>
    </row>
    <row r="274" spans="1:12" s="2" customFormat="1" ht="15" hidden="1" customHeight="1" x14ac:dyDescent="0.3">
      <c r="A274" s="13" t="s">
        <v>412</v>
      </c>
      <c r="B274" s="13">
        <v>1302927</v>
      </c>
      <c r="C274" s="13">
        <v>10880032035</v>
      </c>
      <c r="D274" s="14">
        <v>990000033493</v>
      </c>
      <c r="E274" s="13" t="s">
        <v>641</v>
      </c>
      <c r="F274" s="13">
        <v>100</v>
      </c>
      <c r="G274" s="15">
        <v>45405</v>
      </c>
      <c r="H274" s="15">
        <v>45407</v>
      </c>
      <c r="I274" s="13" t="s">
        <v>640</v>
      </c>
      <c r="J274" s="13" t="s">
        <v>431</v>
      </c>
      <c r="K274" s="18"/>
      <c r="L274" s="4"/>
    </row>
    <row r="275" spans="1:12" s="2" customFormat="1" ht="15" hidden="1" customHeight="1" x14ac:dyDescent="0.3">
      <c r="A275" s="13" t="s">
        <v>412</v>
      </c>
      <c r="B275" s="13">
        <v>1302883</v>
      </c>
      <c r="C275" s="13">
        <v>10880032043</v>
      </c>
      <c r="D275" s="14">
        <v>990000033494</v>
      </c>
      <c r="E275" s="13" t="s">
        <v>642</v>
      </c>
      <c r="F275" s="13">
        <v>93</v>
      </c>
      <c r="G275" s="15">
        <v>45405</v>
      </c>
      <c r="H275" s="15">
        <v>45407</v>
      </c>
      <c r="I275" s="13" t="s">
        <v>640</v>
      </c>
      <c r="J275" s="13" t="s">
        <v>431</v>
      </c>
      <c r="K275" s="18"/>
      <c r="L275" s="4"/>
    </row>
    <row r="276" spans="1:12" s="2" customFormat="1" ht="15" hidden="1" customHeight="1" x14ac:dyDescent="0.3">
      <c r="A276" s="13" t="s">
        <v>412</v>
      </c>
      <c r="B276" s="13">
        <v>1303225</v>
      </c>
      <c r="C276" s="13">
        <v>10880032036</v>
      </c>
      <c r="D276" s="14">
        <v>990000033497</v>
      </c>
      <c r="E276" s="13" t="s">
        <v>643</v>
      </c>
      <c r="F276" s="13">
        <v>85</v>
      </c>
      <c r="G276" s="15">
        <v>45405</v>
      </c>
      <c r="H276" s="15">
        <v>45407</v>
      </c>
      <c r="I276" s="13" t="s">
        <v>640</v>
      </c>
      <c r="J276" s="13" t="s">
        <v>431</v>
      </c>
      <c r="K276" s="18"/>
      <c r="L276" s="4"/>
    </row>
    <row r="277" spans="1:12" s="2" customFormat="1" ht="15" hidden="1" customHeight="1" x14ac:dyDescent="0.3">
      <c r="A277" s="13" t="s">
        <v>630</v>
      </c>
      <c r="B277" s="13">
        <v>1207279</v>
      </c>
      <c r="C277" s="13">
        <v>10880019039</v>
      </c>
      <c r="D277" s="14">
        <v>990000033490</v>
      </c>
      <c r="E277" s="13" t="s">
        <v>478</v>
      </c>
      <c r="F277" s="13">
        <v>106</v>
      </c>
      <c r="G277" s="15">
        <v>45405</v>
      </c>
      <c r="H277" s="15">
        <v>45412</v>
      </c>
      <c r="I277" s="13" t="s">
        <v>644</v>
      </c>
      <c r="J277" s="13" t="s">
        <v>379</v>
      </c>
      <c r="K277" s="18"/>
      <c r="L277" s="4"/>
    </row>
    <row r="278" spans="1:12" s="2" customFormat="1" ht="15" hidden="1" customHeight="1" x14ac:dyDescent="0.3">
      <c r="A278" s="13" t="s">
        <v>630</v>
      </c>
      <c r="B278" s="13">
        <v>1207999</v>
      </c>
      <c r="C278" s="13">
        <v>10880019039</v>
      </c>
      <c r="D278" s="14">
        <v>990000033491</v>
      </c>
      <c r="E278" s="13" t="s">
        <v>478</v>
      </c>
      <c r="F278" s="13">
        <v>160</v>
      </c>
      <c r="G278" s="15">
        <v>45405</v>
      </c>
      <c r="H278" s="15">
        <v>45412</v>
      </c>
      <c r="I278" s="13" t="s">
        <v>644</v>
      </c>
      <c r="J278" s="13" t="s">
        <v>379</v>
      </c>
      <c r="K278" s="18"/>
      <c r="L278" s="4"/>
    </row>
    <row r="279" spans="1:12" s="2" customFormat="1" ht="15" hidden="1" customHeight="1" x14ac:dyDescent="0.3">
      <c r="A279" s="13" t="s">
        <v>630</v>
      </c>
      <c r="B279" s="13">
        <v>30009447</v>
      </c>
      <c r="C279" s="13">
        <v>10880021311</v>
      </c>
      <c r="D279" s="14">
        <v>990000033548</v>
      </c>
      <c r="E279" s="13" t="s">
        <v>188</v>
      </c>
      <c r="F279" s="13">
        <v>717</v>
      </c>
      <c r="G279" s="15">
        <v>45407</v>
      </c>
      <c r="H279" s="15">
        <v>45430</v>
      </c>
      <c r="I279" s="13" t="s">
        <v>645</v>
      </c>
      <c r="J279" s="13" t="s">
        <v>379</v>
      </c>
      <c r="K279" s="18"/>
      <c r="L279" s="4"/>
    </row>
    <row r="280" spans="1:12" s="2" customFormat="1" ht="15" hidden="1" customHeight="1" x14ac:dyDescent="0.3">
      <c r="A280" s="13" t="s">
        <v>630</v>
      </c>
      <c r="B280" s="13">
        <v>1278289</v>
      </c>
      <c r="C280" s="13">
        <v>10880014812</v>
      </c>
      <c r="D280" s="14">
        <v>990000033580</v>
      </c>
      <c r="E280" s="13" t="s">
        <v>646</v>
      </c>
      <c r="F280" s="13">
        <v>3000</v>
      </c>
      <c r="G280" s="15">
        <v>45409</v>
      </c>
      <c r="H280" s="15">
        <v>45420</v>
      </c>
      <c r="I280" s="13" t="s">
        <v>647</v>
      </c>
      <c r="J280" s="13" t="s">
        <v>379</v>
      </c>
      <c r="K280" s="18"/>
      <c r="L280" s="4"/>
    </row>
    <row r="281" spans="1:12" s="2" customFormat="1" ht="15" hidden="1" customHeight="1" x14ac:dyDescent="0.3">
      <c r="A281" s="13" t="s">
        <v>630</v>
      </c>
      <c r="B281" s="13">
        <v>1273772</v>
      </c>
      <c r="C281" s="13">
        <v>10880014812</v>
      </c>
      <c r="D281" s="14">
        <v>990000033581</v>
      </c>
      <c r="E281" s="13" t="s">
        <v>646</v>
      </c>
      <c r="F281" s="13">
        <v>85</v>
      </c>
      <c r="G281" s="15">
        <v>45409</v>
      </c>
      <c r="H281" s="15">
        <v>45420</v>
      </c>
      <c r="I281" s="13" t="s">
        <v>647</v>
      </c>
      <c r="J281" s="13" t="s">
        <v>379</v>
      </c>
      <c r="K281" s="18"/>
      <c r="L281" s="4"/>
    </row>
    <row r="282" spans="1:12" s="2" customFormat="1" ht="15" hidden="1" customHeight="1" x14ac:dyDescent="0.3">
      <c r="A282" s="13" t="s">
        <v>630</v>
      </c>
      <c r="B282" s="13">
        <v>1285477</v>
      </c>
      <c r="C282" s="13">
        <v>10880031011</v>
      </c>
      <c r="D282" s="14">
        <v>990000033658</v>
      </c>
      <c r="E282" s="13" t="s">
        <v>648</v>
      </c>
      <c r="F282" s="13">
        <v>36</v>
      </c>
      <c r="G282" s="15">
        <v>45412</v>
      </c>
      <c r="H282" s="15">
        <v>45418</v>
      </c>
      <c r="I282" s="13" t="s">
        <v>649</v>
      </c>
      <c r="J282" s="13" t="s">
        <v>431</v>
      </c>
      <c r="K282" s="18"/>
      <c r="L282" s="4"/>
    </row>
    <row r="283" spans="1:12" s="2" customFormat="1" ht="15" hidden="1" customHeight="1" x14ac:dyDescent="0.3">
      <c r="A283" s="13" t="s">
        <v>630</v>
      </c>
      <c r="B283" s="13">
        <v>1285882</v>
      </c>
      <c r="C283" s="13">
        <v>10880030551</v>
      </c>
      <c r="D283" s="14">
        <v>990000033659</v>
      </c>
      <c r="E283" s="13" t="s">
        <v>650</v>
      </c>
      <c r="F283" s="13">
        <v>6</v>
      </c>
      <c r="G283" s="15">
        <v>45412</v>
      </c>
      <c r="H283" s="15">
        <v>45418</v>
      </c>
      <c r="I283" s="13" t="s">
        <v>651</v>
      </c>
      <c r="J283" s="13" t="s">
        <v>431</v>
      </c>
      <c r="K283" s="18"/>
      <c r="L283" s="4"/>
    </row>
    <row r="284" spans="1:12" s="2" customFormat="1" ht="15" hidden="1" customHeight="1" x14ac:dyDescent="0.3">
      <c r="A284" s="13" t="s">
        <v>630</v>
      </c>
      <c r="B284" s="13"/>
      <c r="C284" s="13">
        <v>10880021174</v>
      </c>
      <c r="D284" s="14">
        <v>990000033665</v>
      </c>
      <c r="E284" s="13" t="s">
        <v>486</v>
      </c>
      <c r="F284" s="13">
        <v>49</v>
      </c>
      <c r="G284" s="15">
        <v>45412</v>
      </c>
      <c r="H284" s="15">
        <v>45537</v>
      </c>
      <c r="I284" s="13" t="s">
        <v>652</v>
      </c>
      <c r="J284" s="13" t="s">
        <v>379</v>
      </c>
      <c r="K284" s="18"/>
      <c r="L284" s="4"/>
    </row>
    <row r="285" spans="1:12" s="2" customFormat="1" ht="15" hidden="1" customHeight="1" x14ac:dyDescent="0.3">
      <c r="A285" s="13" t="s">
        <v>630</v>
      </c>
      <c r="B285" s="13">
        <v>30009483</v>
      </c>
      <c r="C285" s="13">
        <v>10880029999</v>
      </c>
      <c r="D285" s="14">
        <v>990000033697</v>
      </c>
      <c r="E285" s="13" t="s">
        <v>631</v>
      </c>
      <c r="F285" s="13">
        <v>2210</v>
      </c>
      <c r="G285" s="15">
        <v>45419</v>
      </c>
      <c r="H285" s="15">
        <v>45425</v>
      </c>
      <c r="I285" s="13" t="s">
        <v>653</v>
      </c>
      <c r="J285" s="13" t="s">
        <v>379</v>
      </c>
      <c r="K285" s="18"/>
      <c r="L285" s="4"/>
    </row>
    <row r="286" spans="1:12" s="2" customFormat="1" ht="15" hidden="1" customHeight="1" x14ac:dyDescent="0.3">
      <c r="A286" s="13" t="s">
        <v>630</v>
      </c>
      <c r="B286" s="13">
        <v>1273187</v>
      </c>
      <c r="C286" s="13">
        <v>10880019777</v>
      </c>
      <c r="D286" s="14">
        <v>990000033831</v>
      </c>
      <c r="E286" s="13" t="s">
        <v>654</v>
      </c>
      <c r="F286" s="13">
        <v>878</v>
      </c>
      <c r="G286" s="15">
        <v>45423</v>
      </c>
      <c r="H286" s="15">
        <v>45426</v>
      </c>
      <c r="I286" s="13" t="s">
        <v>655</v>
      </c>
      <c r="J286" s="13" t="s">
        <v>379</v>
      </c>
      <c r="K286" s="18"/>
      <c r="L286" s="4"/>
    </row>
    <row r="287" spans="1:12" s="2" customFormat="1" ht="15" hidden="1" customHeight="1" x14ac:dyDescent="0.3">
      <c r="A287" s="13" t="s">
        <v>630</v>
      </c>
      <c r="B287" s="13">
        <v>30009513</v>
      </c>
      <c r="C287" s="13">
        <v>10880031096</v>
      </c>
      <c r="D287" s="14">
        <v>990000033931</v>
      </c>
      <c r="E287" s="13" t="s">
        <v>278</v>
      </c>
      <c r="F287" s="13">
        <v>12</v>
      </c>
      <c r="G287" s="15">
        <v>45425</v>
      </c>
      <c r="H287" s="15">
        <v>45425</v>
      </c>
      <c r="I287" s="13" t="s">
        <v>580</v>
      </c>
      <c r="J287" s="13" t="s">
        <v>379</v>
      </c>
      <c r="K287" s="18"/>
      <c r="L287" s="4"/>
    </row>
    <row r="288" spans="1:12" s="2" customFormat="1" ht="15" hidden="1" customHeight="1" x14ac:dyDescent="0.3">
      <c r="A288" s="13" t="s">
        <v>630</v>
      </c>
      <c r="B288" s="13">
        <v>30009512</v>
      </c>
      <c r="C288" s="13">
        <v>10880031072</v>
      </c>
      <c r="D288" s="14">
        <v>990000033932</v>
      </c>
      <c r="E288" s="13" t="s">
        <v>579</v>
      </c>
      <c r="F288" s="13">
        <v>1137</v>
      </c>
      <c r="G288" s="15">
        <v>45425</v>
      </c>
      <c r="H288" s="15">
        <v>45425</v>
      </c>
      <c r="I288" s="13" t="s">
        <v>580</v>
      </c>
      <c r="J288" s="13" t="s">
        <v>379</v>
      </c>
      <c r="K288" s="18"/>
      <c r="L288" s="4"/>
    </row>
    <row r="289" spans="1:12" s="2" customFormat="1" ht="15" hidden="1" customHeight="1" x14ac:dyDescent="0.3">
      <c r="A289" s="13" t="s">
        <v>630</v>
      </c>
      <c r="B289" s="13">
        <v>30009532</v>
      </c>
      <c r="C289" s="13">
        <v>10880029999</v>
      </c>
      <c r="D289" s="14">
        <v>990000033935</v>
      </c>
      <c r="E289" s="13" t="s">
        <v>631</v>
      </c>
      <c r="F289" s="13">
        <v>50</v>
      </c>
      <c r="G289" s="15">
        <v>45426</v>
      </c>
      <c r="H289" s="15">
        <v>45426</v>
      </c>
      <c r="I289" s="13" t="s">
        <v>656</v>
      </c>
      <c r="J289" s="13" t="s">
        <v>379</v>
      </c>
      <c r="K289" s="18"/>
      <c r="L289" s="4"/>
    </row>
    <row r="290" spans="1:12" s="2" customFormat="1" ht="15" hidden="1" customHeight="1" x14ac:dyDescent="0.3">
      <c r="A290" s="13" t="s">
        <v>630</v>
      </c>
      <c r="B290" s="13">
        <v>1289961</v>
      </c>
      <c r="C290" s="13">
        <v>10880019222</v>
      </c>
      <c r="D290" s="14">
        <v>990000033936</v>
      </c>
      <c r="E290" s="13" t="s">
        <v>469</v>
      </c>
      <c r="F290" s="13">
        <v>288</v>
      </c>
      <c r="G290" s="15">
        <v>45426</v>
      </c>
      <c r="H290" s="15">
        <v>45427</v>
      </c>
      <c r="I290" s="13" t="s">
        <v>657</v>
      </c>
      <c r="J290" s="13" t="s">
        <v>379</v>
      </c>
      <c r="K290" s="18"/>
      <c r="L290" s="4"/>
    </row>
    <row r="291" spans="1:12" s="2" customFormat="1" ht="15" hidden="1" customHeight="1" x14ac:dyDescent="0.3">
      <c r="A291" s="13" t="s">
        <v>630</v>
      </c>
      <c r="B291" s="13">
        <v>1273186</v>
      </c>
      <c r="C291" s="13">
        <v>10880019222</v>
      </c>
      <c r="D291" s="14">
        <v>990000033937</v>
      </c>
      <c r="E291" s="13" t="s">
        <v>469</v>
      </c>
      <c r="F291" s="13">
        <v>68</v>
      </c>
      <c r="G291" s="15">
        <v>45426</v>
      </c>
      <c r="H291" s="15">
        <v>45427</v>
      </c>
      <c r="I291" s="13" t="s">
        <v>657</v>
      </c>
      <c r="J291" s="13" t="s">
        <v>379</v>
      </c>
      <c r="K291" s="18"/>
      <c r="L291" s="4"/>
    </row>
    <row r="292" spans="1:12" s="2" customFormat="1" ht="15" hidden="1" customHeight="1" x14ac:dyDescent="0.3">
      <c r="A292" s="13" t="s">
        <v>630</v>
      </c>
      <c r="B292" s="13">
        <v>1273186</v>
      </c>
      <c r="C292" s="13">
        <v>10880019222</v>
      </c>
      <c r="D292" s="14">
        <v>990000033938</v>
      </c>
      <c r="E292" s="13" t="s">
        <v>469</v>
      </c>
      <c r="F292" s="13">
        <v>11</v>
      </c>
      <c r="G292" s="15">
        <v>45426</v>
      </c>
      <c r="H292" s="15">
        <v>45427</v>
      </c>
      <c r="I292" s="13" t="s">
        <v>658</v>
      </c>
      <c r="J292" s="13" t="s">
        <v>379</v>
      </c>
      <c r="K292" s="18"/>
      <c r="L292" s="4"/>
    </row>
    <row r="293" spans="1:12" s="2" customFormat="1" ht="15" hidden="1" customHeight="1" x14ac:dyDescent="0.3">
      <c r="A293" s="13" t="s">
        <v>630</v>
      </c>
      <c r="B293" s="13">
        <v>1245415</v>
      </c>
      <c r="C293" s="13">
        <v>10880022435</v>
      </c>
      <c r="D293" s="14">
        <v>990000034033</v>
      </c>
      <c r="E293" s="13" t="s">
        <v>499</v>
      </c>
      <c r="F293" s="13">
        <v>145</v>
      </c>
      <c r="G293" s="15">
        <v>45429</v>
      </c>
      <c r="H293" s="15">
        <v>45433</v>
      </c>
      <c r="I293" s="13" t="s">
        <v>659</v>
      </c>
      <c r="J293" s="13" t="s">
        <v>379</v>
      </c>
      <c r="K293" s="18"/>
      <c r="L293" s="4"/>
    </row>
    <row r="294" spans="1:12" s="2" customFormat="1" ht="15" hidden="1" customHeight="1" x14ac:dyDescent="0.3">
      <c r="A294" s="13" t="s">
        <v>630</v>
      </c>
      <c r="B294" s="13">
        <v>1244924</v>
      </c>
      <c r="C294" s="13">
        <v>10880022434</v>
      </c>
      <c r="D294" s="14">
        <v>990000034034</v>
      </c>
      <c r="E294" s="13" t="s">
        <v>501</v>
      </c>
      <c r="F294" s="13">
        <v>100</v>
      </c>
      <c r="G294" s="15">
        <v>45429</v>
      </c>
      <c r="H294" s="15">
        <v>45433</v>
      </c>
      <c r="I294" s="13" t="s">
        <v>660</v>
      </c>
      <c r="J294" s="13" t="s">
        <v>379</v>
      </c>
      <c r="K294" s="18"/>
      <c r="L294" s="4"/>
    </row>
    <row r="295" spans="1:12" s="2" customFormat="1" ht="15" hidden="1" customHeight="1" x14ac:dyDescent="0.3">
      <c r="A295" s="13" t="s">
        <v>630</v>
      </c>
      <c r="B295" s="13">
        <v>1245417</v>
      </c>
      <c r="C295" s="13">
        <v>10880022436</v>
      </c>
      <c r="D295" s="14">
        <v>990000034035</v>
      </c>
      <c r="E295" s="13" t="s">
        <v>458</v>
      </c>
      <c r="F295" s="13">
        <v>27</v>
      </c>
      <c r="G295" s="15">
        <v>45429</v>
      </c>
      <c r="H295" s="15">
        <v>45433</v>
      </c>
      <c r="I295" s="13" t="s">
        <v>661</v>
      </c>
      <c r="J295" s="13" t="s">
        <v>379</v>
      </c>
      <c r="K295" s="18"/>
      <c r="L295" s="4"/>
    </row>
    <row r="296" spans="1:12" s="2" customFormat="1" ht="15" hidden="1" customHeight="1" x14ac:dyDescent="0.3">
      <c r="A296" s="13" t="s">
        <v>630</v>
      </c>
      <c r="B296" s="13">
        <v>1245549</v>
      </c>
      <c r="C296" s="13">
        <v>10880022444</v>
      </c>
      <c r="D296" s="14">
        <v>990000034037</v>
      </c>
      <c r="E296" s="13" t="s">
        <v>516</v>
      </c>
      <c r="F296" s="13">
        <v>189</v>
      </c>
      <c r="G296" s="15">
        <v>45429</v>
      </c>
      <c r="H296" s="15">
        <v>45436</v>
      </c>
      <c r="I296" s="13" t="s">
        <v>662</v>
      </c>
      <c r="J296" s="13" t="s">
        <v>379</v>
      </c>
      <c r="K296" s="18"/>
      <c r="L296" s="4"/>
    </row>
    <row r="297" spans="1:12" s="2" customFormat="1" ht="15" customHeight="1" x14ac:dyDescent="0.3">
      <c r="A297" s="13" t="s">
        <v>630</v>
      </c>
      <c r="B297" s="13">
        <v>1289940</v>
      </c>
      <c r="C297" s="13">
        <v>10880018097</v>
      </c>
      <c r="D297" s="14">
        <v>990000034097</v>
      </c>
      <c r="E297" s="13" t="s">
        <v>65</v>
      </c>
      <c r="F297" s="13">
        <v>510</v>
      </c>
      <c r="G297" s="15">
        <v>45433</v>
      </c>
      <c r="H297" s="15">
        <v>45439</v>
      </c>
      <c r="I297" s="13" t="s">
        <v>663</v>
      </c>
      <c r="J297" s="13" t="s">
        <v>379</v>
      </c>
      <c r="K297" s="18"/>
      <c r="L297" s="4"/>
    </row>
    <row r="298" spans="1:12" s="2" customFormat="1" ht="15" customHeight="1" x14ac:dyDescent="0.3">
      <c r="A298" s="13" t="s">
        <v>630</v>
      </c>
      <c r="B298" s="13">
        <v>1288417</v>
      </c>
      <c r="C298" s="13">
        <v>10880018097</v>
      </c>
      <c r="D298" s="14">
        <v>990000034098</v>
      </c>
      <c r="E298" s="13" t="s">
        <v>65</v>
      </c>
      <c r="F298" s="13">
        <v>309</v>
      </c>
      <c r="G298" s="15">
        <v>45433</v>
      </c>
      <c r="H298" s="15">
        <v>45439</v>
      </c>
      <c r="I298" s="13" t="s">
        <v>663</v>
      </c>
      <c r="J298" s="13" t="s">
        <v>379</v>
      </c>
      <c r="K298" s="18"/>
      <c r="L298" s="4"/>
    </row>
    <row r="299" spans="1:12" s="2" customFormat="1" ht="15" customHeight="1" x14ac:dyDescent="0.3">
      <c r="A299" s="13" t="s">
        <v>630</v>
      </c>
      <c r="B299" s="13">
        <v>1288411</v>
      </c>
      <c r="C299" s="13">
        <v>10880018097</v>
      </c>
      <c r="D299" s="14">
        <v>990000034099</v>
      </c>
      <c r="E299" s="13" t="s">
        <v>65</v>
      </c>
      <c r="F299" s="13">
        <v>189</v>
      </c>
      <c r="G299" s="15">
        <v>45433</v>
      </c>
      <c r="H299" s="15">
        <v>45440</v>
      </c>
      <c r="I299" s="13" t="s">
        <v>663</v>
      </c>
      <c r="J299" s="13" t="s">
        <v>379</v>
      </c>
      <c r="K299" s="18"/>
      <c r="L299" s="4"/>
    </row>
    <row r="300" spans="1:12" s="2" customFormat="1" ht="15" customHeight="1" x14ac:dyDescent="0.3">
      <c r="A300" s="13" t="s">
        <v>630</v>
      </c>
      <c r="B300" s="13">
        <v>1288410</v>
      </c>
      <c r="C300" s="13">
        <v>10880018097</v>
      </c>
      <c r="D300" s="14">
        <v>990000034120</v>
      </c>
      <c r="E300" s="13" t="s">
        <v>65</v>
      </c>
      <c r="F300" s="13">
        <v>72</v>
      </c>
      <c r="G300" s="15">
        <v>45433</v>
      </c>
      <c r="H300" s="15">
        <v>45440</v>
      </c>
      <c r="I300" s="13" t="s">
        <v>663</v>
      </c>
      <c r="J300" s="13" t="s">
        <v>379</v>
      </c>
      <c r="K300" s="18"/>
      <c r="L300" s="4"/>
    </row>
    <row r="301" spans="1:12" s="2" customFormat="1" ht="15" customHeight="1" x14ac:dyDescent="0.3">
      <c r="A301" s="13" t="s">
        <v>630</v>
      </c>
      <c r="B301" s="13">
        <v>1286901</v>
      </c>
      <c r="C301" s="13">
        <v>10880018097</v>
      </c>
      <c r="D301" s="14">
        <v>990000034122</v>
      </c>
      <c r="E301" s="13" t="s">
        <v>65</v>
      </c>
      <c r="F301" s="13">
        <v>133</v>
      </c>
      <c r="G301" s="15">
        <v>45433</v>
      </c>
      <c r="H301" s="15">
        <v>45440</v>
      </c>
      <c r="I301" s="13" t="s">
        <v>663</v>
      </c>
      <c r="J301" s="13" t="s">
        <v>379</v>
      </c>
      <c r="K301" s="18"/>
      <c r="L301" s="4"/>
    </row>
    <row r="302" spans="1:12" s="2" customFormat="1" ht="15" customHeight="1" x14ac:dyDescent="0.3">
      <c r="A302" s="13" t="s">
        <v>630</v>
      </c>
      <c r="B302" s="13">
        <v>1279615</v>
      </c>
      <c r="C302" s="13">
        <v>10880018097</v>
      </c>
      <c r="D302" s="14">
        <v>990000034123</v>
      </c>
      <c r="E302" s="13" t="s">
        <v>65</v>
      </c>
      <c r="F302" s="13">
        <v>82</v>
      </c>
      <c r="G302" s="15">
        <v>45433</v>
      </c>
      <c r="H302" s="15">
        <v>45440</v>
      </c>
      <c r="I302" s="13" t="s">
        <v>663</v>
      </c>
      <c r="J302" s="13" t="s">
        <v>379</v>
      </c>
      <c r="K302" s="18"/>
      <c r="L302" s="4"/>
    </row>
    <row r="303" spans="1:12" s="2" customFormat="1" ht="15" customHeight="1" x14ac:dyDescent="0.3">
      <c r="A303" s="13" t="s">
        <v>630</v>
      </c>
      <c r="B303" s="13">
        <v>1224491</v>
      </c>
      <c r="C303" s="13">
        <v>10880018097</v>
      </c>
      <c r="D303" s="14">
        <v>990000034124</v>
      </c>
      <c r="E303" s="13" t="s">
        <v>65</v>
      </c>
      <c r="F303" s="13">
        <v>34</v>
      </c>
      <c r="G303" s="15">
        <v>45433</v>
      </c>
      <c r="H303" s="15">
        <v>45440</v>
      </c>
      <c r="I303" s="13" t="s">
        <v>663</v>
      </c>
      <c r="J303" s="13" t="s">
        <v>379</v>
      </c>
      <c r="K303" s="18"/>
      <c r="L303" s="4"/>
    </row>
    <row r="304" spans="1:12" s="2" customFormat="1" ht="15" customHeight="1" x14ac:dyDescent="0.3">
      <c r="A304" s="13" t="s">
        <v>630</v>
      </c>
      <c r="B304" s="13">
        <v>1295525</v>
      </c>
      <c r="C304" s="13">
        <v>10880018097</v>
      </c>
      <c r="D304" s="14">
        <v>990000034125</v>
      </c>
      <c r="E304" s="13" t="s">
        <v>65</v>
      </c>
      <c r="F304" s="13">
        <v>11</v>
      </c>
      <c r="G304" s="15">
        <v>45433</v>
      </c>
      <c r="H304" s="15">
        <v>45440</v>
      </c>
      <c r="I304" s="13" t="s">
        <v>663</v>
      </c>
      <c r="J304" s="13" t="s">
        <v>379</v>
      </c>
      <c r="K304" s="18"/>
      <c r="L304" s="4"/>
    </row>
    <row r="305" spans="1:12" s="2" customFormat="1" ht="15" hidden="1" customHeight="1" x14ac:dyDescent="0.3">
      <c r="A305" s="13" t="s">
        <v>630</v>
      </c>
      <c r="B305" s="13">
        <v>1244599</v>
      </c>
      <c r="C305" s="13">
        <v>10880022443</v>
      </c>
      <c r="D305" s="14">
        <v>990000034128</v>
      </c>
      <c r="E305" s="13" t="s">
        <v>567</v>
      </c>
      <c r="F305" s="13">
        <v>10</v>
      </c>
      <c r="G305" s="15">
        <v>45433</v>
      </c>
      <c r="H305" s="15">
        <v>45443</v>
      </c>
      <c r="I305" s="13" t="s">
        <v>664</v>
      </c>
      <c r="J305" s="13" t="s">
        <v>379</v>
      </c>
      <c r="K305" s="18"/>
      <c r="L305" s="4"/>
    </row>
    <row r="306" spans="1:12" s="2" customFormat="1" ht="15" hidden="1" customHeight="1" x14ac:dyDescent="0.3">
      <c r="A306" s="13" t="s">
        <v>630</v>
      </c>
      <c r="B306" s="13">
        <v>1280820</v>
      </c>
      <c r="C306" s="13">
        <v>10880030491</v>
      </c>
      <c r="D306" s="14">
        <v>990000034155</v>
      </c>
      <c r="E306" s="13" t="s">
        <v>614</v>
      </c>
      <c r="F306" s="13">
        <v>154</v>
      </c>
      <c r="G306" s="15">
        <v>45435</v>
      </c>
      <c r="H306" s="15">
        <v>45439</v>
      </c>
      <c r="I306" s="13" t="s">
        <v>665</v>
      </c>
      <c r="J306" s="13" t="s">
        <v>379</v>
      </c>
      <c r="K306" s="18"/>
      <c r="L306" s="4"/>
    </row>
    <row r="307" spans="1:12" s="2" customFormat="1" ht="15" hidden="1" customHeight="1" x14ac:dyDescent="0.3">
      <c r="A307" s="13" t="s">
        <v>630</v>
      </c>
      <c r="B307" s="13">
        <v>30009576</v>
      </c>
      <c r="C307" s="13">
        <v>10880018091</v>
      </c>
      <c r="D307" s="14">
        <v>990000034329</v>
      </c>
      <c r="E307" s="13" t="s">
        <v>510</v>
      </c>
      <c r="F307" s="13">
        <v>320</v>
      </c>
      <c r="G307" s="15">
        <v>45439</v>
      </c>
      <c r="H307" s="15">
        <v>45440</v>
      </c>
      <c r="I307" s="13" t="s">
        <v>666</v>
      </c>
      <c r="J307" s="13" t="s">
        <v>379</v>
      </c>
      <c r="K307" s="18"/>
      <c r="L307" s="4"/>
    </row>
    <row r="308" spans="1:12" s="2" customFormat="1" ht="15" hidden="1" customHeight="1" x14ac:dyDescent="0.3">
      <c r="A308" s="13" t="s">
        <v>630</v>
      </c>
      <c r="B308" s="13">
        <v>30009574</v>
      </c>
      <c r="C308" s="13">
        <v>10880018843</v>
      </c>
      <c r="D308" s="14">
        <v>990000034212</v>
      </c>
      <c r="E308" s="13" t="s">
        <v>619</v>
      </c>
      <c r="F308" s="13">
        <v>170</v>
      </c>
      <c r="G308" s="15">
        <v>45439</v>
      </c>
      <c r="H308" s="15">
        <v>45443</v>
      </c>
      <c r="I308" s="13" t="s">
        <v>667</v>
      </c>
      <c r="J308" s="13" t="s">
        <v>379</v>
      </c>
      <c r="K308" s="18"/>
      <c r="L308" s="4"/>
    </row>
    <row r="309" spans="1:12" s="2" customFormat="1" ht="15" hidden="1" customHeight="1" x14ac:dyDescent="0.3">
      <c r="A309" s="13" t="s">
        <v>630</v>
      </c>
      <c r="B309" s="13">
        <v>30009569</v>
      </c>
      <c r="C309" s="13">
        <v>10880017948</v>
      </c>
      <c r="D309" s="14">
        <v>990000034336</v>
      </c>
      <c r="E309" s="13" t="s">
        <v>668</v>
      </c>
      <c r="F309" s="13">
        <v>1433</v>
      </c>
      <c r="G309" s="15">
        <v>45440</v>
      </c>
      <c r="H309" s="15">
        <v>45442</v>
      </c>
      <c r="I309" s="13" t="s">
        <v>669</v>
      </c>
      <c r="J309" s="13" t="s">
        <v>379</v>
      </c>
      <c r="K309" s="18"/>
      <c r="L309" s="4"/>
    </row>
    <row r="310" spans="1:12" s="2" customFormat="1" ht="15" hidden="1" customHeight="1" x14ac:dyDescent="0.3">
      <c r="A310" s="13" t="s">
        <v>630</v>
      </c>
      <c r="B310" s="13">
        <v>30009592</v>
      </c>
      <c r="C310" s="13">
        <v>10880030841</v>
      </c>
      <c r="D310" s="14">
        <v>990000034372</v>
      </c>
      <c r="E310" s="13" t="s">
        <v>670</v>
      </c>
      <c r="F310" s="13">
        <v>100</v>
      </c>
      <c r="G310" s="15">
        <v>45441</v>
      </c>
      <c r="H310" s="15">
        <v>45442</v>
      </c>
      <c r="I310" s="13" t="s">
        <v>671</v>
      </c>
      <c r="J310" s="13" t="s">
        <v>379</v>
      </c>
      <c r="K310" s="18"/>
      <c r="L310" s="4"/>
    </row>
    <row r="311" spans="1:12" s="2" customFormat="1" ht="15" hidden="1" customHeight="1" x14ac:dyDescent="0.3">
      <c r="A311" s="13" t="s">
        <v>630</v>
      </c>
      <c r="B311" s="13">
        <v>30009583</v>
      </c>
      <c r="C311" s="13">
        <v>10880020225</v>
      </c>
      <c r="D311" s="14">
        <v>990000034371</v>
      </c>
      <c r="E311" s="13" t="s">
        <v>672</v>
      </c>
      <c r="F311" s="13">
        <v>175</v>
      </c>
      <c r="G311" s="15">
        <v>45441</v>
      </c>
      <c r="H311" s="15">
        <v>45442</v>
      </c>
      <c r="I311" s="13" t="s">
        <v>673</v>
      </c>
      <c r="J311" s="13" t="s">
        <v>379</v>
      </c>
      <c r="K311" s="18"/>
      <c r="L311" s="4"/>
    </row>
    <row r="312" spans="1:12" s="2" customFormat="1" ht="15" hidden="1" customHeight="1" x14ac:dyDescent="0.3">
      <c r="A312" s="13" t="s">
        <v>630</v>
      </c>
      <c r="B312" s="13">
        <v>1292119</v>
      </c>
      <c r="C312" s="13">
        <v>10880030491</v>
      </c>
      <c r="D312" s="14">
        <v>990000034374</v>
      </c>
      <c r="E312" s="13" t="s">
        <v>614</v>
      </c>
      <c r="F312" s="13">
        <v>3027</v>
      </c>
      <c r="G312" s="15">
        <v>45442</v>
      </c>
      <c r="H312" s="15">
        <v>45448</v>
      </c>
      <c r="I312" s="13" t="s">
        <v>674</v>
      </c>
      <c r="J312" s="13" t="s">
        <v>396</v>
      </c>
      <c r="K312" s="18"/>
      <c r="L312" s="4"/>
    </row>
    <row r="313" spans="1:12" s="2" customFormat="1" ht="15" hidden="1" customHeight="1" x14ac:dyDescent="0.3">
      <c r="A313" s="13" t="s">
        <v>630</v>
      </c>
      <c r="B313" s="13">
        <v>1280821</v>
      </c>
      <c r="C313" s="13">
        <v>10880030491</v>
      </c>
      <c r="D313" s="14">
        <v>990000034376</v>
      </c>
      <c r="E313" s="13" t="s">
        <v>614</v>
      </c>
      <c r="F313" s="13">
        <v>1823</v>
      </c>
      <c r="G313" s="15">
        <v>45442</v>
      </c>
      <c r="H313" s="15">
        <v>45451</v>
      </c>
      <c r="I313" s="13" t="s">
        <v>674</v>
      </c>
      <c r="J313" s="13" t="s">
        <v>396</v>
      </c>
      <c r="K313" s="18"/>
      <c r="L313" s="4"/>
    </row>
    <row r="314" spans="1:12" s="2" customFormat="1" ht="15" hidden="1" customHeight="1" x14ac:dyDescent="0.3">
      <c r="A314" s="13" t="s">
        <v>630</v>
      </c>
      <c r="B314" s="13">
        <v>1286079</v>
      </c>
      <c r="C314" s="13">
        <v>10880030491</v>
      </c>
      <c r="D314" s="14">
        <v>990000034375</v>
      </c>
      <c r="E314" s="13" t="s">
        <v>614</v>
      </c>
      <c r="F314" s="13">
        <v>4992</v>
      </c>
      <c r="G314" s="15">
        <v>45442</v>
      </c>
      <c r="H314" s="15">
        <v>45450</v>
      </c>
      <c r="I314" s="13" t="s">
        <v>674</v>
      </c>
      <c r="J314" s="13" t="s">
        <v>396</v>
      </c>
      <c r="K314" s="18"/>
      <c r="L314" s="4"/>
    </row>
    <row r="315" spans="1:12" s="2" customFormat="1" ht="15" hidden="1" customHeight="1" x14ac:dyDescent="0.3">
      <c r="A315" s="13" t="s">
        <v>630</v>
      </c>
      <c r="B315" s="13">
        <v>1280820</v>
      </c>
      <c r="C315" s="13">
        <v>10880030491</v>
      </c>
      <c r="D315" s="14">
        <v>990000034377</v>
      </c>
      <c r="E315" s="13" t="s">
        <v>614</v>
      </c>
      <c r="F315" s="13">
        <v>63</v>
      </c>
      <c r="G315" s="15">
        <v>45442</v>
      </c>
      <c r="H315" s="15"/>
      <c r="I315" s="13" t="s">
        <v>674</v>
      </c>
      <c r="J315" s="13" t="s">
        <v>396</v>
      </c>
      <c r="K315" s="18"/>
      <c r="L315" s="4"/>
    </row>
    <row r="316" spans="1:12" s="2" customFormat="1" ht="15" hidden="1" customHeight="1" x14ac:dyDescent="0.3">
      <c r="A316" s="13" t="s">
        <v>630</v>
      </c>
      <c r="B316" s="13">
        <v>1278392</v>
      </c>
      <c r="C316" s="13">
        <v>10880030491</v>
      </c>
      <c r="D316" s="14">
        <v>990000034378</v>
      </c>
      <c r="E316" s="13" t="s">
        <v>614</v>
      </c>
      <c r="F316" s="13">
        <v>8</v>
      </c>
      <c r="G316" s="15">
        <v>45442</v>
      </c>
      <c r="H316" s="15"/>
      <c r="I316" s="13" t="s">
        <v>674</v>
      </c>
      <c r="J316" s="13" t="s">
        <v>396</v>
      </c>
      <c r="K316" s="18"/>
      <c r="L316" s="4"/>
    </row>
    <row r="317" spans="1:12" s="2" customFormat="1" ht="15" hidden="1" customHeight="1" x14ac:dyDescent="0.3">
      <c r="A317" s="13" t="s">
        <v>596</v>
      </c>
      <c r="B317" s="13">
        <v>1246422</v>
      </c>
      <c r="C317" s="13">
        <v>10880022406</v>
      </c>
      <c r="D317" s="14">
        <v>990000034427</v>
      </c>
      <c r="E317" s="13" t="s">
        <v>528</v>
      </c>
      <c r="F317" s="13">
        <v>1605</v>
      </c>
      <c r="G317" s="15">
        <v>45446</v>
      </c>
      <c r="H317" s="15">
        <v>45499</v>
      </c>
      <c r="I317" s="13" t="s">
        <v>675</v>
      </c>
      <c r="J317" s="13" t="s">
        <v>389</v>
      </c>
      <c r="K317" s="18"/>
      <c r="L317" s="4"/>
    </row>
    <row r="318" spans="1:12" s="2" customFormat="1" ht="15" hidden="1" customHeight="1" x14ac:dyDescent="0.3">
      <c r="A318" s="13" t="s">
        <v>630</v>
      </c>
      <c r="B318" s="13">
        <v>1262026</v>
      </c>
      <c r="C318" s="13">
        <v>10880020187</v>
      </c>
      <c r="D318" s="14">
        <v>990000034481</v>
      </c>
      <c r="E318" s="13" t="s">
        <v>223</v>
      </c>
      <c r="F318" s="13">
        <v>214</v>
      </c>
      <c r="G318" s="15">
        <v>45447</v>
      </c>
      <c r="H318" s="15">
        <v>45450</v>
      </c>
      <c r="I318" s="13" t="s">
        <v>676</v>
      </c>
      <c r="J318" s="13" t="s">
        <v>379</v>
      </c>
      <c r="K318" s="18"/>
      <c r="L318" s="4"/>
    </row>
    <row r="319" spans="1:12" s="2" customFormat="1" ht="15" hidden="1" customHeight="1" x14ac:dyDescent="0.3">
      <c r="A319" s="13" t="s">
        <v>630</v>
      </c>
      <c r="B319" s="13">
        <v>1294058</v>
      </c>
      <c r="C319" s="13">
        <v>10880030920</v>
      </c>
      <c r="D319" s="14">
        <v>990000034496</v>
      </c>
      <c r="E319" s="13" t="s">
        <v>85</v>
      </c>
      <c r="F319" s="13">
        <v>1152</v>
      </c>
      <c r="G319" s="15">
        <v>45448</v>
      </c>
      <c r="H319" s="15">
        <v>45449</v>
      </c>
      <c r="I319" s="13" t="s">
        <v>677</v>
      </c>
      <c r="J319" s="13" t="s">
        <v>396</v>
      </c>
      <c r="K319" s="18"/>
      <c r="L319" s="4"/>
    </row>
    <row r="320" spans="1:12" s="2" customFormat="1" ht="15" hidden="1" customHeight="1" x14ac:dyDescent="0.3">
      <c r="A320" s="13" t="s">
        <v>630</v>
      </c>
      <c r="B320" s="13">
        <v>1294057</v>
      </c>
      <c r="C320" s="13">
        <v>10880030920</v>
      </c>
      <c r="D320" s="14">
        <v>990000034497</v>
      </c>
      <c r="E320" s="13" t="s">
        <v>85</v>
      </c>
      <c r="F320" s="13">
        <v>1007</v>
      </c>
      <c r="G320" s="15">
        <v>45448</v>
      </c>
      <c r="H320" s="15">
        <v>45449</v>
      </c>
      <c r="I320" s="13" t="s">
        <v>677</v>
      </c>
      <c r="J320" s="13" t="s">
        <v>396</v>
      </c>
      <c r="K320" s="18"/>
      <c r="L320" s="4"/>
    </row>
    <row r="321" spans="1:12" s="2" customFormat="1" ht="15" hidden="1" customHeight="1" x14ac:dyDescent="0.3">
      <c r="A321" s="13" t="s">
        <v>630</v>
      </c>
      <c r="B321" s="13">
        <v>1294056</v>
      </c>
      <c r="C321" s="13">
        <v>10880030920</v>
      </c>
      <c r="D321" s="14">
        <v>990000034498</v>
      </c>
      <c r="E321" s="13" t="s">
        <v>85</v>
      </c>
      <c r="F321" s="13">
        <v>485</v>
      </c>
      <c r="G321" s="15">
        <v>45448</v>
      </c>
      <c r="H321" s="15">
        <v>45449</v>
      </c>
      <c r="I321" s="13" t="s">
        <v>677</v>
      </c>
      <c r="J321" s="13" t="s">
        <v>396</v>
      </c>
      <c r="K321" s="18"/>
      <c r="L321" s="4"/>
    </row>
    <row r="322" spans="1:12" s="2" customFormat="1" ht="15" hidden="1" customHeight="1" x14ac:dyDescent="0.3">
      <c r="A322" s="13" t="s">
        <v>630</v>
      </c>
      <c r="B322" s="13">
        <v>1288172</v>
      </c>
      <c r="C322" s="13">
        <v>10880030920</v>
      </c>
      <c r="D322" s="14">
        <v>990000034499</v>
      </c>
      <c r="E322" s="13" t="s">
        <v>85</v>
      </c>
      <c r="F322" s="13">
        <v>328</v>
      </c>
      <c r="G322" s="15">
        <v>45448</v>
      </c>
      <c r="H322" s="15">
        <v>45449</v>
      </c>
      <c r="I322" s="13" t="s">
        <v>677</v>
      </c>
      <c r="J322" s="13" t="s">
        <v>396</v>
      </c>
      <c r="K322" s="18"/>
      <c r="L322" s="4"/>
    </row>
    <row r="323" spans="1:12" s="2" customFormat="1" ht="15" hidden="1" customHeight="1" x14ac:dyDescent="0.3">
      <c r="A323" s="13" t="s">
        <v>630</v>
      </c>
      <c r="B323" s="13">
        <v>30009630</v>
      </c>
      <c r="C323" s="13">
        <v>10880030840</v>
      </c>
      <c r="D323" s="14">
        <v>990000034585</v>
      </c>
      <c r="E323" s="13" t="s">
        <v>678</v>
      </c>
      <c r="F323" s="13">
        <v>4</v>
      </c>
      <c r="G323" s="15">
        <v>45454</v>
      </c>
      <c r="H323" s="15">
        <v>45454</v>
      </c>
      <c r="I323" s="13" t="s">
        <v>679</v>
      </c>
      <c r="J323" s="13" t="s">
        <v>379</v>
      </c>
      <c r="K323" s="18"/>
      <c r="L323" s="4"/>
    </row>
    <row r="324" spans="1:12" s="2" customFormat="1" ht="15" hidden="1" customHeight="1" x14ac:dyDescent="0.3">
      <c r="A324" s="13" t="s">
        <v>630</v>
      </c>
      <c r="B324" s="13">
        <v>1295018</v>
      </c>
      <c r="C324" s="13">
        <v>10880030004</v>
      </c>
      <c r="D324" s="14">
        <v>990000034593</v>
      </c>
      <c r="E324" s="13" t="s">
        <v>254</v>
      </c>
      <c r="F324" s="13">
        <v>1190</v>
      </c>
      <c r="G324" s="15">
        <v>45454</v>
      </c>
      <c r="H324" s="15">
        <v>45458</v>
      </c>
      <c r="I324" s="13" t="s">
        <v>680</v>
      </c>
      <c r="J324" s="13" t="s">
        <v>379</v>
      </c>
      <c r="K324" s="18"/>
      <c r="L324" s="4"/>
    </row>
    <row r="325" spans="1:12" s="2" customFormat="1" ht="15" hidden="1" customHeight="1" x14ac:dyDescent="0.3">
      <c r="A325" s="13" t="s">
        <v>630</v>
      </c>
      <c r="B325" s="13">
        <v>1289837</v>
      </c>
      <c r="C325" s="13">
        <v>10880030004</v>
      </c>
      <c r="D325" s="14">
        <v>990000034594</v>
      </c>
      <c r="E325" s="13" t="s">
        <v>254</v>
      </c>
      <c r="F325" s="13">
        <v>333</v>
      </c>
      <c r="G325" s="15">
        <v>45454</v>
      </c>
      <c r="H325" s="15">
        <v>45458</v>
      </c>
      <c r="I325" s="13" t="s">
        <v>680</v>
      </c>
      <c r="J325" s="13" t="s">
        <v>379</v>
      </c>
      <c r="K325" s="18"/>
      <c r="L325" s="4"/>
    </row>
    <row r="326" spans="1:12" s="2" customFormat="1" ht="15" hidden="1" customHeight="1" x14ac:dyDescent="0.3">
      <c r="A326" s="13" t="s">
        <v>630</v>
      </c>
      <c r="B326" s="13">
        <v>1297590</v>
      </c>
      <c r="C326" s="13">
        <v>10880030004</v>
      </c>
      <c r="D326" s="14">
        <v>990000034595</v>
      </c>
      <c r="E326" s="13" t="s">
        <v>254</v>
      </c>
      <c r="F326" s="13">
        <v>72</v>
      </c>
      <c r="G326" s="15">
        <v>45454</v>
      </c>
      <c r="H326" s="15">
        <v>45458</v>
      </c>
      <c r="I326" s="13" t="s">
        <v>680</v>
      </c>
      <c r="J326" s="13" t="s">
        <v>379</v>
      </c>
      <c r="K326" s="18"/>
      <c r="L326" s="4"/>
    </row>
    <row r="327" spans="1:12" s="2" customFormat="1" ht="15" customHeight="1" x14ac:dyDescent="0.3">
      <c r="A327" s="13" t="s">
        <v>630</v>
      </c>
      <c r="B327" s="13">
        <v>1237347</v>
      </c>
      <c r="C327" s="13">
        <v>10880022044</v>
      </c>
      <c r="D327" s="14">
        <v>990000100106</v>
      </c>
      <c r="E327" s="13" t="s">
        <v>417</v>
      </c>
      <c r="F327" s="13">
        <v>12</v>
      </c>
      <c r="G327" s="15">
        <v>45454</v>
      </c>
      <c r="H327" s="15">
        <v>45546</v>
      </c>
      <c r="I327" s="13" t="s">
        <v>681</v>
      </c>
      <c r="J327" s="13" t="s">
        <v>423</v>
      </c>
      <c r="K327" s="18"/>
      <c r="L327" s="4"/>
    </row>
    <row r="328" spans="1:12" s="2" customFormat="1" ht="15" customHeight="1" x14ac:dyDescent="0.3">
      <c r="A328" s="13" t="s">
        <v>630</v>
      </c>
      <c r="B328" s="13">
        <v>1248400</v>
      </c>
      <c r="C328" s="13">
        <v>10880022044</v>
      </c>
      <c r="D328" s="14">
        <v>990000100107</v>
      </c>
      <c r="E328" s="13" t="s">
        <v>417</v>
      </c>
      <c r="F328" s="13">
        <v>6</v>
      </c>
      <c r="G328" s="15">
        <v>45454</v>
      </c>
      <c r="H328" s="15">
        <v>45546</v>
      </c>
      <c r="I328" s="13" t="s">
        <v>681</v>
      </c>
      <c r="J328" s="13" t="s">
        <v>423</v>
      </c>
      <c r="K328" s="18"/>
      <c r="L328" s="4"/>
    </row>
    <row r="329" spans="1:12" s="2" customFormat="1" ht="15" customHeight="1" x14ac:dyDescent="0.3">
      <c r="A329" s="13" t="s">
        <v>630</v>
      </c>
      <c r="B329" s="13">
        <v>1237311</v>
      </c>
      <c r="C329" s="13">
        <v>10880022044</v>
      </c>
      <c r="D329" s="14">
        <v>990000100105</v>
      </c>
      <c r="E329" s="13" t="s">
        <v>417</v>
      </c>
      <c r="F329" s="13">
        <v>51</v>
      </c>
      <c r="G329" s="15">
        <v>45454</v>
      </c>
      <c r="H329" s="15">
        <v>45565</v>
      </c>
      <c r="I329" s="13" t="s">
        <v>681</v>
      </c>
      <c r="J329" s="13" t="s">
        <v>423</v>
      </c>
      <c r="K329" s="18"/>
      <c r="L329" s="4"/>
    </row>
    <row r="330" spans="1:12" s="2" customFormat="1" ht="15" customHeight="1" x14ac:dyDescent="0.3">
      <c r="A330" s="13" t="s">
        <v>630</v>
      </c>
      <c r="B330" s="13">
        <v>1294813</v>
      </c>
      <c r="C330" s="13">
        <v>10880022123</v>
      </c>
      <c r="D330" s="14">
        <v>990000100104</v>
      </c>
      <c r="E330" s="13" t="s">
        <v>247</v>
      </c>
      <c r="F330" s="13">
        <v>7</v>
      </c>
      <c r="G330" s="15">
        <v>45454</v>
      </c>
      <c r="H330" s="15">
        <v>45565</v>
      </c>
      <c r="I330" s="13" t="s">
        <v>682</v>
      </c>
      <c r="J330" s="13" t="s">
        <v>423</v>
      </c>
      <c r="K330" s="18"/>
      <c r="L330" s="4"/>
    </row>
    <row r="331" spans="1:12" s="2" customFormat="1" ht="15" customHeight="1" x14ac:dyDescent="0.3">
      <c r="A331" s="13" t="s">
        <v>630</v>
      </c>
      <c r="B331" s="13">
        <v>1273309</v>
      </c>
      <c r="C331" s="13">
        <v>10880030243</v>
      </c>
      <c r="D331" s="14">
        <v>990000100108</v>
      </c>
      <c r="E331" s="13" t="s">
        <v>522</v>
      </c>
      <c r="F331" s="13">
        <v>1</v>
      </c>
      <c r="G331" s="15">
        <v>45454</v>
      </c>
      <c r="H331" s="15">
        <v>45565</v>
      </c>
      <c r="I331" s="13" t="s">
        <v>683</v>
      </c>
      <c r="J331" s="13" t="s">
        <v>423</v>
      </c>
      <c r="K331" s="18"/>
      <c r="L331" s="4"/>
    </row>
    <row r="332" spans="1:12" s="2" customFormat="1" ht="15" customHeight="1" x14ac:dyDescent="0.3">
      <c r="A332" s="13" t="s">
        <v>630</v>
      </c>
      <c r="B332" s="13">
        <v>1291644</v>
      </c>
      <c r="C332" s="13">
        <v>10880030243</v>
      </c>
      <c r="D332" s="14">
        <v>990000100109</v>
      </c>
      <c r="E332" s="13" t="s">
        <v>522</v>
      </c>
      <c r="F332" s="13">
        <v>5</v>
      </c>
      <c r="G332" s="15">
        <v>45454</v>
      </c>
      <c r="H332" s="15">
        <v>45565</v>
      </c>
      <c r="I332" s="13" t="s">
        <v>683</v>
      </c>
      <c r="J332" s="13" t="s">
        <v>423</v>
      </c>
      <c r="K332" s="18"/>
      <c r="L332" s="4"/>
    </row>
    <row r="333" spans="1:12" s="2" customFormat="1" ht="15" hidden="1" customHeight="1" x14ac:dyDescent="0.3">
      <c r="A333" s="13" t="s">
        <v>630</v>
      </c>
      <c r="B333" s="13">
        <v>30009624</v>
      </c>
      <c r="C333" s="13">
        <v>10880029836</v>
      </c>
      <c r="D333" s="14">
        <v>990000034638</v>
      </c>
      <c r="E333" s="13" t="s">
        <v>684</v>
      </c>
      <c r="F333" s="13">
        <v>5</v>
      </c>
      <c r="G333" s="15">
        <v>45455</v>
      </c>
      <c r="H333" s="15">
        <v>45455</v>
      </c>
      <c r="I333" s="13" t="s">
        <v>580</v>
      </c>
      <c r="J333" s="13" t="s">
        <v>379</v>
      </c>
      <c r="K333" s="18"/>
      <c r="L333" s="4"/>
    </row>
    <row r="334" spans="1:12" s="2" customFormat="1" ht="15" hidden="1" customHeight="1" x14ac:dyDescent="0.3">
      <c r="A334" s="13" t="s">
        <v>630</v>
      </c>
      <c r="B334" s="13">
        <v>30009635</v>
      </c>
      <c r="C334" s="13">
        <v>10880018091</v>
      </c>
      <c r="D334" s="14">
        <v>990000034637</v>
      </c>
      <c r="E334" s="13" t="s">
        <v>510</v>
      </c>
      <c r="F334" s="13">
        <v>300</v>
      </c>
      <c r="G334" s="15">
        <v>45455</v>
      </c>
      <c r="H334" s="15">
        <v>45456</v>
      </c>
      <c r="I334" s="13" t="s">
        <v>685</v>
      </c>
      <c r="J334" s="13" t="s">
        <v>379</v>
      </c>
      <c r="K334" s="18"/>
      <c r="L334" s="4"/>
    </row>
    <row r="335" spans="1:12" s="2" customFormat="1" ht="15" hidden="1" customHeight="1" x14ac:dyDescent="0.3">
      <c r="A335" s="13" t="s">
        <v>630</v>
      </c>
      <c r="B335" s="13">
        <v>30009640</v>
      </c>
      <c r="C335" s="13">
        <v>10880018091</v>
      </c>
      <c r="D335" s="14">
        <v>990000034676</v>
      </c>
      <c r="E335" s="13" t="s">
        <v>510</v>
      </c>
      <c r="F335" s="13">
        <v>200</v>
      </c>
      <c r="G335" s="15">
        <v>45456</v>
      </c>
      <c r="H335" s="15">
        <v>45456</v>
      </c>
      <c r="I335" s="13" t="s">
        <v>686</v>
      </c>
      <c r="J335" s="13" t="s">
        <v>379</v>
      </c>
      <c r="K335" s="18"/>
      <c r="L335" s="4"/>
    </row>
    <row r="336" spans="1:12" s="2" customFormat="1" ht="15" hidden="1" customHeight="1" x14ac:dyDescent="0.3">
      <c r="A336" s="13" t="s">
        <v>630</v>
      </c>
      <c r="B336" s="13">
        <v>30009636</v>
      </c>
      <c r="C336" s="13">
        <v>10880019241</v>
      </c>
      <c r="D336" s="14">
        <v>990000034686</v>
      </c>
      <c r="E336" s="13" t="s">
        <v>687</v>
      </c>
      <c r="F336" s="13">
        <v>30</v>
      </c>
      <c r="G336" s="15">
        <v>45456</v>
      </c>
      <c r="H336" s="15">
        <v>45458</v>
      </c>
      <c r="I336" s="13" t="s">
        <v>688</v>
      </c>
      <c r="J336" s="13" t="s">
        <v>379</v>
      </c>
      <c r="K336" s="18"/>
      <c r="L336" s="4"/>
    </row>
    <row r="337" spans="1:12" s="2" customFormat="1" ht="15" hidden="1" customHeight="1" x14ac:dyDescent="0.3">
      <c r="A337" s="13" t="s">
        <v>630</v>
      </c>
      <c r="B337" s="13">
        <v>1312505</v>
      </c>
      <c r="C337" s="13">
        <v>10880021416</v>
      </c>
      <c r="D337" s="14">
        <v>990000034685</v>
      </c>
      <c r="E337" s="13" t="s">
        <v>174</v>
      </c>
      <c r="F337" s="13">
        <v>88</v>
      </c>
      <c r="G337" s="15">
        <v>45456</v>
      </c>
      <c r="H337" s="15">
        <v>45467</v>
      </c>
      <c r="I337" s="13" t="s">
        <v>689</v>
      </c>
      <c r="J337" s="13" t="s">
        <v>379</v>
      </c>
      <c r="K337" s="18"/>
      <c r="L337" s="4"/>
    </row>
    <row r="338" spans="1:12" s="2" customFormat="1" ht="15" hidden="1" customHeight="1" x14ac:dyDescent="0.3">
      <c r="A338" s="13" t="s">
        <v>630</v>
      </c>
      <c r="B338" s="13">
        <v>1222397</v>
      </c>
      <c r="C338" s="13">
        <v>10880020647</v>
      </c>
      <c r="D338" s="14">
        <v>990000034712</v>
      </c>
      <c r="E338" s="13" t="s">
        <v>471</v>
      </c>
      <c r="F338" s="13">
        <v>494</v>
      </c>
      <c r="G338" s="15">
        <v>45460</v>
      </c>
      <c r="H338" s="15">
        <v>45463</v>
      </c>
      <c r="I338" s="13" t="s">
        <v>690</v>
      </c>
      <c r="J338" s="13" t="s">
        <v>379</v>
      </c>
      <c r="K338" s="18"/>
      <c r="L338" s="4"/>
    </row>
    <row r="339" spans="1:12" s="2" customFormat="1" ht="15" hidden="1" customHeight="1" x14ac:dyDescent="0.3">
      <c r="A339" s="13" t="s">
        <v>630</v>
      </c>
      <c r="B339" s="13">
        <v>1278277</v>
      </c>
      <c r="C339" s="13">
        <v>10880020647</v>
      </c>
      <c r="D339" s="14">
        <v>990000034713</v>
      </c>
      <c r="E339" s="13" t="s">
        <v>471</v>
      </c>
      <c r="F339" s="13">
        <v>342</v>
      </c>
      <c r="G339" s="15">
        <v>45460</v>
      </c>
      <c r="H339" s="15">
        <v>45463</v>
      </c>
      <c r="I339" s="13" t="s">
        <v>690</v>
      </c>
      <c r="J339" s="13" t="s">
        <v>379</v>
      </c>
      <c r="K339" s="18"/>
      <c r="L339" s="4"/>
    </row>
    <row r="340" spans="1:12" s="2" customFormat="1" ht="15" hidden="1" customHeight="1" x14ac:dyDescent="0.3">
      <c r="A340" s="13" t="s">
        <v>630</v>
      </c>
      <c r="B340" s="13">
        <v>1280594</v>
      </c>
      <c r="C340" s="13">
        <v>10880020647</v>
      </c>
      <c r="D340" s="14">
        <v>990000034714</v>
      </c>
      <c r="E340" s="13" t="s">
        <v>471</v>
      </c>
      <c r="F340" s="13">
        <v>68</v>
      </c>
      <c r="G340" s="15">
        <v>45460</v>
      </c>
      <c r="H340" s="15">
        <v>45493</v>
      </c>
      <c r="I340" s="13" t="s">
        <v>690</v>
      </c>
      <c r="J340" s="13" t="s">
        <v>379</v>
      </c>
      <c r="K340" s="18"/>
      <c r="L340" s="4"/>
    </row>
    <row r="341" spans="1:12" s="2" customFormat="1" ht="15" hidden="1" customHeight="1" x14ac:dyDescent="0.3">
      <c r="A341" s="13" t="s">
        <v>630</v>
      </c>
      <c r="B341" s="13">
        <v>1252840</v>
      </c>
      <c r="C341" s="13">
        <v>10880020556</v>
      </c>
      <c r="D341" s="14">
        <v>990000034719</v>
      </c>
      <c r="E341" s="13" t="s">
        <v>184</v>
      </c>
      <c r="F341" s="13">
        <v>780</v>
      </c>
      <c r="G341" s="15">
        <v>45461</v>
      </c>
      <c r="H341" s="15" t="s">
        <v>487</v>
      </c>
      <c r="I341" s="13" t="s">
        <v>691</v>
      </c>
      <c r="J341" s="13" t="s">
        <v>489</v>
      </c>
      <c r="K341" s="18"/>
      <c r="L341" s="4"/>
    </row>
    <row r="342" spans="1:12" s="2" customFormat="1" ht="15" hidden="1" customHeight="1" x14ac:dyDescent="0.3">
      <c r="A342" s="13" t="s">
        <v>630</v>
      </c>
      <c r="B342" s="13">
        <v>1290387</v>
      </c>
      <c r="C342" s="13">
        <v>10880030934</v>
      </c>
      <c r="D342" s="14">
        <v>990000034783</v>
      </c>
      <c r="E342" s="13" t="s">
        <v>692</v>
      </c>
      <c r="F342" s="13">
        <v>200</v>
      </c>
      <c r="G342" s="15">
        <v>45461</v>
      </c>
      <c r="H342" s="15">
        <v>45476</v>
      </c>
      <c r="I342" s="13" t="s">
        <v>693</v>
      </c>
      <c r="J342" s="13" t="s">
        <v>396</v>
      </c>
      <c r="K342" s="18"/>
      <c r="L342" s="4"/>
    </row>
    <row r="343" spans="1:12" s="2" customFormat="1" ht="15" hidden="1" customHeight="1" x14ac:dyDescent="0.3">
      <c r="A343" s="13" t="s">
        <v>630</v>
      </c>
      <c r="B343" s="13">
        <v>1274213</v>
      </c>
      <c r="C343" s="13">
        <v>10880028345</v>
      </c>
      <c r="D343" s="14">
        <v>990000034845</v>
      </c>
      <c r="E343" s="13" t="s">
        <v>592</v>
      </c>
      <c r="F343" s="13">
        <v>308</v>
      </c>
      <c r="G343" s="15">
        <v>45463</v>
      </c>
      <c r="H343" s="15">
        <v>45467</v>
      </c>
      <c r="I343" s="13" t="s">
        <v>694</v>
      </c>
      <c r="J343" s="13" t="s">
        <v>379</v>
      </c>
      <c r="K343" s="18"/>
      <c r="L343" s="4"/>
    </row>
    <row r="344" spans="1:12" s="2" customFormat="1" ht="15" hidden="1" customHeight="1" x14ac:dyDescent="0.3">
      <c r="A344" s="13" t="s">
        <v>630</v>
      </c>
      <c r="B344" s="13">
        <v>1300821</v>
      </c>
      <c r="C344" s="13">
        <v>10880031812</v>
      </c>
      <c r="D344" s="14">
        <v>990000034844</v>
      </c>
      <c r="E344" s="13" t="s">
        <v>695</v>
      </c>
      <c r="F344" s="13">
        <v>200</v>
      </c>
      <c r="G344" s="15">
        <v>45463</v>
      </c>
      <c r="H344" s="15">
        <v>45475</v>
      </c>
      <c r="I344" s="13" t="s">
        <v>696</v>
      </c>
      <c r="J344" s="13" t="s">
        <v>379</v>
      </c>
      <c r="K344" s="18"/>
      <c r="L344" s="4"/>
    </row>
    <row r="345" spans="1:12" s="2" customFormat="1" ht="15" hidden="1" customHeight="1" x14ac:dyDescent="0.3">
      <c r="A345" s="13" t="s">
        <v>630</v>
      </c>
      <c r="B345" s="13">
        <v>1281670</v>
      </c>
      <c r="C345" s="13">
        <v>10880028345</v>
      </c>
      <c r="D345" s="14">
        <v>990000034865</v>
      </c>
      <c r="E345" s="13" t="s">
        <v>592</v>
      </c>
      <c r="F345" s="13">
        <v>191</v>
      </c>
      <c r="G345" s="15">
        <v>45465</v>
      </c>
      <c r="H345" s="15">
        <v>45475</v>
      </c>
      <c r="I345" s="13" t="s">
        <v>694</v>
      </c>
      <c r="J345" s="13" t="s">
        <v>379</v>
      </c>
      <c r="K345" s="18"/>
      <c r="L345" s="4"/>
    </row>
    <row r="346" spans="1:12" s="2" customFormat="1" ht="15" hidden="1" customHeight="1" x14ac:dyDescent="0.3">
      <c r="A346" s="13" t="s">
        <v>630</v>
      </c>
      <c r="B346" s="13">
        <v>1274214</v>
      </c>
      <c r="C346" s="13">
        <v>10880028345</v>
      </c>
      <c r="D346" s="14">
        <v>990000034867</v>
      </c>
      <c r="E346" s="13" t="s">
        <v>592</v>
      </c>
      <c r="F346" s="13">
        <v>34</v>
      </c>
      <c r="G346" s="15">
        <v>45465</v>
      </c>
      <c r="H346" s="15">
        <v>45475</v>
      </c>
      <c r="I346" s="13" t="s">
        <v>694</v>
      </c>
      <c r="J346" s="13" t="s">
        <v>379</v>
      </c>
      <c r="K346" s="18"/>
      <c r="L346" s="4"/>
    </row>
    <row r="347" spans="1:12" s="2" customFormat="1" ht="15" hidden="1" customHeight="1" x14ac:dyDescent="0.3">
      <c r="A347" s="13" t="s">
        <v>630</v>
      </c>
      <c r="B347" s="13">
        <v>1310375</v>
      </c>
      <c r="C347" s="13">
        <v>10880032609</v>
      </c>
      <c r="D347" s="14">
        <v>990000034861</v>
      </c>
      <c r="E347" s="13" t="s">
        <v>697</v>
      </c>
      <c r="F347" s="13">
        <v>994</v>
      </c>
      <c r="G347" s="15">
        <v>45465</v>
      </c>
      <c r="H347" s="15">
        <v>45475</v>
      </c>
      <c r="I347" s="13" t="s">
        <v>698</v>
      </c>
      <c r="J347" s="13" t="s">
        <v>379</v>
      </c>
      <c r="K347" s="18"/>
      <c r="L347" s="4"/>
    </row>
    <row r="348" spans="1:12" s="2" customFormat="1" ht="15" hidden="1" customHeight="1" x14ac:dyDescent="0.3">
      <c r="A348" s="13" t="s">
        <v>630</v>
      </c>
      <c r="B348" s="13">
        <v>1309093</v>
      </c>
      <c r="C348" s="13">
        <v>10880032609</v>
      </c>
      <c r="D348" s="14">
        <v>990000034862</v>
      </c>
      <c r="E348" s="13" t="s">
        <v>697</v>
      </c>
      <c r="F348" s="13">
        <v>342</v>
      </c>
      <c r="G348" s="15">
        <v>45465</v>
      </c>
      <c r="H348" s="15">
        <v>45475</v>
      </c>
      <c r="I348" s="13" t="s">
        <v>698</v>
      </c>
      <c r="J348" s="13" t="s">
        <v>379</v>
      </c>
      <c r="K348" s="18"/>
      <c r="L348" s="4"/>
    </row>
    <row r="349" spans="1:12" s="2" customFormat="1" ht="15" hidden="1" customHeight="1" x14ac:dyDescent="0.3">
      <c r="A349" s="13" t="s">
        <v>630</v>
      </c>
      <c r="B349" s="13">
        <v>1304373</v>
      </c>
      <c r="C349" s="13">
        <v>10880031812</v>
      </c>
      <c r="D349" s="14">
        <v>990000034863</v>
      </c>
      <c r="E349" s="13" t="s">
        <v>695</v>
      </c>
      <c r="F349" s="13">
        <v>1478</v>
      </c>
      <c r="G349" s="15">
        <v>45465</v>
      </c>
      <c r="H349" s="15">
        <v>45475</v>
      </c>
      <c r="I349" s="13" t="s">
        <v>696</v>
      </c>
      <c r="J349" s="13" t="s">
        <v>379</v>
      </c>
      <c r="K349" s="18"/>
      <c r="L349" s="4"/>
    </row>
    <row r="350" spans="1:12" s="2" customFormat="1" ht="15" hidden="1" customHeight="1" x14ac:dyDescent="0.3">
      <c r="A350" s="13" t="s">
        <v>630</v>
      </c>
      <c r="B350" s="13">
        <v>30009507</v>
      </c>
      <c r="C350" s="13">
        <v>10880031812</v>
      </c>
      <c r="D350" s="14">
        <v>990000034864</v>
      </c>
      <c r="E350" s="13" t="s">
        <v>695</v>
      </c>
      <c r="F350" s="13">
        <v>1</v>
      </c>
      <c r="G350" s="15">
        <v>45465</v>
      </c>
      <c r="H350" s="15">
        <v>45475</v>
      </c>
      <c r="I350" s="13" t="s">
        <v>696</v>
      </c>
      <c r="J350" s="13" t="s">
        <v>379</v>
      </c>
      <c r="K350" s="18"/>
      <c r="L350" s="4"/>
    </row>
    <row r="351" spans="1:12" s="2" customFormat="1" ht="15" hidden="1" customHeight="1" x14ac:dyDescent="0.3">
      <c r="A351" s="13" t="s">
        <v>630</v>
      </c>
      <c r="B351" s="13">
        <v>30009699</v>
      </c>
      <c r="C351" s="13">
        <v>10880032759</v>
      </c>
      <c r="D351" s="14">
        <v>990000034903</v>
      </c>
      <c r="E351" s="13" t="s">
        <v>699</v>
      </c>
      <c r="F351" s="13">
        <v>8784</v>
      </c>
      <c r="G351" s="15">
        <v>45467</v>
      </c>
      <c r="H351" s="15">
        <v>45468</v>
      </c>
      <c r="I351" s="13" t="s">
        <v>580</v>
      </c>
      <c r="J351" s="10" t="s">
        <v>379</v>
      </c>
      <c r="K351" s="18"/>
      <c r="L351" s="4"/>
    </row>
    <row r="352" spans="1:12" s="2" customFormat="1" ht="15" hidden="1" customHeight="1" x14ac:dyDescent="0.3">
      <c r="A352" s="13" t="s">
        <v>630</v>
      </c>
      <c r="B352" s="13"/>
      <c r="C352" s="13">
        <v>10880017531</v>
      </c>
      <c r="D352" s="14">
        <v>990000100125</v>
      </c>
      <c r="E352" s="13" t="s">
        <v>390</v>
      </c>
      <c r="F352" s="13">
        <v>700</v>
      </c>
      <c r="G352" s="15">
        <v>45475</v>
      </c>
      <c r="H352" s="15">
        <v>45476</v>
      </c>
      <c r="I352" s="13" t="s">
        <v>700</v>
      </c>
      <c r="J352" s="13" t="s">
        <v>379</v>
      </c>
      <c r="K352" s="18"/>
      <c r="L352" s="4"/>
    </row>
    <row r="353" spans="1:12" s="2" customFormat="1" ht="15" hidden="1" customHeight="1" x14ac:dyDescent="0.3">
      <c r="A353" s="13" t="s">
        <v>630</v>
      </c>
      <c r="B353" s="13"/>
      <c r="C353" s="13">
        <v>10880018097</v>
      </c>
      <c r="D353" s="14">
        <v>990000100124</v>
      </c>
      <c r="E353" s="13" t="s">
        <v>65</v>
      </c>
      <c r="F353" s="13">
        <v>2200</v>
      </c>
      <c r="G353" s="15">
        <v>45475</v>
      </c>
      <c r="H353" s="15">
        <v>45477</v>
      </c>
      <c r="I353" s="13" t="s">
        <v>701</v>
      </c>
      <c r="J353" s="13" t="s">
        <v>379</v>
      </c>
      <c r="K353" s="18"/>
      <c r="L353" s="4"/>
    </row>
    <row r="354" spans="1:12" s="2" customFormat="1" ht="15" hidden="1" customHeight="1" x14ac:dyDescent="0.3">
      <c r="A354" s="13" t="s">
        <v>630</v>
      </c>
      <c r="B354" s="13"/>
      <c r="C354" s="13">
        <v>10880021345</v>
      </c>
      <c r="D354" s="14">
        <v>990000100126</v>
      </c>
      <c r="E354" s="13" t="s">
        <v>702</v>
      </c>
      <c r="F354" s="13">
        <v>948</v>
      </c>
      <c r="G354" s="15">
        <v>45476</v>
      </c>
      <c r="H354" s="15">
        <v>45478</v>
      </c>
      <c r="I354" s="13" t="s">
        <v>703</v>
      </c>
      <c r="J354" s="13" t="s">
        <v>379</v>
      </c>
      <c r="K354" s="18"/>
      <c r="L354" s="4"/>
    </row>
    <row r="355" spans="1:12" s="2" customFormat="1" ht="15" hidden="1" customHeight="1" x14ac:dyDescent="0.3">
      <c r="A355" s="13" t="s">
        <v>630</v>
      </c>
      <c r="B355" s="13"/>
      <c r="C355" s="13">
        <v>10880029999</v>
      </c>
      <c r="D355" s="14">
        <v>990000100208</v>
      </c>
      <c r="E355" s="13" t="s">
        <v>631</v>
      </c>
      <c r="F355" s="13">
        <v>4</v>
      </c>
      <c r="G355" s="15">
        <v>45478</v>
      </c>
      <c r="H355" s="15">
        <v>45478</v>
      </c>
      <c r="I355" s="13" t="s">
        <v>704</v>
      </c>
      <c r="J355" s="13" t="s">
        <v>379</v>
      </c>
      <c r="K355" s="18"/>
      <c r="L355" s="4"/>
    </row>
    <row r="356" spans="1:12" s="2" customFormat="1" ht="15" hidden="1" customHeight="1" x14ac:dyDescent="0.3">
      <c r="A356" s="13" t="s">
        <v>630</v>
      </c>
      <c r="B356" s="13"/>
      <c r="C356" s="13">
        <v>10880022406</v>
      </c>
      <c r="D356" s="14">
        <v>990000100214</v>
      </c>
      <c r="E356" s="13" t="s">
        <v>528</v>
      </c>
      <c r="F356" s="13">
        <v>5380</v>
      </c>
      <c r="G356" s="15">
        <v>45478</v>
      </c>
      <c r="H356" s="15">
        <v>45482</v>
      </c>
      <c r="I356" s="13" t="s">
        <v>705</v>
      </c>
      <c r="J356" s="13" t="s">
        <v>379</v>
      </c>
      <c r="K356" s="18"/>
      <c r="L356" s="4"/>
    </row>
    <row r="357" spans="1:12" s="2" customFormat="1" ht="15" hidden="1" customHeight="1" x14ac:dyDescent="0.3">
      <c r="A357" s="13" t="s">
        <v>630</v>
      </c>
      <c r="B357" s="13"/>
      <c r="C357" s="13">
        <v>10880021311</v>
      </c>
      <c r="D357" s="14">
        <v>990000100206</v>
      </c>
      <c r="E357" s="13" t="s">
        <v>188</v>
      </c>
      <c r="F357" s="13">
        <v>389</v>
      </c>
      <c r="G357" s="15">
        <v>45478</v>
      </c>
      <c r="H357" s="15">
        <v>45491</v>
      </c>
      <c r="I357" s="13" t="s">
        <v>706</v>
      </c>
      <c r="J357" s="13" t="s">
        <v>379</v>
      </c>
      <c r="K357" s="18"/>
      <c r="L357" s="4"/>
    </row>
    <row r="358" spans="1:12" s="2" customFormat="1" ht="15" hidden="1" customHeight="1" x14ac:dyDescent="0.3">
      <c r="A358" s="13" t="s">
        <v>630</v>
      </c>
      <c r="B358" s="13"/>
      <c r="C358" s="13">
        <v>10880029999</v>
      </c>
      <c r="D358" s="14">
        <v>990000100207</v>
      </c>
      <c r="E358" s="13" t="s">
        <v>631</v>
      </c>
      <c r="F358" s="13">
        <v>15</v>
      </c>
      <c r="G358" s="15">
        <v>45478</v>
      </c>
      <c r="H358" s="15" t="s">
        <v>707</v>
      </c>
      <c r="I358" s="13" t="s">
        <v>708</v>
      </c>
      <c r="J358" s="13" t="s">
        <v>489</v>
      </c>
      <c r="K358" s="18"/>
      <c r="L358" s="4"/>
    </row>
    <row r="359" spans="1:12" s="2" customFormat="1" ht="15" hidden="1" customHeight="1" x14ac:dyDescent="0.3">
      <c r="A359" s="13" t="s">
        <v>630</v>
      </c>
      <c r="B359" s="13"/>
      <c r="C359" s="13">
        <v>10880018845</v>
      </c>
      <c r="D359" s="14">
        <v>990000100209</v>
      </c>
      <c r="E359" s="13" t="s">
        <v>452</v>
      </c>
      <c r="F359" s="13">
        <v>50</v>
      </c>
      <c r="G359" s="15">
        <v>45478</v>
      </c>
      <c r="H359" s="15">
        <v>45565</v>
      </c>
      <c r="I359" s="13" t="s">
        <v>709</v>
      </c>
      <c r="J359" s="13" t="s">
        <v>379</v>
      </c>
      <c r="K359" s="18"/>
      <c r="L359" s="4"/>
    </row>
    <row r="360" spans="1:12" s="2" customFormat="1" ht="15" hidden="1" customHeight="1" x14ac:dyDescent="0.3">
      <c r="A360" s="13" t="s">
        <v>630</v>
      </c>
      <c r="B360" s="13"/>
      <c r="C360" s="13">
        <v>10880021173</v>
      </c>
      <c r="D360" s="14">
        <v>990000100216</v>
      </c>
      <c r="E360" s="13" t="s">
        <v>482</v>
      </c>
      <c r="F360" s="13">
        <v>200</v>
      </c>
      <c r="G360" s="15">
        <v>45479</v>
      </c>
      <c r="H360" s="15">
        <v>45480</v>
      </c>
      <c r="I360" s="13" t="s">
        <v>710</v>
      </c>
      <c r="J360" s="13" t="s">
        <v>379</v>
      </c>
      <c r="K360" s="18"/>
      <c r="L360" s="4"/>
    </row>
    <row r="361" spans="1:12" s="2" customFormat="1" ht="15" hidden="1" customHeight="1" x14ac:dyDescent="0.3">
      <c r="A361" s="13" t="s">
        <v>630</v>
      </c>
      <c r="B361" s="13"/>
      <c r="C361" s="13">
        <v>10880029054</v>
      </c>
      <c r="D361" s="14">
        <v>990000100254</v>
      </c>
      <c r="E361" s="13" t="s">
        <v>179</v>
      </c>
      <c r="F361" s="13">
        <v>107</v>
      </c>
      <c r="G361" s="15">
        <v>45479</v>
      </c>
      <c r="H361" s="15">
        <v>45480</v>
      </c>
      <c r="I361" s="13" t="s">
        <v>711</v>
      </c>
      <c r="J361" s="13" t="s">
        <v>379</v>
      </c>
      <c r="K361" s="18"/>
      <c r="L361" s="4"/>
    </row>
    <row r="362" spans="1:12" s="2" customFormat="1" ht="15" hidden="1" customHeight="1" x14ac:dyDescent="0.3">
      <c r="A362" s="13" t="s">
        <v>630</v>
      </c>
      <c r="B362" s="13"/>
      <c r="C362" s="13">
        <v>10880029055</v>
      </c>
      <c r="D362" s="14">
        <v>990000100255</v>
      </c>
      <c r="E362" s="13" t="s">
        <v>198</v>
      </c>
      <c r="F362" s="13">
        <v>342</v>
      </c>
      <c r="G362" s="15">
        <v>45479</v>
      </c>
      <c r="H362" s="15">
        <v>45482</v>
      </c>
      <c r="I362" s="13" t="s">
        <v>712</v>
      </c>
      <c r="J362" s="13" t="s">
        <v>379</v>
      </c>
      <c r="K362" s="18"/>
      <c r="L362" s="4"/>
    </row>
    <row r="363" spans="1:12" s="2" customFormat="1" ht="15" hidden="1" customHeight="1" x14ac:dyDescent="0.3">
      <c r="A363" s="13" t="s">
        <v>630</v>
      </c>
      <c r="B363" s="13"/>
      <c r="C363" s="13">
        <v>10880014363</v>
      </c>
      <c r="D363" s="14">
        <v>990000100253</v>
      </c>
      <c r="E363" s="13" t="s">
        <v>713</v>
      </c>
      <c r="F363" s="13">
        <v>78</v>
      </c>
      <c r="G363" s="15">
        <v>45479</v>
      </c>
      <c r="H363" s="15">
        <v>45491</v>
      </c>
      <c r="I363" s="13" t="s">
        <v>714</v>
      </c>
      <c r="J363" s="13" t="s">
        <v>379</v>
      </c>
      <c r="K363" s="18"/>
      <c r="L363" s="4"/>
    </row>
    <row r="364" spans="1:12" s="2" customFormat="1" ht="15" hidden="1" customHeight="1" x14ac:dyDescent="0.3">
      <c r="A364" s="13" t="s">
        <v>630</v>
      </c>
      <c r="B364" s="13"/>
      <c r="C364" s="13">
        <v>10880016864</v>
      </c>
      <c r="D364" s="14">
        <v>990000100249</v>
      </c>
      <c r="E364" s="13" t="s">
        <v>715</v>
      </c>
      <c r="F364" s="13">
        <v>218</v>
      </c>
      <c r="G364" s="15">
        <v>45479</v>
      </c>
      <c r="H364" s="15">
        <v>45491</v>
      </c>
      <c r="I364" s="13" t="s">
        <v>716</v>
      </c>
      <c r="J364" s="13" t="s">
        <v>379</v>
      </c>
      <c r="K364" s="18"/>
      <c r="L364" s="4"/>
    </row>
    <row r="365" spans="1:12" s="2" customFormat="1" ht="15" hidden="1" customHeight="1" x14ac:dyDescent="0.3">
      <c r="A365" s="13" t="s">
        <v>630</v>
      </c>
      <c r="B365" s="13"/>
      <c r="C365" s="13">
        <v>10880017536</v>
      </c>
      <c r="D365" s="14">
        <v>990000100256</v>
      </c>
      <c r="E365" s="13" t="s">
        <v>171</v>
      </c>
      <c r="F365" s="13">
        <v>2000</v>
      </c>
      <c r="G365" s="15">
        <v>45479</v>
      </c>
      <c r="H365" s="15">
        <v>45496</v>
      </c>
      <c r="I365" s="13" t="s">
        <v>717</v>
      </c>
      <c r="J365" s="13" t="s">
        <v>379</v>
      </c>
      <c r="K365" s="18"/>
      <c r="L365" s="4"/>
    </row>
    <row r="366" spans="1:12" s="2" customFormat="1" ht="15" hidden="1" customHeight="1" x14ac:dyDescent="0.3">
      <c r="A366" s="13" t="s">
        <v>630</v>
      </c>
      <c r="B366" s="13"/>
      <c r="C366" s="13">
        <v>10880030932</v>
      </c>
      <c r="D366" s="14">
        <v>990000100251</v>
      </c>
      <c r="E366" s="13" t="s">
        <v>718</v>
      </c>
      <c r="F366" s="13">
        <v>500</v>
      </c>
      <c r="G366" s="15">
        <v>45479</v>
      </c>
      <c r="H366" s="15">
        <v>45503</v>
      </c>
      <c r="I366" s="13" t="s">
        <v>719</v>
      </c>
      <c r="J366" s="13" t="s">
        <v>379</v>
      </c>
      <c r="K366" s="18"/>
      <c r="L366" s="4"/>
    </row>
    <row r="367" spans="1:12" s="2" customFormat="1" ht="15" hidden="1" customHeight="1" x14ac:dyDescent="0.3">
      <c r="A367" s="13" t="s">
        <v>630</v>
      </c>
      <c r="B367" s="13"/>
      <c r="C367" s="13">
        <v>10880030932</v>
      </c>
      <c r="D367" s="14">
        <v>990000100250</v>
      </c>
      <c r="E367" s="13" t="s">
        <v>718</v>
      </c>
      <c r="F367" s="13">
        <v>420</v>
      </c>
      <c r="G367" s="15">
        <v>45479</v>
      </c>
      <c r="H367" s="15">
        <v>45525</v>
      </c>
      <c r="I367" s="13" t="s">
        <v>720</v>
      </c>
      <c r="J367" s="13" t="s">
        <v>379</v>
      </c>
      <c r="K367" s="18"/>
      <c r="L367" s="4"/>
    </row>
    <row r="368" spans="1:12" s="2" customFormat="1" ht="15" hidden="1" customHeight="1" x14ac:dyDescent="0.3">
      <c r="A368" s="13" t="s">
        <v>630</v>
      </c>
      <c r="B368" s="13"/>
      <c r="C368" s="13">
        <v>10880017527</v>
      </c>
      <c r="D368" s="14">
        <v>990000100248</v>
      </c>
      <c r="E368" s="13" t="s">
        <v>173</v>
      </c>
      <c r="F368" s="13">
        <v>2831</v>
      </c>
      <c r="G368" s="15">
        <v>45479</v>
      </c>
      <c r="H368" s="15">
        <v>45565</v>
      </c>
      <c r="I368" s="13" t="s">
        <v>721</v>
      </c>
      <c r="J368" s="13" t="s">
        <v>379</v>
      </c>
      <c r="K368" s="18"/>
      <c r="L368" s="4"/>
    </row>
    <row r="369" spans="1:12" s="2" customFormat="1" ht="15" hidden="1" customHeight="1" x14ac:dyDescent="0.3">
      <c r="A369" s="13" t="s">
        <v>630</v>
      </c>
      <c r="B369" s="13"/>
      <c r="C369" s="13">
        <v>10880021476</v>
      </c>
      <c r="D369" s="14">
        <v>990000100252</v>
      </c>
      <c r="E369" s="13" t="s">
        <v>722</v>
      </c>
      <c r="F369" s="13">
        <v>1108</v>
      </c>
      <c r="G369" s="15">
        <v>45479</v>
      </c>
      <c r="H369" s="15">
        <v>45565</v>
      </c>
      <c r="I369" s="13" t="s">
        <v>723</v>
      </c>
      <c r="J369" s="13" t="s">
        <v>379</v>
      </c>
      <c r="K369" s="18"/>
      <c r="L369" s="4"/>
    </row>
    <row r="370" spans="1:12" s="2" customFormat="1" ht="15" hidden="1" customHeight="1" x14ac:dyDescent="0.3">
      <c r="A370" s="13" t="s">
        <v>630</v>
      </c>
      <c r="B370" s="13"/>
      <c r="C370" s="13">
        <v>10880017530</v>
      </c>
      <c r="D370" s="14">
        <v>990000100257</v>
      </c>
      <c r="E370" s="13" t="s">
        <v>383</v>
      </c>
      <c r="F370" s="13">
        <v>1954</v>
      </c>
      <c r="G370" s="15">
        <v>45479</v>
      </c>
      <c r="H370" s="15">
        <v>45670</v>
      </c>
      <c r="I370" s="13" t="s">
        <v>724</v>
      </c>
      <c r="J370" s="13" t="s">
        <v>379</v>
      </c>
      <c r="K370" s="18"/>
      <c r="L370" s="4"/>
    </row>
    <row r="371" spans="1:12" s="2" customFormat="1" ht="15" hidden="1" customHeight="1" x14ac:dyDescent="0.3">
      <c r="A371" s="13" t="s">
        <v>630</v>
      </c>
      <c r="B371" s="13"/>
      <c r="C371" s="13">
        <v>10880019434</v>
      </c>
      <c r="D371" s="14">
        <v>990000100383</v>
      </c>
      <c r="E371" s="13" t="s">
        <v>407</v>
      </c>
      <c r="F371" s="13">
        <v>35</v>
      </c>
      <c r="G371" s="15">
        <v>45485</v>
      </c>
      <c r="H371" s="15">
        <v>45487</v>
      </c>
      <c r="I371" s="13" t="s">
        <v>725</v>
      </c>
      <c r="J371" s="13" t="s">
        <v>379</v>
      </c>
      <c r="K371" s="18"/>
      <c r="L371" s="4"/>
    </row>
    <row r="372" spans="1:12" s="2" customFormat="1" ht="15" hidden="1" customHeight="1" x14ac:dyDescent="0.3">
      <c r="A372" s="13" t="s">
        <v>630</v>
      </c>
      <c r="B372" s="13"/>
      <c r="C372" s="13">
        <v>10880029055</v>
      </c>
      <c r="D372" s="14">
        <v>990000100376</v>
      </c>
      <c r="E372" s="13" t="s">
        <v>198</v>
      </c>
      <c r="F372" s="13">
        <v>120</v>
      </c>
      <c r="G372" s="15">
        <v>45487</v>
      </c>
      <c r="H372" s="15">
        <v>45488</v>
      </c>
      <c r="I372" s="13" t="s">
        <v>726</v>
      </c>
      <c r="J372" s="13" t="s">
        <v>379</v>
      </c>
      <c r="K372" s="18"/>
      <c r="L372" s="4"/>
    </row>
    <row r="373" spans="1:12" s="2" customFormat="1" ht="15" hidden="1" customHeight="1" x14ac:dyDescent="0.3">
      <c r="A373" s="13" t="s">
        <v>630</v>
      </c>
      <c r="B373" s="13"/>
      <c r="C373" s="13">
        <v>10880029054</v>
      </c>
      <c r="D373" s="14">
        <v>990000100377</v>
      </c>
      <c r="E373" s="13" t="s">
        <v>727</v>
      </c>
      <c r="F373" s="13">
        <v>40</v>
      </c>
      <c r="G373" s="15">
        <v>45487</v>
      </c>
      <c r="H373" s="15">
        <v>45488</v>
      </c>
      <c r="I373" s="13" t="s">
        <v>728</v>
      </c>
      <c r="J373" s="10" t="s">
        <v>379</v>
      </c>
      <c r="K373" s="18"/>
      <c r="L373" s="4"/>
    </row>
    <row r="374" spans="1:12" s="2" customFormat="1" ht="15" hidden="1" customHeight="1" x14ac:dyDescent="0.3">
      <c r="A374" s="13" t="s">
        <v>412</v>
      </c>
      <c r="B374" s="13"/>
      <c r="C374" s="13" t="s">
        <v>729</v>
      </c>
      <c r="D374" s="14"/>
      <c r="E374" s="13" t="s">
        <v>730</v>
      </c>
      <c r="F374" s="13">
        <v>588</v>
      </c>
      <c r="G374" s="15">
        <v>45488</v>
      </c>
      <c r="H374" s="15">
        <v>45488</v>
      </c>
      <c r="I374" s="13" t="s">
        <v>731</v>
      </c>
      <c r="J374" s="13" t="s">
        <v>732</v>
      </c>
      <c r="K374" s="18"/>
      <c r="L374" s="4"/>
    </row>
    <row r="375" spans="1:12" s="2" customFormat="1" ht="15" hidden="1" customHeight="1" x14ac:dyDescent="0.3">
      <c r="A375" s="13" t="s">
        <v>733</v>
      </c>
      <c r="B375" s="13"/>
      <c r="C375" s="13">
        <v>10880032759</v>
      </c>
      <c r="D375" s="14">
        <v>990000100532</v>
      </c>
      <c r="E375" s="13" t="s">
        <v>699</v>
      </c>
      <c r="F375" s="13">
        <v>3</v>
      </c>
      <c r="G375" s="15">
        <v>45492</v>
      </c>
      <c r="H375" s="15">
        <v>45492</v>
      </c>
      <c r="I375" s="13" t="s">
        <v>734</v>
      </c>
      <c r="J375" s="13" t="s">
        <v>379</v>
      </c>
      <c r="K375" s="18"/>
      <c r="L375" s="4"/>
    </row>
    <row r="376" spans="1:12" s="2" customFormat="1" ht="15" hidden="1" customHeight="1" x14ac:dyDescent="0.3">
      <c r="A376" s="13" t="s">
        <v>630</v>
      </c>
      <c r="B376" s="13"/>
      <c r="C376" s="13">
        <v>10880022405</v>
      </c>
      <c r="D376" s="14">
        <v>990000100495</v>
      </c>
      <c r="E376" s="13" t="s">
        <v>524</v>
      </c>
      <c r="F376" s="13">
        <v>1344</v>
      </c>
      <c r="G376" s="15">
        <v>45492</v>
      </c>
      <c r="H376" s="15">
        <v>45493</v>
      </c>
      <c r="I376" s="13" t="s">
        <v>735</v>
      </c>
      <c r="J376" s="13" t="s">
        <v>379</v>
      </c>
      <c r="K376" s="18"/>
      <c r="L376" s="4"/>
    </row>
    <row r="377" spans="1:12" s="2" customFormat="1" ht="15" hidden="1" customHeight="1" x14ac:dyDescent="0.3">
      <c r="A377" s="13" t="s">
        <v>630</v>
      </c>
      <c r="B377" s="13"/>
      <c r="C377" s="13">
        <v>10880031114</v>
      </c>
      <c r="D377" s="14">
        <v>990000100607</v>
      </c>
      <c r="E377" s="13" t="s">
        <v>736</v>
      </c>
      <c r="F377" s="13">
        <v>175</v>
      </c>
      <c r="G377" s="15">
        <v>45496</v>
      </c>
      <c r="H377" s="15">
        <v>45514</v>
      </c>
      <c r="I377" s="13" t="s">
        <v>737</v>
      </c>
      <c r="J377" s="13" t="s">
        <v>379</v>
      </c>
      <c r="K377" s="18"/>
      <c r="L377" s="4"/>
    </row>
    <row r="378" spans="1:12" s="2" customFormat="1" ht="15" hidden="1" customHeight="1" x14ac:dyDescent="0.3">
      <c r="A378" s="13" t="s">
        <v>738</v>
      </c>
      <c r="B378" s="13"/>
      <c r="C378" s="13">
        <v>10880018091</v>
      </c>
      <c r="D378" s="14">
        <v>990000100710</v>
      </c>
      <c r="E378" s="13" t="s">
        <v>510</v>
      </c>
      <c r="F378" s="13">
        <v>246</v>
      </c>
      <c r="G378" s="15">
        <v>45499</v>
      </c>
      <c r="H378" s="15">
        <v>45501</v>
      </c>
      <c r="I378" s="13" t="s">
        <v>739</v>
      </c>
      <c r="J378" s="13" t="s">
        <v>379</v>
      </c>
      <c r="K378" s="18"/>
      <c r="L378" s="4"/>
    </row>
    <row r="379" spans="1:12" s="2" customFormat="1" ht="15" hidden="1" customHeight="1" x14ac:dyDescent="0.3">
      <c r="A379" s="13" t="s">
        <v>738</v>
      </c>
      <c r="B379" s="13"/>
      <c r="C379" s="13">
        <v>10880017531</v>
      </c>
      <c r="D379" s="14">
        <v>990000100708</v>
      </c>
      <c r="E379" s="13" t="s">
        <v>390</v>
      </c>
      <c r="F379" s="13">
        <v>1500</v>
      </c>
      <c r="G379" s="15">
        <v>45499</v>
      </c>
      <c r="H379" s="15">
        <v>45571</v>
      </c>
      <c r="I379" s="13" t="s">
        <v>700</v>
      </c>
      <c r="J379" s="13" t="s">
        <v>379</v>
      </c>
      <c r="K379" s="18"/>
      <c r="L379" s="4"/>
    </row>
    <row r="380" spans="1:12" s="2" customFormat="1" ht="15" hidden="1" customHeight="1" x14ac:dyDescent="0.3">
      <c r="A380" s="13" t="s">
        <v>738</v>
      </c>
      <c r="B380" s="13"/>
      <c r="C380" s="13">
        <v>10880019042</v>
      </c>
      <c r="D380" s="14">
        <v>990000100724</v>
      </c>
      <c r="E380" s="13" t="s">
        <v>740</v>
      </c>
      <c r="F380" s="13">
        <v>750</v>
      </c>
      <c r="G380" s="15">
        <v>45500</v>
      </c>
      <c r="H380" s="15"/>
      <c r="I380" s="13" t="s">
        <v>741</v>
      </c>
      <c r="J380" s="13" t="s">
        <v>379</v>
      </c>
      <c r="K380" s="18"/>
      <c r="L380" s="4"/>
    </row>
    <row r="381" spans="1:12" s="2" customFormat="1" ht="15" hidden="1" customHeight="1" x14ac:dyDescent="0.3">
      <c r="A381" s="13" t="s">
        <v>738</v>
      </c>
      <c r="B381" s="13"/>
      <c r="C381" s="13">
        <v>10880019042</v>
      </c>
      <c r="D381" s="14">
        <v>990000100725</v>
      </c>
      <c r="E381" s="13" t="s">
        <v>740</v>
      </c>
      <c r="F381" s="13">
        <v>237</v>
      </c>
      <c r="G381" s="15">
        <v>45500</v>
      </c>
      <c r="H381" s="15"/>
      <c r="I381" s="13" t="s">
        <v>742</v>
      </c>
      <c r="J381" s="13" t="s">
        <v>379</v>
      </c>
      <c r="K381" s="18"/>
      <c r="L381" s="4"/>
    </row>
    <row r="382" spans="1:12" s="2" customFormat="1" ht="15" hidden="1" customHeight="1" x14ac:dyDescent="0.3">
      <c r="A382" s="13" t="s">
        <v>738</v>
      </c>
      <c r="B382" s="13"/>
      <c r="C382" s="13">
        <v>10880019041</v>
      </c>
      <c r="D382" s="14">
        <v>990000100726</v>
      </c>
      <c r="E382" s="13" t="s">
        <v>743</v>
      </c>
      <c r="F382" s="13">
        <v>424</v>
      </c>
      <c r="G382" s="15">
        <v>45500</v>
      </c>
      <c r="H382" s="15"/>
      <c r="I382" s="13" t="s">
        <v>744</v>
      </c>
      <c r="J382" s="13" t="s">
        <v>379</v>
      </c>
      <c r="K382" s="18"/>
      <c r="L382" s="4"/>
    </row>
    <row r="383" spans="1:12" s="2" customFormat="1" ht="15" hidden="1" customHeight="1" x14ac:dyDescent="0.3">
      <c r="A383" s="13" t="s">
        <v>738</v>
      </c>
      <c r="B383" s="13"/>
      <c r="C383" s="13">
        <v>10880019041</v>
      </c>
      <c r="D383" s="14">
        <v>990000100727</v>
      </c>
      <c r="E383" s="13" t="s">
        <v>743</v>
      </c>
      <c r="F383" s="13">
        <v>30</v>
      </c>
      <c r="G383" s="15">
        <v>45500</v>
      </c>
      <c r="H383" s="15"/>
      <c r="I383" s="13" t="s">
        <v>745</v>
      </c>
      <c r="J383" s="13" t="s">
        <v>379</v>
      </c>
      <c r="K383" s="18"/>
      <c r="L383" s="4"/>
    </row>
    <row r="384" spans="1:12" s="2" customFormat="1" ht="15" hidden="1" customHeight="1" x14ac:dyDescent="0.3">
      <c r="A384" s="13" t="s">
        <v>738</v>
      </c>
      <c r="B384" s="13"/>
      <c r="C384" s="13">
        <v>10880019040</v>
      </c>
      <c r="D384" s="14">
        <v>990000100728</v>
      </c>
      <c r="E384" s="13" t="s">
        <v>476</v>
      </c>
      <c r="F384" s="13">
        <v>281</v>
      </c>
      <c r="G384" s="15">
        <v>45500</v>
      </c>
      <c r="H384" s="15"/>
      <c r="I384" s="13" t="s">
        <v>746</v>
      </c>
      <c r="J384" s="13" t="s">
        <v>379</v>
      </c>
      <c r="K384" s="18"/>
      <c r="L384" s="4"/>
    </row>
    <row r="385" spans="1:12" s="2" customFormat="1" ht="15" hidden="1" customHeight="1" x14ac:dyDescent="0.3">
      <c r="A385" s="13" t="s">
        <v>738</v>
      </c>
      <c r="B385" s="13"/>
      <c r="C385" s="13">
        <v>10880019040</v>
      </c>
      <c r="D385" s="14">
        <v>990000100729</v>
      </c>
      <c r="E385" s="13" t="s">
        <v>476</v>
      </c>
      <c r="F385" s="13">
        <v>789</v>
      </c>
      <c r="G385" s="15">
        <v>45500</v>
      </c>
      <c r="H385" s="15"/>
      <c r="I385" s="13" t="s">
        <v>747</v>
      </c>
      <c r="J385" s="13" t="s">
        <v>379</v>
      </c>
      <c r="K385" s="18"/>
      <c r="L385" s="4"/>
    </row>
    <row r="386" spans="1:12" s="2" customFormat="1" ht="15" hidden="1" customHeight="1" x14ac:dyDescent="0.3">
      <c r="A386" s="13" t="s">
        <v>738</v>
      </c>
      <c r="B386" s="13"/>
      <c r="C386" s="13"/>
      <c r="D386" s="14"/>
      <c r="E386" s="13" t="s">
        <v>748</v>
      </c>
      <c r="F386" s="13">
        <v>50</v>
      </c>
      <c r="G386" s="15">
        <v>45501</v>
      </c>
      <c r="H386" s="15">
        <v>45501</v>
      </c>
      <c r="I386" s="13" t="s">
        <v>749</v>
      </c>
      <c r="J386" s="13" t="s">
        <v>379</v>
      </c>
      <c r="K386" s="18"/>
      <c r="L386" s="4"/>
    </row>
    <row r="387" spans="1:12" s="2" customFormat="1" ht="15" hidden="1" customHeight="1" x14ac:dyDescent="0.3">
      <c r="A387" s="13" t="s">
        <v>738</v>
      </c>
      <c r="B387" s="13"/>
      <c r="C387" s="13"/>
      <c r="D387" s="14"/>
      <c r="E387" s="13" t="s">
        <v>750</v>
      </c>
      <c r="F387" s="13">
        <v>10</v>
      </c>
      <c r="G387" s="15">
        <v>45501</v>
      </c>
      <c r="H387" s="15">
        <v>45501</v>
      </c>
      <c r="I387" s="13" t="s">
        <v>751</v>
      </c>
      <c r="J387" s="13" t="s">
        <v>379</v>
      </c>
      <c r="K387" s="18"/>
      <c r="L387" s="4"/>
    </row>
    <row r="388" spans="1:12" s="2" customFormat="1" ht="15" hidden="1" customHeight="1" x14ac:dyDescent="0.3">
      <c r="A388" s="13" t="s">
        <v>738</v>
      </c>
      <c r="B388" s="13"/>
      <c r="C388" s="13">
        <v>10880019241</v>
      </c>
      <c r="D388" s="14">
        <v>990000100740</v>
      </c>
      <c r="E388" s="13" t="s">
        <v>687</v>
      </c>
      <c r="F388" s="13">
        <v>20</v>
      </c>
      <c r="G388" s="15">
        <v>45502</v>
      </c>
      <c r="H388" s="15">
        <v>45503</v>
      </c>
      <c r="I388" s="13" t="s">
        <v>752</v>
      </c>
      <c r="J388" s="13" t="s">
        <v>379</v>
      </c>
      <c r="K388" s="18"/>
      <c r="L388" s="4"/>
    </row>
    <row r="389" spans="1:12" s="2" customFormat="1" ht="15" hidden="1" customHeight="1" x14ac:dyDescent="0.3">
      <c r="A389" s="13" t="s">
        <v>738</v>
      </c>
      <c r="B389" s="13"/>
      <c r="C389" s="13">
        <v>10880017525</v>
      </c>
      <c r="D389" s="14">
        <v>990000100941</v>
      </c>
      <c r="E389" s="13" t="s">
        <v>183</v>
      </c>
      <c r="F389" s="13">
        <v>1999</v>
      </c>
      <c r="G389" s="15">
        <v>45504</v>
      </c>
      <c r="H389" s="15">
        <v>45515</v>
      </c>
      <c r="I389" s="13" t="s">
        <v>753</v>
      </c>
      <c r="J389" s="13" t="s">
        <v>379</v>
      </c>
      <c r="K389" s="18"/>
      <c r="L389" s="4"/>
    </row>
    <row r="390" spans="1:12" s="2" customFormat="1" ht="15" hidden="1" customHeight="1" x14ac:dyDescent="0.3">
      <c r="A390" s="13" t="s">
        <v>738</v>
      </c>
      <c r="B390" s="13"/>
      <c r="C390" s="13">
        <v>10880029999</v>
      </c>
      <c r="D390" s="14">
        <v>990000100943</v>
      </c>
      <c r="E390" s="13" t="s">
        <v>631</v>
      </c>
      <c r="F390" s="13">
        <v>1150</v>
      </c>
      <c r="G390" s="15">
        <v>45505</v>
      </c>
      <c r="H390" s="15">
        <v>45514</v>
      </c>
      <c r="I390" s="13" t="s">
        <v>754</v>
      </c>
      <c r="J390" s="13" t="s">
        <v>379</v>
      </c>
      <c r="K390" s="18"/>
      <c r="L390" s="4"/>
    </row>
    <row r="391" spans="1:12" s="2" customFormat="1" ht="15" hidden="1" customHeight="1" x14ac:dyDescent="0.3">
      <c r="A391" s="13" t="s">
        <v>738</v>
      </c>
      <c r="B391" s="13"/>
      <c r="C391" s="13">
        <v>10880031570</v>
      </c>
      <c r="D391" s="14">
        <v>990000100967</v>
      </c>
      <c r="E391" s="13" t="s">
        <v>623</v>
      </c>
      <c r="F391" s="13">
        <v>3633</v>
      </c>
      <c r="G391" s="15">
        <v>45506</v>
      </c>
      <c r="H391" s="15">
        <v>45506</v>
      </c>
      <c r="I391" s="13" t="s">
        <v>755</v>
      </c>
      <c r="J391" s="13" t="s">
        <v>379</v>
      </c>
      <c r="K391" s="18"/>
      <c r="L391" s="4"/>
    </row>
    <row r="392" spans="1:12" s="2" customFormat="1" ht="15" hidden="1" customHeight="1" x14ac:dyDescent="0.3">
      <c r="A392" s="13" t="s">
        <v>738</v>
      </c>
      <c r="B392" s="13"/>
      <c r="C392" s="13">
        <v>10880012981</v>
      </c>
      <c r="D392" s="14">
        <v>990000100982</v>
      </c>
      <c r="E392" s="13" t="s">
        <v>750</v>
      </c>
      <c r="F392" s="13">
        <v>50</v>
      </c>
      <c r="G392" s="15">
        <v>45506</v>
      </c>
      <c r="H392" s="15">
        <v>45509</v>
      </c>
      <c r="I392" s="13" t="s">
        <v>756</v>
      </c>
      <c r="J392" s="13" t="s">
        <v>379</v>
      </c>
      <c r="K392" s="18"/>
      <c r="L392" s="4"/>
    </row>
    <row r="393" spans="1:12" s="2" customFormat="1" ht="15" hidden="1" customHeight="1" x14ac:dyDescent="0.3">
      <c r="A393" s="13" t="s">
        <v>738</v>
      </c>
      <c r="B393" s="13"/>
      <c r="C393" s="13">
        <v>10880012986</v>
      </c>
      <c r="D393" s="14">
        <v>990000100981</v>
      </c>
      <c r="E393" s="13" t="s">
        <v>757</v>
      </c>
      <c r="F393" s="13">
        <v>20</v>
      </c>
      <c r="G393" s="15">
        <v>45506</v>
      </c>
      <c r="H393" s="15">
        <v>45509</v>
      </c>
      <c r="I393" s="13" t="s">
        <v>758</v>
      </c>
      <c r="J393" s="13" t="s">
        <v>379</v>
      </c>
      <c r="K393" s="18"/>
      <c r="L393" s="4"/>
    </row>
    <row r="394" spans="1:12" s="2" customFormat="1" ht="15" hidden="1" customHeight="1" x14ac:dyDescent="0.3">
      <c r="A394" s="13" t="s">
        <v>738</v>
      </c>
      <c r="B394" s="13"/>
      <c r="C394" s="13">
        <v>10880029999</v>
      </c>
      <c r="D394" s="14">
        <v>990000100987</v>
      </c>
      <c r="E394" s="13" t="s">
        <v>631</v>
      </c>
      <c r="F394" s="13">
        <v>48</v>
      </c>
      <c r="G394" s="15">
        <v>45506</v>
      </c>
      <c r="H394" s="15">
        <v>45514</v>
      </c>
      <c r="I394" s="13" t="s">
        <v>759</v>
      </c>
      <c r="J394" s="13" t="s">
        <v>379</v>
      </c>
      <c r="K394" s="18"/>
      <c r="L394" s="4"/>
    </row>
    <row r="395" spans="1:12" s="2" customFormat="1" ht="15" hidden="1" customHeight="1" x14ac:dyDescent="0.3">
      <c r="A395" s="13" t="s">
        <v>738</v>
      </c>
      <c r="B395" s="13"/>
      <c r="C395" s="13">
        <v>10880030433</v>
      </c>
      <c r="D395" s="14">
        <v>990000100995</v>
      </c>
      <c r="E395" s="13" t="s">
        <v>760</v>
      </c>
      <c r="F395" s="13">
        <v>83</v>
      </c>
      <c r="G395" s="15">
        <v>45509</v>
      </c>
      <c r="H395" s="15" t="s">
        <v>487</v>
      </c>
      <c r="I395" s="13" t="s">
        <v>761</v>
      </c>
      <c r="J395" s="13" t="s">
        <v>489</v>
      </c>
      <c r="K395" s="18"/>
      <c r="L395" s="4"/>
    </row>
    <row r="396" spans="1:12" s="2" customFormat="1" ht="15" hidden="1" customHeight="1" x14ac:dyDescent="0.3">
      <c r="A396" s="13" t="s">
        <v>542</v>
      </c>
      <c r="B396" s="13"/>
      <c r="C396" s="13">
        <v>10880031760</v>
      </c>
      <c r="D396" s="14">
        <v>990000100996</v>
      </c>
      <c r="E396" s="13" t="s">
        <v>48</v>
      </c>
      <c r="F396" s="13">
        <v>164</v>
      </c>
      <c r="G396" s="15">
        <v>45510</v>
      </c>
      <c r="H396" s="15">
        <v>45510</v>
      </c>
      <c r="I396" s="13" t="s">
        <v>762</v>
      </c>
      <c r="J396" s="13" t="s">
        <v>431</v>
      </c>
      <c r="K396" s="18"/>
      <c r="L396" s="4"/>
    </row>
    <row r="397" spans="1:12" s="2" customFormat="1" ht="15" hidden="1" customHeight="1" x14ac:dyDescent="0.3">
      <c r="A397" s="13" t="s">
        <v>542</v>
      </c>
      <c r="B397" s="13"/>
      <c r="C397" s="13">
        <v>10880030551</v>
      </c>
      <c r="D397" s="14">
        <v>990000100997</v>
      </c>
      <c r="E397" s="13" t="s">
        <v>763</v>
      </c>
      <c r="F397" s="13">
        <v>29</v>
      </c>
      <c r="G397" s="15">
        <v>45510</v>
      </c>
      <c r="H397" s="15">
        <v>45510</v>
      </c>
      <c r="I397" s="13" t="s">
        <v>764</v>
      </c>
      <c r="J397" s="13" t="s">
        <v>431</v>
      </c>
      <c r="K397" s="18"/>
      <c r="L397" s="4"/>
    </row>
    <row r="398" spans="1:12" s="2" customFormat="1" ht="15" hidden="1" customHeight="1" x14ac:dyDescent="0.3">
      <c r="A398" s="13" t="s">
        <v>738</v>
      </c>
      <c r="B398" s="13"/>
      <c r="C398" s="13">
        <v>10880031072</v>
      </c>
      <c r="D398" s="14">
        <v>990000101081</v>
      </c>
      <c r="E398" s="13" t="s">
        <v>579</v>
      </c>
      <c r="F398" s="13">
        <v>454</v>
      </c>
      <c r="G398" s="15">
        <v>45511</v>
      </c>
      <c r="H398" s="15">
        <v>45511</v>
      </c>
      <c r="I398" s="13" t="s">
        <v>580</v>
      </c>
      <c r="J398" s="13" t="s">
        <v>379</v>
      </c>
      <c r="K398" s="18"/>
      <c r="L398" s="4"/>
    </row>
    <row r="399" spans="1:12" s="2" customFormat="1" ht="15" hidden="1" customHeight="1" x14ac:dyDescent="0.3">
      <c r="A399" s="13" t="s">
        <v>738</v>
      </c>
      <c r="B399" s="13"/>
      <c r="C399" s="13">
        <v>10880031599</v>
      </c>
      <c r="D399" s="14">
        <v>990000101102</v>
      </c>
      <c r="E399" s="13" t="s">
        <v>765</v>
      </c>
      <c r="F399" s="13">
        <v>170</v>
      </c>
      <c r="G399" s="15">
        <v>45511</v>
      </c>
      <c r="H399" s="15">
        <v>45515</v>
      </c>
      <c r="I399" s="13" t="s">
        <v>766</v>
      </c>
      <c r="J399" s="13" t="s">
        <v>379</v>
      </c>
      <c r="K399" s="18"/>
      <c r="L399" s="4"/>
    </row>
    <row r="400" spans="1:12" s="2" customFormat="1" ht="15" hidden="1" customHeight="1" x14ac:dyDescent="0.3">
      <c r="A400" s="13" t="s">
        <v>738</v>
      </c>
      <c r="B400" s="13"/>
      <c r="C400" s="13">
        <v>10880020222</v>
      </c>
      <c r="D400" s="14">
        <v>990000101097</v>
      </c>
      <c r="E400" s="13" t="s">
        <v>767</v>
      </c>
      <c r="F400" s="13">
        <v>2670</v>
      </c>
      <c r="G400" s="15">
        <v>45511</v>
      </c>
      <c r="H400" s="15">
        <v>45522</v>
      </c>
      <c r="I400" s="13" t="s">
        <v>768</v>
      </c>
      <c r="J400" s="13" t="s">
        <v>379</v>
      </c>
      <c r="K400" s="18"/>
      <c r="L400" s="4"/>
    </row>
    <row r="401" spans="1:12" s="2" customFormat="1" ht="15" hidden="1" customHeight="1" x14ac:dyDescent="0.3">
      <c r="A401" s="13" t="s">
        <v>738</v>
      </c>
      <c r="B401" s="13"/>
      <c r="C401" s="13">
        <v>10880028344</v>
      </c>
      <c r="D401" s="14">
        <v>990000101101</v>
      </c>
      <c r="E401" s="13" t="s">
        <v>769</v>
      </c>
      <c r="F401" s="13">
        <v>1</v>
      </c>
      <c r="G401" s="15">
        <v>45511</v>
      </c>
      <c r="H401" s="15">
        <v>45533</v>
      </c>
      <c r="I401" s="13" t="s">
        <v>770</v>
      </c>
      <c r="J401" s="13" t="s">
        <v>379</v>
      </c>
      <c r="K401" s="18"/>
      <c r="L401" s="4"/>
    </row>
    <row r="402" spans="1:12" s="2" customFormat="1" ht="15" hidden="1" customHeight="1" x14ac:dyDescent="0.3">
      <c r="A402" s="13" t="s">
        <v>738</v>
      </c>
      <c r="B402" s="13"/>
      <c r="C402" s="13">
        <v>10880027925</v>
      </c>
      <c r="D402" s="14">
        <v>990000101077</v>
      </c>
      <c r="E402" s="13" t="s">
        <v>771</v>
      </c>
      <c r="F402" s="13">
        <v>3</v>
      </c>
      <c r="G402" s="15">
        <v>45512</v>
      </c>
      <c r="H402" s="15">
        <v>45514</v>
      </c>
      <c r="I402" s="13" t="s">
        <v>772</v>
      </c>
      <c r="J402" s="13" t="s">
        <v>379</v>
      </c>
      <c r="K402" s="18"/>
      <c r="L402" s="4"/>
    </row>
    <row r="403" spans="1:12" s="2" customFormat="1" ht="15" hidden="1" customHeight="1" x14ac:dyDescent="0.3">
      <c r="A403" s="13" t="s">
        <v>738</v>
      </c>
      <c r="B403" s="13"/>
      <c r="C403" s="13">
        <v>10880021796</v>
      </c>
      <c r="D403" s="14">
        <v>990000101208</v>
      </c>
      <c r="E403" s="13" t="s">
        <v>773</v>
      </c>
      <c r="F403" s="13">
        <v>148</v>
      </c>
      <c r="G403" s="15">
        <v>45513</v>
      </c>
      <c r="H403" s="15">
        <v>45526</v>
      </c>
      <c r="I403" s="13" t="s">
        <v>774</v>
      </c>
      <c r="J403" s="13" t="s">
        <v>379</v>
      </c>
      <c r="K403" s="18"/>
      <c r="L403" s="4"/>
    </row>
    <row r="404" spans="1:12" s="2" customFormat="1" ht="15" hidden="1" customHeight="1" x14ac:dyDescent="0.3">
      <c r="A404" s="13" t="s">
        <v>738</v>
      </c>
      <c r="B404" s="13"/>
      <c r="C404" s="13">
        <v>10880022443</v>
      </c>
      <c r="D404" s="14">
        <v>990000101321</v>
      </c>
      <c r="E404" s="13" t="s">
        <v>567</v>
      </c>
      <c r="F404" s="13">
        <v>1787</v>
      </c>
      <c r="G404" s="15">
        <v>45517</v>
      </c>
      <c r="H404" s="15">
        <v>45523</v>
      </c>
      <c r="I404" s="13" t="s">
        <v>775</v>
      </c>
      <c r="J404" s="13" t="s">
        <v>379</v>
      </c>
      <c r="K404" s="18"/>
      <c r="L404" s="4"/>
    </row>
    <row r="405" spans="1:12" s="2" customFormat="1" ht="15" hidden="1" customHeight="1" x14ac:dyDescent="0.3">
      <c r="A405" s="13" t="s">
        <v>738</v>
      </c>
      <c r="B405" s="13"/>
      <c r="C405" s="13">
        <v>10880022444</v>
      </c>
      <c r="D405" s="14">
        <v>990000101292</v>
      </c>
      <c r="E405" s="13" t="s">
        <v>516</v>
      </c>
      <c r="F405" s="13">
        <v>2674</v>
      </c>
      <c r="G405" s="15">
        <v>45517</v>
      </c>
      <c r="H405" s="15">
        <v>45524</v>
      </c>
      <c r="I405" s="13" t="s">
        <v>776</v>
      </c>
      <c r="J405" s="13" t="s">
        <v>379</v>
      </c>
      <c r="K405" s="18"/>
      <c r="L405" s="4"/>
    </row>
    <row r="406" spans="1:12" s="2" customFormat="1" ht="15" hidden="1" customHeight="1" x14ac:dyDescent="0.3">
      <c r="A406" s="13" t="s">
        <v>738</v>
      </c>
      <c r="B406" s="13"/>
      <c r="C406" s="13">
        <v>10880030285</v>
      </c>
      <c r="D406" s="14">
        <v>990000101409</v>
      </c>
      <c r="E406" s="13" t="s">
        <v>777</v>
      </c>
      <c r="F406" s="13">
        <v>727</v>
      </c>
      <c r="G406" s="15">
        <v>45519</v>
      </c>
      <c r="H406" s="15">
        <v>45524</v>
      </c>
      <c r="I406" s="13" t="s">
        <v>778</v>
      </c>
      <c r="J406" s="13" t="s">
        <v>379</v>
      </c>
      <c r="K406" s="18"/>
      <c r="L406" s="4"/>
    </row>
    <row r="407" spans="1:12" s="2" customFormat="1" ht="15" hidden="1" customHeight="1" x14ac:dyDescent="0.3">
      <c r="A407" s="13" t="s">
        <v>738</v>
      </c>
      <c r="B407" s="13"/>
      <c r="C407" s="13">
        <v>10880022443</v>
      </c>
      <c r="D407" s="14">
        <v>990000101413</v>
      </c>
      <c r="E407" s="13" t="s">
        <v>567</v>
      </c>
      <c r="F407" s="13">
        <v>1360</v>
      </c>
      <c r="G407" s="15">
        <v>45520</v>
      </c>
      <c r="H407" s="15">
        <v>45523</v>
      </c>
      <c r="I407" s="13" t="s">
        <v>775</v>
      </c>
      <c r="J407" s="13" t="s">
        <v>379</v>
      </c>
      <c r="K407" s="18"/>
      <c r="L407" s="4"/>
    </row>
    <row r="408" spans="1:12" s="2" customFormat="1" ht="15" hidden="1" customHeight="1" x14ac:dyDescent="0.3">
      <c r="A408" s="13" t="s">
        <v>630</v>
      </c>
      <c r="B408" s="13"/>
      <c r="C408" s="13">
        <v>10880031113</v>
      </c>
      <c r="D408" s="14">
        <v>990000101418</v>
      </c>
      <c r="E408" s="13" t="s">
        <v>779</v>
      </c>
      <c r="F408" s="13">
        <v>170</v>
      </c>
      <c r="G408" s="15">
        <v>45520</v>
      </c>
      <c r="H408" s="15">
        <v>45524</v>
      </c>
      <c r="I408" s="13" t="s">
        <v>780</v>
      </c>
      <c r="J408" s="13" t="s">
        <v>379</v>
      </c>
      <c r="K408" s="18"/>
      <c r="L408" s="4"/>
    </row>
    <row r="409" spans="1:12" s="2" customFormat="1" ht="15" hidden="1" customHeight="1" x14ac:dyDescent="0.3">
      <c r="A409" s="13" t="s">
        <v>630</v>
      </c>
      <c r="B409" s="13"/>
      <c r="C409" s="13">
        <v>10880031114</v>
      </c>
      <c r="D409" s="14">
        <v>990000101419</v>
      </c>
      <c r="E409" s="13" t="s">
        <v>736</v>
      </c>
      <c r="F409" s="13">
        <v>175</v>
      </c>
      <c r="G409" s="15">
        <v>45520</v>
      </c>
      <c r="H409" s="15">
        <v>45524</v>
      </c>
      <c r="I409" s="13" t="s">
        <v>781</v>
      </c>
      <c r="J409" s="13" t="s">
        <v>379</v>
      </c>
      <c r="K409" s="18"/>
      <c r="L409" s="4"/>
    </row>
    <row r="410" spans="1:12" s="2" customFormat="1" ht="15" hidden="1" customHeight="1" x14ac:dyDescent="0.3">
      <c r="A410" s="13" t="s">
        <v>738</v>
      </c>
      <c r="B410" s="13"/>
      <c r="C410" s="13">
        <v>10880030976</v>
      </c>
      <c r="D410" s="14">
        <v>990000101442</v>
      </c>
      <c r="E410" s="13" t="s">
        <v>72</v>
      </c>
      <c r="F410" s="13">
        <v>193</v>
      </c>
      <c r="G410" s="15">
        <v>45520</v>
      </c>
      <c r="H410" s="15">
        <v>45533</v>
      </c>
      <c r="I410" s="13" t="s">
        <v>782</v>
      </c>
      <c r="J410" s="13" t="s">
        <v>379</v>
      </c>
      <c r="K410" s="18"/>
      <c r="L410" s="4"/>
    </row>
    <row r="411" spans="1:12" s="2" customFormat="1" ht="15" hidden="1" customHeight="1" x14ac:dyDescent="0.3">
      <c r="A411" s="13" t="s">
        <v>738</v>
      </c>
      <c r="B411" s="13"/>
      <c r="C411" s="13">
        <v>10880030977</v>
      </c>
      <c r="D411" s="14">
        <v>990000101444</v>
      </c>
      <c r="E411" s="13" t="s">
        <v>199</v>
      </c>
      <c r="F411" s="13">
        <v>21</v>
      </c>
      <c r="G411" s="15">
        <v>45520</v>
      </c>
      <c r="H411" s="15">
        <v>45533</v>
      </c>
      <c r="I411" s="13" t="s">
        <v>783</v>
      </c>
      <c r="J411" s="13" t="s">
        <v>379</v>
      </c>
      <c r="K411" s="18"/>
      <c r="L411" s="4"/>
    </row>
    <row r="412" spans="1:12" s="2" customFormat="1" ht="15" hidden="1" customHeight="1" x14ac:dyDescent="0.3">
      <c r="A412" s="13" t="s">
        <v>738</v>
      </c>
      <c r="B412" s="13"/>
      <c r="C412" s="13">
        <v>10880030004</v>
      </c>
      <c r="D412" s="14">
        <v>990000101420</v>
      </c>
      <c r="E412" s="13" t="s">
        <v>254</v>
      </c>
      <c r="F412" s="13">
        <v>461</v>
      </c>
      <c r="G412" s="15">
        <v>45520</v>
      </c>
      <c r="H412" s="15">
        <v>45537</v>
      </c>
      <c r="I412" s="13" t="s">
        <v>784</v>
      </c>
      <c r="J412" s="13" t="s">
        <v>379</v>
      </c>
      <c r="K412" s="18"/>
      <c r="L412" s="4"/>
    </row>
    <row r="413" spans="1:12" s="2" customFormat="1" ht="15" hidden="1" customHeight="1" x14ac:dyDescent="0.3">
      <c r="A413" s="13" t="s">
        <v>738</v>
      </c>
      <c r="B413" s="13"/>
      <c r="C413" s="13">
        <v>10880029999</v>
      </c>
      <c r="D413" s="14">
        <v>990000101441</v>
      </c>
      <c r="E413" s="13" t="s">
        <v>631</v>
      </c>
      <c r="F413" s="13">
        <v>49</v>
      </c>
      <c r="G413" s="15">
        <v>45520</v>
      </c>
      <c r="H413" s="15">
        <v>45541</v>
      </c>
      <c r="I413" s="13" t="s">
        <v>785</v>
      </c>
      <c r="J413" s="13" t="s">
        <v>379</v>
      </c>
      <c r="K413" s="18"/>
      <c r="L413" s="4"/>
    </row>
    <row r="414" spans="1:12" s="2" customFormat="1" ht="15" hidden="1" customHeight="1" x14ac:dyDescent="0.3">
      <c r="A414" s="13" t="s">
        <v>738</v>
      </c>
      <c r="B414" s="13"/>
      <c r="C414" s="13">
        <v>10880017536</v>
      </c>
      <c r="D414" s="14">
        <v>990000101573</v>
      </c>
      <c r="E414" s="13" t="s">
        <v>171</v>
      </c>
      <c r="F414" s="13">
        <v>1440</v>
      </c>
      <c r="G414" s="15">
        <v>45526</v>
      </c>
      <c r="H414" s="15">
        <v>45526</v>
      </c>
      <c r="I414" s="13" t="s">
        <v>786</v>
      </c>
      <c r="J414" s="13" t="s">
        <v>389</v>
      </c>
      <c r="K414" s="18"/>
      <c r="L414" s="4"/>
    </row>
    <row r="415" spans="1:12" s="2" customFormat="1" ht="15" hidden="1" customHeight="1" x14ac:dyDescent="0.3">
      <c r="A415" s="13" t="s">
        <v>738</v>
      </c>
      <c r="B415" s="13"/>
      <c r="C415" s="13">
        <v>10880022443</v>
      </c>
      <c r="D415" s="14">
        <v>990000101572</v>
      </c>
      <c r="E415" s="13" t="s">
        <v>567</v>
      </c>
      <c r="F415" s="13">
        <v>1295</v>
      </c>
      <c r="G415" s="15">
        <v>45526</v>
      </c>
      <c r="H415" s="15">
        <v>45532</v>
      </c>
      <c r="I415" s="13" t="s">
        <v>775</v>
      </c>
      <c r="J415" s="13" t="s">
        <v>379</v>
      </c>
      <c r="K415" s="18"/>
      <c r="L415" s="4"/>
    </row>
    <row r="416" spans="1:12" s="2" customFormat="1" ht="15" hidden="1" customHeight="1" x14ac:dyDescent="0.3">
      <c r="A416" s="13" t="s">
        <v>738</v>
      </c>
      <c r="B416" s="13"/>
      <c r="C416" s="13">
        <v>10880022444</v>
      </c>
      <c r="D416" s="14">
        <v>990000101571</v>
      </c>
      <c r="E416" s="13" t="s">
        <v>516</v>
      </c>
      <c r="F416" s="13">
        <v>362</v>
      </c>
      <c r="G416" s="15">
        <v>45526</v>
      </c>
      <c r="H416" s="15">
        <v>45533</v>
      </c>
      <c r="I416" s="13" t="s">
        <v>776</v>
      </c>
      <c r="J416" s="13" t="s">
        <v>379</v>
      </c>
      <c r="K416" s="18"/>
      <c r="L416" s="4"/>
    </row>
    <row r="417" spans="1:12" s="2" customFormat="1" ht="15" hidden="1" customHeight="1" x14ac:dyDescent="0.3">
      <c r="A417" s="13" t="s">
        <v>738</v>
      </c>
      <c r="B417" s="13"/>
      <c r="C417" s="13">
        <v>10880022406</v>
      </c>
      <c r="D417" s="14">
        <v>990000101574</v>
      </c>
      <c r="E417" s="13" t="s">
        <v>528</v>
      </c>
      <c r="F417" s="13">
        <v>3800</v>
      </c>
      <c r="G417" s="15">
        <v>45526</v>
      </c>
      <c r="H417" s="15">
        <v>45535</v>
      </c>
      <c r="I417" s="13" t="s">
        <v>787</v>
      </c>
      <c r="J417" s="13" t="s">
        <v>379</v>
      </c>
      <c r="K417" s="18"/>
      <c r="L417" s="4"/>
    </row>
    <row r="418" spans="1:12" s="2" customFormat="1" ht="15" hidden="1" customHeight="1" x14ac:dyDescent="0.3">
      <c r="A418" s="13" t="s">
        <v>738</v>
      </c>
      <c r="B418" s="13"/>
      <c r="C418" s="13">
        <v>10880020187</v>
      </c>
      <c r="D418" s="14">
        <v>990000101579</v>
      </c>
      <c r="E418" s="13" t="s">
        <v>223</v>
      </c>
      <c r="F418" s="13">
        <v>129</v>
      </c>
      <c r="G418" s="15">
        <v>45527</v>
      </c>
      <c r="H418" s="15">
        <v>45535</v>
      </c>
      <c r="I418" s="13" t="s">
        <v>788</v>
      </c>
      <c r="J418" s="13" t="s">
        <v>379</v>
      </c>
      <c r="K418" s="18"/>
      <c r="L418" s="4"/>
    </row>
    <row r="419" spans="1:12" s="2" customFormat="1" ht="15" hidden="1" customHeight="1" x14ac:dyDescent="0.3">
      <c r="A419" s="13" t="s">
        <v>789</v>
      </c>
      <c r="B419" s="13"/>
      <c r="C419" s="13">
        <v>10880013354</v>
      </c>
      <c r="D419" s="14">
        <v>990000101578</v>
      </c>
      <c r="E419" s="13" t="s">
        <v>790</v>
      </c>
      <c r="F419" s="13">
        <v>294</v>
      </c>
      <c r="G419" s="15">
        <v>45527</v>
      </c>
      <c r="H419" s="15">
        <v>45537</v>
      </c>
      <c r="I419" s="13" t="s">
        <v>791</v>
      </c>
      <c r="J419" s="13" t="s">
        <v>379</v>
      </c>
      <c r="K419" s="18"/>
      <c r="L419" s="4"/>
    </row>
    <row r="420" spans="1:12" s="2" customFormat="1" ht="15" hidden="1" customHeight="1" x14ac:dyDescent="0.3">
      <c r="A420" s="13" t="s">
        <v>738</v>
      </c>
      <c r="B420" s="13"/>
      <c r="C420" s="13">
        <v>10880033400</v>
      </c>
      <c r="D420" s="14">
        <v>990000101820</v>
      </c>
      <c r="E420" s="13" t="s">
        <v>792</v>
      </c>
      <c r="F420" s="13">
        <v>12</v>
      </c>
      <c r="G420" s="15">
        <v>45530</v>
      </c>
      <c r="H420" s="15">
        <v>45531</v>
      </c>
      <c r="I420" s="13" t="s">
        <v>793</v>
      </c>
      <c r="J420" s="13" t="s">
        <v>379</v>
      </c>
      <c r="K420" s="18"/>
      <c r="L420" s="4"/>
    </row>
    <row r="421" spans="1:12" s="2" customFormat="1" ht="15" hidden="1" customHeight="1" x14ac:dyDescent="0.3">
      <c r="A421" s="13" t="s">
        <v>789</v>
      </c>
      <c r="B421" s="13"/>
      <c r="C421" s="13">
        <v>10880022440</v>
      </c>
      <c r="D421" s="14">
        <v>990000101845</v>
      </c>
      <c r="E421" s="13" t="s">
        <v>794</v>
      </c>
      <c r="F421" s="13">
        <v>60</v>
      </c>
      <c r="G421" s="15">
        <v>45530</v>
      </c>
      <c r="H421" s="15">
        <v>45530</v>
      </c>
      <c r="I421" s="13" t="s">
        <v>795</v>
      </c>
      <c r="J421" s="13" t="s">
        <v>379</v>
      </c>
      <c r="K421" s="18"/>
      <c r="L421" s="4"/>
    </row>
    <row r="422" spans="1:12" s="2" customFormat="1" ht="15" hidden="1" customHeight="1" x14ac:dyDescent="0.3">
      <c r="A422" s="13" t="s">
        <v>542</v>
      </c>
      <c r="B422" s="13"/>
      <c r="C422" s="13">
        <v>10880031525</v>
      </c>
      <c r="D422" s="14">
        <v>990000101849</v>
      </c>
      <c r="E422" s="13" t="s">
        <v>796</v>
      </c>
      <c r="F422" s="13">
        <v>48</v>
      </c>
      <c r="G422" s="15">
        <v>45530</v>
      </c>
      <c r="H422" s="15">
        <v>45532</v>
      </c>
      <c r="I422" s="13" t="s">
        <v>797</v>
      </c>
      <c r="J422" s="13" t="s">
        <v>431</v>
      </c>
      <c r="K422" s="18"/>
      <c r="L422" s="4"/>
    </row>
    <row r="423" spans="1:12" s="2" customFormat="1" ht="15" hidden="1" customHeight="1" x14ac:dyDescent="0.3">
      <c r="A423" s="13" t="s">
        <v>542</v>
      </c>
      <c r="B423" s="13"/>
      <c r="C423" s="13">
        <v>10880031560</v>
      </c>
      <c r="D423" s="14">
        <v>990000101818</v>
      </c>
      <c r="E423" s="13" t="s">
        <v>798</v>
      </c>
      <c r="F423" s="13">
        <v>18</v>
      </c>
      <c r="G423" s="15">
        <v>45530</v>
      </c>
      <c r="H423" s="15">
        <v>45532</v>
      </c>
      <c r="I423" s="13" t="s">
        <v>799</v>
      </c>
      <c r="J423" s="13" t="s">
        <v>431</v>
      </c>
      <c r="K423" s="18"/>
      <c r="L423" s="4"/>
    </row>
    <row r="424" spans="1:12" s="2" customFormat="1" ht="15" hidden="1" customHeight="1" x14ac:dyDescent="0.3">
      <c r="A424" s="13" t="s">
        <v>738</v>
      </c>
      <c r="B424" s="13"/>
      <c r="C424" s="13">
        <v>10880031097</v>
      </c>
      <c r="D424" s="14">
        <v>990000101874</v>
      </c>
      <c r="E424" s="13" t="s">
        <v>78</v>
      </c>
      <c r="F424" s="13">
        <v>99</v>
      </c>
      <c r="G424" s="15">
        <v>45531</v>
      </c>
      <c r="H424" s="15">
        <v>45534</v>
      </c>
      <c r="I424" s="13" t="s">
        <v>800</v>
      </c>
      <c r="J424" s="13" t="s">
        <v>379</v>
      </c>
      <c r="K424" s="18"/>
      <c r="L424" s="4"/>
    </row>
    <row r="425" spans="1:12" s="2" customFormat="1" ht="15" hidden="1" customHeight="1" x14ac:dyDescent="0.3">
      <c r="A425" s="13" t="s">
        <v>738</v>
      </c>
      <c r="B425" s="13"/>
      <c r="C425" s="13">
        <v>10880033325</v>
      </c>
      <c r="D425" s="14">
        <v>990000102050</v>
      </c>
      <c r="E425" s="13" t="s">
        <v>252</v>
      </c>
      <c r="F425" s="13">
        <v>12</v>
      </c>
      <c r="G425" s="15">
        <v>45532</v>
      </c>
      <c r="H425" s="15">
        <v>45532</v>
      </c>
      <c r="I425" s="13" t="s">
        <v>801</v>
      </c>
      <c r="J425" s="13" t="s">
        <v>379</v>
      </c>
      <c r="K425" s="18"/>
      <c r="L425" s="4"/>
    </row>
    <row r="426" spans="1:12" s="2" customFormat="1" ht="15" hidden="1" customHeight="1" x14ac:dyDescent="0.3">
      <c r="A426" s="13" t="s">
        <v>738</v>
      </c>
      <c r="B426" s="13"/>
      <c r="C426" s="13">
        <v>10880033290</v>
      </c>
      <c r="D426" s="14">
        <v>990000102097</v>
      </c>
      <c r="E426" s="13" t="s">
        <v>802</v>
      </c>
      <c r="F426" s="13">
        <v>629</v>
      </c>
      <c r="G426" s="15">
        <v>45533</v>
      </c>
      <c r="H426" s="15">
        <v>45533</v>
      </c>
      <c r="I426" s="13" t="s">
        <v>580</v>
      </c>
      <c r="J426" s="13" t="s">
        <v>379</v>
      </c>
      <c r="K426" s="18"/>
      <c r="L426" s="4"/>
    </row>
    <row r="427" spans="1:12" s="2" customFormat="1" ht="15" hidden="1" customHeight="1" x14ac:dyDescent="0.3">
      <c r="A427" s="13" t="s">
        <v>738</v>
      </c>
      <c r="B427" s="13"/>
      <c r="C427" s="13">
        <v>10880033291</v>
      </c>
      <c r="D427" s="14">
        <v>990000102098</v>
      </c>
      <c r="E427" s="13" t="s">
        <v>803</v>
      </c>
      <c r="F427" s="13">
        <v>96</v>
      </c>
      <c r="G427" s="15">
        <v>45533</v>
      </c>
      <c r="H427" s="15">
        <v>45533</v>
      </c>
      <c r="I427" s="13" t="s">
        <v>580</v>
      </c>
      <c r="J427" s="13" t="s">
        <v>379</v>
      </c>
      <c r="K427" s="18"/>
      <c r="L427" s="4"/>
    </row>
    <row r="428" spans="1:12" s="2" customFormat="1" ht="15" hidden="1" customHeight="1" x14ac:dyDescent="0.3">
      <c r="A428" s="13" t="s">
        <v>738</v>
      </c>
      <c r="B428" s="13"/>
      <c r="C428" s="13">
        <v>10880033293</v>
      </c>
      <c r="D428" s="14">
        <v>990000102099</v>
      </c>
      <c r="E428" s="13" t="s">
        <v>804</v>
      </c>
      <c r="F428" s="13">
        <v>100</v>
      </c>
      <c r="G428" s="15">
        <v>45533</v>
      </c>
      <c r="H428" s="15">
        <v>45533</v>
      </c>
      <c r="I428" s="13" t="s">
        <v>580</v>
      </c>
      <c r="J428" s="13" t="s">
        <v>379</v>
      </c>
      <c r="K428" s="18"/>
      <c r="L428" s="4"/>
    </row>
    <row r="429" spans="1:12" s="2" customFormat="1" ht="15" hidden="1" customHeight="1" x14ac:dyDescent="0.3">
      <c r="A429" s="13" t="s">
        <v>738</v>
      </c>
      <c r="B429" s="13"/>
      <c r="C429" s="13">
        <v>10880029033</v>
      </c>
      <c r="D429" s="14">
        <v>990000102094</v>
      </c>
      <c r="E429" s="13" t="s">
        <v>262</v>
      </c>
      <c r="F429" s="13">
        <v>4563</v>
      </c>
      <c r="G429" s="15">
        <v>45533</v>
      </c>
      <c r="H429" s="15">
        <v>45534</v>
      </c>
      <c r="I429" s="13" t="s">
        <v>805</v>
      </c>
      <c r="J429" s="13" t="s">
        <v>379</v>
      </c>
      <c r="K429" s="18"/>
      <c r="L429" s="4"/>
    </row>
    <row r="430" spans="1:12" s="2" customFormat="1" ht="15" hidden="1" customHeight="1" x14ac:dyDescent="0.3">
      <c r="A430" s="13" t="s">
        <v>806</v>
      </c>
      <c r="B430" s="13"/>
      <c r="C430" s="13">
        <v>10880022501</v>
      </c>
      <c r="D430" s="14">
        <v>990000102091</v>
      </c>
      <c r="E430" s="13" t="s">
        <v>526</v>
      </c>
      <c r="F430" s="13">
        <v>60</v>
      </c>
      <c r="G430" s="15">
        <v>45533</v>
      </c>
      <c r="H430" s="15">
        <v>45535</v>
      </c>
      <c r="I430" s="13" t="s">
        <v>807</v>
      </c>
      <c r="J430" s="13" t="s">
        <v>379</v>
      </c>
      <c r="K430" s="18"/>
      <c r="L430" s="4"/>
    </row>
    <row r="431" spans="1:12" s="2" customFormat="1" ht="15" hidden="1" customHeight="1" x14ac:dyDescent="0.3">
      <c r="A431" s="13" t="s">
        <v>806</v>
      </c>
      <c r="B431" s="13"/>
      <c r="C431" s="13">
        <v>10880022405</v>
      </c>
      <c r="D431" s="14">
        <v>990000102092</v>
      </c>
      <c r="E431" s="13" t="s">
        <v>524</v>
      </c>
      <c r="F431" s="13">
        <v>237</v>
      </c>
      <c r="G431" s="15">
        <v>45533</v>
      </c>
      <c r="H431" s="15">
        <v>45535</v>
      </c>
      <c r="I431" s="13" t="s">
        <v>808</v>
      </c>
      <c r="J431" s="13" t="s">
        <v>379</v>
      </c>
      <c r="K431" s="18"/>
      <c r="L431" s="4"/>
    </row>
    <row r="432" spans="1:12" s="2" customFormat="1" ht="15" hidden="1" customHeight="1" x14ac:dyDescent="0.3">
      <c r="A432" s="13" t="s">
        <v>806</v>
      </c>
      <c r="B432" s="13"/>
      <c r="C432" s="13">
        <v>10880022406</v>
      </c>
      <c r="D432" s="14">
        <v>990000102093</v>
      </c>
      <c r="E432" s="13" t="s">
        <v>528</v>
      </c>
      <c r="F432" s="13">
        <v>4244</v>
      </c>
      <c r="G432" s="15">
        <v>45533</v>
      </c>
      <c r="H432" s="15">
        <v>45535</v>
      </c>
      <c r="I432" s="13" t="s">
        <v>809</v>
      </c>
      <c r="J432" s="13" t="s">
        <v>379</v>
      </c>
      <c r="K432" s="18"/>
      <c r="L432" s="4"/>
    </row>
    <row r="433" spans="1:12" s="2" customFormat="1" ht="15" hidden="1" customHeight="1" x14ac:dyDescent="0.3">
      <c r="A433" s="13" t="s">
        <v>738</v>
      </c>
      <c r="B433" s="13"/>
      <c r="C433" s="13">
        <v>10880018091</v>
      </c>
      <c r="D433" s="14">
        <v>990000102096</v>
      </c>
      <c r="E433" s="13" t="s">
        <v>510</v>
      </c>
      <c r="F433" s="13">
        <v>300</v>
      </c>
      <c r="G433" s="15">
        <v>45533</v>
      </c>
      <c r="H433" s="15">
        <v>45538</v>
      </c>
      <c r="I433" s="13" t="s">
        <v>810</v>
      </c>
      <c r="J433" s="13" t="s">
        <v>379</v>
      </c>
      <c r="K433" s="18"/>
      <c r="L433" s="4"/>
    </row>
    <row r="434" spans="1:12" s="2" customFormat="1" ht="15" hidden="1" customHeight="1" x14ac:dyDescent="0.3">
      <c r="A434" s="13" t="s">
        <v>542</v>
      </c>
      <c r="B434" s="13"/>
      <c r="C434" s="13">
        <v>10880030285</v>
      </c>
      <c r="D434" s="14">
        <v>990000102123</v>
      </c>
      <c r="E434" s="13" t="s">
        <v>777</v>
      </c>
      <c r="F434" s="13">
        <v>8</v>
      </c>
      <c r="G434" s="15">
        <v>45534</v>
      </c>
      <c r="H434" s="15">
        <v>45537</v>
      </c>
      <c r="I434" s="13" t="s">
        <v>811</v>
      </c>
      <c r="J434" s="13" t="s">
        <v>379</v>
      </c>
      <c r="K434" s="18"/>
      <c r="L434" s="4"/>
    </row>
    <row r="435" spans="1:12" s="2" customFormat="1" ht="15" hidden="1" customHeight="1" x14ac:dyDescent="0.3">
      <c r="A435" s="13" t="s">
        <v>542</v>
      </c>
      <c r="B435" s="13"/>
      <c r="C435" s="13">
        <v>10880030285</v>
      </c>
      <c r="D435" s="14">
        <v>990000102124</v>
      </c>
      <c r="E435" s="13" t="s">
        <v>777</v>
      </c>
      <c r="F435" s="13">
        <v>516</v>
      </c>
      <c r="G435" s="15">
        <v>45534</v>
      </c>
      <c r="H435" s="15">
        <v>45537</v>
      </c>
      <c r="I435" s="13" t="s">
        <v>812</v>
      </c>
      <c r="J435" s="13" t="s">
        <v>379</v>
      </c>
      <c r="K435" s="18"/>
      <c r="L435" s="4"/>
    </row>
    <row r="436" spans="1:12" s="2" customFormat="1" ht="15" hidden="1" customHeight="1" x14ac:dyDescent="0.3">
      <c r="A436" s="13" t="s">
        <v>542</v>
      </c>
      <c r="B436" s="13"/>
      <c r="C436" s="13">
        <v>10880022044</v>
      </c>
      <c r="D436" s="14">
        <v>990000102122</v>
      </c>
      <c r="E436" s="13" t="s">
        <v>417</v>
      </c>
      <c r="F436" s="13">
        <v>1519</v>
      </c>
      <c r="G436" s="15">
        <v>45534</v>
      </c>
      <c r="H436" s="15">
        <v>45541</v>
      </c>
      <c r="I436" s="13" t="s">
        <v>813</v>
      </c>
      <c r="J436" s="13" t="s">
        <v>379</v>
      </c>
      <c r="K436" s="18"/>
      <c r="L436" s="4"/>
    </row>
    <row r="437" spans="1:12" s="2" customFormat="1" ht="15" hidden="1" customHeight="1" x14ac:dyDescent="0.3">
      <c r="A437" s="13" t="s">
        <v>738</v>
      </c>
      <c r="B437" s="13"/>
      <c r="C437" s="13">
        <v>10880031097</v>
      </c>
      <c r="D437" s="14">
        <v>990000102125</v>
      </c>
      <c r="E437" s="13" t="s">
        <v>78</v>
      </c>
      <c r="F437" s="13">
        <v>182</v>
      </c>
      <c r="G437" s="15">
        <v>45534</v>
      </c>
      <c r="H437" s="15">
        <v>45541</v>
      </c>
      <c r="I437" s="13" t="s">
        <v>814</v>
      </c>
      <c r="J437" s="13" t="s">
        <v>379</v>
      </c>
      <c r="K437" s="18"/>
      <c r="L437" s="4"/>
    </row>
    <row r="438" spans="1:12" s="2" customFormat="1" ht="15" hidden="1" customHeight="1" x14ac:dyDescent="0.3">
      <c r="A438" s="13" t="s">
        <v>738</v>
      </c>
      <c r="B438" s="13"/>
      <c r="C438" s="13">
        <v>10880031097</v>
      </c>
      <c r="D438" s="14">
        <v>990000102114</v>
      </c>
      <c r="E438" s="13" t="s">
        <v>78</v>
      </c>
      <c r="F438" s="13">
        <v>136</v>
      </c>
      <c r="G438" s="15">
        <v>45534</v>
      </c>
      <c r="H438" s="15">
        <v>45541</v>
      </c>
      <c r="I438" s="13" t="s">
        <v>815</v>
      </c>
      <c r="J438" s="13" t="s">
        <v>379</v>
      </c>
      <c r="K438" s="18"/>
      <c r="L438" s="4"/>
    </row>
    <row r="439" spans="1:12" s="2" customFormat="1" ht="15" hidden="1" customHeight="1" x14ac:dyDescent="0.3">
      <c r="A439" s="13" t="s">
        <v>542</v>
      </c>
      <c r="B439" s="13"/>
      <c r="C439" s="13">
        <v>10880030493</v>
      </c>
      <c r="D439" s="14">
        <v>990000102137</v>
      </c>
      <c r="E439" s="13" t="s">
        <v>816</v>
      </c>
      <c r="F439" s="13">
        <v>500</v>
      </c>
      <c r="G439" s="15">
        <v>45537</v>
      </c>
      <c r="H439" s="15">
        <v>45539</v>
      </c>
      <c r="I439" s="13" t="s">
        <v>817</v>
      </c>
      <c r="J439" s="13" t="s">
        <v>379</v>
      </c>
      <c r="K439" s="18"/>
      <c r="L439" s="4"/>
    </row>
    <row r="440" spans="1:12" s="2" customFormat="1" ht="15" hidden="1" customHeight="1" x14ac:dyDescent="0.3">
      <c r="A440" s="13" t="s">
        <v>542</v>
      </c>
      <c r="B440" s="13"/>
      <c r="C440" s="13">
        <v>10880030493</v>
      </c>
      <c r="D440" s="14">
        <v>990000102238</v>
      </c>
      <c r="E440" s="13" t="s">
        <v>816</v>
      </c>
      <c r="F440" s="13">
        <v>4316</v>
      </c>
      <c r="G440" s="15">
        <v>45537</v>
      </c>
      <c r="H440" s="15">
        <v>45550</v>
      </c>
      <c r="I440" s="13" t="s">
        <v>817</v>
      </c>
      <c r="J440" s="13" t="s">
        <v>379</v>
      </c>
      <c r="K440" s="18"/>
      <c r="L440" s="4"/>
    </row>
    <row r="441" spans="1:12" s="2" customFormat="1" ht="15" hidden="1" customHeight="1" x14ac:dyDescent="0.3">
      <c r="A441" s="13" t="s">
        <v>596</v>
      </c>
      <c r="B441" s="13"/>
      <c r="C441" s="13">
        <v>10880021796</v>
      </c>
      <c r="D441" s="14">
        <v>990000102282</v>
      </c>
      <c r="E441" s="13" t="s">
        <v>773</v>
      </c>
      <c r="F441" s="13">
        <v>960</v>
      </c>
      <c r="G441" s="15">
        <v>45540</v>
      </c>
      <c r="H441" s="15">
        <v>45540</v>
      </c>
      <c r="I441" s="13" t="s">
        <v>818</v>
      </c>
      <c r="J441" s="13" t="s">
        <v>379</v>
      </c>
      <c r="K441" s="18"/>
      <c r="L441" s="4"/>
    </row>
    <row r="442" spans="1:12" s="2" customFormat="1" ht="15" hidden="1" customHeight="1" x14ac:dyDescent="0.3">
      <c r="A442" s="13" t="s">
        <v>738</v>
      </c>
      <c r="B442" s="13"/>
      <c r="C442" s="13">
        <v>10880017524</v>
      </c>
      <c r="D442" s="14">
        <v>990000102342</v>
      </c>
      <c r="E442" s="13" t="s">
        <v>182</v>
      </c>
      <c r="F442" s="13">
        <v>1848</v>
      </c>
      <c r="G442" s="15">
        <v>45541</v>
      </c>
      <c r="H442" s="15">
        <v>45544</v>
      </c>
      <c r="I442" s="13" t="s">
        <v>819</v>
      </c>
      <c r="J442" s="13" t="s">
        <v>379</v>
      </c>
      <c r="K442" s="18"/>
      <c r="L442" s="4"/>
    </row>
    <row r="443" spans="1:12" s="2" customFormat="1" ht="15" hidden="1" customHeight="1" x14ac:dyDescent="0.3">
      <c r="A443" s="13" t="s">
        <v>738</v>
      </c>
      <c r="B443" s="13"/>
      <c r="C443" s="13">
        <v>10880022123</v>
      </c>
      <c r="D443" s="14">
        <v>990000102450</v>
      </c>
      <c r="E443" s="13" t="s">
        <v>247</v>
      </c>
      <c r="F443" s="13">
        <v>61</v>
      </c>
      <c r="G443" s="15">
        <v>45545</v>
      </c>
      <c r="H443" s="15">
        <v>45546</v>
      </c>
      <c r="I443" s="13" t="s">
        <v>820</v>
      </c>
      <c r="J443" s="13" t="s">
        <v>379</v>
      </c>
      <c r="K443" s="18"/>
      <c r="L443" s="4"/>
    </row>
    <row r="444" spans="1:12" s="2" customFormat="1" ht="15" hidden="1" customHeight="1" x14ac:dyDescent="0.3">
      <c r="A444" s="13" t="s">
        <v>738</v>
      </c>
      <c r="B444" s="13" t="s">
        <v>821</v>
      </c>
      <c r="C444" s="13">
        <v>10880029055</v>
      </c>
      <c r="D444" s="14">
        <v>990000102587</v>
      </c>
      <c r="E444" s="13" t="s">
        <v>198</v>
      </c>
      <c r="F444" s="13">
        <v>132</v>
      </c>
      <c r="G444" s="15">
        <v>45553</v>
      </c>
      <c r="H444" s="15">
        <v>45558</v>
      </c>
      <c r="I444" s="13" t="s">
        <v>822</v>
      </c>
      <c r="J444" s="13" t="s">
        <v>379</v>
      </c>
      <c r="K444" s="18"/>
      <c r="L444" s="4"/>
    </row>
    <row r="445" spans="1:12" s="2" customFormat="1" ht="15" hidden="1" customHeight="1" x14ac:dyDescent="0.3">
      <c r="A445" s="13" t="s">
        <v>542</v>
      </c>
      <c r="B445" s="13"/>
      <c r="C445" s="13">
        <v>10880028328</v>
      </c>
      <c r="D445" s="14">
        <v>990000102642</v>
      </c>
      <c r="E445" s="13" t="s">
        <v>823</v>
      </c>
      <c r="F445" s="13">
        <v>2078</v>
      </c>
      <c r="G445" s="15">
        <v>45555</v>
      </c>
      <c r="H445" s="15">
        <v>45557</v>
      </c>
      <c r="I445" s="13" t="s">
        <v>824</v>
      </c>
      <c r="J445" s="13" t="s">
        <v>379</v>
      </c>
      <c r="K445" s="18"/>
      <c r="L445" s="4"/>
    </row>
    <row r="446" spans="1:12" s="2" customFormat="1" ht="15" hidden="1" customHeight="1" x14ac:dyDescent="0.3">
      <c r="A446" s="13" t="s">
        <v>738</v>
      </c>
      <c r="B446" s="13"/>
      <c r="C446" s="13">
        <v>10880020208</v>
      </c>
      <c r="D446" s="14">
        <v>990000102644</v>
      </c>
      <c r="E446" s="13" t="s">
        <v>220</v>
      </c>
      <c r="F446" s="13">
        <v>36</v>
      </c>
      <c r="G446" s="15">
        <v>45555</v>
      </c>
      <c r="H446" s="15">
        <v>45556</v>
      </c>
      <c r="I446" s="13" t="s">
        <v>825</v>
      </c>
      <c r="J446" s="13" t="s">
        <v>379</v>
      </c>
      <c r="K446" s="18"/>
      <c r="L446" s="4"/>
    </row>
    <row r="447" spans="1:12" s="2" customFormat="1" ht="15" hidden="1" customHeight="1" x14ac:dyDescent="0.3">
      <c r="A447" s="13" t="s">
        <v>397</v>
      </c>
      <c r="B447" s="13"/>
      <c r="C447" s="13">
        <v>10880021342</v>
      </c>
      <c r="D447" s="14">
        <v>990000102764</v>
      </c>
      <c r="E447" s="13" t="s">
        <v>826</v>
      </c>
      <c r="F447" s="13">
        <v>400</v>
      </c>
      <c r="G447" s="15">
        <v>45561</v>
      </c>
      <c r="H447" s="15">
        <v>45561</v>
      </c>
      <c r="I447" s="13" t="s">
        <v>827</v>
      </c>
      <c r="J447" s="13" t="s">
        <v>379</v>
      </c>
      <c r="K447" s="18"/>
      <c r="L447" s="4"/>
    </row>
    <row r="448" spans="1:12" s="2" customFormat="1" ht="15" hidden="1" customHeight="1" x14ac:dyDescent="0.3">
      <c r="A448" s="13" t="s">
        <v>412</v>
      </c>
      <c r="B448" s="13"/>
      <c r="C448" s="13">
        <v>10880021342</v>
      </c>
      <c r="D448" s="14">
        <v>990000102763</v>
      </c>
      <c r="E448" s="13" t="s">
        <v>826</v>
      </c>
      <c r="F448" s="13">
        <v>216</v>
      </c>
      <c r="G448" s="15">
        <v>45561</v>
      </c>
      <c r="H448" s="15">
        <v>45573</v>
      </c>
      <c r="I448" s="13" t="s">
        <v>828</v>
      </c>
      <c r="J448" s="13" t="s">
        <v>379</v>
      </c>
      <c r="K448" s="18"/>
      <c r="L448" s="4"/>
    </row>
    <row r="449" spans="1:12" s="2" customFormat="1" ht="15" hidden="1" customHeight="1" x14ac:dyDescent="0.3">
      <c r="A449" s="13" t="s">
        <v>412</v>
      </c>
      <c r="B449" s="13"/>
      <c r="C449" s="13">
        <v>10880033293</v>
      </c>
      <c r="D449" s="14">
        <v>990000102739</v>
      </c>
      <c r="E449" s="13" t="s">
        <v>804</v>
      </c>
      <c r="F449" s="13">
        <v>245</v>
      </c>
      <c r="G449" s="15">
        <v>45562</v>
      </c>
      <c r="H449" s="15">
        <v>45562</v>
      </c>
      <c r="I449" s="13" t="s">
        <v>829</v>
      </c>
      <c r="J449" s="13" t="s">
        <v>379</v>
      </c>
      <c r="K449" s="18"/>
      <c r="L449" s="4"/>
    </row>
    <row r="450" spans="1:12" s="2" customFormat="1" ht="15" hidden="1" customHeight="1" x14ac:dyDescent="0.3">
      <c r="A450" s="13" t="s">
        <v>596</v>
      </c>
      <c r="B450" s="13"/>
      <c r="C450" s="13">
        <v>10880031461</v>
      </c>
      <c r="D450" s="14">
        <v>990000102885</v>
      </c>
      <c r="E450" s="13" t="s">
        <v>830</v>
      </c>
      <c r="F450" s="13">
        <v>187</v>
      </c>
      <c r="G450" s="15">
        <v>45565</v>
      </c>
      <c r="H450" s="15">
        <v>45565</v>
      </c>
      <c r="I450" s="13" t="s">
        <v>831</v>
      </c>
      <c r="J450" s="13" t="s">
        <v>430</v>
      </c>
      <c r="K450" s="18"/>
      <c r="L450" s="4"/>
    </row>
    <row r="451" spans="1:12" s="2" customFormat="1" ht="15" hidden="1" customHeight="1" x14ac:dyDescent="0.3">
      <c r="A451" s="13" t="s">
        <v>630</v>
      </c>
      <c r="B451" s="13"/>
      <c r="C451" s="13">
        <v>10880028344</v>
      </c>
      <c r="D451" s="14">
        <v>990000102948</v>
      </c>
      <c r="E451" s="13" t="s">
        <v>769</v>
      </c>
      <c r="F451" s="13">
        <v>30</v>
      </c>
      <c r="G451" s="15">
        <v>45570</v>
      </c>
      <c r="H451" s="15">
        <v>45571</v>
      </c>
      <c r="I451" s="13" t="s">
        <v>832</v>
      </c>
      <c r="J451" s="13" t="s">
        <v>379</v>
      </c>
      <c r="K451" s="18"/>
      <c r="L451" s="4"/>
    </row>
    <row r="452" spans="1:12" s="2" customFormat="1" ht="15" hidden="1" customHeight="1" x14ac:dyDescent="0.3">
      <c r="A452" s="13" t="s">
        <v>412</v>
      </c>
      <c r="B452" s="13"/>
      <c r="C452" s="13">
        <v>10880021476</v>
      </c>
      <c r="D452" s="14">
        <v>990000102938</v>
      </c>
      <c r="E452" s="13" t="s">
        <v>722</v>
      </c>
      <c r="F452" s="13">
        <v>1108</v>
      </c>
      <c r="G452" s="15">
        <v>45573</v>
      </c>
      <c r="H452" s="15">
        <v>45623</v>
      </c>
      <c r="I452" s="13" t="s">
        <v>723</v>
      </c>
      <c r="J452" s="13" t="s">
        <v>379</v>
      </c>
      <c r="K452" s="18"/>
      <c r="L452" s="4"/>
    </row>
    <row r="453" spans="1:12" s="2" customFormat="1" ht="15" hidden="1" customHeight="1" x14ac:dyDescent="0.3">
      <c r="A453" s="13" t="s">
        <v>448</v>
      </c>
      <c r="B453" s="13"/>
      <c r="C453" s="13">
        <v>10880030244</v>
      </c>
      <c r="D453" s="14">
        <v>990000103003</v>
      </c>
      <c r="E453" s="13" t="s">
        <v>833</v>
      </c>
      <c r="F453" s="13">
        <v>83</v>
      </c>
      <c r="G453" s="15">
        <v>45574</v>
      </c>
      <c r="H453" s="15">
        <v>45574</v>
      </c>
      <c r="I453" s="13" t="s">
        <v>834</v>
      </c>
      <c r="J453" s="13" t="s">
        <v>379</v>
      </c>
      <c r="K453" s="18"/>
      <c r="L453" s="4"/>
    </row>
    <row r="454" spans="1:12" s="2" customFormat="1" ht="15" hidden="1" customHeight="1" x14ac:dyDescent="0.3">
      <c r="A454" s="13" t="s">
        <v>630</v>
      </c>
      <c r="B454" s="13"/>
      <c r="C454" s="13">
        <v>10880031113</v>
      </c>
      <c r="D454" s="14">
        <v>990000102955</v>
      </c>
      <c r="E454" s="13" t="s">
        <v>779</v>
      </c>
      <c r="F454" s="13">
        <v>20</v>
      </c>
      <c r="G454" s="15">
        <v>45574</v>
      </c>
      <c r="H454" s="15">
        <v>45574</v>
      </c>
      <c r="I454" s="13" t="s">
        <v>835</v>
      </c>
      <c r="J454" s="13" t="s">
        <v>379</v>
      </c>
      <c r="K454" s="18"/>
      <c r="L454" s="4"/>
    </row>
    <row r="455" spans="1:12" s="2" customFormat="1" ht="15" hidden="1" customHeight="1" x14ac:dyDescent="0.3">
      <c r="A455" s="13" t="s">
        <v>412</v>
      </c>
      <c r="B455" s="13"/>
      <c r="C455" s="13">
        <v>10880018093</v>
      </c>
      <c r="D455" s="14">
        <v>990000103000</v>
      </c>
      <c r="E455" s="13" t="s">
        <v>162</v>
      </c>
      <c r="F455" s="13">
        <v>1395</v>
      </c>
      <c r="G455" s="15">
        <v>45575</v>
      </c>
      <c r="H455" s="15">
        <v>45578</v>
      </c>
      <c r="I455" s="13" t="s">
        <v>836</v>
      </c>
      <c r="J455" s="13" t="s">
        <v>389</v>
      </c>
      <c r="K455" s="18"/>
      <c r="L455" s="4"/>
    </row>
    <row r="456" spans="1:12" s="2" customFormat="1" ht="15" hidden="1" customHeight="1" x14ac:dyDescent="0.3">
      <c r="A456" s="13" t="s">
        <v>630</v>
      </c>
      <c r="B456" s="13"/>
      <c r="C456" s="13">
        <v>10880018843</v>
      </c>
      <c r="D456" s="14">
        <v>990000103063</v>
      </c>
      <c r="E456" s="13" t="s">
        <v>619</v>
      </c>
      <c r="F456" s="13">
        <v>200</v>
      </c>
      <c r="G456" s="15">
        <v>45575</v>
      </c>
      <c r="H456" s="15">
        <v>45578</v>
      </c>
      <c r="I456" s="13" t="s">
        <v>837</v>
      </c>
      <c r="J456" s="13" t="s">
        <v>379</v>
      </c>
      <c r="K456" s="18"/>
      <c r="L456" s="4"/>
    </row>
    <row r="457" spans="1:12" s="2" customFormat="1" ht="15" hidden="1" customHeight="1" x14ac:dyDescent="0.3">
      <c r="A457" s="13" t="s">
        <v>630</v>
      </c>
      <c r="B457" s="13"/>
      <c r="C457" s="13">
        <v>10880021612</v>
      </c>
      <c r="D457" s="14">
        <v>990000103069</v>
      </c>
      <c r="E457" s="13" t="s">
        <v>838</v>
      </c>
      <c r="F457" s="13">
        <v>1000</v>
      </c>
      <c r="G457" s="15">
        <v>45576</v>
      </c>
      <c r="H457" s="15">
        <v>45580</v>
      </c>
      <c r="I457" s="13" t="s">
        <v>839</v>
      </c>
      <c r="J457" s="13" t="s">
        <v>379</v>
      </c>
      <c r="K457" s="18"/>
      <c r="L457" s="4"/>
    </row>
    <row r="458" spans="1:12" s="2" customFormat="1" ht="15" hidden="1" customHeight="1" x14ac:dyDescent="0.3">
      <c r="A458" s="13" t="s">
        <v>412</v>
      </c>
      <c r="B458" s="13"/>
      <c r="C458" s="13">
        <v>10880014439</v>
      </c>
      <c r="D458" s="14">
        <v>990000103143</v>
      </c>
      <c r="E458" s="13" t="s">
        <v>840</v>
      </c>
      <c r="F458" s="13">
        <v>10</v>
      </c>
      <c r="G458" s="15">
        <v>45577</v>
      </c>
      <c r="H458" s="15">
        <v>45578</v>
      </c>
      <c r="I458" s="13" t="s">
        <v>841</v>
      </c>
      <c r="J458" s="13" t="s">
        <v>379</v>
      </c>
      <c r="K458" s="18"/>
      <c r="L458" s="4"/>
    </row>
    <row r="459" spans="1:12" s="2" customFormat="1" ht="15" hidden="1" customHeight="1" x14ac:dyDescent="0.3">
      <c r="A459" s="13" t="s">
        <v>412</v>
      </c>
      <c r="B459" s="13"/>
      <c r="C459" s="13">
        <v>10880012985</v>
      </c>
      <c r="D459" s="14">
        <v>990000103144</v>
      </c>
      <c r="E459" s="13" t="s">
        <v>842</v>
      </c>
      <c r="F459" s="13">
        <v>10</v>
      </c>
      <c r="G459" s="15">
        <v>45577</v>
      </c>
      <c r="H459" s="15">
        <v>45578</v>
      </c>
      <c r="I459" s="13" t="s">
        <v>843</v>
      </c>
      <c r="J459" s="13" t="s">
        <v>379</v>
      </c>
      <c r="K459" s="18"/>
      <c r="L459" s="4"/>
    </row>
    <row r="460" spans="1:12" s="2" customFormat="1" ht="15" hidden="1" customHeight="1" x14ac:dyDescent="0.3">
      <c r="A460" s="13" t="s">
        <v>630</v>
      </c>
      <c r="B460" s="13"/>
      <c r="C460" s="13">
        <v>10880021983</v>
      </c>
      <c r="D460" s="14">
        <v>990000103141</v>
      </c>
      <c r="E460" s="13" t="s">
        <v>480</v>
      </c>
      <c r="F460" s="13">
        <v>251</v>
      </c>
      <c r="G460" s="15">
        <v>45577</v>
      </c>
      <c r="H460" s="15">
        <v>45578</v>
      </c>
      <c r="I460" s="13" t="s">
        <v>834</v>
      </c>
      <c r="J460" s="13" t="s">
        <v>379</v>
      </c>
      <c r="K460" s="18"/>
      <c r="L460" s="4"/>
    </row>
    <row r="461" spans="1:12" s="2" customFormat="1" ht="15" hidden="1" customHeight="1" x14ac:dyDescent="0.3">
      <c r="A461" s="13" t="s">
        <v>630</v>
      </c>
      <c r="B461" s="13"/>
      <c r="C461" s="13">
        <v>10880016525</v>
      </c>
      <c r="D461" s="14">
        <v>990000103142</v>
      </c>
      <c r="E461" s="13" t="s">
        <v>600</v>
      </c>
      <c r="F461" s="13">
        <v>270</v>
      </c>
      <c r="G461" s="15">
        <v>45577</v>
      </c>
      <c r="H461" s="15">
        <v>45578</v>
      </c>
      <c r="I461" s="13" t="s">
        <v>834</v>
      </c>
      <c r="J461" s="13" t="s">
        <v>379</v>
      </c>
      <c r="K461" s="18"/>
      <c r="L461" s="4"/>
    </row>
    <row r="462" spans="1:12" s="2" customFormat="1" ht="15" hidden="1" customHeight="1" x14ac:dyDescent="0.3">
      <c r="A462" s="13" t="s">
        <v>630</v>
      </c>
      <c r="B462" s="13"/>
      <c r="C462" s="13">
        <v>10880021612</v>
      </c>
      <c r="D462" s="14">
        <v>990000103268</v>
      </c>
      <c r="E462" s="13" t="s">
        <v>838</v>
      </c>
      <c r="F462" s="13">
        <v>2685</v>
      </c>
      <c r="G462" s="15">
        <v>45578</v>
      </c>
      <c r="H462" s="15">
        <v>45588</v>
      </c>
      <c r="I462" s="13" t="s">
        <v>839</v>
      </c>
      <c r="J462" s="13" t="s">
        <v>379</v>
      </c>
      <c r="K462" s="18"/>
      <c r="L462" s="4"/>
    </row>
    <row r="463" spans="1:12" s="2" customFormat="1" ht="15" hidden="1" customHeight="1" x14ac:dyDescent="0.3">
      <c r="A463" s="13" t="s">
        <v>630</v>
      </c>
      <c r="B463" s="13"/>
      <c r="C463" s="13">
        <v>10880014362</v>
      </c>
      <c r="D463" s="14">
        <v>990000103235</v>
      </c>
      <c r="E463" s="13" t="s">
        <v>844</v>
      </c>
      <c r="F463" s="13">
        <v>3</v>
      </c>
      <c r="G463" s="15">
        <v>45579</v>
      </c>
      <c r="H463" s="15">
        <v>45580</v>
      </c>
      <c r="I463" s="13" t="s">
        <v>834</v>
      </c>
      <c r="J463" s="13" t="s">
        <v>379</v>
      </c>
      <c r="K463" s="18"/>
      <c r="L463" s="4"/>
    </row>
    <row r="464" spans="1:12" s="2" customFormat="1" ht="15" hidden="1" customHeight="1" x14ac:dyDescent="0.3">
      <c r="A464" s="13" t="s">
        <v>630</v>
      </c>
      <c r="B464" s="13"/>
      <c r="C464" s="13">
        <v>10880021342</v>
      </c>
      <c r="D464" s="14">
        <v>990000103234</v>
      </c>
      <c r="E464" s="13" t="s">
        <v>826</v>
      </c>
      <c r="F464" s="13">
        <v>128</v>
      </c>
      <c r="G464" s="15">
        <v>45579</v>
      </c>
      <c r="H464" s="15">
        <v>45583</v>
      </c>
      <c r="I464" s="13" t="s">
        <v>834</v>
      </c>
      <c r="J464" s="13" t="s">
        <v>379</v>
      </c>
      <c r="K464" s="18"/>
      <c r="L464" s="4"/>
    </row>
    <row r="465" spans="1:12" s="2" customFormat="1" ht="15" hidden="1" customHeight="1" x14ac:dyDescent="0.3">
      <c r="A465" s="13" t="s">
        <v>630</v>
      </c>
      <c r="B465" s="13"/>
      <c r="C465" s="13">
        <v>10880021341</v>
      </c>
      <c r="D465" s="14">
        <v>990000103233</v>
      </c>
      <c r="E465" s="13" t="s">
        <v>845</v>
      </c>
      <c r="F465" s="13">
        <v>151</v>
      </c>
      <c r="G465" s="15">
        <v>45579</v>
      </c>
      <c r="H465" s="15">
        <v>45585</v>
      </c>
      <c r="I465" s="13" t="s">
        <v>834</v>
      </c>
      <c r="J465" s="13" t="s">
        <v>379</v>
      </c>
      <c r="K465" s="18"/>
      <c r="L465" s="4"/>
    </row>
    <row r="466" spans="1:12" s="2" customFormat="1" ht="15" hidden="1" customHeight="1" x14ac:dyDescent="0.3">
      <c r="A466" s="13" t="s">
        <v>630</v>
      </c>
      <c r="B466" s="13"/>
      <c r="C466" s="13">
        <v>10880014812</v>
      </c>
      <c r="D466" s="14">
        <v>990000103259</v>
      </c>
      <c r="E466" s="13" t="s">
        <v>846</v>
      </c>
      <c r="F466" s="13">
        <v>32</v>
      </c>
      <c r="G466" s="15">
        <v>45579</v>
      </c>
      <c r="H466" s="15">
        <v>45588</v>
      </c>
      <c r="I466" s="13" t="s">
        <v>834</v>
      </c>
      <c r="J466" s="13" t="s">
        <v>379</v>
      </c>
      <c r="K466" s="18"/>
      <c r="L466" s="4"/>
    </row>
    <row r="467" spans="1:12" s="2" customFormat="1" ht="15" hidden="1" customHeight="1" x14ac:dyDescent="0.3">
      <c r="A467" s="13" t="s">
        <v>630</v>
      </c>
      <c r="B467" s="13"/>
      <c r="C467" s="13">
        <v>10880015830</v>
      </c>
      <c r="D467" s="14">
        <v>990000103261</v>
      </c>
      <c r="E467" s="13" t="s">
        <v>847</v>
      </c>
      <c r="F467" s="13">
        <v>39</v>
      </c>
      <c r="G467" s="15">
        <v>45579</v>
      </c>
      <c r="H467" s="15">
        <v>45588</v>
      </c>
      <c r="I467" s="13" t="s">
        <v>834</v>
      </c>
      <c r="J467" s="13" t="s">
        <v>379</v>
      </c>
      <c r="K467" s="18"/>
      <c r="L467" s="4"/>
    </row>
    <row r="468" spans="1:12" s="2" customFormat="1" ht="15" hidden="1" customHeight="1" x14ac:dyDescent="0.3">
      <c r="A468" s="13" t="s">
        <v>630</v>
      </c>
      <c r="B468" s="13"/>
      <c r="C468" s="13">
        <v>10880021985</v>
      </c>
      <c r="D468" s="14">
        <v>990000103232</v>
      </c>
      <c r="E468" s="13" t="s">
        <v>555</v>
      </c>
      <c r="F468" s="13">
        <v>327</v>
      </c>
      <c r="G468" s="15">
        <v>45579</v>
      </c>
      <c r="H468" s="15">
        <v>45598</v>
      </c>
      <c r="I468" s="13" t="s">
        <v>834</v>
      </c>
      <c r="J468" s="13" t="s">
        <v>379</v>
      </c>
      <c r="K468" s="18"/>
      <c r="L468" s="4"/>
    </row>
    <row r="469" spans="1:12" s="2" customFormat="1" ht="15" hidden="1" customHeight="1" x14ac:dyDescent="0.3">
      <c r="A469" s="13" t="s">
        <v>630</v>
      </c>
      <c r="B469" s="13"/>
      <c r="C469" s="13">
        <v>10880027854</v>
      </c>
      <c r="D469" s="14">
        <v>990000103260</v>
      </c>
      <c r="E469" s="13" t="s">
        <v>538</v>
      </c>
      <c r="F469" s="13">
        <v>296</v>
      </c>
      <c r="G469" s="15">
        <v>45579</v>
      </c>
      <c r="H469" s="15">
        <v>45598</v>
      </c>
      <c r="I469" s="13" t="s">
        <v>834</v>
      </c>
      <c r="J469" s="13" t="s">
        <v>379</v>
      </c>
      <c r="K469" s="18"/>
      <c r="L469" s="4"/>
    </row>
    <row r="470" spans="1:12" s="2" customFormat="1" ht="15" hidden="1" customHeight="1" x14ac:dyDescent="0.3">
      <c r="A470" s="13" t="s">
        <v>630</v>
      </c>
      <c r="B470" s="13"/>
      <c r="C470" s="13">
        <v>10880032609</v>
      </c>
      <c r="D470" s="14">
        <v>990000103258</v>
      </c>
      <c r="E470" s="13" t="s">
        <v>697</v>
      </c>
      <c r="F470" s="13">
        <v>100</v>
      </c>
      <c r="G470" s="15">
        <v>45579</v>
      </c>
      <c r="H470" s="15" t="s">
        <v>487</v>
      </c>
      <c r="I470" s="13" t="s">
        <v>834</v>
      </c>
      <c r="J470" s="13" t="s">
        <v>489</v>
      </c>
      <c r="K470" s="18"/>
      <c r="L470" s="4"/>
    </row>
    <row r="471" spans="1:12" s="2" customFormat="1" ht="15" hidden="1" customHeight="1" x14ac:dyDescent="0.3">
      <c r="A471" s="13" t="s">
        <v>630</v>
      </c>
      <c r="B471" s="13"/>
      <c r="C471" s="13">
        <v>10880031115</v>
      </c>
      <c r="D471" s="14">
        <v>990000103278</v>
      </c>
      <c r="E471" s="13" t="s">
        <v>848</v>
      </c>
      <c r="F471" s="13">
        <v>169</v>
      </c>
      <c r="G471" s="15">
        <v>45583</v>
      </c>
      <c r="H471" s="15">
        <v>45585</v>
      </c>
      <c r="I471" s="13" t="s">
        <v>849</v>
      </c>
      <c r="J471" s="13" t="s">
        <v>379</v>
      </c>
      <c r="K471" s="18"/>
      <c r="L471" s="4"/>
    </row>
    <row r="472" spans="1:12" s="2" customFormat="1" ht="15" hidden="1" customHeight="1" x14ac:dyDescent="0.3">
      <c r="A472" s="13" t="s">
        <v>630</v>
      </c>
      <c r="B472" s="13"/>
      <c r="C472" s="13">
        <v>10880020036</v>
      </c>
      <c r="D472" s="14">
        <v>990000103428</v>
      </c>
      <c r="E472" s="13" t="s">
        <v>850</v>
      </c>
      <c r="F472" s="13">
        <v>327</v>
      </c>
      <c r="G472" s="15">
        <v>45586</v>
      </c>
      <c r="H472" s="15">
        <v>45654</v>
      </c>
      <c r="I472" s="13" t="s">
        <v>834</v>
      </c>
      <c r="J472" s="13" t="s">
        <v>379</v>
      </c>
      <c r="K472" s="18"/>
      <c r="L472" s="4"/>
    </row>
    <row r="473" spans="1:12" s="2" customFormat="1" ht="15" hidden="1" customHeight="1" x14ac:dyDescent="0.3">
      <c r="A473" s="13" t="s">
        <v>630</v>
      </c>
      <c r="B473" s="13"/>
      <c r="C473" s="13">
        <v>10880019639</v>
      </c>
      <c r="D473" s="14">
        <v>990000103429</v>
      </c>
      <c r="E473" s="13" t="s">
        <v>851</v>
      </c>
      <c r="F473" s="13">
        <v>1260</v>
      </c>
      <c r="G473" s="15">
        <v>45586</v>
      </c>
      <c r="H473" s="15">
        <v>45654</v>
      </c>
      <c r="I473" s="13" t="s">
        <v>834</v>
      </c>
      <c r="J473" s="13" t="s">
        <v>379</v>
      </c>
      <c r="K473" s="18"/>
      <c r="L473" s="4"/>
    </row>
    <row r="474" spans="1:12" s="2" customFormat="1" ht="15" hidden="1" customHeight="1" x14ac:dyDescent="0.3">
      <c r="A474" s="13" t="s">
        <v>630</v>
      </c>
      <c r="B474" s="13"/>
      <c r="C474" s="13">
        <v>10880019640</v>
      </c>
      <c r="D474" s="14">
        <v>990000103430</v>
      </c>
      <c r="E474" s="13" t="s">
        <v>852</v>
      </c>
      <c r="F474" s="13">
        <v>1905</v>
      </c>
      <c r="G474" s="15">
        <v>45586</v>
      </c>
      <c r="H474" s="15">
        <v>45654</v>
      </c>
      <c r="I474" s="13" t="s">
        <v>834</v>
      </c>
      <c r="J474" s="13" t="s">
        <v>379</v>
      </c>
      <c r="K474" s="18"/>
      <c r="L474" s="4"/>
    </row>
    <row r="475" spans="1:12" s="2" customFormat="1" ht="15" hidden="1" customHeight="1" x14ac:dyDescent="0.3">
      <c r="A475" s="13" t="s">
        <v>412</v>
      </c>
      <c r="B475" s="13"/>
      <c r="C475" s="13">
        <v>10880031011</v>
      </c>
      <c r="D475" s="14">
        <v>990000103495</v>
      </c>
      <c r="E475" s="13" t="s">
        <v>49</v>
      </c>
      <c r="F475" s="13">
        <v>32</v>
      </c>
      <c r="G475" s="15">
        <v>45587</v>
      </c>
      <c r="H475" s="15">
        <v>45587</v>
      </c>
      <c r="I475" s="13" t="s">
        <v>853</v>
      </c>
      <c r="J475" s="13" t="s">
        <v>431</v>
      </c>
      <c r="K475" s="18"/>
      <c r="L475" s="4"/>
    </row>
    <row r="476" spans="1:12" s="2" customFormat="1" ht="15" hidden="1" customHeight="1" x14ac:dyDescent="0.3">
      <c r="A476" s="13" t="s">
        <v>630</v>
      </c>
      <c r="B476" s="13"/>
      <c r="C476" s="13">
        <v>10880033291</v>
      </c>
      <c r="D476" s="14">
        <v>990000103567</v>
      </c>
      <c r="E476" s="13" t="s">
        <v>803</v>
      </c>
      <c r="F476" s="13">
        <v>48</v>
      </c>
      <c r="G476" s="15">
        <v>45590</v>
      </c>
      <c r="H476" s="15">
        <v>45592</v>
      </c>
      <c r="I476" s="13" t="s">
        <v>854</v>
      </c>
      <c r="J476" s="13" t="s">
        <v>379</v>
      </c>
      <c r="K476" s="18"/>
      <c r="L476" s="4"/>
    </row>
    <row r="477" spans="1:12" s="2" customFormat="1" ht="15" hidden="1" customHeight="1" x14ac:dyDescent="0.3">
      <c r="A477" s="13" t="s">
        <v>630</v>
      </c>
      <c r="B477" s="13"/>
      <c r="C477" s="13">
        <v>10880029999</v>
      </c>
      <c r="D477" s="14">
        <v>990000103621</v>
      </c>
      <c r="E477" s="13" t="s">
        <v>631</v>
      </c>
      <c r="F477" s="13">
        <v>50</v>
      </c>
      <c r="G477" s="15">
        <v>45590</v>
      </c>
      <c r="H477" s="15">
        <v>45595</v>
      </c>
      <c r="I477" s="13" t="s">
        <v>855</v>
      </c>
      <c r="J477" s="13" t="s">
        <v>379</v>
      </c>
      <c r="K477" s="18"/>
      <c r="L477" s="4"/>
    </row>
    <row r="478" spans="1:12" s="2" customFormat="1" ht="15" hidden="1" customHeight="1" x14ac:dyDescent="0.3">
      <c r="A478" s="13" t="s">
        <v>630</v>
      </c>
      <c r="B478" s="13"/>
      <c r="C478" s="13">
        <v>10880032024</v>
      </c>
      <c r="D478" s="14">
        <v>990000103622</v>
      </c>
      <c r="E478" s="13" t="s">
        <v>856</v>
      </c>
      <c r="F478" s="13">
        <v>676</v>
      </c>
      <c r="G478" s="15">
        <v>45590</v>
      </c>
      <c r="H478" s="15">
        <v>45598</v>
      </c>
      <c r="I478" s="13" t="s">
        <v>857</v>
      </c>
      <c r="J478" s="13" t="s">
        <v>379</v>
      </c>
      <c r="K478" s="18"/>
      <c r="L478" s="4"/>
    </row>
    <row r="479" spans="1:12" s="2" customFormat="1" ht="15" hidden="1" customHeight="1" x14ac:dyDescent="0.3">
      <c r="A479" s="13" t="s">
        <v>412</v>
      </c>
      <c r="B479" s="13"/>
      <c r="C479" s="13">
        <v>10880031869</v>
      </c>
      <c r="D479" s="14">
        <v>990000103735</v>
      </c>
      <c r="E479" s="13" t="s">
        <v>858</v>
      </c>
      <c r="F479" s="13">
        <v>1079</v>
      </c>
      <c r="G479" s="15">
        <v>45596</v>
      </c>
      <c r="H479" s="15" t="s">
        <v>487</v>
      </c>
      <c r="I479" s="13" t="s">
        <v>859</v>
      </c>
      <c r="J479" s="13" t="s">
        <v>489</v>
      </c>
      <c r="K479" s="18"/>
      <c r="L479" s="4"/>
    </row>
    <row r="480" spans="1:12" s="2" customFormat="1" ht="15" hidden="1" customHeight="1" x14ac:dyDescent="0.3">
      <c r="A480" s="13" t="s">
        <v>412</v>
      </c>
      <c r="B480" s="13"/>
      <c r="C480" s="13">
        <v>10880031869</v>
      </c>
      <c r="D480" s="14">
        <v>990000103734</v>
      </c>
      <c r="E480" s="13" t="s">
        <v>858</v>
      </c>
      <c r="F480" s="13">
        <v>999</v>
      </c>
      <c r="G480" s="15">
        <v>45596</v>
      </c>
      <c r="H480" s="15">
        <v>45600</v>
      </c>
      <c r="I480" s="13" t="s">
        <v>860</v>
      </c>
      <c r="J480" s="13" t="s">
        <v>379</v>
      </c>
      <c r="K480" s="18"/>
      <c r="L480" s="4"/>
    </row>
    <row r="481" spans="1:12" s="2" customFormat="1" ht="15" hidden="1" customHeight="1" x14ac:dyDescent="0.3">
      <c r="A481" s="13" t="s">
        <v>412</v>
      </c>
      <c r="B481" s="13"/>
      <c r="C481" s="13">
        <v>10880022123</v>
      </c>
      <c r="D481" s="14">
        <v>990000103763</v>
      </c>
      <c r="E481" s="13" t="s">
        <v>247</v>
      </c>
      <c r="F481" s="13">
        <v>5002</v>
      </c>
      <c r="G481" s="15">
        <v>45597</v>
      </c>
      <c r="H481" s="15">
        <v>45598</v>
      </c>
      <c r="I481" s="13" t="s">
        <v>861</v>
      </c>
      <c r="J481" s="13" t="s">
        <v>379</v>
      </c>
      <c r="K481" s="18"/>
      <c r="L481" s="4"/>
    </row>
    <row r="482" spans="1:12" s="2" customFormat="1" ht="15" hidden="1" customHeight="1" x14ac:dyDescent="0.3">
      <c r="A482" s="13" t="s">
        <v>630</v>
      </c>
      <c r="B482" s="13"/>
      <c r="C482" s="13">
        <v>10880028905</v>
      </c>
      <c r="D482" s="14">
        <v>990000103990</v>
      </c>
      <c r="E482" s="13" t="s">
        <v>575</v>
      </c>
      <c r="F482" s="13">
        <v>624</v>
      </c>
      <c r="G482" s="15">
        <v>45601</v>
      </c>
      <c r="H482" s="15">
        <v>45609</v>
      </c>
      <c r="I482" s="13" t="s">
        <v>862</v>
      </c>
      <c r="J482" s="13" t="s">
        <v>379</v>
      </c>
      <c r="K482" s="18"/>
      <c r="L482" s="4"/>
    </row>
    <row r="483" spans="1:12" s="2" customFormat="1" ht="15" hidden="1" customHeight="1" x14ac:dyDescent="0.3">
      <c r="A483" s="13" t="s">
        <v>630</v>
      </c>
      <c r="B483" s="13"/>
      <c r="C483" s="13">
        <v>10880032943</v>
      </c>
      <c r="D483" s="14">
        <v>990000104058</v>
      </c>
      <c r="E483" s="13" t="s">
        <v>307</v>
      </c>
      <c r="F483" s="13">
        <v>1197</v>
      </c>
      <c r="G483" s="15">
        <v>45603</v>
      </c>
      <c r="H483" s="15">
        <v>45609</v>
      </c>
      <c r="I483" s="13" t="s">
        <v>863</v>
      </c>
      <c r="J483" s="13" t="s">
        <v>379</v>
      </c>
      <c r="K483" s="18"/>
      <c r="L483" s="4"/>
    </row>
    <row r="484" spans="1:12" s="2" customFormat="1" ht="15" hidden="1" customHeight="1" x14ac:dyDescent="0.3">
      <c r="A484" s="13" t="s">
        <v>630</v>
      </c>
      <c r="B484" s="13"/>
      <c r="C484" s="13">
        <v>10880031015</v>
      </c>
      <c r="D484" s="14">
        <v>990000104055</v>
      </c>
      <c r="E484" s="13" t="s">
        <v>864</v>
      </c>
      <c r="F484" s="13">
        <v>46</v>
      </c>
      <c r="G484" s="15">
        <v>45603</v>
      </c>
      <c r="H484" s="15">
        <v>45635</v>
      </c>
      <c r="I484" s="13" t="s">
        <v>865</v>
      </c>
      <c r="J484" s="13" t="s">
        <v>379</v>
      </c>
      <c r="K484" s="18"/>
      <c r="L484" s="4"/>
    </row>
    <row r="485" spans="1:12" s="2" customFormat="1" ht="15" hidden="1" customHeight="1" x14ac:dyDescent="0.3">
      <c r="A485" s="13" t="s">
        <v>630</v>
      </c>
      <c r="B485" s="13"/>
      <c r="C485" s="13">
        <v>10880030334</v>
      </c>
      <c r="D485" s="14">
        <v>990000104115</v>
      </c>
      <c r="E485" s="13" t="s">
        <v>69</v>
      </c>
      <c r="F485" s="13">
        <v>1178</v>
      </c>
      <c r="G485" s="15">
        <v>45604</v>
      </c>
      <c r="H485" s="15">
        <v>45604</v>
      </c>
      <c r="I485" s="13" t="s">
        <v>866</v>
      </c>
      <c r="J485" s="13" t="s">
        <v>379</v>
      </c>
      <c r="K485" s="18"/>
      <c r="L485" s="4"/>
    </row>
    <row r="486" spans="1:12" s="2" customFormat="1" ht="15" hidden="1" customHeight="1" x14ac:dyDescent="0.3">
      <c r="A486" s="13" t="s">
        <v>630</v>
      </c>
      <c r="B486" s="13"/>
      <c r="C486" s="13">
        <v>10880033291</v>
      </c>
      <c r="D486" s="14">
        <v>990000104124</v>
      </c>
      <c r="E486" s="13" t="s">
        <v>803</v>
      </c>
      <c r="F486" s="13">
        <v>48</v>
      </c>
      <c r="G486" s="15">
        <v>45604</v>
      </c>
      <c r="H486" s="15">
        <v>45604</v>
      </c>
      <c r="I486" s="13" t="s">
        <v>867</v>
      </c>
      <c r="J486" s="13" t="s">
        <v>379</v>
      </c>
      <c r="K486" s="18"/>
      <c r="L486" s="4"/>
    </row>
    <row r="487" spans="1:12" s="2" customFormat="1" ht="15" hidden="1" customHeight="1" x14ac:dyDescent="0.3">
      <c r="A487" s="13" t="s">
        <v>630</v>
      </c>
      <c r="B487" s="13"/>
      <c r="C487" s="13">
        <v>10880033400</v>
      </c>
      <c r="D487" s="14">
        <v>990000104117</v>
      </c>
      <c r="E487" s="13" t="s">
        <v>792</v>
      </c>
      <c r="F487" s="13">
        <v>29</v>
      </c>
      <c r="G487" s="15">
        <v>45604</v>
      </c>
      <c r="H487" s="15">
        <v>45605</v>
      </c>
      <c r="I487" s="13" t="s">
        <v>868</v>
      </c>
      <c r="J487" s="13" t="s">
        <v>379</v>
      </c>
      <c r="K487" s="18"/>
      <c r="L487" s="4"/>
    </row>
    <row r="488" spans="1:12" s="2" customFormat="1" ht="15" hidden="1" customHeight="1" x14ac:dyDescent="0.3">
      <c r="A488" s="13" t="s">
        <v>630</v>
      </c>
      <c r="B488" s="13"/>
      <c r="C488" s="13">
        <v>10880033745</v>
      </c>
      <c r="D488" s="14">
        <v>990000104126</v>
      </c>
      <c r="E488" s="13" t="s">
        <v>869</v>
      </c>
      <c r="F488" s="13">
        <v>75</v>
      </c>
      <c r="G488" s="15">
        <v>45604</v>
      </c>
      <c r="H488" s="15">
        <v>45605</v>
      </c>
      <c r="I488" s="13" t="s">
        <v>870</v>
      </c>
      <c r="J488" s="13" t="s">
        <v>379</v>
      </c>
      <c r="K488" s="18"/>
      <c r="L488" s="4"/>
    </row>
    <row r="489" spans="1:12" s="2" customFormat="1" ht="15" hidden="1" customHeight="1" x14ac:dyDescent="0.3">
      <c r="A489" s="13" t="s">
        <v>630</v>
      </c>
      <c r="B489" s="13"/>
      <c r="C489" s="13">
        <v>10880028118</v>
      </c>
      <c r="D489" s="14">
        <v>990000104118</v>
      </c>
      <c r="E489" s="13" t="s">
        <v>871</v>
      </c>
      <c r="F489" s="13">
        <v>152</v>
      </c>
      <c r="G489" s="15">
        <v>45604</v>
      </c>
      <c r="H489" s="15">
        <v>45611</v>
      </c>
      <c r="I489" s="13" t="s">
        <v>872</v>
      </c>
      <c r="J489" s="13" t="s">
        <v>379</v>
      </c>
      <c r="K489" s="18"/>
      <c r="L489" s="4"/>
    </row>
    <row r="490" spans="1:12" s="2" customFormat="1" ht="15" hidden="1" customHeight="1" x14ac:dyDescent="0.3">
      <c r="A490" s="13" t="s">
        <v>448</v>
      </c>
      <c r="B490" s="13"/>
      <c r="C490" s="13">
        <v>10880028394</v>
      </c>
      <c r="D490" s="14">
        <v>990000104125</v>
      </c>
      <c r="E490" s="13" t="s">
        <v>873</v>
      </c>
      <c r="F490" s="13">
        <v>94</v>
      </c>
      <c r="G490" s="15">
        <v>45604</v>
      </c>
      <c r="H490" s="15">
        <v>45626</v>
      </c>
      <c r="I490" s="13" t="s">
        <v>874</v>
      </c>
      <c r="J490" s="13" t="s">
        <v>379</v>
      </c>
      <c r="K490" s="18"/>
      <c r="L490" s="4"/>
    </row>
    <row r="491" spans="1:12" s="2" customFormat="1" ht="15" hidden="1" customHeight="1" x14ac:dyDescent="0.3">
      <c r="A491" s="13" t="s">
        <v>630</v>
      </c>
      <c r="B491" s="13"/>
      <c r="C491" s="13">
        <v>10880021545</v>
      </c>
      <c r="D491" s="14" t="s">
        <v>875</v>
      </c>
      <c r="E491" s="13" t="s">
        <v>876</v>
      </c>
      <c r="F491" s="13">
        <v>9618</v>
      </c>
      <c r="G491" s="15">
        <v>45605</v>
      </c>
      <c r="H491" s="15">
        <v>45636</v>
      </c>
      <c r="I491" s="13" t="s">
        <v>877</v>
      </c>
      <c r="J491" s="13" t="s">
        <v>379</v>
      </c>
      <c r="K491" s="18"/>
      <c r="L491" s="4"/>
    </row>
    <row r="492" spans="1:12" s="2" customFormat="1" ht="15" hidden="1" customHeight="1" x14ac:dyDescent="0.3">
      <c r="A492" s="13" t="s">
        <v>630</v>
      </c>
      <c r="B492" s="13"/>
      <c r="C492" s="13">
        <v>10880027925</v>
      </c>
      <c r="D492" s="14">
        <v>990000104074</v>
      </c>
      <c r="E492" s="13" t="s">
        <v>771</v>
      </c>
      <c r="F492" s="13">
        <v>9862</v>
      </c>
      <c r="G492" s="15">
        <v>45605</v>
      </c>
      <c r="H492" s="15">
        <v>45636</v>
      </c>
      <c r="I492" s="13" t="s">
        <v>878</v>
      </c>
      <c r="J492" s="13" t="s">
        <v>379</v>
      </c>
      <c r="K492" s="18"/>
      <c r="L492" s="4"/>
    </row>
    <row r="493" spans="1:12" s="2" customFormat="1" ht="15" hidden="1" customHeight="1" x14ac:dyDescent="0.3">
      <c r="A493" s="13" t="s">
        <v>879</v>
      </c>
      <c r="B493" s="13"/>
      <c r="C493" s="13">
        <v>10880021545</v>
      </c>
      <c r="D493" s="14">
        <v>990000104075</v>
      </c>
      <c r="E493" s="13" t="s">
        <v>876</v>
      </c>
      <c r="F493" s="13">
        <v>9618</v>
      </c>
      <c r="G493" s="15">
        <v>45605</v>
      </c>
      <c r="H493" s="15">
        <v>45632</v>
      </c>
      <c r="I493" s="13" t="s">
        <v>880</v>
      </c>
      <c r="J493" s="13" t="s">
        <v>379</v>
      </c>
      <c r="K493" s="18"/>
      <c r="L493" s="4"/>
    </row>
    <row r="494" spans="1:12" s="2" customFormat="1" ht="15" hidden="1" customHeight="1" x14ac:dyDescent="0.3">
      <c r="A494" s="13" t="s">
        <v>630</v>
      </c>
      <c r="B494" s="13"/>
      <c r="C494" s="13">
        <v>10880033293</v>
      </c>
      <c r="D494" s="14">
        <v>990000104226</v>
      </c>
      <c r="E494" s="13" t="s">
        <v>804</v>
      </c>
      <c r="F494" s="13">
        <v>595</v>
      </c>
      <c r="G494" s="15">
        <v>45607</v>
      </c>
      <c r="H494" s="15">
        <v>45607</v>
      </c>
      <c r="I494" s="13" t="s">
        <v>881</v>
      </c>
      <c r="J494" s="13" t="s">
        <v>379</v>
      </c>
      <c r="K494" s="18"/>
      <c r="L494" s="4"/>
    </row>
    <row r="495" spans="1:12" s="2" customFormat="1" ht="15" hidden="1" customHeight="1" x14ac:dyDescent="0.3">
      <c r="A495" s="13" t="s">
        <v>630</v>
      </c>
      <c r="B495" s="13"/>
      <c r="C495" s="13">
        <v>10880033290</v>
      </c>
      <c r="D495" s="14">
        <v>990000104227</v>
      </c>
      <c r="E495" s="13" t="s">
        <v>802</v>
      </c>
      <c r="F495" s="13">
        <v>420</v>
      </c>
      <c r="G495" s="15">
        <v>45607</v>
      </c>
      <c r="H495" s="15">
        <v>45609</v>
      </c>
      <c r="I495" s="13" t="s">
        <v>882</v>
      </c>
      <c r="J495" s="13" t="s">
        <v>379</v>
      </c>
      <c r="K495" s="18"/>
      <c r="L495" s="4"/>
    </row>
    <row r="496" spans="1:12" s="2" customFormat="1" ht="15" hidden="1" customHeight="1" x14ac:dyDescent="0.3">
      <c r="A496" s="13" t="s">
        <v>630</v>
      </c>
      <c r="B496" s="13"/>
      <c r="C496" s="13">
        <v>10880033293</v>
      </c>
      <c r="D496" s="14">
        <v>990000104277</v>
      </c>
      <c r="E496" s="13" t="s">
        <v>804</v>
      </c>
      <c r="F496" s="13">
        <v>417</v>
      </c>
      <c r="G496" s="15">
        <v>45609</v>
      </c>
      <c r="H496" s="15">
        <v>45609</v>
      </c>
      <c r="I496" s="13" t="s">
        <v>580</v>
      </c>
      <c r="J496" s="13" t="s">
        <v>379</v>
      </c>
      <c r="K496" s="18"/>
      <c r="L496" s="4"/>
    </row>
    <row r="497" spans="1:12" s="2" customFormat="1" ht="15" hidden="1" customHeight="1" x14ac:dyDescent="0.3">
      <c r="A497" s="13" t="s">
        <v>883</v>
      </c>
      <c r="B497" s="13"/>
      <c r="C497" s="13">
        <v>10880028307</v>
      </c>
      <c r="D497" s="14">
        <v>990000104276</v>
      </c>
      <c r="E497" s="13" t="s">
        <v>186</v>
      </c>
      <c r="F497" s="13">
        <v>150</v>
      </c>
      <c r="G497" s="15">
        <v>45609</v>
      </c>
      <c r="H497" s="15">
        <v>45609</v>
      </c>
      <c r="I497" s="13" t="s">
        <v>884</v>
      </c>
      <c r="J497" s="13" t="s">
        <v>379</v>
      </c>
      <c r="K497" s="18"/>
      <c r="L497" s="4"/>
    </row>
    <row r="498" spans="1:12" s="2" customFormat="1" ht="15" hidden="1" customHeight="1" x14ac:dyDescent="0.3">
      <c r="A498" s="13" t="s">
        <v>883</v>
      </c>
      <c r="B498" s="13"/>
      <c r="C498" s="13">
        <v>10880028307</v>
      </c>
      <c r="D498" s="14">
        <v>990000104335</v>
      </c>
      <c r="E498" s="13" t="s">
        <v>186</v>
      </c>
      <c r="F498" s="13">
        <v>200</v>
      </c>
      <c r="G498" s="15">
        <v>45610</v>
      </c>
      <c r="H498" s="15">
        <v>45610</v>
      </c>
      <c r="I498" s="13" t="s">
        <v>885</v>
      </c>
      <c r="J498" s="13" t="s">
        <v>379</v>
      </c>
      <c r="K498" s="18"/>
      <c r="L498" s="4"/>
    </row>
    <row r="499" spans="1:12" s="2" customFormat="1" ht="15" hidden="1" customHeight="1" x14ac:dyDescent="0.3">
      <c r="A499" s="13" t="s">
        <v>879</v>
      </c>
      <c r="B499" s="13"/>
      <c r="C499" s="13">
        <v>10880032943</v>
      </c>
      <c r="D499" s="14">
        <v>990000104341</v>
      </c>
      <c r="E499" s="13" t="s">
        <v>307</v>
      </c>
      <c r="F499" s="13">
        <v>5</v>
      </c>
      <c r="G499" s="15">
        <v>45610</v>
      </c>
      <c r="H499" s="15">
        <v>45610</v>
      </c>
      <c r="I499" s="13" t="s">
        <v>863</v>
      </c>
      <c r="J499" s="13" t="s">
        <v>379</v>
      </c>
      <c r="K499" s="18"/>
      <c r="L499" s="4"/>
    </row>
    <row r="500" spans="1:12" s="2" customFormat="1" ht="15" hidden="1" customHeight="1" x14ac:dyDescent="0.3">
      <c r="A500" s="13" t="s">
        <v>630</v>
      </c>
      <c r="B500" s="13"/>
      <c r="C500" s="13">
        <v>10880030491</v>
      </c>
      <c r="D500" s="14">
        <v>990000104361</v>
      </c>
      <c r="E500" s="13" t="s">
        <v>614</v>
      </c>
      <c r="F500" s="13">
        <v>1455</v>
      </c>
      <c r="G500" s="15">
        <v>45611</v>
      </c>
      <c r="H500" s="15">
        <v>45611</v>
      </c>
      <c r="I500" s="13" t="s">
        <v>886</v>
      </c>
      <c r="J500" s="13" t="s">
        <v>379</v>
      </c>
      <c r="K500" s="18"/>
      <c r="L500" s="4"/>
    </row>
    <row r="501" spans="1:12" s="2" customFormat="1" ht="15" hidden="1" customHeight="1" x14ac:dyDescent="0.3">
      <c r="A501" s="13" t="s">
        <v>630</v>
      </c>
      <c r="B501" s="13"/>
      <c r="C501" s="13">
        <v>10880029078</v>
      </c>
      <c r="D501" s="14">
        <v>990000104362</v>
      </c>
      <c r="E501" s="13" t="s">
        <v>887</v>
      </c>
      <c r="F501" s="13">
        <v>100</v>
      </c>
      <c r="G501" s="15">
        <v>45611</v>
      </c>
      <c r="H501" s="15">
        <v>45611</v>
      </c>
      <c r="I501" s="13" t="s">
        <v>888</v>
      </c>
      <c r="J501" s="13" t="s">
        <v>379</v>
      </c>
      <c r="K501" s="18"/>
      <c r="L501" s="4"/>
    </row>
    <row r="502" spans="1:12" s="2" customFormat="1" ht="15" hidden="1" customHeight="1" x14ac:dyDescent="0.3">
      <c r="A502" s="13" t="s">
        <v>630</v>
      </c>
      <c r="B502" s="13"/>
      <c r="C502" s="13">
        <v>10880033325</v>
      </c>
      <c r="D502" s="14">
        <v>990000104328</v>
      </c>
      <c r="E502" s="13" t="s">
        <v>252</v>
      </c>
      <c r="F502" s="13">
        <v>541</v>
      </c>
      <c r="G502" s="15">
        <v>45611</v>
      </c>
      <c r="H502" s="15">
        <v>45611</v>
      </c>
      <c r="I502" s="13" t="s">
        <v>889</v>
      </c>
      <c r="J502" s="13" t="s">
        <v>379</v>
      </c>
      <c r="K502" s="18"/>
      <c r="L502" s="4"/>
    </row>
    <row r="503" spans="1:12" s="2" customFormat="1" ht="15" hidden="1" customHeight="1" x14ac:dyDescent="0.3">
      <c r="A503" s="13" t="s">
        <v>630</v>
      </c>
      <c r="B503" s="13"/>
      <c r="C503" s="13">
        <v>10880033855</v>
      </c>
      <c r="D503" s="14">
        <v>990000104462</v>
      </c>
      <c r="E503" s="13" t="s">
        <v>890</v>
      </c>
      <c r="F503" s="13">
        <v>5000</v>
      </c>
      <c r="G503" s="15">
        <v>45615</v>
      </c>
      <c r="H503" s="15">
        <v>45626</v>
      </c>
      <c r="I503" s="13" t="s">
        <v>891</v>
      </c>
      <c r="J503" s="13" t="s">
        <v>379</v>
      </c>
      <c r="K503" s="18"/>
      <c r="L503" s="4"/>
    </row>
    <row r="504" spans="1:12" s="2" customFormat="1" ht="15" hidden="1" customHeight="1" x14ac:dyDescent="0.3">
      <c r="A504" s="13" t="s">
        <v>630</v>
      </c>
      <c r="B504" s="13"/>
      <c r="C504" s="13">
        <v>10880028881</v>
      </c>
      <c r="D504" s="14">
        <v>990000104536</v>
      </c>
      <c r="E504" s="13" t="s">
        <v>334</v>
      </c>
      <c r="F504" s="13">
        <v>705</v>
      </c>
      <c r="G504" s="15">
        <v>45617</v>
      </c>
      <c r="H504" s="15">
        <v>45617</v>
      </c>
      <c r="I504" s="13" t="s">
        <v>892</v>
      </c>
      <c r="J504" s="13" t="s">
        <v>379</v>
      </c>
      <c r="K504" s="18"/>
      <c r="L504" s="4"/>
    </row>
    <row r="505" spans="1:12" s="2" customFormat="1" ht="15" hidden="1" customHeight="1" x14ac:dyDescent="0.3">
      <c r="A505" s="13" t="s">
        <v>630</v>
      </c>
      <c r="B505" s="13"/>
      <c r="C505" s="13">
        <v>10880030244</v>
      </c>
      <c r="D505" s="14">
        <v>990000104537</v>
      </c>
      <c r="E505" s="13" t="s">
        <v>833</v>
      </c>
      <c r="F505" s="13">
        <v>419</v>
      </c>
      <c r="G505" s="15">
        <v>45617</v>
      </c>
      <c r="H505" s="15">
        <v>45621</v>
      </c>
      <c r="I505" s="13" t="s">
        <v>893</v>
      </c>
      <c r="J505" s="13" t="s">
        <v>379</v>
      </c>
      <c r="K505" s="18"/>
      <c r="L505" s="4"/>
    </row>
    <row r="506" spans="1:12" s="2" customFormat="1" ht="15" hidden="1" customHeight="1" x14ac:dyDescent="0.3">
      <c r="A506" s="13" t="s">
        <v>630</v>
      </c>
      <c r="B506" s="13"/>
      <c r="C506" s="13">
        <v>10880033916</v>
      </c>
      <c r="D506" s="14">
        <v>990000104538</v>
      </c>
      <c r="E506" s="13" t="s">
        <v>258</v>
      </c>
      <c r="F506" s="13">
        <v>8</v>
      </c>
      <c r="G506" s="15">
        <v>45617</v>
      </c>
      <c r="H506" s="15">
        <v>45624</v>
      </c>
      <c r="I506" s="13" t="s">
        <v>894</v>
      </c>
      <c r="J506" s="13" t="s">
        <v>379</v>
      </c>
      <c r="K506" s="18"/>
      <c r="L506" s="4"/>
    </row>
    <row r="507" spans="1:12" s="2" customFormat="1" ht="15" hidden="1" customHeight="1" x14ac:dyDescent="0.3">
      <c r="A507" s="13" t="s">
        <v>630</v>
      </c>
      <c r="B507" s="13"/>
      <c r="C507" s="13">
        <v>10880027924</v>
      </c>
      <c r="D507" s="14">
        <v>990000104539</v>
      </c>
      <c r="E507" s="13" t="s">
        <v>895</v>
      </c>
      <c r="F507" s="13">
        <v>1651</v>
      </c>
      <c r="G507" s="15">
        <v>45617</v>
      </c>
      <c r="H507" s="15">
        <v>45631</v>
      </c>
      <c r="I507" s="13" t="s">
        <v>896</v>
      </c>
      <c r="J507" s="13" t="s">
        <v>379</v>
      </c>
      <c r="K507" s="18"/>
      <c r="L507" s="4"/>
    </row>
    <row r="508" spans="1:12" s="2" customFormat="1" ht="15" hidden="1" customHeight="1" x14ac:dyDescent="0.3">
      <c r="A508" s="13" t="s">
        <v>630</v>
      </c>
      <c r="B508" s="13"/>
      <c r="C508" s="13">
        <v>10880022470</v>
      </c>
      <c r="D508" s="14">
        <v>990000104541</v>
      </c>
      <c r="E508" s="13" t="s">
        <v>897</v>
      </c>
      <c r="F508" s="13">
        <v>163</v>
      </c>
      <c r="G508" s="15">
        <v>45617</v>
      </c>
      <c r="H508" s="15">
        <v>45638</v>
      </c>
      <c r="I508" s="13" t="s">
        <v>898</v>
      </c>
      <c r="J508" s="13" t="s">
        <v>379</v>
      </c>
      <c r="K508" s="18"/>
      <c r="L508" s="4"/>
    </row>
    <row r="509" spans="1:12" s="2" customFormat="1" ht="15" hidden="1" customHeight="1" x14ac:dyDescent="0.3">
      <c r="A509" s="13" t="s">
        <v>448</v>
      </c>
      <c r="B509" s="13"/>
      <c r="C509" s="13">
        <v>10880030491</v>
      </c>
      <c r="D509" s="14">
        <v>990000104553</v>
      </c>
      <c r="E509" s="13" t="s">
        <v>614</v>
      </c>
      <c r="F509" s="13">
        <v>1272</v>
      </c>
      <c r="G509" s="15">
        <v>45618</v>
      </c>
      <c r="H509" s="15">
        <v>45619</v>
      </c>
      <c r="I509" s="13" t="s">
        <v>899</v>
      </c>
      <c r="J509" s="13" t="s">
        <v>379</v>
      </c>
      <c r="K509" s="18"/>
      <c r="L509" s="4"/>
    </row>
    <row r="510" spans="1:12" s="2" customFormat="1" ht="15" hidden="1" customHeight="1" x14ac:dyDescent="0.3">
      <c r="A510" s="13" t="s">
        <v>630</v>
      </c>
      <c r="B510" s="13"/>
      <c r="C510" s="13">
        <v>10880022470</v>
      </c>
      <c r="D510" s="14">
        <v>990000104547</v>
      </c>
      <c r="E510" s="13" t="s">
        <v>897</v>
      </c>
      <c r="F510" s="13">
        <v>533</v>
      </c>
      <c r="G510" s="15">
        <v>45618</v>
      </c>
      <c r="H510" s="15">
        <v>45621</v>
      </c>
      <c r="I510" s="13" t="s">
        <v>900</v>
      </c>
      <c r="J510" s="13" t="s">
        <v>379</v>
      </c>
      <c r="K510" s="18"/>
      <c r="L510" s="4"/>
    </row>
    <row r="511" spans="1:12" s="2" customFormat="1" ht="15" hidden="1" customHeight="1" x14ac:dyDescent="0.3">
      <c r="A511" s="13" t="s">
        <v>630</v>
      </c>
      <c r="B511" s="13"/>
      <c r="C511" s="13">
        <v>10880033723</v>
      </c>
      <c r="D511" s="14">
        <v>990000104546</v>
      </c>
      <c r="E511" s="13" t="s">
        <v>901</v>
      </c>
      <c r="F511" s="13">
        <v>6</v>
      </c>
      <c r="G511" s="15">
        <v>45618</v>
      </c>
      <c r="H511" s="15">
        <v>45621</v>
      </c>
      <c r="I511" s="13" t="s">
        <v>902</v>
      </c>
      <c r="J511" s="13" t="s">
        <v>379</v>
      </c>
      <c r="K511" s="18"/>
      <c r="L511" s="4"/>
    </row>
    <row r="512" spans="1:12" s="2" customFormat="1" ht="15" hidden="1" customHeight="1" x14ac:dyDescent="0.3">
      <c r="A512" s="13" t="s">
        <v>630</v>
      </c>
      <c r="B512" s="13"/>
      <c r="C512" s="13">
        <v>10880021318</v>
      </c>
      <c r="D512" s="14">
        <v>990000104552</v>
      </c>
      <c r="E512" s="13" t="s">
        <v>484</v>
      </c>
      <c r="F512" s="13">
        <v>112</v>
      </c>
      <c r="G512" s="15">
        <v>45618</v>
      </c>
      <c r="H512" s="15">
        <v>45622</v>
      </c>
      <c r="I512" s="13" t="s">
        <v>903</v>
      </c>
      <c r="J512" s="13" t="s">
        <v>379</v>
      </c>
      <c r="K512" s="18"/>
      <c r="L512" s="4"/>
    </row>
    <row r="513" spans="1:12" s="2" customFormat="1" ht="15" hidden="1" customHeight="1" x14ac:dyDescent="0.3">
      <c r="A513" s="13" t="s">
        <v>630</v>
      </c>
      <c r="B513" s="13"/>
      <c r="C513" s="13">
        <v>10880033296</v>
      </c>
      <c r="D513" s="14">
        <v>990000104603</v>
      </c>
      <c r="E513" s="13" t="s">
        <v>904</v>
      </c>
      <c r="F513" s="13">
        <v>300</v>
      </c>
      <c r="G513" s="15">
        <v>45621</v>
      </c>
      <c r="H513" s="15">
        <v>45621</v>
      </c>
      <c r="I513" s="13" t="s">
        <v>580</v>
      </c>
      <c r="J513" s="13" t="s">
        <v>379</v>
      </c>
      <c r="K513" s="18"/>
      <c r="L513" s="4"/>
    </row>
    <row r="514" spans="1:12" s="2" customFormat="1" ht="15" hidden="1" customHeight="1" x14ac:dyDescent="0.3">
      <c r="A514" s="13" t="s">
        <v>630</v>
      </c>
      <c r="B514" s="13"/>
      <c r="C514" s="13">
        <v>10880033297</v>
      </c>
      <c r="D514" s="14">
        <v>990000104604</v>
      </c>
      <c r="E514" s="13" t="s">
        <v>905</v>
      </c>
      <c r="F514" s="13">
        <v>300</v>
      </c>
      <c r="G514" s="15">
        <v>45621</v>
      </c>
      <c r="H514" s="15">
        <v>45621</v>
      </c>
      <c r="I514" s="13" t="s">
        <v>580</v>
      </c>
      <c r="J514" s="13" t="s">
        <v>379</v>
      </c>
      <c r="K514" s="18"/>
      <c r="L514" s="4"/>
    </row>
    <row r="515" spans="1:12" s="2" customFormat="1" ht="15" hidden="1" customHeight="1" x14ac:dyDescent="0.3">
      <c r="A515" s="13" t="s">
        <v>630</v>
      </c>
      <c r="B515" s="13"/>
      <c r="C515" s="13">
        <v>10880020556</v>
      </c>
      <c r="D515" s="14">
        <v>990000104608</v>
      </c>
      <c r="E515" s="13" t="s">
        <v>184</v>
      </c>
      <c r="F515" s="13">
        <v>588</v>
      </c>
      <c r="G515" s="15">
        <v>45622</v>
      </c>
      <c r="H515" s="15">
        <v>45622</v>
      </c>
      <c r="I515" s="13" t="s">
        <v>906</v>
      </c>
      <c r="J515" s="13" t="s">
        <v>379</v>
      </c>
      <c r="K515" s="18"/>
      <c r="L515" s="4"/>
    </row>
    <row r="516" spans="1:12" s="2" customFormat="1" ht="15" hidden="1" customHeight="1" x14ac:dyDescent="0.3">
      <c r="A516" s="13" t="s">
        <v>630</v>
      </c>
      <c r="B516" s="13"/>
      <c r="C516" s="13">
        <v>10880029054</v>
      </c>
      <c r="D516" s="14">
        <v>990000104609</v>
      </c>
      <c r="E516" s="13" t="s">
        <v>179</v>
      </c>
      <c r="F516" s="13">
        <v>2173</v>
      </c>
      <c r="G516" s="15">
        <v>45622</v>
      </c>
      <c r="H516" s="15">
        <v>45622</v>
      </c>
      <c r="I516" s="13" t="s">
        <v>907</v>
      </c>
      <c r="J516" s="13" t="s">
        <v>379</v>
      </c>
      <c r="K516" s="18"/>
      <c r="L516" s="4"/>
    </row>
    <row r="517" spans="1:12" s="2" customFormat="1" ht="15" hidden="1" customHeight="1" x14ac:dyDescent="0.3">
      <c r="A517" s="13" t="s">
        <v>630</v>
      </c>
      <c r="B517" s="13"/>
      <c r="C517" s="13">
        <v>10880029055</v>
      </c>
      <c r="D517" s="14">
        <v>990000104610</v>
      </c>
      <c r="E517" s="13" t="s">
        <v>198</v>
      </c>
      <c r="F517" s="13">
        <v>1591</v>
      </c>
      <c r="G517" s="15">
        <v>45622</v>
      </c>
      <c r="H517" s="15">
        <v>45622</v>
      </c>
      <c r="I517" s="13" t="s">
        <v>908</v>
      </c>
      <c r="J517" s="13" t="s">
        <v>379</v>
      </c>
      <c r="K517" s="18"/>
      <c r="L517" s="4"/>
    </row>
    <row r="518" spans="1:12" s="2" customFormat="1" ht="15" hidden="1" customHeight="1" x14ac:dyDescent="0.3">
      <c r="A518" s="13" t="s">
        <v>630</v>
      </c>
      <c r="B518" s="13"/>
      <c r="C518" s="13">
        <v>10880022471</v>
      </c>
      <c r="D518" s="14">
        <v>990000104680</v>
      </c>
      <c r="E518" s="13" t="s">
        <v>909</v>
      </c>
      <c r="F518" s="13">
        <v>1666</v>
      </c>
      <c r="G518" s="15">
        <v>45623</v>
      </c>
      <c r="H518" s="15">
        <v>45627</v>
      </c>
      <c r="I518" s="13" t="s">
        <v>910</v>
      </c>
      <c r="J518" s="13" t="s">
        <v>379</v>
      </c>
      <c r="K518" s="18"/>
      <c r="L518" s="4"/>
    </row>
    <row r="519" spans="1:12" s="2" customFormat="1" ht="15" hidden="1" customHeight="1" x14ac:dyDescent="0.3">
      <c r="A519" s="13" t="s">
        <v>630</v>
      </c>
      <c r="B519" s="13"/>
      <c r="C519" s="13">
        <v>10880022044</v>
      </c>
      <c r="D519" s="14">
        <v>990000104681</v>
      </c>
      <c r="E519" s="13" t="s">
        <v>417</v>
      </c>
      <c r="F519" s="13">
        <v>656</v>
      </c>
      <c r="G519" s="15">
        <v>45623</v>
      </c>
      <c r="H519" s="15">
        <v>45639</v>
      </c>
      <c r="I519" s="13" t="s">
        <v>911</v>
      </c>
      <c r="J519" s="13" t="s">
        <v>379</v>
      </c>
      <c r="K519" s="18"/>
      <c r="L519" s="4"/>
    </row>
    <row r="520" spans="1:12" s="2" customFormat="1" ht="15" hidden="1" customHeight="1" x14ac:dyDescent="0.3">
      <c r="A520" s="13" t="s">
        <v>630</v>
      </c>
      <c r="B520" s="13"/>
      <c r="C520" s="13">
        <v>10880028393</v>
      </c>
      <c r="D520" s="14">
        <v>990000104743</v>
      </c>
      <c r="E520" s="13" t="s">
        <v>586</v>
      </c>
      <c r="F520" s="13">
        <v>263</v>
      </c>
      <c r="G520" s="15">
        <v>45624</v>
      </c>
      <c r="H520" s="15">
        <v>45624</v>
      </c>
      <c r="I520" s="13" t="s">
        <v>580</v>
      </c>
      <c r="J520" s="13" t="s">
        <v>379</v>
      </c>
      <c r="K520" s="18"/>
      <c r="L520" s="4"/>
    </row>
    <row r="521" spans="1:12" s="2" customFormat="1" ht="15" hidden="1" customHeight="1" x14ac:dyDescent="0.3">
      <c r="A521" s="13" t="s">
        <v>630</v>
      </c>
      <c r="B521" s="13"/>
      <c r="C521" s="13">
        <v>10880031362</v>
      </c>
      <c r="D521" s="14">
        <v>990000104746</v>
      </c>
      <c r="E521" s="13" t="s">
        <v>912</v>
      </c>
      <c r="F521" s="13">
        <v>5</v>
      </c>
      <c r="G521" s="15">
        <v>45624</v>
      </c>
      <c r="H521" s="15">
        <v>45624</v>
      </c>
      <c r="I521" s="13" t="s">
        <v>913</v>
      </c>
      <c r="J521" s="13" t="s">
        <v>379</v>
      </c>
      <c r="K521" s="18"/>
      <c r="L521" s="4"/>
    </row>
    <row r="522" spans="1:12" s="2" customFormat="1" ht="15" hidden="1" customHeight="1" x14ac:dyDescent="0.3">
      <c r="A522" s="13" t="s">
        <v>630</v>
      </c>
      <c r="B522" s="13"/>
      <c r="C522" s="13">
        <v>10880030491</v>
      </c>
      <c r="D522" s="14">
        <v>990000104742</v>
      </c>
      <c r="E522" s="13" t="s">
        <v>614</v>
      </c>
      <c r="F522" s="13">
        <v>2964</v>
      </c>
      <c r="G522" s="15">
        <v>45624</v>
      </c>
      <c r="H522" s="15">
        <v>45624</v>
      </c>
      <c r="I522" s="13" t="s">
        <v>914</v>
      </c>
      <c r="J522" s="13" t="s">
        <v>379</v>
      </c>
      <c r="K522" s="18"/>
      <c r="L522" s="4"/>
    </row>
    <row r="523" spans="1:12" s="2" customFormat="1" ht="15" hidden="1" customHeight="1" x14ac:dyDescent="0.3">
      <c r="A523" s="13" t="s">
        <v>630</v>
      </c>
      <c r="B523" s="13"/>
      <c r="C523" s="13">
        <v>10880028307</v>
      </c>
      <c r="D523" s="14">
        <v>990000104751</v>
      </c>
      <c r="E523" s="13" t="s">
        <v>186</v>
      </c>
      <c r="F523" s="13">
        <v>893</v>
      </c>
      <c r="G523" s="15">
        <v>45624</v>
      </c>
      <c r="H523" s="15">
        <v>45650</v>
      </c>
      <c r="I523" s="13" t="s">
        <v>915</v>
      </c>
      <c r="J523" s="13" t="s">
        <v>379</v>
      </c>
      <c r="K523" s="18"/>
      <c r="L523" s="4"/>
    </row>
    <row r="524" spans="1:12" s="2" customFormat="1" ht="15" hidden="1" customHeight="1" x14ac:dyDescent="0.3">
      <c r="A524" s="13" t="s">
        <v>630</v>
      </c>
      <c r="B524" s="13"/>
      <c r="C524" s="13">
        <v>10880018093</v>
      </c>
      <c r="D524" s="14">
        <v>990000104749</v>
      </c>
      <c r="E524" s="13" t="s">
        <v>162</v>
      </c>
      <c r="F524" s="13">
        <v>1104</v>
      </c>
      <c r="G524" s="15">
        <v>45624</v>
      </c>
      <c r="H524" s="15">
        <v>45669</v>
      </c>
      <c r="I524" s="13" t="s">
        <v>916</v>
      </c>
      <c r="J524" s="13" t="s">
        <v>379</v>
      </c>
      <c r="K524" s="18"/>
      <c r="L524" s="4"/>
    </row>
    <row r="525" spans="1:12" s="2" customFormat="1" ht="15" hidden="1" customHeight="1" x14ac:dyDescent="0.3">
      <c r="A525" s="13" t="s">
        <v>630</v>
      </c>
      <c r="B525" s="13"/>
      <c r="C525" s="13">
        <v>10880017536</v>
      </c>
      <c r="D525" s="14">
        <v>990000104750</v>
      </c>
      <c r="E525" s="13" t="s">
        <v>171</v>
      </c>
      <c r="F525" s="13">
        <v>120</v>
      </c>
      <c r="G525" s="15">
        <v>45624</v>
      </c>
      <c r="H525" s="15">
        <v>45674</v>
      </c>
      <c r="I525" s="13" t="s">
        <v>917</v>
      </c>
      <c r="J525" s="13" t="s">
        <v>379</v>
      </c>
      <c r="K525" s="18"/>
      <c r="L525" s="4"/>
    </row>
    <row r="526" spans="1:12" s="2" customFormat="1" ht="15" hidden="1" customHeight="1" x14ac:dyDescent="0.3">
      <c r="A526" s="13" t="s">
        <v>630</v>
      </c>
      <c r="B526" s="13"/>
      <c r="C526" s="13">
        <v>10880028306</v>
      </c>
      <c r="D526" s="14">
        <v>990000104748</v>
      </c>
      <c r="E526" s="13" t="s">
        <v>185</v>
      </c>
      <c r="F526" s="13">
        <v>3776</v>
      </c>
      <c r="G526" s="15">
        <v>45624</v>
      </c>
      <c r="H526" s="15">
        <v>45711</v>
      </c>
      <c r="I526" s="13" t="s">
        <v>918</v>
      </c>
      <c r="J526" s="13" t="s">
        <v>423</v>
      </c>
      <c r="K526" s="18"/>
      <c r="L526" s="4"/>
    </row>
    <row r="527" spans="1:12" s="2" customFormat="1" ht="15" hidden="1" customHeight="1" x14ac:dyDescent="0.3">
      <c r="A527" s="13" t="s">
        <v>630</v>
      </c>
      <c r="B527" s="13"/>
      <c r="C527" s="13">
        <v>10880033297</v>
      </c>
      <c r="D527" s="14">
        <v>990000104845</v>
      </c>
      <c r="E527" s="13" t="s">
        <v>905</v>
      </c>
      <c r="F527" s="13">
        <v>89</v>
      </c>
      <c r="G527" s="15">
        <v>45625</v>
      </c>
      <c r="H527" s="15">
        <v>45629</v>
      </c>
      <c r="I527" s="13" t="s">
        <v>919</v>
      </c>
      <c r="J527" s="13" t="s">
        <v>379</v>
      </c>
      <c r="K527" s="18"/>
      <c r="L527" s="4"/>
    </row>
    <row r="528" spans="1:12" s="2" customFormat="1" ht="15" hidden="1" customHeight="1" x14ac:dyDescent="0.3">
      <c r="A528" s="13" t="s">
        <v>630</v>
      </c>
      <c r="B528" s="13"/>
      <c r="C528" s="13">
        <v>10880033297</v>
      </c>
      <c r="D528" s="14">
        <v>990000104847</v>
      </c>
      <c r="E528" s="13" t="s">
        <v>905</v>
      </c>
      <c r="F528" s="13">
        <v>263</v>
      </c>
      <c r="G528" s="15">
        <v>45625</v>
      </c>
      <c r="H528" s="15">
        <v>45629</v>
      </c>
      <c r="I528" s="13" t="s">
        <v>920</v>
      </c>
      <c r="J528" s="13" t="s">
        <v>379</v>
      </c>
      <c r="K528" s="18"/>
      <c r="L528" s="4"/>
    </row>
    <row r="529" spans="1:12" s="2" customFormat="1" ht="15" hidden="1" customHeight="1" x14ac:dyDescent="0.3">
      <c r="A529" s="13" t="s">
        <v>630</v>
      </c>
      <c r="B529" s="13"/>
      <c r="C529" s="13">
        <v>10880033296</v>
      </c>
      <c r="D529" s="14">
        <v>990000104848</v>
      </c>
      <c r="E529" s="13" t="s">
        <v>904</v>
      </c>
      <c r="F529" s="13">
        <v>350</v>
      </c>
      <c r="G529" s="15">
        <v>45625</v>
      </c>
      <c r="H529" s="15">
        <v>45635</v>
      </c>
      <c r="I529" s="13" t="s">
        <v>921</v>
      </c>
      <c r="J529" s="13" t="s">
        <v>379</v>
      </c>
      <c r="K529" s="18"/>
      <c r="L529" s="4"/>
    </row>
    <row r="530" spans="1:12" s="2" customFormat="1" ht="15" hidden="1" customHeight="1" x14ac:dyDescent="0.3">
      <c r="A530" s="13" t="s">
        <v>630</v>
      </c>
      <c r="B530" s="13"/>
      <c r="C530" s="13">
        <v>10880033965</v>
      </c>
      <c r="D530" s="14">
        <v>990000104853</v>
      </c>
      <c r="E530" s="13" t="s">
        <v>922</v>
      </c>
      <c r="F530" s="13">
        <v>6</v>
      </c>
      <c r="G530" s="15">
        <v>45627</v>
      </c>
      <c r="H530" s="15" t="s">
        <v>487</v>
      </c>
      <c r="I530" s="13" t="s">
        <v>923</v>
      </c>
      <c r="J530" s="13" t="s">
        <v>489</v>
      </c>
      <c r="K530" s="18"/>
      <c r="L530" s="4"/>
    </row>
    <row r="531" spans="1:12" s="2" customFormat="1" ht="15" hidden="1" customHeight="1" x14ac:dyDescent="0.3">
      <c r="A531" s="13" t="s">
        <v>630</v>
      </c>
      <c r="B531" s="13"/>
      <c r="C531" s="13">
        <v>10880030334</v>
      </c>
      <c r="D531" s="14">
        <v>990000104866</v>
      </c>
      <c r="E531" s="13" t="s">
        <v>69</v>
      </c>
      <c r="F531" s="13">
        <v>1193</v>
      </c>
      <c r="G531" s="15">
        <v>45628</v>
      </c>
      <c r="H531" s="15">
        <v>45631</v>
      </c>
      <c r="I531" s="13" t="s">
        <v>924</v>
      </c>
      <c r="J531" s="13" t="s">
        <v>379</v>
      </c>
      <c r="K531" s="18"/>
      <c r="L531" s="4"/>
    </row>
    <row r="532" spans="1:12" s="2" customFormat="1" ht="15" hidden="1" customHeight="1" x14ac:dyDescent="0.3">
      <c r="A532" s="13" t="s">
        <v>630</v>
      </c>
      <c r="B532" s="13"/>
      <c r="C532" s="13">
        <v>10880033785</v>
      </c>
      <c r="D532" s="14">
        <v>990000104850</v>
      </c>
      <c r="E532" s="13" t="s">
        <v>243</v>
      </c>
      <c r="F532" s="13">
        <v>90</v>
      </c>
      <c r="G532" s="15">
        <v>45628</v>
      </c>
      <c r="H532" s="15">
        <v>45630</v>
      </c>
      <c r="I532" s="13" t="s">
        <v>925</v>
      </c>
      <c r="J532" s="13" t="s">
        <v>379</v>
      </c>
      <c r="K532" s="18"/>
      <c r="L532" s="4"/>
    </row>
    <row r="533" spans="1:12" s="2" customFormat="1" ht="15" hidden="1" customHeight="1" x14ac:dyDescent="0.3">
      <c r="A533" s="13" t="s">
        <v>630</v>
      </c>
      <c r="B533" s="13"/>
      <c r="C533" s="13">
        <v>10880018848</v>
      </c>
      <c r="D533" s="14">
        <v>990000104855</v>
      </c>
      <c r="E533" s="13" t="s">
        <v>926</v>
      </c>
      <c r="F533" s="13">
        <v>226</v>
      </c>
      <c r="G533" s="15">
        <v>45629</v>
      </c>
      <c r="H533" s="15">
        <v>45630</v>
      </c>
      <c r="I533" s="13" t="s">
        <v>927</v>
      </c>
      <c r="J533" s="13" t="s">
        <v>379</v>
      </c>
      <c r="K533" s="18"/>
      <c r="L533" s="4"/>
    </row>
    <row r="534" spans="1:12" s="2" customFormat="1" ht="15" hidden="1" customHeight="1" x14ac:dyDescent="0.3">
      <c r="A534" s="13" t="s">
        <v>630</v>
      </c>
      <c r="B534" s="13"/>
      <c r="C534" s="13">
        <v>10880032506</v>
      </c>
      <c r="D534" s="14">
        <v>990000104872</v>
      </c>
      <c r="E534" s="13" t="s">
        <v>928</v>
      </c>
      <c r="F534" s="13">
        <v>6090</v>
      </c>
      <c r="G534" s="15">
        <v>45629</v>
      </c>
      <c r="H534" s="15">
        <v>45632</v>
      </c>
      <c r="I534" s="13" t="s">
        <v>929</v>
      </c>
      <c r="J534" s="13" t="s">
        <v>379</v>
      </c>
      <c r="K534" s="18"/>
      <c r="L534" s="4"/>
    </row>
    <row r="535" spans="1:12" s="2" customFormat="1" ht="15" hidden="1" customHeight="1" x14ac:dyDescent="0.3">
      <c r="A535" s="13" t="s">
        <v>630</v>
      </c>
      <c r="B535" s="13"/>
      <c r="C535" s="13">
        <v>10880030178</v>
      </c>
      <c r="D535" s="14">
        <v>990000104942</v>
      </c>
      <c r="E535" s="13" t="s">
        <v>930</v>
      </c>
      <c r="F535" s="13">
        <v>100</v>
      </c>
      <c r="G535" s="15">
        <v>45630</v>
      </c>
      <c r="H535" s="15">
        <v>45631</v>
      </c>
      <c r="I535" s="13" t="s">
        <v>931</v>
      </c>
      <c r="J535" s="13" t="s">
        <v>389</v>
      </c>
      <c r="K535" s="18"/>
      <c r="L535" s="4"/>
    </row>
    <row r="536" spans="1:12" s="2" customFormat="1" ht="15" hidden="1" customHeight="1" x14ac:dyDescent="0.3">
      <c r="A536" s="13" t="s">
        <v>630</v>
      </c>
      <c r="B536" s="13"/>
      <c r="C536" s="13">
        <v>10880030179</v>
      </c>
      <c r="D536" s="14">
        <v>990000104962</v>
      </c>
      <c r="E536" s="13" t="s">
        <v>932</v>
      </c>
      <c r="F536" s="13">
        <v>43</v>
      </c>
      <c r="G536" s="15">
        <v>45630</v>
      </c>
      <c r="H536" s="15">
        <v>45631</v>
      </c>
      <c r="I536" s="13" t="s">
        <v>933</v>
      </c>
      <c r="J536" s="13" t="s">
        <v>389</v>
      </c>
      <c r="K536" s="18"/>
      <c r="L536" s="4"/>
    </row>
    <row r="537" spans="1:12" s="2" customFormat="1" ht="15" hidden="1" customHeight="1" x14ac:dyDescent="0.3">
      <c r="A537" s="13" t="s">
        <v>630</v>
      </c>
      <c r="B537" s="13"/>
      <c r="C537" s="13">
        <v>10880021796</v>
      </c>
      <c r="D537" s="14">
        <v>990000104966</v>
      </c>
      <c r="E537" s="13" t="s">
        <v>773</v>
      </c>
      <c r="F537" s="13">
        <v>535</v>
      </c>
      <c r="G537" s="15">
        <v>45630</v>
      </c>
      <c r="H537" s="15">
        <v>45633</v>
      </c>
      <c r="I537" s="13" t="s">
        <v>934</v>
      </c>
      <c r="J537" s="13" t="s">
        <v>379</v>
      </c>
      <c r="K537" s="18"/>
      <c r="L537" s="4"/>
    </row>
    <row r="538" spans="1:12" s="2" customFormat="1" ht="15" hidden="1" customHeight="1" x14ac:dyDescent="0.3">
      <c r="A538" s="13" t="s">
        <v>630</v>
      </c>
      <c r="B538" s="13"/>
      <c r="C538" s="13">
        <v>10880028307</v>
      </c>
      <c r="D538" s="14">
        <v>990000104969</v>
      </c>
      <c r="E538" s="13" t="s">
        <v>186</v>
      </c>
      <c r="F538" s="13">
        <v>85</v>
      </c>
      <c r="G538" s="15">
        <v>45631</v>
      </c>
      <c r="H538" s="15">
        <v>45631</v>
      </c>
      <c r="I538" s="13" t="s">
        <v>935</v>
      </c>
      <c r="J538" s="13" t="s">
        <v>379</v>
      </c>
      <c r="K538" s="18"/>
      <c r="L538" s="4"/>
    </row>
    <row r="539" spans="1:12" s="2" customFormat="1" ht="15" hidden="1" customHeight="1" x14ac:dyDescent="0.3">
      <c r="A539" s="13" t="s">
        <v>630</v>
      </c>
      <c r="B539" s="13"/>
      <c r="C539" s="13">
        <v>10880028306</v>
      </c>
      <c r="D539" s="14">
        <v>990000104968</v>
      </c>
      <c r="E539" s="13" t="s">
        <v>185</v>
      </c>
      <c r="F539" s="13">
        <v>25</v>
      </c>
      <c r="G539" s="15">
        <v>45631</v>
      </c>
      <c r="H539" s="15">
        <v>45631</v>
      </c>
      <c r="I539" s="13" t="s">
        <v>936</v>
      </c>
      <c r="J539" s="13" t="s">
        <v>379</v>
      </c>
      <c r="K539" s="18"/>
      <c r="L539" s="4"/>
    </row>
    <row r="540" spans="1:12" s="2" customFormat="1" ht="15" hidden="1" customHeight="1" x14ac:dyDescent="0.3">
      <c r="A540" s="13" t="s">
        <v>630</v>
      </c>
      <c r="B540" s="13"/>
      <c r="C540" s="13">
        <v>10880028306</v>
      </c>
      <c r="D540" s="14">
        <v>990000104970</v>
      </c>
      <c r="E540" s="13" t="s">
        <v>185</v>
      </c>
      <c r="F540" s="13">
        <v>231</v>
      </c>
      <c r="G540" s="15">
        <v>45631</v>
      </c>
      <c r="H540" s="15">
        <v>45631</v>
      </c>
      <c r="I540" s="13" t="s">
        <v>937</v>
      </c>
      <c r="J540" s="13" t="s">
        <v>379</v>
      </c>
      <c r="K540" s="18"/>
      <c r="L540" s="4"/>
    </row>
    <row r="541" spans="1:12" s="2" customFormat="1" ht="15" hidden="1" customHeight="1" x14ac:dyDescent="0.3">
      <c r="A541" s="13" t="s">
        <v>630</v>
      </c>
      <c r="B541" s="13"/>
      <c r="C541" s="13">
        <v>10880028306</v>
      </c>
      <c r="D541" s="14">
        <v>990000104971</v>
      </c>
      <c r="E541" s="13" t="s">
        <v>185</v>
      </c>
      <c r="F541" s="13">
        <v>62</v>
      </c>
      <c r="G541" s="15">
        <v>45631</v>
      </c>
      <c r="H541" s="15">
        <v>45631</v>
      </c>
      <c r="I541" s="13" t="s">
        <v>938</v>
      </c>
      <c r="J541" s="13" t="s">
        <v>379</v>
      </c>
      <c r="K541" s="18"/>
      <c r="L541" s="4"/>
    </row>
    <row r="542" spans="1:12" s="2" customFormat="1" ht="15" hidden="1" customHeight="1" x14ac:dyDescent="0.3">
      <c r="A542" s="13" t="s">
        <v>630</v>
      </c>
      <c r="B542" s="13"/>
      <c r="C542" s="13">
        <v>10880030179</v>
      </c>
      <c r="D542" s="14">
        <v>990000104989</v>
      </c>
      <c r="E542" s="13" t="s">
        <v>932</v>
      </c>
      <c r="F542" s="13">
        <v>10</v>
      </c>
      <c r="G542" s="15">
        <v>45632</v>
      </c>
      <c r="H542" s="15">
        <v>45631</v>
      </c>
      <c r="I542" s="13" t="s">
        <v>939</v>
      </c>
      <c r="J542" s="13" t="s">
        <v>379</v>
      </c>
      <c r="K542" s="18"/>
      <c r="L542" s="4"/>
    </row>
    <row r="543" spans="1:12" s="2" customFormat="1" ht="15" hidden="1" customHeight="1" x14ac:dyDescent="0.3">
      <c r="A543" s="13" t="s">
        <v>630</v>
      </c>
      <c r="B543" s="13"/>
      <c r="C543" s="13">
        <v>10880028306</v>
      </c>
      <c r="D543" s="14">
        <v>990000104990</v>
      </c>
      <c r="E543" s="13" t="s">
        <v>185</v>
      </c>
      <c r="F543" s="13">
        <v>336</v>
      </c>
      <c r="G543" s="15">
        <v>45632</v>
      </c>
      <c r="H543" s="15">
        <v>45632</v>
      </c>
      <c r="I543" s="13" t="s">
        <v>940</v>
      </c>
      <c r="J543" s="13" t="s">
        <v>379</v>
      </c>
      <c r="K543" s="18"/>
      <c r="L543" s="4"/>
    </row>
    <row r="544" spans="1:12" s="2" customFormat="1" ht="15" hidden="1" customHeight="1" x14ac:dyDescent="0.3">
      <c r="A544" s="13" t="s">
        <v>630</v>
      </c>
      <c r="B544" s="13"/>
      <c r="C544" s="13">
        <v>10880017536</v>
      </c>
      <c r="D544" s="14">
        <v>990000104991</v>
      </c>
      <c r="E544" s="13" t="s">
        <v>171</v>
      </c>
      <c r="F544" s="13">
        <v>51</v>
      </c>
      <c r="G544" s="15">
        <v>45632</v>
      </c>
      <c r="H544" s="15">
        <v>45633</v>
      </c>
      <c r="I544" s="13" t="s">
        <v>941</v>
      </c>
      <c r="J544" s="13" t="s">
        <v>379</v>
      </c>
      <c r="K544" s="18"/>
      <c r="L544" s="4"/>
    </row>
    <row r="545" spans="1:12" s="2" customFormat="1" ht="15" hidden="1" customHeight="1" x14ac:dyDescent="0.3">
      <c r="A545" s="13" t="s">
        <v>630</v>
      </c>
      <c r="B545" s="13"/>
      <c r="C545" s="13">
        <v>10880021416</v>
      </c>
      <c r="D545" s="14">
        <v>990000104986</v>
      </c>
      <c r="E545" s="13" t="s">
        <v>174</v>
      </c>
      <c r="F545" s="13">
        <v>10</v>
      </c>
      <c r="G545" s="15">
        <v>45632</v>
      </c>
      <c r="H545" s="15">
        <v>45635</v>
      </c>
      <c r="I545" s="13" t="s">
        <v>942</v>
      </c>
      <c r="J545" s="13" t="s">
        <v>379</v>
      </c>
      <c r="K545" s="18"/>
      <c r="L545" s="4"/>
    </row>
    <row r="546" spans="1:12" s="2" customFormat="1" ht="15" hidden="1" customHeight="1" x14ac:dyDescent="0.3">
      <c r="A546" s="13" t="s">
        <v>630</v>
      </c>
      <c r="B546" s="13"/>
      <c r="C546" s="13">
        <v>10880028346</v>
      </c>
      <c r="D546" s="14">
        <v>990000104995</v>
      </c>
      <c r="E546" s="13" t="s">
        <v>943</v>
      </c>
      <c r="F546" s="13">
        <v>15</v>
      </c>
      <c r="G546" s="15">
        <v>45635</v>
      </c>
      <c r="H546" s="15">
        <v>45635</v>
      </c>
      <c r="I546" s="13" t="s">
        <v>944</v>
      </c>
      <c r="J546" s="13" t="s">
        <v>379</v>
      </c>
      <c r="K546" s="18"/>
      <c r="L546" s="4"/>
    </row>
    <row r="547" spans="1:12" s="2" customFormat="1" ht="15" hidden="1" customHeight="1" x14ac:dyDescent="0.3">
      <c r="A547" s="13" t="s">
        <v>630</v>
      </c>
      <c r="B547" s="13"/>
      <c r="C547" s="13">
        <v>10880033312</v>
      </c>
      <c r="D547" s="14">
        <v>990000104994</v>
      </c>
      <c r="E547" s="13" t="s">
        <v>945</v>
      </c>
      <c r="F547" s="13">
        <v>12</v>
      </c>
      <c r="G547" s="15">
        <v>45635</v>
      </c>
      <c r="H547" s="15">
        <v>45636</v>
      </c>
      <c r="I547" s="13" t="s">
        <v>946</v>
      </c>
      <c r="J547" s="13" t="s">
        <v>379</v>
      </c>
      <c r="K547" s="18"/>
      <c r="L547" s="4"/>
    </row>
    <row r="548" spans="1:12" s="2" customFormat="1" ht="15" hidden="1" customHeight="1" x14ac:dyDescent="0.3">
      <c r="A548" s="13" t="s">
        <v>630</v>
      </c>
      <c r="B548" s="13"/>
      <c r="C548" s="13">
        <v>10880031113</v>
      </c>
      <c r="D548" s="14">
        <v>990000104997</v>
      </c>
      <c r="E548" s="13" t="s">
        <v>779</v>
      </c>
      <c r="F548" s="13">
        <v>50</v>
      </c>
      <c r="G548" s="15">
        <v>45635</v>
      </c>
      <c r="H548" s="15">
        <v>45636</v>
      </c>
      <c r="I548" s="13" t="s">
        <v>947</v>
      </c>
      <c r="J548" s="13" t="s">
        <v>379</v>
      </c>
      <c r="K548" s="18"/>
      <c r="L548" s="4"/>
    </row>
    <row r="549" spans="1:12" s="2" customFormat="1" ht="15" hidden="1" customHeight="1" x14ac:dyDescent="0.3">
      <c r="A549" s="13" t="s">
        <v>630</v>
      </c>
      <c r="B549" s="13"/>
      <c r="C549" s="13">
        <v>10880019773</v>
      </c>
      <c r="D549" s="14">
        <v>990000105042</v>
      </c>
      <c r="E549" s="13" t="s">
        <v>573</v>
      </c>
      <c r="F549" s="13">
        <v>124</v>
      </c>
      <c r="G549" s="15">
        <v>45635</v>
      </c>
      <c r="H549" s="15">
        <v>45640</v>
      </c>
      <c r="I549" s="13" t="s">
        <v>948</v>
      </c>
      <c r="J549" s="13" t="s">
        <v>379</v>
      </c>
      <c r="K549" s="18"/>
      <c r="L549" s="4"/>
    </row>
    <row r="550" spans="1:12" s="2" customFormat="1" ht="15" hidden="1" customHeight="1" x14ac:dyDescent="0.3">
      <c r="A550" s="13" t="s">
        <v>630</v>
      </c>
      <c r="B550" s="13"/>
      <c r="C550" s="13">
        <v>10880022444</v>
      </c>
      <c r="D550" s="14">
        <v>990000105000</v>
      </c>
      <c r="E550" s="13" t="s">
        <v>516</v>
      </c>
      <c r="F550" s="13">
        <v>248</v>
      </c>
      <c r="G550" s="15">
        <v>45635</v>
      </c>
      <c r="H550" s="15">
        <v>45654</v>
      </c>
      <c r="I550" s="13" t="s">
        <v>949</v>
      </c>
      <c r="J550" s="13" t="s">
        <v>379</v>
      </c>
      <c r="K550" s="18"/>
      <c r="L550" s="4"/>
    </row>
    <row r="551" spans="1:12" s="2" customFormat="1" ht="15" hidden="1" customHeight="1" x14ac:dyDescent="0.3">
      <c r="A551" s="13" t="s">
        <v>630</v>
      </c>
      <c r="B551" s="13"/>
      <c r="C551" s="13">
        <v>10880022443</v>
      </c>
      <c r="D551" s="14">
        <v>990000104999</v>
      </c>
      <c r="E551" s="13" t="s">
        <v>567</v>
      </c>
      <c r="F551" s="13">
        <v>66</v>
      </c>
      <c r="G551" s="15">
        <v>45635</v>
      </c>
      <c r="H551" s="15" t="s">
        <v>487</v>
      </c>
      <c r="I551" s="13" t="s">
        <v>950</v>
      </c>
      <c r="J551" s="13" t="s">
        <v>489</v>
      </c>
      <c r="K551" s="18"/>
      <c r="L551" s="4"/>
    </row>
    <row r="552" spans="1:12" s="2" customFormat="1" ht="15" hidden="1" customHeight="1" x14ac:dyDescent="0.3">
      <c r="A552" s="13" t="s">
        <v>630</v>
      </c>
      <c r="B552" s="13"/>
      <c r="C552" s="13">
        <v>10880030843</v>
      </c>
      <c r="D552" s="14">
        <v>990000105136</v>
      </c>
      <c r="E552" s="13" t="s">
        <v>951</v>
      </c>
      <c r="F552" s="13">
        <v>3663</v>
      </c>
      <c r="G552" s="15">
        <v>45638</v>
      </c>
      <c r="H552" s="15">
        <v>45640</v>
      </c>
      <c r="I552" s="13" t="s">
        <v>952</v>
      </c>
      <c r="J552" s="13" t="s">
        <v>379</v>
      </c>
      <c r="K552" s="18"/>
      <c r="L552" s="4"/>
    </row>
    <row r="553" spans="1:12" s="2" customFormat="1" ht="15" hidden="1" customHeight="1" x14ac:dyDescent="0.3">
      <c r="A553" s="13" t="s">
        <v>630</v>
      </c>
      <c r="B553" s="13"/>
      <c r="C553" s="13">
        <v>10880029957</v>
      </c>
      <c r="D553" s="14">
        <v>990000105135</v>
      </c>
      <c r="E553" s="13" t="s">
        <v>89</v>
      </c>
      <c r="F553" s="13">
        <v>1207</v>
      </c>
      <c r="G553" s="15">
        <v>45638</v>
      </c>
      <c r="H553" s="15">
        <v>45650</v>
      </c>
      <c r="I553" s="13" t="s">
        <v>953</v>
      </c>
      <c r="J553" s="13" t="s">
        <v>379</v>
      </c>
      <c r="K553" s="18"/>
      <c r="L553" s="4"/>
    </row>
    <row r="554" spans="1:12" s="2" customFormat="1" ht="15" hidden="1" customHeight="1" x14ac:dyDescent="0.3">
      <c r="A554" s="13" t="s">
        <v>630</v>
      </c>
      <c r="B554" s="13"/>
      <c r="C554" s="13">
        <v>10880030784</v>
      </c>
      <c r="D554" s="14">
        <v>990000105137</v>
      </c>
      <c r="E554" s="13" t="s">
        <v>61</v>
      </c>
      <c r="F554" s="13">
        <v>115</v>
      </c>
      <c r="G554" s="15">
        <v>45638</v>
      </c>
      <c r="H554" s="15">
        <v>45651</v>
      </c>
      <c r="I554" s="13" t="s">
        <v>954</v>
      </c>
      <c r="J554" s="13" t="s">
        <v>379</v>
      </c>
      <c r="K554" s="18"/>
      <c r="L554" s="4"/>
    </row>
    <row r="555" spans="1:12" s="2" customFormat="1" ht="15" hidden="1" customHeight="1" x14ac:dyDescent="0.3">
      <c r="A555" s="13" t="s">
        <v>630</v>
      </c>
      <c r="B555" s="13"/>
      <c r="C555" s="13">
        <v>10880030976</v>
      </c>
      <c r="D555" s="14">
        <v>990000105193</v>
      </c>
      <c r="E555" s="13" t="s">
        <v>72</v>
      </c>
      <c r="F555" s="13">
        <v>2407</v>
      </c>
      <c r="G555" s="15">
        <v>45639</v>
      </c>
      <c r="H555" s="15">
        <v>45649</v>
      </c>
      <c r="I555" s="13" t="s">
        <v>955</v>
      </c>
      <c r="J555" s="13" t="s">
        <v>379</v>
      </c>
      <c r="K555" s="18"/>
      <c r="L555" s="4"/>
    </row>
    <row r="556" spans="1:12" s="2" customFormat="1" ht="15" hidden="1" customHeight="1" x14ac:dyDescent="0.3">
      <c r="A556" s="13" t="s">
        <v>630</v>
      </c>
      <c r="B556" s="13"/>
      <c r="C556" s="13">
        <v>10880018091</v>
      </c>
      <c r="D556" s="14">
        <v>990000105210</v>
      </c>
      <c r="E556" s="13" t="s">
        <v>510</v>
      </c>
      <c r="F556" s="13">
        <v>580</v>
      </c>
      <c r="G556" s="15">
        <v>45643</v>
      </c>
      <c r="H556" s="15">
        <v>45649</v>
      </c>
      <c r="I556" s="13" t="s">
        <v>956</v>
      </c>
      <c r="J556" s="13" t="s">
        <v>379</v>
      </c>
      <c r="K556" s="18"/>
      <c r="L556" s="4"/>
    </row>
    <row r="557" spans="1:12" s="2" customFormat="1" ht="15" hidden="1" customHeight="1" x14ac:dyDescent="0.3">
      <c r="A557" s="13" t="s">
        <v>630</v>
      </c>
      <c r="B557" s="13"/>
      <c r="C557" s="13">
        <v>10880019042</v>
      </c>
      <c r="D557" s="14">
        <v>990000105209</v>
      </c>
      <c r="E557" s="13" t="s">
        <v>740</v>
      </c>
      <c r="F557" s="13">
        <v>178</v>
      </c>
      <c r="G557" s="15">
        <v>45643</v>
      </c>
      <c r="H557" s="15">
        <v>45697</v>
      </c>
      <c r="I557" s="13" t="s">
        <v>957</v>
      </c>
      <c r="J557" s="13" t="s">
        <v>379</v>
      </c>
      <c r="K557" s="18"/>
      <c r="L557" s="4"/>
    </row>
    <row r="558" spans="1:12" s="2" customFormat="1" ht="15" hidden="1" customHeight="1" x14ac:dyDescent="0.3">
      <c r="A558" s="13" t="s">
        <v>630</v>
      </c>
      <c r="B558" s="13"/>
      <c r="C558" s="13">
        <v>10880033251</v>
      </c>
      <c r="D558" s="14">
        <v>990000105268</v>
      </c>
      <c r="E558" s="13" t="s">
        <v>958</v>
      </c>
      <c r="F558" s="13">
        <v>100</v>
      </c>
      <c r="G558" s="15">
        <v>45645</v>
      </c>
      <c r="H558" s="15">
        <v>45648</v>
      </c>
      <c r="I558" s="13" t="s">
        <v>959</v>
      </c>
      <c r="J558" s="13" t="s">
        <v>379</v>
      </c>
      <c r="K558" s="18"/>
      <c r="L558" s="4"/>
    </row>
    <row r="559" spans="1:12" s="2" customFormat="1" ht="15" hidden="1" customHeight="1" x14ac:dyDescent="0.3">
      <c r="A559" s="13" t="s">
        <v>630</v>
      </c>
      <c r="B559" s="13"/>
      <c r="C559" s="13">
        <v>10880033723</v>
      </c>
      <c r="D559" s="14">
        <v>990000105318</v>
      </c>
      <c r="E559" s="13" t="s">
        <v>901</v>
      </c>
      <c r="F559" s="13">
        <v>5</v>
      </c>
      <c r="G559" s="15">
        <v>45646</v>
      </c>
      <c r="H559" s="15">
        <v>45648</v>
      </c>
      <c r="I559" s="13" t="s">
        <v>960</v>
      </c>
      <c r="J559" s="13" t="s">
        <v>379</v>
      </c>
      <c r="K559" s="18"/>
      <c r="L559" s="4"/>
    </row>
    <row r="560" spans="1:12" s="2" customFormat="1" ht="15" hidden="1" customHeight="1" x14ac:dyDescent="0.3">
      <c r="A560" s="13" t="s">
        <v>630</v>
      </c>
      <c r="B560" s="13"/>
      <c r="C560" s="13">
        <v>10880032609</v>
      </c>
      <c r="D560" s="14">
        <v>990000105320</v>
      </c>
      <c r="E560" s="13" t="s">
        <v>697</v>
      </c>
      <c r="F560" s="13">
        <v>1109</v>
      </c>
      <c r="G560" s="15">
        <v>45646</v>
      </c>
      <c r="H560" s="15">
        <v>45651</v>
      </c>
      <c r="I560" s="13" t="s">
        <v>961</v>
      </c>
      <c r="J560" s="13" t="s">
        <v>379</v>
      </c>
      <c r="K560" s="18"/>
      <c r="L560" s="4"/>
    </row>
    <row r="561" spans="1:12" s="2" customFormat="1" ht="15" hidden="1" customHeight="1" x14ac:dyDescent="0.3">
      <c r="A561" s="13" t="s">
        <v>630</v>
      </c>
      <c r="B561" s="13"/>
      <c r="C561" s="13">
        <v>10880031113</v>
      </c>
      <c r="D561" s="14">
        <v>990000105445</v>
      </c>
      <c r="E561" s="13" t="s">
        <v>779</v>
      </c>
      <c r="F561" s="13">
        <v>2475</v>
      </c>
      <c r="G561" s="15">
        <v>45650</v>
      </c>
      <c r="H561" s="15">
        <v>45656</v>
      </c>
      <c r="I561" s="13" t="s">
        <v>962</v>
      </c>
      <c r="J561" s="13" t="s">
        <v>379</v>
      </c>
      <c r="K561" s="18"/>
      <c r="L561" s="4"/>
    </row>
    <row r="562" spans="1:12" s="2" customFormat="1" ht="15" hidden="1" customHeight="1" x14ac:dyDescent="0.3">
      <c r="A562" s="13" t="s">
        <v>630</v>
      </c>
      <c r="B562" s="13"/>
      <c r="C562" s="13">
        <v>10880022471</v>
      </c>
      <c r="D562" s="14">
        <v>990000105447</v>
      </c>
      <c r="E562" s="13" t="s">
        <v>909</v>
      </c>
      <c r="F562" s="13">
        <v>100</v>
      </c>
      <c r="G562" s="15">
        <v>45651</v>
      </c>
      <c r="H562" s="15">
        <v>45651</v>
      </c>
      <c r="I562" s="13" t="s">
        <v>963</v>
      </c>
      <c r="J562" s="13" t="s">
        <v>379</v>
      </c>
      <c r="K562" s="18"/>
      <c r="L562" s="4"/>
    </row>
    <row r="563" spans="1:12" s="2" customFormat="1" ht="15" hidden="1" customHeight="1" x14ac:dyDescent="0.3">
      <c r="A563" s="13" t="s">
        <v>630</v>
      </c>
      <c r="B563" s="13"/>
      <c r="C563" s="13">
        <v>10880033329</v>
      </c>
      <c r="D563" s="14">
        <v>990000105434</v>
      </c>
      <c r="E563" s="13" t="s">
        <v>71</v>
      </c>
      <c r="F563" s="13">
        <v>169</v>
      </c>
      <c r="G563" s="15">
        <v>45652</v>
      </c>
      <c r="H563" s="15">
        <v>45656</v>
      </c>
      <c r="I563" s="13" t="s">
        <v>964</v>
      </c>
      <c r="J563" s="13" t="s">
        <v>379</v>
      </c>
      <c r="K563" s="18"/>
      <c r="L563" s="4"/>
    </row>
    <row r="564" spans="1:12" s="2" customFormat="1" ht="15" hidden="1" customHeight="1" x14ac:dyDescent="0.3">
      <c r="A564" s="13" t="s">
        <v>630</v>
      </c>
      <c r="B564" s="13"/>
      <c r="C564" s="13">
        <v>10880022044</v>
      </c>
      <c r="D564" s="14">
        <v>990000105435</v>
      </c>
      <c r="E564" s="13" t="s">
        <v>417</v>
      </c>
      <c r="F564" s="13">
        <v>1167</v>
      </c>
      <c r="G564" s="15">
        <v>45652</v>
      </c>
      <c r="H564" s="15">
        <v>45656</v>
      </c>
      <c r="I564" s="13" t="s">
        <v>813</v>
      </c>
      <c r="J564" s="13" t="s">
        <v>379</v>
      </c>
      <c r="K564" s="18"/>
      <c r="L564" s="4"/>
    </row>
    <row r="565" spans="1:12" s="2" customFormat="1" ht="15" hidden="1" customHeight="1" x14ac:dyDescent="0.3">
      <c r="A565" s="13" t="s">
        <v>630</v>
      </c>
      <c r="B565" s="13"/>
      <c r="C565" s="13">
        <v>10880022470</v>
      </c>
      <c r="D565" s="14">
        <v>990000105499</v>
      </c>
      <c r="E565" s="13" t="s">
        <v>897</v>
      </c>
      <c r="F565" s="13">
        <v>760</v>
      </c>
      <c r="G565" s="15">
        <v>45653</v>
      </c>
      <c r="H565" s="15" t="s">
        <v>487</v>
      </c>
      <c r="I565" s="13" t="s">
        <v>965</v>
      </c>
      <c r="J565" s="13" t="s">
        <v>489</v>
      </c>
      <c r="K565" s="18"/>
      <c r="L565" s="4"/>
    </row>
    <row r="566" spans="1:12" s="2" customFormat="1" ht="15" hidden="1" customHeight="1" x14ac:dyDescent="0.3">
      <c r="A566" s="13" t="s">
        <v>630</v>
      </c>
      <c r="B566" s="13"/>
      <c r="C566" s="13">
        <v>10880031113</v>
      </c>
      <c r="D566" s="14">
        <v>990000105604</v>
      </c>
      <c r="E566" s="13" t="s">
        <v>779</v>
      </c>
      <c r="F566" s="13">
        <v>45</v>
      </c>
      <c r="G566" s="15">
        <v>45656</v>
      </c>
      <c r="H566" s="15">
        <v>45659</v>
      </c>
      <c r="I566" s="13" t="s">
        <v>966</v>
      </c>
      <c r="J566" s="13" t="s">
        <v>379</v>
      </c>
      <c r="K566" s="18"/>
      <c r="L566" s="4"/>
    </row>
    <row r="567" spans="1:12" s="2" customFormat="1" ht="15" hidden="1" customHeight="1" x14ac:dyDescent="0.3">
      <c r="A567" s="13" t="s">
        <v>630</v>
      </c>
      <c r="B567" s="13"/>
      <c r="C567" s="13">
        <v>10880031018</v>
      </c>
      <c r="D567" s="14">
        <v>990000105624</v>
      </c>
      <c r="E567" s="13" t="s">
        <v>617</v>
      </c>
      <c r="F567" s="13">
        <v>100</v>
      </c>
      <c r="G567" s="15">
        <v>45657</v>
      </c>
      <c r="H567" s="15">
        <v>45664</v>
      </c>
      <c r="I567" s="13" t="s">
        <v>967</v>
      </c>
      <c r="J567" s="13" t="s">
        <v>379</v>
      </c>
      <c r="K567" s="18"/>
      <c r="L567" s="4"/>
    </row>
    <row r="568" spans="1:12" s="2" customFormat="1" ht="15" hidden="1" customHeight="1" x14ac:dyDescent="0.3">
      <c r="A568" s="13" t="s">
        <v>630</v>
      </c>
      <c r="B568" s="13"/>
      <c r="C568" s="13">
        <v>10880028088</v>
      </c>
      <c r="D568" s="14">
        <v>990000105656</v>
      </c>
      <c r="E568" s="13" t="s">
        <v>968</v>
      </c>
      <c r="F568" s="13">
        <v>435</v>
      </c>
      <c r="G568" s="15">
        <v>45657</v>
      </c>
      <c r="H568" s="15">
        <v>45667</v>
      </c>
      <c r="I568" s="13" t="s">
        <v>969</v>
      </c>
      <c r="J568" s="13" t="s">
        <v>379</v>
      </c>
      <c r="K568" s="18"/>
      <c r="L568" s="4"/>
    </row>
    <row r="569" spans="1:12" s="2" customFormat="1" ht="15" hidden="1" customHeight="1" x14ac:dyDescent="0.3">
      <c r="A569" s="13" t="s">
        <v>630</v>
      </c>
      <c r="B569" s="13"/>
      <c r="C569" s="13">
        <v>10880017530</v>
      </c>
      <c r="D569" s="14">
        <v>990000105657</v>
      </c>
      <c r="E569" s="13" t="s">
        <v>383</v>
      </c>
      <c r="F569" s="13">
        <v>1045</v>
      </c>
      <c r="G569" s="15">
        <v>45660</v>
      </c>
      <c r="H569" s="15"/>
      <c r="I569" s="13" t="s">
        <v>970</v>
      </c>
      <c r="J569" s="13" t="s">
        <v>379</v>
      </c>
      <c r="K569" s="18"/>
      <c r="L569" s="4"/>
    </row>
    <row r="570" spans="1:12" s="2" customFormat="1" ht="15" hidden="1" customHeight="1" x14ac:dyDescent="0.3">
      <c r="A570" s="13" t="s">
        <v>630</v>
      </c>
      <c r="B570" s="13"/>
      <c r="C570" s="13">
        <v>10880033695</v>
      </c>
      <c r="D570" s="14">
        <v>990000105748</v>
      </c>
      <c r="E570" s="13" t="s">
        <v>971</v>
      </c>
      <c r="F570" s="13">
        <v>72</v>
      </c>
      <c r="G570" s="15">
        <v>45664</v>
      </c>
      <c r="H570" s="15">
        <v>45664</v>
      </c>
      <c r="I570" s="13" t="s">
        <v>972</v>
      </c>
      <c r="J570" s="13" t="s">
        <v>379</v>
      </c>
      <c r="K570" s="18"/>
      <c r="L570" s="4"/>
    </row>
    <row r="571" spans="1:12" s="2" customFormat="1" ht="15" hidden="1" customHeight="1" x14ac:dyDescent="0.3">
      <c r="A571" s="13" t="s">
        <v>630</v>
      </c>
      <c r="B571" s="13"/>
      <c r="C571" s="13">
        <v>10880017535</v>
      </c>
      <c r="D571" s="14">
        <v>990000105750</v>
      </c>
      <c r="E571" s="13" t="s">
        <v>387</v>
      </c>
      <c r="F571" s="13">
        <v>2</v>
      </c>
      <c r="G571" s="15">
        <v>45664</v>
      </c>
      <c r="H571" s="15">
        <v>45665</v>
      </c>
      <c r="I571" s="13" t="s">
        <v>973</v>
      </c>
      <c r="J571" s="13" t="s">
        <v>379</v>
      </c>
      <c r="K571" s="18"/>
      <c r="L571" s="4"/>
    </row>
    <row r="572" spans="1:12" s="2" customFormat="1" ht="15" hidden="1" customHeight="1" x14ac:dyDescent="0.3">
      <c r="A572" s="13" t="s">
        <v>630</v>
      </c>
      <c r="B572" s="13"/>
      <c r="C572" s="13">
        <v>10880033689</v>
      </c>
      <c r="D572" s="14">
        <v>990000105747</v>
      </c>
      <c r="E572" s="13" t="s">
        <v>974</v>
      </c>
      <c r="F572" s="13">
        <v>282</v>
      </c>
      <c r="G572" s="15">
        <v>45664</v>
      </c>
      <c r="H572" s="15">
        <v>45667</v>
      </c>
      <c r="I572" s="13" t="s">
        <v>975</v>
      </c>
      <c r="J572" s="13" t="s">
        <v>379</v>
      </c>
      <c r="K572" s="18"/>
      <c r="L572" s="4"/>
    </row>
    <row r="573" spans="1:12" s="2" customFormat="1" ht="15" hidden="1" customHeight="1" x14ac:dyDescent="0.3">
      <c r="A573" s="13" t="s">
        <v>630</v>
      </c>
      <c r="B573" s="13"/>
      <c r="C573" s="13">
        <v>10880028306</v>
      </c>
      <c r="D573" s="14">
        <v>990000105751</v>
      </c>
      <c r="E573" s="13" t="s">
        <v>185</v>
      </c>
      <c r="F573" s="13">
        <v>690</v>
      </c>
      <c r="G573" s="15">
        <v>45664</v>
      </c>
      <c r="H573" s="15">
        <v>45670</v>
      </c>
      <c r="I573" s="13" t="s">
        <v>976</v>
      </c>
      <c r="J573" s="13" t="s">
        <v>379</v>
      </c>
      <c r="K573" s="18"/>
      <c r="L573" s="4"/>
    </row>
    <row r="574" spans="1:12" s="2" customFormat="1" ht="15" hidden="1" customHeight="1" x14ac:dyDescent="0.3">
      <c r="A574" s="13" t="s">
        <v>630</v>
      </c>
      <c r="B574" s="13"/>
      <c r="C574" s="13">
        <v>10880028306</v>
      </c>
      <c r="D574" s="14">
        <v>990000105752</v>
      </c>
      <c r="E574" s="13" t="s">
        <v>185</v>
      </c>
      <c r="F574" s="13">
        <v>20</v>
      </c>
      <c r="G574" s="15">
        <v>45664</v>
      </c>
      <c r="H574" s="15">
        <v>45670</v>
      </c>
      <c r="I574" s="13" t="s">
        <v>977</v>
      </c>
      <c r="J574" s="13" t="s">
        <v>379</v>
      </c>
      <c r="K574" s="18"/>
      <c r="L574" s="4"/>
    </row>
    <row r="575" spans="1:12" s="2" customFormat="1" ht="15" hidden="1" customHeight="1" x14ac:dyDescent="0.3">
      <c r="A575" s="13" t="s">
        <v>630</v>
      </c>
      <c r="B575" s="13"/>
      <c r="C575" s="13">
        <v>10880028306</v>
      </c>
      <c r="D575" s="14">
        <v>990000105753</v>
      </c>
      <c r="E575" s="13" t="s">
        <v>185</v>
      </c>
      <c r="F575" s="13">
        <v>1000</v>
      </c>
      <c r="G575" s="15">
        <v>45664</v>
      </c>
      <c r="H575" s="15">
        <v>45670</v>
      </c>
      <c r="I575" s="13" t="s">
        <v>978</v>
      </c>
      <c r="J575" s="13" t="s">
        <v>379</v>
      </c>
      <c r="K575" s="18"/>
      <c r="L575" s="4"/>
    </row>
    <row r="576" spans="1:12" s="2" customFormat="1" ht="15" hidden="1" customHeight="1" x14ac:dyDescent="0.3">
      <c r="A576" s="13" t="s">
        <v>630</v>
      </c>
      <c r="B576" s="13"/>
      <c r="C576" s="13">
        <v>10880028306</v>
      </c>
      <c r="D576" s="14">
        <v>990000105754</v>
      </c>
      <c r="E576" s="13" t="s">
        <v>185</v>
      </c>
      <c r="F576" s="13">
        <v>3800</v>
      </c>
      <c r="G576" s="15">
        <v>45664</v>
      </c>
      <c r="H576" s="15">
        <v>45676</v>
      </c>
      <c r="I576" s="13" t="s">
        <v>979</v>
      </c>
      <c r="J576" s="13" t="s">
        <v>379</v>
      </c>
      <c r="K576" s="18"/>
      <c r="L576" s="4"/>
    </row>
    <row r="577" spans="1:12" s="2" customFormat="1" ht="15" hidden="1" customHeight="1" x14ac:dyDescent="0.3">
      <c r="A577" s="13" t="s">
        <v>630</v>
      </c>
      <c r="B577" s="13"/>
      <c r="C577" s="13">
        <v>10880032298</v>
      </c>
      <c r="D577" s="14">
        <v>990000105941</v>
      </c>
      <c r="E577" s="13" t="s">
        <v>980</v>
      </c>
      <c r="F577" s="13">
        <v>50</v>
      </c>
      <c r="G577" s="15">
        <v>45667</v>
      </c>
      <c r="H577" s="15">
        <v>45668</v>
      </c>
      <c r="I577" s="13" t="s">
        <v>981</v>
      </c>
      <c r="J577" s="13" t="s">
        <v>379</v>
      </c>
      <c r="K577" s="18"/>
      <c r="L577" s="4"/>
    </row>
    <row r="578" spans="1:12" s="2" customFormat="1" ht="15" hidden="1" customHeight="1" x14ac:dyDescent="0.3">
      <c r="A578" s="13" t="s">
        <v>630</v>
      </c>
      <c r="B578" s="13"/>
      <c r="C578" s="13">
        <v>10880031766</v>
      </c>
      <c r="D578" s="14">
        <v>990000105942</v>
      </c>
      <c r="E578" s="13" t="s">
        <v>982</v>
      </c>
      <c r="F578" s="13">
        <v>180</v>
      </c>
      <c r="G578" s="15">
        <v>45667</v>
      </c>
      <c r="H578" s="15">
        <v>45672</v>
      </c>
      <c r="I578" s="13" t="s">
        <v>983</v>
      </c>
      <c r="J578" s="13" t="s">
        <v>431</v>
      </c>
      <c r="K578" s="18"/>
      <c r="L578" s="4"/>
    </row>
    <row r="579" spans="1:12" s="2" customFormat="1" ht="15" hidden="1" customHeight="1" x14ac:dyDescent="0.3">
      <c r="A579" s="13" t="s">
        <v>630</v>
      </c>
      <c r="B579" s="13"/>
      <c r="C579" s="13">
        <v>10880017536</v>
      </c>
      <c r="D579" s="14">
        <v>990000105952</v>
      </c>
      <c r="E579" s="13" t="s">
        <v>171</v>
      </c>
      <c r="F579" s="13">
        <v>1810</v>
      </c>
      <c r="G579" s="15">
        <v>45668</v>
      </c>
      <c r="H579" s="15">
        <v>45670</v>
      </c>
      <c r="I579" s="13" t="s">
        <v>984</v>
      </c>
      <c r="J579" s="13" t="s">
        <v>379</v>
      </c>
      <c r="K579" s="18"/>
      <c r="L579" s="4"/>
    </row>
    <row r="580" spans="1:12" s="2" customFormat="1" ht="15" hidden="1" customHeight="1" x14ac:dyDescent="0.3">
      <c r="A580" s="13" t="s">
        <v>630</v>
      </c>
      <c r="B580" s="13"/>
      <c r="C580" s="13">
        <v>10880017536</v>
      </c>
      <c r="D580" s="14">
        <v>990000105953</v>
      </c>
      <c r="E580" s="13" t="s">
        <v>171</v>
      </c>
      <c r="F580" s="13">
        <v>455</v>
      </c>
      <c r="G580" s="15">
        <v>45668</v>
      </c>
      <c r="H580" s="15">
        <v>45670</v>
      </c>
      <c r="I580" s="13" t="s">
        <v>985</v>
      </c>
      <c r="J580" s="13" t="s">
        <v>379</v>
      </c>
      <c r="K580" s="18"/>
      <c r="L580" s="4"/>
    </row>
    <row r="581" spans="1:12" s="2" customFormat="1" ht="15" hidden="1" customHeight="1" x14ac:dyDescent="0.3">
      <c r="A581" s="13" t="s">
        <v>630</v>
      </c>
      <c r="B581" s="13"/>
      <c r="C581" s="13">
        <v>10880020556</v>
      </c>
      <c r="D581" s="14">
        <v>990000106081</v>
      </c>
      <c r="E581" s="13" t="s">
        <v>184</v>
      </c>
      <c r="F581" s="13">
        <v>1221</v>
      </c>
      <c r="G581" s="15">
        <v>45670</v>
      </c>
      <c r="H581" s="15">
        <v>45674</v>
      </c>
      <c r="I581" s="13" t="s">
        <v>986</v>
      </c>
      <c r="J581" s="13" t="s">
        <v>379</v>
      </c>
      <c r="K581" s="18"/>
      <c r="L581" s="4"/>
    </row>
    <row r="582" spans="1:12" s="2" customFormat="1" ht="15" hidden="1" customHeight="1" x14ac:dyDescent="0.3">
      <c r="A582" s="13" t="s">
        <v>630</v>
      </c>
      <c r="B582" s="13"/>
      <c r="C582" s="13">
        <v>10880031760</v>
      </c>
      <c r="D582" s="14">
        <v>990000106124</v>
      </c>
      <c r="E582" s="13" t="s">
        <v>48</v>
      </c>
      <c r="F582" s="13">
        <v>278</v>
      </c>
      <c r="G582" s="15">
        <v>45671</v>
      </c>
      <c r="H582" s="15">
        <v>45674</v>
      </c>
      <c r="I582" s="13" t="s">
        <v>987</v>
      </c>
      <c r="J582" s="13" t="s">
        <v>389</v>
      </c>
      <c r="K582" s="18"/>
      <c r="L582" s="4"/>
    </row>
    <row r="583" spans="1:12" s="2" customFormat="1" ht="15" hidden="1" customHeight="1" x14ac:dyDescent="0.3">
      <c r="A583" s="13" t="s">
        <v>630</v>
      </c>
      <c r="B583" s="13"/>
      <c r="C583" s="13">
        <v>10880031599</v>
      </c>
      <c r="D583" s="14">
        <v>990000106131</v>
      </c>
      <c r="E583" s="13" t="s">
        <v>765</v>
      </c>
      <c r="F583" s="13">
        <v>17485</v>
      </c>
      <c r="G583" s="15">
        <v>45672</v>
      </c>
      <c r="H583" s="15">
        <v>45676</v>
      </c>
      <c r="I583" s="13" t="s">
        <v>988</v>
      </c>
      <c r="J583" s="13" t="s">
        <v>379</v>
      </c>
      <c r="K583" s="18"/>
      <c r="L583" s="4"/>
    </row>
    <row r="584" spans="1:12" s="2" customFormat="1" ht="15" hidden="1" customHeight="1" x14ac:dyDescent="0.3">
      <c r="A584" s="13" t="s">
        <v>630</v>
      </c>
      <c r="B584" s="13"/>
      <c r="C584" s="13">
        <v>10880034251</v>
      </c>
      <c r="D584" s="14">
        <v>990000106187</v>
      </c>
      <c r="E584" s="13" t="s">
        <v>989</v>
      </c>
      <c r="F584" s="13">
        <v>200</v>
      </c>
      <c r="G584" s="15">
        <v>45674</v>
      </c>
      <c r="H584" s="15">
        <v>45674</v>
      </c>
      <c r="I584" s="13" t="s">
        <v>990</v>
      </c>
      <c r="J584" s="13" t="s">
        <v>379</v>
      </c>
      <c r="K584" s="18"/>
      <c r="L584" s="4"/>
    </row>
    <row r="585" spans="1:12" s="2" customFormat="1" ht="15" hidden="1" customHeight="1" x14ac:dyDescent="0.3">
      <c r="A585" s="13" t="s">
        <v>412</v>
      </c>
      <c r="B585" s="13"/>
      <c r="C585" s="13">
        <v>10880031870</v>
      </c>
      <c r="D585" s="14">
        <v>990000106184</v>
      </c>
      <c r="E585" s="13" t="s">
        <v>991</v>
      </c>
      <c r="F585" s="13">
        <v>300</v>
      </c>
      <c r="G585" s="15">
        <v>45674</v>
      </c>
      <c r="H585" s="15">
        <v>45693</v>
      </c>
      <c r="I585" s="13" t="s">
        <v>992</v>
      </c>
      <c r="J585" s="13" t="s">
        <v>379</v>
      </c>
      <c r="K585" s="18"/>
      <c r="L585" s="4"/>
    </row>
    <row r="586" spans="1:12" s="2" customFormat="1" ht="15" hidden="1" customHeight="1" x14ac:dyDescent="0.3">
      <c r="A586" s="13" t="s">
        <v>412</v>
      </c>
      <c r="B586" s="13"/>
      <c r="C586" s="13">
        <v>10880022470</v>
      </c>
      <c r="D586" s="14">
        <v>990000106185</v>
      </c>
      <c r="E586" s="13" t="s">
        <v>897</v>
      </c>
      <c r="F586" s="13">
        <v>150</v>
      </c>
      <c r="G586" s="15">
        <v>45674</v>
      </c>
      <c r="H586" s="15">
        <v>45693</v>
      </c>
      <c r="I586" s="13" t="s">
        <v>993</v>
      </c>
      <c r="J586" s="13" t="s">
        <v>379</v>
      </c>
      <c r="K586" s="18"/>
      <c r="L586" s="4"/>
    </row>
    <row r="587" spans="1:12" s="2" customFormat="1" ht="15" hidden="1" customHeight="1" x14ac:dyDescent="0.3">
      <c r="A587" s="13" t="s">
        <v>412</v>
      </c>
      <c r="B587" s="13"/>
      <c r="C587" s="13">
        <v>10880022441</v>
      </c>
      <c r="D587" s="14">
        <v>990000106183</v>
      </c>
      <c r="E587" s="13" t="s">
        <v>994</v>
      </c>
      <c r="F587" s="13">
        <v>9</v>
      </c>
      <c r="G587" s="15">
        <v>45674</v>
      </c>
      <c r="H587" s="15">
        <v>45693</v>
      </c>
      <c r="I587" s="13" t="s">
        <v>995</v>
      </c>
      <c r="J587" s="13" t="s">
        <v>379</v>
      </c>
      <c r="K587" s="18"/>
      <c r="L587" s="4"/>
    </row>
    <row r="588" spans="1:12" s="2" customFormat="1" ht="15" hidden="1" customHeight="1" x14ac:dyDescent="0.3">
      <c r="A588" s="13" t="s">
        <v>630</v>
      </c>
      <c r="B588" s="13"/>
      <c r="C588" s="13">
        <v>10880034621</v>
      </c>
      <c r="D588" s="14">
        <v>990000106188</v>
      </c>
      <c r="E588" s="13" t="s">
        <v>996</v>
      </c>
      <c r="F588" s="13">
        <v>755</v>
      </c>
      <c r="G588" s="15">
        <v>45674</v>
      </c>
      <c r="H588" s="15">
        <v>45697</v>
      </c>
      <c r="I588" s="13" t="s">
        <v>997</v>
      </c>
      <c r="J588" s="13" t="s">
        <v>379</v>
      </c>
      <c r="K588" s="18"/>
      <c r="L588" s="4"/>
    </row>
    <row r="589" spans="1:12" s="2" customFormat="1" ht="15" hidden="1" customHeight="1" x14ac:dyDescent="0.3">
      <c r="A589" s="13" t="s">
        <v>630</v>
      </c>
      <c r="B589" s="13"/>
      <c r="C589" s="13">
        <v>10880033567</v>
      </c>
      <c r="D589" s="14">
        <v>990000106243</v>
      </c>
      <c r="E589" s="13" t="s">
        <v>998</v>
      </c>
      <c r="F589" s="13">
        <v>200</v>
      </c>
      <c r="G589" s="15">
        <v>45677</v>
      </c>
      <c r="H589" s="15" t="s">
        <v>487</v>
      </c>
      <c r="I589" s="13" t="s">
        <v>999</v>
      </c>
      <c r="J589" s="13" t="s">
        <v>489</v>
      </c>
      <c r="K589" s="18"/>
      <c r="L589" s="4"/>
    </row>
    <row r="590" spans="1:12" s="2" customFormat="1" ht="15" hidden="1" customHeight="1" x14ac:dyDescent="0.3">
      <c r="A590" s="13" t="s">
        <v>630</v>
      </c>
      <c r="B590" s="13"/>
      <c r="C590" s="13">
        <v>10880020222</v>
      </c>
      <c r="D590" s="14">
        <v>990000106220</v>
      </c>
      <c r="E590" s="13" t="s">
        <v>767</v>
      </c>
      <c r="F590" s="13">
        <v>316</v>
      </c>
      <c r="G590" s="15">
        <v>45677</v>
      </c>
      <c r="H590" s="15">
        <v>45693</v>
      </c>
      <c r="I590" s="13" t="s">
        <v>1000</v>
      </c>
      <c r="J590" s="13" t="s">
        <v>379</v>
      </c>
      <c r="K590" s="18"/>
      <c r="L590" s="4"/>
    </row>
    <row r="591" spans="1:12" s="2" customFormat="1" ht="15" hidden="1" customHeight="1" x14ac:dyDescent="0.3">
      <c r="A591" s="13" t="s">
        <v>630</v>
      </c>
      <c r="B591" s="13"/>
      <c r="C591" s="13">
        <v>10880021476</v>
      </c>
      <c r="D591" s="14">
        <v>990000106241</v>
      </c>
      <c r="E591" s="13" t="s">
        <v>722</v>
      </c>
      <c r="F591" s="13">
        <v>413</v>
      </c>
      <c r="G591" s="15">
        <v>45677</v>
      </c>
      <c r="H591" s="15">
        <v>45693</v>
      </c>
      <c r="I591" s="13" t="s">
        <v>1001</v>
      </c>
      <c r="J591" s="13" t="s">
        <v>379</v>
      </c>
      <c r="K591" s="18"/>
      <c r="L591" s="4"/>
    </row>
    <row r="592" spans="1:12" s="2" customFormat="1" ht="15" hidden="1" customHeight="1" x14ac:dyDescent="0.3">
      <c r="A592" s="13" t="s">
        <v>630</v>
      </c>
      <c r="B592" s="13"/>
      <c r="C592" s="13">
        <v>10880033301</v>
      </c>
      <c r="D592" s="14">
        <v>990000106244</v>
      </c>
      <c r="E592" s="13" t="s">
        <v>1002</v>
      </c>
      <c r="F592" s="13">
        <v>175</v>
      </c>
      <c r="G592" s="15">
        <v>45677</v>
      </c>
      <c r="H592" s="15">
        <v>45723</v>
      </c>
      <c r="I592" s="13" t="s">
        <v>1003</v>
      </c>
      <c r="J592" s="13" t="s">
        <v>379</v>
      </c>
      <c r="K592" s="18"/>
      <c r="L592" s="4"/>
    </row>
    <row r="593" spans="1:12" s="2" customFormat="1" ht="15" hidden="1" customHeight="1" x14ac:dyDescent="0.3">
      <c r="A593" s="13" t="s">
        <v>630</v>
      </c>
      <c r="B593" s="13"/>
      <c r="C593" s="13">
        <v>10880031440</v>
      </c>
      <c r="D593" s="14">
        <v>990000106242</v>
      </c>
      <c r="E593" s="13" t="s">
        <v>1004</v>
      </c>
      <c r="F593" s="13">
        <v>59</v>
      </c>
      <c r="G593" s="15">
        <v>45677</v>
      </c>
      <c r="H593" s="15">
        <v>45739</v>
      </c>
      <c r="I593" s="13" t="s">
        <v>1005</v>
      </c>
      <c r="J593" s="13" t="s">
        <v>379</v>
      </c>
      <c r="K593" s="18"/>
      <c r="L593" s="4"/>
    </row>
    <row r="594" spans="1:12" s="2" customFormat="1" ht="15" hidden="1" customHeight="1" x14ac:dyDescent="0.3">
      <c r="A594" s="13" t="s">
        <v>630</v>
      </c>
      <c r="B594" s="13"/>
      <c r="C594" s="13">
        <v>10880022406</v>
      </c>
      <c r="D594" s="14">
        <v>990000106245</v>
      </c>
      <c r="E594" s="13" t="s">
        <v>528</v>
      </c>
      <c r="F594" s="13">
        <v>10191</v>
      </c>
      <c r="G594" s="15">
        <v>45677</v>
      </c>
      <c r="H594" s="15">
        <v>45753</v>
      </c>
      <c r="I594" s="13" t="s">
        <v>1006</v>
      </c>
      <c r="J594" s="13" t="s">
        <v>379</v>
      </c>
      <c r="K594" s="18"/>
      <c r="L594" s="4"/>
    </row>
    <row r="595" spans="1:12" s="2" customFormat="1" ht="15" hidden="1" customHeight="1" x14ac:dyDescent="0.3">
      <c r="A595" s="13" t="s">
        <v>879</v>
      </c>
      <c r="B595" s="13"/>
      <c r="C595" s="13">
        <v>10880033916</v>
      </c>
      <c r="D595" s="14">
        <v>990000106246</v>
      </c>
      <c r="E595" s="13" t="s">
        <v>258</v>
      </c>
      <c r="F595" s="13">
        <v>8</v>
      </c>
      <c r="G595" s="15">
        <v>45677</v>
      </c>
      <c r="H595" s="15" t="s">
        <v>1007</v>
      </c>
      <c r="I595" s="13" t="s">
        <v>894</v>
      </c>
      <c r="J595" s="13" t="s">
        <v>489</v>
      </c>
      <c r="K595" s="18"/>
      <c r="L595" s="4"/>
    </row>
    <row r="596" spans="1:12" s="2" customFormat="1" ht="15" hidden="1" customHeight="1" x14ac:dyDescent="0.3">
      <c r="A596" s="13" t="s">
        <v>630</v>
      </c>
      <c r="B596" s="13"/>
      <c r="C596" s="13">
        <v>10880020940</v>
      </c>
      <c r="D596" s="14">
        <v>990000106309</v>
      </c>
      <c r="E596" s="13" t="s">
        <v>222</v>
      </c>
      <c r="F596" s="13">
        <v>581</v>
      </c>
      <c r="G596" s="15">
        <v>45679</v>
      </c>
      <c r="H596" s="15">
        <v>45696</v>
      </c>
      <c r="I596" s="13" t="s">
        <v>1008</v>
      </c>
      <c r="J596" s="13" t="s">
        <v>379</v>
      </c>
      <c r="K596" s="18"/>
      <c r="L596" s="4"/>
    </row>
    <row r="597" spans="1:12" s="2" customFormat="1" ht="15" hidden="1" customHeight="1" x14ac:dyDescent="0.3">
      <c r="A597" s="13" t="s">
        <v>630</v>
      </c>
      <c r="B597" s="13"/>
      <c r="C597" s="13">
        <v>10880031304</v>
      </c>
      <c r="D597" s="14">
        <v>990000106372</v>
      </c>
      <c r="E597" s="13" t="s">
        <v>1009</v>
      </c>
      <c r="F597" s="13">
        <v>1520</v>
      </c>
      <c r="G597" s="15">
        <v>45694</v>
      </c>
      <c r="H597" s="15">
        <v>45698</v>
      </c>
      <c r="I597" s="13" t="s">
        <v>1010</v>
      </c>
      <c r="J597" s="13" t="s">
        <v>379</v>
      </c>
      <c r="K597" s="18"/>
      <c r="L597" s="4"/>
    </row>
    <row r="598" spans="1:12" s="2" customFormat="1" ht="15" hidden="1" customHeight="1" x14ac:dyDescent="0.3">
      <c r="A598" s="13" t="s">
        <v>630</v>
      </c>
      <c r="B598" s="13"/>
      <c r="C598" s="13">
        <v>10880021105</v>
      </c>
      <c r="D598" s="14">
        <v>990000106433</v>
      </c>
      <c r="E598" s="13" t="s">
        <v>1011</v>
      </c>
      <c r="F598" s="13">
        <v>16</v>
      </c>
      <c r="G598" s="15">
        <v>45698</v>
      </c>
      <c r="H598" s="15">
        <v>45705</v>
      </c>
      <c r="I598" s="13" t="s">
        <v>1012</v>
      </c>
      <c r="J598" s="13" t="s">
        <v>379</v>
      </c>
      <c r="K598" s="18"/>
      <c r="L598" s="4"/>
    </row>
    <row r="599" spans="1:12" s="2" customFormat="1" ht="15" hidden="1" customHeight="1" x14ac:dyDescent="0.3">
      <c r="A599" s="13" t="s">
        <v>630</v>
      </c>
      <c r="B599" s="13"/>
      <c r="C599" s="13">
        <v>10880033329</v>
      </c>
      <c r="D599" s="14">
        <v>990000106434</v>
      </c>
      <c r="E599" s="13" t="s">
        <v>71</v>
      </c>
      <c r="F599" s="13">
        <v>229</v>
      </c>
      <c r="G599" s="15">
        <v>45698</v>
      </c>
      <c r="H599" s="15">
        <v>45834</v>
      </c>
      <c r="I599" s="13" t="s">
        <v>1013</v>
      </c>
      <c r="J599" s="13" t="s">
        <v>379</v>
      </c>
      <c r="K599" s="18"/>
      <c r="L599" s="4"/>
    </row>
    <row r="600" spans="1:12" s="2" customFormat="1" ht="15" hidden="1" customHeight="1" x14ac:dyDescent="0.3">
      <c r="A600" s="13" t="s">
        <v>630</v>
      </c>
      <c r="B600" s="13"/>
      <c r="C600" s="13">
        <v>10880020558</v>
      </c>
      <c r="D600" s="14">
        <v>990000106485</v>
      </c>
      <c r="E600" s="13" t="s">
        <v>1014</v>
      </c>
      <c r="F600" s="13">
        <v>3175</v>
      </c>
      <c r="G600" s="15">
        <v>45700</v>
      </c>
      <c r="H600" s="15">
        <v>45720</v>
      </c>
      <c r="I600" s="13" t="s">
        <v>1015</v>
      </c>
      <c r="J600" s="13" t="s">
        <v>389</v>
      </c>
      <c r="K600" s="18"/>
      <c r="L600" s="4"/>
    </row>
    <row r="601" spans="1:12" s="2" customFormat="1" ht="15" hidden="1" customHeight="1" x14ac:dyDescent="0.3">
      <c r="A601" s="13" t="s">
        <v>630</v>
      </c>
      <c r="B601" s="13"/>
      <c r="C601" s="13">
        <v>10880030244</v>
      </c>
      <c r="D601" s="14">
        <v>990000106553</v>
      </c>
      <c r="E601" s="13" t="s">
        <v>833</v>
      </c>
      <c r="F601" s="13">
        <v>773</v>
      </c>
      <c r="G601" s="15">
        <v>45702</v>
      </c>
      <c r="H601" s="15">
        <v>45755</v>
      </c>
      <c r="I601" s="13" t="s">
        <v>1016</v>
      </c>
      <c r="J601" s="13" t="s">
        <v>379</v>
      </c>
      <c r="K601" s="18"/>
      <c r="L601" s="4"/>
    </row>
    <row r="602" spans="1:12" s="2" customFormat="1" ht="15" hidden="1" customHeight="1" x14ac:dyDescent="0.3">
      <c r="A602" s="13" t="s">
        <v>630</v>
      </c>
      <c r="B602" s="13"/>
      <c r="C602" s="13">
        <v>10880030493</v>
      </c>
      <c r="D602" s="14">
        <v>990000106796</v>
      </c>
      <c r="E602" s="13" t="s">
        <v>816</v>
      </c>
      <c r="F602" s="13">
        <v>617</v>
      </c>
      <c r="G602" s="15">
        <v>45703</v>
      </c>
      <c r="H602" s="15">
        <v>45705</v>
      </c>
      <c r="I602" s="13" t="s">
        <v>817</v>
      </c>
      <c r="J602" s="13" t="s">
        <v>379</v>
      </c>
      <c r="K602" s="18"/>
      <c r="L602" s="4"/>
    </row>
    <row r="603" spans="1:12" s="2" customFormat="1" ht="15" hidden="1" customHeight="1" x14ac:dyDescent="0.3">
      <c r="A603" s="13" t="s">
        <v>630</v>
      </c>
      <c r="B603" s="13"/>
      <c r="C603" s="13">
        <v>10880030843</v>
      </c>
      <c r="D603" s="14">
        <v>990000106806</v>
      </c>
      <c r="E603" s="13" t="s">
        <v>951</v>
      </c>
      <c r="F603" s="13">
        <v>1897</v>
      </c>
      <c r="G603" s="15">
        <v>45705</v>
      </c>
      <c r="H603" s="15">
        <v>45723</v>
      </c>
      <c r="I603" s="13" t="s">
        <v>1017</v>
      </c>
      <c r="J603" s="13" t="s">
        <v>379</v>
      </c>
      <c r="K603" s="18"/>
      <c r="L603" s="4"/>
    </row>
    <row r="604" spans="1:12" s="2" customFormat="1" ht="15" hidden="1" customHeight="1" x14ac:dyDescent="0.3">
      <c r="A604" s="13" t="s">
        <v>630</v>
      </c>
      <c r="B604" s="13"/>
      <c r="C604" s="13">
        <v>10880034411</v>
      </c>
      <c r="D604" s="14">
        <v>990000106913</v>
      </c>
      <c r="E604" s="13" t="s">
        <v>1018</v>
      </c>
      <c r="F604" s="13">
        <v>1386</v>
      </c>
      <c r="G604" s="15">
        <v>45707</v>
      </c>
      <c r="H604" s="15">
        <v>45711</v>
      </c>
      <c r="I604" s="13" t="s">
        <v>1019</v>
      </c>
      <c r="J604" s="13" t="s">
        <v>379</v>
      </c>
      <c r="K604" s="18"/>
      <c r="L604" s="4"/>
    </row>
    <row r="605" spans="1:12" s="2" customFormat="1" ht="15" hidden="1" customHeight="1" x14ac:dyDescent="0.3">
      <c r="A605" s="13" t="s">
        <v>630</v>
      </c>
      <c r="B605" s="13"/>
      <c r="C605" s="13">
        <v>10880034523</v>
      </c>
      <c r="D605" s="14">
        <v>990000106910</v>
      </c>
      <c r="E605" s="13" t="s">
        <v>1020</v>
      </c>
      <c r="F605" s="13">
        <v>25</v>
      </c>
      <c r="G605" s="15">
        <v>45707</v>
      </c>
      <c r="H605" s="15" t="s">
        <v>487</v>
      </c>
      <c r="I605" s="13" t="s">
        <v>1021</v>
      </c>
      <c r="J605" s="13" t="s">
        <v>489</v>
      </c>
      <c r="K605" s="18"/>
      <c r="L605" s="4"/>
    </row>
    <row r="606" spans="1:12" s="2" customFormat="1" ht="15" hidden="1" customHeight="1" x14ac:dyDescent="0.3">
      <c r="A606" s="13" t="s">
        <v>630</v>
      </c>
      <c r="B606" s="13"/>
      <c r="C606" s="13">
        <v>10880034195</v>
      </c>
      <c r="D606" s="14">
        <v>990000107059</v>
      </c>
      <c r="E606" s="13" t="s">
        <v>1022</v>
      </c>
      <c r="F606" s="13">
        <v>25</v>
      </c>
      <c r="G606" s="15">
        <v>45707</v>
      </c>
      <c r="H606" s="15">
        <v>45711</v>
      </c>
      <c r="I606" s="13" t="s">
        <v>1021</v>
      </c>
      <c r="J606" s="13" t="s">
        <v>379</v>
      </c>
      <c r="K606" s="18"/>
      <c r="L606" s="4"/>
    </row>
    <row r="607" spans="1:12" s="2" customFormat="1" ht="15" hidden="1" customHeight="1" x14ac:dyDescent="0.3">
      <c r="A607" s="13" t="s">
        <v>630</v>
      </c>
      <c r="B607" s="13"/>
      <c r="C607" s="13">
        <v>10880012982</v>
      </c>
      <c r="D607" s="14">
        <v>990000106915</v>
      </c>
      <c r="E607" s="13" t="s">
        <v>748</v>
      </c>
      <c r="F607" s="13">
        <v>50</v>
      </c>
      <c r="G607" s="15">
        <v>45707</v>
      </c>
      <c r="H607" s="15">
        <v>45716</v>
      </c>
      <c r="I607" s="13" t="s">
        <v>1023</v>
      </c>
      <c r="J607" s="13" t="s">
        <v>379</v>
      </c>
      <c r="K607" s="18"/>
      <c r="L607" s="4"/>
    </row>
    <row r="608" spans="1:12" s="2" customFormat="1" ht="15" hidden="1" customHeight="1" x14ac:dyDescent="0.3">
      <c r="A608" s="13" t="s">
        <v>630</v>
      </c>
      <c r="B608" s="13"/>
      <c r="C608" s="13">
        <v>10880012986</v>
      </c>
      <c r="D608" s="14">
        <v>990000106914</v>
      </c>
      <c r="E608" s="13" t="s">
        <v>757</v>
      </c>
      <c r="F608" s="13">
        <v>50</v>
      </c>
      <c r="G608" s="15">
        <v>45707</v>
      </c>
      <c r="H608" s="15">
        <v>45723</v>
      </c>
      <c r="I608" s="13" t="s">
        <v>1024</v>
      </c>
      <c r="J608" s="13" t="s">
        <v>379</v>
      </c>
      <c r="K608" s="18"/>
      <c r="L608" s="4"/>
    </row>
    <row r="609" spans="1:12" s="2" customFormat="1" ht="15" hidden="1" customHeight="1" x14ac:dyDescent="0.3">
      <c r="A609" s="13" t="s">
        <v>630</v>
      </c>
      <c r="B609" s="13"/>
      <c r="C609" s="13">
        <v>10880022044</v>
      </c>
      <c r="D609" s="14">
        <v>990000106965</v>
      </c>
      <c r="E609" s="13" t="s">
        <v>417</v>
      </c>
      <c r="F609" s="13">
        <v>1000</v>
      </c>
      <c r="G609" s="15">
        <v>45708</v>
      </c>
      <c r="H609" s="15">
        <v>45708</v>
      </c>
      <c r="I609" s="13" t="s">
        <v>1025</v>
      </c>
      <c r="J609" s="13" t="s">
        <v>379</v>
      </c>
      <c r="K609" s="18"/>
      <c r="L609" s="4"/>
    </row>
    <row r="610" spans="1:12" s="2" customFormat="1" ht="15" hidden="1" customHeight="1" x14ac:dyDescent="0.3">
      <c r="A610" s="13" t="s">
        <v>630</v>
      </c>
      <c r="B610" s="13"/>
      <c r="C610" s="13">
        <v>10880031113</v>
      </c>
      <c r="D610" s="14">
        <v>990000106963</v>
      </c>
      <c r="E610" s="13" t="s">
        <v>779</v>
      </c>
      <c r="F610" s="13">
        <v>64</v>
      </c>
      <c r="G610" s="15">
        <v>45708</v>
      </c>
      <c r="H610" s="15">
        <v>45752</v>
      </c>
      <c r="I610" s="13" t="s">
        <v>962</v>
      </c>
      <c r="J610" s="13" t="s">
        <v>379</v>
      </c>
      <c r="K610" s="18"/>
      <c r="L610" s="4"/>
    </row>
    <row r="611" spans="1:12" s="2" customFormat="1" ht="15" hidden="1" customHeight="1" x14ac:dyDescent="0.3">
      <c r="A611" s="13" t="s">
        <v>630</v>
      </c>
      <c r="B611" s="13"/>
      <c r="C611" s="13">
        <v>10880033695</v>
      </c>
      <c r="D611" s="14">
        <v>990000106964</v>
      </c>
      <c r="E611" s="13" t="s">
        <v>971</v>
      </c>
      <c r="F611" s="13">
        <v>1526</v>
      </c>
      <c r="G611" s="15">
        <v>45708</v>
      </c>
      <c r="H611" s="15">
        <v>45769</v>
      </c>
      <c r="I611" s="13" t="s">
        <v>1026</v>
      </c>
      <c r="J611" s="13" t="s">
        <v>379</v>
      </c>
      <c r="K611" s="18"/>
      <c r="L611" s="4"/>
    </row>
    <row r="612" spans="1:12" s="2" customFormat="1" ht="15" hidden="1" customHeight="1" x14ac:dyDescent="0.3">
      <c r="A612" s="13" t="s">
        <v>630</v>
      </c>
      <c r="B612" s="13"/>
      <c r="C612" s="13">
        <v>10880033325</v>
      </c>
      <c r="D612" s="14">
        <v>990000107070</v>
      </c>
      <c r="E612" s="13" t="s">
        <v>252</v>
      </c>
      <c r="F612" s="13">
        <v>2541</v>
      </c>
      <c r="G612" s="15">
        <v>45716</v>
      </c>
      <c r="H612" s="15">
        <v>45728</v>
      </c>
      <c r="I612" s="13" t="s">
        <v>1027</v>
      </c>
      <c r="J612" s="13" t="s">
        <v>379</v>
      </c>
      <c r="K612" s="18"/>
      <c r="L612" s="4"/>
    </row>
    <row r="613" spans="1:12" s="2" customFormat="1" ht="15" hidden="1" customHeight="1" x14ac:dyDescent="0.3">
      <c r="A613" s="13" t="s">
        <v>630</v>
      </c>
      <c r="B613" s="13"/>
      <c r="C613" s="13">
        <v>10880033325</v>
      </c>
      <c r="D613" s="14">
        <v>990000107109</v>
      </c>
      <c r="E613" s="13" t="s">
        <v>252</v>
      </c>
      <c r="F613" s="13">
        <v>81</v>
      </c>
      <c r="G613" s="15">
        <v>45716</v>
      </c>
      <c r="H613" s="15">
        <v>45728</v>
      </c>
      <c r="I613" s="13" t="s">
        <v>1028</v>
      </c>
      <c r="J613" s="13" t="s">
        <v>379</v>
      </c>
      <c r="K613" s="18"/>
      <c r="L613" s="4"/>
    </row>
    <row r="614" spans="1:12" s="2" customFormat="1" ht="15" hidden="1" customHeight="1" x14ac:dyDescent="0.3">
      <c r="A614" s="13" t="s">
        <v>630</v>
      </c>
      <c r="B614" s="13"/>
      <c r="C614" s="13">
        <v>10880033325</v>
      </c>
      <c r="D614" s="14">
        <v>990000107110</v>
      </c>
      <c r="E614" s="13" t="s">
        <v>252</v>
      </c>
      <c r="F614" s="13">
        <v>665</v>
      </c>
      <c r="G614" s="15">
        <v>45716</v>
      </c>
      <c r="H614" s="15">
        <v>45748</v>
      </c>
      <c r="I614" s="13" t="s">
        <v>1029</v>
      </c>
      <c r="J614" s="13" t="s">
        <v>379</v>
      </c>
      <c r="K614" s="18"/>
      <c r="L614" s="4"/>
    </row>
    <row r="615" spans="1:12" s="2" customFormat="1" ht="15" hidden="1" customHeight="1" x14ac:dyDescent="0.3">
      <c r="A615" s="13" t="s">
        <v>630</v>
      </c>
      <c r="B615" s="13"/>
      <c r="C615" s="13">
        <v>10880016864</v>
      </c>
      <c r="D615" s="14">
        <v>990000107108</v>
      </c>
      <c r="E615" s="13" t="s">
        <v>715</v>
      </c>
      <c r="F615" s="13">
        <v>50</v>
      </c>
      <c r="G615" s="15">
        <v>45716</v>
      </c>
      <c r="H615" s="15">
        <v>45769</v>
      </c>
      <c r="I615" s="13" t="s">
        <v>1030</v>
      </c>
      <c r="J615" s="13" t="s">
        <v>379</v>
      </c>
      <c r="K615" s="18"/>
      <c r="L615" s="4"/>
    </row>
    <row r="616" spans="1:12" s="2" customFormat="1" ht="15" hidden="1" customHeight="1" x14ac:dyDescent="0.3">
      <c r="A616" s="13" t="s">
        <v>630</v>
      </c>
      <c r="B616" s="13"/>
      <c r="C616" s="13">
        <v>10880012985</v>
      </c>
      <c r="D616" s="14">
        <v>990000107112</v>
      </c>
      <c r="E616" s="13" t="s">
        <v>842</v>
      </c>
      <c r="F616" s="13">
        <v>4</v>
      </c>
      <c r="G616" s="15">
        <v>45716</v>
      </c>
      <c r="H616" s="15">
        <v>45787</v>
      </c>
      <c r="I616" s="13" t="s">
        <v>1031</v>
      </c>
      <c r="J616" s="13" t="s">
        <v>379</v>
      </c>
      <c r="K616" s="18"/>
      <c r="L616" s="4"/>
    </row>
    <row r="617" spans="1:12" s="2" customFormat="1" ht="15" hidden="1" customHeight="1" x14ac:dyDescent="0.3">
      <c r="A617" s="13" t="s">
        <v>630</v>
      </c>
      <c r="B617" s="13"/>
      <c r="C617" s="13">
        <v>10880014439</v>
      </c>
      <c r="D617" s="14">
        <v>990000107113</v>
      </c>
      <c r="E617" s="13" t="s">
        <v>840</v>
      </c>
      <c r="F617" s="13">
        <v>16</v>
      </c>
      <c r="G617" s="15">
        <v>45716</v>
      </c>
      <c r="H617" s="15">
        <v>45787</v>
      </c>
      <c r="I617" s="13" t="s">
        <v>1023</v>
      </c>
      <c r="J617" s="13" t="s">
        <v>379</v>
      </c>
      <c r="K617" s="18"/>
      <c r="L617" s="4"/>
    </row>
    <row r="618" spans="1:12" s="2" customFormat="1" ht="15" hidden="1" customHeight="1" x14ac:dyDescent="0.3">
      <c r="A618" s="13" t="s">
        <v>630</v>
      </c>
      <c r="B618" s="13"/>
      <c r="C618" s="13">
        <v>10880034195</v>
      </c>
      <c r="D618" s="14">
        <v>990000107185</v>
      </c>
      <c r="E618" s="13" t="s">
        <v>1022</v>
      </c>
      <c r="F618" s="13">
        <v>5</v>
      </c>
      <c r="G618" s="15">
        <v>45721</v>
      </c>
      <c r="H618" s="15">
        <v>45722</v>
      </c>
      <c r="I618" s="13" t="s">
        <v>1032</v>
      </c>
      <c r="J618" s="13" t="s">
        <v>379</v>
      </c>
      <c r="K618" s="18"/>
      <c r="L618" s="4"/>
    </row>
    <row r="619" spans="1:12" s="2" customFormat="1" ht="15" hidden="1" customHeight="1" x14ac:dyDescent="0.3">
      <c r="A619" s="13" t="s">
        <v>630</v>
      </c>
      <c r="B619" s="13"/>
      <c r="C619" s="13">
        <v>10880034957</v>
      </c>
      <c r="D619" s="14">
        <v>990000107275</v>
      </c>
      <c r="E619" s="13" t="s">
        <v>339</v>
      </c>
      <c r="F619" s="13">
        <v>10</v>
      </c>
      <c r="G619" s="15">
        <v>45723</v>
      </c>
      <c r="H619" s="15">
        <v>45723</v>
      </c>
      <c r="I619" s="13" t="s">
        <v>1033</v>
      </c>
      <c r="J619" s="13" t="s">
        <v>379</v>
      </c>
      <c r="K619" s="18"/>
      <c r="L619" s="4"/>
    </row>
    <row r="620" spans="1:12" s="2" customFormat="1" ht="15" hidden="1" customHeight="1" x14ac:dyDescent="0.3">
      <c r="A620" s="13" t="s">
        <v>630</v>
      </c>
      <c r="B620" s="13"/>
      <c r="C620" s="13">
        <v>10880015099</v>
      </c>
      <c r="D620" s="14">
        <v>990000107269</v>
      </c>
      <c r="E620" s="13" t="s">
        <v>1034</v>
      </c>
      <c r="F620" s="13">
        <v>50</v>
      </c>
      <c r="G620" s="15">
        <v>45723</v>
      </c>
      <c r="H620" s="15" t="s">
        <v>1007</v>
      </c>
      <c r="I620" s="13" t="s">
        <v>1035</v>
      </c>
      <c r="J620" s="13" t="s">
        <v>489</v>
      </c>
      <c r="K620" s="18"/>
      <c r="L620" s="4"/>
    </row>
    <row r="621" spans="1:12" s="2" customFormat="1" ht="15" hidden="1" customHeight="1" x14ac:dyDescent="0.3">
      <c r="A621" s="13" t="s">
        <v>879</v>
      </c>
      <c r="B621" s="13"/>
      <c r="C621" s="13">
        <v>10880016525</v>
      </c>
      <c r="D621" s="14">
        <v>990000107268</v>
      </c>
      <c r="E621" s="13" t="s">
        <v>1036</v>
      </c>
      <c r="F621" s="13">
        <v>100</v>
      </c>
      <c r="G621" s="15">
        <v>45723</v>
      </c>
      <c r="H621" s="15" t="s">
        <v>1007</v>
      </c>
      <c r="I621" s="13" t="s">
        <v>1037</v>
      </c>
      <c r="J621" s="13" t="s">
        <v>379</v>
      </c>
      <c r="K621" s="18"/>
      <c r="L621" s="4"/>
    </row>
    <row r="622" spans="1:12" s="2" customFormat="1" ht="15" hidden="1" customHeight="1" x14ac:dyDescent="0.3">
      <c r="A622" s="13" t="s">
        <v>630</v>
      </c>
      <c r="B622" s="13"/>
      <c r="C622" s="13">
        <v>10880012987</v>
      </c>
      <c r="D622" s="14">
        <v>990000107299</v>
      </c>
      <c r="E622" s="13" t="s">
        <v>1038</v>
      </c>
      <c r="F622" s="13">
        <v>50</v>
      </c>
      <c r="G622" s="15">
        <v>45726</v>
      </c>
      <c r="H622" s="15">
        <v>45727</v>
      </c>
      <c r="I622" s="13" t="s">
        <v>1039</v>
      </c>
      <c r="J622" s="13" t="s">
        <v>379</v>
      </c>
      <c r="K622" s="18"/>
      <c r="L622" s="4"/>
    </row>
    <row r="623" spans="1:12" s="2" customFormat="1" ht="15" hidden="1" customHeight="1" x14ac:dyDescent="0.3">
      <c r="A623" s="13" t="s">
        <v>630</v>
      </c>
      <c r="B623" s="13"/>
      <c r="C623" s="13">
        <v>10880033663</v>
      </c>
      <c r="D623" s="14">
        <v>990000107383</v>
      </c>
      <c r="E623" s="13" t="s">
        <v>1040</v>
      </c>
      <c r="F623" s="13">
        <v>2195</v>
      </c>
      <c r="G623" s="15">
        <v>45728</v>
      </c>
      <c r="H623" s="15">
        <v>45745</v>
      </c>
      <c r="I623" s="13" t="s">
        <v>1041</v>
      </c>
      <c r="J623" s="13" t="s">
        <v>379</v>
      </c>
      <c r="K623" s="18"/>
      <c r="L623" s="4"/>
    </row>
    <row r="624" spans="1:12" s="2" customFormat="1" ht="15" hidden="1" customHeight="1" x14ac:dyDescent="0.3">
      <c r="A624" s="13" t="s">
        <v>630</v>
      </c>
      <c r="B624" s="13"/>
      <c r="C624" s="13">
        <v>10880034197</v>
      </c>
      <c r="D624" s="14">
        <v>990000107578</v>
      </c>
      <c r="E624" s="13" t="s">
        <v>207</v>
      </c>
      <c r="F624" s="13">
        <v>1</v>
      </c>
      <c r="G624" s="15">
        <v>45735</v>
      </c>
      <c r="H624" s="15">
        <v>45735</v>
      </c>
      <c r="I624" s="13" t="s">
        <v>1042</v>
      </c>
      <c r="J624" s="13" t="s">
        <v>379</v>
      </c>
      <c r="K624" s="18"/>
      <c r="L624" s="4"/>
    </row>
    <row r="625" spans="1:12" s="2" customFormat="1" ht="15" hidden="1" customHeight="1" x14ac:dyDescent="0.3">
      <c r="A625" s="13" t="s">
        <v>630</v>
      </c>
      <c r="B625" s="13"/>
      <c r="C625" s="13">
        <v>10880031570</v>
      </c>
      <c r="D625" s="14">
        <v>990000107625</v>
      </c>
      <c r="E625" s="13" t="s">
        <v>1043</v>
      </c>
      <c r="F625" s="13">
        <v>1361</v>
      </c>
      <c r="G625" s="15">
        <v>45736</v>
      </c>
      <c r="H625" s="15">
        <v>45749</v>
      </c>
      <c r="I625" s="13" t="s">
        <v>1044</v>
      </c>
      <c r="J625" s="13" t="s">
        <v>379</v>
      </c>
      <c r="K625" s="18"/>
      <c r="L625" s="4"/>
    </row>
    <row r="626" spans="1:12" s="2" customFormat="1" ht="15" hidden="1" customHeight="1" x14ac:dyDescent="0.3">
      <c r="A626" s="13" t="s">
        <v>738</v>
      </c>
      <c r="B626" s="13"/>
      <c r="C626" s="13">
        <v>10880030843</v>
      </c>
      <c r="D626" s="14" t="s">
        <v>728</v>
      </c>
      <c r="E626" s="13" t="s">
        <v>951</v>
      </c>
      <c r="F626" s="13">
        <v>484</v>
      </c>
      <c r="G626" s="15">
        <v>45736</v>
      </c>
      <c r="H626" s="15">
        <v>45761</v>
      </c>
      <c r="I626" s="13" t="s">
        <v>1017</v>
      </c>
      <c r="J626" s="13" t="s">
        <v>379</v>
      </c>
      <c r="K626" s="18"/>
      <c r="L626" s="4"/>
    </row>
    <row r="627" spans="1:12" s="2" customFormat="1" ht="15" hidden="1" customHeight="1" x14ac:dyDescent="0.3">
      <c r="A627" s="13" t="s">
        <v>630</v>
      </c>
      <c r="B627" s="13"/>
      <c r="C627" s="13">
        <v>10880033855</v>
      </c>
      <c r="D627" s="14">
        <v>990000107278</v>
      </c>
      <c r="E627" s="13" t="s">
        <v>890</v>
      </c>
      <c r="F627" s="13">
        <v>5000</v>
      </c>
      <c r="G627" s="15">
        <v>45738</v>
      </c>
      <c r="H627" s="15">
        <v>45755</v>
      </c>
      <c r="I627" s="13" t="s">
        <v>891</v>
      </c>
      <c r="J627" s="13" t="s">
        <v>379</v>
      </c>
      <c r="K627" s="18"/>
      <c r="L627" s="4"/>
    </row>
    <row r="628" spans="1:12" s="2" customFormat="1" ht="15" hidden="1" customHeight="1" x14ac:dyDescent="0.3">
      <c r="A628" s="13" t="s">
        <v>630</v>
      </c>
      <c r="B628" s="13"/>
      <c r="C628" s="13">
        <v>10880029055</v>
      </c>
      <c r="D628" s="14">
        <v>990000107722</v>
      </c>
      <c r="E628" s="13" t="s">
        <v>198</v>
      </c>
      <c r="F628" s="13">
        <v>574</v>
      </c>
      <c r="G628" s="15">
        <v>45740</v>
      </c>
      <c r="H628" s="15">
        <v>45745</v>
      </c>
      <c r="I628" s="13" t="s">
        <v>1045</v>
      </c>
      <c r="J628" s="13" t="s">
        <v>379</v>
      </c>
      <c r="K628" s="18"/>
      <c r="L628" s="4"/>
    </row>
    <row r="629" spans="1:12" s="2" customFormat="1" ht="15" hidden="1" customHeight="1" x14ac:dyDescent="0.3">
      <c r="A629" s="13" t="s">
        <v>630</v>
      </c>
      <c r="B629" s="13"/>
      <c r="C629" s="13">
        <v>10880029054</v>
      </c>
      <c r="D629" s="14">
        <v>990000107723</v>
      </c>
      <c r="E629" s="13" t="s">
        <v>179</v>
      </c>
      <c r="F629" s="13">
        <v>805</v>
      </c>
      <c r="G629" s="15">
        <v>45740</v>
      </c>
      <c r="H629" s="15">
        <v>45745</v>
      </c>
      <c r="I629" s="13" t="s">
        <v>1046</v>
      </c>
      <c r="J629" s="13" t="s">
        <v>379</v>
      </c>
      <c r="K629" s="18"/>
      <c r="L629" s="4"/>
    </row>
    <row r="630" spans="1:12" s="2" customFormat="1" ht="15" hidden="1" customHeight="1" x14ac:dyDescent="0.3">
      <c r="A630" s="13" t="s">
        <v>630</v>
      </c>
      <c r="B630" s="13"/>
      <c r="C630" s="13">
        <v>10880020556</v>
      </c>
      <c r="D630" s="14">
        <v>990000107721</v>
      </c>
      <c r="E630" s="13" t="s">
        <v>184</v>
      </c>
      <c r="F630" s="13">
        <v>688</v>
      </c>
      <c r="G630" s="15">
        <v>45740</v>
      </c>
      <c r="H630" s="15">
        <v>45752</v>
      </c>
      <c r="I630" s="13" t="s">
        <v>1047</v>
      </c>
      <c r="J630" s="13" t="s">
        <v>379</v>
      </c>
      <c r="K630" s="18"/>
      <c r="L630" s="4"/>
    </row>
    <row r="631" spans="1:12" s="2" customFormat="1" ht="15" hidden="1" customHeight="1" x14ac:dyDescent="0.3">
      <c r="A631" s="13" t="s">
        <v>630</v>
      </c>
      <c r="B631" s="13"/>
      <c r="C631" s="13">
        <v>10880033723</v>
      </c>
      <c r="D631" s="14">
        <v>990000107811</v>
      </c>
      <c r="E631" s="13" t="s">
        <v>901</v>
      </c>
      <c r="F631" s="13">
        <v>10</v>
      </c>
      <c r="G631" s="15">
        <v>45741</v>
      </c>
      <c r="H631" s="15">
        <v>45745</v>
      </c>
      <c r="I631" s="13" t="s">
        <v>1048</v>
      </c>
      <c r="J631" s="13" t="s">
        <v>379</v>
      </c>
      <c r="K631" s="18"/>
      <c r="L631" s="4"/>
    </row>
    <row r="632" spans="1:12" s="2" customFormat="1" ht="15" hidden="1" customHeight="1" x14ac:dyDescent="0.3">
      <c r="A632" s="13" t="s">
        <v>630</v>
      </c>
      <c r="B632" s="13"/>
      <c r="C632" s="13">
        <v>10880034575</v>
      </c>
      <c r="D632" s="14">
        <v>990000107882</v>
      </c>
      <c r="E632" s="13" t="s">
        <v>1049</v>
      </c>
      <c r="F632" s="13">
        <v>525</v>
      </c>
      <c r="G632" s="15">
        <v>45742</v>
      </c>
      <c r="H632" s="15">
        <v>45749</v>
      </c>
      <c r="I632" s="13" t="s">
        <v>1050</v>
      </c>
      <c r="J632" s="13" t="s">
        <v>379</v>
      </c>
      <c r="K632" s="18"/>
      <c r="L632" s="4"/>
    </row>
    <row r="633" spans="1:12" s="2" customFormat="1" ht="15" hidden="1" customHeight="1" x14ac:dyDescent="0.3">
      <c r="A633" s="13" t="s">
        <v>630</v>
      </c>
      <c r="B633" s="13"/>
      <c r="C633" s="13">
        <v>10880034197</v>
      </c>
      <c r="D633" s="14">
        <v>990000107892</v>
      </c>
      <c r="E633" s="13" t="s">
        <v>207</v>
      </c>
      <c r="F633" s="13">
        <v>1</v>
      </c>
      <c r="G633" s="15">
        <v>45744</v>
      </c>
      <c r="H633" s="15">
        <v>45745</v>
      </c>
      <c r="I633" s="13" t="s">
        <v>1042</v>
      </c>
      <c r="J633" s="13" t="s">
        <v>379</v>
      </c>
      <c r="K633" s="18"/>
      <c r="L633" s="4"/>
    </row>
    <row r="634" spans="1:12" s="2" customFormat="1" ht="15" hidden="1" customHeight="1" x14ac:dyDescent="0.3">
      <c r="A634" s="13" t="s">
        <v>630</v>
      </c>
      <c r="B634" s="13"/>
      <c r="C634" s="13">
        <v>10880034194</v>
      </c>
      <c r="D634" s="14">
        <v>990000107890</v>
      </c>
      <c r="E634" s="13" t="s">
        <v>1051</v>
      </c>
      <c r="F634" s="13">
        <v>5</v>
      </c>
      <c r="G634" s="15">
        <v>45744</v>
      </c>
      <c r="H634" s="15">
        <v>45746</v>
      </c>
      <c r="I634" s="13" t="s">
        <v>1042</v>
      </c>
      <c r="J634" s="13" t="s">
        <v>379</v>
      </c>
      <c r="K634" s="18"/>
      <c r="L634" s="4"/>
    </row>
    <row r="635" spans="1:12" s="2" customFormat="1" ht="15" hidden="1" customHeight="1" x14ac:dyDescent="0.3">
      <c r="A635" s="13" t="s">
        <v>630</v>
      </c>
      <c r="B635" s="13"/>
      <c r="C635" s="13">
        <v>10880034196</v>
      </c>
      <c r="D635" s="14">
        <v>990000107891</v>
      </c>
      <c r="E635" s="13" t="s">
        <v>1052</v>
      </c>
      <c r="F635" s="13">
        <v>2</v>
      </c>
      <c r="G635" s="15">
        <v>45744</v>
      </c>
      <c r="H635" s="15">
        <v>45746</v>
      </c>
      <c r="I635" s="13" t="s">
        <v>1042</v>
      </c>
      <c r="J635" s="13" t="s">
        <v>379</v>
      </c>
      <c r="K635" s="18"/>
      <c r="L635" s="4"/>
    </row>
    <row r="636" spans="1:12" s="2" customFormat="1" ht="15" hidden="1" customHeight="1" x14ac:dyDescent="0.3">
      <c r="A636" s="13" t="s">
        <v>630</v>
      </c>
      <c r="B636" s="13"/>
      <c r="C636" s="13">
        <v>10880033400</v>
      </c>
      <c r="D636" s="14">
        <v>990000107919</v>
      </c>
      <c r="E636" s="13" t="s">
        <v>792</v>
      </c>
      <c r="F636" s="13">
        <v>200</v>
      </c>
      <c r="G636" s="15">
        <v>45744</v>
      </c>
      <c r="H636" s="15">
        <v>45758</v>
      </c>
      <c r="I636" s="13" t="s">
        <v>1035</v>
      </c>
      <c r="J636" s="13" t="s">
        <v>379</v>
      </c>
      <c r="K636" s="18"/>
      <c r="L636" s="4"/>
    </row>
    <row r="637" spans="1:12" s="2" customFormat="1" ht="15" hidden="1" customHeight="1" x14ac:dyDescent="0.3">
      <c r="A637" s="13" t="s">
        <v>738</v>
      </c>
      <c r="B637" s="13"/>
      <c r="C637" s="13">
        <v>10880029999</v>
      </c>
      <c r="D637" s="14">
        <v>990000107920</v>
      </c>
      <c r="E637" s="13" t="s">
        <v>631</v>
      </c>
      <c r="F637" s="13">
        <v>500</v>
      </c>
      <c r="G637" s="15">
        <v>45744</v>
      </c>
      <c r="H637" s="15">
        <v>45761</v>
      </c>
      <c r="I637" s="13" t="s">
        <v>1053</v>
      </c>
      <c r="J637" s="13" t="s">
        <v>379</v>
      </c>
      <c r="K637" s="18"/>
      <c r="L637" s="4"/>
    </row>
    <row r="638" spans="1:12" s="2" customFormat="1" ht="15" hidden="1" customHeight="1" x14ac:dyDescent="0.3">
      <c r="A638" s="13" t="s">
        <v>738</v>
      </c>
      <c r="B638" s="13"/>
      <c r="C638" s="13">
        <v>10880022406</v>
      </c>
      <c r="D638" s="14">
        <v>990000107966</v>
      </c>
      <c r="E638" s="13" t="s">
        <v>528</v>
      </c>
      <c r="F638" s="13">
        <v>5161</v>
      </c>
      <c r="G638" s="15">
        <v>45747</v>
      </c>
      <c r="H638" s="15">
        <v>45747</v>
      </c>
      <c r="I638" s="13" t="s">
        <v>1054</v>
      </c>
      <c r="J638" s="13" t="s">
        <v>379</v>
      </c>
      <c r="K638" s="18"/>
      <c r="L638" s="4"/>
    </row>
    <row r="639" spans="1:12" s="2" customFormat="1" ht="15" hidden="1" customHeight="1" x14ac:dyDescent="0.3">
      <c r="A639" s="13" t="s">
        <v>630</v>
      </c>
      <c r="B639" s="13"/>
      <c r="C639" s="13">
        <v>10880030551</v>
      </c>
      <c r="D639" s="14">
        <v>990000107981</v>
      </c>
      <c r="E639" s="13" t="s">
        <v>763</v>
      </c>
      <c r="F639" s="13">
        <v>9</v>
      </c>
      <c r="G639" s="15">
        <v>45748</v>
      </c>
      <c r="H639" s="15">
        <v>45759</v>
      </c>
      <c r="I639" s="13" t="s">
        <v>1055</v>
      </c>
      <c r="J639" s="13" t="s">
        <v>423</v>
      </c>
      <c r="K639" s="18"/>
      <c r="L639" s="4"/>
    </row>
    <row r="640" spans="1:12" s="2" customFormat="1" ht="15" hidden="1" customHeight="1" x14ac:dyDescent="0.3">
      <c r="A640" s="13" t="s">
        <v>630</v>
      </c>
      <c r="B640" s="13"/>
      <c r="C640" s="13">
        <v>10880034619</v>
      </c>
      <c r="D640" s="14">
        <v>990000107982</v>
      </c>
      <c r="E640" s="13" t="s">
        <v>53</v>
      </c>
      <c r="F640" s="13">
        <v>2</v>
      </c>
      <c r="G640" s="15">
        <v>45748</v>
      </c>
      <c r="H640" s="15">
        <v>45759</v>
      </c>
      <c r="I640" s="13" t="s">
        <v>1055</v>
      </c>
      <c r="J640" s="13" t="s">
        <v>379</v>
      </c>
      <c r="K640" s="18"/>
      <c r="L640" s="4"/>
    </row>
    <row r="641" spans="1:12" s="2" customFormat="1" ht="15" hidden="1" customHeight="1" x14ac:dyDescent="0.3">
      <c r="A641" s="13" t="s">
        <v>630</v>
      </c>
      <c r="B641" s="13"/>
      <c r="C641" s="13">
        <v>10880031011</v>
      </c>
      <c r="D641" s="14">
        <v>990000107983</v>
      </c>
      <c r="E641" s="13" t="s">
        <v>49</v>
      </c>
      <c r="F641" s="13">
        <v>28</v>
      </c>
      <c r="G641" s="15">
        <v>45748</v>
      </c>
      <c r="H641" s="15">
        <v>45759</v>
      </c>
      <c r="I641" s="13" t="s">
        <v>1055</v>
      </c>
      <c r="J641" s="13" t="s">
        <v>423</v>
      </c>
      <c r="K641" s="18"/>
      <c r="L641" s="4"/>
    </row>
    <row r="642" spans="1:12" s="2" customFormat="1" ht="15" hidden="1" customHeight="1" x14ac:dyDescent="0.3">
      <c r="A642" s="13" t="s">
        <v>630</v>
      </c>
      <c r="B642" s="13"/>
      <c r="C642" s="13">
        <v>10880034621</v>
      </c>
      <c r="D642" s="14">
        <v>990000107984</v>
      </c>
      <c r="E642" s="13" t="s">
        <v>996</v>
      </c>
      <c r="F642" s="13">
        <v>3</v>
      </c>
      <c r="G642" s="15">
        <v>45748</v>
      </c>
      <c r="H642" s="15">
        <v>45759</v>
      </c>
      <c r="I642" s="13" t="s">
        <v>1055</v>
      </c>
      <c r="J642" s="13" t="s">
        <v>379</v>
      </c>
      <c r="K642" s="18"/>
      <c r="L642" s="4"/>
    </row>
    <row r="643" spans="1:12" s="2" customFormat="1" ht="15" hidden="1" customHeight="1" x14ac:dyDescent="0.3">
      <c r="A643" s="13" t="s">
        <v>630</v>
      </c>
      <c r="B643" s="13"/>
      <c r="C643" s="13">
        <v>10880031570</v>
      </c>
      <c r="D643" s="14">
        <v>990000107959</v>
      </c>
      <c r="E643" s="13" t="s">
        <v>1043</v>
      </c>
      <c r="F643" s="13">
        <v>481</v>
      </c>
      <c r="G643" s="15">
        <v>45748</v>
      </c>
      <c r="H643" s="15" t="s">
        <v>487</v>
      </c>
      <c r="I643" s="13" t="s">
        <v>1044</v>
      </c>
      <c r="J643" s="13" t="s">
        <v>489</v>
      </c>
      <c r="K643" s="18"/>
      <c r="L643" s="4"/>
    </row>
    <row r="644" spans="1:12" s="2" customFormat="1" ht="15" hidden="1" customHeight="1" x14ac:dyDescent="0.3">
      <c r="A644" s="13" t="s">
        <v>738</v>
      </c>
      <c r="B644" s="13"/>
      <c r="C644" s="13">
        <v>10880034417</v>
      </c>
      <c r="D644" s="14">
        <v>990000108064</v>
      </c>
      <c r="E644" s="13" t="s">
        <v>1056</v>
      </c>
      <c r="F644" s="13">
        <v>2000</v>
      </c>
      <c r="G644" s="15">
        <v>45749</v>
      </c>
      <c r="H644" s="15" t="s">
        <v>487</v>
      </c>
      <c r="I644" s="13" t="s">
        <v>1057</v>
      </c>
      <c r="J644" s="13" t="s">
        <v>489</v>
      </c>
      <c r="K644" s="18"/>
      <c r="L644" s="4"/>
    </row>
    <row r="645" spans="1:12" s="2" customFormat="1" ht="15" hidden="1" customHeight="1" x14ac:dyDescent="0.3">
      <c r="A645" s="13" t="s">
        <v>738</v>
      </c>
      <c r="B645" s="13"/>
      <c r="C645" s="13">
        <v>10880012982</v>
      </c>
      <c r="D645" s="14">
        <v>990000108073</v>
      </c>
      <c r="E645" s="13" t="s">
        <v>1058</v>
      </c>
      <c r="F645" s="13">
        <v>47</v>
      </c>
      <c r="G645" s="15">
        <v>45750</v>
      </c>
      <c r="H645" s="15">
        <v>45759</v>
      </c>
      <c r="I645" s="13" t="s">
        <v>1059</v>
      </c>
      <c r="J645" s="13" t="s">
        <v>379</v>
      </c>
      <c r="K645" s="18"/>
      <c r="L645" s="4"/>
    </row>
    <row r="646" spans="1:12" s="2" customFormat="1" ht="15" hidden="1" customHeight="1" x14ac:dyDescent="0.3">
      <c r="A646" s="13" t="s">
        <v>738</v>
      </c>
      <c r="B646" s="13"/>
      <c r="C646" s="13">
        <v>10880012987</v>
      </c>
      <c r="D646" s="14">
        <v>990000108074</v>
      </c>
      <c r="E646" s="13" t="s">
        <v>1038</v>
      </c>
      <c r="F646" s="13">
        <v>40</v>
      </c>
      <c r="G646" s="15">
        <v>45750</v>
      </c>
      <c r="H646" s="15">
        <v>45759</v>
      </c>
      <c r="I646" s="13" t="s">
        <v>1059</v>
      </c>
      <c r="J646" s="13" t="s">
        <v>379</v>
      </c>
      <c r="K646" s="18"/>
      <c r="L646" s="4"/>
    </row>
    <row r="647" spans="1:12" s="2" customFormat="1" ht="15" hidden="1" customHeight="1" x14ac:dyDescent="0.3">
      <c r="A647" s="13" t="s">
        <v>738</v>
      </c>
      <c r="B647" s="13"/>
      <c r="C647" s="13">
        <v>10880015830</v>
      </c>
      <c r="D647" s="14">
        <v>990000108075</v>
      </c>
      <c r="E647" s="13" t="s">
        <v>1060</v>
      </c>
      <c r="F647" s="13">
        <v>221</v>
      </c>
      <c r="G647" s="15">
        <v>45750</v>
      </c>
      <c r="H647" s="15">
        <v>45759</v>
      </c>
      <c r="I647" s="13" t="s">
        <v>1059</v>
      </c>
      <c r="J647" s="13" t="s">
        <v>379</v>
      </c>
      <c r="K647" s="18"/>
      <c r="L647" s="4"/>
    </row>
    <row r="648" spans="1:12" s="2" customFormat="1" ht="15" hidden="1" customHeight="1" x14ac:dyDescent="0.3">
      <c r="A648" s="13" t="s">
        <v>738</v>
      </c>
      <c r="B648" s="13"/>
      <c r="C648" s="13">
        <v>10880018105</v>
      </c>
      <c r="D648" s="14">
        <v>990000108077</v>
      </c>
      <c r="E648" s="13" t="s">
        <v>1061</v>
      </c>
      <c r="F648" s="13">
        <v>60</v>
      </c>
      <c r="G648" s="15">
        <v>45750</v>
      </c>
      <c r="H648" s="15">
        <v>45762</v>
      </c>
      <c r="I648" s="13" t="s">
        <v>1062</v>
      </c>
      <c r="J648" s="13" t="s">
        <v>379</v>
      </c>
      <c r="K648" s="18"/>
      <c r="L648" s="4"/>
    </row>
    <row r="649" spans="1:12" s="2" customFormat="1" ht="15" hidden="1" customHeight="1" x14ac:dyDescent="0.3">
      <c r="A649" s="13" t="s">
        <v>738</v>
      </c>
      <c r="B649" s="13"/>
      <c r="C649" s="13">
        <v>10880033663</v>
      </c>
      <c r="D649" s="14">
        <v>990000108088</v>
      </c>
      <c r="E649" s="13" t="s">
        <v>1040</v>
      </c>
      <c r="F649" s="13">
        <v>1000</v>
      </c>
      <c r="G649" s="15">
        <v>45750</v>
      </c>
      <c r="H649" s="15" t="s">
        <v>487</v>
      </c>
      <c r="I649" s="13" t="s">
        <v>1063</v>
      </c>
      <c r="J649" s="13" t="s">
        <v>489</v>
      </c>
      <c r="K649" s="18"/>
      <c r="L649" s="4"/>
    </row>
    <row r="650" spans="1:12" s="2" customFormat="1" ht="15" hidden="1" customHeight="1" x14ac:dyDescent="0.3">
      <c r="A650" s="13" t="s">
        <v>738</v>
      </c>
      <c r="B650" s="13"/>
      <c r="C650" s="13">
        <v>10880022123</v>
      </c>
      <c r="D650" s="14">
        <v>990000108079</v>
      </c>
      <c r="E650" s="13" t="s">
        <v>1064</v>
      </c>
      <c r="F650" s="13">
        <v>200</v>
      </c>
      <c r="G650" s="15">
        <v>45750</v>
      </c>
      <c r="H650" s="15">
        <v>45783</v>
      </c>
      <c r="I650" s="13" t="s">
        <v>1062</v>
      </c>
      <c r="J650" s="13" t="s">
        <v>379</v>
      </c>
      <c r="K650" s="18"/>
      <c r="L650" s="4"/>
    </row>
    <row r="651" spans="1:12" s="2" customFormat="1" ht="15" hidden="1" customHeight="1" x14ac:dyDescent="0.3">
      <c r="A651" s="13" t="s">
        <v>738</v>
      </c>
      <c r="B651" s="13"/>
      <c r="C651" s="13">
        <v>10880022044</v>
      </c>
      <c r="D651" s="14">
        <v>990000108078</v>
      </c>
      <c r="E651" s="13" t="s">
        <v>1065</v>
      </c>
      <c r="F651" s="13">
        <v>60</v>
      </c>
      <c r="G651" s="15">
        <v>45750</v>
      </c>
      <c r="H651" s="15">
        <v>45805</v>
      </c>
      <c r="I651" s="13" t="s">
        <v>1062</v>
      </c>
      <c r="J651" s="13" t="s">
        <v>379</v>
      </c>
      <c r="K651" s="18"/>
      <c r="L651" s="4"/>
    </row>
    <row r="652" spans="1:12" s="2" customFormat="1" ht="15" hidden="1" customHeight="1" x14ac:dyDescent="0.3">
      <c r="A652" s="13" t="s">
        <v>738</v>
      </c>
      <c r="B652" s="13"/>
      <c r="C652" s="13">
        <v>10880031570</v>
      </c>
      <c r="D652" s="14">
        <v>990000108090</v>
      </c>
      <c r="E652" s="13" t="s">
        <v>1043</v>
      </c>
      <c r="F652" s="13">
        <v>1000</v>
      </c>
      <c r="G652" s="15">
        <v>45750</v>
      </c>
      <c r="H652" s="15" t="s">
        <v>487</v>
      </c>
      <c r="I652" s="13" t="s">
        <v>1066</v>
      </c>
      <c r="J652" s="13" t="s">
        <v>489</v>
      </c>
      <c r="K652" s="18"/>
      <c r="L652" s="4"/>
    </row>
    <row r="653" spans="1:12" s="2" customFormat="1" ht="15" hidden="1" customHeight="1" x14ac:dyDescent="0.3">
      <c r="A653" s="13" t="s">
        <v>738</v>
      </c>
      <c r="B653" s="13"/>
      <c r="C653" s="13">
        <v>10880022440</v>
      </c>
      <c r="D653" s="14">
        <v>990000108118</v>
      </c>
      <c r="E653" s="13" t="s">
        <v>794</v>
      </c>
      <c r="F653" s="13">
        <v>50</v>
      </c>
      <c r="G653" s="15">
        <v>45754</v>
      </c>
      <c r="H653" s="15">
        <v>45755</v>
      </c>
      <c r="I653" s="13" t="s">
        <v>1067</v>
      </c>
      <c r="J653" s="13" t="s">
        <v>379</v>
      </c>
      <c r="K653" s="18"/>
      <c r="L653" s="4"/>
    </row>
    <row r="654" spans="1:12" s="2" customFormat="1" ht="15" hidden="1" customHeight="1" x14ac:dyDescent="0.3">
      <c r="A654" s="13" t="s">
        <v>738</v>
      </c>
      <c r="B654" s="13"/>
      <c r="C654" s="13">
        <v>10880034575</v>
      </c>
      <c r="D654" s="14">
        <v>990000108097</v>
      </c>
      <c r="E654" s="13" t="s">
        <v>1049</v>
      </c>
      <c r="F654" s="13">
        <v>150</v>
      </c>
      <c r="G654" s="15">
        <v>45754</v>
      </c>
      <c r="H654" s="15">
        <v>45754</v>
      </c>
      <c r="I654" s="13" t="s">
        <v>1068</v>
      </c>
      <c r="J654" s="13" t="s">
        <v>379</v>
      </c>
      <c r="K654" s="18"/>
      <c r="L654" s="4"/>
    </row>
    <row r="655" spans="1:12" s="2" customFormat="1" ht="15" hidden="1" customHeight="1" x14ac:dyDescent="0.3">
      <c r="A655" s="13" t="s">
        <v>738</v>
      </c>
      <c r="B655" s="13"/>
      <c r="C655" s="13">
        <v>10880028306</v>
      </c>
      <c r="D655" s="14">
        <v>990000108143</v>
      </c>
      <c r="E655" s="13" t="s">
        <v>185</v>
      </c>
      <c r="F655" s="13">
        <v>174</v>
      </c>
      <c r="G655" s="15">
        <v>45754</v>
      </c>
      <c r="H655" s="15">
        <v>45757</v>
      </c>
      <c r="I655" s="13" t="s">
        <v>1069</v>
      </c>
      <c r="J655" s="13" t="s">
        <v>379</v>
      </c>
      <c r="K655" s="18"/>
      <c r="L655" s="4"/>
    </row>
    <row r="656" spans="1:12" s="2" customFormat="1" ht="15" hidden="1" customHeight="1" x14ac:dyDescent="0.3">
      <c r="A656" s="13" t="s">
        <v>738</v>
      </c>
      <c r="B656" s="13"/>
      <c r="C656" s="13">
        <v>10880018093</v>
      </c>
      <c r="D656" s="14">
        <v>990000108144</v>
      </c>
      <c r="E656" s="13" t="s">
        <v>162</v>
      </c>
      <c r="F656" s="13">
        <v>349</v>
      </c>
      <c r="G656" s="15">
        <v>45754</v>
      </c>
      <c r="H656" s="15">
        <v>45768</v>
      </c>
      <c r="I656" s="13" t="s">
        <v>1070</v>
      </c>
      <c r="J656" s="13" t="s">
        <v>379</v>
      </c>
      <c r="K656" s="18"/>
      <c r="L656" s="4"/>
    </row>
    <row r="657" spans="1:12" s="2" customFormat="1" ht="15" hidden="1" customHeight="1" x14ac:dyDescent="0.3">
      <c r="A657" s="13" t="s">
        <v>738</v>
      </c>
      <c r="B657" s="13"/>
      <c r="C657" s="13">
        <v>10880021612</v>
      </c>
      <c r="D657" s="14">
        <v>990000108098</v>
      </c>
      <c r="E657" s="13" t="s">
        <v>838</v>
      </c>
      <c r="F657" s="13">
        <v>1016</v>
      </c>
      <c r="G657" s="15">
        <v>45754</v>
      </c>
      <c r="H657" s="15">
        <v>45774</v>
      </c>
      <c r="I657" s="13" t="s">
        <v>1071</v>
      </c>
      <c r="J657" s="13" t="s">
        <v>379</v>
      </c>
      <c r="K657" s="18"/>
      <c r="L657" s="4"/>
    </row>
    <row r="658" spans="1:12" s="2" customFormat="1" ht="15" hidden="1" customHeight="1" x14ac:dyDescent="0.3">
      <c r="A658" s="13" t="s">
        <v>738</v>
      </c>
      <c r="B658" s="13"/>
      <c r="C658" s="13">
        <v>10880035409</v>
      </c>
      <c r="D658" s="14">
        <v>990000108129</v>
      </c>
      <c r="E658" s="13" t="s">
        <v>332</v>
      </c>
      <c r="F658" s="13">
        <v>50</v>
      </c>
      <c r="G658" s="15">
        <v>45755</v>
      </c>
      <c r="H658" s="15">
        <v>45761</v>
      </c>
      <c r="I658" s="13" t="s">
        <v>1072</v>
      </c>
      <c r="J658" s="13" t="s">
        <v>379</v>
      </c>
      <c r="K658" s="18"/>
      <c r="L658" s="4"/>
    </row>
    <row r="659" spans="1:12" s="2" customFormat="1" ht="15" hidden="1" customHeight="1" x14ac:dyDescent="0.3">
      <c r="A659" s="13" t="s">
        <v>738</v>
      </c>
      <c r="B659" s="13"/>
      <c r="C659" s="13">
        <v>10880035407</v>
      </c>
      <c r="D659" s="14">
        <v>990000108128</v>
      </c>
      <c r="E659" s="13" t="s">
        <v>1073</v>
      </c>
      <c r="F659" s="13">
        <v>50</v>
      </c>
      <c r="G659" s="15">
        <v>45755</v>
      </c>
      <c r="H659" s="15">
        <v>45784</v>
      </c>
      <c r="I659" s="13" t="s">
        <v>1074</v>
      </c>
      <c r="J659" s="13" t="s">
        <v>379</v>
      </c>
      <c r="K659" s="18"/>
      <c r="L659" s="4"/>
    </row>
    <row r="660" spans="1:12" s="2" customFormat="1" ht="15" hidden="1" customHeight="1" x14ac:dyDescent="0.3">
      <c r="A660" s="13" t="s">
        <v>738</v>
      </c>
      <c r="B660" s="13"/>
      <c r="C660" s="13">
        <v>10880029837</v>
      </c>
      <c r="D660" s="14">
        <v>990000108130</v>
      </c>
      <c r="E660" s="13" t="s">
        <v>1075</v>
      </c>
      <c r="F660" s="13">
        <v>60</v>
      </c>
      <c r="G660" s="15">
        <v>45755</v>
      </c>
      <c r="H660" s="15" t="s">
        <v>487</v>
      </c>
      <c r="I660" s="13" t="s">
        <v>1062</v>
      </c>
      <c r="J660" s="13" t="s">
        <v>489</v>
      </c>
      <c r="K660" s="18"/>
      <c r="L660" s="4"/>
    </row>
    <row r="661" spans="1:12" s="2" customFormat="1" ht="15" hidden="1" customHeight="1" x14ac:dyDescent="0.3">
      <c r="A661" s="13" t="s">
        <v>738</v>
      </c>
      <c r="B661" s="13"/>
      <c r="C661" s="13">
        <v>10880033560</v>
      </c>
      <c r="D661" s="14">
        <v>990000108189</v>
      </c>
      <c r="E661" s="13" t="s">
        <v>1076</v>
      </c>
      <c r="F661" s="13">
        <v>328</v>
      </c>
      <c r="G661" s="15">
        <v>45756</v>
      </c>
      <c r="H661" s="15">
        <v>45759</v>
      </c>
      <c r="I661" s="13" t="s">
        <v>1077</v>
      </c>
      <c r="J661" s="13" t="s">
        <v>389</v>
      </c>
      <c r="K661" s="18"/>
      <c r="L661" s="4"/>
    </row>
    <row r="662" spans="1:12" s="2" customFormat="1" ht="15" hidden="1" customHeight="1" x14ac:dyDescent="0.3">
      <c r="A662" s="13" t="s">
        <v>738</v>
      </c>
      <c r="B662" s="13"/>
      <c r="C662" s="13">
        <v>10880033566</v>
      </c>
      <c r="D662" s="14">
        <v>990000108190</v>
      </c>
      <c r="E662" s="13" t="s">
        <v>1078</v>
      </c>
      <c r="F662" s="13">
        <v>274</v>
      </c>
      <c r="G662" s="15">
        <v>45756</v>
      </c>
      <c r="H662" s="15">
        <v>45759</v>
      </c>
      <c r="I662" s="13" t="s">
        <v>1079</v>
      </c>
      <c r="J662" s="13" t="s">
        <v>389</v>
      </c>
      <c r="K662" s="18"/>
      <c r="L662" s="4"/>
    </row>
    <row r="663" spans="1:12" s="2" customFormat="1" ht="15" hidden="1" customHeight="1" x14ac:dyDescent="0.3">
      <c r="A663" s="13" t="s">
        <v>738</v>
      </c>
      <c r="B663" s="13"/>
      <c r="C663" s="13">
        <v>10880033312</v>
      </c>
      <c r="D663" s="14">
        <v>990000108191</v>
      </c>
      <c r="E663" s="13" t="s">
        <v>945</v>
      </c>
      <c r="F663" s="13">
        <v>224</v>
      </c>
      <c r="G663" s="15">
        <v>45756</v>
      </c>
      <c r="H663" s="15">
        <v>45759</v>
      </c>
      <c r="I663" s="13" t="s">
        <v>1080</v>
      </c>
      <c r="J663" s="13" t="s">
        <v>389</v>
      </c>
      <c r="K663" s="18"/>
      <c r="L663" s="4"/>
    </row>
    <row r="664" spans="1:12" s="2" customFormat="1" ht="15" hidden="1" customHeight="1" x14ac:dyDescent="0.3">
      <c r="A664" s="13" t="s">
        <v>738</v>
      </c>
      <c r="B664" s="13"/>
      <c r="C664" s="13">
        <v>10880030243</v>
      </c>
      <c r="D664" s="14">
        <v>990000108275</v>
      </c>
      <c r="E664" s="13" t="s">
        <v>522</v>
      </c>
      <c r="F664" s="13">
        <v>60</v>
      </c>
      <c r="G664" s="15">
        <v>45761</v>
      </c>
      <c r="H664" s="15">
        <v>45761</v>
      </c>
      <c r="I664" s="13" t="s">
        <v>1062</v>
      </c>
      <c r="J664" s="13" t="s">
        <v>379</v>
      </c>
      <c r="K664" s="18"/>
      <c r="L664" s="4"/>
    </row>
    <row r="665" spans="1:12" s="2" customFormat="1" ht="15" hidden="1" customHeight="1" x14ac:dyDescent="0.3">
      <c r="A665" s="13" t="s">
        <v>738</v>
      </c>
      <c r="B665" s="13"/>
      <c r="C665" s="13">
        <v>10880034196</v>
      </c>
      <c r="D665" s="14">
        <v>990000108276</v>
      </c>
      <c r="E665" s="13" t="s">
        <v>1052</v>
      </c>
      <c r="F665" s="13">
        <v>1</v>
      </c>
      <c r="G665" s="15">
        <v>45761</v>
      </c>
      <c r="H665" s="15">
        <v>45767</v>
      </c>
      <c r="I665" s="13" t="s">
        <v>1042</v>
      </c>
      <c r="J665" s="13" t="s">
        <v>379</v>
      </c>
      <c r="K665" s="18"/>
      <c r="L665" s="4"/>
    </row>
    <row r="666" spans="1:12" s="2" customFormat="1" ht="15" hidden="1" customHeight="1" x14ac:dyDescent="0.3">
      <c r="A666" s="13" t="s">
        <v>738</v>
      </c>
      <c r="B666" s="13"/>
      <c r="C666" s="13">
        <v>10880033564</v>
      </c>
      <c r="D666" s="14">
        <v>990000108259</v>
      </c>
      <c r="E666" s="13" t="s">
        <v>1081</v>
      </c>
      <c r="F666" s="13">
        <v>1625</v>
      </c>
      <c r="G666" s="15">
        <v>45761</v>
      </c>
      <c r="H666" s="15">
        <v>45774</v>
      </c>
      <c r="I666" s="13" t="s">
        <v>1082</v>
      </c>
      <c r="J666" s="13" t="s">
        <v>379</v>
      </c>
      <c r="K666" s="18"/>
      <c r="L666" s="4"/>
    </row>
    <row r="667" spans="1:12" s="2" customFormat="1" ht="15" hidden="1" customHeight="1" x14ac:dyDescent="0.3">
      <c r="A667" s="13" t="s">
        <v>738</v>
      </c>
      <c r="B667" s="13"/>
      <c r="C667" s="13">
        <v>10880030004</v>
      </c>
      <c r="D667" s="14">
        <v>990000108386</v>
      </c>
      <c r="E667" s="13" t="s">
        <v>254</v>
      </c>
      <c r="F667" s="13">
        <v>586</v>
      </c>
      <c r="G667" s="15">
        <v>45765</v>
      </c>
      <c r="H667" s="15">
        <v>45791</v>
      </c>
      <c r="I667" s="13" t="s">
        <v>1083</v>
      </c>
      <c r="J667" s="13" t="s">
        <v>379</v>
      </c>
      <c r="K667" s="18"/>
      <c r="L667" s="4"/>
    </row>
    <row r="668" spans="1:12" s="2" customFormat="1" ht="15" hidden="1" customHeight="1" x14ac:dyDescent="0.3">
      <c r="A668" s="13" t="s">
        <v>738</v>
      </c>
      <c r="B668" s="13"/>
      <c r="C668" s="13">
        <v>10880034417</v>
      </c>
      <c r="D668" s="14">
        <v>990000108388</v>
      </c>
      <c r="E668" s="13" t="s">
        <v>1056</v>
      </c>
      <c r="F668" s="13">
        <v>199</v>
      </c>
      <c r="G668" s="15">
        <v>45766</v>
      </c>
      <c r="H668" s="15">
        <v>45768</v>
      </c>
      <c r="I668" s="13" t="s">
        <v>1084</v>
      </c>
      <c r="J668" s="13" t="s">
        <v>379</v>
      </c>
      <c r="K668" s="18"/>
      <c r="L668" s="4"/>
    </row>
    <row r="669" spans="1:12" s="2" customFormat="1" ht="15" hidden="1" customHeight="1" x14ac:dyDescent="0.3">
      <c r="A669" s="13" t="s">
        <v>738</v>
      </c>
      <c r="B669" s="13"/>
      <c r="C669" s="13">
        <v>10880034575</v>
      </c>
      <c r="D669" s="14">
        <v>990000108387</v>
      </c>
      <c r="E669" s="13" t="s">
        <v>1049</v>
      </c>
      <c r="F669" s="13">
        <v>1500</v>
      </c>
      <c r="G669" s="15">
        <v>45766</v>
      </c>
      <c r="H669" s="15" t="s">
        <v>487</v>
      </c>
      <c r="I669" s="13" t="s">
        <v>1085</v>
      </c>
      <c r="J669" s="13" t="s">
        <v>489</v>
      </c>
      <c r="K669" s="18"/>
      <c r="L669" s="4"/>
    </row>
    <row r="670" spans="1:12" s="2" customFormat="1" ht="15" hidden="1" customHeight="1" x14ac:dyDescent="0.3">
      <c r="A670" s="13" t="s">
        <v>738</v>
      </c>
      <c r="B670" s="13"/>
      <c r="C670" s="13">
        <v>10880034956</v>
      </c>
      <c r="D670" s="14">
        <v>990000108413</v>
      </c>
      <c r="E670" s="13" t="s">
        <v>1086</v>
      </c>
      <c r="F670" s="13">
        <v>200</v>
      </c>
      <c r="G670" s="15">
        <v>45769</v>
      </c>
      <c r="H670" s="15">
        <v>45769</v>
      </c>
      <c r="I670" s="13" t="s">
        <v>1087</v>
      </c>
      <c r="J670" s="13" t="s">
        <v>379</v>
      </c>
      <c r="K670" s="18"/>
      <c r="L670" s="4"/>
    </row>
    <row r="671" spans="1:12" s="2" customFormat="1" ht="15" hidden="1" customHeight="1" x14ac:dyDescent="0.3">
      <c r="A671" s="13" t="s">
        <v>738</v>
      </c>
      <c r="B671" s="13"/>
      <c r="C671" s="13">
        <v>10880033602</v>
      </c>
      <c r="D671" s="14">
        <v>990000108414</v>
      </c>
      <c r="E671" s="13" t="s">
        <v>213</v>
      </c>
      <c r="F671" s="13">
        <v>10</v>
      </c>
      <c r="G671" s="15">
        <v>45769</v>
      </c>
      <c r="H671" s="15">
        <v>45769</v>
      </c>
      <c r="I671" s="13" t="s">
        <v>1088</v>
      </c>
      <c r="J671" s="13" t="s">
        <v>379</v>
      </c>
      <c r="K671" s="18"/>
      <c r="L671" s="4"/>
    </row>
    <row r="672" spans="1:12" s="2" customFormat="1" ht="15" hidden="1" customHeight="1" x14ac:dyDescent="0.3">
      <c r="A672" s="13" t="s">
        <v>738</v>
      </c>
      <c r="B672" s="13"/>
      <c r="C672" s="13">
        <v>10880030519</v>
      </c>
      <c r="D672" s="14">
        <v>990000108415</v>
      </c>
      <c r="E672" s="13" t="s">
        <v>208</v>
      </c>
      <c r="F672" s="13">
        <v>145</v>
      </c>
      <c r="G672" s="15">
        <v>45769</v>
      </c>
      <c r="H672" s="15">
        <v>45769</v>
      </c>
      <c r="I672" s="13" t="s">
        <v>1088</v>
      </c>
      <c r="J672" s="13" t="s">
        <v>379</v>
      </c>
      <c r="K672" s="18"/>
      <c r="L672" s="4"/>
    </row>
    <row r="673" spans="1:12" s="2" customFormat="1" ht="15" hidden="1" customHeight="1" x14ac:dyDescent="0.3">
      <c r="A673" s="13" t="s">
        <v>738</v>
      </c>
      <c r="B673" s="13"/>
      <c r="C673" s="13">
        <v>10880030520</v>
      </c>
      <c r="D673" s="14">
        <v>990000108416</v>
      </c>
      <c r="E673" s="13" t="s">
        <v>214</v>
      </c>
      <c r="F673" s="13">
        <v>172</v>
      </c>
      <c r="G673" s="15">
        <v>45769</v>
      </c>
      <c r="H673" s="15">
        <v>45769</v>
      </c>
      <c r="I673" s="13" t="s">
        <v>1088</v>
      </c>
      <c r="J673" s="13" t="s">
        <v>379</v>
      </c>
      <c r="K673" s="18"/>
      <c r="L673" s="4"/>
    </row>
    <row r="674" spans="1:12" s="2" customFormat="1" ht="15" hidden="1" customHeight="1" x14ac:dyDescent="0.3">
      <c r="A674" s="13" t="s">
        <v>738</v>
      </c>
      <c r="B674" s="13"/>
      <c r="C674" s="13">
        <v>10880034195</v>
      </c>
      <c r="D674" s="14">
        <v>990000108417</v>
      </c>
      <c r="E674" s="13" t="s">
        <v>1022</v>
      </c>
      <c r="F674" s="13">
        <v>10</v>
      </c>
      <c r="G674" s="15">
        <v>45769</v>
      </c>
      <c r="H674" s="15">
        <v>45769</v>
      </c>
      <c r="I674" s="13" t="s">
        <v>1088</v>
      </c>
      <c r="J674" s="13" t="s">
        <v>379</v>
      </c>
      <c r="K674" s="18"/>
      <c r="L674" s="4"/>
    </row>
    <row r="675" spans="1:12" s="2" customFormat="1" ht="15" hidden="1" customHeight="1" x14ac:dyDescent="0.3">
      <c r="A675" s="13" t="s">
        <v>738</v>
      </c>
      <c r="B675" s="13"/>
      <c r="C675" s="13">
        <v>10880018842</v>
      </c>
      <c r="D675" s="14">
        <v>990000108438</v>
      </c>
      <c r="E675" s="13" t="s">
        <v>1089</v>
      </c>
      <c r="F675" s="13">
        <v>210</v>
      </c>
      <c r="G675" s="15">
        <v>45769</v>
      </c>
      <c r="H675" s="15">
        <v>45771</v>
      </c>
      <c r="I675" s="13" t="s">
        <v>1090</v>
      </c>
      <c r="J675" s="13" t="s">
        <v>379</v>
      </c>
      <c r="K675" s="18"/>
      <c r="L675" s="4"/>
    </row>
    <row r="676" spans="1:12" s="2" customFormat="1" ht="15" hidden="1" customHeight="1" x14ac:dyDescent="0.3">
      <c r="A676" s="13" t="s">
        <v>738</v>
      </c>
      <c r="B676" s="13"/>
      <c r="C676" s="13">
        <v>10880033663</v>
      </c>
      <c r="D676" s="14">
        <v>990000108419</v>
      </c>
      <c r="E676" s="13" t="s">
        <v>1040</v>
      </c>
      <c r="F676" s="13">
        <v>2143</v>
      </c>
      <c r="G676" s="15">
        <v>45769</v>
      </c>
      <c r="H676" s="15">
        <v>45772</v>
      </c>
      <c r="I676" s="13" t="s">
        <v>1091</v>
      </c>
      <c r="J676" s="13" t="s">
        <v>379</v>
      </c>
      <c r="K676" s="18"/>
      <c r="L676" s="4"/>
    </row>
    <row r="677" spans="1:12" s="2" customFormat="1" ht="15" hidden="1" customHeight="1" x14ac:dyDescent="0.3">
      <c r="A677" s="13" t="s">
        <v>738</v>
      </c>
      <c r="B677" s="13"/>
      <c r="C677" s="13">
        <v>10880031242</v>
      </c>
      <c r="D677" s="14">
        <v>990000108454</v>
      </c>
      <c r="E677" s="13" t="s">
        <v>86</v>
      </c>
      <c r="F677" s="13">
        <v>35</v>
      </c>
      <c r="G677" s="15">
        <v>45770</v>
      </c>
      <c r="H677" s="15">
        <v>45774</v>
      </c>
      <c r="I677" s="13" t="s">
        <v>1092</v>
      </c>
      <c r="J677" s="13" t="s">
        <v>379</v>
      </c>
      <c r="K677" s="18"/>
      <c r="L677" s="4"/>
    </row>
    <row r="678" spans="1:12" s="2" customFormat="1" ht="15" hidden="1" customHeight="1" x14ac:dyDescent="0.3">
      <c r="A678" s="13" t="s">
        <v>879</v>
      </c>
      <c r="B678" s="13"/>
      <c r="C678" s="13">
        <v>10880031243</v>
      </c>
      <c r="D678" s="14">
        <v>990000108453</v>
      </c>
      <c r="E678" s="13" t="s">
        <v>87</v>
      </c>
      <c r="F678" s="13">
        <v>69</v>
      </c>
      <c r="G678" s="15">
        <v>45770</v>
      </c>
      <c r="H678" s="15">
        <v>45870</v>
      </c>
      <c r="I678" s="13" t="s">
        <v>1093</v>
      </c>
      <c r="J678" s="13" t="s">
        <v>379</v>
      </c>
      <c r="K678" s="18"/>
      <c r="L678" s="4"/>
    </row>
    <row r="679" spans="1:12" s="2" customFormat="1" ht="15" hidden="1" customHeight="1" x14ac:dyDescent="0.3">
      <c r="A679" s="13" t="s">
        <v>738</v>
      </c>
      <c r="B679" s="13"/>
      <c r="C679" s="13">
        <v>10880022440</v>
      </c>
      <c r="D679" s="14">
        <v>990000108583</v>
      </c>
      <c r="E679" s="13" t="s">
        <v>794</v>
      </c>
      <c r="F679" s="13">
        <v>100</v>
      </c>
      <c r="G679" s="15">
        <v>45775</v>
      </c>
      <c r="H679" s="15">
        <v>45775</v>
      </c>
      <c r="I679" s="13" t="s">
        <v>1094</v>
      </c>
      <c r="J679" s="13" t="s">
        <v>379</v>
      </c>
      <c r="K679" s="18"/>
      <c r="L679" s="4"/>
    </row>
    <row r="680" spans="1:12" s="2" customFormat="1" ht="15" hidden="1" customHeight="1" x14ac:dyDescent="0.3">
      <c r="A680" s="13" t="s">
        <v>738</v>
      </c>
      <c r="B680" s="13"/>
      <c r="C680" s="13">
        <v>10880034575</v>
      </c>
      <c r="D680" s="14">
        <v>990000108588</v>
      </c>
      <c r="E680" s="13" t="s">
        <v>1049</v>
      </c>
      <c r="F680" s="13">
        <v>50</v>
      </c>
      <c r="G680" s="15">
        <v>45775</v>
      </c>
      <c r="H680" s="15">
        <v>45783</v>
      </c>
      <c r="I680" s="13" t="s">
        <v>1095</v>
      </c>
      <c r="J680" s="13" t="s">
        <v>379</v>
      </c>
      <c r="K680" s="18"/>
      <c r="L680" s="4"/>
    </row>
    <row r="681" spans="1:12" s="2" customFormat="1" ht="15" hidden="1" customHeight="1" x14ac:dyDescent="0.3">
      <c r="A681" s="13" t="s">
        <v>738</v>
      </c>
      <c r="B681" s="13"/>
      <c r="C681" s="13">
        <v>10880031115</v>
      </c>
      <c r="D681" s="14">
        <v>990000108589</v>
      </c>
      <c r="E681" s="13" t="s">
        <v>848</v>
      </c>
      <c r="F681" s="13">
        <v>1147</v>
      </c>
      <c r="G681" s="15">
        <v>45775</v>
      </c>
      <c r="H681" s="15" t="s">
        <v>487</v>
      </c>
      <c r="I681" s="13" t="s">
        <v>1096</v>
      </c>
      <c r="J681" s="13" t="s">
        <v>489</v>
      </c>
      <c r="K681" s="18"/>
      <c r="L681" s="4"/>
    </row>
    <row r="682" spans="1:12" s="2" customFormat="1" ht="15" hidden="1" customHeight="1" x14ac:dyDescent="0.3">
      <c r="A682" s="13" t="s">
        <v>738</v>
      </c>
      <c r="B682" s="13"/>
      <c r="C682" s="13">
        <v>10880033329</v>
      </c>
      <c r="D682" s="14">
        <v>990000108590</v>
      </c>
      <c r="E682" s="13" t="s">
        <v>71</v>
      </c>
      <c r="F682" s="13">
        <v>700</v>
      </c>
      <c r="G682" s="15">
        <v>45775</v>
      </c>
      <c r="H682" s="15">
        <v>45803</v>
      </c>
      <c r="I682" s="13" t="s">
        <v>1097</v>
      </c>
      <c r="J682" s="13" t="s">
        <v>379</v>
      </c>
      <c r="K682" s="18"/>
      <c r="L682" s="4"/>
    </row>
    <row r="683" spans="1:12" s="2" customFormat="1" ht="15" hidden="1" customHeight="1" x14ac:dyDescent="0.3">
      <c r="A683" s="13" t="s">
        <v>738</v>
      </c>
      <c r="B683" s="13"/>
      <c r="C683" s="13">
        <v>10880034411</v>
      </c>
      <c r="D683" s="14">
        <v>990000108591</v>
      </c>
      <c r="E683" s="13" t="s">
        <v>1018</v>
      </c>
      <c r="F683" s="13">
        <v>900</v>
      </c>
      <c r="G683" s="15">
        <v>45775</v>
      </c>
      <c r="H683" s="15" t="s">
        <v>487</v>
      </c>
      <c r="I683" s="13" t="s">
        <v>1098</v>
      </c>
      <c r="J683" s="13" t="s">
        <v>489</v>
      </c>
      <c r="K683" s="18"/>
      <c r="L683" s="4"/>
    </row>
    <row r="684" spans="1:12" s="2" customFormat="1" ht="15" hidden="1" customHeight="1" x14ac:dyDescent="0.3">
      <c r="A684" s="13" t="s">
        <v>738</v>
      </c>
      <c r="B684" s="13"/>
      <c r="C684" s="13">
        <v>10880030334</v>
      </c>
      <c r="D684" s="14">
        <v>990000108595</v>
      </c>
      <c r="E684" s="13" t="s">
        <v>69</v>
      </c>
      <c r="F684" s="13">
        <v>1168</v>
      </c>
      <c r="G684" s="15">
        <v>45776</v>
      </c>
      <c r="H684" s="15">
        <v>45782</v>
      </c>
      <c r="I684" s="13" t="s">
        <v>1099</v>
      </c>
      <c r="J684" s="13" t="s">
        <v>389</v>
      </c>
      <c r="K684" s="18"/>
      <c r="L684" s="4"/>
    </row>
    <row r="685" spans="1:12" s="2" customFormat="1" ht="15" hidden="1" customHeight="1" x14ac:dyDescent="0.3">
      <c r="A685" s="13" t="s">
        <v>738</v>
      </c>
      <c r="B685" s="13"/>
      <c r="C685" s="13">
        <v>10880030187</v>
      </c>
      <c r="D685" s="14">
        <v>990000108616</v>
      </c>
      <c r="E685" s="13" t="s">
        <v>215</v>
      </c>
      <c r="F685" s="13">
        <v>100</v>
      </c>
      <c r="G685" s="15">
        <v>45776</v>
      </c>
      <c r="H685" s="15">
        <v>45787</v>
      </c>
      <c r="I685" s="13" t="s">
        <v>1088</v>
      </c>
      <c r="J685" s="13" t="s">
        <v>379</v>
      </c>
      <c r="K685" s="18"/>
      <c r="L685" s="4"/>
    </row>
    <row r="686" spans="1:12" s="2" customFormat="1" ht="15" hidden="1" customHeight="1" x14ac:dyDescent="0.3">
      <c r="A686" s="13" t="s">
        <v>738</v>
      </c>
      <c r="B686" s="13"/>
      <c r="C686" s="13">
        <v>10880034251</v>
      </c>
      <c r="D686" s="14">
        <v>990000108621</v>
      </c>
      <c r="E686" s="13" t="s">
        <v>989</v>
      </c>
      <c r="F686" s="13">
        <v>176</v>
      </c>
      <c r="G686" s="15">
        <v>45776</v>
      </c>
      <c r="H686" s="15">
        <v>45787</v>
      </c>
      <c r="I686" s="13" t="s">
        <v>1100</v>
      </c>
      <c r="J686" s="13" t="s">
        <v>379</v>
      </c>
      <c r="K686" s="18"/>
      <c r="L686" s="4"/>
    </row>
    <row r="687" spans="1:12" s="2" customFormat="1" ht="15" hidden="1" customHeight="1" x14ac:dyDescent="0.3">
      <c r="A687" s="13" t="s">
        <v>738</v>
      </c>
      <c r="B687" s="13"/>
      <c r="C687" s="13">
        <v>10880021344</v>
      </c>
      <c r="D687" s="14">
        <v>990000108648</v>
      </c>
      <c r="E687" s="13" t="s">
        <v>1101</v>
      </c>
      <c r="F687" s="13">
        <v>814</v>
      </c>
      <c r="G687" s="15">
        <v>45777</v>
      </c>
      <c r="H687" s="15">
        <v>45792</v>
      </c>
      <c r="I687" s="13" t="s">
        <v>1102</v>
      </c>
      <c r="J687" s="13" t="s">
        <v>379</v>
      </c>
      <c r="K687" s="18"/>
      <c r="L687" s="4"/>
    </row>
    <row r="688" spans="1:12" s="2" customFormat="1" ht="15" hidden="1" customHeight="1" x14ac:dyDescent="0.3">
      <c r="A688" s="13" t="s">
        <v>738</v>
      </c>
      <c r="B688" s="13"/>
      <c r="C688" s="13">
        <v>10880033564</v>
      </c>
      <c r="D688" s="14">
        <v>990000108735</v>
      </c>
      <c r="E688" s="13" t="s">
        <v>1081</v>
      </c>
      <c r="F688" s="13">
        <v>1792</v>
      </c>
      <c r="G688" s="15">
        <v>45785</v>
      </c>
      <c r="H688" s="15">
        <v>45785</v>
      </c>
      <c r="I688" s="13" t="s">
        <v>1103</v>
      </c>
      <c r="J688" s="13" t="s">
        <v>423</v>
      </c>
      <c r="K688" s="18"/>
      <c r="L688" s="4"/>
    </row>
    <row r="689" spans="1:12" s="2" customFormat="1" ht="15" customHeight="1" x14ac:dyDescent="0.3">
      <c r="A689" s="13" t="s">
        <v>738</v>
      </c>
      <c r="B689" s="13"/>
      <c r="C689" s="13">
        <v>10880033855</v>
      </c>
      <c r="D689" s="14">
        <v>990000108741</v>
      </c>
      <c r="E689" s="13" t="s">
        <v>890</v>
      </c>
      <c r="F689" s="13">
        <v>3177</v>
      </c>
      <c r="G689" s="15">
        <v>45785</v>
      </c>
      <c r="H689" s="15">
        <v>45793</v>
      </c>
      <c r="I689" s="13" t="s">
        <v>1104</v>
      </c>
      <c r="J689" s="13" t="s">
        <v>389</v>
      </c>
      <c r="K689" s="18"/>
      <c r="L689" s="4"/>
    </row>
    <row r="690" spans="1:12" s="2" customFormat="1" ht="15" hidden="1" customHeight="1" x14ac:dyDescent="0.3">
      <c r="A690" s="13" t="s">
        <v>738</v>
      </c>
      <c r="B690" s="13"/>
      <c r="C690" s="13">
        <v>10880033252</v>
      </c>
      <c r="D690" s="14">
        <v>990000108737</v>
      </c>
      <c r="E690" s="13" t="s">
        <v>1105</v>
      </c>
      <c r="F690" s="13">
        <v>48</v>
      </c>
      <c r="G690" s="15">
        <v>45785</v>
      </c>
      <c r="H690" s="15">
        <v>45796</v>
      </c>
      <c r="I690" s="13" t="s">
        <v>1106</v>
      </c>
      <c r="J690" s="13" t="s">
        <v>389</v>
      </c>
      <c r="K690" s="18"/>
      <c r="L690" s="4"/>
    </row>
    <row r="691" spans="1:12" s="2" customFormat="1" ht="15" hidden="1" customHeight="1" x14ac:dyDescent="0.3">
      <c r="A691" s="13" t="s">
        <v>738</v>
      </c>
      <c r="B691" s="13"/>
      <c r="C691" s="13">
        <v>10880033251</v>
      </c>
      <c r="D691" s="14">
        <v>990000108738</v>
      </c>
      <c r="E691" s="13" t="s">
        <v>958</v>
      </c>
      <c r="F691" s="13">
        <v>201</v>
      </c>
      <c r="G691" s="15">
        <v>45785</v>
      </c>
      <c r="H691" s="15">
        <v>45796</v>
      </c>
      <c r="I691" s="13" t="s">
        <v>1107</v>
      </c>
      <c r="J691" s="13" t="s">
        <v>389</v>
      </c>
      <c r="K691" s="18"/>
      <c r="L691" s="4"/>
    </row>
    <row r="692" spans="1:12" s="2" customFormat="1" ht="15" customHeight="1" x14ac:dyDescent="0.3">
      <c r="A692" s="13" t="s">
        <v>738</v>
      </c>
      <c r="B692" s="13"/>
      <c r="C692" s="13">
        <v>10880022406</v>
      </c>
      <c r="D692" s="14">
        <v>990000108743</v>
      </c>
      <c r="E692" s="13" t="s">
        <v>528</v>
      </c>
      <c r="F692" s="13">
        <v>3756</v>
      </c>
      <c r="G692" s="15">
        <v>45785</v>
      </c>
      <c r="H692" s="15">
        <v>45799</v>
      </c>
      <c r="I692" s="13" t="s">
        <v>1104</v>
      </c>
      <c r="J692" s="13" t="s">
        <v>389</v>
      </c>
      <c r="K692" s="18"/>
      <c r="L692" s="4"/>
    </row>
    <row r="693" spans="1:12" s="2" customFormat="1" ht="15" hidden="1" customHeight="1" x14ac:dyDescent="0.3">
      <c r="A693" s="13" t="s">
        <v>879</v>
      </c>
      <c r="B693" s="13"/>
      <c r="C693" s="13">
        <v>10880035381</v>
      </c>
      <c r="D693" s="14">
        <v>990000108736</v>
      </c>
      <c r="E693" s="13" t="s">
        <v>1108</v>
      </c>
      <c r="F693" s="13">
        <v>10</v>
      </c>
      <c r="G693" s="15">
        <v>45785</v>
      </c>
      <c r="H693" s="15" t="s">
        <v>1007</v>
      </c>
      <c r="I693" s="13" t="s">
        <v>1109</v>
      </c>
      <c r="J693" s="13" t="s">
        <v>489</v>
      </c>
      <c r="K693" s="18"/>
      <c r="L693" s="4"/>
    </row>
    <row r="694" spans="1:12" s="2" customFormat="1" ht="15" hidden="1" customHeight="1" x14ac:dyDescent="0.3">
      <c r="A694" s="13" t="s">
        <v>738</v>
      </c>
      <c r="B694" s="13"/>
      <c r="C694" s="13">
        <v>10880020558</v>
      </c>
      <c r="D694" s="14">
        <v>990000108771</v>
      </c>
      <c r="E694" s="13" t="s">
        <v>1014</v>
      </c>
      <c r="F694" s="13">
        <v>5000</v>
      </c>
      <c r="G694" s="15">
        <v>45786</v>
      </c>
      <c r="H694" s="15" t="s">
        <v>487</v>
      </c>
      <c r="I694" s="13" t="s">
        <v>1110</v>
      </c>
      <c r="J694" s="13" t="s">
        <v>489</v>
      </c>
      <c r="K694" s="18"/>
      <c r="L694" s="4"/>
    </row>
    <row r="695" spans="1:12" s="2" customFormat="1" ht="15" hidden="1" customHeight="1" x14ac:dyDescent="0.3">
      <c r="A695" s="13" t="s">
        <v>879</v>
      </c>
      <c r="B695" s="13"/>
      <c r="C695" s="13">
        <v>10880035380</v>
      </c>
      <c r="D695" s="14">
        <v>990000108772</v>
      </c>
      <c r="E695" s="13" t="s">
        <v>1111</v>
      </c>
      <c r="F695" s="13">
        <v>7361</v>
      </c>
      <c r="G695" s="15">
        <v>45786</v>
      </c>
      <c r="H695" s="15">
        <v>45845</v>
      </c>
      <c r="I695" s="13" t="s">
        <v>1112</v>
      </c>
      <c r="J695" s="13" t="s">
        <v>379</v>
      </c>
      <c r="K695" s="18"/>
      <c r="L695" s="4"/>
    </row>
    <row r="696" spans="1:12" s="2" customFormat="1" ht="15" hidden="1" customHeight="1" x14ac:dyDescent="0.3">
      <c r="A696" s="13" t="s">
        <v>879</v>
      </c>
      <c r="B696" s="13"/>
      <c r="C696" s="13">
        <v>10880035379</v>
      </c>
      <c r="D696" s="14">
        <v>990000108773</v>
      </c>
      <c r="E696" s="13" t="s">
        <v>1113</v>
      </c>
      <c r="F696" s="13">
        <v>12226</v>
      </c>
      <c r="G696" s="15">
        <v>45786</v>
      </c>
      <c r="H696" s="15">
        <v>45845</v>
      </c>
      <c r="I696" s="13" t="s">
        <v>1114</v>
      </c>
      <c r="J696" s="13" t="s">
        <v>379</v>
      </c>
      <c r="K696" s="18"/>
      <c r="L696" s="4"/>
    </row>
    <row r="697" spans="1:12" s="2" customFormat="1" ht="15" hidden="1" customHeight="1" x14ac:dyDescent="0.3">
      <c r="A697" s="13" t="s">
        <v>738</v>
      </c>
      <c r="B697" s="13"/>
      <c r="C697" s="13">
        <v>10880035167</v>
      </c>
      <c r="D697" s="14">
        <v>990000108785</v>
      </c>
      <c r="E697" s="13" t="s">
        <v>218</v>
      </c>
      <c r="F697" s="13">
        <v>200</v>
      </c>
      <c r="G697" s="15">
        <v>45787</v>
      </c>
      <c r="H697" s="15">
        <v>45789</v>
      </c>
      <c r="I697" s="13" t="s">
        <v>1115</v>
      </c>
      <c r="J697" s="13" t="s">
        <v>379</v>
      </c>
      <c r="K697" s="18"/>
      <c r="L697" s="4"/>
    </row>
    <row r="698" spans="1:12" s="2" customFormat="1" ht="15" hidden="1" customHeight="1" x14ac:dyDescent="0.3">
      <c r="A698" s="13" t="s">
        <v>738</v>
      </c>
      <c r="B698" s="13"/>
      <c r="C698" s="13">
        <v>10880033855</v>
      </c>
      <c r="D698" s="14">
        <v>990000108807</v>
      </c>
      <c r="E698" s="13" t="s">
        <v>890</v>
      </c>
      <c r="F698" s="13">
        <v>429</v>
      </c>
      <c r="G698" s="15">
        <v>45789</v>
      </c>
      <c r="H698" s="15">
        <v>45789</v>
      </c>
      <c r="I698" s="13" t="s">
        <v>1116</v>
      </c>
      <c r="J698" s="13" t="s">
        <v>379</v>
      </c>
      <c r="K698" s="18"/>
      <c r="L698" s="4"/>
    </row>
    <row r="699" spans="1:12" s="2" customFormat="1" ht="15" hidden="1" customHeight="1" x14ac:dyDescent="0.3">
      <c r="A699" s="13" t="s">
        <v>738</v>
      </c>
      <c r="B699" s="13"/>
      <c r="C699" s="13">
        <v>10880022441</v>
      </c>
      <c r="D699" s="14">
        <v>990000108815</v>
      </c>
      <c r="E699" s="13" t="s">
        <v>994</v>
      </c>
      <c r="F699" s="13">
        <v>9</v>
      </c>
      <c r="G699" s="15">
        <v>45789</v>
      </c>
      <c r="H699" s="15">
        <v>45789</v>
      </c>
      <c r="I699" s="13" t="s">
        <v>1117</v>
      </c>
      <c r="J699" s="13" t="s">
        <v>379</v>
      </c>
      <c r="K699" s="18"/>
      <c r="L699" s="4"/>
    </row>
    <row r="700" spans="1:12" s="2" customFormat="1" ht="15" hidden="1" customHeight="1" x14ac:dyDescent="0.3">
      <c r="A700" s="13" t="s">
        <v>738</v>
      </c>
      <c r="B700" s="13"/>
      <c r="C700" s="13">
        <v>10880034957</v>
      </c>
      <c r="D700" s="14">
        <v>990000108811</v>
      </c>
      <c r="E700" s="13" t="s">
        <v>339</v>
      </c>
      <c r="F700" s="13">
        <v>958</v>
      </c>
      <c r="G700" s="15">
        <v>45789</v>
      </c>
      <c r="H700" s="15">
        <v>45791</v>
      </c>
      <c r="I700" s="13" t="s">
        <v>1118</v>
      </c>
      <c r="J700" s="13" t="s">
        <v>379</v>
      </c>
      <c r="K700" s="18"/>
      <c r="L700" s="4"/>
    </row>
    <row r="701" spans="1:12" s="2" customFormat="1" ht="15" hidden="1" customHeight="1" x14ac:dyDescent="0.3">
      <c r="A701" s="13" t="s">
        <v>879</v>
      </c>
      <c r="B701" s="13"/>
      <c r="C701" s="13">
        <v>10880033329</v>
      </c>
      <c r="D701" s="14">
        <v>990000108802</v>
      </c>
      <c r="E701" s="13" t="s">
        <v>71</v>
      </c>
      <c r="F701" s="13">
        <v>3596</v>
      </c>
      <c r="G701" s="15">
        <v>45789</v>
      </c>
      <c r="H701" s="15">
        <v>45885</v>
      </c>
      <c r="I701" s="13" t="s">
        <v>1097</v>
      </c>
      <c r="J701" s="13" t="s">
        <v>379</v>
      </c>
      <c r="K701" s="18"/>
      <c r="L701" s="4"/>
    </row>
    <row r="702" spans="1:12" s="2" customFormat="1" ht="15" hidden="1" customHeight="1" x14ac:dyDescent="0.3">
      <c r="A702" s="13" t="s">
        <v>738</v>
      </c>
      <c r="B702" s="13"/>
      <c r="C702" s="13">
        <v>10880022044</v>
      </c>
      <c r="D702" s="14">
        <v>990000108838</v>
      </c>
      <c r="E702" s="13" t="s">
        <v>417</v>
      </c>
      <c r="F702" s="13">
        <v>2281</v>
      </c>
      <c r="G702" s="15">
        <v>45791</v>
      </c>
      <c r="H702" s="15">
        <v>45794</v>
      </c>
      <c r="I702" s="13" t="s">
        <v>1119</v>
      </c>
      <c r="J702" s="13" t="s">
        <v>379</v>
      </c>
      <c r="K702" s="18"/>
      <c r="L702" s="4"/>
    </row>
    <row r="703" spans="1:12" s="2" customFormat="1" ht="15" hidden="1" customHeight="1" x14ac:dyDescent="0.3">
      <c r="A703" s="13" t="s">
        <v>738</v>
      </c>
      <c r="B703" s="13"/>
      <c r="C703" s="13">
        <v>10880021106</v>
      </c>
      <c r="D703" s="14">
        <v>990000108843</v>
      </c>
      <c r="E703" s="13" t="s">
        <v>259</v>
      </c>
      <c r="F703" s="13">
        <v>800</v>
      </c>
      <c r="G703" s="15">
        <v>45791</v>
      </c>
      <c r="H703" s="15">
        <v>45794</v>
      </c>
      <c r="I703" s="13" t="s">
        <v>1120</v>
      </c>
      <c r="J703" s="13" t="s">
        <v>379</v>
      </c>
      <c r="K703" s="18"/>
      <c r="L703" s="4"/>
    </row>
    <row r="704" spans="1:12" s="2" customFormat="1" ht="15" hidden="1" customHeight="1" x14ac:dyDescent="0.3">
      <c r="A704" s="13" t="s">
        <v>738</v>
      </c>
      <c r="B704" s="13"/>
      <c r="C704" s="13">
        <v>10880014363</v>
      </c>
      <c r="D704" s="14">
        <v>990000108949</v>
      </c>
      <c r="E704" s="13" t="s">
        <v>713</v>
      </c>
      <c r="F704" s="13">
        <v>78</v>
      </c>
      <c r="G704" s="15">
        <v>45794</v>
      </c>
      <c r="H704" s="15">
        <v>45805</v>
      </c>
      <c r="I704" s="13" t="s">
        <v>1121</v>
      </c>
      <c r="J704" s="13" t="s">
        <v>379</v>
      </c>
      <c r="K704" s="18"/>
      <c r="L704" s="4"/>
    </row>
    <row r="705" spans="1:12" s="2" customFormat="1" ht="15" hidden="1" customHeight="1" x14ac:dyDescent="0.3">
      <c r="A705" s="13" t="s">
        <v>879</v>
      </c>
      <c r="B705" s="13"/>
      <c r="C705" s="13">
        <v>10880035325</v>
      </c>
      <c r="D705" s="14">
        <v>990000108860</v>
      </c>
      <c r="E705" s="13" t="s">
        <v>1122</v>
      </c>
      <c r="F705" s="13">
        <v>48</v>
      </c>
      <c r="G705" s="15">
        <v>45794</v>
      </c>
      <c r="H705" s="15">
        <v>45841</v>
      </c>
      <c r="I705" s="13" t="s">
        <v>1123</v>
      </c>
      <c r="J705" s="13" t="s">
        <v>389</v>
      </c>
      <c r="K705" s="18"/>
      <c r="L705" s="4"/>
    </row>
    <row r="706" spans="1:12" s="2" customFormat="1" ht="15" hidden="1" customHeight="1" x14ac:dyDescent="0.3">
      <c r="A706" s="13" t="s">
        <v>738</v>
      </c>
      <c r="B706" s="13"/>
      <c r="C706" s="13">
        <v>10880031018</v>
      </c>
      <c r="D706" s="14">
        <v>990000108988</v>
      </c>
      <c r="E706" s="13" t="s">
        <v>617</v>
      </c>
      <c r="F706" s="13">
        <v>41</v>
      </c>
      <c r="G706" s="15">
        <v>45797</v>
      </c>
      <c r="H706" s="15">
        <v>45797</v>
      </c>
      <c r="I706" s="13" t="s">
        <v>1124</v>
      </c>
      <c r="J706" s="13" t="s">
        <v>379</v>
      </c>
      <c r="K706" s="18"/>
      <c r="L706" s="4"/>
    </row>
    <row r="707" spans="1:12" s="2" customFormat="1" ht="15" hidden="1" customHeight="1" x14ac:dyDescent="0.3">
      <c r="A707" s="13" t="s">
        <v>879</v>
      </c>
      <c r="B707" s="13"/>
      <c r="C707" s="13">
        <v>10880021015</v>
      </c>
      <c r="D707" s="14">
        <v>990000108989</v>
      </c>
      <c r="E707" s="13" t="s">
        <v>82</v>
      </c>
      <c r="F707" s="13">
        <v>5</v>
      </c>
      <c r="G707" s="15">
        <v>45797</v>
      </c>
      <c r="H707" s="15">
        <v>45798</v>
      </c>
      <c r="I707" s="13" t="s">
        <v>1125</v>
      </c>
      <c r="J707" s="13" t="s">
        <v>379</v>
      </c>
      <c r="K707" s="18"/>
      <c r="L707" s="4"/>
    </row>
    <row r="708" spans="1:12" s="2" customFormat="1" ht="15" hidden="1" customHeight="1" x14ac:dyDescent="0.3">
      <c r="A708" s="13" t="s">
        <v>879</v>
      </c>
      <c r="B708" s="13"/>
      <c r="C708" s="13">
        <v>10880027988</v>
      </c>
      <c r="D708" s="14">
        <v>990000109027</v>
      </c>
      <c r="E708" s="13" t="s">
        <v>1126</v>
      </c>
      <c r="F708" s="13">
        <v>3</v>
      </c>
      <c r="G708" s="15">
        <v>45799</v>
      </c>
      <c r="H708" s="15">
        <v>45807</v>
      </c>
      <c r="I708" s="13" t="s">
        <v>1127</v>
      </c>
      <c r="J708" s="13" t="s">
        <v>379</v>
      </c>
      <c r="K708" s="18"/>
      <c r="L708" s="4"/>
    </row>
    <row r="709" spans="1:12" s="2" customFormat="1" ht="15" hidden="1" customHeight="1" x14ac:dyDescent="0.3">
      <c r="A709" s="13" t="s">
        <v>879</v>
      </c>
      <c r="B709" s="13"/>
      <c r="C709" s="13">
        <v>10880021796</v>
      </c>
      <c r="D709" s="14">
        <v>990000109167</v>
      </c>
      <c r="E709" s="13" t="s">
        <v>773</v>
      </c>
      <c r="F709" s="13">
        <v>300</v>
      </c>
      <c r="G709" s="15">
        <v>45800</v>
      </c>
      <c r="H709" s="15">
        <v>45800</v>
      </c>
      <c r="I709" s="13" t="s">
        <v>1128</v>
      </c>
      <c r="J709" s="13" t="s">
        <v>379</v>
      </c>
      <c r="K709" s="18"/>
      <c r="L709" s="4"/>
    </row>
    <row r="710" spans="1:12" s="2" customFormat="1" ht="15" hidden="1" customHeight="1" x14ac:dyDescent="0.3">
      <c r="A710" s="13" t="s">
        <v>879</v>
      </c>
      <c r="B710" s="13"/>
      <c r="C710" s="13">
        <v>10880014439</v>
      </c>
      <c r="D710" s="14">
        <v>990000109165</v>
      </c>
      <c r="E710" s="13" t="s">
        <v>840</v>
      </c>
      <c r="F710" s="13">
        <v>30</v>
      </c>
      <c r="G710" s="15">
        <v>45800</v>
      </c>
      <c r="H710" s="15">
        <v>45803</v>
      </c>
      <c r="I710" s="13" t="s">
        <v>1129</v>
      </c>
      <c r="J710" s="13" t="s">
        <v>379</v>
      </c>
      <c r="K710" s="18"/>
      <c r="L710" s="4"/>
    </row>
    <row r="711" spans="1:12" s="2" customFormat="1" ht="15" hidden="1" customHeight="1" x14ac:dyDescent="0.3">
      <c r="A711" s="13" t="s">
        <v>879</v>
      </c>
      <c r="B711" s="13"/>
      <c r="C711" s="13">
        <v>10880012985</v>
      </c>
      <c r="D711" s="14">
        <v>990000109166</v>
      </c>
      <c r="E711" s="13" t="s">
        <v>842</v>
      </c>
      <c r="F711" s="13">
        <v>10</v>
      </c>
      <c r="G711" s="15">
        <v>45800</v>
      </c>
      <c r="H711" s="15">
        <v>45803</v>
      </c>
      <c r="I711" s="13" t="s">
        <v>843</v>
      </c>
      <c r="J711" s="13" t="s">
        <v>379</v>
      </c>
      <c r="K711" s="18"/>
      <c r="L711" s="4"/>
    </row>
    <row r="712" spans="1:12" s="2" customFormat="1" ht="15" hidden="1" customHeight="1" x14ac:dyDescent="0.3">
      <c r="A712" s="13" t="s">
        <v>879</v>
      </c>
      <c r="B712" s="13"/>
      <c r="C712" s="13">
        <v>10880021106</v>
      </c>
      <c r="D712" s="14">
        <v>990000109173</v>
      </c>
      <c r="E712" s="13" t="s">
        <v>259</v>
      </c>
      <c r="F712" s="13">
        <v>50</v>
      </c>
      <c r="G712" s="15">
        <v>45803</v>
      </c>
      <c r="H712" s="15">
        <v>45803</v>
      </c>
      <c r="I712" s="13" t="s">
        <v>1130</v>
      </c>
      <c r="J712" s="13" t="s">
        <v>379</v>
      </c>
      <c r="K712" s="18"/>
      <c r="L712" s="4"/>
    </row>
    <row r="713" spans="1:12" s="2" customFormat="1" ht="15" hidden="1" customHeight="1" x14ac:dyDescent="0.3">
      <c r="A713" s="13" t="s">
        <v>879</v>
      </c>
      <c r="B713" s="13"/>
      <c r="C713" s="13">
        <v>10880033663</v>
      </c>
      <c r="D713" s="14">
        <v>990000109257</v>
      </c>
      <c r="E713" s="13" t="s">
        <v>1040</v>
      </c>
      <c r="F713" s="13">
        <v>825</v>
      </c>
      <c r="G713" s="15">
        <v>45803</v>
      </c>
      <c r="H713" s="15">
        <v>45804</v>
      </c>
      <c r="I713" s="13" t="s">
        <v>1131</v>
      </c>
      <c r="J713" s="13" t="s">
        <v>379</v>
      </c>
      <c r="K713" s="18"/>
      <c r="L713" s="4"/>
    </row>
    <row r="714" spans="1:12" s="2" customFormat="1" ht="15" hidden="1" customHeight="1" x14ac:dyDescent="0.3">
      <c r="A714" s="13" t="s">
        <v>879</v>
      </c>
      <c r="B714" s="13"/>
      <c r="C714" s="13">
        <v>10880022470</v>
      </c>
      <c r="D714" s="14">
        <v>990000109330</v>
      </c>
      <c r="E714" s="13" t="s">
        <v>897</v>
      </c>
      <c r="F714" s="13">
        <v>13</v>
      </c>
      <c r="G714" s="15">
        <v>45803</v>
      </c>
      <c r="H714" s="15">
        <v>45804</v>
      </c>
      <c r="I714" s="13" t="s">
        <v>1132</v>
      </c>
      <c r="J714" s="13" t="s">
        <v>389</v>
      </c>
      <c r="K714" s="18"/>
      <c r="L714" s="4"/>
    </row>
    <row r="715" spans="1:12" s="2" customFormat="1" ht="15" hidden="1" customHeight="1" x14ac:dyDescent="0.3">
      <c r="A715" s="13" t="s">
        <v>879</v>
      </c>
      <c r="B715" s="13"/>
      <c r="C715" s="13">
        <v>10880035186</v>
      </c>
      <c r="D715" s="14">
        <v>990000109172</v>
      </c>
      <c r="E715" s="13" t="s">
        <v>1133</v>
      </c>
      <c r="F715" s="13">
        <v>198</v>
      </c>
      <c r="G715" s="15">
        <v>45803</v>
      </c>
      <c r="H715" s="15">
        <v>45817</v>
      </c>
      <c r="I715" s="13" t="s">
        <v>1134</v>
      </c>
      <c r="J715" s="13" t="s">
        <v>379</v>
      </c>
      <c r="K715" s="18"/>
      <c r="L715" s="4"/>
    </row>
    <row r="716" spans="1:12" s="2" customFormat="1" ht="15" hidden="1" customHeight="1" x14ac:dyDescent="0.3">
      <c r="A716" s="13" t="s">
        <v>879</v>
      </c>
      <c r="B716" s="13"/>
      <c r="C716" s="13">
        <v>10880033329</v>
      </c>
      <c r="D716" s="14">
        <v>990000109417</v>
      </c>
      <c r="E716" s="13" t="s">
        <v>71</v>
      </c>
      <c r="F716" s="13">
        <v>4900</v>
      </c>
      <c r="G716" s="15">
        <v>45804</v>
      </c>
      <c r="H716" s="15">
        <v>45807</v>
      </c>
      <c r="I716" s="13" t="s">
        <v>1135</v>
      </c>
      <c r="J716" s="13" t="s">
        <v>389</v>
      </c>
      <c r="K716" s="18"/>
      <c r="L716" s="4"/>
    </row>
    <row r="717" spans="1:12" s="2" customFormat="1" ht="15" hidden="1" customHeight="1" x14ac:dyDescent="0.3">
      <c r="A717" s="13" t="s">
        <v>879</v>
      </c>
      <c r="B717" s="13"/>
      <c r="C717" s="13">
        <v>10880031461</v>
      </c>
      <c r="D717" s="14">
        <v>990000109811</v>
      </c>
      <c r="E717" s="13" t="s">
        <v>830</v>
      </c>
      <c r="F717" s="13">
        <v>400</v>
      </c>
      <c r="G717" s="15">
        <v>45806</v>
      </c>
      <c r="H717" s="15">
        <v>45806</v>
      </c>
      <c r="I717" s="13" t="s">
        <v>1136</v>
      </c>
      <c r="J717" s="13" t="s">
        <v>389</v>
      </c>
      <c r="K717" s="18"/>
      <c r="L717" s="4"/>
    </row>
    <row r="718" spans="1:12" s="2" customFormat="1" ht="15" hidden="1" customHeight="1" x14ac:dyDescent="0.3">
      <c r="A718" s="13" t="s">
        <v>879</v>
      </c>
      <c r="B718" s="13"/>
      <c r="C718" s="13">
        <v>10880034609</v>
      </c>
      <c r="D718" s="14">
        <v>990000109683</v>
      </c>
      <c r="E718" s="13" t="s">
        <v>1137</v>
      </c>
      <c r="F718" s="13">
        <v>175</v>
      </c>
      <c r="G718" s="15">
        <v>45806</v>
      </c>
      <c r="H718" s="15">
        <v>45811</v>
      </c>
      <c r="I718" s="13" t="s">
        <v>1138</v>
      </c>
      <c r="J718" s="13" t="s">
        <v>379</v>
      </c>
      <c r="K718" s="18"/>
      <c r="L718" s="4"/>
    </row>
    <row r="719" spans="1:12" s="2" customFormat="1" ht="15" hidden="1" customHeight="1" x14ac:dyDescent="0.3">
      <c r="A719" s="13" t="s">
        <v>879</v>
      </c>
      <c r="B719" s="13"/>
      <c r="C719" s="13">
        <v>10880032298</v>
      </c>
      <c r="D719" s="14">
        <v>990000109812</v>
      </c>
      <c r="E719" s="13" t="s">
        <v>980</v>
      </c>
      <c r="F719" s="13">
        <v>135</v>
      </c>
      <c r="G719" s="15">
        <v>45806</v>
      </c>
      <c r="H719" s="15">
        <v>45815</v>
      </c>
      <c r="I719" s="13" t="s">
        <v>1139</v>
      </c>
      <c r="J719" s="13" t="s">
        <v>379</v>
      </c>
      <c r="K719" s="18"/>
      <c r="L719" s="4"/>
    </row>
    <row r="720" spans="1:12" s="2" customFormat="1" ht="15" customHeight="1" x14ac:dyDescent="0.3">
      <c r="A720" s="13" t="s">
        <v>879</v>
      </c>
      <c r="B720" s="13"/>
      <c r="C720" s="13">
        <v>10880017949</v>
      </c>
      <c r="D720" s="14">
        <v>990000109684</v>
      </c>
      <c r="E720" s="13" t="s">
        <v>400</v>
      </c>
      <c r="F720" s="13">
        <v>1</v>
      </c>
      <c r="G720" s="15">
        <v>45806</v>
      </c>
      <c r="H720" s="15"/>
      <c r="I720" s="13" t="s">
        <v>1140</v>
      </c>
      <c r="J720" s="13" t="s">
        <v>423</v>
      </c>
      <c r="K720" s="18"/>
      <c r="L720" s="4"/>
    </row>
    <row r="721" spans="1:12" s="2" customFormat="1" ht="15" hidden="1" customHeight="1" x14ac:dyDescent="0.3">
      <c r="A721" s="13" t="s">
        <v>879</v>
      </c>
      <c r="B721" s="13"/>
      <c r="C721" s="13">
        <v>10880027989</v>
      </c>
      <c r="D721" s="14">
        <v>990000109818</v>
      </c>
      <c r="E721" s="13" t="s">
        <v>455</v>
      </c>
      <c r="F721" s="13">
        <v>78</v>
      </c>
      <c r="G721" s="15">
        <v>45807</v>
      </c>
      <c r="H721" s="15">
        <v>45815</v>
      </c>
      <c r="I721" s="13" t="s">
        <v>1141</v>
      </c>
      <c r="J721" s="13" t="s">
        <v>379</v>
      </c>
      <c r="K721" s="18"/>
      <c r="L721" s="4"/>
    </row>
    <row r="722" spans="1:12" s="2" customFormat="1" ht="15" hidden="1" customHeight="1" x14ac:dyDescent="0.3">
      <c r="A722" s="13" t="s">
        <v>879</v>
      </c>
      <c r="B722" s="13"/>
      <c r="C722" s="13">
        <v>10880032298</v>
      </c>
      <c r="D722" s="14">
        <v>990000109822</v>
      </c>
      <c r="E722" s="13" t="s">
        <v>980</v>
      </c>
      <c r="F722" s="13">
        <v>508</v>
      </c>
      <c r="G722" s="15">
        <v>45807</v>
      </c>
      <c r="H722" s="15">
        <v>45815</v>
      </c>
      <c r="I722" s="13" t="s">
        <v>1142</v>
      </c>
      <c r="J722" s="13" t="s">
        <v>379</v>
      </c>
      <c r="K722" s="18"/>
      <c r="L722" s="4"/>
    </row>
    <row r="723" spans="1:12" s="2" customFormat="1" ht="15" hidden="1" customHeight="1" x14ac:dyDescent="0.3">
      <c r="A723" s="13" t="s">
        <v>879</v>
      </c>
      <c r="B723" s="13"/>
      <c r="C723" s="13">
        <v>10880012825</v>
      </c>
      <c r="D723" s="14">
        <v>990000109816</v>
      </c>
      <c r="E723" s="13" t="s">
        <v>543</v>
      </c>
      <c r="F723" s="13">
        <v>263</v>
      </c>
      <c r="G723" s="15">
        <v>45807</v>
      </c>
      <c r="H723" s="15">
        <v>45818</v>
      </c>
      <c r="I723" s="13" t="s">
        <v>1143</v>
      </c>
      <c r="J723" s="13" t="s">
        <v>379</v>
      </c>
      <c r="K723" s="18"/>
      <c r="L723" s="4"/>
    </row>
    <row r="724" spans="1:12" s="2" customFormat="1" ht="15" hidden="1" customHeight="1" x14ac:dyDescent="0.3">
      <c r="A724" s="13" t="s">
        <v>879</v>
      </c>
      <c r="B724" s="13"/>
      <c r="C724" s="13">
        <v>10880033523</v>
      </c>
      <c r="D724" s="14">
        <v>990000109984</v>
      </c>
      <c r="E724" s="13" t="s">
        <v>1144</v>
      </c>
      <c r="F724" s="13">
        <v>18178</v>
      </c>
      <c r="G724" s="15">
        <v>45811</v>
      </c>
      <c r="H724" s="15">
        <v>45816</v>
      </c>
      <c r="I724" s="13" t="s">
        <v>1145</v>
      </c>
      <c r="J724" s="13" t="s">
        <v>389</v>
      </c>
      <c r="K724" s="18"/>
      <c r="L724" s="4"/>
    </row>
    <row r="725" spans="1:12" s="2" customFormat="1" ht="15" hidden="1" customHeight="1" x14ac:dyDescent="0.3">
      <c r="A725" s="13" t="s">
        <v>879</v>
      </c>
      <c r="B725" s="13"/>
      <c r="C725" s="13">
        <v>10880034194</v>
      </c>
      <c r="D725" s="14">
        <v>990000110000</v>
      </c>
      <c r="E725" s="13" t="s">
        <v>1051</v>
      </c>
      <c r="F725" s="13">
        <v>1</v>
      </c>
      <c r="G725" s="15">
        <v>45812</v>
      </c>
      <c r="H725" s="15">
        <v>45813</v>
      </c>
      <c r="I725" s="13" t="s">
        <v>1042</v>
      </c>
      <c r="J725" s="13" t="s">
        <v>396</v>
      </c>
      <c r="K725" s="18"/>
      <c r="L725" s="4"/>
    </row>
    <row r="726" spans="1:12" s="2" customFormat="1" ht="15" hidden="1" customHeight="1" x14ac:dyDescent="0.3">
      <c r="A726" s="13" t="s">
        <v>879</v>
      </c>
      <c r="B726" s="13"/>
      <c r="C726" s="13">
        <v>10880020555</v>
      </c>
      <c r="D726" s="14">
        <v>990000110054</v>
      </c>
      <c r="E726" s="13" t="s">
        <v>1146</v>
      </c>
      <c r="F726" s="13">
        <v>761</v>
      </c>
      <c r="G726" s="15">
        <v>45817</v>
      </c>
      <c r="H726" s="15">
        <v>45823</v>
      </c>
      <c r="I726" s="13" t="s">
        <v>1147</v>
      </c>
      <c r="J726" s="13" t="s">
        <v>379</v>
      </c>
      <c r="K726" s="18"/>
      <c r="L726" s="4"/>
    </row>
    <row r="727" spans="1:12" s="2" customFormat="1" ht="15" hidden="1" customHeight="1" x14ac:dyDescent="0.3">
      <c r="A727" s="13" t="s">
        <v>879</v>
      </c>
      <c r="B727" s="13"/>
      <c r="C727" s="13">
        <v>10880033996</v>
      </c>
      <c r="D727" s="14">
        <v>990000110052</v>
      </c>
      <c r="E727" s="13" t="s">
        <v>315</v>
      </c>
      <c r="F727" s="13">
        <v>178</v>
      </c>
      <c r="G727" s="15">
        <v>45817</v>
      </c>
      <c r="H727" s="15">
        <v>45824</v>
      </c>
      <c r="I727" s="13" t="s">
        <v>1148</v>
      </c>
      <c r="J727" s="13" t="s">
        <v>423</v>
      </c>
      <c r="K727" s="18"/>
      <c r="L727" s="4"/>
    </row>
    <row r="728" spans="1:12" s="2" customFormat="1" ht="15" hidden="1" customHeight="1" x14ac:dyDescent="0.3">
      <c r="A728" s="13" t="s">
        <v>879</v>
      </c>
      <c r="B728" s="13"/>
      <c r="C728" s="13">
        <v>10880027988</v>
      </c>
      <c r="D728" s="14">
        <v>990000110149</v>
      </c>
      <c r="E728" s="13" t="s">
        <v>1126</v>
      </c>
      <c r="F728" s="13">
        <v>78</v>
      </c>
      <c r="G728" s="15">
        <v>45817</v>
      </c>
      <c r="H728" s="15">
        <v>45818</v>
      </c>
      <c r="I728" s="13" t="s">
        <v>1141</v>
      </c>
      <c r="J728" s="13" t="s">
        <v>379</v>
      </c>
      <c r="K728" s="18"/>
      <c r="L728" s="4"/>
    </row>
    <row r="729" spans="1:12" s="2" customFormat="1" ht="15" hidden="1" customHeight="1" x14ac:dyDescent="0.3">
      <c r="A729" s="13" t="s">
        <v>879</v>
      </c>
      <c r="B729" s="13"/>
      <c r="C729" s="13">
        <v>10880030334</v>
      </c>
      <c r="D729" s="14">
        <v>990000110204</v>
      </c>
      <c r="E729" s="13" t="s">
        <v>69</v>
      </c>
      <c r="F729" s="13">
        <v>874</v>
      </c>
      <c r="G729" s="15">
        <v>45818</v>
      </c>
      <c r="H729" s="15">
        <v>45840</v>
      </c>
      <c r="I729" s="13" t="s">
        <v>1149</v>
      </c>
      <c r="J729" s="13" t="s">
        <v>389</v>
      </c>
      <c r="K729" s="18"/>
      <c r="L729" s="4"/>
    </row>
    <row r="730" spans="1:12" s="2" customFormat="1" ht="15" hidden="1" customHeight="1" x14ac:dyDescent="0.3">
      <c r="A730" s="13" t="s">
        <v>879</v>
      </c>
      <c r="B730" s="13"/>
      <c r="C730" s="13">
        <v>10880033663</v>
      </c>
      <c r="D730" s="14">
        <v>990000110227</v>
      </c>
      <c r="E730" s="13" t="s">
        <v>1040</v>
      </c>
      <c r="F730" s="13">
        <v>126</v>
      </c>
      <c r="G730" s="15">
        <v>45819</v>
      </c>
      <c r="H730" s="15" t="s">
        <v>487</v>
      </c>
      <c r="I730" s="13" t="s">
        <v>1150</v>
      </c>
      <c r="J730" s="13" t="s">
        <v>489</v>
      </c>
      <c r="K730" s="18"/>
      <c r="L730" s="4"/>
    </row>
    <row r="731" spans="1:12" s="2" customFormat="1" ht="15" hidden="1" customHeight="1" x14ac:dyDescent="0.3">
      <c r="A731" s="13" t="s">
        <v>879</v>
      </c>
      <c r="B731" s="13"/>
      <c r="C731" s="13">
        <v>10880030977</v>
      </c>
      <c r="D731" s="14">
        <v>990000110260</v>
      </c>
      <c r="E731" s="13" t="s">
        <v>199</v>
      </c>
      <c r="F731" s="13">
        <v>212</v>
      </c>
      <c r="G731" s="15">
        <v>45820</v>
      </c>
      <c r="H731" s="15">
        <v>45823</v>
      </c>
      <c r="I731" s="13" t="s">
        <v>1151</v>
      </c>
      <c r="J731" s="13" t="s">
        <v>379</v>
      </c>
      <c r="K731" s="18"/>
      <c r="L731" s="4"/>
    </row>
    <row r="732" spans="1:12" s="2" customFormat="1" ht="15" hidden="1" customHeight="1" x14ac:dyDescent="0.3">
      <c r="A732" s="13" t="s">
        <v>879</v>
      </c>
      <c r="B732" s="13"/>
      <c r="C732" s="13">
        <v>10880034195</v>
      </c>
      <c r="D732" s="14">
        <v>990000110281</v>
      </c>
      <c r="E732" s="13" t="s">
        <v>1022</v>
      </c>
      <c r="F732" s="13">
        <v>9</v>
      </c>
      <c r="G732" s="15">
        <v>45820</v>
      </c>
      <c r="H732" s="15">
        <v>45870</v>
      </c>
      <c r="I732" s="13" t="s">
        <v>1152</v>
      </c>
      <c r="J732" s="13" t="s">
        <v>379</v>
      </c>
      <c r="K732" s="18"/>
      <c r="L732" s="4"/>
    </row>
    <row r="733" spans="1:12" s="2" customFormat="1" ht="15" hidden="1" customHeight="1" x14ac:dyDescent="0.3">
      <c r="A733" s="13" t="s">
        <v>879</v>
      </c>
      <c r="B733" s="13"/>
      <c r="C733" s="13">
        <v>10880030004</v>
      </c>
      <c r="D733" s="14">
        <v>990000110282</v>
      </c>
      <c r="E733" s="13" t="s">
        <v>254</v>
      </c>
      <c r="F733" s="13">
        <v>7684</v>
      </c>
      <c r="G733" s="15">
        <v>45820</v>
      </c>
      <c r="H733" s="15">
        <v>45879</v>
      </c>
      <c r="I733" s="13" t="s">
        <v>1153</v>
      </c>
      <c r="J733" s="13" t="s">
        <v>379</v>
      </c>
      <c r="K733" s="18"/>
      <c r="L733" s="4"/>
    </row>
    <row r="734" spans="1:12" s="2" customFormat="1" ht="15" hidden="1" customHeight="1" x14ac:dyDescent="0.3">
      <c r="A734" s="13" t="s">
        <v>879</v>
      </c>
      <c r="B734" s="13"/>
      <c r="C734" s="13">
        <v>10880033996</v>
      </c>
      <c r="D734" s="14">
        <v>990000110305</v>
      </c>
      <c r="E734" s="13" t="s">
        <v>315</v>
      </c>
      <c r="F734" s="13">
        <v>1800</v>
      </c>
      <c r="G734" s="15">
        <v>45822</v>
      </c>
      <c r="H734" s="15">
        <v>45823</v>
      </c>
      <c r="I734" s="13" t="s">
        <v>1154</v>
      </c>
      <c r="J734" s="13" t="s">
        <v>389</v>
      </c>
      <c r="K734" s="18"/>
      <c r="L734" s="4"/>
    </row>
    <row r="735" spans="1:12" s="2" customFormat="1" ht="15" hidden="1" customHeight="1" x14ac:dyDescent="0.3">
      <c r="A735" s="13" t="s">
        <v>879</v>
      </c>
      <c r="B735" s="13"/>
      <c r="C735" s="13">
        <v>10880034957</v>
      </c>
      <c r="D735" s="14">
        <v>990000110293</v>
      </c>
      <c r="E735" s="13" t="s">
        <v>339</v>
      </c>
      <c r="F735" s="13">
        <v>1050</v>
      </c>
      <c r="G735" s="15">
        <v>45822</v>
      </c>
      <c r="H735" s="15">
        <v>45826</v>
      </c>
      <c r="I735" s="13" t="s">
        <v>1155</v>
      </c>
      <c r="J735" s="13" t="s">
        <v>379</v>
      </c>
      <c r="K735" s="18"/>
      <c r="L735" s="4"/>
    </row>
    <row r="736" spans="1:12" s="2" customFormat="1" ht="15" hidden="1" customHeight="1" x14ac:dyDescent="0.3">
      <c r="A736" s="13" t="s">
        <v>879</v>
      </c>
      <c r="B736" s="13"/>
      <c r="C736" s="13">
        <v>10880030920</v>
      </c>
      <c r="D736" s="14">
        <v>990000110294</v>
      </c>
      <c r="E736" s="13" t="s">
        <v>85</v>
      </c>
      <c r="F736" s="13">
        <v>1700</v>
      </c>
      <c r="G736" s="15">
        <v>45822</v>
      </c>
      <c r="H736" s="15">
        <v>45831</v>
      </c>
      <c r="I736" s="13" t="s">
        <v>1156</v>
      </c>
      <c r="J736" s="13" t="s">
        <v>379</v>
      </c>
      <c r="K736" s="18"/>
      <c r="L736" s="4"/>
    </row>
    <row r="737" spans="1:12" s="2" customFormat="1" ht="15" customHeight="1" x14ac:dyDescent="0.3">
      <c r="A737" s="13" t="s">
        <v>879</v>
      </c>
      <c r="B737" s="13"/>
      <c r="C737" s="13">
        <v>10880020208</v>
      </c>
      <c r="D737" s="14">
        <v>990000110297</v>
      </c>
      <c r="E737" s="13" t="s">
        <v>1157</v>
      </c>
      <c r="F737" s="13">
        <v>9</v>
      </c>
      <c r="G737" s="15">
        <v>45823</v>
      </c>
      <c r="H737" s="15">
        <v>45824</v>
      </c>
      <c r="I737" s="13" t="s">
        <v>1140</v>
      </c>
      <c r="J737" s="13" t="s">
        <v>423</v>
      </c>
      <c r="K737" s="18"/>
      <c r="L737" s="4"/>
    </row>
    <row r="738" spans="1:12" s="2" customFormat="1" ht="15" customHeight="1" x14ac:dyDescent="0.3">
      <c r="A738" s="13" t="s">
        <v>879</v>
      </c>
      <c r="B738" s="13"/>
      <c r="C738" s="13">
        <v>10880019205</v>
      </c>
      <c r="D738" s="14">
        <v>990000110298</v>
      </c>
      <c r="E738" s="13" t="s">
        <v>1158</v>
      </c>
      <c r="F738" s="13">
        <v>13</v>
      </c>
      <c r="G738" s="15">
        <v>45823</v>
      </c>
      <c r="H738" s="15">
        <v>45824</v>
      </c>
      <c r="I738" s="13" t="s">
        <v>1140</v>
      </c>
      <c r="J738" s="13" t="s">
        <v>423</v>
      </c>
      <c r="K738" s="18"/>
      <c r="L738" s="4"/>
    </row>
    <row r="739" spans="1:12" s="2" customFormat="1" ht="15" customHeight="1" x14ac:dyDescent="0.3">
      <c r="A739" s="13" t="s">
        <v>879</v>
      </c>
      <c r="B739" s="13"/>
      <c r="C739" s="13">
        <v>10880021342</v>
      </c>
      <c r="D739" s="14">
        <v>990000110299</v>
      </c>
      <c r="E739" s="13" t="s">
        <v>1159</v>
      </c>
      <c r="F739" s="13">
        <v>17</v>
      </c>
      <c r="G739" s="15">
        <v>45823</v>
      </c>
      <c r="H739" s="15">
        <v>45824</v>
      </c>
      <c r="I739" s="13" t="s">
        <v>1140</v>
      </c>
      <c r="J739" s="13" t="s">
        <v>423</v>
      </c>
      <c r="K739" s="18"/>
      <c r="L739" s="4"/>
    </row>
    <row r="740" spans="1:12" s="2" customFormat="1" ht="15" customHeight="1" x14ac:dyDescent="0.3">
      <c r="A740" s="13" t="s">
        <v>879</v>
      </c>
      <c r="B740" s="13"/>
      <c r="C740" s="13">
        <v>10880031183</v>
      </c>
      <c r="D740" s="14">
        <v>990000110300</v>
      </c>
      <c r="E740" s="13" t="s">
        <v>1160</v>
      </c>
      <c r="F740" s="13">
        <v>7</v>
      </c>
      <c r="G740" s="15">
        <v>45823</v>
      </c>
      <c r="H740" s="15">
        <v>45824</v>
      </c>
      <c r="I740" s="13" t="s">
        <v>1140</v>
      </c>
      <c r="J740" s="13" t="s">
        <v>423</v>
      </c>
      <c r="K740" s="18"/>
      <c r="L740" s="4"/>
    </row>
    <row r="741" spans="1:12" s="2" customFormat="1" ht="15" customHeight="1" x14ac:dyDescent="0.3">
      <c r="A741" s="13" t="s">
        <v>879</v>
      </c>
      <c r="B741" s="13"/>
      <c r="C741" s="13">
        <v>10880022044</v>
      </c>
      <c r="D741" s="14">
        <v>990000110302</v>
      </c>
      <c r="E741" s="13" t="s">
        <v>1161</v>
      </c>
      <c r="F741" s="13">
        <v>9</v>
      </c>
      <c r="G741" s="15">
        <v>45823</v>
      </c>
      <c r="H741" s="15">
        <v>45824</v>
      </c>
      <c r="I741" s="13" t="s">
        <v>1140</v>
      </c>
      <c r="J741" s="13" t="s">
        <v>423</v>
      </c>
      <c r="K741" s="18"/>
      <c r="L741" s="4"/>
    </row>
    <row r="742" spans="1:12" s="2" customFormat="1" ht="15" customHeight="1" x14ac:dyDescent="0.3">
      <c r="A742" s="13" t="s">
        <v>879</v>
      </c>
      <c r="B742" s="13"/>
      <c r="C742" s="13">
        <v>10880017530</v>
      </c>
      <c r="D742" s="14">
        <v>990000110303</v>
      </c>
      <c r="E742" s="13" t="s">
        <v>1162</v>
      </c>
      <c r="F742" s="13">
        <v>8</v>
      </c>
      <c r="G742" s="15">
        <v>45823</v>
      </c>
      <c r="H742" s="15">
        <v>45824</v>
      </c>
      <c r="I742" s="13" t="s">
        <v>1140</v>
      </c>
      <c r="J742" s="13" t="s">
        <v>423</v>
      </c>
      <c r="K742" s="18"/>
      <c r="L742" s="4"/>
    </row>
    <row r="743" spans="1:12" s="2" customFormat="1" ht="15" customHeight="1" x14ac:dyDescent="0.3">
      <c r="A743" s="13" t="s">
        <v>879</v>
      </c>
      <c r="B743" s="13"/>
      <c r="C743" s="13">
        <v>10880029156</v>
      </c>
      <c r="D743" s="14">
        <v>990000110304</v>
      </c>
      <c r="E743" s="13" t="s">
        <v>1163</v>
      </c>
      <c r="F743" s="13">
        <v>4</v>
      </c>
      <c r="G743" s="15">
        <v>45823</v>
      </c>
      <c r="H743" s="15">
        <v>45824</v>
      </c>
      <c r="I743" s="13" t="s">
        <v>1140</v>
      </c>
      <c r="J743" s="13" t="s">
        <v>423</v>
      </c>
      <c r="K743" s="18"/>
      <c r="L743" s="4"/>
    </row>
    <row r="744" spans="1:12" s="2" customFormat="1" ht="15" customHeight="1" x14ac:dyDescent="0.3">
      <c r="A744" s="13" t="s">
        <v>879</v>
      </c>
      <c r="B744" s="13"/>
      <c r="C744" s="13">
        <v>10880015830</v>
      </c>
      <c r="D744" s="14">
        <v>990000110301</v>
      </c>
      <c r="E744" s="13" t="s">
        <v>847</v>
      </c>
      <c r="F744" s="13">
        <v>8</v>
      </c>
      <c r="G744" s="15">
        <v>45823</v>
      </c>
      <c r="H744" s="15">
        <v>45828</v>
      </c>
      <c r="I744" s="13" t="s">
        <v>1140</v>
      </c>
      <c r="J744" s="13" t="s">
        <v>423</v>
      </c>
      <c r="K744" s="18"/>
      <c r="L744" s="4"/>
    </row>
    <row r="745" spans="1:12" s="2" customFormat="1" ht="15" hidden="1" customHeight="1" x14ac:dyDescent="0.3">
      <c r="A745" s="13" t="s">
        <v>879</v>
      </c>
      <c r="B745" s="13"/>
      <c r="C745" s="13">
        <v>10880034957</v>
      </c>
      <c r="D745" s="14">
        <v>990000110311</v>
      </c>
      <c r="E745" s="13" t="s">
        <v>339</v>
      </c>
      <c r="F745" s="13">
        <v>3500</v>
      </c>
      <c r="G745" s="15">
        <v>45824</v>
      </c>
      <c r="H745" s="15">
        <v>45828</v>
      </c>
      <c r="I745" s="13" t="s">
        <v>1164</v>
      </c>
      <c r="J745" s="13" t="s">
        <v>379</v>
      </c>
      <c r="K745" s="18"/>
      <c r="L745" s="4"/>
    </row>
    <row r="746" spans="1:12" s="2" customFormat="1" ht="15" hidden="1" customHeight="1" x14ac:dyDescent="0.3">
      <c r="A746" s="13" t="s">
        <v>879</v>
      </c>
      <c r="B746" s="13"/>
      <c r="C746" s="13">
        <v>10880027989</v>
      </c>
      <c r="D746" s="14">
        <v>990000110307</v>
      </c>
      <c r="E746" s="13" t="s">
        <v>455</v>
      </c>
      <c r="F746" s="13">
        <v>78</v>
      </c>
      <c r="G746" s="15">
        <v>45824</v>
      </c>
      <c r="H746" s="15">
        <v>45836</v>
      </c>
      <c r="I746" s="13" t="s">
        <v>1165</v>
      </c>
      <c r="J746" s="13" t="s">
        <v>379</v>
      </c>
      <c r="K746" s="18"/>
      <c r="L746" s="4"/>
    </row>
    <row r="747" spans="1:12" s="2" customFormat="1" ht="15" hidden="1" customHeight="1" x14ac:dyDescent="0.3">
      <c r="A747" s="13" t="s">
        <v>879</v>
      </c>
      <c r="B747" s="13"/>
      <c r="C747" s="13">
        <v>10880029999</v>
      </c>
      <c r="D747" s="14">
        <v>990000110345</v>
      </c>
      <c r="E747" s="13" t="s">
        <v>631</v>
      </c>
      <c r="F747" s="13">
        <v>2670</v>
      </c>
      <c r="G747" s="15">
        <v>45824</v>
      </c>
      <c r="H747" s="15">
        <v>45845</v>
      </c>
      <c r="I747" s="13" t="s">
        <v>1166</v>
      </c>
      <c r="J747" s="13" t="s">
        <v>379</v>
      </c>
      <c r="K747" s="18"/>
      <c r="L747" s="4"/>
    </row>
    <row r="748" spans="1:12" s="2" customFormat="1" ht="15" hidden="1" customHeight="1" x14ac:dyDescent="0.3">
      <c r="A748" s="13" t="s">
        <v>879</v>
      </c>
      <c r="B748" s="13"/>
      <c r="C748" s="13">
        <v>10880033400</v>
      </c>
      <c r="D748" s="14">
        <v>990000110346</v>
      </c>
      <c r="E748" s="13" t="s">
        <v>792</v>
      </c>
      <c r="F748" s="13">
        <v>504</v>
      </c>
      <c r="G748" s="15">
        <v>45824</v>
      </c>
      <c r="H748" s="15">
        <v>45845</v>
      </c>
      <c r="I748" s="13" t="s">
        <v>1167</v>
      </c>
      <c r="J748" s="13" t="s">
        <v>379</v>
      </c>
      <c r="K748" s="18"/>
      <c r="L748" s="4"/>
    </row>
    <row r="749" spans="1:12" s="2" customFormat="1" ht="15" hidden="1" customHeight="1" x14ac:dyDescent="0.3">
      <c r="A749" s="13" t="s">
        <v>879</v>
      </c>
      <c r="B749" s="13"/>
      <c r="C749" s="13">
        <v>10880021106</v>
      </c>
      <c r="D749" s="14">
        <v>990000110390</v>
      </c>
      <c r="E749" s="13" t="s">
        <v>259</v>
      </c>
      <c r="F749" s="13">
        <v>10</v>
      </c>
      <c r="G749" s="15">
        <v>45826</v>
      </c>
      <c r="H749" s="15">
        <v>45827</v>
      </c>
      <c r="I749" s="13" t="s">
        <v>1168</v>
      </c>
      <c r="J749" s="13" t="s">
        <v>379</v>
      </c>
      <c r="K749" s="18"/>
      <c r="L749" s="4"/>
    </row>
    <row r="750" spans="1:12" s="2" customFormat="1" ht="15" hidden="1" customHeight="1" x14ac:dyDescent="0.3">
      <c r="A750" s="13" t="s">
        <v>879</v>
      </c>
      <c r="B750" s="13"/>
      <c r="C750" s="13">
        <v>10880020031</v>
      </c>
      <c r="D750" s="14">
        <v>990000110393</v>
      </c>
      <c r="E750" s="13" t="s">
        <v>180</v>
      </c>
      <c r="F750" s="13">
        <v>115</v>
      </c>
      <c r="G750" s="15">
        <v>45826</v>
      </c>
      <c r="H750" s="15">
        <v>45828</v>
      </c>
      <c r="I750" s="13" t="s">
        <v>1169</v>
      </c>
      <c r="J750" s="13" t="s">
        <v>389</v>
      </c>
      <c r="K750" s="18"/>
      <c r="L750" s="4"/>
    </row>
    <row r="751" spans="1:12" s="2" customFormat="1" ht="15" hidden="1" customHeight="1" x14ac:dyDescent="0.3">
      <c r="A751" s="13" t="s">
        <v>879</v>
      </c>
      <c r="B751" s="13"/>
      <c r="C751" s="13">
        <v>10880031570</v>
      </c>
      <c r="D751" s="14">
        <v>990000110395</v>
      </c>
      <c r="E751" s="13" t="s">
        <v>1043</v>
      </c>
      <c r="F751" s="13">
        <v>835</v>
      </c>
      <c r="G751" s="15">
        <v>45826</v>
      </c>
      <c r="H751" s="15">
        <v>45828</v>
      </c>
      <c r="I751" s="13" t="s">
        <v>1170</v>
      </c>
      <c r="J751" s="13" t="s">
        <v>379</v>
      </c>
      <c r="K751" s="18"/>
      <c r="L751" s="4"/>
    </row>
    <row r="752" spans="1:12" s="2" customFormat="1" ht="15" hidden="1" customHeight="1" x14ac:dyDescent="0.3">
      <c r="A752" s="13" t="s">
        <v>879</v>
      </c>
      <c r="B752" s="13"/>
      <c r="C752" s="13">
        <v>10880032933</v>
      </c>
      <c r="D752" s="14">
        <v>990000110425</v>
      </c>
      <c r="E752" s="13" t="s">
        <v>321</v>
      </c>
      <c r="F752" s="13">
        <v>380</v>
      </c>
      <c r="G752" s="15">
        <v>45827</v>
      </c>
      <c r="H752" s="15">
        <v>45829</v>
      </c>
      <c r="I752" s="13" t="s">
        <v>1171</v>
      </c>
      <c r="J752" s="13" t="s">
        <v>379</v>
      </c>
      <c r="K752" s="18"/>
      <c r="L752" s="4"/>
    </row>
    <row r="753" spans="1:12" s="2" customFormat="1" ht="15" hidden="1" customHeight="1" x14ac:dyDescent="0.3">
      <c r="A753" s="13" t="s">
        <v>879</v>
      </c>
      <c r="B753" s="13"/>
      <c r="C753" s="13">
        <v>10880034957</v>
      </c>
      <c r="D753" s="14">
        <v>990000110421</v>
      </c>
      <c r="E753" s="13" t="s">
        <v>339</v>
      </c>
      <c r="F753" s="13">
        <v>3500</v>
      </c>
      <c r="G753" s="15">
        <v>45827</v>
      </c>
      <c r="H753" s="15">
        <v>45829</v>
      </c>
      <c r="I753" s="13" t="s">
        <v>1172</v>
      </c>
      <c r="J753" s="13" t="s">
        <v>379</v>
      </c>
      <c r="K753" s="18"/>
      <c r="L753" s="4"/>
    </row>
    <row r="754" spans="1:12" s="2" customFormat="1" ht="15" hidden="1" customHeight="1" x14ac:dyDescent="0.3">
      <c r="A754" s="13" t="s">
        <v>879</v>
      </c>
      <c r="B754" s="13"/>
      <c r="C754" s="13">
        <v>10880032933</v>
      </c>
      <c r="D754" s="14">
        <v>990000110411</v>
      </c>
      <c r="E754" s="13" t="s">
        <v>321</v>
      </c>
      <c r="F754" s="13">
        <v>120</v>
      </c>
      <c r="G754" s="15">
        <v>45828</v>
      </c>
      <c r="H754" s="15">
        <v>45829</v>
      </c>
      <c r="I754" s="13" t="s">
        <v>1171</v>
      </c>
      <c r="J754" s="13" t="s">
        <v>379</v>
      </c>
      <c r="K754" s="18"/>
      <c r="L754" s="4"/>
    </row>
    <row r="755" spans="1:12" s="2" customFormat="1" ht="15" hidden="1" customHeight="1" x14ac:dyDescent="0.3">
      <c r="A755" s="13" t="s">
        <v>879</v>
      </c>
      <c r="B755" s="13"/>
      <c r="C755" s="13">
        <v>10880020187</v>
      </c>
      <c r="D755" s="14">
        <v>990000110433</v>
      </c>
      <c r="E755" s="13" t="s">
        <v>223</v>
      </c>
      <c r="F755" s="13">
        <v>27</v>
      </c>
      <c r="G755" s="15">
        <v>45828</v>
      </c>
      <c r="H755" s="15">
        <v>45829</v>
      </c>
      <c r="I755" s="13" t="s">
        <v>1173</v>
      </c>
      <c r="J755" s="13" t="s">
        <v>379</v>
      </c>
      <c r="K755" s="18"/>
      <c r="L755" s="4"/>
    </row>
    <row r="756" spans="1:12" s="2" customFormat="1" ht="15" hidden="1" customHeight="1" x14ac:dyDescent="0.3">
      <c r="A756" s="13" t="s">
        <v>879</v>
      </c>
      <c r="B756" s="13"/>
      <c r="C756" s="13">
        <v>10880034957</v>
      </c>
      <c r="D756" s="14">
        <v>990000110445</v>
      </c>
      <c r="E756" s="13" t="s">
        <v>339</v>
      </c>
      <c r="F756" s="13">
        <v>2600</v>
      </c>
      <c r="G756" s="15">
        <v>45828</v>
      </c>
      <c r="H756" s="15">
        <v>45834</v>
      </c>
      <c r="I756" s="13" t="s">
        <v>1174</v>
      </c>
      <c r="J756" s="13" t="s">
        <v>379</v>
      </c>
      <c r="K756" s="18"/>
      <c r="L756" s="4"/>
    </row>
    <row r="757" spans="1:12" s="2" customFormat="1" ht="15" hidden="1" customHeight="1" x14ac:dyDescent="0.3">
      <c r="A757" s="13" t="s">
        <v>879</v>
      </c>
      <c r="B757" s="13"/>
      <c r="C757" s="13">
        <v>10880020654</v>
      </c>
      <c r="D757" s="14">
        <v>990000110447</v>
      </c>
      <c r="E757" s="13" t="s">
        <v>1175</v>
      </c>
      <c r="F757" s="13">
        <v>100</v>
      </c>
      <c r="G757" s="15">
        <v>45831</v>
      </c>
      <c r="H757" s="15">
        <v>45881</v>
      </c>
      <c r="I757" s="13" t="s">
        <v>1176</v>
      </c>
      <c r="J757" s="13" t="s">
        <v>379</v>
      </c>
      <c r="K757" s="18"/>
      <c r="L757" s="4"/>
    </row>
    <row r="758" spans="1:12" s="2" customFormat="1" ht="15" hidden="1" customHeight="1" x14ac:dyDescent="0.3">
      <c r="A758" s="13" t="s">
        <v>879</v>
      </c>
      <c r="B758" s="13"/>
      <c r="C758" s="13">
        <v>10880031570</v>
      </c>
      <c r="D758" s="14">
        <v>990000110494</v>
      </c>
      <c r="E758" s="13" t="s">
        <v>1043</v>
      </c>
      <c r="F758" s="13">
        <v>1157</v>
      </c>
      <c r="G758" s="15">
        <v>45832</v>
      </c>
      <c r="H758" s="15">
        <v>45834</v>
      </c>
      <c r="I758" s="13" t="s">
        <v>1177</v>
      </c>
      <c r="J758" s="13" t="s">
        <v>379</v>
      </c>
      <c r="K758" s="18"/>
      <c r="L758" s="4"/>
    </row>
    <row r="759" spans="1:12" s="2" customFormat="1" ht="15" hidden="1" customHeight="1" x14ac:dyDescent="0.3">
      <c r="A759" s="13" t="s">
        <v>879</v>
      </c>
      <c r="B759" s="13"/>
      <c r="C759" s="13">
        <v>10880030596</v>
      </c>
      <c r="D759" s="14">
        <v>990000110509</v>
      </c>
      <c r="E759" s="13" t="s">
        <v>227</v>
      </c>
      <c r="F759" s="13">
        <v>12</v>
      </c>
      <c r="G759" s="15">
        <v>45833</v>
      </c>
      <c r="H759" s="15" t="s">
        <v>487</v>
      </c>
      <c r="I759" s="13" t="s">
        <v>1178</v>
      </c>
      <c r="J759" s="13" t="s">
        <v>489</v>
      </c>
      <c r="K759" s="18"/>
      <c r="L759" s="4"/>
    </row>
    <row r="760" spans="1:12" s="2" customFormat="1" ht="15" hidden="1" customHeight="1" x14ac:dyDescent="0.3">
      <c r="A760" s="13" t="s">
        <v>879</v>
      </c>
      <c r="B760" s="13"/>
      <c r="C760" s="13">
        <v>10880020555</v>
      </c>
      <c r="D760" s="14">
        <v>990000110531</v>
      </c>
      <c r="E760" s="13" t="s">
        <v>1146</v>
      </c>
      <c r="F760" s="13">
        <v>26572</v>
      </c>
      <c r="G760" s="15">
        <v>45834</v>
      </c>
      <c r="H760" s="15">
        <v>45834</v>
      </c>
      <c r="I760" s="13" t="s">
        <v>1179</v>
      </c>
      <c r="J760" s="13" t="s">
        <v>379</v>
      </c>
      <c r="K760" s="18"/>
      <c r="L760" s="4"/>
    </row>
    <row r="761" spans="1:12" s="2" customFormat="1" ht="15" hidden="1" customHeight="1" x14ac:dyDescent="0.3">
      <c r="A761" s="13" t="s">
        <v>879</v>
      </c>
      <c r="B761" s="13"/>
      <c r="C761" s="13">
        <v>10880020654</v>
      </c>
      <c r="D761" s="14">
        <v>990000110533</v>
      </c>
      <c r="E761" s="13" t="s">
        <v>1175</v>
      </c>
      <c r="F761" s="13">
        <v>30668</v>
      </c>
      <c r="G761" s="15">
        <v>45834</v>
      </c>
      <c r="H761" s="15">
        <v>45834</v>
      </c>
      <c r="I761" s="13" t="s">
        <v>1179</v>
      </c>
      <c r="J761" s="13" t="s">
        <v>379</v>
      </c>
      <c r="K761" s="18"/>
      <c r="L761" s="4"/>
    </row>
    <row r="762" spans="1:12" s="2" customFormat="1" ht="15" hidden="1" customHeight="1" x14ac:dyDescent="0.3">
      <c r="A762" s="13" t="s">
        <v>879</v>
      </c>
      <c r="B762" s="13"/>
      <c r="C762" s="13">
        <v>10880020557</v>
      </c>
      <c r="D762" s="14">
        <v>990000110534</v>
      </c>
      <c r="E762" s="13" t="s">
        <v>1180</v>
      </c>
      <c r="F762" s="13">
        <v>5040</v>
      </c>
      <c r="G762" s="15">
        <v>45834</v>
      </c>
      <c r="H762" s="15">
        <v>45834</v>
      </c>
      <c r="I762" s="13" t="s">
        <v>1179</v>
      </c>
      <c r="J762" s="13" t="s">
        <v>379</v>
      </c>
      <c r="K762" s="18"/>
      <c r="L762" s="4"/>
    </row>
    <row r="763" spans="1:12" s="2" customFormat="1" ht="15" hidden="1" customHeight="1" x14ac:dyDescent="0.3">
      <c r="A763" s="13" t="s">
        <v>879</v>
      </c>
      <c r="B763" s="13"/>
      <c r="C763" s="13">
        <v>10880030920</v>
      </c>
      <c r="D763" s="14">
        <v>990000110529</v>
      </c>
      <c r="E763" s="13" t="s">
        <v>85</v>
      </c>
      <c r="F763" s="13">
        <v>575</v>
      </c>
      <c r="G763" s="15">
        <v>45834</v>
      </c>
      <c r="H763" s="15">
        <v>45836</v>
      </c>
      <c r="I763" s="13" t="s">
        <v>1181</v>
      </c>
      <c r="J763" s="13" t="s">
        <v>379</v>
      </c>
      <c r="K763" s="18"/>
      <c r="L763" s="4"/>
    </row>
    <row r="764" spans="1:12" s="2" customFormat="1" ht="15" hidden="1" customHeight="1" x14ac:dyDescent="0.3">
      <c r="A764" s="13" t="s">
        <v>879</v>
      </c>
      <c r="B764" s="13"/>
      <c r="C764" s="13">
        <v>10880031570</v>
      </c>
      <c r="D764" s="14">
        <v>990000110549</v>
      </c>
      <c r="E764" s="13" t="s">
        <v>1043</v>
      </c>
      <c r="F764" s="13">
        <v>1200</v>
      </c>
      <c r="G764" s="15">
        <v>45834</v>
      </c>
      <c r="H764" s="15">
        <v>45841</v>
      </c>
      <c r="I764" s="13" t="s">
        <v>1182</v>
      </c>
      <c r="J764" s="13" t="s">
        <v>379</v>
      </c>
      <c r="K764" s="18"/>
      <c r="L764" s="4"/>
    </row>
    <row r="765" spans="1:12" s="2" customFormat="1" ht="15" hidden="1" customHeight="1" x14ac:dyDescent="0.3">
      <c r="A765" s="13" t="s">
        <v>879</v>
      </c>
      <c r="B765" s="13"/>
      <c r="C765" s="13">
        <v>10880034956</v>
      </c>
      <c r="D765" s="14">
        <v>990000110560</v>
      </c>
      <c r="E765" s="13" t="s">
        <v>1086</v>
      </c>
      <c r="F765" s="13">
        <v>1014</v>
      </c>
      <c r="G765" s="15">
        <v>45835</v>
      </c>
      <c r="H765" s="15">
        <v>45839</v>
      </c>
      <c r="I765" s="13" t="s">
        <v>1183</v>
      </c>
      <c r="J765" s="13" t="s">
        <v>379</v>
      </c>
      <c r="K765" s="18"/>
      <c r="L765" s="4"/>
    </row>
    <row r="766" spans="1:12" s="2" customFormat="1" ht="15" customHeight="1" x14ac:dyDescent="0.3">
      <c r="A766" s="13" t="s">
        <v>879</v>
      </c>
      <c r="B766" s="13"/>
      <c r="C766" s="13">
        <v>10880028881</v>
      </c>
      <c r="D766" s="14">
        <v>990000110567</v>
      </c>
      <c r="E766" s="13" t="s">
        <v>1184</v>
      </c>
      <c r="F766" s="13">
        <v>55</v>
      </c>
      <c r="G766" s="15">
        <v>45835</v>
      </c>
      <c r="H766" s="15"/>
      <c r="I766" s="13" t="s">
        <v>1140</v>
      </c>
      <c r="J766" s="13" t="s">
        <v>423</v>
      </c>
      <c r="K766" s="18"/>
      <c r="L766" s="4"/>
    </row>
    <row r="767" spans="1:12" s="2" customFormat="1" ht="15" customHeight="1" x14ac:dyDescent="0.3">
      <c r="A767" s="13" t="s">
        <v>879</v>
      </c>
      <c r="B767" s="13"/>
      <c r="C767" s="13">
        <v>10880018842</v>
      </c>
      <c r="D767" s="14">
        <v>990000110566</v>
      </c>
      <c r="E767" s="13" t="s">
        <v>1185</v>
      </c>
      <c r="F767" s="13">
        <v>33</v>
      </c>
      <c r="G767" s="15">
        <v>45835</v>
      </c>
      <c r="H767" s="15"/>
      <c r="I767" s="13" t="s">
        <v>1140</v>
      </c>
      <c r="J767" s="13" t="s">
        <v>423</v>
      </c>
      <c r="K767" s="18"/>
      <c r="L767" s="4"/>
    </row>
    <row r="768" spans="1:12" s="2" customFormat="1" ht="15" hidden="1" customHeight="1" x14ac:dyDescent="0.3">
      <c r="A768" s="13" t="s">
        <v>879</v>
      </c>
      <c r="B768" s="13"/>
      <c r="C768" s="13">
        <v>10880031847</v>
      </c>
      <c r="D768" s="14">
        <v>990000110559</v>
      </c>
      <c r="E768" s="13" t="s">
        <v>228</v>
      </c>
      <c r="F768" s="13">
        <v>161</v>
      </c>
      <c r="G768" s="15">
        <v>45835</v>
      </c>
      <c r="H768" s="15">
        <v>45840</v>
      </c>
      <c r="I768" s="13" t="s">
        <v>1186</v>
      </c>
      <c r="J768" s="13" t="s">
        <v>379</v>
      </c>
      <c r="K768" s="18"/>
      <c r="L768" s="4"/>
    </row>
    <row r="769" spans="1:12" s="2" customFormat="1" ht="15" hidden="1" customHeight="1" x14ac:dyDescent="0.3">
      <c r="A769" s="13" t="s">
        <v>879</v>
      </c>
      <c r="B769" s="13"/>
      <c r="C769" s="13">
        <v>10880031856</v>
      </c>
      <c r="D769" s="14">
        <v>990000110565</v>
      </c>
      <c r="E769" s="13" t="s">
        <v>224</v>
      </c>
      <c r="F769" s="13">
        <v>28</v>
      </c>
      <c r="G769" s="15">
        <v>45835</v>
      </c>
      <c r="H769" s="15" t="s">
        <v>1007</v>
      </c>
      <c r="I769" s="13" t="s">
        <v>1187</v>
      </c>
      <c r="J769" s="13" t="s">
        <v>489</v>
      </c>
      <c r="K769" s="18"/>
      <c r="L769" s="4"/>
    </row>
    <row r="770" spans="1:12" s="2" customFormat="1" ht="15" hidden="1" customHeight="1" x14ac:dyDescent="0.3">
      <c r="A770" s="13" t="s">
        <v>879</v>
      </c>
      <c r="B770" s="13"/>
      <c r="C770" s="13">
        <v>10880031161</v>
      </c>
      <c r="D770" s="14">
        <v>990000110555</v>
      </c>
      <c r="E770" s="13" t="s">
        <v>242</v>
      </c>
      <c r="F770" s="13">
        <v>1</v>
      </c>
      <c r="G770" s="15">
        <v>45835</v>
      </c>
      <c r="H770" s="15">
        <v>45875</v>
      </c>
      <c r="I770" s="13" t="s">
        <v>1188</v>
      </c>
      <c r="J770" s="13" t="s">
        <v>379</v>
      </c>
      <c r="K770" s="18"/>
      <c r="L770" s="4"/>
    </row>
    <row r="771" spans="1:12" s="2" customFormat="1" ht="15" hidden="1" customHeight="1" x14ac:dyDescent="0.3">
      <c r="A771" s="13" t="s">
        <v>879</v>
      </c>
      <c r="B771" s="13"/>
      <c r="C771" s="13">
        <v>10880031157</v>
      </c>
      <c r="D771" s="14">
        <v>990000110553</v>
      </c>
      <c r="E771" s="13" t="s">
        <v>230</v>
      </c>
      <c r="F771" s="13">
        <v>81</v>
      </c>
      <c r="G771" s="15">
        <v>45835</v>
      </c>
      <c r="H771" s="15">
        <v>45880</v>
      </c>
      <c r="I771" s="13" t="s">
        <v>1189</v>
      </c>
      <c r="J771" s="13" t="s">
        <v>379</v>
      </c>
      <c r="K771" s="18"/>
      <c r="L771" s="4"/>
    </row>
    <row r="772" spans="1:12" s="2" customFormat="1" ht="15" hidden="1" customHeight="1" x14ac:dyDescent="0.3">
      <c r="A772" s="13" t="s">
        <v>879</v>
      </c>
      <c r="B772" s="13"/>
      <c r="C772" s="13">
        <v>10880030320</v>
      </c>
      <c r="D772" s="14">
        <v>990000110554</v>
      </c>
      <c r="E772" s="13" t="s">
        <v>241</v>
      </c>
      <c r="F772" s="13">
        <v>24</v>
      </c>
      <c r="G772" s="15">
        <v>45835</v>
      </c>
      <c r="H772" s="15">
        <v>45881</v>
      </c>
      <c r="I772" s="13" t="s">
        <v>1190</v>
      </c>
      <c r="J772" s="13" t="s">
        <v>379</v>
      </c>
      <c r="K772" s="18"/>
      <c r="L772" s="4"/>
    </row>
    <row r="773" spans="1:12" s="2" customFormat="1" ht="15" hidden="1" customHeight="1" x14ac:dyDescent="0.3">
      <c r="A773" s="13" t="s">
        <v>879</v>
      </c>
      <c r="B773" s="13"/>
      <c r="C773" s="13">
        <v>10880021106</v>
      </c>
      <c r="D773" s="14">
        <v>990000110679</v>
      </c>
      <c r="E773" s="13" t="s">
        <v>259</v>
      </c>
      <c r="F773" s="13">
        <v>160</v>
      </c>
      <c r="G773" s="15">
        <v>45839</v>
      </c>
      <c r="H773" s="15">
        <v>45842</v>
      </c>
      <c r="I773" s="13" t="s">
        <v>1191</v>
      </c>
      <c r="J773" s="13" t="s">
        <v>379</v>
      </c>
      <c r="K773" s="18"/>
      <c r="L773" s="4"/>
    </row>
    <row r="774" spans="1:12" s="2" customFormat="1" ht="15" hidden="1" customHeight="1" x14ac:dyDescent="0.3">
      <c r="A774" s="13" t="s">
        <v>879</v>
      </c>
      <c r="B774" s="13"/>
      <c r="C774" s="13">
        <v>10880017527</v>
      </c>
      <c r="D774" s="14">
        <v>990000110675</v>
      </c>
      <c r="E774" s="13" t="s">
        <v>173</v>
      </c>
      <c r="F774" s="13">
        <v>148</v>
      </c>
      <c r="G774" s="15">
        <v>45839</v>
      </c>
      <c r="H774" s="15">
        <v>45852</v>
      </c>
      <c r="I774" s="13" t="s">
        <v>1192</v>
      </c>
      <c r="J774" s="13" t="s">
        <v>379</v>
      </c>
      <c r="K774" s="18"/>
      <c r="L774" s="4"/>
    </row>
    <row r="775" spans="1:12" s="2" customFormat="1" ht="15" hidden="1" customHeight="1" x14ac:dyDescent="0.3">
      <c r="A775" s="13" t="s">
        <v>879</v>
      </c>
      <c r="B775" s="13"/>
      <c r="C775" s="13">
        <v>10880017525</v>
      </c>
      <c r="D775" s="14">
        <v>990000110674</v>
      </c>
      <c r="E775" s="13" t="s">
        <v>183</v>
      </c>
      <c r="F775" s="13">
        <v>101</v>
      </c>
      <c r="G775" s="15">
        <v>45839</v>
      </c>
      <c r="H775" s="15">
        <v>45865</v>
      </c>
      <c r="I775" s="13" t="s">
        <v>1193</v>
      </c>
      <c r="J775" s="13" t="s">
        <v>379</v>
      </c>
      <c r="K775" s="18"/>
      <c r="L775" s="4"/>
    </row>
    <row r="776" spans="1:12" s="2" customFormat="1" ht="15" hidden="1" customHeight="1" x14ac:dyDescent="0.3">
      <c r="A776" s="13" t="s">
        <v>879</v>
      </c>
      <c r="B776" s="13"/>
      <c r="C776" s="13">
        <v>10880017526</v>
      </c>
      <c r="D776" s="14">
        <v>990000110672</v>
      </c>
      <c r="E776" s="13" t="s">
        <v>402</v>
      </c>
      <c r="F776" s="13">
        <v>265</v>
      </c>
      <c r="G776" s="15">
        <v>45839</v>
      </c>
      <c r="H776" s="15">
        <v>45868</v>
      </c>
      <c r="I776" s="13" t="s">
        <v>1194</v>
      </c>
      <c r="J776" s="13" t="s">
        <v>379</v>
      </c>
      <c r="K776" s="18"/>
      <c r="L776" s="4"/>
    </row>
    <row r="777" spans="1:12" s="2" customFormat="1" ht="15" hidden="1" customHeight="1" x14ac:dyDescent="0.3">
      <c r="A777" s="13" t="s">
        <v>879</v>
      </c>
      <c r="B777" s="13"/>
      <c r="C777" s="13">
        <v>10880031847</v>
      </c>
      <c r="D777" s="14">
        <v>990000110689</v>
      </c>
      <c r="E777" s="13" t="s">
        <v>228</v>
      </c>
      <c r="F777" s="13">
        <v>47</v>
      </c>
      <c r="G777" s="15">
        <v>45840</v>
      </c>
      <c r="H777" s="15">
        <v>45846</v>
      </c>
      <c r="I777" s="13" t="s">
        <v>1195</v>
      </c>
      <c r="J777" s="13" t="s">
        <v>379</v>
      </c>
      <c r="K777" s="18"/>
      <c r="L777" s="4"/>
    </row>
    <row r="778" spans="1:12" s="2" customFormat="1" ht="15" hidden="1" customHeight="1" x14ac:dyDescent="0.3">
      <c r="A778" s="13" t="s">
        <v>879</v>
      </c>
      <c r="B778" s="13"/>
      <c r="C778" s="13">
        <v>10880033488</v>
      </c>
      <c r="D778" s="14">
        <v>990000110754</v>
      </c>
      <c r="E778" s="13" t="s">
        <v>66</v>
      </c>
      <c r="F778" s="13">
        <v>441</v>
      </c>
      <c r="G778" s="15">
        <v>45842</v>
      </c>
      <c r="H778" s="15">
        <v>45849</v>
      </c>
      <c r="I778" s="13" t="s">
        <v>1196</v>
      </c>
      <c r="J778" s="13" t="s">
        <v>379</v>
      </c>
      <c r="K778" s="18"/>
      <c r="L778" s="4"/>
    </row>
    <row r="779" spans="1:12" s="2" customFormat="1" ht="15" hidden="1" customHeight="1" x14ac:dyDescent="0.3">
      <c r="A779" s="13" t="s">
        <v>879</v>
      </c>
      <c r="B779" s="13"/>
      <c r="C779" s="13">
        <v>10880020802</v>
      </c>
      <c r="D779" s="14">
        <v>990000110759</v>
      </c>
      <c r="E779" s="13" t="s">
        <v>1197</v>
      </c>
      <c r="F779" s="13">
        <v>124</v>
      </c>
      <c r="G779" s="15">
        <v>45844</v>
      </c>
      <c r="H779" s="15" t="s">
        <v>487</v>
      </c>
      <c r="I779" s="13" t="s">
        <v>1198</v>
      </c>
      <c r="J779" s="13" t="s">
        <v>489</v>
      </c>
      <c r="K779" s="18"/>
      <c r="L779" s="4"/>
    </row>
    <row r="780" spans="1:12" s="2" customFormat="1" ht="15" hidden="1" customHeight="1" x14ac:dyDescent="0.3">
      <c r="A780" s="13" t="s">
        <v>879</v>
      </c>
      <c r="B780" s="13"/>
      <c r="C780" s="13">
        <v>10880035380</v>
      </c>
      <c r="D780" s="14">
        <v>990000110779</v>
      </c>
      <c r="E780" s="13" t="s">
        <v>1111</v>
      </c>
      <c r="F780" s="13">
        <v>3014</v>
      </c>
      <c r="G780" s="15">
        <v>45845</v>
      </c>
      <c r="H780" s="15">
        <v>45845</v>
      </c>
      <c r="I780" s="13" t="s">
        <v>1199</v>
      </c>
      <c r="J780" s="13" t="s">
        <v>379</v>
      </c>
      <c r="K780" s="18"/>
      <c r="L780" s="4"/>
    </row>
    <row r="781" spans="1:12" s="2" customFormat="1" ht="15" hidden="1" customHeight="1" x14ac:dyDescent="0.3">
      <c r="A781" s="13" t="s">
        <v>879</v>
      </c>
      <c r="B781" s="13"/>
      <c r="C781" s="13">
        <v>10880035379</v>
      </c>
      <c r="D781" s="14">
        <v>990000110780</v>
      </c>
      <c r="E781" s="13" t="s">
        <v>1113</v>
      </c>
      <c r="F781" s="13">
        <v>3425</v>
      </c>
      <c r="G781" s="15">
        <v>45845</v>
      </c>
      <c r="H781" s="15">
        <v>45845</v>
      </c>
      <c r="I781" s="13" t="s">
        <v>1199</v>
      </c>
      <c r="J781" s="13" t="s">
        <v>379</v>
      </c>
      <c r="K781" s="18"/>
      <c r="L781" s="4"/>
    </row>
    <row r="782" spans="1:12" s="2" customFormat="1" ht="15" hidden="1" customHeight="1" x14ac:dyDescent="0.3">
      <c r="A782" s="13" t="s">
        <v>879</v>
      </c>
      <c r="B782" s="13"/>
      <c r="C782" s="13">
        <v>10880035381</v>
      </c>
      <c r="D782" s="14">
        <v>990000110801</v>
      </c>
      <c r="E782" s="13" t="s">
        <v>1108</v>
      </c>
      <c r="F782" s="13">
        <v>3014</v>
      </c>
      <c r="G782" s="15">
        <v>45845</v>
      </c>
      <c r="H782" s="15">
        <v>45845</v>
      </c>
      <c r="I782" s="13" t="s">
        <v>1199</v>
      </c>
      <c r="J782" s="13" t="s">
        <v>379</v>
      </c>
      <c r="K782" s="18"/>
      <c r="L782" s="4"/>
    </row>
    <row r="783" spans="1:12" s="2" customFormat="1" ht="15" hidden="1" customHeight="1" x14ac:dyDescent="0.3">
      <c r="A783" s="13" t="s">
        <v>879</v>
      </c>
      <c r="B783" s="13"/>
      <c r="C783" s="13">
        <v>10880035754</v>
      </c>
      <c r="D783" s="14">
        <v>990000110777</v>
      </c>
      <c r="E783" s="13" t="s">
        <v>261</v>
      </c>
      <c r="F783" s="13">
        <v>1185</v>
      </c>
      <c r="G783" s="15">
        <v>45845</v>
      </c>
      <c r="H783" s="15" t="s">
        <v>487</v>
      </c>
      <c r="I783" s="13" t="s">
        <v>1200</v>
      </c>
      <c r="J783" s="13" t="s">
        <v>489</v>
      </c>
      <c r="K783" s="18"/>
      <c r="L783" s="4"/>
    </row>
    <row r="784" spans="1:12" s="2" customFormat="1" ht="15" hidden="1" customHeight="1" x14ac:dyDescent="0.3">
      <c r="A784" s="13" t="s">
        <v>879</v>
      </c>
      <c r="B784" s="13"/>
      <c r="C784" s="13">
        <v>10880033296</v>
      </c>
      <c r="D784" s="14">
        <v>990000110920</v>
      </c>
      <c r="E784" s="13" t="s">
        <v>904</v>
      </c>
      <c r="F784" s="13">
        <v>220</v>
      </c>
      <c r="G784" s="15">
        <v>45849</v>
      </c>
      <c r="H784" s="15">
        <v>45849</v>
      </c>
      <c r="I784" s="13" t="s">
        <v>1201</v>
      </c>
      <c r="J784" s="13" t="s">
        <v>389</v>
      </c>
      <c r="K784" s="18"/>
      <c r="L784" s="4"/>
    </row>
    <row r="785" spans="1:12" s="2" customFormat="1" ht="15" hidden="1" customHeight="1" x14ac:dyDescent="0.3">
      <c r="A785" s="13" t="s">
        <v>879</v>
      </c>
      <c r="B785" s="13"/>
      <c r="C785" s="13">
        <v>10880020940</v>
      </c>
      <c r="D785" s="14">
        <v>990000111098</v>
      </c>
      <c r="E785" s="13" t="s">
        <v>222</v>
      </c>
      <c r="F785" s="13">
        <v>40</v>
      </c>
      <c r="G785" s="15">
        <v>45849</v>
      </c>
      <c r="H785" s="15">
        <v>45852</v>
      </c>
      <c r="I785" s="13" t="s">
        <v>1202</v>
      </c>
      <c r="J785" s="13" t="s">
        <v>379</v>
      </c>
      <c r="K785" s="18"/>
      <c r="L785" s="4"/>
    </row>
    <row r="786" spans="1:12" s="2" customFormat="1" ht="15" hidden="1" customHeight="1" x14ac:dyDescent="0.3">
      <c r="A786" s="13" t="s">
        <v>879</v>
      </c>
      <c r="B786" s="13"/>
      <c r="C786" s="13">
        <v>10880034621</v>
      </c>
      <c r="D786" s="14">
        <v>990000111103</v>
      </c>
      <c r="E786" s="13" t="s">
        <v>996</v>
      </c>
      <c r="F786" s="13">
        <v>48</v>
      </c>
      <c r="G786" s="15">
        <v>45852</v>
      </c>
      <c r="H786" s="15">
        <v>45885</v>
      </c>
      <c r="I786" s="13" t="s">
        <v>1203</v>
      </c>
      <c r="J786" s="13" t="s">
        <v>379</v>
      </c>
      <c r="K786" s="18"/>
      <c r="L786" s="4"/>
    </row>
    <row r="787" spans="1:12" s="2" customFormat="1" ht="15" hidden="1" customHeight="1" x14ac:dyDescent="0.3">
      <c r="A787" s="13" t="s">
        <v>879</v>
      </c>
      <c r="B787" s="13"/>
      <c r="C787" s="13">
        <v>10880031440</v>
      </c>
      <c r="D787" s="14">
        <v>990000111119</v>
      </c>
      <c r="E787" s="13" t="s">
        <v>1004</v>
      </c>
      <c r="F787" s="13">
        <v>211</v>
      </c>
      <c r="G787" s="15">
        <v>45853</v>
      </c>
      <c r="H787" s="15">
        <v>45857</v>
      </c>
      <c r="I787" s="13" t="s">
        <v>1204</v>
      </c>
      <c r="J787" s="13" t="s">
        <v>379</v>
      </c>
      <c r="K787" s="18"/>
      <c r="L787" s="4"/>
    </row>
    <row r="788" spans="1:12" s="2" customFormat="1" ht="15" hidden="1" customHeight="1" x14ac:dyDescent="0.3">
      <c r="A788" s="13" t="s">
        <v>879</v>
      </c>
      <c r="B788" s="13"/>
      <c r="C788" s="13">
        <v>10880033584</v>
      </c>
      <c r="D788" s="14">
        <v>990000111134</v>
      </c>
      <c r="E788" s="13" t="s">
        <v>1205</v>
      </c>
      <c r="F788" s="13">
        <v>1418</v>
      </c>
      <c r="G788" s="15">
        <v>45854</v>
      </c>
      <c r="H788" s="15">
        <v>45870</v>
      </c>
      <c r="I788" s="13" t="s">
        <v>1206</v>
      </c>
      <c r="J788" s="13" t="s">
        <v>379</v>
      </c>
      <c r="K788" s="18"/>
      <c r="L788" s="4"/>
    </row>
    <row r="789" spans="1:12" s="2" customFormat="1" ht="15" hidden="1" customHeight="1" x14ac:dyDescent="0.3">
      <c r="A789" s="13" t="s">
        <v>879</v>
      </c>
      <c r="B789" s="13"/>
      <c r="C789" s="13">
        <v>10880031570</v>
      </c>
      <c r="D789" s="14">
        <v>990000111188</v>
      </c>
      <c r="E789" s="13" t="s">
        <v>1043</v>
      </c>
      <c r="F789" s="13">
        <v>1285</v>
      </c>
      <c r="G789" s="15">
        <v>45854</v>
      </c>
      <c r="H789" s="15">
        <v>45864</v>
      </c>
      <c r="I789" s="13" t="s">
        <v>1207</v>
      </c>
      <c r="J789" s="13" t="s">
        <v>379</v>
      </c>
      <c r="K789" s="18"/>
      <c r="L789" s="4"/>
    </row>
    <row r="790" spans="1:12" s="2" customFormat="1" ht="15" hidden="1" customHeight="1" x14ac:dyDescent="0.3">
      <c r="A790" s="13" t="s">
        <v>879</v>
      </c>
      <c r="B790" s="13"/>
      <c r="C790" s="13">
        <v>10880033523</v>
      </c>
      <c r="D790" s="14">
        <v>990000111157</v>
      </c>
      <c r="E790" s="13" t="s">
        <v>1144</v>
      </c>
      <c r="F790" s="13">
        <v>5000</v>
      </c>
      <c r="G790" s="15">
        <v>45855</v>
      </c>
      <c r="H790" s="15">
        <v>45859</v>
      </c>
      <c r="I790" s="13" t="s">
        <v>1208</v>
      </c>
      <c r="J790" s="13" t="s">
        <v>379</v>
      </c>
      <c r="K790" s="18"/>
      <c r="L790" s="4"/>
    </row>
    <row r="791" spans="1:12" s="2" customFormat="1" ht="15" hidden="1" customHeight="1" x14ac:dyDescent="0.3">
      <c r="A791" s="13" t="s">
        <v>879</v>
      </c>
      <c r="B791" s="13"/>
      <c r="C791" s="13">
        <v>10880030265</v>
      </c>
      <c r="D791" s="14">
        <v>990000111230</v>
      </c>
      <c r="E791" s="13" t="s">
        <v>1209</v>
      </c>
      <c r="F791" s="13">
        <v>334</v>
      </c>
      <c r="G791" s="15">
        <v>45856</v>
      </c>
      <c r="H791" s="15">
        <v>45857</v>
      </c>
      <c r="I791" s="13" t="s">
        <v>1210</v>
      </c>
      <c r="J791" s="13" t="s">
        <v>379</v>
      </c>
      <c r="K791" s="18"/>
      <c r="L791" s="4"/>
    </row>
    <row r="792" spans="1:12" s="2" customFormat="1" ht="15" hidden="1" customHeight="1" x14ac:dyDescent="0.3">
      <c r="A792" s="13" t="s">
        <v>879</v>
      </c>
      <c r="B792" s="13"/>
      <c r="C792" s="13">
        <v>10880035167</v>
      </c>
      <c r="D792" s="14">
        <v>990000111281</v>
      </c>
      <c r="E792" s="13" t="s">
        <v>218</v>
      </c>
      <c r="F792" s="13">
        <v>12699</v>
      </c>
      <c r="G792" s="15">
        <v>45858</v>
      </c>
      <c r="H792" s="15">
        <v>45864</v>
      </c>
      <c r="I792" s="13" t="s">
        <v>1211</v>
      </c>
      <c r="J792" s="13" t="s">
        <v>423</v>
      </c>
      <c r="K792" s="18"/>
      <c r="L792" s="4"/>
    </row>
    <row r="793" spans="1:12" s="2" customFormat="1" ht="15" hidden="1" customHeight="1" x14ac:dyDescent="0.3">
      <c r="A793" s="13" t="s">
        <v>879</v>
      </c>
      <c r="B793" s="13"/>
      <c r="C793" s="13">
        <v>10880021612</v>
      </c>
      <c r="D793" s="14">
        <v>990000111284</v>
      </c>
      <c r="E793" s="13" t="s">
        <v>838</v>
      </c>
      <c r="F793" s="13">
        <v>110</v>
      </c>
      <c r="G793" s="15">
        <v>45859</v>
      </c>
      <c r="H793" s="15">
        <v>45863</v>
      </c>
      <c r="I793" s="13" t="s">
        <v>1212</v>
      </c>
      <c r="J793" s="13" t="s">
        <v>379</v>
      </c>
      <c r="K793" s="18"/>
      <c r="L793" s="4"/>
    </row>
    <row r="794" spans="1:12" s="2" customFormat="1" ht="15" hidden="1" customHeight="1" x14ac:dyDescent="0.3">
      <c r="A794" s="13" t="s">
        <v>879</v>
      </c>
      <c r="B794" s="13"/>
      <c r="C794" s="13">
        <v>10880020555</v>
      </c>
      <c r="D794" s="14">
        <v>990000111298</v>
      </c>
      <c r="E794" s="13" t="s">
        <v>1146</v>
      </c>
      <c r="F794" s="13">
        <v>3060</v>
      </c>
      <c r="G794" s="15">
        <v>45860</v>
      </c>
      <c r="H794" s="15">
        <v>45860</v>
      </c>
      <c r="I794" s="13" t="s">
        <v>1213</v>
      </c>
      <c r="J794" s="13" t="s">
        <v>379</v>
      </c>
      <c r="K794" s="18"/>
      <c r="L794" s="4"/>
    </row>
    <row r="795" spans="1:12" s="2" customFormat="1" ht="15" hidden="1" customHeight="1" x14ac:dyDescent="0.3">
      <c r="A795" s="13" t="s">
        <v>879</v>
      </c>
      <c r="B795" s="13"/>
      <c r="C795" s="13">
        <v>10880020557</v>
      </c>
      <c r="D795" s="14">
        <v>990000111300</v>
      </c>
      <c r="E795" s="13" t="s">
        <v>1180</v>
      </c>
      <c r="F795" s="13">
        <v>2880</v>
      </c>
      <c r="G795" s="15">
        <v>45860</v>
      </c>
      <c r="H795" s="15">
        <v>45860</v>
      </c>
      <c r="I795" s="13" t="s">
        <v>1213</v>
      </c>
      <c r="J795" s="13" t="s">
        <v>379</v>
      </c>
      <c r="K795" s="18"/>
      <c r="L795" s="4"/>
    </row>
    <row r="796" spans="1:12" s="2" customFormat="1" ht="15" hidden="1" customHeight="1" x14ac:dyDescent="0.3">
      <c r="A796" s="13" t="s">
        <v>879</v>
      </c>
      <c r="B796" s="13"/>
      <c r="C796" s="13">
        <v>10880020654</v>
      </c>
      <c r="D796" s="14">
        <v>990000111299</v>
      </c>
      <c r="E796" s="13" t="s">
        <v>1175</v>
      </c>
      <c r="F796" s="13">
        <v>6868</v>
      </c>
      <c r="G796" s="15">
        <v>45860</v>
      </c>
      <c r="H796" s="15">
        <v>45860</v>
      </c>
      <c r="I796" s="13" t="s">
        <v>1213</v>
      </c>
      <c r="J796" s="13" t="s">
        <v>379</v>
      </c>
      <c r="K796" s="18"/>
      <c r="L796" s="4"/>
    </row>
    <row r="797" spans="1:12" s="2" customFormat="1" ht="15" hidden="1" customHeight="1" x14ac:dyDescent="0.3">
      <c r="A797" s="13" t="s">
        <v>879</v>
      </c>
      <c r="B797" s="13"/>
      <c r="C797" s="13">
        <v>10880035167</v>
      </c>
      <c r="D797" s="14">
        <v>990000111334</v>
      </c>
      <c r="E797" s="13" t="s">
        <v>218</v>
      </c>
      <c r="F797" s="13">
        <v>4014</v>
      </c>
      <c r="G797" s="15">
        <v>45862</v>
      </c>
      <c r="H797" s="15">
        <v>45864</v>
      </c>
      <c r="I797" s="13" t="s">
        <v>1214</v>
      </c>
      <c r="J797" s="13" t="s">
        <v>389</v>
      </c>
      <c r="K797" s="18"/>
      <c r="L797" s="4"/>
    </row>
    <row r="798" spans="1:12" s="2" customFormat="1" ht="15" hidden="1" customHeight="1" x14ac:dyDescent="0.3">
      <c r="A798" s="13" t="s">
        <v>879</v>
      </c>
      <c r="B798" s="13"/>
      <c r="C798" s="13">
        <v>10880020940</v>
      </c>
      <c r="D798" s="14">
        <v>990000111342</v>
      </c>
      <c r="E798" s="13" t="s">
        <v>222</v>
      </c>
      <c r="F798" s="13">
        <v>30</v>
      </c>
      <c r="G798" s="15">
        <v>45862</v>
      </c>
      <c r="H798" s="15">
        <v>45871</v>
      </c>
      <c r="I798" s="13" t="s">
        <v>1215</v>
      </c>
      <c r="J798" s="13" t="s">
        <v>379</v>
      </c>
      <c r="K798" s="18"/>
      <c r="L798" s="4"/>
    </row>
    <row r="799" spans="1:12" s="2" customFormat="1" ht="15" hidden="1" customHeight="1" x14ac:dyDescent="0.3">
      <c r="A799" s="13" t="s">
        <v>879</v>
      </c>
      <c r="B799" s="13"/>
      <c r="C799" s="13">
        <v>10880035167</v>
      </c>
      <c r="D799" s="14">
        <v>990000111374</v>
      </c>
      <c r="E799" s="13" t="s">
        <v>218</v>
      </c>
      <c r="F799" s="13">
        <v>7356</v>
      </c>
      <c r="G799" s="15">
        <v>45862</v>
      </c>
      <c r="H799" s="15">
        <v>45870</v>
      </c>
      <c r="I799" s="13" t="s">
        <v>1216</v>
      </c>
      <c r="J799" s="13" t="s">
        <v>389</v>
      </c>
      <c r="K799" s="18"/>
      <c r="L799" s="4"/>
    </row>
    <row r="800" spans="1:12" s="2" customFormat="1" ht="15" hidden="1" customHeight="1" x14ac:dyDescent="0.3">
      <c r="A800" s="13" t="s">
        <v>879</v>
      </c>
      <c r="B800" s="13"/>
      <c r="C800" s="13">
        <v>10880034385</v>
      </c>
      <c r="D800" s="14">
        <v>990000111383</v>
      </c>
      <c r="E800" s="13" t="s">
        <v>1217</v>
      </c>
      <c r="F800" s="13">
        <v>307</v>
      </c>
      <c r="G800" s="15">
        <v>45863</v>
      </c>
      <c r="H800" s="15">
        <v>45864</v>
      </c>
      <c r="I800" s="13" t="s">
        <v>1218</v>
      </c>
      <c r="J800" s="13" t="s">
        <v>379</v>
      </c>
      <c r="K800" s="18"/>
      <c r="L800" s="4"/>
    </row>
    <row r="801" spans="1:12" s="2" customFormat="1" ht="15" hidden="1" customHeight="1" x14ac:dyDescent="0.3">
      <c r="A801" s="13" t="s">
        <v>879</v>
      </c>
      <c r="B801" s="13"/>
      <c r="C801" s="13">
        <v>10880033965</v>
      </c>
      <c r="D801" s="14">
        <v>990000111412</v>
      </c>
      <c r="E801" s="13" t="s">
        <v>922</v>
      </c>
      <c r="F801" s="13">
        <v>5</v>
      </c>
      <c r="G801" s="15">
        <v>45866</v>
      </c>
      <c r="H801" s="15">
        <v>45866</v>
      </c>
      <c r="I801" s="13" t="s">
        <v>1219</v>
      </c>
      <c r="J801" s="13" t="s">
        <v>379</v>
      </c>
      <c r="K801" s="18"/>
      <c r="L801" s="4"/>
    </row>
    <row r="802" spans="1:12" s="2" customFormat="1" ht="15" hidden="1" customHeight="1" x14ac:dyDescent="0.3">
      <c r="A802" s="13" t="s">
        <v>879</v>
      </c>
      <c r="B802" s="13"/>
      <c r="C802" s="13">
        <v>10880032479</v>
      </c>
      <c r="D802" s="14">
        <v>990000111389</v>
      </c>
      <c r="E802" s="13" t="s">
        <v>1220</v>
      </c>
      <c r="F802" s="13">
        <v>904</v>
      </c>
      <c r="G802" s="15">
        <v>45866</v>
      </c>
      <c r="H802" s="15">
        <v>45866</v>
      </c>
      <c r="I802" s="13" t="s">
        <v>1221</v>
      </c>
      <c r="J802" s="13" t="s">
        <v>379</v>
      </c>
      <c r="K802" s="18"/>
      <c r="L802" s="4"/>
    </row>
    <row r="803" spans="1:12" s="2" customFormat="1" ht="15" hidden="1" customHeight="1" x14ac:dyDescent="0.3">
      <c r="A803" s="13" t="s">
        <v>879</v>
      </c>
      <c r="B803" s="13"/>
      <c r="C803" s="13">
        <v>10880030843</v>
      </c>
      <c r="D803" s="14">
        <v>990000111415</v>
      </c>
      <c r="E803" s="13" t="s">
        <v>951</v>
      </c>
      <c r="F803" s="13">
        <v>1135</v>
      </c>
      <c r="G803" s="15">
        <v>45866</v>
      </c>
      <c r="H803" s="15">
        <v>45878</v>
      </c>
      <c r="I803" s="13" t="s">
        <v>1222</v>
      </c>
      <c r="J803" s="13" t="s">
        <v>379</v>
      </c>
      <c r="K803" s="18"/>
      <c r="L803" s="4"/>
    </row>
    <row r="804" spans="1:12" s="2" customFormat="1" ht="15" hidden="1" customHeight="1" x14ac:dyDescent="0.3">
      <c r="A804" s="13" t="s">
        <v>879</v>
      </c>
      <c r="B804" s="13"/>
      <c r="C804" s="13">
        <v>10880034575</v>
      </c>
      <c r="D804" s="14">
        <v>990000111385</v>
      </c>
      <c r="E804" s="13" t="s">
        <v>1049</v>
      </c>
      <c r="F804" s="13">
        <v>2152</v>
      </c>
      <c r="G804" s="15">
        <v>45866</v>
      </c>
      <c r="H804" s="15">
        <v>45874</v>
      </c>
      <c r="I804" s="13" t="s">
        <v>1223</v>
      </c>
      <c r="J804" s="13" t="s">
        <v>379</v>
      </c>
      <c r="K804" s="18"/>
      <c r="L804" s="4"/>
    </row>
    <row r="805" spans="1:12" s="2" customFormat="1" ht="15" hidden="1" customHeight="1" x14ac:dyDescent="0.3">
      <c r="A805" s="13" t="s">
        <v>879</v>
      </c>
      <c r="B805" s="13"/>
      <c r="C805" s="13">
        <v>10880032383</v>
      </c>
      <c r="D805" s="14">
        <v>990000111398</v>
      </c>
      <c r="E805" s="13" t="s">
        <v>1224</v>
      </c>
      <c r="F805" s="13">
        <v>57</v>
      </c>
      <c r="G805" s="15">
        <v>45867</v>
      </c>
      <c r="H805" s="15">
        <v>45866</v>
      </c>
      <c r="I805" s="13" t="s">
        <v>1225</v>
      </c>
      <c r="J805" s="13" t="s">
        <v>732</v>
      </c>
      <c r="K805" s="18"/>
      <c r="L805" s="4"/>
    </row>
    <row r="806" spans="1:12" s="2" customFormat="1" ht="15" hidden="1" customHeight="1" x14ac:dyDescent="0.3">
      <c r="A806" s="13" t="s">
        <v>879</v>
      </c>
      <c r="B806" s="13"/>
      <c r="C806" s="13">
        <v>10880021796</v>
      </c>
      <c r="D806" s="14">
        <v>990000111447</v>
      </c>
      <c r="E806" s="13" t="s">
        <v>773</v>
      </c>
      <c r="F806" s="13">
        <v>300</v>
      </c>
      <c r="G806" s="15">
        <v>45867</v>
      </c>
      <c r="H806" s="15">
        <v>45874</v>
      </c>
      <c r="I806" s="13" t="s">
        <v>1128</v>
      </c>
      <c r="J806" s="13" t="s">
        <v>379</v>
      </c>
      <c r="K806" s="18"/>
      <c r="L806" s="4"/>
    </row>
    <row r="807" spans="1:12" s="2" customFormat="1" ht="15" hidden="1" customHeight="1" x14ac:dyDescent="0.3">
      <c r="A807" s="13" t="s">
        <v>879</v>
      </c>
      <c r="B807" s="13"/>
      <c r="C807" s="13">
        <v>10880035543</v>
      </c>
      <c r="D807" s="14">
        <v>990000111450</v>
      </c>
      <c r="E807" s="13" t="s">
        <v>244</v>
      </c>
      <c r="F807" s="13">
        <v>1528</v>
      </c>
      <c r="G807" s="15">
        <v>45868</v>
      </c>
      <c r="H807" s="15">
        <v>45870</v>
      </c>
      <c r="I807" s="13" t="s">
        <v>1223</v>
      </c>
      <c r="J807" s="13" t="s">
        <v>379</v>
      </c>
      <c r="K807" s="18"/>
      <c r="L807" s="4"/>
    </row>
    <row r="808" spans="1:12" s="2" customFormat="1" ht="15" hidden="1" customHeight="1" x14ac:dyDescent="0.3">
      <c r="A808" s="13" t="s">
        <v>879</v>
      </c>
      <c r="B808" s="13"/>
      <c r="C808" s="13">
        <v>10880035380</v>
      </c>
      <c r="D808" s="14">
        <v>990000111449</v>
      </c>
      <c r="E808" s="13" t="s">
        <v>1111</v>
      </c>
      <c r="F808" s="13">
        <v>154</v>
      </c>
      <c r="G808" s="15">
        <v>45868</v>
      </c>
      <c r="H808" s="15">
        <v>45868</v>
      </c>
      <c r="I808" s="13" t="s">
        <v>1226</v>
      </c>
      <c r="J808" s="13" t="s">
        <v>379</v>
      </c>
      <c r="K808" s="18"/>
      <c r="L808" s="4"/>
    </row>
    <row r="809" spans="1:12" s="2" customFormat="1" ht="15" hidden="1" customHeight="1" x14ac:dyDescent="0.3">
      <c r="A809" s="13" t="s">
        <v>879</v>
      </c>
      <c r="B809" s="13"/>
      <c r="C809" s="13">
        <v>10880034629</v>
      </c>
      <c r="D809" s="14">
        <v>990000111463</v>
      </c>
      <c r="E809" s="13" t="s">
        <v>1227</v>
      </c>
      <c r="F809" s="13">
        <v>192</v>
      </c>
      <c r="G809" s="15">
        <v>45869</v>
      </c>
      <c r="H809" s="15">
        <v>45870</v>
      </c>
      <c r="I809" s="13" t="s">
        <v>1228</v>
      </c>
      <c r="J809" s="13" t="s">
        <v>379</v>
      </c>
      <c r="K809" s="18"/>
      <c r="L809" s="4"/>
    </row>
    <row r="810" spans="1:12" s="2" customFormat="1" ht="15" hidden="1" customHeight="1" x14ac:dyDescent="0.3">
      <c r="A810" s="13" t="s">
        <v>879</v>
      </c>
      <c r="B810" s="13"/>
      <c r="C810" s="13">
        <v>10880031869</v>
      </c>
      <c r="D810" s="14">
        <v>990000111457</v>
      </c>
      <c r="E810" s="13" t="s">
        <v>858</v>
      </c>
      <c r="F810" s="13">
        <v>1</v>
      </c>
      <c r="G810" s="15">
        <v>45869</v>
      </c>
      <c r="H810" s="15">
        <v>45874</v>
      </c>
      <c r="I810" s="13" t="s">
        <v>1229</v>
      </c>
      <c r="J810" s="13" t="s">
        <v>379</v>
      </c>
      <c r="K810" s="18"/>
      <c r="L810" s="4"/>
    </row>
    <row r="811" spans="1:12" s="2" customFormat="1" ht="15" hidden="1" customHeight="1" x14ac:dyDescent="0.3">
      <c r="A811" s="13" t="s">
        <v>879</v>
      </c>
      <c r="B811" s="13"/>
      <c r="C811" s="13">
        <v>10880035448</v>
      </c>
      <c r="D811" s="14">
        <v>990000111502</v>
      </c>
      <c r="E811" s="13" t="s">
        <v>1230</v>
      </c>
      <c r="F811" s="13">
        <v>169</v>
      </c>
      <c r="G811" s="15">
        <v>45869</v>
      </c>
      <c r="H811" s="15">
        <v>45878</v>
      </c>
      <c r="I811" s="13" t="s">
        <v>1231</v>
      </c>
      <c r="J811" s="13" t="s">
        <v>379</v>
      </c>
      <c r="K811" s="18"/>
      <c r="L811" s="4"/>
    </row>
    <row r="812" spans="1:12" s="2" customFormat="1" ht="15" hidden="1" customHeight="1" x14ac:dyDescent="0.3">
      <c r="A812" s="13" t="s">
        <v>879</v>
      </c>
      <c r="B812" s="13"/>
      <c r="C812" s="13">
        <v>10880034554</v>
      </c>
      <c r="D812" s="14">
        <v>990000111549</v>
      </c>
      <c r="E812" s="13" t="s">
        <v>1232</v>
      </c>
      <c r="F812" s="13">
        <v>300</v>
      </c>
      <c r="G812" s="15">
        <v>45870</v>
      </c>
      <c r="H812" s="15">
        <v>45870</v>
      </c>
      <c r="I812" s="13" t="s">
        <v>1233</v>
      </c>
      <c r="J812" s="13" t="s">
        <v>379</v>
      </c>
      <c r="K812" s="18"/>
      <c r="L812" s="4"/>
    </row>
    <row r="813" spans="1:12" s="2" customFormat="1" ht="15" hidden="1" customHeight="1" x14ac:dyDescent="0.3">
      <c r="A813" s="13" t="s">
        <v>879</v>
      </c>
      <c r="B813" s="13"/>
      <c r="C813" s="13">
        <v>10880034385</v>
      </c>
      <c r="D813" s="14">
        <v>990000111550</v>
      </c>
      <c r="E813" s="13" t="s">
        <v>1217</v>
      </c>
      <c r="F813" s="13">
        <v>188</v>
      </c>
      <c r="G813" s="15">
        <v>45870</v>
      </c>
      <c r="H813" s="15">
        <v>45871</v>
      </c>
      <c r="I813" s="13" t="s">
        <v>1234</v>
      </c>
      <c r="J813" s="13" t="s">
        <v>396</v>
      </c>
      <c r="K813" s="18"/>
      <c r="L813" s="4"/>
    </row>
    <row r="814" spans="1:12" s="2" customFormat="1" ht="15" hidden="1" customHeight="1" x14ac:dyDescent="0.3">
      <c r="A814" s="13" t="s">
        <v>879</v>
      </c>
      <c r="B814" s="13"/>
      <c r="C814" s="13">
        <v>10880033291</v>
      </c>
      <c r="D814" s="14">
        <v>990000111551</v>
      </c>
      <c r="E814" s="13" t="s">
        <v>803</v>
      </c>
      <c r="F814" s="13">
        <v>298</v>
      </c>
      <c r="G814" s="15">
        <v>45870</v>
      </c>
      <c r="H814" s="15">
        <v>45871</v>
      </c>
      <c r="I814" s="13" t="s">
        <v>1234</v>
      </c>
      <c r="J814" s="13" t="s">
        <v>396</v>
      </c>
      <c r="K814" s="18"/>
      <c r="L814" s="4"/>
    </row>
    <row r="815" spans="1:12" s="2" customFormat="1" ht="15" hidden="1" customHeight="1" x14ac:dyDescent="0.3">
      <c r="A815" s="13" t="s">
        <v>879</v>
      </c>
      <c r="B815" s="13"/>
      <c r="C815" s="13">
        <v>10880033293</v>
      </c>
      <c r="D815" s="14">
        <v>990000111552</v>
      </c>
      <c r="E815" s="13" t="s">
        <v>804</v>
      </c>
      <c r="F815" s="13">
        <v>152</v>
      </c>
      <c r="G815" s="15">
        <v>45870</v>
      </c>
      <c r="H815" s="15">
        <v>45871</v>
      </c>
      <c r="I815" s="13" t="s">
        <v>1234</v>
      </c>
      <c r="J815" s="13" t="s">
        <v>396</v>
      </c>
      <c r="K815" s="18"/>
      <c r="L815" s="4"/>
    </row>
    <row r="816" spans="1:12" s="2" customFormat="1" ht="15" hidden="1" customHeight="1" x14ac:dyDescent="0.3">
      <c r="A816" s="13" t="s">
        <v>879</v>
      </c>
      <c r="B816" s="13"/>
      <c r="C816" s="13">
        <v>10880028834</v>
      </c>
      <c r="D816" s="14">
        <v>990000111579</v>
      </c>
      <c r="E816" s="13" t="s">
        <v>250</v>
      </c>
      <c r="F816" s="13">
        <v>1200</v>
      </c>
      <c r="G816" s="15">
        <v>45873</v>
      </c>
      <c r="H816" s="15">
        <v>45881</v>
      </c>
      <c r="I816" s="13" t="s">
        <v>1235</v>
      </c>
      <c r="J816" s="13" t="s">
        <v>389</v>
      </c>
      <c r="K816" s="18"/>
      <c r="L816" s="4"/>
    </row>
    <row r="817" spans="1:12" s="2" customFormat="1" ht="15" hidden="1" customHeight="1" x14ac:dyDescent="0.3">
      <c r="A817" s="13" t="s">
        <v>879</v>
      </c>
      <c r="B817" s="13"/>
      <c r="C817" s="13">
        <v>10880030296</v>
      </c>
      <c r="D817" s="14">
        <v>990000111598</v>
      </c>
      <c r="E817" s="13" t="s">
        <v>514</v>
      </c>
      <c r="F817" s="13">
        <v>1349</v>
      </c>
      <c r="G817" s="15">
        <v>45874</v>
      </c>
      <c r="H817" s="15">
        <v>45875</v>
      </c>
      <c r="I817" s="13" t="s">
        <v>1236</v>
      </c>
      <c r="J817" s="13" t="s">
        <v>379</v>
      </c>
      <c r="K817" s="18"/>
      <c r="L817" s="4"/>
    </row>
    <row r="818" spans="1:12" s="2" customFormat="1" ht="15" hidden="1" customHeight="1" x14ac:dyDescent="0.3">
      <c r="A818" s="13" t="s">
        <v>879</v>
      </c>
      <c r="B818" s="13"/>
      <c r="C818" s="13">
        <v>10880030447</v>
      </c>
      <c r="D818" s="14">
        <v>990000111599</v>
      </c>
      <c r="E818" s="13" t="s">
        <v>1237</v>
      </c>
      <c r="F818" s="13">
        <v>1190</v>
      </c>
      <c r="G818" s="15">
        <v>45874</v>
      </c>
      <c r="H818" s="15">
        <v>45875</v>
      </c>
      <c r="I818" s="13" t="s">
        <v>1238</v>
      </c>
      <c r="J818" s="13" t="s">
        <v>379</v>
      </c>
      <c r="K818" s="18"/>
      <c r="L818" s="4"/>
    </row>
    <row r="819" spans="1:12" s="2" customFormat="1" ht="15" hidden="1" customHeight="1" x14ac:dyDescent="0.3">
      <c r="A819" s="13" t="s">
        <v>879</v>
      </c>
      <c r="B819" s="13"/>
      <c r="C819" s="13">
        <v>10880034554</v>
      </c>
      <c r="D819" s="14">
        <v>990000111600</v>
      </c>
      <c r="E819" s="13" t="s">
        <v>1232</v>
      </c>
      <c r="F819" s="13">
        <v>224</v>
      </c>
      <c r="G819" s="15">
        <v>45874</v>
      </c>
      <c r="H819" s="15">
        <v>45877</v>
      </c>
      <c r="I819" s="13" t="s">
        <v>1239</v>
      </c>
      <c r="J819" s="13" t="s">
        <v>379</v>
      </c>
      <c r="K819" s="18"/>
      <c r="L819" s="4"/>
    </row>
    <row r="820" spans="1:12" s="2" customFormat="1" ht="15" hidden="1" customHeight="1" x14ac:dyDescent="0.3">
      <c r="A820" s="13" t="s">
        <v>879</v>
      </c>
      <c r="B820" s="13"/>
      <c r="C820" s="13">
        <v>10880033216</v>
      </c>
      <c r="D820" s="14">
        <v>990000111593</v>
      </c>
      <c r="E820" s="13" t="s">
        <v>88</v>
      </c>
      <c r="F820" s="13">
        <v>400</v>
      </c>
      <c r="G820" s="15">
        <v>45874</v>
      </c>
      <c r="H820" s="15">
        <v>45876</v>
      </c>
      <c r="I820" s="13" t="s">
        <v>1240</v>
      </c>
      <c r="J820" s="13" t="s">
        <v>379</v>
      </c>
      <c r="K820" s="18"/>
      <c r="L820" s="4"/>
    </row>
    <row r="821" spans="1:12" s="2" customFormat="1" ht="15" hidden="1" customHeight="1" x14ac:dyDescent="0.3">
      <c r="A821" s="13" t="s">
        <v>879</v>
      </c>
      <c r="B821" s="13"/>
      <c r="C821" s="13">
        <v>10880035186</v>
      </c>
      <c r="D821" s="14">
        <v>990000111693</v>
      </c>
      <c r="E821" s="13" t="s">
        <v>1133</v>
      </c>
      <c r="F821" s="13">
        <v>503</v>
      </c>
      <c r="G821" s="15">
        <v>45877</v>
      </c>
      <c r="H821" s="15">
        <v>45878</v>
      </c>
      <c r="I821" s="13" t="s">
        <v>1241</v>
      </c>
      <c r="J821" s="13" t="s">
        <v>379</v>
      </c>
      <c r="K821" s="18"/>
      <c r="L821" s="4"/>
    </row>
    <row r="822" spans="1:12" s="2" customFormat="1" ht="15" hidden="1" customHeight="1" x14ac:dyDescent="0.3">
      <c r="A822" s="13" t="s">
        <v>879</v>
      </c>
      <c r="B822" s="13"/>
      <c r="C822" s="13">
        <v>10880034385</v>
      </c>
      <c r="D822" s="14">
        <v>990000111699</v>
      </c>
      <c r="E822" s="13" t="s">
        <v>1217</v>
      </c>
      <c r="F822" s="13">
        <v>188</v>
      </c>
      <c r="G822" s="15">
        <v>45877</v>
      </c>
      <c r="H822" s="15">
        <v>45877</v>
      </c>
      <c r="I822" s="13" t="s">
        <v>1242</v>
      </c>
      <c r="J822" s="13" t="s">
        <v>379</v>
      </c>
      <c r="K822" s="18"/>
      <c r="L822" s="4"/>
    </row>
    <row r="823" spans="1:12" s="2" customFormat="1" ht="15" hidden="1" customHeight="1" x14ac:dyDescent="0.3">
      <c r="A823" s="13" t="s">
        <v>879</v>
      </c>
      <c r="B823" s="13"/>
      <c r="C823" s="13">
        <v>10880034385</v>
      </c>
      <c r="D823" s="14">
        <v>990000111704</v>
      </c>
      <c r="E823" s="13" t="s">
        <v>1217</v>
      </c>
      <c r="F823" s="13">
        <v>98</v>
      </c>
      <c r="G823" s="15">
        <v>45877</v>
      </c>
      <c r="H823" s="15">
        <v>45880</v>
      </c>
      <c r="I823" s="13" t="s">
        <v>1243</v>
      </c>
      <c r="J823" s="13" t="s">
        <v>379</v>
      </c>
      <c r="K823" s="18"/>
      <c r="L823" s="4"/>
    </row>
    <row r="824" spans="1:12" s="2" customFormat="1" ht="15" hidden="1" customHeight="1" x14ac:dyDescent="0.3">
      <c r="A824" s="13" t="s">
        <v>879</v>
      </c>
      <c r="B824" s="13"/>
      <c r="C824" s="13">
        <v>10880017531</v>
      </c>
      <c r="D824" s="14">
        <v>990000111702</v>
      </c>
      <c r="E824" s="13" t="s">
        <v>390</v>
      </c>
      <c r="F824" s="13">
        <v>40</v>
      </c>
      <c r="G824" s="15">
        <v>45877</v>
      </c>
      <c r="H824" s="15">
        <v>45880</v>
      </c>
      <c r="I824" s="13" t="s">
        <v>1244</v>
      </c>
      <c r="J824" s="13" t="s">
        <v>379</v>
      </c>
      <c r="K824" s="18"/>
      <c r="L824" s="4"/>
    </row>
    <row r="825" spans="1:12" s="2" customFormat="1" ht="15" hidden="1" customHeight="1" x14ac:dyDescent="0.3">
      <c r="A825" s="13" t="s">
        <v>879</v>
      </c>
      <c r="B825" s="13"/>
      <c r="C825" s="13">
        <v>10880034385</v>
      </c>
      <c r="D825" s="14">
        <v>990000111703</v>
      </c>
      <c r="E825" s="13" t="s">
        <v>1217</v>
      </c>
      <c r="F825" s="13">
        <v>1260</v>
      </c>
      <c r="G825" s="15">
        <v>45877</v>
      </c>
      <c r="H825" s="15">
        <v>45884</v>
      </c>
      <c r="I825" s="13" t="s">
        <v>1245</v>
      </c>
      <c r="J825" s="13" t="s">
        <v>379</v>
      </c>
      <c r="K825" s="18"/>
      <c r="L825" s="4"/>
    </row>
    <row r="826" spans="1:12" s="2" customFormat="1" ht="15" hidden="1" customHeight="1" x14ac:dyDescent="0.3">
      <c r="A826" s="13" t="s">
        <v>879</v>
      </c>
      <c r="B826" s="13"/>
      <c r="C826" s="13">
        <v>10880034251</v>
      </c>
      <c r="D826" s="14">
        <v>990000111708</v>
      </c>
      <c r="E826" s="13" t="s">
        <v>989</v>
      </c>
      <c r="F826" s="13">
        <v>1109</v>
      </c>
      <c r="G826" s="15">
        <v>45878</v>
      </c>
      <c r="H826" s="15">
        <v>45879</v>
      </c>
      <c r="I826" s="13" t="s">
        <v>1055</v>
      </c>
      <c r="J826" s="13" t="s">
        <v>423</v>
      </c>
      <c r="K826" s="18"/>
      <c r="L826" s="4"/>
    </row>
    <row r="827" spans="1:12" s="2" customFormat="1" ht="15" hidden="1" customHeight="1" x14ac:dyDescent="0.3">
      <c r="A827" s="13" t="s">
        <v>879</v>
      </c>
      <c r="B827" s="13"/>
      <c r="C827" s="13">
        <v>10880020654</v>
      </c>
      <c r="D827" s="14">
        <v>990000111729</v>
      </c>
      <c r="E827" s="13" t="s">
        <v>1175</v>
      </c>
      <c r="F827" s="13">
        <v>4097</v>
      </c>
      <c r="G827" s="15">
        <v>45880</v>
      </c>
      <c r="H827" s="15">
        <v>45880</v>
      </c>
      <c r="I827" s="13" t="s">
        <v>1213</v>
      </c>
      <c r="J827" s="13" t="s">
        <v>379</v>
      </c>
      <c r="K827" s="18"/>
      <c r="L827" s="4"/>
    </row>
    <row r="828" spans="1:12" s="2" customFormat="1" ht="15" hidden="1" customHeight="1" x14ac:dyDescent="0.3">
      <c r="A828" s="13" t="s">
        <v>879</v>
      </c>
      <c r="B828" s="13"/>
      <c r="C828" s="13">
        <v>10880030296</v>
      </c>
      <c r="D828" s="14">
        <v>990000111728</v>
      </c>
      <c r="E828" s="13" t="s">
        <v>514</v>
      </c>
      <c r="F828" s="13">
        <v>15194</v>
      </c>
      <c r="G828" s="15">
        <v>45880</v>
      </c>
      <c r="H828" s="15">
        <v>45883</v>
      </c>
      <c r="I828" s="13" t="s">
        <v>1246</v>
      </c>
      <c r="J828" s="13" t="s">
        <v>379</v>
      </c>
      <c r="K828" s="18"/>
      <c r="L828" s="4"/>
    </row>
    <row r="829" spans="1:12" s="2" customFormat="1" ht="15" hidden="1" customHeight="1" x14ac:dyDescent="0.3">
      <c r="A829" s="13" t="s">
        <v>879</v>
      </c>
      <c r="B829" s="13"/>
      <c r="C829" s="13">
        <v>10880035722</v>
      </c>
      <c r="D829" s="14">
        <v>990000111818</v>
      </c>
      <c r="E829" s="13" t="s">
        <v>1247</v>
      </c>
      <c r="F829" s="13">
        <v>1025</v>
      </c>
      <c r="G829" s="15">
        <v>45883</v>
      </c>
      <c r="H829" s="15">
        <v>45883</v>
      </c>
      <c r="I829" s="13" t="s">
        <v>1248</v>
      </c>
      <c r="J829" s="13" t="s">
        <v>379</v>
      </c>
      <c r="K829" s="18"/>
      <c r="L829" s="4"/>
    </row>
    <row r="830" spans="1:12" s="2" customFormat="1" ht="15" hidden="1" customHeight="1" x14ac:dyDescent="0.3">
      <c r="A830" s="13" t="s">
        <v>879</v>
      </c>
      <c r="B830" s="13"/>
      <c r="C830" s="13">
        <v>10880021796</v>
      </c>
      <c r="D830" s="14">
        <v>990000111817</v>
      </c>
      <c r="E830" s="13" t="s">
        <v>773</v>
      </c>
      <c r="F830" s="13">
        <v>500</v>
      </c>
      <c r="G830" s="15">
        <v>45883</v>
      </c>
      <c r="H830" s="15">
        <v>45888</v>
      </c>
      <c r="I830" s="13" t="s">
        <v>1128</v>
      </c>
      <c r="J830" s="13" t="s">
        <v>379</v>
      </c>
      <c r="K830" s="18"/>
      <c r="L830" s="4"/>
    </row>
    <row r="831" spans="1:12" s="2" customFormat="1" ht="15" hidden="1" customHeight="1" x14ac:dyDescent="0.3">
      <c r="A831" s="13" t="s">
        <v>879</v>
      </c>
      <c r="B831" s="13"/>
      <c r="C831" s="13">
        <v>10880035166</v>
      </c>
      <c r="D831" s="14">
        <v>990000111835</v>
      </c>
      <c r="E831" s="13" t="s">
        <v>1249</v>
      </c>
      <c r="F831" s="13">
        <v>69</v>
      </c>
      <c r="G831" s="15">
        <v>45884</v>
      </c>
      <c r="H831" s="15">
        <v>45885</v>
      </c>
      <c r="I831" s="13" t="s">
        <v>1250</v>
      </c>
      <c r="J831" s="13" t="s">
        <v>379</v>
      </c>
      <c r="K831" s="18"/>
      <c r="L831" s="4"/>
    </row>
    <row r="832" spans="1:12" s="2" customFormat="1" ht="15" hidden="1" customHeight="1" x14ac:dyDescent="0.3">
      <c r="A832" s="13" t="s">
        <v>879</v>
      </c>
      <c r="B832" s="13"/>
      <c r="C832" s="13">
        <v>10880021106</v>
      </c>
      <c r="D832" s="14">
        <v>990000111861</v>
      </c>
      <c r="E832" s="13" t="s">
        <v>259</v>
      </c>
      <c r="F832" s="13">
        <v>20</v>
      </c>
      <c r="G832" s="15">
        <v>45884</v>
      </c>
      <c r="H832" s="15">
        <v>45885</v>
      </c>
      <c r="I832" s="13" t="s">
        <v>1251</v>
      </c>
      <c r="J832" s="13" t="s">
        <v>379</v>
      </c>
      <c r="K832" s="18"/>
      <c r="L832" s="4"/>
    </row>
    <row r="833" spans="1:12" s="2" customFormat="1" ht="15" hidden="1" customHeight="1" x14ac:dyDescent="0.3">
      <c r="A833" s="13" t="s">
        <v>879</v>
      </c>
      <c r="B833" s="13"/>
      <c r="C833" s="13">
        <v>10880035407</v>
      </c>
      <c r="D833" s="14">
        <v>990000111891</v>
      </c>
      <c r="E833" s="13" t="s">
        <v>1073</v>
      </c>
      <c r="F833" s="13">
        <v>27</v>
      </c>
      <c r="G833" s="15">
        <v>45887</v>
      </c>
      <c r="H833" s="15">
        <v>45887</v>
      </c>
      <c r="I833" s="13" t="s">
        <v>1252</v>
      </c>
      <c r="J833" s="13" t="s">
        <v>379</v>
      </c>
      <c r="K833" s="18"/>
      <c r="L833" s="4"/>
    </row>
    <row r="834" spans="1:12" s="2" customFormat="1" ht="15" hidden="1" customHeight="1" x14ac:dyDescent="0.3">
      <c r="A834" s="13" t="s">
        <v>879</v>
      </c>
      <c r="B834" s="13"/>
      <c r="C834" s="13">
        <v>10880019042</v>
      </c>
      <c r="D834" s="14">
        <v>990000111984</v>
      </c>
      <c r="E834" s="13" t="s">
        <v>740</v>
      </c>
      <c r="F834" s="13">
        <v>1092</v>
      </c>
      <c r="G834" s="15">
        <v>45889</v>
      </c>
      <c r="H834" s="15">
        <v>45891</v>
      </c>
      <c r="I834" s="13" t="s">
        <v>1253</v>
      </c>
      <c r="J834" s="13" t="s">
        <v>379</v>
      </c>
      <c r="K834" s="18"/>
      <c r="L834" s="4"/>
    </row>
    <row r="835" spans="1:12" s="2" customFormat="1" ht="15" hidden="1" customHeight="1" x14ac:dyDescent="0.3">
      <c r="A835" s="13" t="s">
        <v>879</v>
      </c>
      <c r="B835" s="13"/>
      <c r="C835" s="13">
        <v>10880020640</v>
      </c>
      <c r="D835" s="14">
        <v>990000111985</v>
      </c>
      <c r="E835" s="13" t="s">
        <v>229</v>
      </c>
      <c r="F835" s="13">
        <v>3223</v>
      </c>
      <c r="G835" s="15">
        <v>45889</v>
      </c>
      <c r="H835" s="15">
        <v>45891</v>
      </c>
      <c r="I835" s="13" t="s">
        <v>1254</v>
      </c>
      <c r="J835" s="13" t="s">
        <v>379</v>
      </c>
      <c r="K835" s="18"/>
      <c r="L835" s="4"/>
    </row>
    <row r="836" spans="1:12" s="2" customFormat="1" ht="15" hidden="1" customHeight="1" x14ac:dyDescent="0.3">
      <c r="A836" s="13" t="s">
        <v>879</v>
      </c>
      <c r="B836" s="13"/>
      <c r="C836" s="13">
        <v>10880029999</v>
      </c>
      <c r="D836" s="14">
        <v>990000112009</v>
      </c>
      <c r="E836" s="13" t="s">
        <v>631</v>
      </c>
      <c r="F836" s="13">
        <v>210</v>
      </c>
      <c r="G836" s="15">
        <v>45890</v>
      </c>
      <c r="H836" s="15">
        <v>45891</v>
      </c>
      <c r="I836" s="13" t="s">
        <v>1255</v>
      </c>
      <c r="J836" s="13" t="s">
        <v>379</v>
      </c>
      <c r="K836" s="18"/>
      <c r="L836" s="4"/>
    </row>
    <row r="837" spans="1:12" s="2" customFormat="1" ht="15" hidden="1" customHeight="1" x14ac:dyDescent="0.3">
      <c r="A837" s="13" t="s">
        <v>879</v>
      </c>
      <c r="B837" s="13"/>
      <c r="C837" s="13">
        <v>10880030004</v>
      </c>
      <c r="D837" s="14">
        <v>990000112011</v>
      </c>
      <c r="E837" s="13" t="s">
        <v>254</v>
      </c>
      <c r="F837" s="13">
        <v>210</v>
      </c>
      <c r="G837" s="15">
        <v>45890</v>
      </c>
      <c r="H837" s="15">
        <v>45891</v>
      </c>
      <c r="I837" s="13" t="s">
        <v>1255</v>
      </c>
      <c r="J837" s="13" t="s">
        <v>379</v>
      </c>
      <c r="K837" s="18"/>
      <c r="L837" s="4"/>
    </row>
    <row r="838" spans="1:12" s="2" customFormat="1" ht="15" hidden="1" customHeight="1" x14ac:dyDescent="0.3">
      <c r="A838" s="13" t="s">
        <v>879</v>
      </c>
      <c r="B838" s="13"/>
      <c r="C838" s="13">
        <v>10880019241</v>
      </c>
      <c r="D838" s="14">
        <v>990000111995</v>
      </c>
      <c r="E838" s="13" t="s">
        <v>687</v>
      </c>
      <c r="F838" s="13">
        <v>50</v>
      </c>
      <c r="G838" s="15">
        <v>45890</v>
      </c>
      <c r="H838" s="15">
        <v>45892</v>
      </c>
      <c r="I838" s="13" t="s">
        <v>1256</v>
      </c>
      <c r="J838" s="13" t="s">
        <v>379</v>
      </c>
      <c r="K838" s="18"/>
      <c r="L838" s="4"/>
    </row>
    <row r="839" spans="1:12" s="2" customFormat="1" ht="15" hidden="1" customHeight="1" x14ac:dyDescent="0.3">
      <c r="A839" s="13" t="s">
        <v>879</v>
      </c>
      <c r="B839" s="13"/>
      <c r="C839" s="13">
        <v>10880033916</v>
      </c>
      <c r="D839" s="14">
        <v>990000112010</v>
      </c>
      <c r="E839" s="13" t="s">
        <v>258</v>
      </c>
      <c r="F839" s="13">
        <v>210</v>
      </c>
      <c r="G839" s="15">
        <v>45890</v>
      </c>
      <c r="H839" s="15">
        <v>45895</v>
      </c>
      <c r="I839" s="13" t="s">
        <v>1255</v>
      </c>
      <c r="J839" s="13" t="s">
        <v>379</v>
      </c>
      <c r="K839" s="18"/>
      <c r="L839" s="4"/>
    </row>
    <row r="840" spans="1:12" s="2" customFormat="1" ht="15" hidden="1" customHeight="1" x14ac:dyDescent="0.3">
      <c r="A840" s="13" t="s">
        <v>879</v>
      </c>
      <c r="B840" s="13"/>
      <c r="C840" s="13">
        <v>10880034251</v>
      </c>
      <c r="D840" s="14">
        <v>990000112012</v>
      </c>
      <c r="E840" s="13" t="s">
        <v>989</v>
      </c>
      <c r="F840" s="13">
        <v>210</v>
      </c>
      <c r="G840" s="15">
        <v>45890</v>
      </c>
      <c r="H840" s="15">
        <v>45895</v>
      </c>
      <c r="I840" s="13" t="s">
        <v>1255</v>
      </c>
      <c r="J840" s="13" t="s">
        <v>379</v>
      </c>
      <c r="K840" s="18"/>
      <c r="L840" s="4"/>
    </row>
    <row r="841" spans="1:12" s="2" customFormat="1" ht="15" hidden="1" customHeight="1" x14ac:dyDescent="0.3">
      <c r="A841" s="13" t="s">
        <v>879</v>
      </c>
      <c r="B841" s="13"/>
      <c r="C841" s="13">
        <v>10880033325</v>
      </c>
      <c r="D841" s="14">
        <v>990000112013</v>
      </c>
      <c r="E841" s="13" t="s">
        <v>252</v>
      </c>
      <c r="F841" s="13">
        <v>210</v>
      </c>
      <c r="G841" s="15">
        <v>45890</v>
      </c>
      <c r="H841" s="15">
        <v>45895</v>
      </c>
      <c r="I841" s="13" t="s">
        <v>1255</v>
      </c>
      <c r="J841" s="13" t="s">
        <v>379</v>
      </c>
      <c r="K841" s="18"/>
      <c r="L841" s="4"/>
    </row>
    <row r="842" spans="1:12" s="2" customFormat="1" ht="15" hidden="1" customHeight="1" x14ac:dyDescent="0.3">
      <c r="A842" s="13" t="s">
        <v>879</v>
      </c>
      <c r="B842" s="13"/>
      <c r="C842" s="13">
        <v>10880033785</v>
      </c>
      <c r="D842" s="14">
        <v>990000112015</v>
      </c>
      <c r="E842" s="13" t="s">
        <v>243</v>
      </c>
      <c r="F842" s="13">
        <v>210</v>
      </c>
      <c r="G842" s="15">
        <v>45890</v>
      </c>
      <c r="H842" s="15">
        <v>45895</v>
      </c>
      <c r="I842" s="13" t="s">
        <v>1255</v>
      </c>
      <c r="J842" s="13" t="s">
        <v>379</v>
      </c>
      <c r="K842" s="18"/>
      <c r="L842" s="4"/>
    </row>
    <row r="843" spans="1:12" s="2" customFormat="1" ht="15" hidden="1" customHeight="1" x14ac:dyDescent="0.3">
      <c r="A843" s="13" t="s">
        <v>879</v>
      </c>
      <c r="B843" s="13"/>
      <c r="C843" s="13">
        <v>10880034995</v>
      </c>
      <c r="D843" s="14">
        <v>990000112016</v>
      </c>
      <c r="E843" s="13" t="s">
        <v>1257</v>
      </c>
      <c r="F843" s="13">
        <v>210</v>
      </c>
      <c r="G843" s="15">
        <v>45890</v>
      </c>
      <c r="H843" s="15">
        <v>45895</v>
      </c>
      <c r="I843" s="13" t="s">
        <v>1255</v>
      </c>
      <c r="J843" s="13" t="s">
        <v>379</v>
      </c>
      <c r="K843" s="18"/>
      <c r="L843" s="4"/>
    </row>
    <row r="844" spans="1:12" s="2" customFormat="1" ht="15" hidden="1" customHeight="1" x14ac:dyDescent="0.3">
      <c r="A844" s="13" t="s">
        <v>879</v>
      </c>
      <c r="B844" s="13"/>
      <c r="C844" s="13">
        <v>10880035543</v>
      </c>
      <c r="D844" s="14">
        <v>990000112017</v>
      </c>
      <c r="E844" s="13" t="s">
        <v>244</v>
      </c>
      <c r="F844" s="13">
        <v>210</v>
      </c>
      <c r="G844" s="15">
        <v>45890</v>
      </c>
      <c r="H844" s="15">
        <v>45895</v>
      </c>
      <c r="I844" s="13" t="s">
        <v>1255</v>
      </c>
      <c r="J844" s="13" t="s">
        <v>379</v>
      </c>
      <c r="K844" s="18"/>
      <c r="L844" s="4"/>
    </row>
    <row r="845" spans="1:12" s="2" customFormat="1" ht="15" hidden="1" customHeight="1" x14ac:dyDescent="0.3">
      <c r="A845" s="13" t="s">
        <v>879</v>
      </c>
      <c r="B845" s="13"/>
      <c r="C845" s="13">
        <v>10880033400</v>
      </c>
      <c r="D845" s="14">
        <v>990000112018</v>
      </c>
      <c r="E845" s="13" t="s">
        <v>792</v>
      </c>
      <c r="F845" s="13">
        <v>189</v>
      </c>
      <c r="G845" s="15">
        <v>45890</v>
      </c>
      <c r="H845" s="15">
        <v>45895</v>
      </c>
      <c r="I845" s="13" t="s">
        <v>1255</v>
      </c>
      <c r="J845" s="13" t="s">
        <v>379</v>
      </c>
      <c r="K845" s="18"/>
      <c r="L845" s="4"/>
    </row>
    <row r="846" spans="1:12" s="2" customFormat="1" ht="15" hidden="1" customHeight="1" x14ac:dyDescent="0.3">
      <c r="A846" s="13" t="s">
        <v>879</v>
      </c>
      <c r="B846" s="13"/>
      <c r="C846" s="13">
        <v>10880020557</v>
      </c>
      <c r="D846" s="14">
        <v>990000112284</v>
      </c>
      <c r="E846" s="13" t="s">
        <v>1180</v>
      </c>
      <c r="F846" s="13">
        <v>1102</v>
      </c>
      <c r="G846" s="15">
        <v>45894</v>
      </c>
      <c r="H846" s="15">
        <v>45894</v>
      </c>
      <c r="I846" s="13" t="s">
        <v>1258</v>
      </c>
      <c r="J846" s="13" t="s">
        <v>379</v>
      </c>
      <c r="K846" s="18"/>
      <c r="L846" s="4"/>
    </row>
    <row r="847" spans="1:12" s="2" customFormat="1" ht="15" hidden="1" customHeight="1" x14ac:dyDescent="0.3">
      <c r="A847" s="13" t="s">
        <v>879</v>
      </c>
      <c r="B847" s="13"/>
      <c r="C847" s="13">
        <v>10880033535</v>
      </c>
      <c r="D847" s="14">
        <v>990000111982</v>
      </c>
      <c r="E847" s="13" t="s">
        <v>157</v>
      </c>
      <c r="F847" s="13">
        <v>750</v>
      </c>
      <c r="G847" s="15">
        <v>45888</v>
      </c>
      <c r="H847" s="15">
        <v>45896</v>
      </c>
      <c r="I847" s="13" t="s">
        <v>1259</v>
      </c>
      <c r="J847" s="13" t="s">
        <v>379</v>
      </c>
      <c r="K847" s="18"/>
      <c r="L847" s="4"/>
    </row>
    <row r="848" spans="1:12" s="2" customFormat="1" ht="15" hidden="1" customHeight="1" x14ac:dyDescent="0.3">
      <c r="A848" s="13" t="s">
        <v>879</v>
      </c>
      <c r="B848" s="13"/>
      <c r="C848" s="13">
        <v>10880030296</v>
      </c>
      <c r="D848" s="14">
        <v>990000111868</v>
      </c>
      <c r="E848" s="13" t="s">
        <v>514</v>
      </c>
      <c r="F848" s="13">
        <v>1643</v>
      </c>
      <c r="G848" s="15">
        <v>45885</v>
      </c>
      <c r="H848" s="15">
        <v>45897</v>
      </c>
      <c r="I848" s="13" t="s">
        <v>1260</v>
      </c>
      <c r="J848" s="13" t="s">
        <v>389</v>
      </c>
      <c r="K848" s="18"/>
      <c r="L848" s="4"/>
    </row>
    <row r="849" spans="1:12" s="2" customFormat="1" ht="15" hidden="1" customHeight="1" x14ac:dyDescent="0.3">
      <c r="A849" s="13" t="s">
        <v>879</v>
      </c>
      <c r="B849" s="13"/>
      <c r="C849" s="13">
        <v>10880030920</v>
      </c>
      <c r="D849" s="14">
        <v>990000107948</v>
      </c>
      <c r="E849" s="13" t="s">
        <v>85</v>
      </c>
      <c r="F849" s="13">
        <v>17</v>
      </c>
      <c r="G849" s="15">
        <v>45745</v>
      </c>
      <c r="H849" s="15"/>
      <c r="I849" s="13"/>
      <c r="J849" s="13" t="s">
        <v>379</v>
      </c>
      <c r="K849" s="18"/>
      <c r="L849" s="4"/>
    </row>
    <row r="850" spans="1:12" s="2" customFormat="1" ht="15" hidden="1" customHeight="1" x14ac:dyDescent="0.3">
      <c r="A850" s="13" t="s">
        <v>879</v>
      </c>
      <c r="B850" s="13"/>
      <c r="C850" s="13">
        <v>10880031243</v>
      </c>
      <c r="D850" s="14">
        <v>990000112293</v>
      </c>
      <c r="E850" s="13" t="s">
        <v>87</v>
      </c>
      <c r="F850" s="13">
        <v>69</v>
      </c>
      <c r="G850" s="15">
        <v>45895</v>
      </c>
      <c r="H850" s="15">
        <v>45900</v>
      </c>
      <c r="I850" s="13" t="s">
        <v>1261</v>
      </c>
      <c r="J850" s="13" t="s">
        <v>379</v>
      </c>
      <c r="K850" s="18"/>
      <c r="L850" s="4"/>
    </row>
    <row r="851" spans="1:12" s="2" customFormat="1" ht="15" hidden="1" customHeight="1" x14ac:dyDescent="0.3">
      <c r="A851" s="13" t="s">
        <v>879</v>
      </c>
      <c r="B851" s="13"/>
      <c r="C851" s="13">
        <v>10880014440</v>
      </c>
      <c r="D851" s="14">
        <v>990000112425</v>
      </c>
      <c r="E851" s="13" t="s">
        <v>1262</v>
      </c>
      <c r="F851" s="13">
        <v>50</v>
      </c>
      <c r="G851" s="15">
        <v>45898</v>
      </c>
      <c r="H851" s="15">
        <v>45900</v>
      </c>
      <c r="I851" s="13" t="s">
        <v>1263</v>
      </c>
      <c r="J851" s="13" t="s">
        <v>379</v>
      </c>
      <c r="K851" s="18"/>
      <c r="L851" s="4"/>
    </row>
    <row r="852" spans="1:12" s="2" customFormat="1" ht="15" hidden="1" customHeight="1" x14ac:dyDescent="0.3">
      <c r="A852" s="13" t="s">
        <v>879</v>
      </c>
      <c r="B852" s="13"/>
      <c r="C852" s="13">
        <v>10880035721</v>
      </c>
      <c r="D852" s="14">
        <v>990000112429</v>
      </c>
      <c r="E852" s="13" t="s">
        <v>1264</v>
      </c>
      <c r="F852" s="13">
        <v>200</v>
      </c>
      <c r="G852" s="15">
        <v>45900</v>
      </c>
      <c r="H852" s="15">
        <v>45900</v>
      </c>
      <c r="I852" s="13" t="s">
        <v>1265</v>
      </c>
      <c r="J852" s="13" t="s">
        <v>379</v>
      </c>
      <c r="K852" s="18"/>
      <c r="L852" s="4"/>
    </row>
    <row r="853" spans="1:12" s="2" customFormat="1" ht="15" hidden="1" customHeight="1" x14ac:dyDescent="0.3">
      <c r="A853" s="13" t="s">
        <v>879</v>
      </c>
      <c r="B853" s="13"/>
      <c r="C853" s="13">
        <v>10880032698</v>
      </c>
      <c r="D853" s="14">
        <v>990000107971</v>
      </c>
      <c r="E853" s="13" t="s">
        <v>1266</v>
      </c>
      <c r="F853" s="13">
        <v>11</v>
      </c>
      <c r="G853" s="15">
        <v>45748</v>
      </c>
      <c r="H853" s="15">
        <v>45772</v>
      </c>
      <c r="I853" s="13" t="s">
        <v>1055</v>
      </c>
      <c r="J853" s="13" t="s">
        <v>379</v>
      </c>
      <c r="K853" s="18"/>
      <c r="L853" s="4"/>
    </row>
    <row r="854" spans="1:12" s="2" customFormat="1" ht="15" hidden="1" customHeight="1" x14ac:dyDescent="0.3">
      <c r="A854" s="13" t="s">
        <v>879</v>
      </c>
      <c r="B854" s="13"/>
      <c r="C854" s="13">
        <v>10880036337</v>
      </c>
      <c r="D854" s="14">
        <v>990000112396</v>
      </c>
      <c r="E854" s="13" t="s">
        <v>253</v>
      </c>
      <c r="F854" s="13">
        <v>50</v>
      </c>
      <c r="G854" s="15">
        <v>45897</v>
      </c>
      <c r="H854" s="15">
        <v>45899</v>
      </c>
      <c r="I854" s="13" t="s">
        <v>1267</v>
      </c>
      <c r="J854" s="13" t="s">
        <v>379</v>
      </c>
      <c r="K854" s="18"/>
      <c r="L854" s="4"/>
    </row>
    <row r="855" spans="1:12" s="2" customFormat="1" ht="15" hidden="1" customHeight="1" x14ac:dyDescent="0.3">
      <c r="A855" s="13" t="s">
        <v>879</v>
      </c>
      <c r="B855" s="13"/>
      <c r="C855" s="13">
        <v>10880021106</v>
      </c>
      <c r="D855" s="14">
        <v>990000112383</v>
      </c>
      <c r="E855" s="13" t="s">
        <v>259</v>
      </c>
      <c r="F855" s="13">
        <v>80</v>
      </c>
      <c r="G855" s="15">
        <v>45897</v>
      </c>
      <c r="H855" s="15">
        <v>45899</v>
      </c>
      <c r="I855" s="13" t="s">
        <v>1268</v>
      </c>
      <c r="J855" s="13" t="s">
        <v>379</v>
      </c>
      <c r="K855" s="18"/>
      <c r="L855" s="4"/>
    </row>
    <row r="856" spans="1:12" s="2" customFormat="1" ht="15" hidden="1" customHeight="1" x14ac:dyDescent="0.3">
      <c r="A856" s="13" t="s">
        <v>879</v>
      </c>
      <c r="B856" s="13"/>
      <c r="C856" s="13">
        <v>10880016525</v>
      </c>
      <c r="D856" s="14">
        <v>990000112424</v>
      </c>
      <c r="E856" s="13" t="s">
        <v>600</v>
      </c>
      <c r="F856" s="13">
        <v>292</v>
      </c>
      <c r="G856" s="15">
        <v>45898</v>
      </c>
      <c r="H856" s="15">
        <v>45901</v>
      </c>
      <c r="I856" s="13" t="s">
        <v>1037</v>
      </c>
      <c r="J856" s="13" t="s">
        <v>379</v>
      </c>
      <c r="K856" s="18"/>
      <c r="L856" s="4"/>
    </row>
    <row r="857" spans="1:12" s="2" customFormat="1" ht="15" hidden="1" customHeight="1" x14ac:dyDescent="0.3">
      <c r="A857" s="13" t="s">
        <v>879</v>
      </c>
      <c r="B857" s="13"/>
      <c r="C857" s="13">
        <v>10880033301</v>
      </c>
      <c r="D857" s="14">
        <v>990000109171</v>
      </c>
      <c r="E857" s="13" t="s">
        <v>1002</v>
      </c>
      <c r="F857" s="13">
        <v>125</v>
      </c>
      <c r="G857" s="15">
        <v>45803</v>
      </c>
      <c r="H857" s="15" t="s">
        <v>487</v>
      </c>
      <c r="I857" s="13" t="s">
        <v>1269</v>
      </c>
      <c r="J857" s="13" t="s">
        <v>379</v>
      </c>
      <c r="K857" s="18" t="s">
        <v>1270</v>
      </c>
      <c r="L857" s="4"/>
    </row>
    <row r="858" spans="1:12" s="2" customFormat="1" ht="15" hidden="1" customHeight="1" x14ac:dyDescent="0.3">
      <c r="A858" s="13" t="s">
        <v>879</v>
      </c>
      <c r="B858" s="13"/>
      <c r="C858" s="13">
        <v>10880033301</v>
      </c>
      <c r="D858" s="14">
        <v>990000108992</v>
      </c>
      <c r="E858" s="13" t="s">
        <v>1002</v>
      </c>
      <c r="F858" s="13">
        <v>192</v>
      </c>
      <c r="G858" s="15">
        <v>45797</v>
      </c>
      <c r="H858" s="15" t="s">
        <v>487</v>
      </c>
      <c r="I858" s="13" t="s">
        <v>1271</v>
      </c>
      <c r="J858" s="13" t="s">
        <v>379</v>
      </c>
      <c r="K858" s="18" t="s">
        <v>1270</v>
      </c>
      <c r="L858" s="4"/>
    </row>
    <row r="859" spans="1:12" s="2" customFormat="1" ht="15" hidden="1" customHeight="1" x14ac:dyDescent="0.3">
      <c r="A859" s="13" t="s">
        <v>879</v>
      </c>
      <c r="B859" s="13"/>
      <c r="C859" s="13">
        <v>10880035721</v>
      </c>
      <c r="D859" s="14">
        <v>990000112557</v>
      </c>
      <c r="E859" s="13" t="s">
        <v>1264</v>
      </c>
      <c r="F859" s="13">
        <v>2475</v>
      </c>
      <c r="G859" s="15">
        <v>45901</v>
      </c>
      <c r="H859" s="15">
        <v>45902</v>
      </c>
      <c r="I859" s="13" t="s">
        <v>1272</v>
      </c>
      <c r="J859" s="13" t="s">
        <v>379</v>
      </c>
      <c r="K859" s="18"/>
      <c r="L859" s="4"/>
    </row>
    <row r="860" spans="1:12" s="2" customFormat="1" ht="15" hidden="1" customHeight="1" x14ac:dyDescent="0.3">
      <c r="A860" s="13" t="s">
        <v>879</v>
      </c>
      <c r="B860" s="13"/>
      <c r="C860" s="13">
        <v>10880031846</v>
      </c>
      <c r="D860" s="14">
        <v>990000112443</v>
      </c>
      <c r="E860" s="13" t="s">
        <v>1273</v>
      </c>
      <c r="F860" s="13">
        <v>30</v>
      </c>
      <c r="G860" s="15">
        <v>45901</v>
      </c>
      <c r="H860" s="15">
        <v>45902</v>
      </c>
      <c r="I860" s="13" t="s">
        <v>1274</v>
      </c>
      <c r="J860" s="13" t="s">
        <v>379</v>
      </c>
      <c r="K860" s="18"/>
      <c r="L860" s="4"/>
    </row>
    <row r="861" spans="1:12" s="2" customFormat="1" ht="15" hidden="1" customHeight="1" x14ac:dyDescent="0.3">
      <c r="A861" s="13" t="s">
        <v>879</v>
      </c>
      <c r="B861" s="13"/>
      <c r="C861" s="13">
        <v>10880020802</v>
      </c>
      <c r="D861" s="14">
        <v>990000111827</v>
      </c>
      <c r="E861" s="13" t="s">
        <v>1197</v>
      </c>
      <c r="F861" s="13">
        <v>100</v>
      </c>
      <c r="G861" s="15">
        <v>45883</v>
      </c>
      <c r="H861" s="15">
        <v>45904</v>
      </c>
      <c r="I861" s="13" t="s">
        <v>1275</v>
      </c>
      <c r="J861" s="13" t="s">
        <v>389</v>
      </c>
      <c r="K861" s="18"/>
      <c r="L861" s="4"/>
    </row>
    <row r="862" spans="1:12" s="2" customFormat="1" ht="15" hidden="1" customHeight="1" x14ac:dyDescent="0.3">
      <c r="A862" s="13" t="s">
        <v>879</v>
      </c>
      <c r="B862" s="13"/>
      <c r="C862" s="13">
        <v>10880017516</v>
      </c>
      <c r="D862" s="14">
        <v>990000112416</v>
      </c>
      <c r="E862" s="13" t="s">
        <v>164</v>
      </c>
      <c r="F862" s="13">
        <v>1133</v>
      </c>
      <c r="G862" s="15">
        <v>45899</v>
      </c>
      <c r="H862" s="15">
        <v>45904</v>
      </c>
      <c r="I862" s="13" t="s">
        <v>1276</v>
      </c>
      <c r="J862" s="13" t="s">
        <v>389</v>
      </c>
      <c r="K862" s="18"/>
      <c r="L862" s="4"/>
    </row>
    <row r="863" spans="1:12" s="2" customFormat="1" ht="15" hidden="1" customHeight="1" x14ac:dyDescent="0.3">
      <c r="A863" s="13" t="s">
        <v>879</v>
      </c>
      <c r="B863" s="13"/>
      <c r="C863" s="13">
        <v>10880017536</v>
      </c>
      <c r="D863" s="14">
        <v>990000108622</v>
      </c>
      <c r="E863" s="13" t="s">
        <v>171</v>
      </c>
      <c r="F863" s="13">
        <v>244</v>
      </c>
      <c r="G863" s="15">
        <v>45776</v>
      </c>
      <c r="H863" s="15">
        <v>45902</v>
      </c>
      <c r="I863" s="13" t="s">
        <v>1277</v>
      </c>
      <c r="J863" s="13" t="s">
        <v>379</v>
      </c>
      <c r="K863" s="18"/>
      <c r="L863" s="4"/>
    </row>
    <row r="864" spans="1:12" s="2" customFormat="1" ht="15" hidden="1" customHeight="1" x14ac:dyDescent="0.3">
      <c r="A864" s="13" t="s">
        <v>879</v>
      </c>
      <c r="B864" s="13"/>
      <c r="C864" s="13">
        <v>10880035409</v>
      </c>
      <c r="D864" s="14">
        <v>990000112625</v>
      </c>
      <c r="E864" s="13" t="s">
        <v>332</v>
      </c>
      <c r="F864" s="13">
        <v>2781</v>
      </c>
      <c r="G864" s="15">
        <v>45904</v>
      </c>
      <c r="H864" s="15">
        <v>45906</v>
      </c>
      <c r="I864" s="13" t="s">
        <v>1278</v>
      </c>
      <c r="J864" s="13" t="s">
        <v>1279</v>
      </c>
      <c r="K864" s="18"/>
      <c r="L864" s="4"/>
    </row>
    <row r="865" spans="1:12" s="2" customFormat="1" ht="15" hidden="1" customHeight="1" x14ac:dyDescent="0.3">
      <c r="A865" s="13" t="s">
        <v>879</v>
      </c>
      <c r="B865" s="13"/>
      <c r="C865" s="13">
        <v>10880031249</v>
      </c>
      <c r="D865" s="14">
        <v>990000112628</v>
      </c>
      <c r="E865" s="13" t="s">
        <v>291</v>
      </c>
      <c r="F865" s="13">
        <v>10</v>
      </c>
      <c r="G865" s="15">
        <v>45904</v>
      </c>
      <c r="H865" s="15">
        <v>45906</v>
      </c>
      <c r="I865" s="13" t="s">
        <v>1280</v>
      </c>
      <c r="J865" s="13" t="s">
        <v>1281</v>
      </c>
      <c r="K865" s="18"/>
      <c r="L865" s="4"/>
    </row>
    <row r="866" spans="1:12" s="2" customFormat="1" ht="15" hidden="1" customHeight="1" x14ac:dyDescent="0.3">
      <c r="A866" s="13" t="s">
        <v>879</v>
      </c>
      <c r="B866" s="13"/>
      <c r="C866" s="13">
        <v>10880030519</v>
      </c>
      <c r="D866" s="14">
        <v>990000112662</v>
      </c>
      <c r="E866" s="13" t="s">
        <v>208</v>
      </c>
      <c r="F866" s="13">
        <v>811</v>
      </c>
      <c r="G866" s="15">
        <v>45905</v>
      </c>
      <c r="H866" s="15">
        <v>45906</v>
      </c>
      <c r="I866" s="13" t="s">
        <v>1282</v>
      </c>
      <c r="J866" s="13" t="s">
        <v>379</v>
      </c>
      <c r="K866" s="18"/>
      <c r="L866" s="4"/>
    </row>
    <row r="867" spans="1:12" s="2" customFormat="1" ht="15" hidden="1" customHeight="1" x14ac:dyDescent="0.3">
      <c r="A867" s="13" t="s">
        <v>879</v>
      </c>
      <c r="B867" s="13"/>
      <c r="C867" s="13">
        <v>10880030520</v>
      </c>
      <c r="D867" s="14">
        <v>990000112663</v>
      </c>
      <c r="E867" s="13" t="s">
        <v>214</v>
      </c>
      <c r="F867" s="13">
        <v>547</v>
      </c>
      <c r="G867" s="15">
        <v>45905</v>
      </c>
      <c r="H867" s="15">
        <v>45906</v>
      </c>
      <c r="I867" s="13" t="s">
        <v>1282</v>
      </c>
      <c r="J867" s="13" t="s">
        <v>379</v>
      </c>
      <c r="K867" s="18"/>
      <c r="L867" s="4"/>
    </row>
    <row r="868" spans="1:12" s="2" customFormat="1" ht="15" hidden="1" customHeight="1" x14ac:dyDescent="0.3">
      <c r="A868" s="13" t="s">
        <v>879</v>
      </c>
      <c r="B868" s="13"/>
      <c r="C868" s="13">
        <v>10880034195</v>
      </c>
      <c r="D868" s="14">
        <v>990000112664</v>
      </c>
      <c r="E868" s="13" t="s">
        <v>1022</v>
      </c>
      <c r="F868" s="13">
        <v>131</v>
      </c>
      <c r="G868" s="15">
        <v>45905</v>
      </c>
      <c r="H868" s="15">
        <v>45906</v>
      </c>
      <c r="I868" s="13" t="s">
        <v>1282</v>
      </c>
      <c r="J868" s="13" t="s">
        <v>379</v>
      </c>
      <c r="K868" s="18"/>
      <c r="L868" s="4"/>
    </row>
    <row r="869" spans="1:12" s="2" customFormat="1" ht="15" hidden="1" customHeight="1" x14ac:dyDescent="0.3">
      <c r="A869" s="13" t="s">
        <v>879</v>
      </c>
      <c r="B869" s="13"/>
      <c r="C869" s="13">
        <v>10880034196</v>
      </c>
      <c r="D869" s="14">
        <v>990000112665</v>
      </c>
      <c r="E869" s="13" t="s">
        <v>1052</v>
      </c>
      <c r="F869" s="13">
        <v>208</v>
      </c>
      <c r="G869" s="15">
        <v>45905</v>
      </c>
      <c r="H869" s="15">
        <v>45906</v>
      </c>
      <c r="I869" s="13" t="s">
        <v>1282</v>
      </c>
      <c r="J869" s="13" t="s">
        <v>379</v>
      </c>
      <c r="K869" s="18"/>
      <c r="L869" s="4"/>
    </row>
    <row r="870" spans="1:12" s="2" customFormat="1" ht="15" hidden="1" customHeight="1" x14ac:dyDescent="0.3">
      <c r="A870" s="13" t="s">
        <v>879</v>
      </c>
      <c r="B870" s="13"/>
      <c r="C870" s="13">
        <v>10880034197</v>
      </c>
      <c r="D870" s="14">
        <v>990000112666</v>
      </c>
      <c r="E870" s="13" t="s">
        <v>207</v>
      </c>
      <c r="F870" s="13">
        <v>165</v>
      </c>
      <c r="G870" s="15">
        <v>45905</v>
      </c>
      <c r="H870" s="15">
        <v>45906</v>
      </c>
      <c r="I870" s="13" t="s">
        <v>1282</v>
      </c>
      <c r="J870" s="13" t="s">
        <v>379</v>
      </c>
      <c r="K870" s="18"/>
      <c r="L870" s="4"/>
    </row>
    <row r="871" spans="1:12" s="2" customFormat="1" ht="15" hidden="1" customHeight="1" x14ac:dyDescent="0.3">
      <c r="A871" s="13" t="s">
        <v>879</v>
      </c>
      <c r="B871" s="13"/>
      <c r="C871" s="13">
        <v>10880019042</v>
      </c>
      <c r="D871" s="14">
        <v>990000112694</v>
      </c>
      <c r="E871" s="13" t="s">
        <v>740</v>
      </c>
      <c r="F871" s="13">
        <v>15</v>
      </c>
      <c r="G871" s="15">
        <v>45908</v>
      </c>
      <c r="H871" s="15">
        <v>45908</v>
      </c>
      <c r="I871" s="13" t="s">
        <v>1283</v>
      </c>
      <c r="J871" s="13" t="s">
        <v>379</v>
      </c>
      <c r="K871" s="18"/>
      <c r="L871" s="4"/>
    </row>
    <row r="872" spans="1:12" s="2" customFormat="1" ht="15" hidden="1" customHeight="1" x14ac:dyDescent="0.3">
      <c r="A872" s="13" t="s">
        <v>879</v>
      </c>
      <c r="B872" s="13"/>
      <c r="C872" s="13">
        <v>10880033745</v>
      </c>
      <c r="D872" s="14">
        <v>990000112626</v>
      </c>
      <c r="E872" s="13" t="s">
        <v>869</v>
      </c>
      <c r="F872" s="13">
        <v>50</v>
      </c>
      <c r="G872" s="15">
        <v>45904</v>
      </c>
      <c r="H872" s="15">
        <v>45909</v>
      </c>
      <c r="I872" s="13" t="s">
        <v>1284</v>
      </c>
      <c r="J872" s="13" t="s">
        <v>1281</v>
      </c>
      <c r="K872" s="18"/>
      <c r="L872" s="4"/>
    </row>
    <row r="873" spans="1:12" s="2" customFormat="1" ht="15" hidden="1" customHeight="1" x14ac:dyDescent="0.3">
      <c r="A873" s="13" t="s">
        <v>879</v>
      </c>
      <c r="B873" s="13"/>
      <c r="C873" s="13">
        <v>10880033602</v>
      </c>
      <c r="D873" s="14">
        <v>990000112661</v>
      </c>
      <c r="E873" s="13" t="s">
        <v>213</v>
      </c>
      <c r="F873" s="13">
        <v>412</v>
      </c>
      <c r="G873" s="15">
        <v>45905</v>
      </c>
      <c r="H873" s="15">
        <v>45909</v>
      </c>
      <c r="I873" s="13" t="s">
        <v>1285</v>
      </c>
      <c r="J873" s="13" t="s">
        <v>379</v>
      </c>
      <c r="K873" s="18"/>
      <c r="L873" s="4"/>
    </row>
    <row r="874" spans="1:12" s="2" customFormat="1" ht="15" hidden="1" customHeight="1" x14ac:dyDescent="0.3">
      <c r="A874" s="13" t="s">
        <v>879</v>
      </c>
      <c r="B874" s="13"/>
      <c r="C874" s="13">
        <v>10880031249</v>
      </c>
      <c r="D874" s="14">
        <v>990000112692</v>
      </c>
      <c r="E874" s="13" t="s">
        <v>291</v>
      </c>
      <c r="F874" s="13">
        <v>10</v>
      </c>
      <c r="G874" s="15">
        <v>45908</v>
      </c>
      <c r="H874" s="15">
        <v>45909</v>
      </c>
      <c r="I874" s="13" t="s">
        <v>1280</v>
      </c>
      <c r="J874" s="13" t="s">
        <v>379</v>
      </c>
      <c r="K874" s="18"/>
      <c r="L874" s="4"/>
    </row>
    <row r="875" spans="1:12" s="2" customFormat="1" ht="15" hidden="1" customHeight="1" x14ac:dyDescent="0.3">
      <c r="A875" s="13" t="s">
        <v>879</v>
      </c>
      <c r="B875" s="13"/>
      <c r="C875" s="13">
        <v>10880032885</v>
      </c>
      <c r="D875" s="14">
        <v>990000112701</v>
      </c>
      <c r="E875" s="13" t="s">
        <v>156</v>
      </c>
      <c r="F875" s="13">
        <v>19</v>
      </c>
      <c r="G875" s="15">
        <v>45908</v>
      </c>
      <c r="H875" s="15">
        <v>45909</v>
      </c>
      <c r="I875" s="13" t="s">
        <v>1286</v>
      </c>
      <c r="J875" s="13" t="s">
        <v>379</v>
      </c>
      <c r="K875" s="18"/>
      <c r="L875" s="4"/>
    </row>
    <row r="876" spans="1:12" s="2" customFormat="1" ht="15" hidden="1" customHeight="1" x14ac:dyDescent="0.3">
      <c r="A876" s="13" t="s">
        <v>879</v>
      </c>
      <c r="B876" s="13"/>
      <c r="C876" s="13">
        <v>10880030843</v>
      </c>
      <c r="D876" s="14">
        <v>990000112635</v>
      </c>
      <c r="E876" s="13" t="s">
        <v>951</v>
      </c>
      <c r="F876" s="13">
        <v>56</v>
      </c>
      <c r="G876" s="15">
        <v>45908</v>
      </c>
      <c r="H876" s="15" t="s">
        <v>1007</v>
      </c>
      <c r="I876" s="13" t="s">
        <v>1287</v>
      </c>
      <c r="J876" s="13" t="s">
        <v>379</v>
      </c>
      <c r="K876" s="18"/>
      <c r="L876" s="4"/>
    </row>
    <row r="877" spans="1:12" s="2" customFormat="1" ht="15" hidden="1" customHeight="1" x14ac:dyDescent="0.3">
      <c r="A877" s="13" t="s">
        <v>879</v>
      </c>
      <c r="B877" s="13"/>
      <c r="C877" s="13">
        <v>10880035232</v>
      </c>
      <c r="D877" s="14">
        <v>990000112630</v>
      </c>
      <c r="E877" s="13" t="s">
        <v>1288</v>
      </c>
      <c r="F877" s="13">
        <v>67</v>
      </c>
      <c r="G877" s="15">
        <v>45904</v>
      </c>
      <c r="H877" s="15">
        <v>45910</v>
      </c>
      <c r="I877" s="13" t="s">
        <v>1289</v>
      </c>
      <c r="J877" s="13" t="s">
        <v>379</v>
      </c>
      <c r="K877" s="18"/>
      <c r="L877" s="4"/>
    </row>
    <row r="878" spans="1:12" s="2" customFormat="1" ht="15" hidden="1" customHeight="1" x14ac:dyDescent="0.3">
      <c r="A878" s="13" t="s">
        <v>879</v>
      </c>
      <c r="B878" s="13"/>
      <c r="C878" s="13">
        <v>10880030519</v>
      </c>
      <c r="D878" s="14">
        <v>990000112739</v>
      </c>
      <c r="E878" s="13" t="s">
        <v>208</v>
      </c>
      <c r="F878" s="13">
        <v>36</v>
      </c>
      <c r="G878" s="15">
        <v>45911</v>
      </c>
      <c r="H878" s="15">
        <v>45912</v>
      </c>
      <c r="I878" s="13" t="s">
        <v>1282</v>
      </c>
      <c r="J878" s="13" t="s">
        <v>379</v>
      </c>
      <c r="K878" s="18"/>
      <c r="L878" s="4"/>
    </row>
    <row r="879" spans="1:12" s="2" customFormat="1" ht="15" hidden="1" customHeight="1" x14ac:dyDescent="0.3">
      <c r="A879" s="13" t="s">
        <v>879</v>
      </c>
      <c r="B879" s="13"/>
      <c r="C879" s="13">
        <v>10880030520</v>
      </c>
      <c r="D879" s="14">
        <v>990000112740</v>
      </c>
      <c r="E879" s="13" t="s">
        <v>214</v>
      </c>
      <c r="F879" s="13">
        <v>42</v>
      </c>
      <c r="G879" s="15">
        <v>45911</v>
      </c>
      <c r="H879" s="15">
        <v>45912</v>
      </c>
      <c r="I879" s="13" t="s">
        <v>1282</v>
      </c>
      <c r="J879" s="13" t="s">
        <v>379</v>
      </c>
      <c r="K879" s="18"/>
      <c r="L879" s="4"/>
    </row>
    <row r="880" spans="1:12" s="2" customFormat="1" ht="15" hidden="1" customHeight="1" x14ac:dyDescent="0.3">
      <c r="A880" s="13" t="s">
        <v>879</v>
      </c>
      <c r="B880" s="13"/>
      <c r="C880" s="13">
        <v>10880034195</v>
      </c>
      <c r="D880" s="14">
        <v>990000112761</v>
      </c>
      <c r="E880" s="13" t="s">
        <v>1022</v>
      </c>
      <c r="F880" s="13">
        <v>9</v>
      </c>
      <c r="G880" s="15">
        <v>45911</v>
      </c>
      <c r="H880" s="15">
        <v>45912</v>
      </c>
      <c r="I880" s="13" t="s">
        <v>1282</v>
      </c>
      <c r="J880" s="13" t="s">
        <v>379</v>
      </c>
      <c r="K880" s="18"/>
      <c r="L880" s="4"/>
    </row>
    <row r="881" spans="1:12" s="2" customFormat="1" ht="15" hidden="1" customHeight="1" x14ac:dyDescent="0.3">
      <c r="A881" s="13" t="s">
        <v>879</v>
      </c>
      <c r="B881" s="13"/>
      <c r="C881" s="13">
        <v>10880034196</v>
      </c>
      <c r="D881" s="14">
        <v>990000112762</v>
      </c>
      <c r="E881" s="13" t="s">
        <v>1052</v>
      </c>
      <c r="F881" s="13">
        <v>42</v>
      </c>
      <c r="G881" s="15">
        <v>45911</v>
      </c>
      <c r="H881" s="15">
        <v>45912</v>
      </c>
      <c r="I881" s="13" t="s">
        <v>1282</v>
      </c>
      <c r="J881" s="13" t="s">
        <v>379</v>
      </c>
      <c r="K881" s="18"/>
      <c r="L881" s="4"/>
    </row>
    <row r="882" spans="1:12" s="2" customFormat="1" ht="15" hidden="1" customHeight="1" x14ac:dyDescent="0.3">
      <c r="A882" s="13" t="s">
        <v>879</v>
      </c>
      <c r="B882" s="13"/>
      <c r="C882" s="13">
        <v>10880034197</v>
      </c>
      <c r="D882" s="14">
        <v>990000112763</v>
      </c>
      <c r="E882" s="13" t="s">
        <v>207</v>
      </c>
      <c r="F882" s="13">
        <v>42</v>
      </c>
      <c r="G882" s="15">
        <v>45911</v>
      </c>
      <c r="H882" s="15">
        <v>45912</v>
      </c>
      <c r="I882" s="13" t="s">
        <v>1282</v>
      </c>
      <c r="J882" s="13" t="s">
        <v>379</v>
      </c>
      <c r="K882" s="18"/>
      <c r="L882" s="4"/>
    </row>
    <row r="883" spans="1:12" s="2" customFormat="1" ht="15" hidden="1" customHeight="1" x14ac:dyDescent="0.3">
      <c r="A883" s="13" t="s">
        <v>879</v>
      </c>
      <c r="B883" s="13"/>
      <c r="C883" s="13">
        <v>10880031760</v>
      </c>
      <c r="D883" s="14">
        <v>990000111460</v>
      </c>
      <c r="E883" s="13" t="s">
        <v>48</v>
      </c>
      <c r="F883" s="13">
        <v>20</v>
      </c>
      <c r="G883" s="15">
        <v>45869</v>
      </c>
      <c r="H883" s="15">
        <v>45913</v>
      </c>
      <c r="I883" s="13" t="s">
        <v>1055</v>
      </c>
      <c r="J883" s="13" t="s">
        <v>423</v>
      </c>
      <c r="K883" s="18"/>
      <c r="L883" s="4"/>
    </row>
    <row r="884" spans="1:12" s="2" customFormat="1" ht="15" hidden="1" customHeight="1" x14ac:dyDescent="0.3">
      <c r="A884" s="13" t="s">
        <v>879</v>
      </c>
      <c r="B884" s="10"/>
      <c r="C884" s="10">
        <v>10880034619</v>
      </c>
      <c r="D884" s="11">
        <v>990000111548</v>
      </c>
      <c r="E884" s="10" t="s">
        <v>53</v>
      </c>
      <c r="F884" s="10">
        <v>12</v>
      </c>
      <c r="G884" s="12">
        <v>45870</v>
      </c>
      <c r="H884" s="12">
        <v>45916</v>
      </c>
      <c r="I884" s="10" t="s">
        <v>1290</v>
      </c>
      <c r="J884" s="10" t="s">
        <v>423</v>
      </c>
      <c r="K884" s="18"/>
      <c r="L884" s="4"/>
    </row>
    <row r="885" spans="1:12" s="2" customFormat="1" ht="15" hidden="1" customHeight="1" x14ac:dyDescent="0.3">
      <c r="A885" s="13" t="s">
        <v>879</v>
      </c>
      <c r="B885" s="10"/>
      <c r="C885" s="10">
        <v>10880036868</v>
      </c>
      <c r="D885" s="11">
        <v>990000112708</v>
      </c>
      <c r="E885" s="10" t="s">
        <v>1291</v>
      </c>
      <c r="F885" s="10">
        <v>558</v>
      </c>
      <c r="G885" s="12">
        <v>45910</v>
      </c>
      <c r="H885" s="12">
        <v>45917</v>
      </c>
      <c r="I885" s="10" t="s">
        <v>1292</v>
      </c>
      <c r="J885" s="10" t="s">
        <v>379</v>
      </c>
      <c r="K885" s="18"/>
      <c r="L885" s="4"/>
    </row>
    <row r="886" spans="1:12" s="2" customFormat="1" ht="15" hidden="1" customHeight="1" x14ac:dyDescent="0.3">
      <c r="A886" s="13" t="s">
        <v>879</v>
      </c>
      <c r="B886" s="10"/>
      <c r="C886" s="10">
        <v>10880033602</v>
      </c>
      <c r="D886" s="11">
        <v>990000112764</v>
      </c>
      <c r="E886" s="10" t="s">
        <v>213</v>
      </c>
      <c r="F886" s="10">
        <v>10</v>
      </c>
      <c r="G886" s="12">
        <v>45911</v>
      </c>
      <c r="H886" s="12">
        <v>45913</v>
      </c>
      <c r="I886" s="10" t="s">
        <v>1293</v>
      </c>
      <c r="J886" s="10" t="s">
        <v>379</v>
      </c>
      <c r="K886" s="18"/>
      <c r="L886" s="4"/>
    </row>
    <row r="887" spans="1:12" hidden="1" x14ac:dyDescent="0.3">
      <c r="A887" s="13" t="s">
        <v>879</v>
      </c>
      <c r="B887" s="10"/>
      <c r="C887" s="10">
        <v>10880031011</v>
      </c>
      <c r="D887" s="11">
        <v>990000108742</v>
      </c>
      <c r="E887" s="10" t="s">
        <v>49</v>
      </c>
      <c r="F887" s="10">
        <v>2</v>
      </c>
      <c r="G887" s="12">
        <v>45785</v>
      </c>
      <c r="H887" s="12">
        <v>45913</v>
      </c>
      <c r="I887" s="10" t="s">
        <v>1055</v>
      </c>
      <c r="J887" s="10" t="s">
        <v>423</v>
      </c>
      <c r="K887" s="18"/>
    </row>
    <row r="888" spans="1:12" hidden="1" x14ac:dyDescent="0.3">
      <c r="A888" s="13" t="s">
        <v>879</v>
      </c>
      <c r="B888" s="10"/>
      <c r="C888" s="10">
        <v>10880030551</v>
      </c>
      <c r="D888" s="11">
        <v>990000108740</v>
      </c>
      <c r="E888" s="10" t="s">
        <v>763</v>
      </c>
      <c r="F888" s="10">
        <v>16</v>
      </c>
      <c r="G888" s="12">
        <v>45785</v>
      </c>
      <c r="H888" s="12">
        <v>45918</v>
      </c>
      <c r="I888" s="10" t="s">
        <v>1055</v>
      </c>
      <c r="J888" s="10" t="s">
        <v>423</v>
      </c>
      <c r="K888" s="18"/>
    </row>
    <row r="889" spans="1:12" hidden="1" x14ac:dyDescent="0.3">
      <c r="A889" s="13" t="s">
        <v>879</v>
      </c>
      <c r="B889" s="10"/>
      <c r="C889" s="10">
        <v>10880031570</v>
      </c>
      <c r="D889" s="11">
        <v>990000111189</v>
      </c>
      <c r="E889" s="10" t="s">
        <v>1043</v>
      </c>
      <c r="F889" s="10">
        <v>1215</v>
      </c>
      <c r="G889" s="12">
        <v>45854</v>
      </c>
      <c r="H889" s="12">
        <v>45887</v>
      </c>
      <c r="I889" s="10" t="s">
        <v>1294</v>
      </c>
      <c r="J889" s="10" t="s">
        <v>379</v>
      </c>
      <c r="K889" s="18"/>
    </row>
    <row r="890" spans="1:12" hidden="1" x14ac:dyDescent="0.3">
      <c r="A890" s="13" t="s">
        <v>879</v>
      </c>
      <c r="B890" s="10"/>
      <c r="C890" s="10">
        <v>10880034619</v>
      </c>
      <c r="D890" s="11">
        <v>990000111454</v>
      </c>
      <c r="E890" s="10" t="s">
        <v>53</v>
      </c>
      <c r="F890" s="10">
        <v>5</v>
      </c>
      <c r="G890" s="12">
        <v>45869</v>
      </c>
      <c r="H890" s="12">
        <v>45918</v>
      </c>
      <c r="I890" s="10" t="s">
        <v>1055</v>
      </c>
      <c r="J890" s="10" t="s">
        <v>423</v>
      </c>
      <c r="K890" s="18"/>
    </row>
    <row r="891" spans="1:12" hidden="1" x14ac:dyDescent="0.3">
      <c r="A891" s="13" t="s">
        <v>879</v>
      </c>
      <c r="B891" s="10"/>
      <c r="C891" s="10">
        <v>10880035167</v>
      </c>
      <c r="D891" s="11">
        <v>990000113042</v>
      </c>
      <c r="E891" s="10" t="s">
        <v>218</v>
      </c>
      <c r="F891" s="10">
        <v>3966</v>
      </c>
      <c r="G891" s="12">
        <v>45918</v>
      </c>
      <c r="H891" s="12">
        <v>45920</v>
      </c>
      <c r="I891" s="10" t="s">
        <v>1295</v>
      </c>
      <c r="J891" s="10" t="s">
        <v>389</v>
      </c>
      <c r="K891" s="18"/>
    </row>
    <row r="892" spans="1:12" hidden="1" x14ac:dyDescent="0.3">
      <c r="A892" s="13" t="s">
        <v>879</v>
      </c>
      <c r="B892" s="10"/>
      <c r="C892" s="10">
        <v>10880022123</v>
      </c>
      <c r="D892" s="11">
        <v>990000108172</v>
      </c>
      <c r="E892" s="10" t="s">
        <v>247</v>
      </c>
      <c r="F892" s="10">
        <v>187</v>
      </c>
      <c r="G892" s="12">
        <v>45758</v>
      </c>
      <c r="H892" s="12">
        <v>45922</v>
      </c>
      <c r="I892" s="10" t="s">
        <v>1296</v>
      </c>
      <c r="J892" s="10" t="s">
        <v>1297</v>
      </c>
      <c r="K892" s="18"/>
    </row>
    <row r="893" spans="1:12" hidden="1" x14ac:dyDescent="0.3">
      <c r="A893" s="13" t="s">
        <v>879</v>
      </c>
      <c r="B893" s="10"/>
      <c r="C893" s="10">
        <v>10880031304</v>
      </c>
      <c r="D893" s="11">
        <v>990000112780</v>
      </c>
      <c r="E893" s="10" t="s">
        <v>1009</v>
      </c>
      <c r="F893" s="10">
        <v>2018</v>
      </c>
      <c r="G893" s="12">
        <v>45912</v>
      </c>
      <c r="H893" s="12">
        <v>45922</v>
      </c>
      <c r="I893" s="10" t="s">
        <v>1298</v>
      </c>
      <c r="J893" s="10" t="s">
        <v>379</v>
      </c>
      <c r="K893" s="20"/>
    </row>
    <row r="894" spans="1:12" hidden="1" x14ac:dyDescent="0.3">
      <c r="A894" s="13" t="s">
        <v>879</v>
      </c>
      <c r="B894" s="10"/>
      <c r="C894" s="10">
        <v>10880020677</v>
      </c>
      <c r="D894" s="11">
        <v>990000113093</v>
      </c>
      <c r="E894" s="10" t="s">
        <v>221</v>
      </c>
      <c r="F894" s="10">
        <v>10</v>
      </c>
      <c r="G894" s="12">
        <v>45922</v>
      </c>
      <c r="H894" s="12">
        <v>45922</v>
      </c>
      <c r="I894" s="10" t="s">
        <v>1299</v>
      </c>
      <c r="J894" s="10" t="s">
        <v>379</v>
      </c>
      <c r="K894" s="20"/>
    </row>
    <row r="895" spans="1:12" hidden="1" x14ac:dyDescent="0.3">
      <c r="A895" s="13" t="s">
        <v>879</v>
      </c>
      <c r="B895" s="13"/>
      <c r="C895" s="13">
        <v>10880018845</v>
      </c>
      <c r="D895" s="14">
        <v>990000110128</v>
      </c>
      <c r="E895" s="13" t="s">
        <v>452</v>
      </c>
      <c r="F895" s="13">
        <v>50</v>
      </c>
      <c r="G895" s="15">
        <v>45817</v>
      </c>
      <c r="H895" s="15">
        <v>45923</v>
      </c>
      <c r="I895" s="13" t="s">
        <v>709</v>
      </c>
      <c r="J895" s="13" t="s">
        <v>379</v>
      </c>
      <c r="K895" s="20"/>
    </row>
    <row r="896" spans="1:12" hidden="1" x14ac:dyDescent="0.3">
      <c r="A896" s="13" t="s">
        <v>879</v>
      </c>
      <c r="B896" s="10"/>
      <c r="C896" s="10">
        <v>10880032697</v>
      </c>
      <c r="D896" s="11">
        <v>990000111455</v>
      </c>
      <c r="E896" s="10" t="s">
        <v>1300</v>
      </c>
      <c r="F896" s="10">
        <v>18</v>
      </c>
      <c r="G896" s="12">
        <v>45869</v>
      </c>
      <c r="H896" s="12">
        <v>45923</v>
      </c>
      <c r="I896" s="10" t="s">
        <v>1055</v>
      </c>
      <c r="J896" s="10" t="s">
        <v>423</v>
      </c>
      <c r="K896" s="20"/>
    </row>
    <row r="897" spans="1:11" hidden="1" x14ac:dyDescent="0.3">
      <c r="A897" s="13" t="s">
        <v>879</v>
      </c>
      <c r="B897" s="10"/>
      <c r="C897" s="10">
        <v>10880035167</v>
      </c>
      <c r="D897" s="11">
        <v>990000111890</v>
      </c>
      <c r="E897" s="10" t="s">
        <v>218</v>
      </c>
      <c r="F897" s="10">
        <v>26020</v>
      </c>
      <c r="G897" s="12">
        <v>45887</v>
      </c>
      <c r="H897" s="12">
        <v>45923</v>
      </c>
      <c r="I897" s="10" t="s">
        <v>1301</v>
      </c>
      <c r="J897" s="10" t="s">
        <v>379</v>
      </c>
      <c r="K897" s="20"/>
    </row>
    <row r="898" spans="1:11" hidden="1" x14ac:dyDescent="0.3">
      <c r="A898" s="13" t="s">
        <v>879</v>
      </c>
      <c r="B898" s="13"/>
      <c r="C898" s="13">
        <v>10880028346</v>
      </c>
      <c r="D898" s="14">
        <v>990000113069</v>
      </c>
      <c r="E898" s="13" t="s">
        <v>943</v>
      </c>
      <c r="F898" s="13">
        <v>40</v>
      </c>
      <c r="G898" s="15">
        <v>45921</v>
      </c>
      <c r="H898" s="15">
        <v>45923</v>
      </c>
      <c r="I898" s="13" t="s">
        <v>1302</v>
      </c>
      <c r="J898" s="13" t="s">
        <v>379</v>
      </c>
      <c r="K898" s="20"/>
    </row>
    <row r="899" spans="1:11" hidden="1" x14ac:dyDescent="0.3">
      <c r="A899" s="13" t="s">
        <v>879</v>
      </c>
      <c r="B899" s="13"/>
      <c r="C899" s="13">
        <v>10880033564</v>
      </c>
      <c r="D899" s="14">
        <v>990000111845</v>
      </c>
      <c r="E899" s="13" t="s">
        <v>1081</v>
      </c>
      <c r="F899" s="13">
        <v>1498</v>
      </c>
      <c r="G899" s="15">
        <v>45883</v>
      </c>
      <c r="H899" s="15">
        <v>45925</v>
      </c>
      <c r="I899" s="13" t="s">
        <v>1303</v>
      </c>
      <c r="J899" s="13" t="s">
        <v>396</v>
      </c>
      <c r="K899" s="20"/>
    </row>
    <row r="900" spans="1:11" hidden="1" x14ac:dyDescent="0.3">
      <c r="A900" s="13" t="s">
        <v>879</v>
      </c>
      <c r="B900" s="13"/>
      <c r="C900" s="13">
        <v>10880031249</v>
      </c>
      <c r="D900" s="14">
        <v>990000113090</v>
      </c>
      <c r="E900" s="13" t="s">
        <v>291</v>
      </c>
      <c r="F900" s="13">
        <v>10</v>
      </c>
      <c r="G900" s="15">
        <v>45922</v>
      </c>
      <c r="H900" s="15">
        <v>45926</v>
      </c>
      <c r="I900" s="13" t="s">
        <v>1280</v>
      </c>
      <c r="J900" s="13" t="s">
        <v>379</v>
      </c>
      <c r="K900" s="20"/>
    </row>
    <row r="901" spans="1:11" hidden="1" x14ac:dyDescent="0.3">
      <c r="A901" s="13" t="s">
        <v>879</v>
      </c>
      <c r="B901" s="13"/>
      <c r="C901" s="13">
        <v>10880020557</v>
      </c>
      <c r="D901" s="14">
        <v>990000113120</v>
      </c>
      <c r="E901" s="13" t="s">
        <v>1180</v>
      </c>
      <c r="F901" s="13">
        <v>1440</v>
      </c>
      <c r="G901" s="15">
        <v>45923</v>
      </c>
      <c r="H901" s="15">
        <v>45926</v>
      </c>
      <c r="I901" s="13" t="s">
        <v>1304</v>
      </c>
      <c r="J901" s="13" t="s">
        <v>379</v>
      </c>
      <c r="K901" s="18"/>
    </row>
    <row r="902" spans="1:11" hidden="1" x14ac:dyDescent="0.3">
      <c r="A902" s="13" t="s">
        <v>879</v>
      </c>
      <c r="B902" s="13"/>
      <c r="C902" s="13">
        <v>10880020555</v>
      </c>
      <c r="D902" s="14">
        <v>990000113141</v>
      </c>
      <c r="E902" s="13" t="s">
        <v>1146</v>
      </c>
      <c r="F902" s="13">
        <v>74</v>
      </c>
      <c r="G902" s="15">
        <v>45924</v>
      </c>
      <c r="H902" s="15">
        <v>45926</v>
      </c>
      <c r="I902" s="13" t="s">
        <v>1304</v>
      </c>
      <c r="J902" s="13" t="s">
        <v>379</v>
      </c>
      <c r="K902" s="18"/>
    </row>
    <row r="903" spans="1:11" hidden="1" x14ac:dyDescent="0.3">
      <c r="A903" s="13" t="s">
        <v>879</v>
      </c>
      <c r="B903" s="13"/>
      <c r="C903" s="13">
        <v>10880020654</v>
      </c>
      <c r="D903" s="14">
        <v>990000113157</v>
      </c>
      <c r="E903" s="13" t="s">
        <v>1175</v>
      </c>
      <c r="F903" s="13">
        <v>169</v>
      </c>
      <c r="G903" s="15">
        <v>45924</v>
      </c>
      <c r="H903" s="15">
        <v>45926</v>
      </c>
      <c r="I903" s="13" t="s">
        <v>1304</v>
      </c>
      <c r="J903" s="13" t="s">
        <v>379</v>
      </c>
      <c r="K903" s="18"/>
    </row>
    <row r="904" spans="1:11" hidden="1" x14ac:dyDescent="0.3">
      <c r="A904" s="13" t="s">
        <v>879</v>
      </c>
      <c r="B904" s="13"/>
      <c r="C904" s="13">
        <v>10880035721</v>
      </c>
      <c r="D904" s="14">
        <v>990000113176</v>
      </c>
      <c r="E904" s="13" t="s">
        <v>1264</v>
      </c>
      <c r="F904" s="13">
        <v>13</v>
      </c>
      <c r="G904" s="15">
        <v>45926</v>
      </c>
      <c r="H904" s="15">
        <v>45927</v>
      </c>
      <c r="I904" s="13" t="s">
        <v>1305</v>
      </c>
      <c r="J904" s="13" t="s">
        <v>379</v>
      </c>
      <c r="K904" s="18"/>
    </row>
    <row r="905" spans="1:11" hidden="1" x14ac:dyDescent="0.3">
      <c r="A905" s="13" t="s">
        <v>879</v>
      </c>
      <c r="B905" s="13"/>
      <c r="C905" s="13">
        <v>10880036337</v>
      </c>
      <c r="D905" s="14">
        <v>990000113195</v>
      </c>
      <c r="E905" s="13" t="s">
        <v>253</v>
      </c>
      <c r="F905" s="13">
        <v>70</v>
      </c>
      <c r="G905" s="15">
        <v>45926</v>
      </c>
      <c r="H905" s="15">
        <v>45927</v>
      </c>
      <c r="I905" s="13" t="s">
        <v>1267</v>
      </c>
      <c r="J905" s="13" t="s">
        <v>379</v>
      </c>
      <c r="K905" s="18"/>
    </row>
    <row r="906" spans="1:11" hidden="1" x14ac:dyDescent="0.3">
      <c r="A906" s="13" t="s">
        <v>879</v>
      </c>
      <c r="B906" s="13"/>
      <c r="C906" s="13">
        <v>10880036490</v>
      </c>
      <c r="D906" s="14">
        <v>990000113197</v>
      </c>
      <c r="E906" s="13" t="s">
        <v>1306</v>
      </c>
      <c r="F906" s="13">
        <v>79</v>
      </c>
      <c r="G906" s="15">
        <v>45926</v>
      </c>
      <c r="H906" s="15">
        <v>45927</v>
      </c>
      <c r="I906" s="13" t="s">
        <v>1307</v>
      </c>
      <c r="J906" s="13" t="s">
        <v>379</v>
      </c>
      <c r="K906" s="18"/>
    </row>
    <row r="907" spans="1:11" hidden="1" x14ac:dyDescent="0.3">
      <c r="A907" s="13" t="s">
        <v>879</v>
      </c>
      <c r="B907" s="13"/>
      <c r="C907" s="13">
        <v>10880031011</v>
      </c>
      <c r="D907" s="14">
        <v>990000111459</v>
      </c>
      <c r="E907" s="13" t="s">
        <v>49</v>
      </c>
      <c r="F907" s="13">
        <v>52</v>
      </c>
      <c r="G907" s="15">
        <v>45869</v>
      </c>
      <c r="H907" s="15">
        <v>45930</v>
      </c>
      <c r="I907" s="13" t="s">
        <v>1055</v>
      </c>
      <c r="J907" s="13" t="s">
        <v>423</v>
      </c>
      <c r="K907" s="18"/>
    </row>
    <row r="908" spans="1:11" hidden="1" x14ac:dyDescent="0.3">
      <c r="A908" s="13" t="s">
        <v>879</v>
      </c>
      <c r="B908" s="13"/>
      <c r="C908" s="13">
        <v>10880020677</v>
      </c>
      <c r="D908" s="14">
        <v>990000112792</v>
      </c>
      <c r="E908" s="13" t="s">
        <v>221</v>
      </c>
      <c r="F908" s="13">
        <v>6</v>
      </c>
      <c r="G908" s="15">
        <v>45914</v>
      </c>
      <c r="H908" s="15">
        <v>45930</v>
      </c>
      <c r="I908" s="13" t="s">
        <v>1308</v>
      </c>
      <c r="J908" s="13" t="s">
        <v>379</v>
      </c>
      <c r="K908" s="18"/>
    </row>
    <row r="909" spans="1:11" hidden="1" x14ac:dyDescent="0.3">
      <c r="A909" s="13" t="s">
        <v>879</v>
      </c>
      <c r="B909" s="13"/>
      <c r="C909" s="13">
        <v>10880036489</v>
      </c>
      <c r="D909" s="14">
        <v>990000113094</v>
      </c>
      <c r="E909" s="13" t="s">
        <v>1309</v>
      </c>
      <c r="F909" s="13">
        <v>20</v>
      </c>
      <c r="G909" s="15">
        <v>45922</v>
      </c>
      <c r="H909" s="15">
        <v>45930</v>
      </c>
      <c r="I909" s="13" t="s">
        <v>1310</v>
      </c>
      <c r="J909" s="13" t="s">
        <v>379</v>
      </c>
      <c r="K909" s="18"/>
    </row>
    <row r="910" spans="1:11" hidden="1" x14ac:dyDescent="0.3">
      <c r="A910" s="13" t="s">
        <v>879</v>
      </c>
      <c r="B910" s="13"/>
      <c r="C910" s="13">
        <v>10880012982</v>
      </c>
      <c r="D910" s="14">
        <v>990000113181</v>
      </c>
      <c r="E910" s="13" t="s">
        <v>748</v>
      </c>
      <c r="F910" s="13">
        <v>50</v>
      </c>
      <c r="G910" s="15">
        <v>45926</v>
      </c>
      <c r="H910" s="15">
        <v>45930</v>
      </c>
      <c r="I910" s="13" t="s">
        <v>1023</v>
      </c>
      <c r="J910" s="13" t="s">
        <v>379</v>
      </c>
      <c r="K910" s="18"/>
    </row>
    <row r="911" spans="1:11" hidden="1" x14ac:dyDescent="0.3">
      <c r="A911" s="13" t="s">
        <v>879</v>
      </c>
      <c r="B911" s="13"/>
      <c r="C911" s="13">
        <v>10880033535</v>
      </c>
      <c r="D911" s="14">
        <v>990000113196</v>
      </c>
      <c r="E911" s="13" t="s">
        <v>157</v>
      </c>
      <c r="F911" s="13">
        <v>1186</v>
      </c>
      <c r="G911" s="15">
        <v>45926</v>
      </c>
      <c r="H911" s="15">
        <v>45930</v>
      </c>
      <c r="I911" s="13" t="s">
        <v>1311</v>
      </c>
      <c r="J911" s="13" t="s">
        <v>379</v>
      </c>
      <c r="K911" s="18"/>
    </row>
    <row r="912" spans="1:11" hidden="1" x14ac:dyDescent="0.3">
      <c r="A912" s="13" t="s">
        <v>879</v>
      </c>
      <c r="B912" s="13"/>
      <c r="C912" s="13">
        <v>10880034251</v>
      </c>
      <c r="D912" s="14">
        <v>990000113198</v>
      </c>
      <c r="E912" s="13" t="s">
        <v>989</v>
      </c>
      <c r="F912" s="13">
        <v>1273</v>
      </c>
      <c r="G912" s="15">
        <v>45926</v>
      </c>
      <c r="H912" s="15">
        <v>45930</v>
      </c>
      <c r="I912" s="13" t="s">
        <v>1312</v>
      </c>
      <c r="J912" s="13" t="s">
        <v>379</v>
      </c>
      <c r="K912" s="18"/>
    </row>
    <row r="913" spans="1:11" hidden="1" x14ac:dyDescent="0.3">
      <c r="A913" s="13" t="s">
        <v>879</v>
      </c>
      <c r="B913" s="13"/>
      <c r="C913" s="13">
        <v>10880036490</v>
      </c>
      <c r="D913" s="14">
        <v>990000113244</v>
      </c>
      <c r="E913" s="13" t="s">
        <v>1306</v>
      </c>
      <c r="F913" s="13">
        <v>405</v>
      </c>
      <c r="G913" s="15">
        <v>45928</v>
      </c>
      <c r="H913" s="15">
        <v>45930</v>
      </c>
      <c r="I913" s="13" t="s">
        <v>1313</v>
      </c>
      <c r="J913" s="13" t="s">
        <v>379</v>
      </c>
      <c r="K913" s="18"/>
    </row>
    <row r="914" spans="1:11" hidden="1" x14ac:dyDescent="0.3">
      <c r="A914" s="13" t="s">
        <v>879</v>
      </c>
      <c r="B914" s="13"/>
      <c r="C914" s="13">
        <v>10880035380</v>
      </c>
      <c r="D914" s="14">
        <v>990000113264</v>
      </c>
      <c r="E914" s="13" t="s">
        <v>1111</v>
      </c>
      <c r="F914" s="13">
        <v>11</v>
      </c>
      <c r="G914" s="15">
        <v>45930</v>
      </c>
      <c r="H914" s="15">
        <v>45930</v>
      </c>
      <c r="I914" s="13" t="s">
        <v>1314</v>
      </c>
      <c r="J914" s="13" t="s">
        <v>379</v>
      </c>
      <c r="K914" s="18"/>
    </row>
    <row r="915" spans="1:11" hidden="1" x14ac:dyDescent="0.3">
      <c r="A915" s="13" t="s">
        <v>879</v>
      </c>
      <c r="B915" s="13"/>
      <c r="C915" s="13">
        <v>10880035379</v>
      </c>
      <c r="D915" s="14">
        <v>990000113384</v>
      </c>
      <c r="E915" s="13" t="s">
        <v>1113</v>
      </c>
      <c r="F915" s="13">
        <v>20</v>
      </c>
      <c r="G915" s="15">
        <v>45938</v>
      </c>
      <c r="H915" s="15">
        <v>45938</v>
      </c>
      <c r="I915" s="13" t="s">
        <v>1315</v>
      </c>
      <c r="J915" s="13" t="s">
        <v>379</v>
      </c>
      <c r="K915" s="18"/>
    </row>
    <row r="916" spans="1:11" hidden="1" x14ac:dyDescent="0.3">
      <c r="A916" s="13" t="s">
        <v>879</v>
      </c>
      <c r="B916" s="13"/>
      <c r="C916" s="13">
        <v>10880031182</v>
      </c>
      <c r="D916" s="14">
        <v>990000113179</v>
      </c>
      <c r="E916" s="13" t="s">
        <v>236</v>
      </c>
      <c r="F916" s="13">
        <v>1</v>
      </c>
      <c r="G916" s="15">
        <v>45926</v>
      </c>
      <c r="H916" s="15">
        <v>45939</v>
      </c>
      <c r="I916" s="13" t="s">
        <v>1316</v>
      </c>
      <c r="J916" s="13" t="s">
        <v>379</v>
      </c>
      <c r="K916" s="18"/>
    </row>
    <row r="917" spans="1:11" hidden="1" x14ac:dyDescent="0.3">
      <c r="A917" s="13" t="s">
        <v>879</v>
      </c>
      <c r="B917" s="13"/>
      <c r="C917" s="13">
        <v>10880031307</v>
      </c>
      <c r="D917" s="14">
        <v>990000113443</v>
      </c>
      <c r="E917" s="13" t="s">
        <v>238</v>
      </c>
      <c r="F917" s="13">
        <v>803</v>
      </c>
      <c r="G917" s="15">
        <v>45939</v>
      </c>
      <c r="H917" s="15">
        <v>45939</v>
      </c>
      <c r="I917" s="13" t="s">
        <v>1317</v>
      </c>
      <c r="J917" s="13" t="s">
        <v>379</v>
      </c>
      <c r="K917" s="18"/>
    </row>
    <row r="918" spans="1:11" hidden="1" x14ac:dyDescent="0.3">
      <c r="A918" s="13" t="s">
        <v>879</v>
      </c>
      <c r="B918" s="13"/>
      <c r="C918" s="13">
        <v>10880034669</v>
      </c>
      <c r="D918" s="14">
        <v>990000113577</v>
      </c>
      <c r="E918" s="13" t="s">
        <v>153</v>
      </c>
      <c r="F918" s="13">
        <v>7875</v>
      </c>
      <c r="G918" s="15">
        <v>45945</v>
      </c>
      <c r="H918" s="15">
        <v>45946</v>
      </c>
      <c r="I918" s="13" t="s">
        <v>1318</v>
      </c>
      <c r="J918" s="13" t="s">
        <v>379</v>
      </c>
      <c r="K918" s="18"/>
    </row>
    <row r="919" spans="1:11" hidden="1" x14ac:dyDescent="0.3">
      <c r="A919" s="13" t="s">
        <v>879</v>
      </c>
      <c r="B919" s="13"/>
      <c r="C919" s="13">
        <v>10880035653</v>
      </c>
      <c r="D919" s="14">
        <v>990000113460</v>
      </c>
      <c r="E919" s="13" t="s">
        <v>96</v>
      </c>
      <c r="F919" s="13">
        <v>199</v>
      </c>
      <c r="G919" s="15">
        <v>45941</v>
      </c>
      <c r="H919" s="15">
        <v>45946</v>
      </c>
      <c r="I919" s="13" t="s">
        <v>1319</v>
      </c>
      <c r="J919" s="13" t="s">
        <v>379</v>
      </c>
      <c r="K919" s="18"/>
    </row>
    <row r="920" spans="1:11" hidden="1" x14ac:dyDescent="0.3">
      <c r="A920" s="13" t="s">
        <v>879</v>
      </c>
      <c r="B920" s="13"/>
      <c r="C920" s="13">
        <v>10880032945</v>
      </c>
      <c r="D920" s="14">
        <v>990000113538</v>
      </c>
      <c r="E920" s="13" t="s">
        <v>1320</v>
      </c>
      <c r="F920" s="13">
        <v>4010</v>
      </c>
      <c r="G920" s="15">
        <v>45943</v>
      </c>
      <c r="H920" s="15">
        <v>45948</v>
      </c>
      <c r="I920" s="13" t="s">
        <v>1321</v>
      </c>
      <c r="J920" s="13" t="s">
        <v>379</v>
      </c>
      <c r="K920" s="18"/>
    </row>
    <row r="921" spans="1:11" x14ac:dyDescent="0.3">
      <c r="A921" s="13" t="s">
        <v>879</v>
      </c>
      <c r="B921" s="13"/>
      <c r="C921" s="13">
        <v>10880030132</v>
      </c>
      <c r="D921" s="14">
        <v>990000113578</v>
      </c>
      <c r="E921" s="13" t="s">
        <v>603</v>
      </c>
      <c r="F921" s="13">
        <v>376</v>
      </c>
      <c r="G921" s="15">
        <v>45945</v>
      </c>
      <c r="H921" s="15">
        <v>45948</v>
      </c>
      <c r="I921" s="13" t="s">
        <v>1322</v>
      </c>
      <c r="J921" s="13" t="s">
        <v>379</v>
      </c>
      <c r="K921" s="18"/>
    </row>
    <row r="922" spans="1:11" x14ac:dyDescent="0.3">
      <c r="A922" s="13" t="s">
        <v>879</v>
      </c>
      <c r="B922" s="13"/>
      <c r="C922" s="13">
        <v>10880033460</v>
      </c>
      <c r="D922" s="14">
        <v>990000113579</v>
      </c>
      <c r="E922" s="13" t="s">
        <v>1323</v>
      </c>
      <c r="F922" s="13">
        <v>1458</v>
      </c>
      <c r="G922" s="15">
        <v>45945</v>
      </c>
      <c r="H922" s="15">
        <v>45948</v>
      </c>
      <c r="I922" s="13" t="s">
        <v>1324</v>
      </c>
      <c r="J922" s="13" t="s">
        <v>379</v>
      </c>
      <c r="K922" s="18"/>
    </row>
    <row r="923" spans="1:11" x14ac:dyDescent="0.3">
      <c r="A923" s="13" t="s">
        <v>879</v>
      </c>
      <c r="B923" s="13"/>
      <c r="C923" s="13">
        <v>10880034562</v>
      </c>
      <c r="D923" s="14">
        <v>990000113580</v>
      </c>
      <c r="E923" s="13" t="s">
        <v>1325</v>
      </c>
      <c r="F923" s="13">
        <v>691</v>
      </c>
      <c r="G923" s="15">
        <v>45945</v>
      </c>
      <c r="H923" s="15">
        <v>45948</v>
      </c>
      <c r="I923" s="13" t="s">
        <v>1326</v>
      </c>
      <c r="J923" s="13" t="s">
        <v>379</v>
      </c>
      <c r="K923" s="18"/>
    </row>
    <row r="924" spans="1:11" x14ac:dyDescent="0.3">
      <c r="A924" s="13" t="s">
        <v>879</v>
      </c>
      <c r="B924" s="13"/>
      <c r="C924" s="13">
        <v>10880034563</v>
      </c>
      <c r="D924" s="14">
        <v>990000113601</v>
      </c>
      <c r="E924" s="13" t="s">
        <v>1327</v>
      </c>
      <c r="F924" s="13">
        <v>224</v>
      </c>
      <c r="G924" s="15">
        <v>45945</v>
      </c>
      <c r="H924" s="15">
        <v>45948</v>
      </c>
      <c r="I924" s="13" t="s">
        <v>1328</v>
      </c>
      <c r="J924" s="13" t="s">
        <v>379</v>
      </c>
      <c r="K924" s="18"/>
    </row>
    <row r="925" spans="1:11" hidden="1" x14ac:dyDescent="0.3">
      <c r="A925" s="13" t="s">
        <v>879</v>
      </c>
      <c r="B925" s="13"/>
      <c r="C925" s="13">
        <v>10880033566</v>
      </c>
      <c r="D925" s="14">
        <v>990000113602</v>
      </c>
      <c r="E925" s="13" t="s">
        <v>1078</v>
      </c>
      <c r="F925" s="13">
        <v>5</v>
      </c>
      <c r="G925" s="15">
        <v>45945</v>
      </c>
      <c r="H925" s="15">
        <v>45948</v>
      </c>
      <c r="I925" s="13" t="s">
        <v>1329</v>
      </c>
      <c r="J925" s="13" t="s">
        <v>379</v>
      </c>
      <c r="K925" s="18"/>
    </row>
    <row r="926" spans="1:11" x14ac:dyDescent="0.3">
      <c r="A926" s="13" t="s">
        <v>879</v>
      </c>
      <c r="B926" s="13"/>
      <c r="C926" s="13">
        <v>10880034564</v>
      </c>
      <c r="D926" s="14">
        <v>990000113591</v>
      </c>
      <c r="E926" s="13" t="s">
        <v>1330</v>
      </c>
      <c r="F926" s="13">
        <v>929</v>
      </c>
      <c r="G926" s="15">
        <v>45945</v>
      </c>
      <c r="H926" s="15">
        <v>45948</v>
      </c>
      <c r="I926" s="13" t="s">
        <v>1331</v>
      </c>
      <c r="J926" s="13" t="s">
        <v>379</v>
      </c>
      <c r="K926" s="18"/>
    </row>
    <row r="927" spans="1:11" hidden="1" x14ac:dyDescent="0.3">
      <c r="A927" s="13" t="s">
        <v>879</v>
      </c>
      <c r="B927" s="13"/>
      <c r="C927" s="13">
        <v>10880035379</v>
      </c>
      <c r="D927" s="14">
        <v>990000113603</v>
      </c>
      <c r="E927" s="13" t="s">
        <v>1113</v>
      </c>
      <c r="F927" s="13">
        <v>732</v>
      </c>
      <c r="G927" s="15">
        <v>45945</v>
      </c>
      <c r="H927" s="15">
        <v>45948</v>
      </c>
      <c r="I927" s="13" t="s">
        <v>1332</v>
      </c>
      <c r="J927" s="13" t="s">
        <v>379</v>
      </c>
      <c r="K927" s="18"/>
    </row>
    <row r="928" spans="1:11" hidden="1" x14ac:dyDescent="0.3">
      <c r="A928" s="13" t="s">
        <v>879</v>
      </c>
      <c r="B928" s="13"/>
      <c r="C928" s="13">
        <v>10880034669</v>
      </c>
      <c r="D928" s="14">
        <v>990000113615</v>
      </c>
      <c r="E928" s="13" t="s">
        <v>153</v>
      </c>
      <c r="F928" s="13">
        <v>2194</v>
      </c>
      <c r="G928" s="15">
        <v>45946</v>
      </c>
      <c r="H928" s="15">
        <v>45948</v>
      </c>
      <c r="I928" s="13" t="s">
        <v>1318</v>
      </c>
      <c r="J928" s="13" t="s">
        <v>379</v>
      </c>
      <c r="K928" s="18"/>
    </row>
    <row r="929" spans="1:11" hidden="1" x14ac:dyDescent="0.3">
      <c r="A929" s="13" t="s">
        <v>879</v>
      </c>
      <c r="B929" s="10"/>
      <c r="C929" s="10">
        <v>10880034251</v>
      </c>
      <c r="D929" s="11">
        <v>990000113199</v>
      </c>
      <c r="E929" s="10" t="s">
        <v>989</v>
      </c>
      <c r="F929" s="10">
        <v>1273</v>
      </c>
      <c r="G929" s="12">
        <v>45926</v>
      </c>
      <c r="H929" s="12"/>
      <c r="I929" s="10" t="s">
        <v>1333</v>
      </c>
      <c r="J929" s="10" t="s">
        <v>379</v>
      </c>
      <c r="K929" s="10"/>
    </row>
    <row r="930" spans="1:11" hidden="1" x14ac:dyDescent="0.3">
      <c r="A930" s="13" t="s">
        <v>879</v>
      </c>
      <c r="B930" s="13"/>
      <c r="C930" s="13">
        <v>10880034417</v>
      </c>
      <c r="D930" s="14">
        <v>990000113799</v>
      </c>
      <c r="E930" s="13" t="s">
        <v>1056</v>
      </c>
      <c r="F930" s="13">
        <v>72</v>
      </c>
      <c r="G930" s="15">
        <v>45954</v>
      </c>
      <c r="H930" s="15" t="s">
        <v>1007</v>
      </c>
      <c r="I930" s="13" t="s">
        <v>1334</v>
      </c>
      <c r="J930" s="13" t="s">
        <v>379</v>
      </c>
      <c r="K930" s="18"/>
    </row>
    <row r="931" spans="1:11" hidden="1" x14ac:dyDescent="0.3">
      <c r="A931" s="13" t="s">
        <v>879</v>
      </c>
      <c r="B931" s="13"/>
      <c r="C931" s="13">
        <v>10880030519</v>
      </c>
      <c r="D931" s="14">
        <v>990000112627</v>
      </c>
      <c r="E931" s="13" t="s">
        <v>208</v>
      </c>
      <c r="F931" s="13">
        <v>73</v>
      </c>
      <c r="G931" s="15">
        <v>45904</v>
      </c>
      <c r="H931" s="15">
        <v>45950</v>
      </c>
      <c r="I931" s="13" t="s">
        <v>1335</v>
      </c>
      <c r="J931" s="13" t="s">
        <v>1336</v>
      </c>
      <c r="K931" s="18"/>
    </row>
    <row r="932" spans="1:11" hidden="1" x14ac:dyDescent="0.3">
      <c r="A932" s="13" t="s">
        <v>879</v>
      </c>
      <c r="B932" s="13"/>
      <c r="C932" s="13">
        <v>10880032322</v>
      </c>
      <c r="D932" s="14">
        <v>990000113085</v>
      </c>
      <c r="E932" s="13" t="s">
        <v>1337</v>
      </c>
      <c r="F932" s="13">
        <v>500</v>
      </c>
      <c r="G932" s="15">
        <v>45922</v>
      </c>
      <c r="H932" s="15">
        <v>45950</v>
      </c>
      <c r="I932" s="13" t="s">
        <v>1338</v>
      </c>
      <c r="J932" s="13" t="s">
        <v>379</v>
      </c>
      <c r="K932" s="20"/>
    </row>
    <row r="933" spans="1:11" hidden="1" x14ac:dyDescent="0.3">
      <c r="A933" s="13" t="s">
        <v>879</v>
      </c>
      <c r="B933" s="13"/>
      <c r="C933" s="13">
        <v>10880031304</v>
      </c>
      <c r="D933" s="14">
        <v>990000113177</v>
      </c>
      <c r="E933" s="13" t="s">
        <v>1009</v>
      </c>
      <c r="F933" s="13">
        <v>2018</v>
      </c>
      <c r="G933" s="15">
        <v>45926</v>
      </c>
      <c r="H933" s="15">
        <v>45950</v>
      </c>
      <c r="I933" s="13" t="s">
        <v>1339</v>
      </c>
      <c r="J933" s="13" t="s">
        <v>379</v>
      </c>
      <c r="K933" s="20"/>
    </row>
    <row r="934" spans="1:11" hidden="1" x14ac:dyDescent="0.3">
      <c r="A934" s="13" t="s">
        <v>879</v>
      </c>
      <c r="B934" s="13"/>
      <c r="C934" s="13">
        <v>10880033217</v>
      </c>
      <c r="D934" s="14">
        <v>990000113178</v>
      </c>
      <c r="E934" s="13" t="s">
        <v>232</v>
      </c>
      <c r="F934" s="13">
        <v>39</v>
      </c>
      <c r="G934" s="15">
        <v>45926</v>
      </c>
      <c r="H934" s="15">
        <v>45950</v>
      </c>
      <c r="I934" s="13" t="s">
        <v>1340</v>
      </c>
      <c r="J934" s="13" t="s">
        <v>379</v>
      </c>
      <c r="K934" s="20"/>
    </row>
    <row r="935" spans="1:11" hidden="1" x14ac:dyDescent="0.3">
      <c r="A935" s="13" t="s">
        <v>879</v>
      </c>
      <c r="B935" s="13"/>
      <c r="C935" s="13">
        <v>10880037164</v>
      </c>
      <c r="D935" s="14">
        <v>990000113618</v>
      </c>
      <c r="E935" s="13" t="s">
        <v>1341</v>
      </c>
      <c r="F935" s="13">
        <v>320</v>
      </c>
      <c r="G935" s="15">
        <v>45947</v>
      </c>
      <c r="H935" s="15">
        <v>45950</v>
      </c>
      <c r="I935" s="13" t="s">
        <v>1342</v>
      </c>
      <c r="J935" s="13" t="s">
        <v>379</v>
      </c>
      <c r="K935" s="20"/>
    </row>
    <row r="936" spans="1:11" hidden="1" x14ac:dyDescent="0.3">
      <c r="A936" s="13" t="s">
        <v>879</v>
      </c>
      <c r="B936" s="13"/>
      <c r="C936" s="13">
        <v>10880034621</v>
      </c>
      <c r="D936" s="14">
        <v>990000112469</v>
      </c>
      <c r="E936" s="13" t="s">
        <v>996</v>
      </c>
      <c r="F936" s="13">
        <v>64</v>
      </c>
      <c r="G936" s="15">
        <v>45901</v>
      </c>
      <c r="H936" s="15" t="s">
        <v>1007</v>
      </c>
      <c r="I936" s="13" t="s">
        <v>1343</v>
      </c>
      <c r="J936" s="13" t="s">
        <v>389</v>
      </c>
      <c r="K936" s="20"/>
    </row>
    <row r="937" spans="1:11" hidden="1" x14ac:dyDescent="0.3">
      <c r="A937" s="13" t="s">
        <v>879</v>
      </c>
      <c r="B937" s="13"/>
      <c r="C937" s="13">
        <v>10880031011</v>
      </c>
      <c r="D937" s="14">
        <v>990000112476</v>
      </c>
      <c r="E937" s="13" t="s">
        <v>49</v>
      </c>
      <c r="F937" s="13">
        <v>2</v>
      </c>
      <c r="G937" s="15">
        <v>45901</v>
      </c>
      <c r="H937" s="15" t="s">
        <v>1007</v>
      </c>
      <c r="I937" s="13" t="s">
        <v>1344</v>
      </c>
      <c r="J937" s="13" t="s">
        <v>389</v>
      </c>
      <c r="K937" s="20"/>
    </row>
    <row r="938" spans="1:11" hidden="1" x14ac:dyDescent="0.3">
      <c r="A938" s="13" t="s">
        <v>879</v>
      </c>
      <c r="B938" s="13"/>
      <c r="C938" s="13">
        <v>10880028929</v>
      </c>
      <c r="D938" s="14">
        <v>990000112727</v>
      </c>
      <c r="E938" s="13" t="s">
        <v>1345</v>
      </c>
      <c r="F938" s="13">
        <v>56</v>
      </c>
      <c r="G938" s="15">
        <v>45910</v>
      </c>
      <c r="H938" s="15" t="s">
        <v>1007</v>
      </c>
      <c r="I938" s="13" t="s">
        <v>1287</v>
      </c>
      <c r="J938" s="13" t="s">
        <v>379</v>
      </c>
      <c r="K938" s="20"/>
    </row>
    <row r="939" spans="1:11" hidden="1" x14ac:dyDescent="0.3">
      <c r="A939" s="13" t="s">
        <v>879</v>
      </c>
      <c r="B939" s="13"/>
      <c r="C939" s="13">
        <v>10880033217</v>
      </c>
      <c r="D939" s="14">
        <v>990000109679</v>
      </c>
      <c r="E939" s="13" t="s">
        <v>232</v>
      </c>
      <c r="F939" s="13">
        <v>30</v>
      </c>
      <c r="G939" s="15">
        <v>45805</v>
      </c>
      <c r="H939" s="15">
        <v>45960</v>
      </c>
      <c r="I939" s="13" t="s">
        <v>1346</v>
      </c>
      <c r="J939" s="13" t="s">
        <v>379</v>
      </c>
      <c r="K939" s="20"/>
    </row>
    <row r="940" spans="1:11" hidden="1" x14ac:dyDescent="0.3">
      <c r="A940" s="13" t="s">
        <v>879</v>
      </c>
      <c r="B940" s="13"/>
      <c r="C940" s="13">
        <v>10880034957</v>
      </c>
      <c r="D940" s="14">
        <v>990000110498</v>
      </c>
      <c r="E940" s="13" t="s">
        <v>339</v>
      </c>
      <c r="F940" s="13">
        <v>2300</v>
      </c>
      <c r="G940" s="15">
        <v>45832</v>
      </c>
      <c r="H940" s="15">
        <v>45964</v>
      </c>
      <c r="I940" s="13" t="s">
        <v>1347</v>
      </c>
      <c r="J940" s="13" t="s">
        <v>379</v>
      </c>
      <c r="K940" s="20"/>
    </row>
    <row r="941" spans="1:11" hidden="1" x14ac:dyDescent="0.3">
      <c r="A941" s="13" t="s">
        <v>879</v>
      </c>
      <c r="B941" s="13"/>
      <c r="C941" s="13">
        <v>10880036204</v>
      </c>
      <c r="D941" s="14">
        <v>990000111993</v>
      </c>
      <c r="E941" s="13" t="s">
        <v>1348</v>
      </c>
      <c r="F941" s="13">
        <v>100</v>
      </c>
      <c r="G941" s="15">
        <v>45890</v>
      </c>
      <c r="H941" s="15">
        <v>45964</v>
      </c>
      <c r="I941" s="13" t="s">
        <v>1349</v>
      </c>
      <c r="J941" s="13" t="s">
        <v>389</v>
      </c>
      <c r="K941" s="20"/>
    </row>
    <row r="942" spans="1:11" x14ac:dyDescent="0.3">
      <c r="A942" s="13" t="s">
        <v>879</v>
      </c>
      <c r="B942" s="13"/>
      <c r="C942" s="13">
        <v>10880022406</v>
      </c>
      <c r="D942" s="14">
        <v>990000113633</v>
      </c>
      <c r="E942" s="13" t="s">
        <v>528</v>
      </c>
      <c r="F942" s="13">
        <v>286</v>
      </c>
      <c r="G942" s="15">
        <v>45948</v>
      </c>
      <c r="H942" s="15">
        <v>45961</v>
      </c>
      <c r="I942" s="13" t="s">
        <v>1350</v>
      </c>
      <c r="J942" s="13" t="s">
        <v>379</v>
      </c>
      <c r="K942" s="20"/>
    </row>
    <row r="943" spans="1:11" hidden="1" x14ac:dyDescent="0.3">
      <c r="A943" s="13" t="s">
        <v>879</v>
      </c>
      <c r="B943" s="13"/>
      <c r="C943" s="13">
        <v>10880035409</v>
      </c>
      <c r="D943" s="14">
        <v>990000113803</v>
      </c>
      <c r="E943" s="13" t="s">
        <v>332</v>
      </c>
      <c r="F943" s="13">
        <v>24</v>
      </c>
      <c r="G943" s="15">
        <v>45953</v>
      </c>
      <c r="H943" s="15">
        <v>45960</v>
      </c>
      <c r="I943" s="13" t="s">
        <v>1351</v>
      </c>
      <c r="J943" s="13" t="s">
        <v>379</v>
      </c>
      <c r="K943" s="20"/>
    </row>
    <row r="944" spans="1:11" hidden="1" x14ac:dyDescent="0.3">
      <c r="A944" s="13" t="s">
        <v>879</v>
      </c>
      <c r="B944" s="13"/>
      <c r="C944" s="13">
        <v>10880032944</v>
      </c>
      <c r="D944" s="14">
        <v>990000113792</v>
      </c>
      <c r="E944" s="13" t="s">
        <v>1352</v>
      </c>
      <c r="F944" s="13">
        <v>2887</v>
      </c>
      <c r="G944" s="15">
        <v>45954</v>
      </c>
      <c r="H944" s="15">
        <v>45964</v>
      </c>
      <c r="I944" s="13" t="s">
        <v>1353</v>
      </c>
      <c r="J944" s="13" t="s">
        <v>379</v>
      </c>
      <c r="K944" s="20"/>
    </row>
    <row r="945" spans="1:11" hidden="1" x14ac:dyDescent="0.3">
      <c r="A945" s="13" t="s">
        <v>879</v>
      </c>
      <c r="B945" s="13"/>
      <c r="C945" s="13">
        <v>10880033717</v>
      </c>
      <c r="D945" s="14">
        <v>990000113797</v>
      </c>
      <c r="E945" s="13" t="s">
        <v>1354</v>
      </c>
      <c r="F945" s="13">
        <v>21</v>
      </c>
      <c r="G945" s="15">
        <v>45954</v>
      </c>
      <c r="H945" s="15">
        <v>45962</v>
      </c>
      <c r="I945" s="13" t="s">
        <v>1355</v>
      </c>
      <c r="J945" s="13" t="s">
        <v>379</v>
      </c>
      <c r="K945" s="20"/>
    </row>
    <row r="946" spans="1:11" hidden="1" x14ac:dyDescent="0.3">
      <c r="A946" s="13" t="s">
        <v>879</v>
      </c>
      <c r="B946" s="13"/>
      <c r="C946" s="13">
        <v>10880019205</v>
      </c>
      <c r="D946" s="14">
        <v>990000113892</v>
      </c>
      <c r="E946" s="13" t="s">
        <v>1158</v>
      </c>
      <c r="F946" s="13">
        <v>20</v>
      </c>
      <c r="G946" s="15">
        <v>45957</v>
      </c>
      <c r="H946" s="15">
        <v>45960</v>
      </c>
      <c r="I946" s="13" t="s">
        <v>1356</v>
      </c>
      <c r="J946" s="13" t="s">
        <v>379</v>
      </c>
      <c r="K946" s="20"/>
    </row>
    <row r="947" spans="1:11" hidden="1" x14ac:dyDescent="0.3">
      <c r="A947" s="13"/>
      <c r="B947" s="13"/>
      <c r="C947" s="13">
        <v>10880016046</v>
      </c>
      <c r="D947" s="14">
        <v>990000113945</v>
      </c>
      <c r="E947" s="13" t="s">
        <v>1357</v>
      </c>
      <c r="F947" s="13">
        <v>200000</v>
      </c>
      <c r="G947" s="15">
        <v>45958</v>
      </c>
      <c r="H947" s="15">
        <v>45958</v>
      </c>
      <c r="I947" s="13" t="s">
        <v>1358</v>
      </c>
      <c r="J947" s="13" t="s">
        <v>1359</v>
      </c>
      <c r="K947" s="20"/>
    </row>
    <row r="948" spans="1:11" hidden="1" x14ac:dyDescent="0.3">
      <c r="A948" s="13"/>
      <c r="B948" s="13"/>
      <c r="C948" s="13">
        <v>10880034726</v>
      </c>
      <c r="D948" s="14">
        <v>990000113960</v>
      </c>
      <c r="E948" s="13" t="s">
        <v>1360</v>
      </c>
      <c r="F948" s="13">
        <v>75000</v>
      </c>
      <c r="G948" s="15">
        <v>45959</v>
      </c>
      <c r="H948" s="15">
        <v>45959</v>
      </c>
      <c r="I948" s="13" t="s">
        <v>1358</v>
      </c>
      <c r="J948" s="13" t="s">
        <v>1359</v>
      </c>
      <c r="K948" s="20"/>
    </row>
    <row r="949" spans="1:11" hidden="1" x14ac:dyDescent="0.3">
      <c r="A949" s="13"/>
      <c r="B949" s="13"/>
      <c r="C949" s="13">
        <v>10880019079</v>
      </c>
      <c r="D949" s="14">
        <v>990000113981</v>
      </c>
      <c r="E949" s="13" t="s">
        <v>1361</v>
      </c>
      <c r="F949" s="13">
        <v>50000</v>
      </c>
      <c r="G949" s="15">
        <v>45959</v>
      </c>
      <c r="H949" s="15">
        <v>45959</v>
      </c>
      <c r="I949" s="13" t="s">
        <v>1358</v>
      </c>
      <c r="J949" s="13" t="s">
        <v>1359</v>
      </c>
      <c r="K949" s="20"/>
    </row>
    <row r="950" spans="1:11" hidden="1" x14ac:dyDescent="0.3">
      <c r="A950" s="13"/>
      <c r="B950" s="13"/>
      <c r="C950" s="13">
        <v>10880032748</v>
      </c>
      <c r="D950" s="14">
        <v>990000113982</v>
      </c>
      <c r="E950" s="13" t="s">
        <v>1362</v>
      </c>
      <c r="F950" s="13">
        <v>25000</v>
      </c>
      <c r="G950" s="15">
        <v>45959</v>
      </c>
      <c r="H950" s="15">
        <v>45959</v>
      </c>
      <c r="I950" s="13" t="s">
        <v>1358</v>
      </c>
      <c r="J950" s="13" t="s">
        <v>1359</v>
      </c>
      <c r="K950" s="20"/>
    </row>
    <row r="951" spans="1:11" hidden="1" x14ac:dyDescent="0.3">
      <c r="A951" s="13"/>
      <c r="B951" s="13"/>
      <c r="C951" s="13">
        <v>10880032656</v>
      </c>
      <c r="D951" s="14">
        <v>990000113983</v>
      </c>
      <c r="E951" s="13" t="s">
        <v>1363</v>
      </c>
      <c r="F951" s="13">
        <v>40000</v>
      </c>
      <c r="G951" s="15">
        <v>45959</v>
      </c>
      <c r="H951" s="15">
        <v>45959</v>
      </c>
      <c r="I951" s="13" t="s">
        <v>1358</v>
      </c>
      <c r="J951" s="13" t="s">
        <v>1359</v>
      </c>
      <c r="K951" s="20"/>
    </row>
    <row r="952" spans="1:11" hidden="1" x14ac:dyDescent="0.3">
      <c r="A952" s="13"/>
      <c r="B952" s="13"/>
      <c r="C952" s="13">
        <v>10880034734</v>
      </c>
      <c r="D952" s="14">
        <v>990000113984</v>
      </c>
      <c r="E952" s="13" t="s">
        <v>1364</v>
      </c>
      <c r="F952" s="13">
        <v>20000</v>
      </c>
      <c r="G952" s="15">
        <v>45959</v>
      </c>
      <c r="H952" s="15">
        <v>45959</v>
      </c>
      <c r="I952" s="13" t="s">
        <v>1358</v>
      </c>
      <c r="J952" s="13" t="s">
        <v>1359</v>
      </c>
      <c r="K952" s="20"/>
    </row>
    <row r="953" spans="1:11" hidden="1" x14ac:dyDescent="0.3">
      <c r="A953" s="13"/>
      <c r="B953" s="13"/>
      <c r="C953" s="13">
        <v>10880031408</v>
      </c>
      <c r="D953" s="14">
        <v>990000113985</v>
      </c>
      <c r="E953" s="13" t="s">
        <v>1365</v>
      </c>
      <c r="F953" s="13">
        <v>90000</v>
      </c>
      <c r="G953" s="15">
        <v>45959</v>
      </c>
      <c r="H953" s="15">
        <v>45959</v>
      </c>
      <c r="I953" s="13" t="s">
        <v>1358</v>
      </c>
      <c r="J953" s="13" t="s">
        <v>1359</v>
      </c>
      <c r="K953" s="20"/>
    </row>
    <row r="954" spans="1:11" hidden="1" x14ac:dyDescent="0.3">
      <c r="A954" s="13" t="s">
        <v>879</v>
      </c>
      <c r="B954" s="13"/>
      <c r="C954" s="13">
        <v>10880037164</v>
      </c>
      <c r="D954" s="14">
        <v>990000113946</v>
      </c>
      <c r="E954" s="13" t="s">
        <v>1341</v>
      </c>
      <c r="F954" s="13">
        <v>207</v>
      </c>
      <c r="G954" s="15">
        <v>45958</v>
      </c>
      <c r="H954" s="15">
        <v>45960</v>
      </c>
      <c r="I954" s="13" t="s">
        <v>1366</v>
      </c>
      <c r="J954" s="13" t="s">
        <v>379</v>
      </c>
      <c r="K954" s="20"/>
    </row>
    <row r="955" spans="1:11" hidden="1" x14ac:dyDescent="0.3">
      <c r="A955" s="13" t="s">
        <v>879</v>
      </c>
      <c r="B955" s="13"/>
      <c r="C955" s="13">
        <v>10880034385</v>
      </c>
      <c r="D955" s="14">
        <v>990000114021</v>
      </c>
      <c r="E955" s="13" t="s">
        <v>1217</v>
      </c>
      <c r="F955" s="13">
        <v>786</v>
      </c>
      <c r="G955" s="15">
        <v>45960</v>
      </c>
      <c r="H955" s="15">
        <v>45960</v>
      </c>
      <c r="I955" s="13" t="s">
        <v>1367</v>
      </c>
      <c r="J955" s="13" t="s">
        <v>389</v>
      </c>
      <c r="K955" s="20"/>
    </row>
    <row r="956" spans="1:11" hidden="1" x14ac:dyDescent="0.3">
      <c r="A956" s="13" t="s">
        <v>879</v>
      </c>
      <c r="B956" s="13"/>
      <c r="C956" s="13">
        <v>10880030004</v>
      </c>
      <c r="D956" s="14">
        <v>990000113804</v>
      </c>
      <c r="E956" s="13" t="s">
        <v>254</v>
      </c>
      <c r="F956" s="13">
        <v>758</v>
      </c>
      <c r="G956" s="15">
        <v>45953</v>
      </c>
      <c r="H956" s="15">
        <v>45965</v>
      </c>
      <c r="I956" s="13" t="s">
        <v>1368</v>
      </c>
      <c r="J956" s="13" t="s">
        <v>379</v>
      </c>
      <c r="K956" s="20"/>
    </row>
    <row r="957" spans="1:11" hidden="1" x14ac:dyDescent="0.3">
      <c r="A957" s="13" t="s">
        <v>879</v>
      </c>
      <c r="B957" s="13"/>
      <c r="C957" s="13">
        <v>10880036490</v>
      </c>
      <c r="D957" s="14">
        <v>990000113944</v>
      </c>
      <c r="E957" s="13" t="s">
        <v>1306</v>
      </c>
      <c r="F957" s="13">
        <v>248</v>
      </c>
      <c r="G957" s="15">
        <v>45958</v>
      </c>
      <c r="H957" s="15">
        <v>45965</v>
      </c>
      <c r="I957" s="13" t="s">
        <v>1369</v>
      </c>
      <c r="J957" s="13" t="s">
        <v>379</v>
      </c>
      <c r="K957" s="20"/>
    </row>
    <row r="958" spans="1:11" x14ac:dyDescent="0.3">
      <c r="A958" s="13" t="s">
        <v>879</v>
      </c>
      <c r="B958" s="13"/>
      <c r="C958" s="13">
        <v>10880032646</v>
      </c>
      <c r="D958" s="14">
        <v>990000113953</v>
      </c>
      <c r="E958" s="13" t="s">
        <v>1370</v>
      </c>
      <c r="F958" s="13">
        <v>14</v>
      </c>
      <c r="G958" s="15">
        <v>45959</v>
      </c>
      <c r="H958" s="15">
        <v>45965</v>
      </c>
      <c r="I958" s="13" t="s">
        <v>1371</v>
      </c>
      <c r="J958" s="13" t="s">
        <v>379</v>
      </c>
      <c r="K958" s="20"/>
    </row>
    <row r="959" spans="1:11" hidden="1" x14ac:dyDescent="0.3">
      <c r="A959" s="13" t="s">
        <v>879</v>
      </c>
      <c r="B959" s="13"/>
      <c r="C959" s="13">
        <v>10880033785</v>
      </c>
      <c r="D959" s="14">
        <v>990000113801</v>
      </c>
      <c r="E959" s="13" t="s">
        <v>243</v>
      </c>
      <c r="F959" s="13">
        <v>52</v>
      </c>
      <c r="G959" s="15">
        <v>45953</v>
      </c>
      <c r="H959" s="15">
        <v>45967</v>
      </c>
      <c r="I959" s="13" t="s">
        <v>1372</v>
      </c>
      <c r="J959" s="13" t="s">
        <v>379</v>
      </c>
      <c r="K959" s="20"/>
    </row>
    <row r="960" spans="1:11" hidden="1" x14ac:dyDescent="0.3">
      <c r="A960" s="13" t="s">
        <v>879</v>
      </c>
      <c r="B960" s="13"/>
      <c r="C960" s="13">
        <v>10880033720</v>
      </c>
      <c r="D960" s="14">
        <v>990000113798</v>
      </c>
      <c r="E960" s="13" t="s">
        <v>1373</v>
      </c>
      <c r="F960" s="13">
        <v>1628</v>
      </c>
      <c r="G960" s="15">
        <v>45954</v>
      </c>
      <c r="H960" s="15">
        <v>45967</v>
      </c>
      <c r="I960" s="13" t="s">
        <v>1374</v>
      </c>
      <c r="J960" s="13" t="s">
        <v>379</v>
      </c>
      <c r="K960" s="20"/>
    </row>
    <row r="961" spans="1:11" hidden="1" x14ac:dyDescent="0.3">
      <c r="A961" s="13" t="s">
        <v>879</v>
      </c>
      <c r="B961" s="13"/>
      <c r="C961" s="13">
        <v>10880033585</v>
      </c>
      <c r="D961" s="14">
        <v>990000113894</v>
      </c>
      <c r="E961" s="13" t="s">
        <v>62</v>
      </c>
      <c r="F961" s="13">
        <v>2222</v>
      </c>
      <c r="G961" s="15">
        <v>45957</v>
      </c>
      <c r="H961" s="15">
        <v>45967</v>
      </c>
      <c r="I961" s="13" t="s">
        <v>1375</v>
      </c>
      <c r="J961" s="13" t="s">
        <v>389</v>
      </c>
      <c r="K961" s="20"/>
    </row>
    <row r="962" spans="1:11" hidden="1" x14ac:dyDescent="0.3">
      <c r="A962" s="13" t="s">
        <v>879</v>
      </c>
      <c r="B962" s="13"/>
      <c r="C962" s="13">
        <v>10880031846</v>
      </c>
      <c r="D962" s="14">
        <v>990000110708</v>
      </c>
      <c r="E962" s="13" t="s">
        <v>1273</v>
      </c>
      <c r="F962" s="13">
        <v>14</v>
      </c>
      <c r="G962" s="15">
        <v>45840</v>
      </c>
      <c r="H962" s="15">
        <v>45969</v>
      </c>
      <c r="I962" s="13" t="s">
        <v>1376</v>
      </c>
      <c r="J962" s="13" t="s">
        <v>379</v>
      </c>
      <c r="K962" s="20"/>
    </row>
    <row r="963" spans="1:11" hidden="1" x14ac:dyDescent="0.3">
      <c r="A963" s="13" t="s">
        <v>879</v>
      </c>
      <c r="B963" s="13"/>
      <c r="C963" s="13">
        <v>10880036362</v>
      </c>
      <c r="D963" s="14">
        <v>990000113970</v>
      </c>
      <c r="E963" s="13" t="s">
        <v>1377</v>
      </c>
      <c r="F963" s="13">
        <v>50</v>
      </c>
      <c r="G963" s="15">
        <v>45959</v>
      </c>
      <c r="H963" s="15">
        <v>45968</v>
      </c>
      <c r="I963" s="13" t="s">
        <v>1378</v>
      </c>
      <c r="J963" s="13" t="s">
        <v>379</v>
      </c>
      <c r="K963" s="20"/>
    </row>
    <row r="964" spans="1:11" hidden="1" x14ac:dyDescent="0.3">
      <c r="A964" s="13" t="s">
        <v>879</v>
      </c>
      <c r="B964" s="13"/>
      <c r="C964" s="13">
        <v>10880034518</v>
      </c>
      <c r="D964" s="14">
        <v>990000114032</v>
      </c>
      <c r="E964" s="13" t="s">
        <v>1379</v>
      </c>
      <c r="F964" s="13">
        <v>1325</v>
      </c>
      <c r="G964" s="15">
        <v>45960</v>
      </c>
      <c r="H964" s="15">
        <v>45969</v>
      </c>
      <c r="I964" s="13" t="s">
        <v>1380</v>
      </c>
      <c r="J964" s="13" t="s">
        <v>379</v>
      </c>
      <c r="K964" s="20"/>
    </row>
    <row r="965" spans="1:11" hidden="1" x14ac:dyDescent="0.3">
      <c r="A965" s="13" t="s">
        <v>879</v>
      </c>
      <c r="B965" s="13"/>
      <c r="C965" s="13">
        <v>10880034554</v>
      </c>
      <c r="D965" s="14">
        <v>990000114061</v>
      </c>
      <c r="E965" s="13" t="s">
        <v>1232</v>
      </c>
      <c r="F965" s="13">
        <v>335</v>
      </c>
      <c r="G965" s="15">
        <v>45961</v>
      </c>
      <c r="H965" s="15">
        <v>45969</v>
      </c>
      <c r="I965" s="13" t="s">
        <v>1381</v>
      </c>
      <c r="J965" s="13" t="s">
        <v>379</v>
      </c>
      <c r="K965" s="20"/>
    </row>
    <row r="966" spans="1:11" hidden="1" x14ac:dyDescent="0.3">
      <c r="A966" s="13" t="s">
        <v>879</v>
      </c>
      <c r="B966" s="13"/>
      <c r="C966" s="13">
        <v>10880034195</v>
      </c>
      <c r="D966" s="14">
        <v>990000114033</v>
      </c>
      <c r="E966" s="13" t="s">
        <v>1022</v>
      </c>
      <c r="F966" s="13">
        <v>39</v>
      </c>
      <c r="G966" s="15">
        <v>45961</v>
      </c>
      <c r="H966" s="15">
        <v>45970</v>
      </c>
      <c r="I966" s="13" t="s">
        <v>1382</v>
      </c>
      <c r="J966" s="13" t="s">
        <v>379</v>
      </c>
      <c r="K966" s="20"/>
    </row>
    <row r="967" spans="1:11" hidden="1" x14ac:dyDescent="0.3">
      <c r="A967" s="13" t="s">
        <v>879</v>
      </c>
      <c r="B967" s="13"/>
      <c r="C967" s="13">
        <v>10880021106</v>
      </c>
      <c r="D967" s="14">
        <v>990000114170</v>
      </c>
      <c r="E967" s="13" t="s">
        <v>259</v>
      </c>
      <c r="F967" s="13">
        <v>400</v>
      </c>
      <c r="G967" s="15">
        <v>45966</v>
      </c>
      <c r="H967" s="15">
        <v>45970</v>
      </c>
      <c r="I967" s="13" t="s">
        <v>1268</v>
      </c>
      <c r="J967" s="13" t="s">
        <v>379</v>
      </c>
      <c r="K967" s="20"/>
    </row>
    <row r="968" spans="1:11" hidden="1" x14ac:dyDescent="0.3">
      <c r="A968" s="13" t="s">
        <v>879</v>
      </c>
      <c r="B968" s="13"/>
      <c r="C968" s="13">
        <v>10880036044</v>
      </c>
      <c r="D968" s="14">
        <v>990000114226</v>
      </c>
      <c r="E968" s="13" t="s">
        <v>1383</v>
      </c>
      <c r="F968" s="13">
        <v>128</v>
      </c>
      <c r="G968" s="15">
        <v>45967</v>
      </c>
      <c r="H968" s="15">
        <v>45970</v>
      </c>
      <c r="I968" s="13" t="s">
        <v>1384</v>
      </c>
      <c r="J968" s="13" t="s">
        <v>379</v>
      </c>
      <c r="K968" s="20"/>
    </row>
    <row r="969" spans="1:11" hidden="1" x14ac:dyDescent="0.3">
      <c r="A969" s="13" t="s">
        <v>879</v>
      </c>
      <c r="B969" s="13"/>
      <c r="C969" s="13">
        <v>10880036045</v>
      </c>
      <c r="D969" s="14">
        <v>990000114229</v>
      </c>
      <c r="E969" s="13" t="s">
        <v>1385</v>
      </c>
      <c r="F969" s="13">
        <v>5</v>
      </c>
      <c r="G969" s="15">
        <v>45968</v>
      </c>
      <c r="H969" s="15">
        <v>45970</v>
      </c>
      <c r="I969" s="13" t="s">
        <v>1386</v>
      </c>
      <c r="J969" s="13" t="s">
        <v>379</v>
      </c>
      <c r="K969" s="20"/>
    </row>
    <row r="970" spans="1:11" hidden="1" x14ac:dyDescent="0.3">
      <c r="A970" s="13" t="s">
        <v>879</v>
      </c>
      <c r="B970" s="13"/>
      <c r="C970" s="13">
        <v>10880018845</v>
      </c>
      <c r="D970" s="14">
        <v>990000113604</v>
      </c>
      <c r="E970" s="13" t="s">
        <v>452</v>
      </c>
      <c r="F970" s="13">
        <v>400</v>
      </c>
      <c r="G970" s="15">
        <v>45945</v>
      </c>
      <c r="H970" s="15">
        <v>45975</v>
      </c>
      <c r="I970" s="13" t="s">
        <v>1387</v>
      </c>
      <c r="J970" s="13" t="s">
        <v>379</v>
      </c>
      <c r="K970" s="20"/>
    </row>
    <row r="971" spans="1:11" hidden="1" x14ac:dyDescent="0.3">
      <c r="A971" s="13" t="s">
        <v>879</v>
      </c>
      <c r="B971" s="13"/>
      <c r="C971" s="13">
        <v>10880033695</v>
      </c>
      <c r="D971" s="14">
        <v>990000113800</v>
      </c>
      <c r="E971" s="13" t="s">
        <v>971</v>
      </c>
      <c r="F971" s="13">
        <v>674</v>
      </c>
      <c r="G971" s="15">
        <v>45954</v>
      </c>
      <c r="H971" s="15">
        <v>45975</v>
      </c>
      <c r="I971" s="13" t="s">
        <v>1388</v>
      </c>
      <c r="J971" s="13" t="s">
        <v>379</v>
      </c>
      <c r="K971" s="20"/>
    </row>
    <row r="972" spans="1:11" hidden="1" x14ac:dyDescent="0.3">
      <c r="A972" s="13" t="s">
        <v>879</v>
      </c>
      <c r="B972" s="13"/>
      <c r="C972" s="13">
        <v>10880034384</v>
      </c>
      <c r="D972" s="14">
        <v>990000114022</v>
      </c>
      <c r="E972" s="13" t="s">
        <v>1389</v>
      </c>
      <c r="F972" s="13">
        <v>1136</v>
      </c>
      <c r="G972" s="15">
        <v>45960</v>
      </c>
      <c r="H972" s="15">
        <v>45975</v>
      </c>
      <c r="I972" s="13" t="s">
        <v>1367</v>
      </c>
      <c r="J972" s="13" t="s">
        <v>389</v>
      </c>
      <c r="K972" s="20"/>
    </row>
    <row r="973" spans="1:11" hidden="1" x14ac:dyDescent="0.3">
      <c r="A973" s="13" t="s">
        <v>879</v>
      </c>
      <c r="B973" s="13"/>
      <c r="C973" s="13">
        <v>10880020187</v>
      </c>
      <c r="D973" s="14">
        <v>990000114228</v>
      </c>
      <c r="E973" s="13" t="s">
        <v>223</v>
      </c>
      <c r="F973" s="13">
        <v>82</v>
      </c>
      <c r="G973" s="15">
        <v>45968</v>
      </c>
      <c r="H973" s="15">
        <v>45975</v>
      </c>
      <c r="I973" s="13" t="s">
        <v>1390</v>
      </c>
      <c r="J973" s="13" t="s">
        <v>379</v>
      </c>
      <c r="K973" s="20"/>
    </row>
    <row r="974" spans="1:11" hidden="1" x14ac:dyDescent="0.3">
      <c r="A974" s="13" t="s">
        <v>879</v>
      </c>
      <c r="B974" s="13"/>
      <c r="C974" s="13">
        <v>10880030178</v>
      </c>
      <c r="D974" s="14">
        <v>990000114238</v>
      </c>
      <c r="E974" s="13" t="s">
        <v>930</v>
      </c>
      <c r="F974" s="13">
        <v>100</v>
      </c>
      <c r="G974" s="15">
        <v>45968</v>
      </c>
      <c r="H974" s="15">
        <v>45975</v>
      </c>
      <c r="I974" s="13" t="s">
        <v>1391</v>
      </c>
      <c r="J974" s="13" t="s">
        <v>379</v>
      </c>
      <c r="K974" s="20"/>
    </row>
    <row r="975" spans="1:11" hidden="1" x14ac:dyDescent="0.3">
      <c r="A975" s="13" t="s">
        <v>879</v>
      </c>
      <c r="B975" s="13"/>
      <c r="C975" s="13">
        <v>10880035235</v>
      </c>
      <c r="D975" s="14">
        <v>990000114210</v>
      </c>
      <c r="E975" s="13" t="s">
        <v>159</v>
      </c>
      <c r="F975" s="13">
        <v>6347</v>
      </c>
      <c r="G975" s="15">
        <v>45968</v>
      </c>
      <c r="H975" s="15">
        <v>45975</v>
      </c>
      <c r="I975" s="13" t="s">
        <v>1392</v>
      </c>
      <c r="J975" s="13" t="s">
        <v>379</v>
      </c>
      <c r="K975" s="20"/>
    </row>
    <row r="976" spans="1:11" hidden="1" x14ac:dyDescent="0.3">
      <c r="A976" s="13" t="s">
        <v>879</v>
      </c>
      <c r="B976" s="13"/>
      <c r="C976" s="13">
        <v>10880034196</v>
      </c>
      <c r="D976" s="14">
        <v>990000113670</v>
      </c>
      <c r="E976" s="13" t="s">
        <v>1052</v>
      </c>
      <c r="F976" s="13">
        <v>242</v>
      </c>
      <c r="G976" s="15">
        <v>45951</v>
      </c>
      <c r="H976" s="15">
        <v>45977</v>
      </c>
      <c r="I976" s="13" t="s">
        <v>1393</v>
      </c>
      <c r="J976" s="13" t="s">
        <v>379</v>
      </c>
      <c r="K976" s="20"/>
    </row>
    <row r="977" spans="1:12" hidden="1" x14ac:dyDescent="0.3">
      <c r="A977" s="13" t="s">
        <v>879</v>
      </c>
      <c r="B977" s="13"/>
      <c r="C977" s="13">
        <v>10880034197</v>
      </c>
      <c r="D977" s="14">
        <v>990000113671</v>
      </c>
      <c r="E977" s="13" t="s">
        <v>207</v>
      </c>
      <c r="F977" s="13">
        <v>199</v>
      </c>
      <c r="G977" s="15">
        <v>45951</v>
      </c>
      <c r="H977" s="15">
        <v>45977</v>
      </c>
      <c r="I977" s="13" t="s">
        <v>1394</v>
      </c>
      <c r="J977" s="13" t="s">
        <v>379</v>
      </c>
      <c r="K977" s="20"/>
    </row>
    <row r="978" spans="1:12" hidden="1" x14ac:dyDescent="0.3">
      <c r="A978" s="13" t="s">
        <v>879</v>
      </c>
      <c r="B978" s="13"/>
      <c r="C978" s="13">
        <v>10880034194</v>
      </c>
      <c r="D978" s="14">
        <v>990000113672</v>
      </c>
      <c r="E978" s="13" t="s">
        <v>1051</v>
      </c>
      <c r="F978" s="13">
        <v>56</v>
      </c>
      <c r="G978" s="15">
        <v>45951</v>
      </c>
      <c r="H978" s="15">
        <v>45977</v>
      </c>
      <c r="I978" s="13" t="s">
        <v>1395</v>
      </c>
      <c r="J978" s="13" t="s">
        <v>379</v>
      </c>
      <c r="K978" s="20"/>
    </row>
    <row r="979" spans="1:12" hidden="1" x14ac:dyDescent="0.3">
      <c r="A979" s="13" t="s">
        <v>879</v>
      </c>
      <c r="B979" s="10"/>
      <c r="C979" s="10">
        <v>10880036350</v>
      </c>
      <c r="D979" s="11">
        <v>990000113979</v>
      </c>
      <c r="E979" s="10" t="s">
        <v>225</v>
      </c>
      <c r="F979" s="10">
        <v>4</v>
      </c>
      <c r="G979" s="12">
        <v>45959</v>
      </c>
      <c r="H979" s="12">
        <v>45974</v>
      </c>
      <c r="I979" s="10" t="s">
        <v>1396</v>
      </c>
      <c r="J979" s="10" t="s">
        <v>379</v>
      </c>
      <c r="K979" s="24"/>
    </row>
    <row r="980" spans="1:12" hidden="1" x14ac:dyDescent="0.3">
      <c r="A980" s="13" t="s">
        <v>879</v>
      </c>
      <c r="B980" s="10"/>
      <c r="C980" s="10">
        <v>10880033297</v>
      </c>
      <c r="D980" s="11">
        <v>990000113980</v>
      </c>
      <c r="E980" s="10" t="s">
        <v>905</v>
      </c>
      <c r="F980" s="10">
        <v>4</v>
      </c>
      <c r="G980" s="12">
        <v>45960</v>
      </c>
      <c r="H980" s="12">
        <v>45979</v>
      </c>
      <c r="I980" s="10" t="s">
        <v>1367</v>
      </c>
      <c r="J980" s="10" t="s">
        <v>389</v>
      </c>
      <c r="K980" s="24"/>
    </row>
    <row r="981" spans="1:12" hidden="1" x14ac:dyDescent="0.3">
      <c r="A981" s="13" t="s">
        <v>879</v>
      </c>
      <c r="B981" s="10"/>
      <c r="C981" s="10">
        <v>10880037379</v>
      </c>
      <c r="D981" s="11">
        <v>990000114364</v>
      </c>
      <c r="E981" s="10" t="s">
        <v>1397</v>
      </c>
      <c r="F981" s="10">
        <v>191</v>
      </c>
      <c r="G981" s="12">
        <v>45974</v>
      </c>
      <c r="H981" s="12">
        <v>45974</v>
      </c>
      <c r="I981" s="10" t="s">
        <v>1398</v>
      </c>
      <c r="J981" s="10" t="s">
        <v>379</v>
      </c>
      <c r="K981" s="24"/>
    </row>
    <row r="982" spans="1:12" s="3" customFormat="1" hidden="1" x14ac:dyDescent="0.3">
      <c r="A982" s="13" t="s">
        <v>879</v>
      </c>
      <c r="B982" s="10"/>
      <c r="C982" s="10">
        <v>10880037268</v>
      </c>
      <c r="D982" s="11">
        <v>990000114486</v>
      </c>
      <c r="E982" s="10" t="s">
        <v>1399</v>
      </c>
      <c r="F982" s="10">
        <v>7</v>
      </c>
      <c r="G982" s="12">
        <v>45978</v>
      </c>
      <c r="H982" s="12">
        <v>45974</v>
      </c>
      <c r="I982" s="10" t="s">
        <v>1400</v>
      </c>
      <c r="J982" s="10" t="s">
        <v>379</v>
      </c>
      <c r="K982" s="24"/>
      <c r="L982" s="4"/>
    </row>
    <row r="983" spans="1:12" s="3" customFormat="1" hidden="1" x14ac:dyDescent="0.3">
      <c r="A983" s="13" t="s">
        <v>879</v>
      </c>
      <c r="B983" s="10"/>
      <c r="C983" s="10">
        <v>10880036337</v>
      </c>
      <c r="D983" s="11">
        <v>990000114485</v>
      </c>
      <c r="E983" s="10" t="s">
        <v>253</v>
      </c>
      <c r="F983" s="10">
        <v>29</v>
      </c>
      <c r="G983" s="12">
        <v>45978</v>
      </c>
      <c r="H983" s="12">
        <v>45974</v>
      </c>
      <c r="I983" s="10" t="s">
        <v>1401</v>
      </c>
      <c r="J983" s="10" t="s">
        <v>379</v>
      </c>
      <c r="K983" s="24"/>
      <c r="L983" s="4"/>
    </row>
    <row r="984" spans="1:12" s="3" customFormat="1" hidden="1" x14ac:dyDescent="0.3">
      <c r="A984" s="13" t="s">
        <v>879</v>
      </c>
      <c r="B984" s="10"/>
      <c r="C984" s="10">
        <v>10880035653</v>
      </c>
      <c r="D984" s="11">
        <v>990000114136</v>
      </c>
      <c r="E984" s="10" t="s">
        <v>96</v>
      </c>
      <c r="F984" s="10">
        <v>596</v>
      </c>
      <c r="G984" s="12">
        <v>45965</v>
      </c>
      <c r="H984" s="12">
        <v>45974</v>
      </c>
      <c r="I984" s="10" t="s">
        <v>1402</v>
      </c>
      <c r="J984" s="10" t="s">
        <v>379</v>
      </c>
      <c r="K984" s="24"/>
      <c r="L984" s="4"/>
    </row>
    <row r="985" spans="1:12" s="3" customFormat="1" hidden="1" x14ac:dyDescent="0.3">
      <c r="A985" s="13" t="s">
        <v>879</v>
      </c>
      <c r="B985" s="10"/>
      <c r="C985" s="10">
        <v>10880032298</v>
      </c>
      <c r="D985" s="11">
        <v>990000114040</v>
      </c>
      <c r="E985" s="10" t="s">
        <v>980</v>
      </c>
      <c r="F985" s="10">
        <v>100</v>
      </c>
      <c r="G985" s="12">
        <v>45961</v>
      </c>
      <c r="H985" s="12"/>
      <c r="I985" s="10" t="s">
        <v>1403</v>
      </c>
      <c r="J985" s="10" t="s">
        <v>379</v>
      </c>
      <c r="K985" s="24"/>
      <c r="L985" s="4"/>
    </row>
    <row r="986" spans="1:12" s="3" customFormat="1" hidden="1" x14ac:dyDescent="0.3">
      <c r="A986" s="13" t="s">
        <v>879</v>
      </c>
      <c r="B986" s="10"/>
      <c r="C986" s="10">
        <v>10880036299</v>
      </c>
      <c r="D986" s="11">
        <v>990000114670</v>
      </c>
      <c r="E986" s="10" t="s">
        <v>99</v>
      </c>
      <c r="F986" s="10">
        <v>1</v>
      </c>
      <c r="G986" s="12">
        <v>45986</v>
      </c>
      <c r="H986" s="12"/>
      <c r="I986" s="10" t="s">
        <v>1404</v>
      </c>
      <c r="J986" s="10" t="s">
        <v>379</v>
      </c>
      <c r="K986" s="24"/>
      <c r="L986" s="4"/>
    </row>
    <row r="987" spans="1:12" hidden="1" x14ac:dyDescent="0.3">
      <c r="A987" s="13" t="s">
        <v>879</v>
      </c>
      <c r="B987" s="10"/>
      <c r="C987" s="10">
        <v>10880031307</v>
      </c>
      <c r="D987" s="11">
        <v>990000114671</v>
      </c>
      <c r="E987" s="10" t="s">
        <v>238</v>
      </c>
      <c r="F987" s="10">
        <v>92</v>
      </c>
      <c r="G987" s="12">
        <v>45986</v>
      </c>
      <c r="H987" s="12"/>
      <c r="I987" s="10" t="s">
        <v>1405</v>
      </c>
      <c r="J987" s="10" t="s">
        <v>379</v>
      </c>
      <c r="K987" s="24"/>
    </row>
    <row r="988" spans="1:12" hidden="1" x14ac:dyDescent="0.3">
      <c r="A988" s="13" t="s">
        <v>879</v>
      </c>
      <c r="B988" s="10"/>
      <c r="C988" s="10">
        <v>10880030920</v>
      </c>
      <c r="D988" s="11">
        <v>990000114527</v>
      </c>
      <c r="E988" s="10" t="s">
        <v>85</v>
      </c>
      <c r="F988" s="10">
        <v>148</v>
      </c>
      <c r="G988" s="12">
        <v>45978</v>
      </c>
      <c r="H988" s="12"/>
      <c r="I988" s="10" t="s">
        <v>1406</v>
      </c>
      <c r="J988" s="10" t="s">
        <v>379</v>
      </c>
      <c r="K988" s="24"/>
    </row>
    <row r="989" spans="1:12" hidden="1" x14ac:dyDescent="0.3">
      <c r="A989" s="13" t="s">
        <v>879</v>
      </c>
      <c r="B989" s="10"/>
      <c r="C989" s="10">
        <v>10880036481</v>
      </c>
      <c r="D989" s="11">
        <v>990000114915</v>
      </c>
      <c r="E989" s="10" t="s">
        <v>39</v>
      </c>
      <c r="F989" s="10">
        <v>292</v>
      </c>
      <c r="G989" s="12">
        <v>45999</v>
      </c>
      <c r="H989" s="12"/>
      <c r="I989" s="10" t="s">
        <v>1407</v>
      </c>
      <c r="J989" s="10" t="s">
        <v>389</v>
      </c>
      <c r="K989" s="24"/>
    </row>
    <row r="990" spans="1:12" hidden="1" x14ac:dyDescent="0.3">
      <c r="A990" s="13" t="s">
        <v>879</v>
      </c>
      <c r="B990" s="10"/>
      <c r="C990" s="10">
        <v>10880036479</v>
      </c>
      <c r="D990" s="11">
        <v>990000114916</v>
      </c>
      <c r="E990" s="10" t="s">
        <v>30</v>
      </c>
      <c r="F990" s="10">
        <v>883</v>
      </c>
      <c r="G990" s="12">
        <v>45999</v>
      </c>
      <c r="H990" s="12"/>
      <c r="I990" s="10" t="s">
        <v>1408</v>
      </c>
      <c r="J990" s="10" t="s">
        <v>389</v>
      </c>
      <c r="K990" s="24"/>
    </row>
    <row r="991" spans="1:12" hidden="1" x14ac:dyDescent="0.3">
      <c r="A991" s="13" t="s">
        <v>879</v>
      </c>
      <c r="B991" s="10"/>
      <c r="C991" s="10">
        <v>10880036494</v>
      </c>
      <c r="D991" s="11">
        <v>990000114918</v>
      </c>
      <c r="E991" s="10" t="s">
        <v>1409</v>
      </c>
      <c r="F991" s="10">
        <v>459</v>
      </c>
      <c r="G991" s="12">
        <v>45999</v>
      </c>
      <c r="H991" s="12"/>
      <c r="I991" s="10" t="s">
        <v>1410</v>
      </c>
      <c r="J991" s="10" t="s">
        <v>389</v>
      </c>
      <c r="K991" s="24"/>
    </row>
    <row r="992" spans="1:12" hidden="1" x14ac:dyDescent="0.3">
      <c r="A992" s="13" t="s">
        <v>879</v>
      </c>
      <c r="B992" s="10"/>
      <c r="C992" s="10">
        <v>10880035512</v>
      </c>
      <c r="D992" s="11">
        <v>990000114919</v>
      </c>
      <c r="E992" s="10" t="s">
        <v>191</v>
      </c>
      <c r="F992" s="10">
        <v>159</v>
      </c>
      <c r="G992" s="12">
        <v>45999</v>
      </c>
      <c r="H992" s="12"/>
      <c r="I992" s="10" t="s">
        <v>1411</v>
      </c>
      <c r="J992" s="10" t="s">
        <v>379</v>
      </c>
      <c r="K992" s="24"/>
    </row>
    <row r="993" spans="1:11" hidden="1" x14ac:dyDescent="0.3">
      <c r="A993" s="13" t="s">
        <v>879</v>
      </c>
      <c r="B993" s="10"/>
      <c r="C993" s="10">
        <v>10880036207</v>
      </c>
      <c r="D993" s="11">
        <v>990000115005</v>
      </c>
      <c r="E993" s="10" t="s">
        <v>42</v>
      </c>
      <c r="F993" s="10">
        <v>902</v>
      </c>
      <c r="G993" s="12">
        <v>46000</v>
      </c>
      <c r="H993" s="12"/>
      <c r="I993" s="10" t="s">
        <v>1412</v>
      </c>
      <c r="J993" s="10"/>
      <c r="K993" s="24"/>
    </row>
    <row r="994" spans="1:11" x14ac:dyDescent="0.3">
      <c r="A994" s="13" t="s">
        <v>879</v>
      </c>
      <c r="B994" s="10"/>
      <c r="C994" s="10">
        <v>10880022406</v>
      </c>
      <c r="D994" s="11">
        <v>990000108835</v>
      </c>
      <c r="E994" s="10" t="s">
        <v>528</v>
      </c>
      <c r="F994" s="10">
        <v>4421</v>
      </c>
      <c r="G994" s="12">
        <v>45791</v>
      </c>
      <c r="H994" s="12"/>
      <c r="I994" s="10" t="s">
        <v>1413</v>
      </c>
      <c r="J994" s="10" t="s">
        <v>379</v>
      </c>
      <c r="K994" s="24"/>
    </row>
    <row r="995" spans="1:11" hidden="1" x14ac:dyDescent="0.3">
      <c r="A995" s="13" t="s">
        <v>879</v>
      </c>
      <c r="B995" s="10"/>
      <c r="C995" s="21">
        <v>10880034957</v>
      </c>
      <c r="D995" s="21">
        <v>990000115300</v>
      </c>
      <c r="E995" s="22" t="s">
        <v>339</v>
      </c>
      <c r="F995" s="21">
        <v>119</v>
      </c>
      <c r="G995" s="23">
        <v>46009</v>
      </c>
      <c r="H995" s="12"/>
      <c r="I995" s="25" t="s">
        <v>1414</v>
      </c>
      <c r="J995" s="22" t="s">
        <v>379</v>
      </c>
      <c r="K995" s="24"/>
    </row>
    <row r="996" spans="1:11" hidden="1" x14ac:dyDescent="0.3">
      <c r="A996" s="13" t="s">
        <v>879</v>
      </c>
      <c r="B996" s="10"/>
      <c r="C996" s="21">
        <v>10880031242</v>
      </c>
      <c r="D996" s="21">
        <v>990000115412</v>
      </c>
      <c r="E996" s="22" t="s">
        <v>86</v>
      </c>
      <c r="F996" s="21">
        <v>342</v>
      </c>
      <c r="G996" s="23">
        <v>46015</v>
      </c>
      <c r="H996" s="12"/>
      <c r="I996" s="25" t="s">
        <v>1415</v>
      </c>
      <c r="J996" s="22"/>
      <c r="K996" s="24"/>
    </row>
    <row r="997" spans="1:11" hidden="1" x14ac:dyDescent="0.3">
      <c r="A997" s="13" t="s">
        <v>879</v>
      </c>
      <c r="B997" s="10"/>
      <c r="C997" s="21">
        <v>10880031243</v>
      </c>
      <c r="D997" s="21">
        <v>990000115413</v>
      </c>
      <c r="E997" s="22" t="s">
        <v>87</v>
      </c>
      <c r="F997" s="21">
        <v>375</v>
      </c>
      <c r="G997" s="23">
        <v>46015</v>
      </c>
      <c r="H997" s="12"/>
      <c r="I997" s="25" t="s">
        <v>1416</v>
      </c>
      <c r="J997" s="22"/>
      <c r="K997" s="24"/>
    </row>
    <row r="998" spans="1:11" hidden="1" x14ac:dyDescent="0.3">
      <c r="A998" s="13" t="s">
        <v>879</v>
      </c>
      <c r="B998" s="10"/>
      <c r="C998" s="21">
        <v>10880033661</v>
      </c>
      <c r="D998" s="21">
        <v>990000115507</v>
      </c>
      <c r="E998" s="22" t="s">
        <v>1417</v>
      </c>
      <c r="F998" s="21">
        <v>3528</v>
      </c>
      <c r="G998" s="23">
        <v>46017</v>
      </c>
      <c r="H998" s="12"/>
      <c r="I998" s="25" t="s">
        <v>1418</v>
      </c>
      <c r="J998" s="22" t="s">
        <v>379</v>
      </c>
      <c r="K998" s="24"/>
    </row>
    <row r="999" spans="1:11" hidden="1" x14ac:dyDescent="0.3">
      <c r="A999" s="13" t="s">
        <v>879</v>
      </c>
      <c r="B999" s="10"/>
      <c r="C999" s="21">
        <v>10880036299</v>
      </c>
      <c r="D999" s="21">
        <v>990000115171</v>
      </c>
      <c r="E999" s="22" t="s">
        <v>99</v>
      </c>
      <c r="F999" s="21">
        <v>5271</v>
      </c>
      <c r="G999" s="23">
        <v>46007</v>
      </c>
      <c r="H999" s="12"/>
      <c r="I999" s="25" t="s">
        <v>1419</v>
      </c>
      <c r="J999" s="22" t="s">
        <v>379</v>
      </c>
      <c r="K999" s="24"/>
    </row>
    <row r="1000" spans="1:11" hidden="1" x14ac:dyDescent="0.3">
      <c r="A1000" s="13" t="s">
        <v>879</v>
      </c>
      <c r="B1000" s="10"/>
      <c r="C1000" s="21">
        <v>10880032942</v>
      </c>
      <c r="D1000" s="21">
        <v>990000115321</v>
      </c>
      <c r="E1000" s="22" t="s">
        <v>304</v>
      </c>
      <c r="F1000" s="21">
        <v>684</v>
      </c>
      <c r="G1000" s="23">
        <v>46010</v>
      </c>
      <c r="H1000" s="12"/>
      <c r="I1000" s="25" t="s">
        <v>1420</v>
      </c>
      <c r="J1000" s="22" t="s">
        <v>379</v>
      </c>
      <c r="K1000" s="10"/>
    </row>
    <row r="1001" spans="1:11" hidden="1" x14ac:dyDescent="0.3">
      <c r="A1001" s="13" t="s">
        <v>879</v>
      </c>
      <c r="B1001" s="10"/>
      <c r="C1001" s="21">
        <v>10880032885</v>
      </c>
      <c r="D1001" s="21">
        <v>990000115402</v>
      </c>
      <c r="E1001" s="22" t="s">
        <v>156</v>
      </c>
      <c r="F1001" s="21">
        <v>7942</v>
      </c>
      <c r="G1001" s="23">
        <v>46012</v>
      </c>
      <c r="H1001" s="12"/>
      <c r="I1001" s="25" t="s">
        <v>1421</v>
      </c>
      <c r="J1001" s="22" t="s">
        <v>1422</v>
      </c>
      <c r="K1001" s="24"/>
    </row>
    <row r="1002" spans="1:11" hidden="1" x14ac:dyDescent="0.3">
      <c r="A1002" s="13" t="s">
        <v>879</v>
      </c>
      <c r="B1002" s="10"/>
      <c r="C1002" s="21">
        <v>10880036299</v>
      </c>
      <c r="D1002" s="21">
        <v>990000115455</v>
      </c>
      <c r="E1002" s="22" t="s">
        <v>99</v>
      </c>
      <c r="F1002" s="21">
        <v>973</v>
      </c>
      <c r="G1002" s="23">
        <v>46017</v>
      </c>
      <c r="H1002" s="12"/>
      <c r="I1002" s="25" t="s">
        <v>1423</v>
      </c>
      <c r="J1002" s="22" t="s">
        <v>379</v>
      </c>
      <c r="K1002" s="10"/>
    </row>
    <row r="1003" spans="1:11" hidden="1" x14ac:dyDescent="0.3">
      <c r="A1003" s="13" t="s">
        <v>879</v>
      </c>
      <c r="B1003" s="10"/>
      <c r="C1003" s="21">
        <v>10880035167</v>
      </c>
      <c r="D1003" s="21">
        <v>990000115456</v>
      </c>
      <c r="E1003" s="22" t="s">
        <v>218</v>
      </c>
      <c r="F1003" s="21">
        <v>10</v>
      </c>
      <c r="G1003" s="23">
        <v>46017</v>
      </c>
      <c r="H1003" s="12"/>
      <c r="I1003" s="25" t="s">
        <v>1424</v>
      </c>
      <c r="J1003" s="22" t="s">
        <v>379</v>
      </c>
      <c r="K1003" s="10"/>
    </row>
    <row r="1004" spans="1:11" hidden="1" x14ac:dyDescent="0.3">
      <c r="A1004" s="13" t="s">
        <v>879</v>
      </c>
      <c r="B1004" s="10"/>
      <c r="C1004" s="21">
        <v>10880030934</v>
      </c>
      <c r="D1004" s="21">
        <v>990000115513</v>
      </c>
      <c r="E1004" s="22" t="s">
        <v>692</v>
      </c>
      <c r="F1004" s="21">
        <v>3340</v>
      </c>
      <c r="G1004" s="23">
        <v>46018</v>
      </c>
      <c r="H1004" s="12"/>
      <c r="I1004" s="25" t="s">
        <v>1425</v>
      </c>
      <c r="J1004" s="22" t="s">
        <v>379</v>
      </c>
      <c r="K1004" s="24"/>
    </row>
    <row r="1005" spans="1:11" hidden="1" x14ac:dyDescent="0.3">
      <c r="A1005" s="13" t="s">
        <v>879</v>
      </c>
      <c r="B1005" s="10"/>
      <c r="C1005" s="21">
        <v>10880030936</v>
      </c>
      <c r="D1005" s="21">
        <v>990000115514</v>
      </c>
      <c r="E1005" s="22" t="s">
        <v>1426</v>
      </c>
      <c r="F1005" s="21">
        <v>1450</v>
      </c>
      <c r="G1005" s="23">
        <v>46018</v>
      </c>
      <c r="H1005" s="12"/>
      <c r="I1005" s="25" t="s">
        <v>1427</v>
      </c>
      <c r="J1005" s="22" t="s">
        <v>379</v>
      </c>
      <c r="K1005" s="24"/>
    </row>
    <row r="1006" spans="1:11" hidden="1" x14ac:dyDescent="0.3">
      <c r="A1006" s="13" t="s">
        <v>879</v>
      </c>
      <c r="B1006" s="10"/>
      <c r="C1006" s="10">
        <v>10880036515</v>
      </c>
      <c r="D1006" s="11">
        <v>990000114597</v>
      </c>
      <c r="E1006" s="10" t="s">
        <v>1428</v>
      </c>
      <c r="F1006" s="10">
        <v>999</v>
      </c>
      <c r="G1006" s="12">
        <v>45981</v>
      </c>
      <c r="H1006" s="12"/>
      <c r="I1006" s="10" t="s">
        <v>1429</v>
      </c>
      <c r="J1006" s="10" t="s">
        <v>1422</v>
      </c>
      <c r="K1006" s="24"/>
    </row>
    <row r="1007" spans="1:11" hidden="1" x14ac:dyDescent="0.3">
      <c r="A1007" s="13" t="s">
        <v>879</v>
      </c>
      <c r="B1007" s="10"/>
      <c r="C1007" s="10">
        <v>10880035532</v>
      </c>
      <c r="D1007" s="11">
        <v>990000114598</v>
      </c>
      <c r="E1007" s="10" t="s">
        <v>1430</v>
      </c>
      <c r="F1007" s="10">
        <v>600</v>
      </c>
      <c r="G1007" s="12">
        <v>45981</v>
      </c>
      <c r="H1007" s="12"/>
      <c r="I1007" s="10" t="s">
        <v>1431</v>
      </c>
      <c r="J1007" s="10" t="s">
        <v>1422</v>
      </c>
      <c r="K1007" s="24"/>
    </row>
    <row r="1008" spans="1:11" hidden="1" x14ac:dyDescent="0.3">
      <c r="A1008" s="13" t="s">
        <v>879</v>
      </c>
      <c r="B1008" s="10"/>
      <c r="C1008" s="10">
        <v>10880036337</v>
      </c>
      <c r="D1008" s="11">
        <v>990000114614</v>
      </c>
      <c r="E1008" s="10" t="s">
        <v>253</v>
      </c>
      <c r="F1008" s="10">
        <v>50</v>
      </c>
      <c r="G1008" s="12">
        <v>45982</v>
      </c>
      <c r="H1008" s="12"/>
      <c r="I1008" s="10" t="s">
        <v>1432</v>
      </c>
      <c r="J1008" s="10" t="s">
        <v>379</v>
      </c>
      <c r="K1008" s="24"/>
    </row>
    <row r="1009" spans="1:12" hidden="1" x14ac:dyDescent="0.3">
      <c r="A1009" s="13" t="s">
        <v>879</v>
      </c>
      <c r="B1009" s="10"/>
      <c r="C1009" s="10">
        <v>10880036207</v>
      </c>
      <c r="D1009" s="11">
        <v>990000114634</v>
      </c>
      <c r="E1009" s="10" t="s">
        <v>42</v>
      </c>
      <c r="F1009" s="10">
        <v>450</v>
      </c>
      <c r="G1009" s="12">
        <v>45983</v>
      </c>
      <c r="H1009" s="12"/>
      <c r="I1009" s="10" t="s">
        <v>1433</v>
      </c>
      <c r="J1009" s="10" t="s">
        <v>1434</v>
      </c>
      <c r="K1009" s="24"/>
    </row>
    <row r="1010" spans="1:12" hidden="1" x14ac:dyDescent="0.3">
      <c r="A1010" s="13" t="s">
        <v>879</v>
      </c>
      <c r="B1010" s="10"/>
      <c r="C1010" s="10">
        <v>10880036481</v>
      </c>
      <c r="D1010" s="11">
        <v>990000114635</v>
      </c>
      <c r="E1010" s="10" t="s">
        <v>39</v>
      </c>
      <c r="F1010" s="10">
        <v>160</v>
      </c>
      <c r="G1010" s="12">
        <v>45983</v>
      </c>
      <c r="H1010" s="12"/>
      <c r="I1010" s="10" t="s">
        <v>1435</v>
      </c>
      <c r="J1010" s="10" t="s">
        <v>1434</v>
      </c>
      <c r="K1010" s="24"/>
    </row>
    <row r="1011" spans="1:12" s="3" customFormat="1" hidden="1" x14ac:dyDescent="0.3">
      <c r="A1011" s="13" t="s">
        <v>879</v>
      </c>
      <c r="B1011" s="10"/>
      <c r="C1011" s="10">
        <v>10880036495</v>
      </c>
      <c r="D1011" s="11">
        <v>990000114636</v>
      </c>
      <c r="E1011" s="10" t="s">
        <v>1436</v>
      </c>
      <c r="F1011" s="10">
        <v>271</v>
      </c>
      <c r="G1011" s="12">
        <v>45983</v>
      </c>
      <c r="H1011" s="12"/>
      <c r="I1011" s="10" t="s">
        <v>1437</v>
      </c>
      <c r="J1011" s="10" t="s">
        <v>1434</v>
      </c>
      <c r="K1011" s="24"/>
      <c r="L1011" s="4"/>
    </row>
    <row r="1012" spans="1:12" s="3" customFormat="1" hidden="1" x14ac:dyDescent="0.3">
      <c r="A1012" s="13" t="s">
        <v>879</v>
      </c>
      <c r="B1012" s="10"/>
      <c r="C1012" s="10">
        <v>10880036852</v>
      </c>
      <c r="D1012" s="11">
        <v>990000114637</v>
      </c>
      <c r="E1012" s="10" t="s">
        <v>1438</v>
      </c>
      <c r="F1012" s="10">
        <v>160</v>
      </c>
      <c r="G1012" s="12">
        <v>45983</v>
      </c>
      <c r="H1012" s="12"/>
      <c r="I1012" s="10" t="s">
        <v>1439</v>
      </c>
      <c r="J1012" s="10" t="s">
        <v>1434</v>
      </c>
      <c r="K1012" s="24"/>
      <c r="L1012" s="4"/>
    </row>
    <row r="1013" spans="1:12" s="3" customFormat="1" hidden="1" x14ac:dyDescent="0.3">
      <c r="A1013" s="13" t="s">
        <v>879</v>
      </c>
      <c r="B1013" s="10"/>
      <c r="C1013" s="10">
        <v>10880036493</v>
      </c>
      <c r="D1013" s="11">
        <v>990000114638</v>
      </c>
      <c r="E1013" s="10" t="s">
        <v>38</v>
      </c>
      <c r="F1013" s="10">
        <v>540</v>
      </c>
      <c r="G1013" s="12">
        <v>45983</v>
      </c>
      <c r="H1013" s="12"/>
      <c r="I1013" s="10" t="s">
        <v>1440</v>
      </c>
      <c r="J1013" s="10" t="s">
        <v>1434</v>
      </c>
      <c r="K1013" s="24"/>
      <c r="L1013" s="4"/>
    </row>
    <row r="1014" spans="1:12" s="3" customFormat="1" hidden="1" x14ac:dyDescent="0.3">
      <c r="A1014" s="13" t="s">
        <v>879</v>
      </c>
      <c r="B1014" s="10"/>
      <c r="C1014" s="10">
        <v>10880036135</v>
      </c>
      <c r="D1014" s="11">
        <v>990000114654</v>
      </c>
      <c r="E1014" s="10" t="s">
        <v>1441</v>
      </c>
      <c r="F1014" s="10">
        <v>540</v>
      </c>
      <c r="G1014" s="12">
        <v>45985</v>
      </c>
      <c r="H1014" s="12"/>
      <c r="I1014" s="10" t="s">
        <v>1442</v>
      </c>
      <c r="J1014" s="10" t="s">
        <v>1434</v>
      </c>
      <c r="K1014" s="24"/>
      <c r="L1014" s="4"/>
    </row>
    <row r="1015" spans="1:12" s="3" customFormat="1" hidden="1" x14ac:dyDescent="0.3">
      <c r="A1015" s="13" t="s">
        <v>879</v>
      </c>
      <c r="B1015" s="10"/>
      <c r="C1015" s="10">
        <v>10880035722</v>
      </c>
      <c r="D1015" s="11">
        <v>990000114658</v>
      </c>
      <c r="E1015" s="10" t="s">
        <v>1247</v>
      </c>
      <c r="F1015" s="10">
        <v>1000</v>
      </c>
      <c r="G1015" s="12">
        <v>45985</v>
      </c>
      <c r="H1015" s="12"/>
      <c r="I1015" s="10" t="s">
        <v>1443</v>
      </c>
      <c r="J1015" s="10" t="s">
        <v>379</v>
      </c>
      <c r="K1015" s="24"/>
      <c r="L1015" s="4"/>
    </row>
    <row r="1016" spans="1:12" s="3" customFormat="1" hidden="1" x14ac:dyDescent="0.3">
      <c r="A1016" s="13" t="s">
        <v>879</v>
      </c>
      <c r="B1016" s="10"/>
      <c r="C1016" s="10">
        <v>10880036515</v>
      </c>
      <c r="D1016" s="11">
        <v>990000114691</v>
      </c>
      <c r="E1016" s="10" t="s">
        <v>1428</v>
      </c>
      <c r="F1016" s="10">
        <v>935</v>
      </c>
      <c r="G1016" s="12">
        <v>45986</v>
      </c>
      <c r="H1016" s="12"/>
      <c r="I1016" s="10" t="s">
        <v>1444</v>
      </c>
      <c r="J1016" s="10" t="s">
        <v>389</v>
      </c>
      <c r="K1016" s="24"/>
      <c r="L1016" s="4"/>
    </row>
    <row r="1017" spans="1:12" s="3" customFormat="1" hidden="1" x14ac:dyDescent="0.3">
      <c r="A1017" s="13" t="s">
        <v>879</v>
      </c>
      <c r="B1017" s="10"/>
      <c r="C1017" s="10">
        <v>10880037377</v>
      </c>
      <c r="D1017" s="11">
        <v>990000114669</v>
      </c>
      <c r="E1017" s="10" t="s">
        <v>60</v>
      </c>
      <c r="F1017" s="10">
        <v>5998</v>
      </c>
      <c r="G1017" s="12">
        <v>45986</v>
      </c>
      <c r="H1017" s="12"/>
      <c r="I1017" s="10" t="s">
        <v>1445</v>
      </c>
      <c r="J1017" s="10" t="s">
        <v>379</v>
      </c>
      <c r="K1017" s="24"/>
      <c r="L1017" s="4"/>
    </row>
    <row r="1018" spans="1:12" s="3" customFormat="1" hidden="1" x14ac:dyDescent="0.3">
      <c r="A1018" s="13" t="s">
        <v>879</v>
      </c>
      <c r="B1018" s="10"/>
      <c r="C1018" s="10">
        <v>10880033745</v>
      </c>
      <c r="D1018" s="11">
        <v>990000108716</v>
      </c>
      <c r="E1018" s="10" t="s">
        <v>869</v>
      </c>
      <c r="F1018" s="10">
        <v>1513</v>
      </c>
      <c r="G1018" s="12">
        <v>45784</v>
      </c>
      <c r="H1018" s="12"/>
      <c r="I1018" s="10" t="s">
        <v>1446</v>
      </c>
      <c r="J1018" s="10" t="s">
        <v>379</v>
      </c>
      <c r="K1018" s="24"/>
      <c r="L1018" s="4"/>
    </row>
    <row r="1019" spans="1:12" s="3" customFormat="1" hidden="1" x14ac:dyDescent="0.3">
      <c r="A1019" s="13" t="s">
        <v>879</v>
      </c>
      <c r="B1019" s="10"/>
      <c r="C1019" s="10">
        <v>10880036498</v>
      </c>
      <c r="D1019" s="11">
        <v>990000114318</v>
      </c>
      <c r="E1019" s="10" t="s">
        <v>1447</v>
      </c>
      <c r="F1019" s="10">
        <v>741</v>
      </c>
      <c r="G1019" s="12">
        <v>45972</v>
      </c>
      <c r="H1019" s="12"/>
      <c r="I1019" s="10" t="s">
        <v>1448</v>
      </c>
      <c r="J1019" s="10" t="s">
        <v>379</v>
      </c>
      <c r="K1019" s="24"/>
      <c r="L1019" s="4"/>
    </row>
    <row r="1020" spans="1:12" s="3" customFormat="1" hidden="1" x14ac:dyDescent="0.3">
      <c r="A1020" s="13" t="s">
        <v>879</v>
      </c>
      <c r="B1020" s="10"/>
      <c r="C1020" s="10">
        <v>10880033566</v>
      </c>
      <c r="D1020" s="11">
        <v>990000114461</v>
      </c>
      <c r="E1020" s="10" t="s">
        <v>1078</v>
      </c>
      <c r="F1020" s="10">
        <v>394</v>
      </c>
      <c r="G1020" s="12">
        <v>45974</v>
      </c>
      <c r="H1020" s="12"/>
      <c r="I1020" s="10" t="s">
        <v>1449</v>
      </c>
      <c r="J1020" s="10" t="s">
        <v>379</v>
      </c>
      <c r="K1020" s="24"/>
      <c r="L1020" s="4"/>
    </row>
    <row r="1021" spans="1:12" s="3" customFormat="1" hidden="1" x14ac:dyDescent="0.3">
      <c r="A1021" s="13" t="s">
        <v>879</v>
      </c>
      <c r="B1021" s="10"/>
      <c r="C1021" s="10">
        <v>10880021796</v>
      </c>
      <c r="D1021" s="11">
        <v>990000114468</v>
      </c>
      <c r="E1021" s="10" t="s">
        <v>773</v>
      </c>
      <c r="F1021" s="10">
        <v>1155</v>
      </c>
      <c r="G1021" s="12">
        <v>45975</v>
      </c>
      <c r="H1021" s="12"/>
      <c r="I1021" s="10" t="s">
        <v>1450</v>
      </c>
      <c r="J1021" s="10" t="s">
        <v>379</v>
      </c>
      <c r="K1021" s="24"/>
      <c r="L1021" s="4"/>
    </row>
    <row r="1022" spans="1:12" s="3" customFormat="1" hidden="1" x14ac:dyDescent="0.3">
      <c r="A1022" s="13" t="s">
        <v>879</v>
      </c>
      <c r="B1022" s="10"/>
      <c r="C1022" s="10">
        <v>10880035235</v>
      </c>
      <c r="D1022" s="11">
        <v>990000114472</v>
      </c>
      <c r="E1022" s="10" t="s">
        <v>159</v>
      </c>
      <c r="F1022" s="10">
        <v>960</v>
      </c>
      <c r="G1022" s="12">
        <v>45975</v>
      </c>
      <c r="H1022" s="12"/>
      <c r="I1022" s="10" t="s">
        <v>1451</v>
      </c>
      <c r="J1022" s="10" t="s">
        <v>379</v>
      </c>
      <c r="K1022" s="24"/>
      <c r="L1022" s="4"/>
    </row>
    <row r="1023" spans="1:12" hidden="1" x14ac:dyDescent="0.3">
      <c r="A1023" s="13" t="s">
        <v>879</v>
      </c>
      <c r="B1023" s="10"/>
      <c r="C1023" s="10">
        <v>10880036932</v>
      </c>
      <c r="D1023" s="11">
        <v>990000114477</v>
      </c>
      <c r="E1023" s="10" t="s">
        <v>1452</v>
      </c>
      <c r="F1023" s="10">
        <v>3</v>
      </c>
      <c r="G1023" s="12">
        <v>45975</v>
      </c>
      <c r="H1023" s="12"/>
      <c r="I1023" s="10" t="s">
        <v>1453</v>
      </c>
      <c r="J1023" s="10" t="s">
        <v>379</v>
      </c>
      <c r="K1023" s="24"/>
    </row>
    <row r="1024" spans="1:12" hidden="1" x14ac:dyDescent="0.3">
      <c r="A1024" s="13" t="s">
        <v>879</v>
      </c>
      <c r="B1024" s="10"/>
      <c r="C1024" s="10">
        <v>10880035235</v>
      </c>
      <c r="D1024" s="11">
        <v>990000114501</v>
      </c>
      <c r="E1024" s="10" t="s">
        <v>159</v>
      </c>
      <c r="F1024" s="10">
        <v>1200</v>
      </c>
      <c r="G1024" s="12">
        <v>45978</v>
      </c>
      <c r="H1024" s="12"/>
      <c r="I1024" s="10" t="s">
        <v>1454</v>
      </c>
      <c r="J1024" s="10" t="s">
        <v>379</v>
      </c>
      <c r="K1024" s="24"/>
    </row>
    <row r="1025" spans="1:12" hidden="1" x14ac:dyDescent="0.3">
      <c r="A1025" s="13" t="s">
        <v>879</v>
      </c>
      <c r="B1025" s="10"/>
      <c r="C1025" s="10">
        <v>10880035379</v>
      </c>
      <c r="D1025" s="11">
        <v>990000114514</v>
      </c>
      <c r="E1025" s="10" t="s">
        <v>1113</v>
      </c>
      <c r="F1025" s="10">
        <v>860</v>
      </c>
      <c r="G1025" s="12">
        <v>45978</v>
      </c>
      <c r="H1025" s="12"/>
      <c r="I1025" s="10" t="s">
        <v>1332</v>
      </c>
      <c r="J1025" s="10" t="s">
        <v>379</v>
      </c>
      <c r="K1025" s="24"/>
    </row>
    <row r="1026" spans="1:12" hidden="1" x14ac:dyDescent="0.3">
      <c r="A1026" s="13" t="s">
        <v>879</v>
      </c>
      <c r="B1026" s="10"/>
      <c r="C1026" s="10">
        <v>10880037377</v>
      </c>
      <c r="D1026" s="11">
        <v>990000114546</v>
      </c>
      <c r="E1026" s="10" t="s">
        <v>60</v>
      </c>
      <c r="F1026" s="10">
        <v>11620</v>
      </c>
      <c r="G1026" s="12">
        <v>45980</v>
      </c>
      <c r="H1026" s="12"/>
      <c r="I1026" s="10" t="s">
        <v>1455</v>
      </c>
      <c r="J1026" s="10" t="s">
        <v>389</v>
      </c>
      <c r="K1026" s="24"/>
    </row>
    <row r="1027" spans="1:12" hidden="1" x14ac:dyDescent="0.3">
      <c r="A1027" s="13" t="s">
        <v>879</v>
      </c>
      <c r="B1027" s="10"/>
      <c r="C1027" s="10">
        <v>10880021106</v>
      </c>
      <c r="D1027" s="11">
        <v>990000114615</v>
      </c>
      <c r="E1027" s="10" t="s">
        <v>259</v>
      </c>
      <c r="F1027" s="10">
        <v>240</v>
      </c>
      <c r="G1027" s="12">
        <v>45982</v>
      </c>
      <c r="H1027" s="12"/>
      <c r="I1027" s="10" t="s">
        <v>1456</v>
      </c>
      <c r="J1027" s="10" t="s">
        <v>379</v>
      </c>
      <c r="K1027" s="24"/>
    </row>
    <row r="1028" spans="1:12" s="3" customFormat="1" hidden="1" x14ac:dyDescent="0.3">
      <c r="A1028" s="13" t="s">
        <v>879</v>
      </c>
      <c r="B1028" s="10"/>
      <c r="C1028" s="10">
        <v>10880033974</v>
      </c>
      <c r="D1028" s="11">
        <v>990000114675</v>
      </c>
      <c r="E1028" s="10" t="s">
        <v>1457</v>
      </c>
      <c r="F1028" s="10">
        <v>45</v>
      </c>
      <c r="G1028" s="12">
        <v>45987</v>
      </c>
      <c r="H1028" s="12"/>
      <c r="I1028" s="10" t="s">
        <v>1458</v>
      </c>
      <c r="J1028" s="10" t="s">
        <v>379</v>
      </c>
      <c r="K1028" s="24"/>
      <c r="L1028" s="4"/>
    </row>
    <row r="1029" spans="1:12" hidden="1" x14ac:dyDescent="0.3">
      <c r="A1029" s="13" t="s">
        <v>879</v>
      </c>
      <c r="B1029" s="10"/>
      <c r="C1029" s="10">
        <v>10880036190</v>
      </c>
      <c r="D1029" s="11">
        <v>990000114725</v>
      </c>
      <c r="E1029" s="10" t="s">
        <v>1459</v>
      </c>
      <c r="F1029" s="10">
        <v>11520</v>
      </c>
      <c r="G1029" s="12">
        <v>45988</v>
      </c>
      <c r="H1029" s="12"/>
      <c r="I1029" s="10" t="s">
        <v>1460</v>
      </c>
      <c r="J1029" s="10" t="s">
        <v>379</v>
      </c>
      <c r="K1029" s="24"/>
    </row>
    <row r="1030" spans="1:12" hidden="1" x14ac:dyDescent="0.3">
      <c r="A1030" s="13" t="s">
        <v>879</v>
      </c>
      <c r="B1030" s="10"/>
      <c r="C1030" s="10">
        <v>10880036189</v>
      </c>
      <c r="D1030" s="11">
        <v>990000114726</v>
      </c>
      <c r="E1030" s="10" t="s">
        <v>1461</v>
      </c>
      <c r="F1030" s="10">
        <v>12584</v>
      </c>
      <c r="G1030" s="12">
        <v>45988</v>
      </c>
      <c r="H1030" s="12"/>
      <c r="I1030" s="10" t="s">
        <v>1462</v>
      </c>
      <c r="J1030" s="10" t="s">
        <v>379</v>
      </c>
      <c r="K1030" s="24"/>
    </row>
    <row r="1031" spans="1:12" hidden="1" x14ac:dyDescent="0.3">
      <c r="A1031" s="13" t="s">
        <v>879</v>
      </c>
      <c r="B1031" s="10"/>
      <c r="C1031" s="10">
        <v>10880036134</v>
      </c>
      <c r="D1031" s="11">
        <v>990000114862</v>
      </c>
      <c r="E1031" s="10" t="s">
        <v>34</v>
      </c>
      <c r="F1031" s="10">
        <v>302</v>
      </c>
      <c r="G1031" s="12">
        <v>45995</v>
      </c>
      <c r="H1031" s="12"/>
      <c r="I1031" s="10" t="s">
        <v>1463</v>
      </c>
      <c r="J1031" s="10" t="s">
        <v>389</v>
      </c>
      <c r="K1031" s="24"/>
    </row>
    <row r="1032" spans="1:12" hidden="1" x14ac:dyDescent="0.3">
      <c r="A1032" s="13" t="s">
        <v>879</v>
      </c>
      <c r="B1032" s="10"/>
      <c r="C1032" s="10">
        <v>10880020678</v>
      </c>
      <c r="D1032" s="11">
        <v>990000114929</v>
      </c>
      <c r="E1032" s="10" t="s">
        <v>409</v>
      </c>
      <c r="F1032" s="10">
        <v>50</v>
      </c>
      <c r="G1032" s="12">
        <v>45999</v>
      </c>
      <c r="H1032" s="12"/>
      <c r="I1032" s="10" t="s">
        <v>1464</v>
      </c>
      <c r="J1032" s="10" t="s">
        <v>379</v>
      </c>
      <c r="K1032" s="24"/>
    </row>
    <row r="1033" spans="1:12" hidden="1" x14ac:dyDescent="0.3">
      <c r="A1033" s="13" t="s">
        <v>879</v>
      </c>
      <c r="B1033" s="10"/>
      <c r="C1033" s="10">
        <v>10880036852</v>
      </c>
      <c r="D1033" s="11">
        <v>990000114912</v>
      </c>
      <c r="E1033" s="10" t="s">
        <v>1438</v>
      </c>
      <c r="F1033" s="10">
        <v>279</v>
      </c>
      <c r="G1033" s="12">
        <v>45999</v>
      </c>
      <c r="H1033" s="12"/>
      <c r="I1033" s="10" t="s">
        <v>1465</v>
      </c>
      <c r="J1033" s="10" t="s">
        <v>389</v>
      </c>
      <c r="K1033" s="24"/>
    </row>
    <row r="1034" spans="1:12" hidden="1" x14ac:dyDescent="0.3">
      <c r="A1034" s="13" t="s">
        <v>879</v>
      </c>
      <c r="B1034" s="10"/>
      <c r="C1034" s="10">
        <v>10880036497</v>
      </c>
      <c r="D1034" s="11">
        <v>990000114913</v>
      </c>
      <c r="E1034" s="10" t="s">
        <v>1466</v>
      </c>
      <c r="F1034" s="10">
        <v>77</v>
      </c>
      <c r="G1034" s="12">
        <v>45999</v>
      </c>
      <c r="H1034" s="12"/>
      <c r="I1034" s="10" t="s">
        <v>1467</v>
      </c>
      <c r="J1034" s="10" t="s">
        <v>389</v>
      </c>
      <c r="K1034" s="24"/>
    </row>
    <row r="1035" spans="1:12" s="3" customFormat="1" hidden="1" x14ac:dyDescent="0.3">
      <c r="A1035" s="13" t="s">
        <v>879</v>
      </c>
      <c r="B1035" s="10"/>
      <c r="C1035" s="10">
        <v>10880036495</v>
      </c>
      <c r="D1035" s="11">
        <v>990000114914</v>
      </c>
      <c r="E1035" s="10" t="s">
        <v>1436</v>
      </c>
      <c r="F1035" s="10">
        <v>100</v>
      </c>
      <c r="G1035" s="12">
        <v>45999</v>
      </c>
      <c r="H1035" s="12"/>
      <c r="I1035" s="10" t="s">
        <v>1468</v>
      </c>
      <c r="J1035" s="10" t="s">
        <v>389</v>
      </c>
      <c r="K1035" s="24"/>
      <c r="L1035" s="4"/>
    </row>
    <row r="1036" spans="1:12" hidden="1" x14ac:dyDescent="0.3">
      <c r="A1036" s="13" t="s">
        <v>879</v>
      </c>
      <c r="B1036" s="10"/>
      <c r="C1036" s="10">
        <v>10880036135</v>
      </c>
      <c r="D1036" s="11">
        <v>990000114917</v>
      </c>
      <c r="E1036" s="10" t="s">
        <v>1441</v>
      </c>
      <c r="F1036" s="10">
        <v>411</v>
      </c>
      <c r="G1036" s="12">
        <v>45999</v>
      </c>
      <c r="H1036" s="12"/>
      <c r="I1036" s="10" t="s">
        <v>1469</v>
      </c>
      <c r="J1036" s="10" t="s">
        <v>389</v>
      </c>
      <c r="K1036" s="24"/>
    </row>
    <row r="1037" spans="1:12" x14ac:dyDescent="0.3">
      <c r="A1037" s="13" t="s">
        <v>879</v>
      </c>
      <c r="B1037" s="10"/>
      <c r="C1037" s="10">
        <v>10880018097</v>
      </c>
      <c r="D1037" s="11">
        <v>990000114920</v>
      </c>
      <c r="E1037" s="10" t="s">
        <v>65</v>
      </c>
      <c r="F1037" s="10">
        <v>320</v>
      </c>
      <c r="G1037" s="12">
        <v>45999</v>
      </c>
      <c r="H1037" s="12"/>
      <c r="I1037" s="10" t="s">
        <v>1470</v>
      </c>
      <c r="J1037" s="10" t="s">
        <v>379</v>
      </c>
      <c r="K1037" s="24"/>
    </row>
    <row r="1038" spans="1:12" hidden="1" x14ac:dyDescent="0.3">
      <c r="A1038" s="13" t="s">
        <v>879</v>
      </c>
      <c r="B1038" s="10"/>
      <c r="C1038" s="10">
        <v>10880036206</v>
      </c>
      <c r="D1038" s="11">
        <v>990000114941</v>
      </c>
      <c r="E1038" s="10" t="s">
        <v>1471</v>
      </c>
      <c r="F1038" s="10">
        <v>140</v>
      </c>
      <c r="G1038" s="12">
        <v>45999</v>
      </c>
      <c r="H1038" s="12"/>
      <c r="I1038" s="10" t="s">
        <v>1472</v>
      </c>
      <c r="J1038" s="10" t="s">
        <v>389</v>
      </c>
      <c r="K1038" s="24"/>
    </row>
    <row r="1039" spans="1:12" hidden="1" x14ac:dyDescent="0.3">
      <c r="A1039" s="13" t="s">
        <v>879</v>
      </c>
      <c r="B1039" s="10"/>
      <c r="C1039" s="10">
        <v>10880036493</v>
      </c>
      <c r="D1039" s="11">
        <v>990000114942</v>
      </c>
      <c r="E1039" s="10" t="s">
        <v>38</v>
      </c>
      <c r="F1039" s="10">
        <v>109</v>
      </c>
      <c r="G1039" s="12">
        <v>45999</v>
      </c>
      <c r="H1039" s="12"/>
      <c r="I1039" s="10" t="s">
        <v>1473</v>
      </c>
      <c r="J1039" s="10" t="s">
        <v>389</v>
      </c>
      <c r="K1039" s="24"/>
    </row>
    <row r="1040" spans="1:12" hidden="1" x14ac:dyDescent="0.3">
      <c r="A1040" s="13" t="s">
        <v>879</v>
      </c>
      <c r="B1040" s="10"/>
      <c r="C1040" s="10">
        <v>10880036489</v>
      </c>
      <c r="D1040" s="11">
        <v>990000115048</v>
      </c>
      <c r="E1040" s="10" t="s">
        <v>1309</v>
      </c>
      <c r="F1040" s="10">
        <v>999</v>
      </c>
      <c r="G1040" s="12">
        <v>46002</v>
      </c>
      <c r="H1040" s="12"/>
      <c r="I1040" s="10" t="s">
        <v>1474</v>
      </c>
      <c r="J1040" s="10" t="s">
        <v>379</v>
      </c>
      <c r="K1040" s="24"/>
    </row>
    <row r="1041" spans="1:12" hidden="1" x14ac:dyDescent="0.3">
      <c r="A1041" s="13" t="s">
        <v>879</v>
      </c>
      <c r="B1041" s="10"/>
      <c r="C1041" s="10">
        <v>10880036432</v>
      </c>
      <c r="D1041" s="11">
        <v>990000115049</v>
      </c>
      <c r="E1041" s="10" t="s">
        <v>226</v>
      </c>
      <c r="F1041" s="10">
        <v>2864</v>
      </c>
      <c r="G1041" s="12">
        <v>46002</v>
      </c>
      <c r="H1041" s="12"/>
      <c r="I1041" s="10" t="s">
        <v>1475</v>
      </c>
      <c r="J1041" s="10" t="s">
        <v>1476</v>
      </c>
      <c r="K1041" s="24"/>
    </row>
    <row r="1042" spans="1:12" hidden="1" x14ac:dyDescent="0.3">
      <c r="A1042" s="13" t="s">
        <v>879</v>
      </c>
      <c r="B1042" s="10"/>
      <c r="C1042" s="21">
        <v>10880036299</v>
      </c>
      <c r="D1042" s="21">
        <v>990000115066</v>
      </c>
      <c r="E1042" s="22" t="s">
        <v>99</v>
      </c>
      <c r="F1042" s="21">
        <v>100</v>
      </c>
      <c r="G1042" s="23">
        <v>46003</v>
      </c>
      <c r="H1042" s="12"/>
      <c r="I1042" s="25" t="s">
        <v>1477</v>
      </c>
      <c r="J1042" s="22" t="s">
        <v>379</v>
      </c>
      <c r="K1042" s="24"/>
    </row>
    <row r="1043" spans="1:12" hidden="1" x14ac:dyDescent="0.3">
      <c r="A1043" s="13" t="s">
        <v>879</v>
      </c>
      <c r="B1043" s="10"/>
      <c r="C1043" s="21">
        <v>10880021106</v>
      </c>
      <c r="D1043" s="21">
        <v>990000115068</v>
      </c>
      <c r="E1043" s="22" t="s">
        <v>259</v>
      </c>
      <c r="F1043" s="21">
        <v>2160</v>
      </c>
      <c r="G1043" s="23">
        <v>46003</v>
      </c>
      <c r="H1043" s="12"/>
      <c r="I1043" s="25" t="s">
        <v>1478</v>
      </c>
      <c r="J1043" s="22" t="s">
        <v>379</v>
      </c>
      <c r="K1043" s="24"/>
    </row>
    <row r="1044" spans="1:12" hidden="1" x14ac:dyDescent="0.3">
      <c r="A1044" s="13" t="s">
        <v>879</v>
      </c>
      <c r="B1044" s="10"/>
      <c r="C1044" s="21">
        <v>10880022442</v>
      </c>
      <c r="D1044" s="21">
        <v>990000115053</v>
      </c>
      <c r="E1044" s="22" t="s">
        <v>165</v>
      </c>
      <c r="F1044" s="21">
        <v>95</v>
      </c>
      <c r="G1044" s="23">
        <v>46003</v>
      </c>
      <c r="H1044" s="12"/>
      <c r="I1044" s="25" t="s">
        <v>1479</v>
      </c>
      <c r="J1044" s="22" t="s">
        <v>379</v>
      </c>
      <c r="K1044" s="24"/>
    </row>
    <row r="1045" spans="1:12" hidden="1" x14ac:dyDescent="0.3">
      <c r="A1045" s="13" t="s">
        <v>879</v>
      </c>
      <c r="B1045" s="10"/>
      <c r="C1045" s="21">
        <v>10880037268</v>
      </c>
      <c r="D1045" s="21">
        <v>990000115081</v>
      </c>
      <c r="E1045" s="22" t="s">
        <v>1399</v>
      </c>
      <c r="F1045" s="21">
        <v>300</v>
      </c>
      <c r="G1045" s="23">
        <v>46003</v>
      </c>
      <c r="H1045" s="12"/>
      <c r="I1045" s="25" t="s">
        <v>1480</v>
      </c>
      <c r="J1045" s="22" t="s">
        <v>379</v>
      </c>
      <c r="K1045" s="24"/>
    </row>
    <row r="1046" spans="1:12" hidden="1" x14ac:dyDescent="0.3">
      <c r="A1046" s="13" t="s">
        <v>879</v>
      </c>
      <c r="B1046" s="10"/>
      <c r="C1046" s="21">
        <v>10880036045</v>
      </c>
      <c r="D1046" s="21">
        <v>990000115163</v>
      </c>
      <c r="E1046" s="22" t="s">
        <v>1385</v>
      </c>
      <c r="F1046" s="21">
        <v>50</v>
      </c>
      <c r="G1046" s="23">
        <v>46006</v>
      </c>
      <c r="H1046" s="12"/>
      <c r="I1046" s="25" t="s">
        <v>1481</v>
      </c>
      <c r="J1046" s="22" t="s">
        <v>379</v>
      </c>
      <c r="K1046" s="24"/>
    </row>
    <row r="1047" spans="1:12" s="3" customFormat="1" hidden="1" x14ac:dyDescent="0.3">
      <c r="A1047" s="13" t="s">
        <v>879</v>
      </c>
      <c r="B1047" s="10"/>
      <c r="C1047" s="21">
        <v>10880037377</v>
      </c>
      <c r="D1047" s="21">
        <v>990000115164</v>
      </c>
      <c r="E1047" s="22" t="s">
        <v>60</v>
      </c>
      <c r="F1047" s="21">
        <v>20</v>
      </c>
      <c r="G1047" s="23">
        <v>46006</v>
      </c>
      <c r="H1047" s="12"/>
      <c r="I1047" s="25" t="s">
        <v>1482</v>
      </c>
      <c r="J1047" s="22" t="s">
        <v>379</v>
      </c>
      <c r="K1047" s="24"/>
      <c r="L1047" s="4"/>
    </row>
    <row r="1048" spans="1:12" s="3" customFormat="1" hidden="1" x14ac:dyDescent="0.3">
      <c r="A1048" s="13" t="s">
        <v>879</v>
      </c>
      <c r="B1048" s="10"/>
      <c r="C1048" s="21">
        <v>10880037426</v>
      </c>
      <c r="D1048" s="21">
        <v>990000115169</v>
      </c>
      <c r="E1048" s="22" t="s">
        <v>93</v>
      </c>
      <c r="F1048" s="21">
        <v>5583</v>
      </c>
      <c r="G1048" s="23">
        <v>46006</v>
      </c>
      <c r="H1048" s="12"/>
      <c r="I1048" s="25" t="s">
        <v>1483</v>
      </c>
      <c r="J1048" s="22"/>
      <c r="K1048" s="24"/>
      <c r="L1048" s="4"/>
    </row>
    <row r="1049" spans="1:12" s="3" customFormat="1" x14ac:dyDescent="0.3">
      <c r="A1049" s="13" t="s">
        <v>879</v>
      </c>
      <c r="B1049" s="10"/>
      <c r="C1049" s="21">
        <v>10880018097</v>
      </c>
      <c r="D1049" s="21">
        <v>990000115170</v>
      </c>
      <c r="E1049" s="22" t="s">
        <v>65</v>
      </c>
      <c r="F1049" s="21">
        <v>80</v>
      </c>
      <c r="G1049" s="23">
        <v>46007</v>
      </c>
      <c r="H1049" s="12"/>
      <c r="I1049" s="25" t="s">
        <v>1484</v>
      </c>
      <c r="J1049" s="22" t="s">
        <v>379</v>
      </c>
      <c r="K1049" s="24"/>
      <c r="L1049" s="4"/>
    </row>
    <row r="1050" spans="1:12" s="3" customFormat="1" hidden="1" x14ac:dyDescent="0.3">
      <c r="A1050" s="13" t="s">
        <v>879</v>
      </c>
      <c r="B1050" s="10"/>
      <c r="C1050" s="21">
        <v>10880036761</v>
      </c>
      <c r="D1050" s="21">
        <v>990000115326</v>
      </c>
      <c r="E1050" s="22" t="s">
        <v>163</v>
      </c>
      <c r="F1050" s="21">
        <v>163</v>
      </c>
      <c r="G1050" s="23">
        <v>46011</v>
      </c>
      <c r="H1050" s="12"/>
      <c r="I1050" s="25" t="s">
        <v>1485</v>
      </c>
      <c r="J1050" s="22" t="s">
        <v>379</v>
      </c>
      <c r="K1050" s="24"/>
      <c r="L1050" s="4"/>
    </row>
    <row r="1051" spans="1:12" s="3" customFormat="1" hidden="1" x14ac:dyDescent="0.3">
      <c r="A1051" s="13" t="s">
        <v>879</v>
      </c>
      <c r="B1051" s="10"/>
      <c r="C1051" s="21">
        <v>10880037268</v>
      </c>
      <c r="D1051" s="21">
        <v>990000115327</v>
      </c>
      <c r="E1051" s="22" t="s">
        <v>1399</v>
      </c>
      <c r="F1051" s="21">
        <v>20</v>
      </c>
      <c r="G1051" s="23">
        <v>46011</v>
      </c>
      <c r="H1051" s="12"/>
      <c r="I1051" s="25" t="s">
        <v>1486</v>
      </c>
      <c r="J1051" s="22" t="s">
        <v>379</v>
      </c>
      <c r="K1051" s="24"/>
      <c r="L1051" s="4"/>
    </row>
    <row r="1052" spans="1:12" s="3" customFormat="1" hidden="1" x14ac:dyDescent="0.3">
      <c r="A1052" s="13" t="s">
        <v>879</v>
      </c>
      <c r="B1052" s="10"/>
      <c r="C1052" s="21">
        <v>10880035167</v>
      </c>
      <c r="D1052" s="21">
        <v>990000115394</v>
      </c>
      <c r="E1052" s="22" t="s">
        <v>218</v>
      </c>
      <c r="F1052" s="21">
        <v>10</v>
      </c>
      <c r="G1052" s="23">
        <v>46011</v>
      </c>
      <c r="H1052" s="12"/>
      <c r="I1052" s="25" t="s">
        <v>1424</v>
      </c>
      <c r="J1052" s="22" t="s">
        <v>379</v>
      </c>
      <c r="K1052" s="24"/>
      <c r="L1052" s="4"/>
    </row>
    <row r="1053" spans="1:12" s="3" customFormat="1" hidden="1" x14ac:dyDescent="0.3">
      <c r="A1053" s="13" t="s">
        <v>879</v>
      </c>
      <c r="B1053" s="10"/>
      <c r="C1053" s="21">
        <v>10880036479</v>
      </c>
      <c r="D1053" s="21">
        <v>990000115426</v>
      </c>
      <c r="E1053" s="22" t="s">
        <v>30</v>
      </c>
      <c r="F1053" s="21">
        <v>1</v>
      </c>
      <c r="G1053" s="23">
        <v>46012</v>
      </c>
      <c r="H1053" s="12"/>
      <c r="I1053" s="25" t="s">
        <v>1487</v>
      </c>
      <c r="J1053" s="22" t="s">
        <v>389</v>
      </c>
      <c r="K1053" s="24"/>
      <c r="L1053" s="4"/>
    </row>
    <row r="1054" spans="1:12" s="3" customFormat="1" hidden="1" x14ac:dyDescent="0.3">
      <c r="A1054" s="13" t="s">
        <v>879</v>
      </c>
      <c r="B1054" s="10"/>
      <c r="C1054" s="21">
        <v>10880036135</v>
      </c>
      <c r="D1054" s="21">
        <v>990000115428</v>
      </c>
      <c r="E1054" s="22" t="s">
        <v>1441</v>
      </c>
      <c r="F1054" s="21">
        <v>1</v>
      </c>
      <c r="G1054" s="23">
        <v>46012</v>
      </c>
      <c r="H1054" s="12"/>
      <c r="I1054" s="25" t="s">
        <v>1488</v>
      </c>
      <c r="J1054" s="22" t="s">
        <v>389</v>
      </c>
      <c r="K1054" s="24"/>
      <c r="L1054" s="4"/>
    </row>
    <row r="1055" spans="1:12" s="3" customFormat="1" hidden="1" x14ac:dyDescent="0.3">
      <c r="A1055" s="13" t="s">
        <v>879</v>
      </c>
      <c r="B1055" s="10"/>
      <c r="C1055" s="21">
        <v>10880036205</v>
      </c>
      <c r="D1055" s="21">
        <v>990000115427</v>
      </c>
      <c r="E1055" s="22" t="s">
        <v>22</v>
      </c>
      <c r="F1055" s="21">
        <v>2</v>
      </c>
      <c r="G1055" s="23">
        <v>46012</v>
      </c>
      <c r="H1055" s="12"/>
      <c r="I1055" s="25" t="s">
        <v>1489</v>
      </c>
      <c r="J1055" s="22" t="s">
        <v>389</v>
      </c>
      <c r="K1055" s="24"/>
      <c r="L1055" s="4"/>
    </row>
    <row r="1056" spans="1:12" s="3" customFormat="1" hidden="1" x14ac:dyDescent="0.3">
      <c r="A1056" s="13" t="s">
        <v>879</v>
      </c>
      <c r="B1056" s="10"/>
      <c r="C1056" s="21">
        <v>10880036206</v>
      </c>
      <c r="D1056" s="21">
        <v>990000115429</v>
      </c>
      <c r="E1056" s="22" t="s">
        <v>1471</v>
      </c>
      <c r="F1056" s="21">
        <v>1</v>
      </c>
      <c r="G1056" s="23">
        <v>46012</v>
      </c>
      <c r="H1056" s="12"/>
      <c r="I1056" s="25" t="s">
        <v>1490</v>
      </c>
      <c r="J1056" s="22" t="s">
        <v>389</v>
      </c>
      <c r="K1056" s="24"/>
      <c r="L1056" s="4"/>
    </row>
    <row r="1057" spans="1:12" s="3" customFormat="1" hidden="1" x14ac:dyDescent="0.3">
      <c r="A1057" s="13" t="s">
        <v>879</v>
      </c>
      <c r="B1057" s="10"/>
      <c r="C1057" s="21">
        <v>10880033855</v>
      </c>
      <c r="D1057" s="21">
        <v>990000115414</v>
      </c>
      <c r="E1057" s="22" t="s">
        <v>890</v>
      </c>
      <c r="F1057" s="21">
        <v>500</v>
      </c>
      <c r="G1057" s="23">
        <v>46015</v>
      </c>
      <c r="H1057" s="12"/>
      <c r="I1057" s="25" t="s">
        <v>1491</v>
      </c>
      <c r="J1057" s="22" t="s">
        <v>379</v>
      </c>
      <c r="K1057" s="24"/>
      <c r="L1057" s="4"/>
    </row>
    <row r="1058" spans="1:12" s="3" customFormat="1" hidden="1" x14ac:dyDescent="0.3">
      <c r="A1058" s="13" t="s">
        <v>879</v>
      </c>
      <c r="B1058" s="10"/>
      <c r="C1058" s="21">
        <v>10880035380</v>
      </c>
      <c r="D1058" s="21">
        <v>990000115449</v>
      </c>
      <c r="E1058" s="22" t="s">
        <v>1111</v>
      </c>
      <c r="F1058" s="21">
        <v>102</v>
      </c>
      <c r="G1058" s="23">
        <v>46015</v>
      </c>
      <c r="H1058" s="12"/>
      <c r="I1058" s="25" t="s">
        <v>1492</v>
      </c>
      <c r="J1058" s="22" t="s">
        <v>379</v>
      </c>
      <c r="K1058" s="24"/>
      <c r="L1058" s="4"/>
    </row>
    <row r="1059" spans="1:12" s="3" customFormat="1" hidden="1" x14ac:dyDescent="0.3">
      <c r="A1059" s="13" t="s">
        <v>879</v>
      </c>
      <c r="B1059" s="10"/>
      <c r="C1059" s="21">
        <v>10880035379</v>
      </c>
      <c r="D1059" s="21">
        <v>990000115450</v>
      </c>
      <c r="E1059" s="22" t="s">
        <v>1113</v>
      </c>
      <c r="F1059" s="21">
        <v>159</v>
      </c>
      <c r="G1059" s="23">
        <v>46015</v>
      </c>
      <c r="H1059" s="12"/>
      <c r="I1059" s="25" t="s">
        <v>1493</v>
      </c>
      <c r="J1059" s="22" t="s">
        <v>379</v>
      </c>
      <c r="K1059" s="24"/>
      <c r="L1059" s="4"/>
    </row>
    <row r="1060" spans="1:12" s="3" customFormat="1" hidden="1" x14ac:dyDescent="0.3">
      <c r="A1060" s="13" t="s">
        <v>879</v>
      </c>
      <c r="B1060" s="10"/>
      <c r="C1060" s="21">
        <v>10880033661</v>
      </c>
      <c r="D1060" s="21">
        <v>990000115454</v>
      </c>
      <c r="E1060" s="22" t="s">
        <v>1417</v>
      </c>
      <c r="F1060" s="21">
        <v>919</v>
      </c>
      <c r="G1060" s="23">
        <v>46017</v>
      </c>
      <c r="H1060" s="12"/>
      <c r="I1060" s="25" t="s">
        <v>1494</v>
      </c>
      <c r="J1060" s="22" t="s">
        <v>379</v>
      </c>
      <c r="K1060" s="24"/>
      <c r="L1060" s="4"/>
    </row>
    <row r="1061" spans="1:12" s="3" customFormat="1" hidden="1" x14ac:dyDescent="0.3">
      <c r="A1061" s="13" t="s">
        <v>879</v>
      </c>
      <c r="B1061" s="10"/>
      <c r="C1061" s="21">
        <v>10880033605</v>
      </c>
      <c r="D1061" s="21">
        <v>990000115457</v>
      </c>
      <c r="E1061" s="22" t="s">
        <v>1495</v>
      </c>
      <c r="F1061" s="21">
        <v>62</v>
      </c>
      <c r="G1061" s="23">
        <v>46017</v>
      </c>
      <c r="H1061" s="12"/>
      <c r="I1061" s="25" t="s">
        <v>1496</v>
      </c>
      <c r="J1061" s="22" t="s">
        <v>379</v>
      </c>
      <c r="K1061" s="24"/>
      <c r="L1061" s="4"/>
    </row>
    <row r="1062" spans="1:12" s="3" customFormat="1" hidden="1" x14ac:dyDescent="0.3">
      <c r="A1062" s="13" t="s">
        <v>879</v>
      </c>
      <c r="B1062" s="10"/>
      <c r="C1062" s="21">
        <v>10880035265</v>
      </c>
      <c r="D1062" s="21">
        <v>990000115504</v>
      </c>
      <c r="E1062" s="22" t="s">
        <v>1497</v>
      </c>
      <c r="F1062" s="21">
        <v>4967</v>
      </c>
      <c r="G1062" s="23">
        <v>46017</v>
      </c>
      <c r="H1062" s="12"/>
      <c r="I1062" s="25" t="s">
        <v>1498</v>
      </c>
      <c r="J1062" s="22" t="s">
        <v>379</v>
      </c>
      <c r="K1062" s="24"/>
      <c r="L1062" s="4"/>
    </row>
    <row r="1063" spans="1:12" s="3" customFormat="1" hidden="1" x14ac:dyDescent="0.3">
      <c r="A1063" s="13" t="s">
        <v>879</v>
      </c>
      <c r="B1063" s="10"/>
      <c r="C1063" s="21">
        <v>10880033584</v>
      </c>
      <c r="D1063" s="21">
        <v>990000115505</v>
      </c>
      <c r="E1063" s="22" t="s">
        <v>1205</v>
      </c>
      <c r="F1063" s="21">
        <v>1064</v>
      </c>
      <c r="G1063" s="23">
        <v>46017</v>
      </c>
      <c r="H1063" s="12"/>
      <c r="I1063" s="25" t="s">
        <v>1499</v>
      </c>
      <c r="J1063" s="22" t="s">
        <v>379</v>
      </c>
      <c r="K1063" s="24"/>
      <c r="L1063" s="4"/>
    </row>
    <row r="1064" spans="1:12" s="3" customFormat="1" hidden="1" x14ac:dyDescent="0.3">
      <c r="A1064" s="13" t="s">
        <v>879</v>
      </c>
      <c r="B1064" s="10"/>
      <c r="C1064" s="21">
        <v>10880034142</v>
      </c>
      <c r="D1064" s="21">
        <v>990000115506</v>
      </c>
      <c r="E1064" s="22" t="s">
        <v>1500</v>
      </c>
      <c r="F1064" s="21">
        <v>1596</v>
      </c>
      <c r="G1064" s="23">
        <v>46017</v>
      </c>
      <c r="H1064" s="12"/>
      <c r="I1064" s="25" t="s">
        <v>1501</v>
      </c>
      <c r="J1064" s="22" t="s">
        <v>379</v>
      </c>
      <c r="K1064" s="24"/>
      <c r="L1064" s="4"/>
    </row>
    <row r="1065" spans="1:12" s="3" customFormat="1" hidden="1" x14ac:dyDescent="0.3">
      <c r="A1065" s="13" t="s">
        <v>879</v>
      </c>
      <c r="B1065" s="10"/>
      <c r="C1065" s="21">
        <v>10880033585</v>
      </c>
      <c r="D1065" s="21">
        <v>990000115508</v>
      </c>
      <c r="E1065" s="22" t="s">
        <v>62</v>
      </c>
      <c r="F1065" s="21">
        <v>700</v>
      </c>
      <c r="G1065" s="23">
        <v>46017</v>
      </c>
      <c r="H1065" s="12"/>
      <c r="I1065" s="25" t="s">
        <v>1502</v>
      </c>
      <c r="J1065" s="22" t="s">
        <v>379</v>
      </c>
      <c r="K1065" s="24"/>
      <c r="L1065" s="4"/>
    </row>
    <row r="1066" spans="1:12" s="3" customFormat="1" hidden="1" x14ac:dyDescent="0.3">
      <c r="A1066" s="13" t="s">
        <v>879</v>
      </c>
      <c r="B1066" s="10"/>
      <c r="C1066" s="21">
        <v>10880035265</v>
      </c>
      <c r="D1066" s="21">
        <v>990000115522</v>
      </c>
      <c r="E1066" s="22" t="s">
        <v>1497</v>
      </c>
      <c r="F1066" s="21">
        <v>1791</v>
      </c>
      <c r="G1066" s="23">
        <v>46017</v>
      </c>
      <c r="H1066" s="12"/>
      <c r="I1066" s="25" t="s">
        <v>1503</v>
      </c>
      <c r="J1066" s="22" t="s">
        <v>379</v>
      </c>
      <c r="K1066" s="24"/>
      <c r="L1066" s="4"/>
    </row>
    <row r="1067" spans="1:12" s="3" customFormat="1" hidden="1" x14ac:dyDescent="0.3">
      <c r="A1067" s="13" t="s">
        <v>879</v>
      </c>
      <c r="B1067" s="10"/>
      <c r="C1067" s="10">
        <v>10880014670</v>
      </c>
      <c r="D1067" s="11">
        <v>990000107111</v>
      </c>
      <c r="E1067" s="10" t="s">
        <v>1504</v>
      </c>
      <c r="F1067" s="10">
        <v>50</v>
      </c>
      <c r="G1067" s="12">
        <v>45716</v>
      </c>
      <c r="H1067" s="12"/>
      <c r="I1067" s="10" t="s">
        <v>1505</v>
      </c>
      <c r="J1067" s="10" t="s">
        <v>379</v>
      </c>
      <c r="K1067" s="27"/>
      <c r="L1067" s="4"/>
    </row>
    <row r="1068" spans="1:12" s="3" customFormat="1" hidden="1" x14ac:dyDescent="0.3">
      <c r="A1068" s="13" t="s">
        <v>879</v>
      </c>
      <c r="B1068" s="10"/>
      <c r="C1068" s="10">
        <v>10880017536</v>
      </c>
      <c r="D1068" s="11">
        <v>990000111465</v>
      </c>
      <c r="E1068" s="10" t="s">
        <v>171</v>
      </c>
      <c r="F1068" s="10">
        <v>388</v>
      </c>
      <c r="G1068" s="12">
        <v>45868</v>
      </c>
      <c r="H1068" s="12"/>
      <c r="I1068" s="10" t="s">
        <v>1506</v>
      </c>
      <c r="J1068" s="10" t="s">
        <v>379</v>
      </c>
      <c r="K1068" s="24"/>
      <c r="L1068" s="4"/>
    </row>
    <row r="1069" spans="1:12" s="3" customFormat="1" hidden="1" x14ac:dyDescent="0.3">
      <c r="A1069" s="13" t="s">
        <v>879</v>
      </c>
      <c r="B1069" s="10"/>
      <c r="C1069" s="10">
        <v>10880036135</v>
      </c>
      <c r="D1069" s="11">
        <v>990000114025</v>
      </c>
      <c r="E1069" s="10" t="s">
        <v>1441</v>
      </c>
      <c r="F1069" s="10">
        <v>100</v>
      </c>
      <c r="G1069" s="12">
        <v>45960</v>
      </c>
      <c r="H1069" s="12"/>
      <c r="I1069" s="10" t="s">
        <v>1507</v>
      </c>
      <c r="J1069" s="10" t="s">
        <v>379</v>
      </c>
      <c r="K1069" s="24"/>
      <c r="L1069" s="4"/>
    </row>
    <row r="1070" spans="1:12" s="3" customFormat="1" hidden="1" x14ac:dyDescent="0.3">
      <c r="A1070" s="13" t="s">
        <v>879</v>
      </c>
      <c r="B1070" s="10"/>
      <c r="C1070" s="10">
        <v>10880034669</v>
      </c>
      <c r="D1070" s="11">
        <v>990000114039</v>
      </c>
      <c r="E1070" s="10" t="s">
        <v>153</v>
      </c>
      <c r="F1070" s="10">
        <v>473</v>
      </c>
      <c r="G1070" s="12">
        <v>45961</v>
      </c>
      <c r="H1070" s="12"/>
      <c r="I1070" s="10" t="s">
        <v>1508</v>
      </c>
      <c r="J1070" s="10" t="s">
        <v>379</v>
      </c>
      <c r="K1070" s="24"/>
      <c r="L1070" s="4"/>
    </row>
    <row r="1071" spans="1:12" s="3" customFormat="1" hidden="1" x14ac:dyDescent="0.3">
      <c r="A1071" s="13" t="s">
        <v>879</v>
      </c>
      <c r="B1071" s="10"/>
      <c r="C1071" s="10">
        <v>10880035985</v>
      </c>
      <c r="D1071" s="11">
        <v>990000114740</v>
      </c>
      <c r="E1071" s="10" t="s">
        <v>1509</v>
      </c>
      <c r="F1071" s="10">
        <v>162</v>
      </c>
      <c r="G1071" s="12">
        <v>45992</v>
      </c>
      <c r="H1071" s="12"/>
      <c r="I1071" s="10" t="s">
        <v>1510</v>
      </c>
      <c r="J1071" s="10" t="s">
        <v>379</v>
      </c>
      <c r="K1071" s="24"/>
      <c r="L1071" s="4"/>
    </row>
    <row r="1072" spans="1:12" s="3" customFormat="1" hidden="1" x14ac:dyDescent="0.3">
      <c r="A1072" s="13" t="s">
        <v>879</v>
      </c>
      <c r="B1072" s="10"/>
      <c r="C1072" s="10">
        <v>10880035986</v>
      </c>
      <c r="D1072" s="11">
        <v>990000114781</v>
      </c>
      <c r="E1072" s="10" t="s">
        <v>1511</v>
      </c>
      <c r="F1072" s="10">
        <v>162</v>
      </c>
      <c r="G1072" s="12">
        <v>45992</v>
      </c>
      <c r="H1072" s="12"/>
      <c r="I1072" s="10" t="s">
        <v>1512</v>
      </c>
      <c r="J1072" s="10" t="s">
        <v>379</v>
      </c>
      <c r="K1072" s="24"/>
      <c r="L1072" s="4"/>
    </row>
    <row r="1073" spans="1:12" s="3" customFormat="1" hidden="1" x14ac:dyDescent="0.3">
      <c r="A1073" s="13" t="s">
        <v>879</v>
      </c>
      <c r="B1073" s="10"/>
      <c r="C1073" s="21">
        <v>10880035380</v>
      </c>
      <c r="D1073" s="21">
        <v>990000115438</v>
      </c>
      <c r="E1073" s="22" t="s">
        <v>1111</v>
      </c>
      <c r="F1073" s="21">
        <v>197</v>
      </c>
      <c r="G1073" s="23">
        <v>46015</v>
      </c>
      <c r="H1073" s="12" t="s">
        <v>1513</v>
      </c>
      <c r="I1073" s="25" t="s">
        <v>1492</v>
      </c>
      <c r="J1073" s="22" t="s">
        <v>379</v>
      </c>
      <c r="K1073" s="24"/>
      <c r="L1073" s="4"/>
    </row>
    <row r="1074" spans="1:12" s="3" customFormat="1" hidden="1" x14ac:dyDescent="0.3">
      <c r="A1074" s="13" t="s">
        <v>879</v>
      </c>
      <c r="B1074" s="10"/>
      <c r="C1074" s="21">
        <v>10880035379</v>
      </c>
      <c r="D1074" s="21">
        <v>990000115440</v>
      </c>
      <c r="E1074" s="22" t="s">
        <v>1113</v>
      </c>
      <c r="F1074" s="21">
        <v>159</v>
      </c>
      <c r="G1074" s="23">
        <v>46015</v>
      </c>
      <c r="H1074" s="12" t="s">
        <v>1513</v>
      </c>
      <c r="I1074" s="25" t="s">
        <v>1493</v>
      </c>
      <c r="J1074" s="22" t="s">
        <v>379</v>
      </c>
      <c r="K1074" s="24"/>
      <c r="L1074" s="4"/>
    </row>
    <row r="1075" spans="1:12" s="3" customFormat="1" hidden="1" x14ac:dyDescent="0.3">
      <c r="A1075" s="13" t="s">
        <v>879</v>
      </c>
      <c r="B1075" s="10"/>
      <c r="C1075" s="21">
        <v>10880020555</v>
      </c>
      <c r="D1075" s="21">
        <v>990000115415</v>
      </c>
      <c r="E1075" s="22" t="s">
        <v>1146</v>
      </c>
      <c r="F1075" s="21">
        <v>197</v>
      </c>
      <c r="G1075" s="23">
        <v>46015</v>
      </c>
      <c r="H1075" s="12" t="s">
        <v>1513</v>
      </c>
      <c r="I1075" s="25" t="s">
        <v>1514</v>
      </c>
      <c r="J1075" s="22" t="s">
        <v>379</v>
      </c>
      <c r="K1075" s="24"/>
      <c r="L1075" s="4"/>
    </row>
    <row r="1076" spans="1:12" s="3" customFormat="1" hidden="1" x14ac:dyDescent="0.3">
      <c r="A1076" s="13" t="s">
        <v>879</v>
      </c>
      <c r="B1076" s="10"/>
      <c r="C1076" s="21">
        <v>10880020654</v>
      </c>
      <c r="D1076" s="21">
        <v>990000115416</v>
      </c>
      <c r="E1076" s="22" t="s">
        <v>1175</v>
      </c>
      <c r="F1076" s="21">
        <v>159</v>
      </c>
      <c r="G1076" s="23">
        <v>46015</v>
      </c>
      <c r="H1076" s="12" t="s">
        <v>1513</v>
      </c>
      <c r="I1076" s="25" t="s">
        <v>1515</v>
      </c>
      <c r="J1076" s="22" t="s">
        <v>379</v>
      </c>
      <c r="K1076" s="24"/>
      <c r="L1076" s="4"/>
    </row>
    <row r="1077" spans="1:12" s="3" customFormat="1" hidden="1" x14ac:dyDescent="0.3">
      <c r="A1077" s="13" t="s">
        <v>879</v>
      </c>
      <c r="B1077" s="10"/>
      <c r="C1077" s="21">
        <v>10880035186</v>
      </c>
      <c r="D1077" s="21">
        <v>990000115458</v>
      </c>
      <c r="E1077" s="22" t="s">
        <v>1133</v>
      </c>
      <c r="F1077" s="21">
        <v>522</v>
      </c>
      <c r="G1077" s="23">
        <v>46017</v>
      </c>
      <c r="H1077" s="12"/>
      <c r="I1077" s="25" t="s">
        <v>1516</v>
      </c>
      <c r="J1077" s="22" t="s">
        <v>379</v>
      </c>
      <c r="K1077" s="24"/>
      <c r="L1077" s="4"/>
    </row>
    <row r="1078" spans="1:12" s="3" customFormat="1" hidden="1" x14ac:dyDescent="0.3">
      <c r="A1078" s="13" t="s">
        <v>879</v>
      </c>
      <c r="B1078" s="10"/>
      <c r="C1078" s="21">
        <v>10880035167</v>
      </c>
      <c r="D1078" s="21">
        <v>990000115512</v>
      </c>
      <c r="E1078" s="22" t="s">
        <v>218</v>
      </c>
      <c r="F1078" s="21">
        <v>500</v>
      </c>
      <c r="G1078" s="23">
        <v>46018</v>
      </c>
      <c r="H1078" s="12"/>
      <c r="I1078" s="25" t="s">
        <v>1517</v>
      </c>
      <c r="J1078" s="22" t="s">
        <v>379</v>
      </c>
      <c r="K1078" s="24"/>
      <c r="L1078" s="4"/>
    </row>
    <row r="1079" spans="1:12" s="3" customFormat="1" hidden="1" x14ac:dyDescent="0.3">
      <c r="A1079" s="13" t="s">
        <v>879</v>
      </c>
      <c r="B1079" s="10"/>
      <c r="C1079" s="10">
        <v>10880033745</v>
      </c>
      <c r="D1079" s="11">
        <v>990000113245</v>
      </c>
      <c r="E1079" s="10" t="s">
        <v>869</v>
      </c>
      <c r="F1079" s="10">
        <v>1080</v>
      </c>
      <c r="G1079" s="12">
        <v>45928</v>
      </c>
      <c r="H1079" s="12"/>
      <c r="I1079" s="10" t="s">
        <v>1518</v>
      </c>
      <c r="J1079" s="10" t="s">
        <v>379</v>
      </c>
      <c r="K1079" s="24"/>
      <c r="L1079" s="4"/>
    </row>
    <row r="1080" spans="1:12" s="3" customFormat="1" hidden="1" x14ac:dyDescent="0.3">
      <c r="A1080" s="13" t="s">
        <v>879</v>
      </c>
      <c r="B1080" s="10"/>
      <c r="C1080" s="10">
        <v>10880033329</v>
      </c>
      <c r="D1080" s="11">
        <v>990000113448</v>
      </c>
      <c r="E1080" s="10" t="s">
        <v>71</v>
      </c>
      <c r="F1080" s="10">
        <v>4144</v>
      </c>
      <c r="G1080" s="23">
        <v>45939</v>
      </c>
      <c r="H1080" s="12"/>
      <c r="I1080" s="10" t="s">
        <v>1519</v>
      </c>
      <c r="J1080" s="10" t="s">
        <v>389</v>
      </c>
      <c r="K1080" s="24"/>
      <c r="L1080" s="4"/>
    </row>
    <row r="1081" spans="1:12" s="3" customFormat="1" hidden="1" x14ac:dyDescent="0.3">
      <c r="A1081" s="13" t="s">
        <v>879</v>
      </c>
      <c r="B1081" s="10"/>
      <c r="C1081" s="21">
        <v>10880033855</v>
      </c>
      <c r="D1081" s="21">
        <v>990000115515</v>
      </c>
      <c r="E1081" s="22" t="s">
        <v>890</v>
      </c>
      <c r="F1081" s="21">
        <v>732</v>
      </c>
      <c r="G1081" s="23">
        <v>46018</v>
      </c>
      <c r="H1081" s="12"/>
      <c r="I1081" s="25" t="s">
        <v>1279</v>
      </c>
      <c r="J1081" s="22" t="s">
        <v>1520</v>
      </c>
      <c r="K1081" s="24"/>
      <c r="L1081" s="4"/>
    </row>
    <row r="1082" spans="1:12" s="3" customFormat="1" hidden="1" x14ac:dyDescent="0.3">
      <c r="A1082" s="13" t="s">
        <v>879</v>
      </c>
      <c r="B1082" s="10"/>
      <c r="C1082" s="21">
        <v>10880034142</v>
      </c>
      <c r="D1082" s="21">
        <v>990000115516</v>
      </c>
      <c r="E1082" s="22" t="s">
        <v>1500</v>
      </c>
      <c r="F1082" s="21">
        <v>2000</v>
      </c>
      <c r="G1082" s="23">
        <v>46018</v>
      </c>
      <c r="H1082" s="12"/>
      <c r="I1082" s="25" t="s">
        <v>1501</v>
      </c>
      <c r="J1082" s="22" t="s">
        <v>379</v>
      </c>
      <c r="K1082" s="24"/>
      <c r="L1082" s="4"/>
    </row>
    <row r="1083" spans="1:12" s="3" customFormat="1" hidden="1" x14ac:dyDescent="0.3">
      <c r="A1083" s="13" t="s">
        <v>879</v>
      </c>
      <c r="B1083" s="10"/>
      <c r="C1083" s="21">
        <v>10880033785</v>
      </c>
      <c r="D1083" s="21">
        <v>990000115526</v>
      </c>
      <c r="E1083" s="22" t="s">
        <v>243</v>
      </c>
      <c r="F1083" s="21">
        <v>650</v>
      </c>
      <c r="G1083" s="23">
        <v>46019</v>
      </c>
      <c r="H1083" s="12"/>
      <c r="I1083" s="25" t="s">
        <v>1521</v>
      </c>
      <c r="J1083" s="22" t="s">
        <v>379</v>
      </c>
      <c r="K1083" s="24"/>
      <c r="L1083" s="4"/>
    </row>
    <row r="1084" spans="1:12" s="3" customFormat="1" hidden="1" x14ac:dyDescent="0.3">
      <c r="A1084" s="13" t="s">
        <v>879</v>
      </c>
      <c r="B1084" s="10"/>
      <c r="C1084" s="21">
        <v>10880033585</v>
      </c>
      <c r="D1084" s="21">
        <v>990000115528</v>
      </c>
      <c r="E1084" s="22" t="s">
        <v>62</v>
      </c>
      <c r="F1084" s="21">
        <v>2000</v>
      </c>
      <c r="G1084" s="23">
        <v>46020</v>
      </c>
      <c r="H1084" s="12"/>
      <c r="I1084" s="25" t="s">
        <v>1501</v>
      </c>
      <c r="J1084" s="22" t="s">
        <v>379</v>
      </c>
      <c r="K1084" s="24"/>
      <c r="L1084" s="4"/>
    </row>
    <row r="1085" spans="1:12" s="3" customFormat="1" hidden="1" x14ac:dyDescent="0.3">
      <c r="A1085" s="13" t="s">
        <v>879</v>
      </c>
      <c r="B1085" s="10"/>
      <c r="C1085" s="21">
        <v>10880034142</v>
      </c>
      <c r="D1085" s="21">
        <v>990000115529</v>
      </c>
      <c r="E1085" s="22" t="s">
        <v>1500</v>
      </c>
      <c r="F1085" s="21">
        <v>2087</v>
      </c>
      <c r="G1085" s="23">
        <v>46020</v>
      </c>
      <c r="H1085" s="12"/>
      <c r="I1085" s="25" t="s">
        <v>1522</v>
      </c>
      <c r="J1085" s="22" t="s">
        <v>379</v>
      </c>
      <c r="K1085" s="24"/>
      <c r="L1085" s="4"/>
    </row>
    <row r="1086" spans="1:12" s="3" customFormat="1" hidden="1" x14ac:dyDescent="0.3">
      <c r="A1086" s="13" t="s">
        <v>879</v>
      </c>
      <c r="B1086" s="10"/>
      <c r="C1086" s="21">
        <v>10880031560</v>
      </c>
      <c r="D1086" s="26">
        <v>990000115542</v>
      </c>
      <c r="E1086" s="22" t="s">
        <v>798</v>
      </c>
      <c r="F1086" s="21">
        <v>772</v>
      </c>
      <c r="G1086" s="23">
        <v>46021</v>
      </c>
      <c r="H1086" s="12"/>
      <c r="I1086" s="25" t="s">
        <v>1523</v>
      </c>
      <c r="J1086" s="22" t="s">
        <v>379</v>
      </c>
      <c r="K1086" s="24"/>
      <c r="L1086" s="4"/>
    </row>
    <row r="1087" spans="1:12" s="3" customFormat="1" hidden="1" x14ac:dyDescent="0.3">
      <c r="A1087" s="13" t="s">
        <v>879</v>
      </c>
      <c r="B1087" s="10"/>
      <c r="C1087" s="21">
        <v>10880032573</v>
      </c>
      <c r="D1087" s="26">
        <v>990000115543</v>
      </c>
      <c r="E1087" s="22" t="s">
        <v>1524</v>
      </c>
      <c r="F1087" s="21">
        <v>384</v>
      </c>
      <c r="G1087" s="23">
        <v>46021</v>
      </c>
      <c r="H1087" s="12"/>
      <c r="I1087" s="25" t="s">
        <v>1523</v>
      </c>
      <c r="J1087" s="22" t="s">
        <v>379</v>
      </c>
      <c r="K1087" s="24"/>
      <c r="L1087" s="4"/>
    </row>
    <row r="1088" spans="1:12" s="3" customFormat="1" hidden="1" x14ac:dyDescent="0.3">
      <c r="A1088" s="13" t="s">
        <v>879</v>
      </c>
      <c r="B1088" s="10"/>
      <c r="C1088" s="21">
        <v>10880035325</v>
      </c>
      <c r="D1088" s="26">
        <v>990000115544</v>
      </c>
      <c r="E1088" s="22" t="s">
        <v>1122</v>
      </c>
      <c r="F1088" s="21">
        <v>189</v>
      </c>
      <c r="G1088" s="23">
        <v>46021</v>
      </c>
      <c r="H1088" s="12"/>
      <c r="I1088" s="25" t="s">
        <v>1523</v>
      </c>
      <c r="J1088" s="22" t="s">
        <v>379</v>
      </c>
      <c r="K1088" s="24"/>
      <c r="L1088" s="4"/>
    </row>
    <row r="1089" spans="1:12" s="3" customFormat="1" hidden="1" x14ac:dyDescent="0.3">
      <c r="A1089" s="13" t="s">
        <v>879</v>
      </c>
      <c r="B1089" s="10"/>
      <c r="C1089" s="21">
        <v>10880031600</v>
      </c>
      <c r="D1089" s="26">
        <v>990000115546</v>
      </c>
      <c r="E1089" s="22" t="s">
        <v>1525</v>
      </c>
      <c r="F1089" s="21">
        <v>721</v>
      </c>
      <c r="G1089" s="23">
        <v>46021</v>
      </c>
      <c r="H1089" s="12"/>
      <c r="I1089" s="25" t="s">
        <v>1523</v>
      </c>
      <c r="J1089" s="22" t="s">
        <v>379</v>
      </c>
      <c r="K1089" s="24"/>
      <c r="L1089" s="4"/>
    </row>
    <row r="1090" spans="1:12" s="3" customFormat="1" hidden="1" x14ac:dyDescent="0.3">
      <c r="A1090" s="13" t="s">
        <v>879</v>
      </c>
      <c r="B1090" s="10"/>
      <c r="C1090" s="21">
        <v>10880019205</v>
      </c>
      <c r="D1090" s="21">
        <v>990000115548</v>
      </c>
      <c r="E1090" s="22" t="s">
        <v>1158</v>
      </c>
      <c r="F1090" s="21">
        <v>15</v>
      </c>
      <c r="G1090" s="23">
        <v>46021</v>
      </c>
      <c r="H1090" s="12"/>
      <c r="I1090" s="25" t="s">
        <v>1526</v>
      </c>
      <c r="J1090" s="22" t="s">
        <v>379</v>
      </c>
      <c r="K1090" s="24"/>
      <c r="L1090" s="4"/>
    </row>
    <row r="1091" spans="1:12" s="3" customFormat="1" hidden="1" x14ac:dyDescent="0.3">
      <c r="A1091" s="13" t="s">
        <v>879</v>
      </c>
      <c r="B1091" s="10"/>
      <c r="C1091" s="21">
        <v>10880035167</v>
      </c>
      <c r="D1091" s="21">
        <v>990000115560</v>
      </c>
      <c r="E1091" s="22" t="s">
        <v>218</v>
      </c>
      <c r="F1091" s="21">
        <v>500</v>
      </c>
      <c r="G1091" s="23">
        <v>46021</v>
      </c>
      <c r="H1091" s="12"/>
      <c r="I1091" s="25" t="s">
        <v>1527</v>
      </c>
      <c r="J1091" s="22" t="s">
        <v>379</v>
      </c>
      <c r="K1091" s="24"/>
      <c r="L1091" s="4"/>
    </row>
    <row r="1092" spans="1:12" s="3" customFormat="1" hidden="1" x14ac:dyDescent="0.3">
      <c r="A1092" s="13" t="s">
        <v>879</v>
      </c>
      <c r="B1092" s="10"/>
      <c r="C1092" s="21">
        <v>10880029957</v>
      </c>
      <c r="D1092" s="21">
        <v>990000115565</v>
      </c>
      <c r="E1092" s="22" t="s">
        <v>89</v>
      </c>
      <c r="F1092" s="21">
        <v>107</v>
      </c>
      <c r="G1092" s="23">
        <v>46022</v>
      </c>
      <c r="H1092" s="12"/>
      <c r="I1092" s="25" t="s">
        <v>1528</v>
      </c>
      <c r="J1092" s="22" t="s">
        <v>379</v>
      </c>
      <c r="K1092" s="24"/>
      <c r="L1092" s="4"/>
    </row>
    <row r="1093" spans="1:12" s="3" customFormat="1" hidden="1" x14ac:dyDescent="0.3">
      <c r="A1093" s="13" t="s">
        <v>879</v>
      </c>
      <c r="B1093" s="10"/>
      <c r="C1093" s="21">
        <v>10880033785</v>
      </c>
      <c r="D1093" s="21">
        <v>990000115567</v>
      </c>
      <c r="E1093" s="22" t="s">
        <v>243</v>
      </c>
      <c r="F1093" s="21">
        <v>650</v>
      </c>
      <c r="G1093" s="23">
        <v>46022</v>
      </c>
      <c r="H1093" s="12"/>
      <c r="I1093" s="25" t="s">
        <v>1529</v>
      </c>
      <c r="J1093" s="22" t="s">
        <v>379</v>
      </c>
      <c r="K1093" s="24"/>
      <c r="L1093" s="4"/>
    </row>
    <row r="1094" spans="1:12" s="3" customFormat="1" hidden="1" x14ac:dyDescent="0.3">
      <c r="A1094" s="13" t="s">
        <v>879</v>
      </c>
      <c r="B1094" s="10"/>
      <c r="C1094" s="21">
        <v>10880035186</v>
      </c>
      <c r="D1094" s="21">
        <v>990000115569</v>
      </c>
      <c r="E1094" s="22" t="s">
        <v>1133</v>
      </c>
      <c r="F1094" s="21">
        <v>1201</v>
      </c>
      <c r="G1094" s="23">
        <v>46022</v>
      </c>
      <c r="H1094" s="12"/>
      <c r="I1094" s="25" t="s">
        <v>1530</v>
      </c>
      <c r="J1094" s="22" t="s">
        <v>379</v>
      </c>
      <c r="K1094" s="24"/>
      <c r="L1094" s="4"/>
    </row>
    <row r="1095" spans="1:12" s="3" customFormat="1" hidden="1" x14ac:dyDescent="0.3">
      <c r="A1095" s="13" t="s">
        <v>879</v>
      </c>
      <c r="B1095" s="10"/>
      <c r="C1095" s="21">
        <v>10880037047</v>
      </c>
      <c r="D1095" s="21">
        <v>990000115572</v>
      </c>
      <c r="E1095" s="22" t="s">
        <v>316</v>
      </c>
      <c r="F1095" s="21">
        <v>195</v>
      </c>
      <c r="G1095" s="23">
        <v>46022</v>
      </c>
      <c r="H1095" s="12"/>
      <c r="I1095" s="25" t="s">
        <v>1531</v>
      </c>
      <c r="J1095" s="22" t="s">
        <v>379</v>
      </c>
      <c r="K1095" s="24"/>
      <c r="L1095" s="4"/>
    </row>
    <row r="1096" spans="1:12" s="3" customFormat="1" hidden="1" x14ac:dyDescent="0.3">
      <c r="A1096" s="13" t="s">
        <v>879</v>
      </c>
      <c r="B1096" s="10"/>
      <c r="C1096" s="21">
        <v>10880037046</v>
      </c>
      <c r="D1096" s="21">
        <v>990000115573</v>
      </c>
      <c r="E1096" s="22" t="s">
        <v>1532</v>
      </c>
      <c r="F1096" s="21">
        <v>309</v>
      </c>
      <c r="G1096" s="23">
        <v>46022</v>
      </c>
      <c r="H1096" s="12"/>
      <c r="I1096" s="25" t="s">
        <v>1533</v>
      </c>
      <c r="J1096" s="22" t="s">
        <v>379</v>
      </c>
      <c r="K1096" s="24"/>
      <c r="L1096" s="4"/>
    </row>
    <row r="1097" spans="1:12" s="3" customFormat="1" hidden="1" x14ac:dyDescent="0.3">
      <c r="A1097" s="13" t="s">
        <v>879</v>
      </c>
      <c r="B1097" s="10"/>
      <c r="C1097" s="21">
        <v>10880035984</v>
      </c>
      <c r="D1097" s="21">
        <v>990000115574</v>
      </c>
      <c r="E1097" s="22" t="s">
        <v>309</v>
      </c>
      <c r="F1097" s="21">
        <v>394</v>
      </c>
      <c r="G1097" s="23">
        <v>46022</v>
      </c>
      <c r="H1097" s="12"/>
      <c r="I1097" s="25" t="s">
        <v>1534</v>
      </c>
      <c r="J1097" s="22" t="s">
        <v>379</v>
      </c>
      <c r="K1097" s="24"/>
      <c r="L1097" s="4"/>
    </row>
    <row r="1098" spans="1:12" s="3" customFormat="1" hidden="1" x14ac:dyDescent="0.3">
      <c r="A1098" s="13" t="s">
        <v>879</v>
      </c>
      <c r="B1098" s="10"/>
      <c r="C1098" s="21">
        <v>10880035984</v>
      </c>
      <c r="D1098" s="21">
        <v>990000115537</v>
      </c>
      <c r="E1098" s="22" t="s">
        <v>309</v>
      </c>
      <c r="F1098" s="21">
        <v>1195</v>
      </c>
      <c r="G1098" s="23">
        <v>46022</v>
      </c>
      <c r="H1098" s="12"/>
      <c r="I1098" s="25" t="s">
        <v>1535</v>
      </c>
      <c r="J1098" s="22" t="s">
        <v>379</v>
      </c>
      <c r="K1098" s="24"/>
      <c r="L1098" s="4"/>
    </row>
    <row r="1099" spans="1:12" s="3" customFormat="1" hidden="1" x14ac:dyDescent="0.3">
      <c r="A1099" s="13" t="s">
        <v>879</v>
      </c>
      <c r="B1099" s="10"/>
      <c r="C1099" s="21">
        <v>10880037179</v>
      </c>
      <c r="D1099" s="21">
        <v>990000115577</v>
      </c>
      <c r="E1099" s="22" t="s">
        <v>1536</v>
      </c>
      <c r="F1099" s="21">
        <v>436</v>
      </c>
      <c r="G1099" s="23">
        <v>46022</v>
      </c>
      <c r="H1099" s="12"/>
      <c r="I1099" s="25" t="s">
        <v>1537</v>
      </c>
      <c r="J1099" s="22" t="s">
        <v>379</v>
      </c>
      <c r="K1099" s="24"/>
      <c r="L1099" s="4"/>
    </row>
    <row r="1100" spans="1:12" s="3" customFormat="1" hidden="1" x14ac:dyDescent="0.3">
      <c r="A1100" s="13" t="s">
        <v>879</v>
      </c>
      <c r="B1100" s="10"/>
      <c r="C1100" s="21">
        <v>10880037179</v>
      </c>
      <c r="D1100" s="21">
        <v>990000115538</v>
      </c>
      <c r="E1100" s="22" t="s">
        <v>1536</v>
      </c>
      <c r="F1100" s="21">
        <v>988</v>
      </c>
      <c r="G1100" s="23">
        <v>46022</v>
      </c>
      <c r="H1100" s="12"/>
      <c r="I1100" s="25" t="s">
        <v>1538</v>
      </c>
      <c r="J1100" s="22" t="s">
        <v>379</v>
      </c>
      <c r="K1100" s="24"/>
      <c r="L1100" s="4"/>
    </row>
    <row r="1101" spans="1:12" s="3" customFormat="1" hidden="1" x14ac:dyDescent="0.3">
      <c r="A1101" s="13" t="s">
        <v>879</v>
      </c>
      <c r="B1101" s="10"/>
      <c r="C1101" s="21">
        <v>10880035983</v>
      </c>
      <c r="D1101" s="21">
        <v>990000115536</v>
      </c>
      <c r="E1101" s="22" t="s">
        <v>1539</v>
      </c>
      <c r="F1101" s="21">
        <v>399</v>
      </c>
      <c r="G1101" s="23">
        <v>46022</v>
      </c>
      <c r="H1101" s="12"/>
      <c r="I1101" s="25" t="s">
        <v>1540</v>
      </c>
      <c r="J1101" s="22" t="s">
        <v>379</v>
      </c>
      <c r="K1101" s="24"/>
      <c r="L1101" s="4"/>
    </row>
    <row r="1102" spans="1:12" s="3" customFormat="1" hidden="1" x14ac:dyDescent="0.3">
      <c r="A1102" s="13" t="s">
        <v>879</v>
      </c>
      <c r="B1102" s="10"/>
      <c r="C1102" s="21">
        <v>10880035983</v>
      </c>
      <c r="D1102" s="21">
        <v>990000115604</v>
      </c>
      <c r="E1102" s="22" t="s">
        <v>1539</v>
      </c>
      <c r="F1102" s="21">
        <v>542</v>
      </c>
      <c r="G1102" s="23">
        <v>46026</v>
      </c>
      <c r="H1102" s="12"/>
      <c r="I1102" s="25" t="s">
        <v>1541</v>
      </c>
      <c r="J1102" s="22" t="s">
        <v>379</v>
      </c>
      <c r="K1102" s="24"/>
      <c r="L1102" s="4"/>
    </row>
    <row r="1103" spans="1:12" s="3" customFormat="1" hidden="1" x14ac:dyDescent="0.3">
      <c r="A1103" s="13" t="s">
        <v>879</v>
      </c>
      <c r="B1103" s="10"/>
      <c r="C1103" s="21">
        <v>10880035986</v>
      </c>
      <c r="D1103" s="21">
        <v>990000115612</v>
      </c>
      <c r="E1103" s="22" t="s">
        <v>1511</v>
      </c>
      <c r="F1103" s="21">
        <v>180</v>
      </c>
      <c r="G1103" s="23">
        <v>46026</v>
      </c>
      <c r="H1103" s="12"/>
      <c r="I1103" s="25" t="s">
        <v>1542</v>
      </c>
      <c r="J1103" s="22" t="s">
        <v>379</v>
      </c>
      <c r="K1103" s="24"/>
      <c r="L1103" s="4"/>
    </row>
    <row r="1104" spans="1:12" s="3" customFormat="1" hidden="1" x14ac:dyDescent="0.3">
      <c r="A1104" s="13" t="s">
        <v>879</v>
      </c>
      <c r="B1104" s="10"/>
      <c r="C1104" s="21">
        <v>10880033996</v>
      </c>
      <c r="D1104" s="21">
        <v>990000115613</v>
      </c>
      <c r="E1104" s="22" t="s">
        <v>315</v>
      </c>
      <c r="F1104" s="21">
        <v>1527</v>
      </c>
      <c r="G1104" s="23">
        <v>46026</v>
      </c>
      <c r="H1104" s="12"/>
      <c r="I1104" s="25" t="s">
        <v>1543</v>
      </c>
      <c r="J1104" s="22" t="s">
        <v>379</v>
      </c>
      <c r="K1104" s="24"/>
      <c r="L1104" s="4"/>
    </row>
    <row r="1105" spans="1:12" s="3" customFormat="1" hidden="1" x14ac:dyDescent="0.3">
      <c r="A1105" s="13" t="s">
        <v>879</v>
      </c>
      <c r="B1105" s="10"/>
      <c r="C1105" s="21">
        <v>10880037178</v>
      </c>
      <c r="D1105" s="21">
        <v>990000115631</v>
      </c>
      <c r="E1105" s="22" t="s">
        <v>155</v>
      </c>
      <c r="F1105" s="21">
        <v>224</v>
      </c>
      <c r="G1105" s="23">
        <v>46026</v>
      </c>
      <c r="H1105" s="12"/>
      <c r="I1105" s="25" t="s">
        <v>1544</v>
      </c>
      <c r="J1105" s="22" t="s">
        <v>379</v>
      </c>
      <c r="K1105" s="24"/>
      <c r="L1105" s="4"/>
    </row>
    <row r="1106" spans="1:12" s="3" customFormat="1" hidden="1" x14ac:dyDescent="0.3">
      <c r="A1106" s="13" t="s">
        <v>879</v>
      </c>
      <c r="B1106" s="10"/>
      <c r="C1106" s="21">
        <v>10880035985</v>
      </c>
      <c r="D1106" s="21">
        <v>990000115646</v>
      </c>
      <c r="E1106" s="22" t="s">
        <v>1509</v>
      </c>
      <c r="F1106" s="21">
        <v>180</v>
      </c>
      <c r="G1106" s="23">
        <v>46027</v>
      </c>
      <c r="H1106" s="12"/>
      <c r="I1106" s="25" t="s">
        <v>1542</v>
      </c>
      <c r="J1106" s="22" t="s">
        <v>379</v>
      </c>
      <c r="K1106" s="24"/>
      <c r="L1106" s="4"/>
    </row>
    <row r="1107" spans="1:12" s="3" customFormat="1" hidden="1" x14ac:dyDescent="0.3">
      <c r="A1107" s="13" t="s">
        <v>879</v>
      </c>
      <c r="B1107" s="10"/>
      <c r="C1107" s="21">
        <v>10880030520</v>
      </c>
      <c r="D1107" s="21">
        <v>990000115704</v>
      </c>
      <c r="E1107" s="22" t="s">
        <v>214</v>
      </c>
      <c r="F1107" s="21">
        <v>725</v>
      </c>
      <c r="G1107" s="23">
        <v>46029</v>
      </c>
      <c r="H1107" s="12"/>
      <c r="I1107" s="25" t="s">
        <v>1545</v>
      </c>
      <c r="J1107" s="22" t="s">
        <v>1546</v>
      </c>
      <c r="K1107" s="24"/>
      <c r="L1107" s="4"/>
    </row>
    <row r="1108" spans="1:12" s="3" customFormat="1" hidden="1" x14ac:dyDescent="0.3">
      <c r="A1108" s="13" t="s">
        <v>879</v>
      </c>
      <c r="B1108" s="10"/>
      <c r="C1108" s="21">
        <v>10880037377</v>
      </c>
      <c r="D1108" s="21">
        <v>990000115404</v>
      </c>
      <c r="E1108" s="22" t="s">
        <v>60</v>
      </c>
      <c r="F1108" s="21">
        <v>100</v>
      </c>
      <c r="G1108" s="23">
        <v>46012</v>
      </c>
      <c r="H1108" s="12"/>
      <c r="I1108" s="25" t="s">
        <v>1547</v>
      </c>
      <c r="J1108" s="22" t="s">
        <v>379</v>
      </c>
      <c r="K1108" s="24"/>
      <c r="L1108" s="4"/>
    </row>
    <row r="1109" spans="1:12" s="3" customFormat="1" hidden="1" x14ac:dyDescent="0.3">
      <c r="A1109" s="13" t="s">
        <v>879</v>
      </c>
      <c r="B1109" s="10"/>
      <c r="C1109" s="21">
        <v>10880034198</v>
      </c>
      <c r="D1109" s="21">
        <v>990000115571</v>
      </c>
      <c r="E1109" s="22" t="s">
        <v>1548</v>
      </c>
      <c r="F1109" s="21">
        <v>98</v>
      </c>
      <c r="G1109" s="23">
        <v>46022</v>
      </c>
      <c r="H1109" s="12"/>
      <c r="I1109" s="25" t="s">
        <v>1549</v>
      </c>
      <c r="J1109" s="22" t="s">
        <v>379</v>
      </c>
      <c r="K1109" s="24"/>
      <c r="L1109" s="4"/>
    </row>
    <row r="1110" spans="1:12" s="3" customFormat="1" hidden="1" x14ac:dyDescent="0.3">
      <c r="A1110" s="13" t="s">
        <v>879</v>
      </c>
      <c r="B1110" s="10"/>
      <c r="C1110" s="21">
        <v>10880031011</v>
      </c>
      <c r="D1110" s="21">
        <v>990000115627</v>
      </c>
      <c r="E1110" s="22" t="s">
        <v>49</v>
      </c>
      <c r="F1110" s="21">
        <v>468</v>
      </c>
      <c r="G1110" s="23">
        <v>46026</v>
      </c>
      <c r="H1110" s="12"/>
      <c r="I1110" s="25" t="s">
        <v>1550</v>
      </c>
      <c r="J1110" s="22" t="s">
        <v>379</v>
      </c>
      <c r="K1110" s="24"/>
      <c r="L1110" s="4"/>
    </row>
    <row r="1111" spans="1:12" s="3" customFormat="1" hidden="1" x14ac:dyDescent="0.3">
      <c r="A1111" s="13" t="s">
        <v>879</v>
      </c>
      <c r="B1111" s="10"/>
      <c r="C1111" s="21">
        <v>10880031760</v>
      </c>
      <c r="D1111" s="21">
        <v>990000115628</v>
      </c>
      <c r="E1111" s="22" t="s">
        <v>48</v>
      </c>
      <c r="F1111" s="21">
        <v>365</v>
      </c>
      <c r="G1111" s="23">
        <v>46026</v>
      </c>
      <c r="H1111" s="12"/>
      <c r="I1111" s="25" t="s">
        <v>1551</v>
      </c>
      <c r="J1111" s="22" t="s">
        <v>379</v>
      </c>
      <c r="K1111" s="24"/>
      <c r="L1111" s="4"/>
    </row>
    <row r="1112" spans="1:12" s="3" customFormat="1" hidden="1" x14ac:dyDescent="0.3">
      <c r="A1112" s="13" t="s">
        <v>879</v>
      </c>
      <c r="B1112" s="10"/>
      <c r="C1112" s="21">
        <v>10880034619</v>
      </c>
      <c r="D1112" s="21">
        <v>990000115629</v>
      </c>
      <c r="E1112" s="22" t="s">
        <v>53</v>
      </c>
      <c r="F1112" s="21">
        <v>330</v>
      </c>
      <c r="G1112" s="23">
        <v>46026</v>
      </c>
      <c r="H1112" s="12"/>
      <c r="I1112" s="25" t="s">
        <v>1552</v>
      </c>
      <c r="J1112" s="22" t="s">
        <v>379</v>
      </c>
      <c r="K1112" s="24"/>
      <c r="L1112" s="4"/>
    </row>
    <row r="1113" spans="1:12" s="3" customFormat="1" hidden="1" x14ac:dyDescent="0.3">
      <c r="A1113" s="13" t="s">
        <v>879</v>
      </c>
      <c r="B1113" s="10"/>
      <c r="C1113" s="21">
        <v>10880034142</v>
      </c>
      <c r="D1113" s="21">
        <v>990000115561</v>
      </c>
      <c r="E1113" s="22" t="s">
        <v>1500</v>
      </c>
      <c r="F1113" s="21">
        <v>730</v>
      </c>
      <c r="G1113" s="23">
        <v>46021</v>
      </c>
      <c r="H1113" s="12"/>
      <c r="I1113" s="25" t="s">
        <v>1553</v>
      </c>
      <c r="J1113" s="22" t="s">
        <v>379</v>
      </c>
      <c r="K1113" s="24"/>
    </row>
    <row r="1114" spans="1:12" s="3" customFormat="1" hidden="1" x14ac:dyDescent="0.3">
      <c r="A1114" s="13" t="s">
        <v>879</v>
      </c>
      <c r="B1114" s="10"/>
      <c r="C1114" s="21">
        <v>10880033585</v>
      </c>
      <c r="D1114" s="21">
        <v>990000115562</v>
      </c>
      <c r="E1114" s="22" t="s">
        <v>62</v>
      </c>
      <c r="F1114" s="21">
        <v>1856</v>
      </c>
      <c r="G1114" s="23">
        <v>46021</v>
      </c>
      <c r="H1114" s="12"/>
      <c r="I1114" s="25" t="s">
        <v>1554</v>
      </c>
      <c r="J1114" s="22" t="s">
        <v>379</v>
      </c>
      <c r="K1114" s="24"/>
    </row>
    <row r="1115" spans="1:12" s="3" customFormat="1" hidden="1" x14ac:dyDescent="0.3">
      <c r="A1115" s="13" t="s">
        <v>879</v>
      </c>
      <c r="B1115" s="10"/>
      <c r="C1115" s="21">
        <v>10880033584</v>
      </c>
      <c r="D1115" s="21">
        <v>990000115568</v>
      </c>
      <c r="E1115" s="22" t="s">
        <v>1205</v>
      </c>
      <c r="F1115" s="21">
        <v>2915</v>
      </c>
      <c r="G1115" s="23">
        <v>46022</v>
      </c>
      <c r="H1115" s="12"/>
      <c r="I1115" s="25" t="s">
        <v>1555</v>
      </c>
      <c r="J1115" s="22" t="s">
        <v>379</v>
      </c>
      <c r="K1115" s="24"/>
    </row>
    <row r="1116" spans="1:12" s="3" customFormat="1" hidden="1" x14ac:dyDescent="0.3">
      <c r="A1116" s="13" t="s">
        <v>879</v>
      </c>
      <c r="B1116" s="10"/>
      <c r="C1116" s="21">
        <v>10880032939</v>
      </c>
      <c r="D1116" s="21">
        <v>990000115535</v>
      </c>
      <c r="E1116" s="22" t="s">
        <v>1556</v>
      </c>
      <c r="F1116" s="21">
        <v>200</v>
      </c>
      <c r="G1116" s="23">
        <v>46022</v>
      </c>
      <c r="H1116" s="12"/>
      <c r="I1116" s="25" t="s">
        <v>1557</v>
      </c>
      <c r="J1116" s="22" t="s">
        <v>379</v>
      </c>
      <c r="K1116" s="24"/>
    </row>
    <row r="1117" spans="1:12" s="3" customFormat="1" hidden="1" x14ac:dyDescent="0.3">
      <c r="A1117" s="13" t="s">
        <v>879</v>
      </c>
      <c r="B1117" s="10"/>
      <c r="C1117" s="21">
        <v>40880000587</v>
      </c>
      <c r="D1117" s="21">
        <v>990000115610</v>
      </c>
      <c r="E1117" s="22" t="s">
        <v>260</v>
      </c>
      <c r="F1117" s="21">
        <v>48</v>
      </c>
      <c r="G1117" s="23">
        <v>46026</v>
      </c>
      <c r="H1117" s="12"/>
      <c r="I1117" s="25" t="s">
        <v>1558</v>
      </c>
      <c r="J1117" s="22" t="s">
        <v>389</v>
      </c>
      <c r="K1117" s="24"/>
    </row>
    <row r="1118" spans="1:12" s="3" customFormat="1" hidden="1" x14ac:dyDescent="0.3">
      <c r="A1118" s="13" t="s">
        <v>879</v>
      </c>
      <c r="B1118" s="10"/>
      <c r="C1118" s="21">
        <v>10880030551</v>
      </c>
      <c r="D1118" s="21">
        <v>990000115626</v>
      </c>
      <c r="E1118" s="22" t="s">
        <v>763</v>
      </c>
      <c r="F1118" s="21">
        <v>637</v>
      </c>
      <c r="G1118" s="23">
        <v>46026</v>
      </c>
      <c r="H1118" s="12"/>
      <c r="I1118" s="25" t="s">
        <v>1559</v>
      </c>
      <c r="J1118" s="22" t="s">
        <v>379</v>
      </c>
      <c r="K1118" s="24"/>
    </row>
    <row r="1119" spans="1:12" s="3" customFormat="1" hidden="1" x14ac:dyDescent="0.3">
      <c r="A1119" s="13" t="s">
        <v>879</v>
      </c>
      <c r="B1119" s="10"/>
      <c r="C1119" s="21">
        <v>10880034621</v>
      </c>
      <c r="D1119" s="21">
        <v>990000115630</v>
      </c>
      <c r="E1119" s="22" t="s">
        <v>996</v>
      </c>
      <c r="F1119" s="21">
        <v>368</v>
      </c>
      <c r="G1119" s="23">
        <v>46026</v>
      </c>
      <c r="H1119" s="12"/>
      <c r="I1119" s="25" t="s">
        <v>1560</v>
      </c>
      <c r="J1119" s="22" t="s">
        <v>379</v>
      </c>
      <c r="K1119" s="24"/>
    </row>
    <row r="1120" spans="1:12" s="3" customFormat="1" hidden="1" x14ac:dyDescent="0.3">
      <c r="A1120" s="13" t="s">
        <v>879</v>
      </c>
      <c r="B1120" s="10"/>
      <c r="C1120" s="21">
        <v>10880037377</v>
      </c>
      <c r="D1120" s="21">
        <v>990000115643</v>
      </c>
      <c r="E1120" s="22" t="s">
        <v>60</v>
      </c>
      <c r="F1120" s="21">
        <v>1000</v>
      </c>
      <c r="G1120" s="23">
        <v>46027</v>
      </c>
      <c r="H1120" s="12"/>
      <c r="I1120" s="25" t="s">
        <v>1561</v>
      </c>
      <c r="J1120" s="22" t="s">
        <v>379</v>
      </c>
      <c r="K1120" s="24"/>
    </row>
    <row r="1121" spans="1:11" s="3" customFormat="1" hidden="1" x14ac:dyDescent="0.3">
      <c r="A1121" s="13" t="s">
        <v>879</v>
      </c>
      <c r="B1121" s="10"/>
      <c r="C1121" s="21">
        <v>10880033534</v>
      </c>
      <c r="D1121" s="21">
        <v>990000115710</v>
      </c>
      <c r="E1121" s="22" t="s">
        <v>157</v>
      </c>
      <c r="F1121" s="21">
        <v>30</v>
      </c>
      <c r="G1121" s="23">
        <v>46029</v>
      </c>
      <c r="H1121" s="12"/>
      <c r="I1121" s="25" t="s">
        <v>1562</v>
      </c>
      <c r="J1121" s="22" t="s">
        <v>379</v>
      </c>
      <c r="K1121" s="24"/>
    </row>
    <row r="1122" spans="1:11" s="3" customFormat="1" hidden="1" x14ac:dyDescent="0.3">
      <c r="A1122" s="13" t="s">
        <v>879</v>
      </c>
      <c r="B1122" s="10"/>
      <c r="C1122" s="21">
        <v>10880033178</v>
      </c>
      <c r="D1122" s="21">
        <v>990000115707</v>
      </c>
      <c r="E1122" s="22" t="s">
        <v>1563</v>
      </c>
      <c r="F1122" s="21">
        <v>1</v>
      </c>
      <c r="G1122" s="23">
        <v>46029</v>
      </c>
      <c r="H1122" s="12"/>
      <c r="I1122" s="25" t="s">
        <v>1564</v>
      </c>
      <c r="J1122" s="22" t="s">
        <v>379</v>
      </c>
      <c r="K1122" s="24"/>
    </row>
    <row r="1123" spans="1:11" s="3" customFormat="1" hidden="1" x14ac:dyDescent="0.3">
      <c r="A1123" s="13" t="s">
        <v>879</v>
      </c>
      <c r="B1123" s="10"/>
      <c r="C1123" s="21">
        <v>10880037377</v>
      </c>
      <c r="D1123" s="21">
        <v>990000115723</v>
      </c>
      <c r="E1123" s="22" t="s">
        <v>60</v>
      </c>
      <c r="F1123" s="21">
        <v>1000</v>
      </c>
      <c r="G1123" s="23">
        <v>46029</v>
      </c>
      <c r="H1123" s="12"/>
      <c r="I1123" s="25" t="s">
        <v>1565</v>
      </c>
      <c r="J1123" s="22" t="s">
        <v>379</v>
      </c>
      <c r="K1123" s="24"/>
    </row>
    <row r="1124" spans="1:11" s="3" customFormat="1" hidden="1" x14ac:dyDescent="0.3">
      <c r="A1124" s="13" t="s">
        <v>879</v>
      </c>
      <c r="B1124" s="10"/>
      <c r="C1124" s="21">
        <v>10880035299</v>
      </c>
      <c r="D1124" s="21">
        <v>990000115848</v>
      </c>
      <c r="E1124" s="22" t="s">
        <v>1566</v>
      </c>
      <c r="F1124" s="21">
        <v>5</v>
      </c>
      <c r="G1124" s="23">
        <v>46030</v>
      </c>
      <c r="H1124" s="12"/>
      <c r="I1124" s="25" t="s">
        <v>1567</v>
      </c>
      <c r="J1124" s="22" t="s">
        <v>389</v>
      </c>
      <c r="K1124" s="24"/>
    </row>
    <row r="1125" spans="1:11" s="3" customFormat="1" hidden="1" x14ac:dyDescent="0.3">
      <c r="A1125" s="13" t="s">
        <v>879</v>
      </c>
      <c r="B1125" s="10"/>
      <c r="C1125" s="21">
        <v>10880033280</v>
      </c>
      <c r="D1125" s="21">
        <v>990000115832</v>
      </c>
      <c r="E1125" s="22" t="s">
        <v>1568</v>
      </c>
      <c r="F1125" s="21">
        <v>56</v>
      </c>
      <c r="G1125" s="23">
        <v>46032</v>
      </c>
      <c r="H1125" s="12"/>
      <c r="I1125" s="25" t="s">
        <v>1569</v>
      </c>
      <c r="J1125" s="22" t="s">
        <v>379</v>
      </c>
      <c r="K1125" s="24"/>
    </row>
    <row r="1126" spans="1:11" s="3" customFormat="1" hidden="1" x14ac:dyDescent="0.3">
      <c r="A1126" s="13" t="s">
        <v>879</v>
      </c>
      <c r="B1126" s="10"/>
      <c r="C1126" s="21">
        <v>10880034411</v>
      </c>
      <c r="D1126" s="21">
        <v>990000115833</v>
      </c>
      <c r="E1126" s="22" t="s">
        <v>1018</v>
      </c>
      <c r="F1126" s="21">
        <v>83</v>
      </c>
      <c r="G1126" s="23">
        <v>46032</v>
      </c>
      <c r="H1126" s="12"/>
      <c r="I1126" s="25" t="s">
        <v>1570</v>
      </c>
      <c r="J1126" s="22" t="s">
        <v>379</v>
      </c>
      <c r="K1126" s="24"/>
    </row>
    <row r="1127" spans="1:11" s="3" customFormat="1" hidden="1" x14ac:dyDescent="0.3">
      <c r="A1127" s="13" t="s">
        <v>879</v>
      </c>
      <c r="B1127" s="10"/>
      <c r="C1127" s="21">
        <v>10880033279</v>
      </c>
      <c r="D1127" s="21">
        <v>990000115834</v>
      </c>
      <c r="E1127" s="22" t="s">
        <v>73</v>
      </c>
      <c r="F1127" s="21">
        <v>133</v>
      </c>
      <c r="G1127" s="23">
        <v>46032</v>
      </c>
      <c r="H1127" s="12"/>
      <c r="I1127" s="25" t="s">
        <v>1571</v>
      </c>
      <c r="J1127" s="22" t="s">
        <v>379</v>
      </c>
      <c r="K1127" s="24"/>
    </row>
    <row r="1128" spans="1:11" s="3" customFormat="1" hidden="1" x14ac:dyDescent="0.3">
      <c r="A1128" s="13" t="s">
        <v>879</v>
      </c>
      <c r="B1128" s="10"/>
      <c r="C1128" s="21">
        <v>10880037377</v>
      </c>
      <c r="D1128" s="21">
        <v>990000115867</v>
      </c>
      <c r="E1128" s="22" t="s">
        <v>60</v>
      </c>
      <c r="F1128" s="21">
        <v>1000</v>
      </c>
      <c r="G1128" s="23">
        <v>46032</v>
      </c>
      <c r="H1128" s="12"/>
      <c r="I1128" s="25" t="s">
        <v>1561</v>
      </c>
      <c r="J1128" s="22" t="s">
        <v>379</v>
      </c>
      <c r="K1128" s="24"/>
    </row>
    <row r="1129" spans="1:11" s="3" customFormat="1" hidden="1" x14ac:dyDescent="0.3">
      <c r="A1129" s="13" t="s">
        <v>879</v>
      </c>
      <c r="B1129" s="10"/>
      <c r="C1129" s="21">
        <v>10880037377</v>
      </c>
      <c r="D1129" s="21">
        <v>990000115901</v>
      </c>
      <c r="E1129" s="22" t="s">
        <v>60</v>
      </c>
      <c r="F1129" s="21">
        <v>1000</v>
      </c>
      <c r="G1129" s="23">
        <v>46034</v>
      </c>
      <c r="H1129" s="12"/>
      <c r="I1129" s="25" t="s">
        <v>1565</v>
      </c>
      <c r="J1129" s="22" t="s">
        <v>379</v>
      </c>
      <c r="K1129" s="24"/>
    </row>
    <row r="1130" spans="1:11" s="3" customFormat="1" x14ac:dyDescent="0.3">
      <c r="A1130" s="13" t="s">
        <v>879</v>
      </c>
      <c r="B1130" s="10"/>
      <c r="C1130" s="21">
        <v>10880033329</v>
      </c>
      <c r="D1130" s="21">
        <v>990000115970</v>
      </c>
      <c r="E1130" s="22" t="s">
        <v>71</v>
      </c>
      <c r="F1130" s="21">
        <v>219</v>
      </c>
      <c r="G1130" s="23">
        <v>46036</v>
      </c>
      <c r="H1130" s="12"/>
      <c r="I1130" s="25" t="s">
        <v>1572</v>
      </c>
      <c r="J1130" s="22" t="s">
        <v>1573</v>
      </c>
      <c r="K1130" s="24"/>
    </row>
    <row r="1131" spans="1:11" s="3" customFormat="1" hidden="1" x14ac:dyDescent="0.3">
      <c r="A1131" s="13" t="s">
        <v>879</v>
      </c>
      <c r="B1131" s="10"/>
      <c r="C1131" s="21">
        <v>10880037377</v>
      </c>
      <c r="D1131" s="21">
        <v>990000115975</v>
      </c>
      <c r="E1131" s="22" t="s">
        <v>60</v>
      </c>
      <c r="F1131" s="21">
        <v>1500</v>
      </c>
      <c r="G1131" s="23">
        <v>46036</v>
      </c>
      <c r="H1131" s="12"/>
      <c r="I1131" s="25" t="s">
        <v>1574</v>
      </c>
      <c r="J1131" s="22" t="s">
        <v>379</v>
      </c>
      <c r="K1131" s="24"/>
    </row>
    <row r="1132" spans="1:11" s="3" customFormat="1" hidden="1" x14ac:dyDescent="0.3">
      <c r="A1132" s="13" t="s">
        <v>879</v>
      </c>
      <c r="B1132" s="10"/>
      <c r="C1132" s="21">
        <v>10880034411</v>
      </c>
      <c r="D1132" s="21">
        <v>990000115993</v>
      </c>
      <c r="E1132" s="22" t="s">
        <v>1018</v>
      </c>
      <c r="F1132" s="21">
        <v>90</v>
      </c>
      <c r="G1132" s="23">
        <v>46037</v>
      </c>
      <c r="H1132" s="12"/>
      <c r="I1132" s="25" t="s">
        <v>1575</v>
      </c>
      <c r="J1132" s="22" t="s">
        <v>379</v>
      </c>
      <c r="K1132" s="24"/>
    </row>
    <row r="1133" spans="1:11" s="3" customFormat="1" hidden="1" x14ac:dyDescent="0.3">
      <c r="A1133" s="13" t="s">
        <v>879</v>
      </c>
      <c r="B1133" s="10"/>
      <c r="C1133" s="21">
        <v>10880036337</v>
      </c>
      <c r="D1133" s="21">
        <v>990000116007</v>
      </c>
      <c r="E1133" s="22" t="s">
        <v>253</v>
      </c>
      <c r="F1133" s="21">
        <v>10</v>
      </c>
      <c r="G1133" s="23">
        <v>46038</v>
      </c>
      <c r="H1133" s="12"/>
      <c r="I1133" s="25" t="s">
        <v>1576</v>
      </c>
      <c r="J1133" s="22" t="s">
        <v>379</v>
      </c>
      <c r="K1133" s="24"/>
    </row>
    <row r="1134" spans="1:11" s="3" customFormat="1" hidden="1" x14ac:dyDescent="0.3">
      <c r="A1134" s="13" t="s">
        <v>879</v>
      </c>
      <c r="B1134" s="10"/>
      <c r="C1134" s="21">
        <v>10880033217</v>
      </c>
      <c r="D1134" s="21">
        <v>990000116008</v>
      </c>
      <c r="E1134" s="22" t="s">
        <v>232</v>
      </c>
      <c r="F1134" s="21">
        <v>5</v>
      </c>
      <c r="G1134" s="23">
        <v>46038</v>
      </c>
      <c r="H1134" s="12"/>
      <c r="I1134" s="25" t="s">
        <v>1577</v>
      </c>
      <c r="J1134" s="22" t="s">
        <v>379</v>
      </c>
      <c r="K1134" s="24"/>
    </row>
    <row r="1135" spans="1:11" s="3" customFormat="1" hidden="1" x14ac:dyDescent="0.3">
      <c r="A1135" s="13" t="s">
        <v>879</v>
      </c>
      <c r="B1135" s="10"/>
      <c r="C1135" s="21">
        <v>10880036760</v>
      </c>
      <c r="D1135" s="21">
        <v>990000116009</v>
      </c>
      <c r="E1135" s="22" t="s">
        <v>178</v>
      </c>
      <c r="F1135" s="21">
        <v>211</v>
      </c>
      <c r="G1135" s="23">
        <v>46038</v>
      </c>
      <c r="H1135" s="12"/>
      <c r="I1135" s="25" t="s">
        <v>1578</v>
      </c>
      <c r="J1135" s="22" t="s">
        <v>379</v>
      </c>
      <c r="K1135" s="24"/>
    </row>
    <row r="1136" spans="1:11" s="3" customFormat="1" hidden="1" x14ac:dyDescent="0.3">
      <c r="A1136" s="13" t="s">
        <v>879</v>
      </c>
      <c r="B1136" s="10"/>
      <c r="C1136" s="21">
        <v>10880036325</v>
      </c>
      <c r="D1136" s="21">
        <v>990000116010</v>
      </c>
      <c r="E1136" s="22" t="s">
        <v>193</v>
      </c>
      <c r="F1136" s="21">
        <v>23</v>
      </c>
      <c r="G1136" s="23">
        <v>46038</v>
      </c>
      <c r="H1136" s="12"/>
      <c r="I1136" s="25" t="s">
        <v>1579</v>
      </c>
      <c r="J1136" s="22" t="s">
        <v>379</v>
      </c>
      <c r="K1136" s="24"/>
    </row>
    <row r="1137" spans="1:12" s="3" customFormat="1" hidden="1" x14ac:dyDescent="0.3">
      <c r="A1137" s="13" t="s">
        <v>879</v>
      </c>
      <c r="B1137" s="10"/>
      <c r="C1137" s="21">
        <v>10880031157</v>
      </c>
      <c r="D1137" s="21">
        <v>990000116036</v>
      </c>
      <c r="E1137" s="22" t="s">
        <v>230</v>
      </c>
      <c r="F1137" s="21">
        <v>500</v>
      </c>
      <c r="G1137" s="23">
        <v>46038</v>
      </c>
      <c r="H1137" s="12"/>
      <c r="I1137" s="25" t="s">
        <v>1580</v>
      </c>
      <c r="J1137" s="22" t="s">
        <v>379</v>
      </c>
      <c r="K1137" s="24"/>
    </row>
    <row r="1138" spans="1:12" s="3" customFormat="1" hidden="1" x14ac:dyDescent="0.3">
      <c r="A1138" s="13" t="s">
        <v>879</v>
      </c>
      <c r="B1138" s="10"/>
      <c r="C1138" s="21">
        <v>10880035232</v>
      </c>
      <c r="D1138" s="21">
        <v>990000116037</v>
      </c>
      <c r="E1138" s="22" t="s">
        <v>1288</v>
      </c>
      <c r="F1138" s="21">
        <v>3</v>
      </c>
      <c r="G1138" s="23">
        <v>46038</v>
      </c>
      <c r="H1138" s="12"/>
      <c r="I1138" s="25" t="s">
        <v>1581</v>
      </c>
      <c r="J1138" s="22" t="s">
        <v>379</v>
      </c>
      <c r="K1138" s="24"/>
    </row>
    <row r="1139" spans="1:12" s="3" customFormat="1" hidden="1" x14ac:dyDescent="0.3">
      <c r="A1139" s="13" t="s">
        <v>879</v>
      </c>
      <c r="B1139" s="10"/>
      <c r="C1139" s="21">
        <v>10880036350</v>
      </c>
      <c r="D1139" s="21">
        <v>990000116039</v>
      </c>
      <c r="E1139" s="22" t="s">
        <v>225</v>
      </c>
      <c r="F1139" s="21">
        <v>138</v>
      </c>
      <c r="G1139" s="23">
        <v>46038</v>
      </c>
      <c r="H1139" s="12"/>
      <c r="I1139" s="25" t="s">
        <v>1582</v>
      </c>
      <c r="J1139" s="22" t="s">
        <v>379</v>
      </c>
      <c r="K1139" s="24"/>
    </row>
    <row r="1140" spans="1:12" s="3" customFormat="1" hidden="1" x14ac:dyDescent="0.3">
      <c r="A1140" s="13" t="s">
        <v>879</v>
      </c>
      <c r="B1140" s="10"/>
      <c r="C1140" s="21">
        <v>10880036704</v>
      </c>
      <c r="D1140" s="21">
        <v>990000116048</v>
      </c>
      <c r="E1140" s="22" t="s">
        <v>194</v>
      </c>
      <c r="F1140" s="21">
        <v>142</v>
      </c>
      <c r="G1140" s="23">
        <v>46038</v>
      </c>
      <c r="H1140" s="12"/>
      <c r="I1140" s="25" t="s">
        <v>1583</v>
      </c>
      <c r="J1140" s="22" t="s">
        <v>379</v>
      </c>
      <c r="K1140" s="24"/>
    </row>
    <row r="1141" spans="1:12" s="3" customFormat="1" hidden="1" x14ac:dyDescent="0.3">
      <c r="A1141" s="13" t="s">
        <v>879</v>
      </c>
      <c r="B1141" s="10"/>
      <c r="C1141" s="21">
        <v>10880022044</v>
      </c>
      <c r="D1141" s="21">
        <v>990000116050</v>
      </c>
      <c r="E1141" s="22" t="s">
        <v>417</v>
      </c>
      <c r="F1141" s="21">
        <v>557</v>
      </c>
      <c r="G1141" s="23">
        <v>46038</v>
      </c>
      <c r="H1141" s="12"/>
      <c r="I1141" s="25" t="s">
        <v>1584</v>
      </c>
      <c r="J1141" s="22" t="s">
        <v>379</v>
      </c>
      <c r="K1141" s="24"/>
    </row>
    <row r="1142" spans="1:12" s="3" customFormat="1" hidden="1" x14ac:dyDescent="0.3">
      <c r="A1142" s="13" t="s">
        <v>879</v>
      </c>
      <c r="B1142" s="10"/>
      <c r="C1142" s="21">
        <v>10880032759</v>
      </c>
      <c r="D1142" s="21">
        <v>990000116052</v>
      </c>
      <c r="E1142" s="22" t="s">
        <v>699</v>
      </c>
      <c r="F1142" s="21">
        <v>126</v>
      </c>
      <c r="G1142" s="23">
        <v>46039</v>
      </c>
      <c r="H1142" s="12"/>
      <c r="I1142" s="25" t="s">
        <v>1585</v>
      </c>
      <c r="J1142" s="22" t="s">
        <v>389</v>
      </c>
      <c r="K1142" s="24"/>
    </row>
    <row r="1143" spans="1:12" s="3" customFormat="1" hidden="1" x14ac:dyDescent="0.3">
      <c r="A1143" s="13" t="s">
        <v>879</v>
      </c>
      <c r="B1143" s="10"/>
      <c r="C1143" s="21">
        <v>10880036706</v>
      </c>
      <c r="D1143" s="21">
        <v>990000116053</v>
      </c>
      <c r="E1143" s="22" t="s">
        <v>181</v>
      </c>
      <c r="F1143" s="21">
        <v>95</v>
      </c>
      <c r="G1143" s="23">
        <v>46039</v>
      </c>
      <c r="H1143" s="12"/>
      <c r="I1143" s="25" t="s">
        <v>1586</v>
      </c>
      <c r="J1143" s="22" t="s">
        <v>379</v>
      </c>
      <c r="K1143" s="24"/>
    </row>
    <row r="1144" spans="1:12" s="3" customFormat="1" hidden="1" x14ac:dyDescent="0.3">
      <c r="A1144" s="13" t="s">
        <v>879</v>
      </c>
      <c r="B1144" s="10"/>
      <c r="C1144" s="21">
        <v>10880031160</v>
      </c>
      <c r="D1144" s="21">
        <v>990000116054</v>
      </c>
      <c r="E1144" s="22" t="s">
        <v>231</v>
      </c>
      <c r="F1144" s="21">
        <v>150</v>
      </c>
      <c r="G1144" s="23">
        <v>46039</v>
      </c>
      <c r="H1144" s="12"/>
      <c r="I1144" s="25" t="s">
        <v>1587</v>
      </c>
      <c r="J1144" s="22" t="s">
        <v>379</v>
      </c>
      <c r="K1144" s="24"/>
    </row>
    <row r="1145" spans="1:12" s="3" customFormat="1" hidden="1" x14ac:dyDescent="0.3">
      <c r="A1145" s="13" t="s">
        <v>879</v>
      </c>
      <c r="B1145" s="10"/>
      <c r="C1145" s="21">
        <v>10880036349</v>
      </c>
      <c r="D1145" s="21">
        <v>990000116055</v>
      </c>
      <c r="E1145" s="22" t="s">
        <v>177</v>
      </c>
      <c r="F1145" s="21">
        <v>24</v>
      </c>
      <c r="G1145" s="23">
        <v>46039</v>
      </c>
      <c r="H1145" s="12"/>
      <c r="I1145" s="25" t="s">
        <v>1588</v>
      </c>
      <c r="J1145" s="22" t="s">
        <v>379</v>
      </c>
      <c r="K1145" s="24"/>
    </row>
    <row r="1146" spans="1:12" s="3" customFormat="1" hidden="1" x14ac:dyDescent="0.3">
      <c r="A1146" s="13" t="s">
        <v>879</v>
      </c>
      <c r="B1146" s="10"/>
      <c r="C1146" s="21">
        <v>10880033805</v>
      </c>
      <c r="D1146" s="21">
        <v>990000116056</v>
      </c>
      <c r="E1146" s="22" t="s">
        <v>240</v>
      </c>
      <c r="F1146" s="21">
        <v>296</v>
      </c>
      <c r="G1146" s="23">
        <v>46039</v>
      </c>
      <c r="H1146" s="12"/>
      <c r="I1146" s="25" t="s">
        <v>1589</v>
      </c>
      <c r="J1146" s="22" t="s">
        <v>379</v>
      </c>
      <c r="K1146" s="24"/>
    </row>
    <row r="1147" spans="1:12" s="3" customFormat="1" hidden="1" x14ac:dyDescent="0.3">
      <c r="A1147" s="13" t="s">
        <v>879</v>
      </c>
      <c r="B1147" s="10"/>
      <c r="C1147" s="21">
        <v>10880036337</v>
      </c>
      <c r="D1147" s="21">
        <v>990000116079</v>
      </c>
      <c r="E1147" s="22" t="s">
        <v>253</v>
      </c>
      <c r="F1147" s="21">
        <v>300</v>
      </c>
      <c r="G1147" s="23">
        <v>46041</v>
      </c>
      <c r="H1147" s="12"/>
      <c r="I1147" s="25" t="s">
        <v>1590</v>
      </c>
      <c r="J1147" s="22" t="s">
        <v>379</v>
      </c>
      <c r="K1147" s="24"/>
      <c r="L1147" s="4"/>
    </row>
    <row r="1148" spans="1:12" s="3" customFormat="1" hidden="1" x14ac:dyDescent="0.3">
      <c r="A1148" s="13" t="s">
        <v>879</v>
      </c>
      <c r="B1148" s="10"/>
      <c r="C1148" s="21">
        <v>10880037377</v>
      </c>
      <c r="D1148" s="21">
        <v>990000116049</v>
      </c>
      <c r="E1148" s="22" t="s">
        <v>60</v>
      </c>
      <c r="F1148" s="21">
        <v>1200</v>
      </c>
      <c r="G1148" s="23">
        <v>46038</v>
      </c>
      <c r="H1148" s="12"/>
      <c r="I1148" s="25" t="s">
        <v>1574</v>
      </c>
      <c r="J1148" s="22" t="s">
        <v>379</v>
      </c>
      <c r="K1148" s="24"/>
      <c r="L1148" s="4"/>
    </row>
    <row r="1149" spans="1:12" s="3" customFormat="1" hidden="1" x14ac:dyDescent="0.3">
      <c r="A1149" s="13" t="s">
        <v>879</v>
      </c>
      <c r="B1149" s="10"/>
      <c r="C1149" s="10">
        <v>10880030335</v>
      </c>
      <c r="D1149" s="11">
        <v>990000105041</v>
      </c>
      <c r="E1149" s="10" t="s">
        <v>1591</v>
      </c>
      <c r="F1149" s="10">
        <v>73</v>
      </c>
      <c r="G1149" s="12">
        <v>45635</v>
      </c>
      <c r="H1149" s="12"/>
      <c r="I1149" s="10" t="s">
        <v>1592</v>
      </c>
      <c r="J1149" s="10" t="s">
        <v>379</v>
      </c>
      <c r="K1149" s="27" t="e">
        <f>VLOOKUP(D1149,[8]Sheet1!$J:$J,1,0)</f>
        <v>#N/A</v>
      </c>
      <c r="L1149" s="4"/>
    </row>
    <row r="1150" spans="1:12" s="3" customFormat="1" hidden="1" x14ac:dyDescent="0.3">
      <c r="A1150" s="13" t="s">
        <v>879</v>
      </c>
      <c r="B1150" s="10"/>
      <c r="C1150" s="10">
        <v>10880030023</v>
      </c>
      <c r="D1150" s="11">
        <v>990000109813</v>
      </c>
      <c r="E1150" s="10" t="s">
        <v>577</v>
      </c>
      <c r="F1150" s="10">
        <v>649</v>
      </c>
      <c r="G1150" s="12">
        <v>45807</v>
      </c>
      <c r="H1150" s="12"/>
      <c r="I1150" s="10" t="s">
        <v>1593</v>
      </c>
      <c r="J1150" s="10" t="s">
        <v>379</v>
      </c>
      <c r="K1150" s="27" t="e">
        <f>VLOOKUP(D1150,[8]Sheet1!$J:$J,1,0)</f>
        <v>#N/A</v>
      </c>
      <c r="L1150" s="4"/>
    </row>
    <row r="1151" spans="1:12" s="3" customFormat="1" x14ac:dyDescent="0.3">
      <c r="A1151" s="13" t="s">
        <v>879</v>
      </c>
      <c r="B1151" s="10"/>
      <c r="C1151" s="10">
        <v>10880034196</v>
      </c>
      <c r="D1151" s="11">
        <v>990000113900</v>
      </c>
      <c r="E1151" s="10" t="s">
        <v>1052</v>
      </c>
      <c r="F1151" s="10">
        <v>1</v>
      </c>
      <c r="G1151" s="12">
        <v>45959</v>
      </c>
      <c r="H1151" s="12"/>
      <c r="I1151" s="10" t="s">
        <v>1594</v>
      </c>
      <c r="J1151" s="10" t="s">
        <v>379</v>
      </c>
      <c r="K1151" s="27" t="e">
        <f>VLOOKUP(D1151,[8]Sheet1!$J:$J,1,0)</f>
        <v>#N/A</v>
      </c>
      <c r="L1151" s="4"/>
    </row>
    <row r="1152" spans="1:12" s="3" customFormat="1" hidden="1" x14ac:dyDescent="0.3">
      <c r="A1152" s="13" t="s">
        <v>879</v>
      </c>
      <c r="B1152" s="10"/>
      <c r="C1152" s="10">
        <v>10880034619</v>
      </c>
      <c r="D1152" s="11">
        <v>990000113986</v>
      </c>
      <c r="E1152" s="10" t="s">
        <v>53</v>
      </c>
      <c r="F1152" s="10">
        <v>10</v>
      </c>
      <c r="G1152" s="12">
        <v>45959</v>
      </c>
      <c r="H1152" s="12"/>
      <c r="I1152" s="10" t="s">
        <v>1595</v>
      </c>
      <c r="J1152" s="10" t="s">
        <v>379</v>
      </c>
      <c r="K1152" s="27" t="e">
        <f>VLOOKUP(D1152,[8]Sheet1!$J:$J,1,0)</f>
        <v>#N/A</v>
      </c>
      <c r="L1152" s="4"/>
    </row>
    <row r="1153" spans="1:12" s="3" customFormat="1" hidden="1" x14ac:dyDescent="0.3">
      <c r="A1153" s="13" t="s">
        <v>879</v>
      </c>
      <c r="B1153" s="10"/>
      <c r="C1153" s="21">
        <v>10880033661</v>
      </c>
      <c r="D1153" s="21">
        <v>990000115518</v>
      </c>
      <c r="E1153" s="22" t="s">
        <v>1417</v>
      </c>
      <c r="F1153" s="21">
        <v>1000</v>
      </c>
      <c r="G1153" s="23">
        <v>46018</v>
      </c>
      <c r="H1153" s="12"/>
      <c r="I1153" s="25" t="s">
        <v>1499</v>
      </c>
      <c r="J1153" s="22" t="s">
        <v>379</v>
      </c>
      <c r="K1153" s="27" t="e">
        <f>VLOOKUP(D1153,[8]Sheet1!$J:$J,1,0)</f>
        <v>#N/A</v>
      </c>
      <c r="L1153" s="4"/>
    </row>
    <row r="1154" spans="1:12" s="3" customFormat="1" hidden="1" x14ac:dyDescent="0.3">
      <c r="A1154" s="13" t="s">
        <v>879</v>
      </c>
      <c r="B1154" s="10"/>
      <c r="C1154" s="21">
        <v>10880034669</v>
      </c>
      <c r="D1154" s="21">
        <v>990000115711</v>
      </c>
      <c r="E1154" s="22" t="s">
        <v>153</v>
      </c>
      <c r="F1154" s="21">
        <v>16289</v>
      </c>
      <c r="G1154" s="23">
        <v>46029</v>
      </c>
      <c r="H1154" s="12"/>
      <c r="I1154" s="25" t="s">
        <v>1596</v>
      </c>
      <c r="J1154" s="22" t="s">
        <v>389</v>
      </c>
      <c r="K1154" s="27" t="e">
        <f>VLOOKUP(D1154,[8]Sheet1!$J:$J,1,0)</f>
        <v>#N/A</v>
      </c>
      <c r="L1154" s="4"/>
    </row>
    <row r="1155" spans="1:12" s="3" customFormat="1" hidden="1" x14ac:dyDescent="0.3">
      <c r="A1155" s="13" t="s">
        <v>879</v>
      </c>
      <c r="B1155" s="10"/>
      <c r="C1155" s="21">
        <v>10880030841</v>
      </c>
      <c r="D1155" s="21">
        <v>990000115731</v>
      </c>
      <c r="E1155" s="22" t="s">
        <v>670</v>
      </c>
      <c r="F1155" s="21">
        <v>8</v>
      </c>
      <c r="G1155" s="23">
        <v>46030</v>
      </c>
      <c r="H1155" s="12"/>
      <c r="I1155" s="25" t="s">
        <v>1597</v>
      </c>
      <c r="J1155" s="22" t="s">
        <v>379</v>
      </c>
      <c r="K1155" s="27" t="e">
        <f>VLOOKUP(D1155,[8]Sheet1!$J:$J,1,0)</f>
        <v>#N/A</v>
      </c>
      <c r="L1155" s="4"/>
    </row>
    <row r="1156" spans="1:12" s="3" customFormat="1" x14ac:dyDescent="0.3">
      <c r="A1156" s="13" t="s">
        <v>879</v>
      </c>
      <c r="B1156" s="10"/>
      <c r="C1156" s="21">
        <v>10880031525</v>
      </c>
      <c r="D1156" s="21">
        <v>990000116126</v>
      </c>
      <c r="E1156" s="22" t="s">
        <v>796</v>
      </c>
      <c r="F1156" s="21">
        <v>279</v>
      </c>
      <c r="G1156" s="23">
        <v>46045</v>
      </c>
      <c r="H1156" s="12"/>
      <c r="I1156" s="25" t="s">
        <v>1598</v>
      </c>
      <c r="J1156" s="22" t="s">
        <v>732</v>
      </c>
      <c r="K1156" s="27" t="e">
        <f>VLOOKUP(D1156,[8]Sheet1!$J:$J,1,0)</f>
        <v>#N/A</v>
      </c>
    </row>
    <row r="1157" spans="1:12" s="3" customFormat="1" x14ac:dyDescent="0.3">
      <c r="A1157" s="13" t="s">
        <v>879</v>
      </c>
      <c r="B1157" s="10"/>
      <c r="C1157" s="21">
        <v>10880035325</v>
      </c>
      <c r="D1157" s="21">
        <v>990000116127</v>
      </c>
      <c r="E1157" s="22" t="s">
        <v>1122</v>
      </c>
      <c r="F1157" s="21">
        <v>270</v>
      </c>
      <c r="G1157" s="23">
        <v>46045</v>
      </c>
      <c r="H1157" s="12"/>
      <c r="I1157" s="25" t="s">
        <v>1598</v>
      </c>
      <c r="J1157" s="22" t="s">
        <v>732</v>
      </c>
      <c r="K1157" s="27" t="e">
        <f>VLOOKUP(D1157,[8]Sheet1!$J:$J,1,0)</f>
        <v>#N/A</v>
      </c>
      <c r="L1157" s="4"/>
    </row>
    <row r="1158" spans="1:12" s="3" customFormat="1" hidden="1" x14ac:dyDescent="0.3">
      <c r="A1158" s="13" t="s">
        <v>879</v>
      </c>
      <c r="B1158" s="10"/>
      <c r="C1158" s="21">
        <v>10880030520</v>
      </c>
      <c r="D1158" s="21">
        <v>990000116107</v>
      </c>
      <c r="E1158" s="22" t="s">
        <v>214</v>
      </c>
      <c r="F1158" s="21">
        <v>78</v>
      </c>
      <c r="G1158" s="23">
        <v>46043</v>
      </c>
      <c r="H1158" s="12"/>
      <c r="I1158" s="25" t="s">
        <v>1599</v>
      </c>
      <c r="J1158" s="22" t="s">
        <v>379</v>
      </c>
      <c r="K1158" s="27"/>
      <c r="L1158" s="4"/>
    </row>
    <row r="1159" spans="1:12" s="3" customFormat="1" hidden="1" x14ac:dyDescent="0.3">
      <c r="A1159" s="13" t="s">
        <v>879</v>
      </c>
      <c r="B1159" s="10"/>
      <c r="C1159" s="21">
        <v>10880036135</v>
      </c>
      <c r="D1159" s="21">
        <v>990000112395</v>
      </c>
      <c r="E1159" s="22" t="s">
        <v>1441</v>
      </c>
      <c r="F1159" s="21">
        <v>100</v>
      </c>
      <c r="G1159" s="23">
        <v>45898</v>
      </c>
      <c r="H1159" s="12"/>
      <c r="I1159" s="25"/>
      <c r="J1159" s="22" t="s">
        <v>1600</v>
      </c>
      <c r="K1159" s="27"/>
      <c r="L1159" s="4"/>
    </row>
    <row r="1160" spans="1:12" s="3" customFormat="1" hidden="1" x14ac:dyDescent="0.3">
      <c r="A1160" s="13" t="s">
        <v>879</v>
      </c>
      <c r="B1160" s="10"/>
      <c r="C1160" s="21">
        <v>10880032885</v>
      </c>
      <c r="D1160" s="21">
        <v>990000113458</v>
      </c>
      <c r="E1160" s="22" t="s">
        <v>156</v>
      </c>
      <c r="F1160" s="21">
        <v>1753</v>
      </c>
      <c r="G1160" s="23">
        <v>45941</v>
      </c>
      <c r="H1160" s="12"/>
      <c r="I1160" s="25" t="s">
        <v>1601</v>
      </c>
      <c r="J1160" s="22" t="s">
        <v>1602</v>
      </c>
      <c r="K1160" s="27"/>
      <c r="L1160" s="4"/>
    </row>
    <row r="1161" spans="1:12" s="3" customFormat="1" hidden="1" x14ac:dyDescent="0.3">
      <c r="A1161" s="13" t="s">
        <v>879</v>
      </c>
      <c r="B1161" s="10"/>
      <c r="C1161" s="21">
        <v>10880037231</v>
      </c>
      <c r="D1161" s="21">
        <v>990000114031</v>
      </c>
      <c r="E1161" s="22" t="s">
        <v>1603</v>
      </c>
      <c r="F1161" s="21">
        <v>33</v>
      </c>
      <c r="G1161" s="23">
        <v>45960</v>
      </c>
      <c r="H1161" s="12"/>
      <c r="I1161" s="25" t="s">
        <v>1604</v>
      </c>
      <c r="J1161" s="22" t="s">
        <v>379</v>
      </c>
      <c r="K1161" s="27"/>
    </row>
    <row r="1162" spans="1:12" s="3" customFormat="1" hidden="1" x14ac:dyDescent="0.3">
      <c r="A1162" s="13" t="s">
        <v>879</v>
      </c>
      <c r="B1162" s="10"/>
      <c r="C1162" s="21">
        <v>10880037382</v>
      </c>
      <c r="D1162" s="21">
        <v>990000114365</v>
      </c>
      <c r="E1162" s="22" t="s">
        <v>94</v>
      </c>
      <c r="F1162" s="21">
        <v>200</v>
      </c>
      <c r="G1162" s="23">
        <v>45974</v>
      </c>
      <c r="H1162" s="12"/>
      <c r="I1162" s="25" t="s">
        <v>1605</v>
      </c>
      <c r="J1162" s="22" t="s">
        <v>379</v>
      </c>
      <c r="K1162" s="27"/>
      <c r="L1162" s="4"/>
    </row>
    <row r="1163" spans="1:12" s="3" customFormat="1" hidden="1" x14ac:dyDescent="0.3">
      <c r="A1163" s="13" t="s">
        <v>879</v>
      </c>
      <c r="B1163" s="10"/>
      <c r="C1163" s="21">
        <v>10880035235</v>
      </c>
      <c r="D1163" s="21">
        <v>990000114662</v>
      </c>
      <c r="E1163" s="22" t="s">
        <v>159</v>
      </c>
      <c r="F1163" s="21">
        <v>3120</v>
      </c>
      <c r="G1163" s="23">
        <v>45983</v>
      </c>
      <c r="H1163" s="12"/>
      <c r="I1163" s="25" t="s">
        <v>1606</v>
      </c>
      <c r="J1163" s="22" t="s">
        <v>379</v>
      </c>
      <c r="K1163" s="27"/>
      <c r="L1163" s="4"/>
    </row>
    <row r="1164" spans="1:12" s="3" customFormat="1" hidden="1" x14ac:dyDescent="0.3">
      <c r="A1164" s="13" t="s">
        <v>879</v>
      </c>
      <c r="B1164" s="10"/>
      <c r="C1164" s="21">
        <v>10880034195</v>
      </c>
      <c r="D1164" s="21">
        <v>990000114735</v>
      </c>
      <c r="E1164" s="22" t="s">
        <v>1022</v>
      </c>
      <c r="F1164" s="21">
        <v>44</v>
      </c>
      <c r="G1164" s="23">
        <v>45990</v>
      </c>
      <c r="H1164" s="12"/>
      <c r="I1164" s="25" t="s">
        <v>1607</v>
      </c>
      <c r="J1164" s="22" t="s">
        <v>379</v>
      </c>
      <c r="K1164" s="27"/>
      <c r="L1164" s="4"/>
    </row>
    <row r="1165" spans="1:12" s="3" customFormat="1" hidden="1" x14ac:dyDescent="0.3">
      <c r="A1165" s="13" t="s">
        <v>879</v>
      </c>
      <c r="B1165" s="10"/>
      <c r="C1165" s="21">
        <v>10880035379</v>
      </c>
      <c r="D1165" s="21">
        <v>990000114783</v>
      </c>
      <c r="E1165" s="22" t="s">
        <v>1113</v>
      </c>
      <c r="F1165" s="21">
        <v>513</v>
      </c>
      <c r="G1165" s="23">
        <v>45992</v>
      </c>
      <c r="H1165" s="12"/>
      <c r="I1165" s="25" t="s">
        <v>1608</v>
      </c>
      <c r="J1165" s="22" t="s">
        <v>379</v>
      </c>
      <c r="K1165" s="27"/>
      <c r="L1165" s="4"/>
    </row>
    <row r="1166" spans="1:12" s="3" customFormat="1" hidden="1" x14ac:dyDescent="0.3">
      <c r="A1166" s="13" t="s">
        <v>879</v>
      </c>
      <c r="B1166" s="10"/>
      <c r="C1166" s="21">
        <v>10880033585</v>
      </c>
      <c r="D1166" s="21">
        <v>990000115517</v>
      </c>
      <c r="E1166" s="22" t="s">
        <v>62</v>
      </c>
      <c r="F1166" s="21">
        <v>1200</v>
      </c>
      <c r="G1166" s="23">
        <v>46018</v>
      </c>
      <c r="H1166" s="12"/>
      <c r="I1166" s="25" t="s">
        <v>1609</v>
      </c>
      <c r="J1166" s="22" t="s">
        <v>379</v>
      </c>
      <c r="K1166" s="27"/>
      <c r="L1166" s="4"/>
    </row>
    <row r="1167" spans="1:12" s="3" customFormat="1" hidden="1" x14ac:dyDescent="0.3">
      <c r="A1167" s="13" t="s">
        <v>879</v>
      </c>
      <c r="B1167" s="10"/>
      <c r="C1167" s="21">
        <v>10880037377</v>
      </c>
      <c r="D1167" s="21">
        <v>990000116090</v>
      </c>
      <c r="E1167" s="22" t="s">
        <v>60</v>
      </c>
      <c r="F1167" s="21">
        <v>900</v>
      </c>
      <c r="G1167" s="23">
        <v>46043</v>
      </c>
      <c r="H1167" s="12"/>
      <c r="I1167" s="25" t="s">
        <v>1610</v>
      </c>
      <c r="J1167" s="22" t="s">
        <v>379</v>
      </c>
      <c r="K1167" s="27">
        <f>VLOOKUP(D1167,[8]Sheet1!$J:$J,1,0)</f>
        <v>990000116090</v>
      </c>
      <c r="L1167" s="4"/>
    </row>
    <row r="1168" spans="1:12" s="3" customFormat="1" hidden="1" x14ac:dyDescent="0.3">
      <c r="A1168" s="13" t="s">
        <v>879</v>
      </c>
      <c r="B1168" s="10"/>
      <c r="C1168" s="21">
        <v>10880034629</v>
      </c>
      <c r="D1168" s="21">
        <v>990000116093</v>
      </c>
      <c r="E1168" s="22" t="s">
        <v>1227</v>
      </c>
      <c r="F1168" s="21">
        <v>154</v>
      </c>
      <c r="G1168" s="23">
        <v>46043</v>
      </c>
      <c r="H1168" s="12"/>
      <c r="I1168" s="25" t="s">
        <v>1611</v>
      </c>
      <c r="J1168" s="22" t="s">
        <v>379</v>
      </c>
      <c r="K1168" s="27"/>
    </row>
    <row r="1169" spans="1:12" s="3" customFormat="1" hidden="1" x14ac:dyDescent="0.3">
      <c r="A1169" s="13" t="s">
        <v>879</v>
      </c>
      <c r="B1169" s="10"/>
      <c r="C1169" s="21">
        <v>10880032885</v>
      </c>
      <c r="D1169" s="21">
        <v>990000116094</v>
      </c>
      <c r="E1169" s="22" t="s">
        <v>156</v>
      </c>
      <c r="F1169" s="21">
        <v>1105</v>
      </c>
      <c r="G1169" s="23">
        <v>46043</v>
      </c>
      <c r="H1169" s="12"/>
      <c r="I1169" s="25" t="s">
        <v>1612</v>
      </c>
      <c r="J1169" s="22" t="s">
        <v>379</v>
      </c>
      <c r="K1169" s="27">
        <f>VLOOKUP(D1169,[8]Sheet1!$J:$J,1,0)</f>
        <v>990000116094</v>
      </c>
      <c r="L1169" s="4"/>
    </row>
    <row r="1170" spans="1:12" s="3" customFormat="1" hidden="1" x14ac:dyDescent="0.3">
      <c r="A1170" s="13" t="s">
        <v>879</v>
      </c>
      <c r="B1170" s="10"/>
      <c r="C1170" s="21">
        <v>10880035409</v>
      </c>
      <c r="D1170" s="21">
        <v>990000116095</v>
      </c>
      <c r="E1170" s="22" t="s">
        <v>332</v>
      </c>
      <c r="F1170" s="21">
        <v>1192</v>
      </c>
      <c r="G1170" s="23">
        <v>46043</v>
      </c>
      <c r="H1170" s="12"/>
      <c r="I1170" s="25" t="s">
        <v>1613</v>
      </c>
      <c r="J1170" s="22" t="s">
        <v>379</v>
      </c>
      <c r="K1170" s="27"/>
      <c r="L1170" s="4"/>
    </row>
    <row r="1171" spans="1:12" s="3" customFormat="1" hidden="1" x14ac:dyDescent="0.3">
      <c r="A1171" s="13" t="s">
        <v>879</v>
      </c>
      <c r="B1171" s="10"/>
      <c r="C1171" s="21">
        <v>10880031871</v>
      </c>
      <c r="D1171" s="21">
        <v>990000116255</v>
      </c>
      <c r="E1171" s="22" t="s">
        <v>154</v>
      </c>
      <c r="F1171" s="21">
        <v>335</v>
      </c>
      <c r="G1171" s="23">
        <v>46045</v>
      </c>
      <c r="H1171" s="12"/>
      <c r="I1171" s="25" t="s">
        <v>1614</v>
      </c>
      <c r="J1171" s="22" t="s">
        <v>379</v>
      </c>
      <c r="K1171" s="27"/>
      <c r="L1171" s="4"/>
    </row>
    <row r="1172" spans="1:12" s="3" customFormat="1" hidden="1" x14ac:dyDescent="0.3">
      <c r="A1172" s="13" t="s">
        <v>879</v>
      </c>
      <c r="B1172" s="10"/>
      <c r="C1172" s="21">
        <v>10880033130</v>
      </c>
      <c r="D1172" s="21">
        <v>990000116278</v>
      </c>
      <c r="E1172" s="22" t="s">
        <v>1615</v>
      </c>
      <c r="F1172" s="21">
        <v>384</v>
      </c>
      <c r="G1172" s="23">
        <v>46047</v>
      </c>
      <c r="H1172" s="12"/>
      <c r="I1172" s="25" t="s">
        <v>1616</v>
      </c>
      <c r="J1172" s="22" t="s">
        <v>379</v>
      </c>
      <c r="K1172" s="27">
        <f>VLOOKUP(D1172,[8]Sheet1!$J:$J,1,0)</f>
        <v>990000116278</v>
      </c>
      <c r="L1172" s="4"/>
    </row>
    <row r="1173" spans="1:12" s="3" customFormat="1" hidden="1" x14ac:dyDescent="0.3">
      <c r="A1173" s="13" t="s">
        <v>879</v>
      </c>
      <c r="B1173" s="10"/>
      <c r="C1173" s="21">
        <v>10880032774</v>
      </c>
      <c r="D1173" s="21">
        <v>990000116279</v>
      </c>
      <c r="E1173" s="22" t="s">
        <v>318</v>
      </c>
      <c r="F1173" s="21">
        <v>114</v>
      </c>
      <c r="G1173" s="23">
        <v>46047</v>
      </c>
      <c r="H1173" s="12"/>
      <c r="I1173" s="25" t="s">
        <v>1617</v>
      </c>
      <c r="J1173" s="22" t="s">
        <v>379</v>
      </c>
      <c r="K1173" s="27">
        <f>VLOOKUP(D1173,[8]Sheet1!$J:$J,1,0)</f>
        <v>990000116279</v>
      </c>
      <c r="L1173" s="4"/>
    </row>
    <row r="1174" spans="1:12" s="3" customFormat="1" hidden="1" x14ac:dyDescent="0.3">
      <c r="A1174" s="13" t="s">
        <v>879</v>
      </c>
      <c r="B1174" s="10"/>
      <c r="C1174" s="21">
        <v>10880037377</v>
      </c>
      <c r="D1174" s="21">
        <v>990000116280</v>
      </c>
      <c r="E1174" s="22" t="s">
        <v>60</v>
      </c>
      <c r="F1174" s="21">
        <v>1350</v>
      </c>
      <c r="G1174" s="23">
        <v>46047</v>
      </c>
      <c r="H1174" s="12"/>
      <c r="I1174" s="25" t="s">
        <v>1618</v>
      </c>
      <c r="J1174" s="22" t="s">
        <v>379</v>
      </c>
      <c r="K1174" s="27">
        <f>VLOOKUP(D1174,[8]Sheet1!$J:$J,1,0)</f>
        <v>990000116280</v>
      </c>
      <c r="L1174" s="4"/>
    </row>
    <row r="1175" spans="1:12" s="3" customFormat="1" hidden="1" x14ac:dyDescent="0.3">
      <c r="A1175" s="13" t="s">
        <v>879</v>
      </c>
      <c r="B1175" s="10"/>
      <c r="C1175" s="21">
        <v>10880031856</v>
      </c>
      <c r="D1175" s="21">
        <v>990000116354</v>
      </c>
      <c r="E1175" s="22" t="s">
        <v>224</v>
      </c>
      <c r="F1175" s="21">
        <v>14</v>
      </c>
      <c r="G1175" s="23">
        <v>46051</v>
      </c>
      <c r="H1175" s="12"/>
      <c r="I1175" s="25" t="s">
        <v>1619</v>
      </c>
      <c r="J1175" s="22" t="s">
        <v>379</v>
      </c>
      <c r="K1175" s="27">
        <f>VLOOKUP(D1175,[8]Sheet1!$J:$J,1,0)</f>
        <v>990000116354</v>
      </c>
      <c r="L1175" s="4"/>
    </row>
    <row r="1176" spans="1:12" s="3" customFormat="1" hidden="1" x14ac:dyDescent="0.3">
      <c r="A1176" s="13" t="s">
        <v>879</v>
      </c>
      <c r="B1176" s="10"/>
      <c r="C1176" s="21">
        <v>10880035543</v>
      </c>
      <c r="D1176" s="21">
        <v>990000116356</v>
      </c>
      <c r="E1176" s="22" t="s">
        <v>244</v>
      </c>
      <c r="F1176" s="21">
        <v>320</v>
      </c>
      <c r="G1176" s="23">
        <v>46051</v>
      </c>
      <c r="H1176" s="12"/>
      <c r="I1176" s="25" t="s">
        <v>1620</v>
      </c>
      <c r="J1176" s="22" t="s">
        <v>379</v>
      </c>
      <c r="K1176" s="27">
        <f>VLOOKUP(D1176,[8]Sheet1!$J:$J,1,0)</f>
        <v>990000116356</v>
      </c>
      <c r="L1176" s="4"/>
    </row>
    <row r="1177" spans="1:12" s="3" customFormat="1" hidden="1" x14ac:dyDescent="0.3">
      <c r="A1177" s="13" t="s">
        <v>879</v>
      </c>
      <c r="B1177" s="10"/>
      <c r="C1177" s="21">
        <v>10880031847</v>
      </c>
      <c r="D1177" s="21">
        <v>990000116357</v>
      </c>
      <c r="E1177" s="22" t="s">
        <v>228</v>
      </c>
      <c r="F1177" s="21">
        <v>24</v>
      </c>
      <c r="G1177" s="23">
        <v>46051</v>
      </c>
      <c r="H1177" s="12"/>
      <c r="I1177" s="25" t="s">
        <v>1621</v>
      </c>
      <c r="J1177" s="22" t="s">
        <v>379</v>
      </c>
      <c r="K1177" s="27">
        <f>VLOOKUP(D1177,[8]Sheet1!$J:$J,1,0)</f>
        <v>990000116357</v>
      </c>
    </row>
    <row r="1178" spans="1:12" s="3" customFormat="1" hidden="1" x14ac:dyDescent="0.3">
      <c r="A1178" s="13" t="s">
        <v>879</v>
      </c>
      <c r="B1178" s="10"/>
      <c r="C1178" s="21">
        <v>10880031846</v>
      </c>
      <c r="D1178" s="21">
        <v>990000116358</v>
      </c>
      <c r="E1178" s="22" t="s">
        <v>1273</v>
      </c>
      <c r="F1178" s="21">
        <v>3</v>
      </c>
      <c r="G1178" s="23">
        <v>46051</v>
      </c>
      <c r="H1178" s="12"/>
      <c r="I1178" s="25" t="s">
        <v>1622</v>
      </c>
      <c r="J1178" s="22" t="s">
        <v>379</v>
      </c>
      <c r="K1178" s="27">
        <f>VLOOKUP(D1178,[8]Sheet1!$J:$J,1,0)</f>
        <v>990000116358</v>
      </c>
      <c r="L1178" s="4"/>
    </row>
    <row r="1179" spans="1:12" s="3" customFormat="1" hidden="1" x14ac:dyDescent="0.3">
      <c r="A1179" s="13" t="s">
        <v>879</v>
      </c>
      <c r="B1179" s="10"/>
      <c r="C1179" s="21">
        <v>10880030596</v>
      </c>
      <c r="D1179" s="21">
        <v>990000116359</v>
      </c>
      <c r="E1179" s="22" t="s">
        <v>227</v>
      </c>
      <c r="F1179" s="21">
        <v>201</v>
      </c>
      <c r="G1179" s="23">
        <v>46051</v>
      </c>
      <c r="H1179" s="12"/>
      <c r="I1179" s="25" t="s">
        <v>1623</v>
      </c>
      <c r="J1179" s="22" t="s">
        <v>379</v>
      </c>
      <c r="K1179" s="27">
        <f>VLOOKUP(D1179,[8]Sheet1!$J:$J,1,0)</f>
        <v>990000116359</v>
      </c>
      <c r="L1179" s="4"/>
    </row>
    <row r="1180" spans="1:12" s="3" customFormat="1" hidden="1" x14ac:dyDescent="0.3">
      <c r="A1180" s="13" t="s">
        <v>879</v>
      </c>
      <c r="B1180" s="10"/>
      <c r="C1180" s="21">
        <v>10880035409</v>
      </c>
      <c r="D1180" s="21">
        <v>990000116377</v>
      </c>
      <c r="E1180" s="22" t="s">
        <v>332</v>
      </c>
      <c r="F1180" s="21">
        <v>752</v>
      </c>
      <c r="G1180" s="23">
        <v>46051</v>
      </c>
      <c r="H1180" s="12"/>
      <c r="I1180" s="25" t="s">
        <v>1624</v>
      </c>
      <c r="J1180" s="22" t="s">
        <v>379</v>
      </c>
      <c r="K1180" s="27"/>
      <c r="L1180" s="4"/>
    </row>
    <row r="1181" spans="1:12" s="3" customFormat="1" hidden="1" x14ac:dyDescent="0.3">
      <c r="A1181" s="13" t="s">
        <v>879</v>
      </c>
      <c r="B1181" s="10"/>
      <c r="C1181" s="21">
        <v>10880037178</v>
      </c>
      <c r="D1181" s="21">
        <v>990000116392</v>
      </c>
      <c r="E1181" s="22" t="s">
        <v>155</v>
      </c>
      <c r="F1181" s="21">
        <v>45</v>
      </c>
      <c r="G1181" s="23">
        <v>46053</v>
      </c>
      <c r="H1181" s="12"/>
      <c r="I1181" s="25" t="s">
        <v>1625</v>
      </c>
      <c r="J1181" s="22" t="s">
        <v>379</v>
      </c>
      <c r="K1181" s="27"/>
      <c r="L1181" s="4"/>
    </row>
    <row r="1182" spans="1:12" s="3" customFormat="1" hidden="1" x14ac:dyDescent="0.3">
      <c r="A1182" s="13" t="s">
        <v>879</v>
      </c>
      <c r="B1182" s="10"/>
      <c r="C1182" s="21">
        <v>10880030432</v>
      </c>
      <c r="D1182" s="21">
        <v>990000116444</v>
      </c>
      <c r="E1182" s="22" t="s">
        <v>1626</v>
      </c>
      <c r="F1182" s="21">
        <v>505</v>
      </c>
      <c r="G1182" s="23">
        <v>46056</v>
      </c>
      <c r="H1182" s="12"/>
      <c r="I1182" s="25" t="s">
        <v>1627</v>
      </c>
      <c r="J1182" s="22" t="s">
        <v>1628</v>
      </c>
      <c r="K1182" s="27"/>
      <c r="L1182" s="4"/>
    </row>
    <row r="1183" spans="1:12" s="3" customFormat="1" hidden="1" x14ac:dyDescent="0.3">
      <c r="A1183" s="13" t="s">
        <v>879</v>
      </c>
      <c r="B1183" s="10"/>
      <c r="C1183" s="21">
        <v>10880031560</v>
      </c>
      <c r="D1183" s="21">
        <v>990000116466</v>
      </c>
      <c r="E1183" s="22" t="s">
        <v>798</v>
      </c>
      <c r="F1183" s="21">
        <v>1248</v>
      </c>
      <c r="G1183" s="23">
        <v>46056</v>
      </c>
      <c r="H1183" s="12"/>
      <c r="I1183" s="25" t="s">
        <v>1627</v>
      </c>
      <c r="J1183" s="22" t="s">
        <v>1628</v>
      </c>
      <c r="K1183" s="27"/>
      <c r="L1183" s="4"/>
    </row>
    <row r="1184" spans="1:12" s="3" customFormat="1" hidden="1" x14ac:dyDescent="0.3">
      <c r="A1184" s="13" t="s">
        <v>879</v>
      </c>
      <c r="B1184" s="10"/>
      <c r="C1184" s="21">
        <v>10880031525</v>
      </c>
      <c r="D1184" s="21">
        <v>990000116467</v>
      </c>
      <c r="E1184" s="22" t="s">
        <v>796</v>
      </c>
      <c r="F1184" s="21">
        <v>279</v>
      </c>
      <c r="G1184" s="23">
        <v>46056</v>
      </c>
      <c r="H1184" s="12"/>
      <c r="I1184" s="25" t="s">
        <v>1627</v>
      </c>
      <c r="J1184" s="22" t="s">
        <v>1628</v>
      </c>
      <c r="K1184" s="27"/>
      <c r="L1184" s="4"/>
    </row>
    <row r="1185" spans="1:12" s="3" customFormat="1" hidden="1" x14ac:dyDescent="0.3">
      <c r="A1185" s="13" t="s">
        <v>879</v>
      </c>
      <c r="B1185" s="10"/>
      <c r="C1185" s="21">
        <v>10880032573</v>
      </c>
      <c r="D1185" s="21">
        <v>990000116468</v>
      </c>
      <c r="E1185" s="22" t="s">
        <v>1524</v>
      </c>
      <c r="F1185" s="21">
        <v>329</v>
      </c>
      <c r="G1185" s="23">
        <v>46056</v>
      </c>
      <c r="H1185" s="12"/>
      <c r="I1185" s="25" t="s">
        <v>1627</v>
      </c>
      <c r="J1185" s="22" t="s">
        <v>1628</v>
      </c>
      <c r="K1185" s="27"/>
      <c r="L1185" s="4"/>
    </row>
    <row r="1186" spans="1:12" s="3" customFormat="1" hidden="1" x14ac:dyDescent="0.3">
      <c r="A1186" s="13" t="s">
        <v>879</v>
      </c>
      <c r="B1186" s="10"/>
      <c r="C1186" s="21">
        <v>10880035325</v>
      </c>
      <c r="D1186" s="21">
        <v>990000116469</v>
      </c>
      <c r="E1186" s="22" t="s">
        <v>1122</v>
      </c>
      <c r="F1186" s="21">
        <v>55</v>
      </c>
      <c r="G1186" s="23">
        <v>46056</v>
      </c>
      <c r="H1186" s="12"/>
      <c r="I1186" s="25" t="s">
        <v>1627</v>
      </c>
      <c r="J1186" s="22" t="s">
        <v>1628</v>
      </c>
      <c r="K1186" s="27"/>
    </row>
    <row r="1187" spans="1:12" s="3" customFormat="1" hidden="1" x14ac:dyDescent="0.3">
      <c r="A1187" s="13" t="s">
        <v>879</v>
      </c>
      <c r="B1187" s="10"/>
      <c r="C1187" s="21">
        <v>10880035709</v>
      </c>
      <c r="D1187" s="21">
        <v>990000116519</v>
      </c>
      <c r="E1187" s="22" t="s">
        <v>175</v>
      </c>
      <c r="F1187" s="21">
        <v>400</v>
      </c>
      <c r="G1187" s="23">
        <v>46057</v>
      </c>
      <c r="H1187" s="12"/>
      <c r="I1187" s="25" t="s">
        <v>1629</v>
      </c>
      <c r="J1187" s="22" t="s">
        <v>379</v>
      </c>
      <c r="K1187" s="27"/>
      <c r="L1187" s="4"/>
    </row>
    <row r="1188" spans="1:12" s="3" customFormat="1" hidden="1" x14ac:dyDescent="0.3">
      <c r="A1188" s="13" t="s">
        <v>879</v>
      </c>
      <c r="B1188" s="10"/>
      <c r="C1188" s="21">
        <v>10880036299</v>
      </c>
      <c r="D1188" s="21">
        <v>990000116521</v>
      </c>
      <c r="E1188" s="22" t="s">
        <v>99</v>
      </c>
      <c r="F1188" s="21">
        <v>20</v>
      </c>
      <c r="G1188" s="23">
        <v>46057</v>
      </c>
      <c r="H1188" s="12"/>
      <c r="I1188" s="25" t="s">
        <v>1630</v>
      </c>
      <c r="J1188" s="22" t="s">
        <v>379</v>
      </c>
      <c r="K1188" s="27"/>
      <c r="L1188" s="4"/>
    </row>
    <row r="1189" spans="1:12" s="3" customFormat="1" hidden="1" x14ac:dyDescent="0.3">
      <c r="A1189" s="13" t="s">
        <v>879</v>
      </c>
      <c r="B1189" s="10"/>
      <c r="C1189" s="21">
        <v>10880036919</v>
      </c>
      <c r="D1189" s="21">
        <v>990000116535</v>
      </c>
      <c r="E1189" s="22" t="s">
        <v>1631</v>
      </c>
      <c r="F1189" s="21">
        <v>64</v>
      </c>
      <c r="G1189" s="23">
        <v>46058</v>
      </c>
      <c r="H1189" s="12"/>
      <c r="I1189" s="25" t="s">
        <v>1632</v>
      </c>
      <c r="J1189" s="22" t="s">
        <v>379</v>
      </c>
      <c r="K1189" s="27"/>
      <c r="L1189" s="4"/>
    </row>
    <row r="1190" spans="1:12" s="3" customFormat="1" hidden="1" x14ac:dyDescent="0.3">
      <c r="A1190" s="13" t="s">
        <v>879</v>
      </c>
      <c r="B1190" s="10"/>
      <c r="C1190" s="21">
        <v>10880035441</v>
      </c>
      <c r="D1190" s="21">
        <v>990000116545</v>
      </c>
      <c r="E1190" s="22" t="s">
        <v>64</v>
      </c>
      <c r="F1190" s="21">
        <v>900</v>
      </c>
      <c r="G1190" s="23">
        <v>46060</v>
      </c>
      <c r="H1190" s="12"/>
      <c r="I1190" s="25" t="s">
        <v>1633</v>
      </c>
      <c r="J1190" s="22" t="s">
        <v>379</v>
      </c>
      <c r="K1190" s="27"/>
      <c r="L1190" s="4"/>
    </row>
    <row r="1191" spans="1:12" s="3" customFormat="1" hidden="1" x14ac:dyDescent="0.3">
      <c r="A1191" s="13" t="s">
        <v>879</v>
      </c>
      <c r="B1191" s="10"/>
      <c r="C1191" s="21">
        <v>10880035381</v>
      </c>
      <c r="D1191" s="21">
        <v>990000116565</v>
      </c>
      <c r="E1191" s="22" t="s">
        <v>1108</v>
      </c>
      <c r="F1191" s="21">
        <v>8</v>
      </c>
      <c r="G1191" s="23">
        <v>46060</v>
      </c>
      <c r="H1191" s="12"/>
      <c r="I1191" s="25" t="s">
        <v>1634</v>
      </c>
      <c r="J1191" s="22" t="s">
        <v>379</v>
      </c>
      <c r="K1191" s="27"/>
    </row>
    <row r="1192" spans="1:12" s="3" customFormat="1" hidden="1" x14ac:dyDescent="0.3">
      <c r="A1192" s="13" t="s">
        <v>879</v>
      </c>
      <c r="B1192" s="10"/>
      <c r="C1192" s="21">
        <v>10880033325</v>
      </c>
      <c r="D1192" s="21">
        <v>990000116566</v>
      </c>
      <c r="E1192" s="22" t="s">
        <v>252</v>
      </c>
      <c r="F1192" s="21">
        <v>3102</v>
      </c>
      <c r="G1192" s="23">
        <v>46060</v>
      </c>
      <c r="H1192" s="12"/>
      <c r="I1192" s="25" t="s">
        <v>1635</v>
      </c>
      <c r="J1192" s="22" t="s">
        <v>379</v>
      </c>
      <c r="K1192" s="27"/>
    </row>
    <row r="1193" spans="1:12" s="3" customFormat="1" hidden="1" x14ac:dyDescent="0.3">
      <c r="A1193" s="13" t="s">
        <v>879</v>
      </c>
      <c r="B1193" s="10"/>
      <c r="C1193" s="21">
        <v>10880033785</v>
      </c>
      <c r="D1193" s="21">
        <v>990000116567</v>
      </c>
      <c r="E1193" s="22" t="s">
        <v>243</v>
      </c>
      <c r="F1193" s="21">
        <v>2044</v>
      </c>
      <c r="G1193" s="23">
        <v>46060</v>
      </c>
      <c r="H1193" s="12"/>
      <c r="I1193" s="25" t="s">
        <v>1636</v>
      </c>
      <c r="J1193" s="22" t="s">
        <v>379</v>
      </c>
      <c r="K1193" s="27"/>
      <c r="L1193" s="4"/>
    </row>
    <row r="1194" spans="1:12" s="3" customFormat="1" hidden="1" x14ac:dyDescent="0.3">
      <c r="A1194" s="13" t="s">
        <v>879</v>
      </c>
      <c r="B1194" s="10"/>
      <c r="C1194" s="21">
        <v>10880030920</v>
      </c>
      <c r="D1194" s="21">
        <v>990000116671</v>
      </c>
      <c r="E1194" s="22" t="s">
        <v>85</v>
      </c>
      <c r="F1194" s="21">
        <v>284</v>
      </c>
      <c r="G1194" s="23">
        <v>46079</v>
      </c>
      <c r="H1194" s="12"/>
      <c r="I1194" s="25" t="s">
        <v>1637</v>
      </c>
      <c r="J1194" s="22" t="s">
        <v>379</v>
      </c>
      <c r="K1194" s="27"/>
      <c r="L1194" s="4"/>
    </row>
    <row r="1195" spans="1:12" s="3" customFormat="1" hidden="1" x14ac:dyDescent="0.3">
      <c r="A1195" s="13" t="s">
        <v>879</v>
      </c>
      <c r="B1195" s="10"/>
      <c r="C1195" s="21">
        <v>10880030934</v>
      </c>
      <c r="D1195" s="21">
        <v>990000116256</v>
      </c>
      <c r="E1195" s="22" t="s">
        <v>692</v>
      </c>
      <c r="F1195" s="21">
        <v>1885</v>
      </c>
      <c r="G1195" s="23">
        <v>46045</v>
      </c>
      <c r="H1195" s="12"/>
      <c r="I1195" s="25" t="s">
        <v>1638</v>
      </c>
      <c r="J1195" s="22" t="s">
        <v>379</v>
      </c>
      <c r="K1195" s="27"/>
      <c r="L1195" s="4"/>
    </row>
    <row r="1196" spans="1:12" s="3" customFormat="1" hidden="1" x14ac:dyDescent="0.3">
      <c r="A1196" s="13" t="s">
        <v>879</v>
      </c>
      <c r="B1196" s="10"/>
      <c r="C1196" s="21">
        <v>10880031847</v>
      </c>
      <c r="D1196" s="21">
        <v>990000116672</v>
      </c>
      <c r="E1196" s="22" t="s">
        <v>228</v>
      </c>
      <c r="F1196" s="21">
        <v>12</v>
      </c>
      <c r="G1196" s="23">
        <v>46079</v>
      </c>
      <c r="H1196" s="12"/>
      <c r="I1196" s="25" t="s">
        <v>1639</v>
      </c>
      <c r="J1196" s="22" t="s">
        <v>379</v>
      </c>
      <c r="K1196" s="27"/>
      <c r="L1196" s="4"/>
    </row>
    <row r="1197" spans="1:12" s="3" customFormat="1" hidden="1" x14ac:dyDescent="0.3">
      <c r="A1197" s="13" t="s">
        <v>879</v>
      </c>
      <c r="B1197" s="10"/>
      <c r="C1197" s="21">
        <v>10880035985</v>
      </c>
      <c r="D1197" s="21">
        <v>990000115148</v>
      </c>
      <c r="E1197" s="22" t="s">
        <v>1509</v>
      </c>
      <c r="F1197" s="21">
        <v>900</v>
      </c>
      <c r="G1197" s="23">
        <v>46004</v>
      </c>
      <c r="H1197" s="12"/>
      <c r="I1197" s="25" t="s">
        <v>1640</v>
      </c>
      <c r="J1197" s="10"/>
      <c r="K1197" s="24"/>
      <c r="L1197" s="4"/>
    </row>
    <row r="1198" spans="1:12" s="3" customFormat="1" hidden="1" x14ac:dyDescent="0.3">
      <c r="A1198" s="13" t="s">
        <v>879</v>
      </c>
      <c r="B1198" s="10"/>
      <c r="C1198" s="21">
        <v>10880035985</v>
      </c>
      <c r="D1198" s="21">
        <v>990000115148</v>
      </c>
      <c r="E1198" s="22" t="s">
        <v>1509</v>
      </c>
      <c r="F1198" s="21">
        <v>900</v>
      </c>
      <c r="G1198" s="23">
        <v>46004</v>
      </c>
      <c r="H1198" s="12"/>
      <c r="I1198" s="25" t="s">
        <v>1640</v>
      </c>
      <c r="J1198" s="22"/>
      <c r="K1198" s="24"/>
      <c r="L1198" s="4"/>
    </row>
    <row r="1199" spans="1:12" s="3" customFormat="1" hidden="1" x14ac:dyDescent="0.3">
      <c r="A1199" s="13" t="s">
        <v>630</v>
      </c>
      <c r="B1199" s="13"/>
      <c r="C1199" s="13">
        <v>10880019042</v>
      </c>
      <c r="D1199" s="14" t="s">
        <v>1641</v>
      </c>
      <c r="E1199" s="13" t="s">
        <v>740</v>
      </c>
      <c r="F1199" s="13">
        <v>595</v>
      </c>
      <c r="G1199" s="15">
        <v>45409</v>
      </c>
      <c r="H1199" s="15">
        <v>45417</v>
      </c>
      <c r="I1199" s="13" t="s">
        <v>1642</v>
      </c>
      <c r="J1199" s="13" t="s">
        <v>379</v>
      </c>
      <c r="K1199" s="20"/>
      <c r="L1199" s="4"/>
    </row>
    <row r="1200" spans="1:12" s="3" customFormat="1" hidden="1" x14ac:dyDescent="0.3">
      <c r="A1200" s="13" t="s">
        <v>630</v>
      </c>
      <c r="B1200" s="13"/>
      <c r="C1200" s="13">
        <v>10880019041</v>
      </c>
      <c r="D1200" s="14" t="s">
        <v>1641</v>
      </c>
      <c r="E1200" s="13" t="s">
        <v>1643</v>
      </c>
      <c r="F1200" s="13">
        <v>337</v>
      </c>
      <c r="G1200" s="15">
        <v>45409</v>
      </c>
      <c r="H1200" s="15">
        <v>45417</v>
      </c>
      <c r="I1200" s="13" t="s">
        <v>1644</v>
      </c>
      <c r="J1200" s="13" t="s">
        <v>379</v>
      </c>
      <c r="K1200" s="20"/>
      <c r="L1200" s="4"/>
    </row>
    <row r="1201" spans="1:12" s="3" customFormat="1" hidden="1" x14ac:dyDescent="0.3">
      <c r="A1201" s="13" t="s">
        <v>630</v>
      </c>
      <c r="B1201" s="13"/>
      <c r="C1201" s="13">
        <v>10880014812</v>
      </c>
      <c r="D1201" s="14" t="s">
        <v>1641</v>
      </c>
      <c r="E1201" s="13" t="s">
        <v>646</v>
      </c>
      <c r="F1201" s="13">
        <v>4326</v>
      </c>
      <c r="G1201" s="15">
        <v>45435</v>
      </c>
      <c r="H1201" s="15">
        <v>45436</v>
      </c>
      <c r="I1201" s="13" t="s">
        <v>647</v>
      </c>
      <c r="J1201" s="13" t="s">
        <v>379</v>
      </c>
      <c r="K1201" s="20"/>
      <c r="L1201" s="4"/>
    </row>
    <row r="1202" spans="1:12" s="3" customFormat="1" hidden="1" x14ac:dyDescent="0.3">
      <c r="A1202" s="13" t="s">
        <v>879</v>
      </c>
      <c r="B1202" s="10"/>
      <c r="C1202" s="21">
        <v>10880035986</v>
      </c>
      <c r="D1202" s="21">
        <v>990000115146</v>
      </c>
      <c r="E1202" s="22" t="s">
        <v>1511</v>
      </c>
      <c r="F1202" s="21">
        <v>1350</v>
      </c>
      <c r="G1202" s="23">
        <v>46004</v>
      </c>
      <c r="H1202" s="12"/>
      <c r="I1202" s="25" t="s">
        <v>1645</v>
      </c>
      <c r="J1202" s="10"/>
      <c r="K1202" s="24"/>
      <c r="L1202" s="4"/>
    </row>
    <row r="1203" spans="1:12" s="3" customFormat="1" hidden="1" x14ac:dyDescent="0.3">
      <c r="A1203" s="13" t="s">
        <v>879</v>
      </c>
      <c r="B1203" s="10"/>
      <c r="C1203" s="21">
        <v>10880035986</v>
      </c>
      <c r="D1203" s="21">
        <v>990000115146</v>
      </c>
      <c r="E1203" s="22" t="s">
        <v>1511</v>
      </c>
      <c r="F1203" s="21">
        <v>1350</v>
      </c>
      <c r="G1203" s="23">
        <v>46004</v>
      </c>
      <c r="H1203" s="12"/>
      <c r="I1203" s="25" t="s">
        <v>1645</v>
      </c>
      <c r="J1203" s="22"/>
      <c r="K1203" s="24"/>
      <c r="L1203" s="4"/>
    </row>
    <row r="1204" spans="1:12" s="3" customFormat="1" hidden="1" x14ac:dyDescent="0.3">
      <c r="A1204" s="13" t="s">
        <v>879</v>
      </c>
      <c r="B1204" s="10"/>
      <c r="C1204" s="21">
        <v>10880030335</v>
      </c>
      <c r="D1204" s="21">
        <v>990000115657</v>
      </c>
      <c r="E1204" s="22" t="s">
        <v>1591</v>
      </c>
      <c r="F1204" s="21">
        <v>73</v>
      </c>
      <c r="G1204" s="23">
        <v>46028</v>
      </c>
      <c r="H1204" s="12"/>
      <c r="I1204" s="25" t="s">
        <v>1646</v>
      </c>
      <c r="J1204" s="22" t="s">
        <v>379</v>
      </c>
      <c r="K1204" s="27"/>
      <c r="L1204" s="4"/>
    </row>
    <row r="1205" spans="1:12" s="3" customFormat="1" hidden="1" x14ac:dyDescent="0.3">
      <c r="A1205" s="13" t="s">
        <v>879</v>
      </c>
      <c r="B1205" s="10"/>
      <c r="C1205" s="21">
        <v>10880016525</v>
      </c>
      <c r="D1205" s="21">
        <v>990000115997</v>
      </c>
      <c r="E1205" s="22" t="s">
        <v>600</v>
      </c>
      <c r="F1205" s="21">
        <v>500</v>
      </c>
      <c r="G1205" s="23">
        <v>46037</v>
      </c>
      <c r="H1205" s="12"/>
      <c r="I1205" s="25" t="s">
        <v>1647</v>
      </c>
      <c r="J1205" s="22" t="s">
        <v>379</v>
      </c>
      <c r="K1205" s="27"/>
      <c r="L1205" s="4"/>
    </row>
    <row r="1206" spans="1:12" s="3" customFormat="1" hidden="1" x14ac:dyDescent="0.3">
      <c r="A1206" s="13" t="s">
        <v>879</v>
      </c>
      <c r="B1206" s="10"/>
      <c r="C1206" s="21">
        <v>10880030976</v>
      </c>
      <c r="D1206" s="21">
        <v>990000115999</v>
      </c>
      <c r="E1206" s="22" t="s">
        <v>72</v>
      </c>
      <c r="F1206" s="21">
        <v>90</v>
      </c>
      <c r="G1206" s="23">
        <v>46037</v>
      </c>
      <c r="H1206" s="12"/>
      <c r="I1206" s="25" t="s">
        <v>1648</v>
      </c>
      <c r="J1206" s="22" t="s">
        <v>379</v>
      </c>
      <c r="K1206" s="27"/>
      <c r="L1206" s="4"/>
    </row>
    <row r="1207" spans="1:12" s="3" customFormat="1" hidden="1" x14ac:dyDescent="0.3">
      <c r="A1207" s="13" t="s">
        <v>879</v>
      </c>
      <c r="B1207" s="10"/>
      <c r="C1207" s="21">
        <v>10880032885</v>
      </c>
      <c r="D1207" s="21">
        <v>990000116051</v>
      </c>
      <c r="E1207" s="22" t="s">
        <v>156</v>
      </c>
      <c r="F1207" s="21">
        <v>2638</v>
      </c>
      <c r="G1207" s="23">
        <v>46039</v>
      </c>
      <c r="H1207" s="12"/>
      <c r="I1207" s="25" t="s">
        <v>1649</v>
      </c>
      <c r="J1207" s="22" t="s">
        <v>379</v>
      </c>
      <c r="K1207" s="27"/>
      <c r="L1207" s="4"/>
    </row>
    <row r="1208" spans="1:12" s="3" customFormat="1" hidden="1" x14ac:dyDescent="0.3">
      <c r="A1208" s="13" t="s">
        <v>879</v>
      </c>
      <c r="B1208" s="10"/>
      <c r="C1208" s="21">
        <v>10880030520</v>
      </c>
      <c r="D1208" s="21">
        <v>990000116089</v>
      </c>
      <c r="E1208" s="22" t="s">
        <v>214</v>
      </c>
      <c r="F1208" s="21">
        <v>237</v>
      </c>
      <c r="G1208" s="23">
        <v>46043</v>
      </c>
      <c r="H1208" s="12"/>
      <c r="I1208" s="25" t="s">
        <v>1650</v>
      </c>
      <c r="J1208" s="22" t="s">
        <v>379</v>
      </c>
      <c r="K1208" s="27"/>
    </row>
    <row r="1209" spans="1:12" s="3" customFormat="1" hidden="1" x14ac:dyDescent="0.3">
      <c r="A1209" s="13" t="s">
        <v>879</v>
      </c>
      <c r="B1209" s="10"/>
      <c r="C1209" s="21">
        <v>10880034669</v>
      </c>
      <c r="D1209" s="21">
        <v>990000116317</v>
      </c>
      <c r="E1209" s="22" t="s">
        <v>153</v>
      </c>
      <c r="F1209" s="21">
        <v>5100</v>
      </c>
      <c r="G1209" s="23">
        <v>46048</v>
      </c>
      <c r="H1209" s="12"/>
      <c r="I1209" s="25" t="s">
        <v>1651</v>
      </c>
      <c r="J1209" s="22" t="s">
        <v>1652</v>
      </c>
      <c r="K1209" s="27"/>
      <c r="L1209" s="4"/>
    </row>
    <row r="1210" spans="1:12" s="3" customFormat="1" hidden="1" x14ac:dyDescent="0.3">
      <c r="A1210" s="13" t="s">
        <v>879</v>
      </c>
      <c r="B1210" s="10"/>
      <c r="C1210" s="21">
        <v>10880037377</v>
      </c>
      <c r="D1210" s="21">
        <v>990000116355</v>
      </c>
      <c r="E1210" s="22" t="s">
        <v>60</v>
      </c>
      <c r="F1210" s="21">
        <v>1510</v>
      </c>
      <c r="G1210" s="23">
        <v>46051</v>
      </c>
      <c r="H1210" s="12"/>
      <c r="I1210" s="25" t="s">
        <v>1653</v>
      </c>
      <c r="J1210" s="22" t="s">
        <v>379</v>
      </c>
      <c r="K1210" s="27"/>
    </row>
    <row r="1211" spans="1:12" s="3" customFormat="1" hidden="1" x14ac:dyDescent="0.3">
      <c r="A1211" s="13" t="s">
        <v>879</v>
      </c>
      <c r="B1211" s="10"/>
      <c r="C1211" s="21">
        <v>10880030187</v>
      </c>
      <c r="D1211" s="21">
        <v>990000116673</v>
      </c>
      <c r="E1211" s="22" t="s">
        <v>215</v>
      </c>
      <c r="F1211" s="21">
        <v>36</v>
      </c>
      <c r="G1211" s="23">
        <v>46079</v>
      </c>
      <c r="H1211" s="12"/>
      <c r="I1211" s="25" t="s">
        <v>1654</v>
      </c>
      <c r="J1211" s="22" t="s">
        <v>379</v>
      </c>
      <c r="K1211" s="27"/>
    </row>
    <row r="1212" spans="1:12" s="3" customFormat="1" hidden="1" x14ac:dyDescent="0.3">
      <c r="A1212" s="13" t="s">
        <v>879</v>
      </c>
      <c r="B1212" s="10"/>
      <c r="C1212" s="21">
        <v>10880030519</v>
      </c>
      <c r="D1212" s="21">
        <v>990000116675</v>
      </c>
      <c r="E1212" s="22" t="s">
        <v>208</v>
      </c>
      <c r="F1212" s="21">
        <v>224</v>
      </c>
      <c r="G1212" s="23">
        <v>46080</v>
      </c>
      <c r="H1212" s="12"/>
      <c r="I1212" s="25" t="s">
        <v>1655</v>
      </c>
      <c r="J1212" s="22" t="s">
        <v>379</v>
      </c>
      <c r="K1212" s="27"/>
    </row>
    <row r="1213" spans="1:12" s="3" customFormat="1" hidden="1" x14ac:dyDescent="0.3">
      <c r="A1213" s="13" t="s">
        <v>879</v>
      </c>
      <c r="B1213" s="10"/>
      <c r="C1213" s="21">
        <v>10880030520</v>
      </c>
      <c r="D1213" s="21">
        <v>990000116676</v>
      </c>
      <c r="E1213" s="22" t="s">
        <v>214</v>
      </c>
      <c r="F1213" s="21">
        <v>152</v>
      </c>
      <c r="G1213" s="23">
        <v>46080</v>
      </c>
      <c r="H1213" s="12"/>
      <c r="I1213" s="25" t="s">
        <v>1656</v>
      </c>
      <c r="J1213" s="22" t="s">
        <v>379</v>
      </c>
      <c r="K1213" s="27"/>
    </row>
    <row r="1214" spans="1:12" s="3" customFormat="1" hidden="1" x14ac:dyDescent="0.3">
      <c r="A1214" s="13" t="s">
        <v>879</v>
      </c>
      <c r="B1214" s="10"/>
      <c r="C1214" s="21">
        <v>10880037617</v>
      </c>
      <c r="D1214" s="21">
        <v>990000116677</v>
      </c>
      <c r="E1214" s="22" t="s">
        <v>1657</v>
      </c>
      <c r="F1214" s="21">
        <v>425</v>
      </c>
      <c r="G1214" s="23">
        <v>46080</v>
      </c>
      <c r="H1214" s="12"/>
      <c r="I1214" s="25" t="s">
        <v>1658</v>
      </c>
      <c r="J1214" s="22" t="s">
        <v>379</v>
      </c>
      <c r="K1214" s="27"/>
    </row>
    <row r="1215" spans="1:12" s="3" customFormat="1" hidden="1" x14ac:dyDescent="0.3">
      <c r="A1215" s="13" t="s">
        <v>879</v>
      </c>
      <c r="B1215" s="10"/>
      <c r="C1215" s="21">
        <v>10880034995</v>
      </c>
      <c r="D1215" s="21">
        <v>990000116742</v>
      </c>
      <c r="E1215" s="22" t="s">
        <v>1257</v>
      </c>
      <c r="F1215" s="21">
        <v>20</v>
      </c>
      <c r="G1215" s="23">
        <v>46081</v>
      </c>
      <c r="H1215" s="12"/>
      <c r="I1215" s="25" t="s">
        <v>1659</v>
      </c>
      <c r="J1215" s="22" t="s">
        <v>379</v>
      </c>
      <c r="K1215" s="24"/>
    </row>
    <row r="1216" spans="1:12" s="3" customFormat="1" hidden="1" x14ac:dyDescent="0.3">
      <c r="A1216" s="13" t="s">
        <v>879</v>
      </c>
      <c r="B1216" s="10"/>
      <c r="C1216" s="21">
        <v>10880037268</v>
      </c>
      <c r="D1216" s="21">
        <v>990000116743</v>
      </c>
      <c r="E1216" s="22" t="s">
        <v>1399</v>
      </c>
      <c r="F1216" s="21">
        <v>70</v>
      </c>
      <c r="G1216" s="23">
        <v>46081</v>
      </c>
      <c r="H1216" s="12"/>
      <c r="I1216" s="25" t="s">
        <v>1660</v>
      </c>
      <c r="J1216" s="22" t="s">
        <v>379</v>
      </c>
      <c r="K1216" s="24"/>
    </row>
    <row r="1217" spans="1:12" s="3" customFormat="1" hidden="1" x14ac:dyDescent="0.3">
      <c r="A1217" s="13" t="s">
        <v>879</v>
      </c>
      <c r="B1217" s="10"/>
      <c r="C1217" s="21">
        <v>10880031011</v>
      </c>
      <c r="D1217" s="21">
        <v>990000116744</v>
      </c>
      <c r="E1217" s="22" t="s">
        <v>49</v>
      </c>
      <c r="F1217" s="21">
        <v>1102</v>
      </c>
      <c r="G1217" s="23">
        <v>46083</v>
      </c>
      <c r="H1217" s="12"/>
      <c r="I1217" s="25" t="s">
        <v>1661</v>
      </c>
      <c r="J1217" s="22" t="s">
        <v>732</v>
      </c>
      <c r="K1217" s="24"/>
    </row>
    <row r="1218" spans="1:12" s="3" customFormat="1" hidden="1" x14ac:dyDescent="0.3">
      <c r="A1218" s="13" t="s">
        <v>879</v>
      </c>
      <c r="B1218" s="10"/>
      <c r="C1218" s="21">
        <v>10880030551</v>
      </c>
      <c r="D1218" s="21">
        <v>990000116745</v>
      </c>
      <c r="E1218" s="22" t="s">
        <v>763</v>
      </c>
      <c r="F1218" s="21">
        <v>635</v>
      </c>
      <c r="G1218" s="23">
        <v>46083</v>
      </c>
      <c r="H1218" s="12"/>
      <c r="I1218" s="25" t="s">
        <v>1661</v>
      </c>
      <c r="J1218" s="22" t="s">
        <v>732</v>
      </c>
      <c r="K1218" s="24"/>
      <c r="L1218" s="4"/>
    </row>
    <row r="1219" spans="1:12" s="3" customFormat="1" hidden="1" x14ac:dyDescent="0.3">
      <c r="A1219" s="13" t="s">
        <v>879</v>
      </c>
      <c r="B1219" s="10"/>
      <c r="C1219" s="21">
        <v>10880034619</v>
      </c>
      <c r="D1219" s="21">
        <v>990000116746</v>
      </c>
      <c r="E1219" s="22" t="s">
        <v>53</v>
      </c>
      <c r="F1219" s="21">
        <v>670</v>
      </c>
      <c r="G1219" s="23">
        <v>46083</v>
      </c>
      <c r="H1219" s="12"/>
      <c r="I1219" s="25" t="s">
        <v>1661</v>
      </c>
      <c r="J1219" s="22" t="s">
        <v>732</v>
      </c>
      <c r="K1219" s="24"/>
      <c r="L1219" s="4"/>
    </row>
    <row r="1220" spans="1:12" s="3" customFormat="1" hidden="1" x14ac:dyDescent="0.3">
      <c r="A1220" s="13" t="s">
        <v>879</v>
      </c>
      <c r="B1220" s="10"/>
      <c r="C1220" s="21">
        <v>10880033610</v>
      </c>
      <c r="D1220" s="21">
        <v>990000116747</v>
      </c>
      <c r="E1220" s="22" t="s">
        <v>1662</v>
      </c>
      <c r="F1220" s="21">
        <v>186</v>
      </c>
      <c r="G1220" s="23">
        <v>46083</v>
      </c>
      <c r="H1220" s="12"/>
      <c r="I1220" s="25" t="s">
        <v>1661</v>
      </c>
      <c r="J1220" s="22" t="s">
        <v>732</v>
      </c>
      <c r="K1220" s="24"/>
      <c r="L1220" s="4"/>
    </row>
    <row r="1221" spans="1:12" s="3" customFormat="1" hidden="1" x14ac:dyDescent="0.3">
      <c r="A1221" s="13" t="s">
        <v>879</v>
      </c>
      <c r="B1221" s="10"/>
      <c r="C1221" s="28">
        <v>10880033325</v>
      </c>
      <c r="D1221" s="28">
        <v>990000116828</v>
      </c>
      <c r="E1221" s="29" t="s">
        <v>252</v>
      </c>
      <c r="F1221" s="28">
        <v>80</v>
      </c>
      <c r="G1221" s="30">
        <v>46084</v>
      </c>
      <c r="H1221" s="12"/>
      <c r="I1221" s="37" t="s">
        <v>1663</v>
      </c>
      <c r="J1221" s="29" t="s">
        <v>379</v>
      </c>
      <c r="K1221" s="24"/>
    </row>
    <row r="1222" spans="1:12" s="3" customFormat="1" hidden="1" x14ac:dyDescent="0.3">
      <c r="A1222" s="13" t="s">
        <v>879</v>
      </c>
      <c r="B1222" s="10"/>
      <c r="C1222" s="28">
        <v>10880036337</v>
      </c>
      <c r="D1222" s="28">
        <v>990000116829</v>
      </c>
      <c r="E1222" s="29" t="s">
        <v>253</v>
      </c>
      <c r="F1222" s="28">
        <v>130</v>
      </c>
      <c r="G1222" s="30">
        <v>46084</v>
      </c>
      <c r="H1222" s="12"/>
      <c r="I1222" s="37" t="s">
        <v>1664</v>
      </c>
      <c r="J1222" s="29" t="s">
        <v>379</v>
      </c>
      <c r="K1222" s="24"/>
    </row>
    <row r="1223" spans="1:12" s="3" customFormat="1" hidden="1" x14ac:dyDescent="0.3">
      <c r="A1223" s="13" t="s">
        <v>879</v>
      </c>
      <c r="B1223" s="10"/>
      <c r="C1223" s="28">
        <v>10880037022</v>
      </c>
      <c r="D1223" s="28">
        <v>990000116861</v>
      </c>
      <c r="E1223" s="29" t="s">
        <v>138</v>
      </c>
      <c r="F1223" s="28">
        <v>300</v>
      </c>
      <c r="G1223" s="30">
        <v>46085</v>
      </c>
      <c r="H1223" s="12"/>
      <c r="I1223" s="37" t="s">
        <v>1665</v>
      </c>
      <c r="J1223" s="29" t="s">
        <v>379</v>
      </c>
      <c r="K1223" s="24"/>
    </row>
    <row r="1224" spans="1:12" s="3" customFormat="1" hidden="1" x14ac:dyDescent="0.3">
      <c r="A1224" s="13" t="s">
        <v>879</v>
      </c>
      <c r="B1224" s="10"/>
      <c r="C1224" s="28">
        <v>10880035167</v>
      </c>
      <c r="D1224" s="28">
        <v>990000116915</v>
      </c>
      <c r="E1224" s="29" t="s">
        <v>218</v>
      </c>
      <c r="F1224" s="28">
        <v>2045</v>
      </c>
      <c r="G1224" s="30">
        <v>46087</v>
      </c>
      <c r="H1224" s="12"/>
      <c r="I1224" s="37" t="s">
        <v>1527</v>
      </c>
      <c r="J1224" s="29" t="s">
        <v>379</v>
      </c>
      <c r="K1224" s="24"/>
    </row>
    <row r="1225" spans="1:12" s="3" customFormat="1" hidden="1" x14ac:dyDescent="0.3">
      <c r="A1225" s="13" t="s">
        <v>879</v>
      </c>
      <c r="B1225" s="10"/>
      <c r="C1225" s="28">
        <v>10880033329</v>
      </c>
      <c r="D1225" s="28">
        <v>990000117002</v>
      </c>
      <c r="E1225" s="29" t="s">
        <v>71</v>
      </c>
      <c r="F1225" s="28">
        <v>2100</v>
      </c>
      <c r="G1225" s="30">
        <v>46090</v>
      </c>
      <c r="H1225" s="12"/>
      <c r="I1225" s="37" t="s">
        <v>1666</v>
      </c>
      <c r="J1225" s="29" t="s">
        <v>430</v>
      </c>
      <c r="K1225" s="24"/>
    </row>
    <row r="1226" spans="1:12" s="3" customFormat="1" hidden="1" x14ac:dyDescent="0.3">
      <c r="A1226" s="13" t="s">
        <v>879</v>
      </c>
      <c r="B1226" s="10"/>
      <c r="C1226" s="28">
        <v>10880035186</v>
      </c>
      <c r="D1226" s="28">
        <v>990000117091</v>
      </c>
      <c r="E1226" s="29" t="s">
        <v>1133</v>
      </c>
      <c r="F1226" s="28">
        <v>1088</v>
      </c>
      <c r="G1226" s="30">
        <v>46094</v>
      </c>
      <c r="H1226" s="12"/>
      <c r="I1226" s="37" t="s">
        <v>1667</v>
      </c>
      <c r="J1226" s="29" t="s">
        <v>1668</v>
      </c>
      <c r="K1226" s="24"/>
    </row>
    <row r="1227" spans="1:12" s="3" customFormat="1" hidden="1" x14ac:dyDescent="0.3">
      <c r="A1227" s="13" t="s">
        <v>879</v>
      </c>
      <c r="B1227" s="10"/>
      <c r="C1227" s="28">
        <v>10880036514</v>
      </c>
      <c r="D1227" s="28">
        <v>990000117093</v>
      </c>
      <c r="E1227" s="29" t="s">
        <v>1669</v>
      </c>
      <c r="F1227" s="28">
        <v>61</v>
      </c>
      <c r="G1227" s="30">
        <v>46094</v>
      </c>
      <c r="H1227" s="12"/>
      <c r="I1227" s="37" t="s">
        <v>1670</v>
      </c>
      <c r="J1227" s="29" t="s">
        <v>379</v>
      </c>
      <c r="K1227" s="24"/>
      <c r="L1227" s="4"/>
    </row>
    <row r="1228" spans="1:12" s="3" customFormat="1" hidden="1" x14ac:dyDescent="0.3">
      <c r="A1228" s="13" t="s">
        <v>879</v>
      </c>
      <c r="B1228" s="10"/>
      <c r="C1228" s="28">
        <v>10880033368</v>
      </c>
      <c r="D1228" s="28">
        <v>990000117123</v>
      </c>
      <c r="E1228" s="29" t="s">
        <v>1671</v>
      </c>
      <c r="F1228" s="28">
        <v>319</v>
      </c>
      <c r="G1228" s="30">
        <v>46097</v>
      </c>
      <c r="H1228" s="12"/>
      <c r="I1228" s="37" t="s">
        <v>1672</v>
      </c>
      <c r="J1228" s="29" t="s">
        <v>379</v>
      </c>
      <c r="K1228" s="24"/>
    </row>
    <row r="1229" spans="1:12" s="3" customFormat="1" hidden="1" x14ac:dyDescent="0.3">
      <c r="A1229" s="13" t="s">
        <v>879</v>
      </c>
      <c r="B1229" s="10"/>
      <c r="C1229" s="28">
        <v>10880038537</v>
      </c>
      <c r="D1229" s="28">
        <v>990000117124</v>
      </c>
      <c r="E1229" s="29" t="s">
        <v>1673</v>
      </c>
      <c r="F1229" s="28">
        <v>31</v>
      </c>
      <c r="G1229" s="30">
        <v>46097</v>
      </c>
      <c r="H1229" s="12"/>
      <c r="I1229" s="37" t="s">
        <v>1674</v>
      </c>
      <c r="J1229" s="29" t="s">
        <v>379</v>
      </c>
      <c r="K1229" s="24"/>
    </row>
    <row r="1230" spans="1:12" s="3" customFormat="1" hidden="1" x14ac:dyDescent="0.3">
      <c r="A1230" s="13" t="s">
        <v>879</v>
      </c>
      <c r="B1230" s="10"/>
      <c r="C1230" s="28">
        <v>10880036932</v>
      </c>
      <c r="D1230" s="28">
        <v>990000117259</v>
      </c>
      <c r="E1230" s="29" t="s">
        <v>1452</v>
      </c>
      <c r="F1230" s="28">
        <v>10</v>
      </c>
      <c r="G1230" s="30">
        <v>46104</v>
      </c>
      <c r="H1230" s="12"/>
      <c r="I1230" s="37" t="s">
        <v>1675</v>
      </c>
      <c r="J1230" s="29" t="s">
        <v>379</v>
      </c>
      <c r="K1230" s="24"/>
    </row>
    <row r="1231" spans="1:12" s="3" customFormat="1" hidden="1" x14ac:dyDescent="0.3">
      <c r="A1231" s="13" t="s">
        <v>879</v>
      </c>
      <c r="B1231" s="10"/>
      <c r="C1231" s="28">
        <v>10880033191</v>
      </c>
      <c r="D1231" s="28">
        <v>990000117296</v>
      </c>
      <c r="E1231" s="29" t="s">
        <v>1676</v>
      </c>
      <c r="F1231" s="28">
        <v>57</v>
      </c>
      <c r="G1231" s="30">
        <v>46107</v>
      </c>
      <c r="H1231" s="12"/>
      <c r="I1231" s="37" t="s">
        <v>1677</v>
      </c>
      <c r="J1231" s="29" t="s">
        <v>379</v>
      </c>
      <c r="K1231" s="24"/>
      <c r="L1231" s="4"/>
    </row>
    <row r="1232" spans="1:12" s="3" customFormat="1" hidden="1" x14ac:dyDescent="0.3">
      <c r="A1232" s="13" t="s">
        <v>879</v>
      </c>
      <c r="B1232" s="10"/>
      <c r="C1232" s="28">
        <v>10880037918</v>
      </c>
      <c r="D1232" s="28">
        <v>990000117467</v>
      </c>
      <c r="E1232" s="29" t="s">
        <v>1678</v>
      </c>
      <c r="F1232" s="28">
        <v>32</v>
      </c>
      <c r="G1232" s="30">
        <v>46119</v>
      </c>
      <c r="H1232" s="12"/>
      <c r="I1232" s="37" t="s">
        <v>1679</v>
      </c>
      <c r="J1232" s="29" t="s">
        <v>379</v>
      </c>
      <c r="K1232" s="24"/>
      <c r="L1232" s="4"/>
    </row>
    <row r="1233" spans="1:12" s="3" customFormat="1" hidden="1" x14ac:dyDescent="0.3">
      <c r="A1233" s="13" t="s">
        <v>879</v>
      </c>
      <c r="B1233" s="10"/>
      <c r="C1233" s="28">
        <v>10880035409</v>
      </c>
      <c r="D1233" s="28">
        <v>990000117399</v>
      </c>
      <c r="E1233" s="29" t="s">
        <v>332</v>
      </c>
      <c r="F1233" s="28">
        <v>320</v>
      </c>
      <c r="G1233" s="30">
        <v>46119</v>
      </c>
      <c r="H1233" s="12"/>
      <c r="I1233" s="37" t="s">
        <v>1680</v>
      </c>
      <c r="J1233" s="29" t="s">
        <v>379</v>
      </c>
      <c r="K1233" s="24"/>
    </row>
    <row r="1234" spans="1:12" s="3" customFormat="1" hidden="1" x14ac:dyDescent="0.3">
      <c r="A1234" s="13" t="s">
        <v>879</v>
      </c>
      <c r="B1234" s="10"/>
      <c r="C1234" s="28">
        <v>10880037725</v>
      </c>
      <c r="D1234" s="28">
        <v>990000117501</v>
      </c>
      <c r="E1234" s="29" t="s">
        <v>256</v>
      </c>
      <c r="F1234" s="28">
        <v>960</v>
      </c>
      <c r="G1234" s="30">
        <v>46122</v>
      </c>
      <c r="H1234" s="12"/>
      <c r="I1234" s="37" t="s">
        <v>1681</v>
      </c>
      <c r="J1234" s="29" t="s">
        <v>430</v>
      </c>
      <c r="K1234" s="24"/>
      <c r="L1234" s="4"/>
    </row>
    <row r="1235" spans="1:12" s="3" customFormat="1" hidden="1" x14ac:dyDescent="0.3">
      <c r="A1235" s="13" t="s">
        <v>879</v>
      </c>
      <c r="B1235" s="10"/>
      <c r="C1235" s="28">
        <v>10880037724</v>
      </c>
      <c r="D1235" s="28">
        <v>990000117502</v>
      </c>
      <c r="E1235" s="29" t="s">
        <v>255</v>
      </c>
      <c r="F1235" s="28">
        <v>2228</v>
      </c>
      <c r="G1235" s="30">
        <v>46122</v>
      </c>
      <c r="H1235" s="12"/>
      <c r="I1235" s="37" t="s">
        <v>1682</v>
      </c>
      <c r="J1235" s="29" t="s">
        <v>430</v>
      </c>
      <c r="K1235" s="24"/>
    </row>
    <row r="1236" spans="1:12" s="3" customFormat="1" hidden="1" x14ac:dyDescent="0.3">
      <c r="A1236" s="13" t="s">
        <v>879</v>
      </c>
      <c r="B1236" s="10"/>
      <c r="C1236" s="28">
        <v>10880037059</v>
      </c>
      <c r="D1236" s="28">
        <v>990000117508</v>
      </c>
      <c r="E1236" s="29" t="s">
        <v>248</v>
      </c>
      <c r="F1236" s="28">
        <v>15</v>
      </c>
      <c r="G1236" s="30">
        <v>46123</v>
      </c>
      <c r="H1236" s="12"/>
      <c r="I1236" s="37" t="s">
        <v>1683</v>
      </c>
      <c r="J1236" s="29" t="s">
        <v>379</v>
      </c>
      <c r="K1236" s="24"/>
    </row>
    <row r="1237" spans="1:12" s="3" customFormat="1" x14ac:dyDescent="0.3">
      <c r="A1237" s="13" t="s">
        <v>879</v>
      </c>
      <c r="B1237" s="10"/>
      <c r="C1237" s="28">
        <v>10880030004</v>
      </c>
      <c r="D1237" s="28">
        <v>990000117511</v>
      </c>
      <c r="E1237" s="29" t="s">
        <v>254</v>
      </c>
      <c r="F1237" s="28">
        <v>100</v>
      </c>
      <c r="G1237" s="30">
        <v>46123</v>
      </c>
      <c r="H1237" s="12"/>
      <c r="I1237" s="37" t="s">
        <v>1684</v>
      </c>
      <c r="J1237" s="29" t="s">
        <v>379</v>
      </c>
      <c r="K1237" s="24"/>
    </row>
    <row r="1238" spans="1:12" s="3" customFormat="1" hidden="1" x14ac:dyDescent="0.3">
      <c r="A1238" s="13" t="s">
        <v>879</v>
      </c>
      <c r="B1238" s="10"/>
      <c r="C1238" s="28">
        <v>10880035409</v>
      </c>
      <c r="D1238" s="28">
        <v>990000117512</v>
      </c>
      <c r="E1238" s="29" t="s">
        <v>332</v>
      </c>
      <c r="F1238" s="28">
        <v>220</v>
      </c>
      <c r="G1238" s="30">
        <v>46124</v>
      </c>
      <c r="H1238" s="12"/>
      <c r="I1238" s="37" t="s">
        <v>1685</v>
      </c>
      <c r="J1238" s="29" t="s">
        <v>379</v>
      </c>
      <c r="K1238" s="24"/>
    </row>
    <row r="1239" spans="1:12" s="3" customFormat="1" hidden="1" x14ac:dyDescent="0.3">
      <c r="A1239" s="13" t="s">
        <v>879</v>
      </c>
      <c r="B1239" s="10"/>
      <c r="C1239" s="28">
        <v>10880035512</v>
      </c>
      <c r="D1239" s="28">
        <v>990000117545</v>
      </c>
      <c r="E1239" s="29" t="s">
        <v>191</v>
      </c>
      <c r="F1239" s="28">
        <v>131</v>
      </c>
      <c r="G1239" s="30">
        <v>46123</v>
      </c>
      <c r="H1239" s="12"/>
      <c r="I1239" s="37" t="s">
        <v>1686</v>
      </c>
      <c r="J1239" s="29" t="s">
        <v>379</v>
      </c>
      <c r="K1239" s="24"/>
    </row>
    <row r="1240" spans="1:12" s="3" customFormat="1" hidden="1" x14ac:dyDescent="0.3">
      <c r="A1240" s="13" t="s">
        <v>879</v>
      </c>
      <c r="B1240" s="10"/>
      <c r="C1240" s="21">
        <v>40880000587</v>
      </c>
      <c r="D1240" s="21">
        <v>990000115936</v>
      </c>
      <c r="E1240" s="22" t="s">
        <v>260</v>
      </c>
      <c r="F1240" s="21">
        <v>50</v>
      </c>
      <c r="G1240" s="23">
        <v>46035</v>
      </c>
      <c r="H1240" s="12"/>
      <c r="I1240" s="25" t="s">
        <v>1709</v>
      </c>
      <c r="J1240" s="22" t="s">
        <v>379</v>
      </c>
      <c r="K1240" s="27"/>
    </row>
    <row r="1241" spans="1:12" s="3" customFormat="1" hidden="1" x14ac:dyDescent="0.3">
      <c r="A1241" s="13" t="s">
        <v>879</v>
      </c>
      <c r="B1241" s="10"/>
      <c r="C1241" s="10">
        <v>10880016525</v>
      </c>
      <c r="D1241" s="11">
        <v>990000114169</v>
      </c>
      <c r="E1241" s="10" t="s">
        <v>600</v>
      </c>
      <c r="F1241" s="10">
        <v>292</v>
      </c>
      <c r="G1241" s="12">
        <v>45966</v>
      </c>
      <c r="H1241" s="12"/>
      <c r="I1241" s="10" t="s">
        <v>1704</v>
      </c>
      <c r="J1241" s="10" t="s">
        <v>379</v>
      </c>
      <c r="K1241" s="27"/>
    </row>
    <row r="1242" spans="1:12" s="3" customFormat="1" hidden="1" x14ac:dyDescent="0.3">
      <c r="A1242" s="13" t="s">
        <v>879</v>
      </c>
      <c r="B1242" s="10"/>
      <c r="C1242" s="21">
        <v>10880030977</v>
      </c>
      <c r="D1242" s="21">
        <v>990000115564</v>
      </c>
      <c r="E1242" s="22" t="s">
        <v>199</v>
      </c>
      <c r="F1242" s="21">
        <v>430</v>
      </c>
      <c r="G1242" s="23">
        <v>46022</v>
      </c>
      <c r="H1242" s="12"/>
      <c r="I1242" s="25" t="s">
        <v>1706</v>
      </c>
      <c r="J1242" s="22" t="s">
        <v>379</v>
      </c>
      <c r="K1242" s="27"/>
    </row>
    <row r="1243" spans="1:12" s="3" customFormat="1" hidden="1" x14ac:dyDescent="0.3">
      <c r="A1243" s="13" t="s">
        <v>879</v>
      </c>
      <c r="B1243" s="10"/>
      <c r="C1243" s="28">
        <v>10880033325</v>
      </c>
      <c r="D1243" s="28">
        <v>990000117114</v>
      </c>
      <c r="E1243" s="29" t="s">
        <v>252</v>
      </c>
      <c r="F1243" s="28">
        <v>938</v>
      </c>
      <c r="G1243" s="30">
        <v>46095</v>
      </c>
      <c r="H1243" s="12"/>
      <c r="I1243" s="37" t="s">
        <v>1730</v>
      </c>
      <c r="J1243" s="29" t="s">
        <v>379</v>
      </c>
      <c r="K1243" s="24"/>
    </row>
    <row r="1244" spans="1:12" s="3" customFormat="1" hidden="1" x14ac:dyDescent="0.3">
      <c r="A1244" s="13" t="s">
        <v>879</v>
      </c>
      <c r="B1244" s="10"/>
      <c r="C1244" s="28">
        <v>10880038123</v>
      </c>
      <c r="D1244" s="28">
        <v>990000117295</v>
      </c>
      <c r="E1244" s="29" t="s">
        <v>235</v>
      </c>
      <c r="F1244" s="28">
        <v>38</v>
      </c>
      <c r="G1244" s="30">
        <v>46107</v>
      </c>
      <c r="H1244" s="12"/>
      <c r="I1244" s="37" t="s">
        <v>1733</v>
      </c>
      <c r="J1244" s="29" t="s">
        <v>379</v>
      </c>
      <c r="K1244" s="24"/>
    </row>
    <row r="1245" spans="1:12" s="3" customFormat="1" hidden="1" x14ac:dyDescent="0.3">
      <c r="A1245" s="13" t="s">
        <v>879</v>
      </c>
      <c r="B1245" s="10"/>
      <c r="C1245" s="28">
        <v>10880035448</v>
      </c>
      <c r="D1245" s="28">
        <v>990000117338</v>
      </c>
      <c r="E1245" s="29" t="s">
        <v>1230</v>
      </c>
      <c r="F1245" s="28">
        <v>168</v>
      </c>
      <c r="G1245" s="30">
        <v>46111</v>
      </c>
      <c r="H1245" s="12"/>
      <c r="I1245" s="37" t="s">
        <v>1741</v>
      </c>
      <c r="J1245" s="29" t="s">
        <v>389</v>
      </c>
      <c r="K1245" s="24"/>
    </row>
    <row r="1246" spans="1:12" s="3" customFormat="1" hidden="1" x14ac:dyDescent="0.3">
      <c r="A1246" s="13" t="s">
        <v>879</v>
      </c>
      <c r="B1246" s="10"/>
      <c r="C1246" s="28">
        <v>10880033610</v>
      </c>
      <c r="D1246" s="28">
        <v>990000117339</v>
      </c>
      <c r="E1246" s="29" t="s">
        <v>1662</v>
      </c>
      <c r="F1246" s="28">
        <v>66</v>
      </c>
      <c r="G1246" s="30">
        <v>46111</v>
      </c>
      <c r="H1246" s="12"/>
      <c r="I1246" s="37" t="s">
        <v>1742</v>
      </c>
      <c r="J1246" s="29" t="s">
        <v>389</v>
      </c>
      <c r="K1246" s="24"/>
    </row>
    <row r="1247" spans="1:12" s="3" customFormat="1" hidden="1" x14ac:dyDescent="0.3">
      <c r="A1247" s="13" t="s">
        <v>879</v>
      </c>
      <c r="B1247" s="10"/>
      <c r="C1247" s="28">
        <v>10880037918</v>
      </c>
      <c r="D1247" s="28">
        <v>990000117380</v>
      </c>
      <c r="E1247" s="29" t="s">
        <v>1678</v>
      </c>
      <c r="F1247" s="28">
        <v>12</v>
      </c>
      <c r="G1247" s="30">
        <v>46113</v>
      </c>
      <c r="H1247" s="12"/>
      <c r="I1247" s="37" t="s">
        <v>1743</v>
      </c>
      <c r="J1247" s="29" t="s">
        <v>379</v>
      </c>
      <c r="K1247" s="24"/>
    </row>
    <row r="1248" spans="1:12" s="3" customFormat="1" hidden="1" x14ac:dyDescent="0.3">
      <c r="A1248" s="13" t="s">
        <v>879</v>
      </c>
      <c r="B1248" s="10"/>
      <c r="C1248" s="28">
        <v>10880031249</v>
      </c>
      <c r="D1248" s="28">
        <v>990000117398</v>
      </c>
      <c r="E1248" s="29" t="s">
        <v>291</v>
      </c>
      <c r="F1248" s="28">
        <v>193</v>
      </c>
      <c r="G1248" s="30">
        <v>46115</v>
      </c>
      <c r="H1248" s="12"/>
      <c r="I1248" s="37" t="s">
        <v>1744</v>
      </c>
      <c r="J1248" s="29" t="s">
        <v>379</v>
      </c>
      <c r="K1248" s="24"/>
    </row>
    <row r="1249" spans="1:11" s="3" customFormat="1" hidden="1" x14ac:dyDescent="0.3">
      <c r="A1249" s="13" t="s">
        <v>879</v>
      </c>
      <c r="B1249" s="10"/>
      <c r="C1249" s="28">
        <v>10880037374</v>
      </c>
      <c r="D1249" s="28">
        <v>990000117400</v>
      </c>
      <c r="E1249" s="29" t="s">
        <v>1746</v>
      </c>
      <c r="F1249" s="28">
        <v>13500</v>
      </c>
      <c r="G1249" s="30">
        <v>46119</v>
      </c>
      <c r="H1249" s="12"/>
      <c r="I1249" s="37" t="s">
        <v>1747</v>
      </c>
      <c r="J1249" s="29" t="s">
        <v>379</v>
      </c>
      <c r="K1249" s="24"/>
    </row>
    <row r="1250" spans="1:11" s="3" customFormat="1" hidden="1" x14ac:dyDescent="0.3">
      <c r="A1250" s="13" t="s">
        <v>879</v>
      </c>
      <c r="B1250" s="10"/>
      <c r="C1250" s="28">
        <v>10880017516</v>
      </c>
      <c r="D1250" s="28">
        <v>990000117509</v>
      </c>
      <c r="E1250" s="29" t="s">
        <v>164</v>
      </c>
      <c r="F1250" s="28">
        <v>1822</v>
      </c>
      <c r="G1250" s="30">
        <v>46123</v>
      </c>
      <c r="H1250" s="12"/>
      <c r="I1250" s="37" t="s">
        <v>1748</v>
      </c>
      <c r="J1250" s="29" t="s">
        <v>389</v>
      </c>
      <c r="K1250" s="24"/>
    </row>
    <row r="1251" spans="1:11" s="3" customFormat="1" hidden="1" x14ac:dyDescent="0.3">
      <c r="A1251" s="13" t="s">
        <v>879</v>
      </c>
      <c r="B1251" s="10"/>
      <c r="C1251" s="28">
        <v>10880017525</v>
      </c>
      <c r="D1251" s="28">
        <v>990000117510</v>
      </c>
      <c r="E1251" s="29" t="s">
        <v>183</v>
      </c>
      <c r="F1251" s="28">
        <v>181</v>
      </c>
      <c r="G1251" s="30">
        <v>46123</v>
      </c>
      <c r="H1251" s="12"/>
      <c r="I1251" s="37" t="s">
        <v>1749</v>
      </c>
      <c r="J1251" s="29" t="s">
        <v>389</v>
      </c>
      <c r="K1251" s="24"/>
    </row>
    <row r="1252" spans="1:11" s="3" customFormat="1" hidden="1" x14ac:dyDescent="0.3">
      <c r="A1252" s="13" t="s">
        <v>879</v>
      </c>
      <c r="B1252" s="10"/>
      <c r="C1252" s="28">
        <v>10880036467</v>
      </c>
      <c r="D1252" s="28">
        <v>990000117702</v>
      </c>
      <c r="E1252" s="29" t="s">
        <v>1763</v>
      </c>
      <c r="F1252" s="28">
        <v>30</v>
      </c>
      <c r="G1252" s="30">
        <v>46129</v>
      </c>
      <c r="H1252" s="12"/>
      <c r="I1252" s="37" t="s">
        <v>1782</v>
      </c>
      <c r="J1252" s="29" t="s">
        <v>1783</v>
      </c>
      <c r="K1252" s="24"/>
    </row>
    <row r="1253" spans="1:11" s="3" customFormat="1" hidden="1" x14ac:dyDescent="0.3">
      <c r="A1253" s="13" t="s">
        <v>879</v>
      </c>
      <c r="B1253" s="10"/>
      <c r="C1253" s="28">
        <v>10880038290</v>
      </c>
      <c r="D1253" s="28">
        <v>990000117731</v>
      </c>
      <c r="E1253" s="29" t="s">
        <v>80</v>
      </c>
      <c r="F1253" s="28">
        <v>10</v>
      </c>
      <c r="G1253" s="30">
        <v>46132</v>
      </c>
      <c r="H1253" s="12"/>
      <c r="I1253" s="37" t="s">
        <v>1784</v>
      </c>
      <c r="J1253" s="29" t="s">
        <v>1777</v>
      </c>
      <c r="K1253" s="24"/>
    </row>
    <row r="1254" spans="1:11" s="3" customFormat="1" hidden="1" x14ac:dyDescent="0.3">
      <c r="A1254" s="13" t="s">
        <v>879</v>
      </c>
      <c r="B1254" s="10"/>
      <c r="C1254" s="28">
        <v>10880035653</v>
      </c>
      <c r="D1254" s="28">
        <v>990000117792</v>
      </c>
      <c r="E1254" s="29" t="s">
        <v>96</v>
      </c>
      <c r="F1254" s="28">
        <v>84</v>
      </c>
      <c r="G1254" s="30">
        <v>46135</v>
      </c>
      <c r="H1254" s="12"/>
      <c r="I1254" s="37" t="s">
        <v>1786</v>
      </c>
      <c r="J1254" s="29" t="s">
        <v>1777</v>
      </c>
      <c r="K1254" s="24"/>
    </row>
    <row r="1255" spans="1:11" s="3" customFormat="1" hidden="1" x14ac:dyDescent="0.3">
      <c r="A1255" s="13" t="s">
        <v>879</v>
      </c>
      <c r="B1255" s="10"/>
      <c r="C1255" s="28">
        <v>10880035989</v>
      </c>
      <c r="D1255" s="28">
        <v>990000117824</v>
      </c>
      <c r="E1255" s="29" t="s">
        <v>1775</v>
      </c>
      <c r="F1255" s="28">
        <v>139</v>
      </c>
      <c r="G1255" s="30">
        <v>46137</v>
      </c>
      <c r="H1255" s="12"/>
      <c r="I1255" s="37" t="s">
        <v>1795</v>
      </c>
      <c r="J1255" s="29" t="s">
        <v>1777</v>
      </c>
      <c r="K1255" s="24"/>
    </row>
    <row r="1256" spans="1:11" s="3" customFormat="1" hidden="1" x14ac:dyDescent="0.3">
      <c r="A1256" s="18" t="s">
        <v>879</v>
      </c>
      <c r="B1256" s="17"/>
      <c r="C1256" s="17">
        <v>10880015099</v>
      </c>
      <c r="D1256" s="31">
        <v>990000107114</v>
      </c>
      <c r="E1256" s="17" t="s">
        <v>1034</v>
      </c>
      <c r="F1256" s="17">
        <v>50</v>
      </c>
      <c r="G1256" s="32">
        <v>45716</v>
      </c>
      <c r="H1256" s="32"/>
      <c r="I1256" s="17" t="s">
        <v>1035</v>
      </c>
      <c r="J1256" s="17" t="s">
        <v>379</v>
      </c>
      <c r="K1256" s="20"/>
    </row>
    <row r="1257" spans="1:11" s="3" customFormat="1" hidden="1" x14ac:dyDescent="0.3">
      <c r="A1257" s="18" t="s">
        <v>879</v>
      </c>
      <c r="B1257" s="17"/>
      <c r="C1257" s="17">
        <v>10880014440</v>
      </c>
      <c r="D1257" s="31">
        <v>990000107115</v>
      </c>
      <c r="E1257" s="17" t="s">
        <v>1687</v>
      </c>
      <c r="F1257" s="17">
        <v>50</v>
      </c>
      <c r="G1257" s="32">
        <v>45716</v>
      </c>
      <c r="H1257" s="32"/>
      <c r="I1257" s="17" t="s">
        <v>1263</v>
      </c>
      <c r="J1257" s="17" t="s">
        <v>379</v>
      </c>
      <c r="K1257" s="20"/>
    </row>
    <row r="1258" spans="1:11" s="3" customFormat="1" hidden="1" x14ac:dyDescent="0.3">
      <c r="A1258" s="18" t="s">
        <v>879</v>
      </c>
      <c r="B1258" s="17"/>
      <c r="C1258" s="17">
        <v>10880033400</v>
      </c>
      <c r="D1258" s="31">
        <v>990000108360</v>
      </c>
      <c r="E1258" s="17" t="s">
        <v>792</v>
      </c>
      <c r="F1258" s="17">
        <v>432</v>
      </c>
      <c r="G1258" s="32">
        <v>45761</v>
      </c>
      <c r="H1258" s="32"/>
      <c r="I1258" s="17" t="s">
        <v>1688</v>
      </c>
      <c r="J1258" s="17" t="s">
        <v>379</v>
      </c>
      <c r="K1258" s="20"/>
    </row>
    <row r="1259" spans="1:11" s="3" customFormat="1" hidden="1" x14ac:dyDescent="0.3">
      <c r="A1259" s="18" t="s">
        <v>879</v>
      </c>
      <c r="B1259" s="17"/>
      <c r="C1259" s="17">
        <v>10880020802</v>
      </c>
      <c r="D1259" s="31">
        <v>990000108801</v>
      </c>
      <c r="E1259" s="17" t="s">
        <v>1197</v>
      </c>
      <c r="F1259" s="17">
        <v>150</v>
      </c>
      <c r="G1259" s="32">
        <v>45789</v>
      </c>
      <c r="H1259" s="33"/>
      <c r="I1259" s="17" t="s">
        <v>1689</v>
      </c>
      <c r="J1259" s="17" t="s">
        <v>379</v>
      </c>
      <c r="K1259" s="39"/>
    </row>
    <row r="1260" spans="1:11" s="3" customFormat="1" x14ac:dyDescent="0.3">
      <c r="A1260" s="18" t="s">
        <v>879</v>
      </c>
      <c r="B1260" s="17"/>
      <c r="C1260" s="17">
        <v>10880030520</v>
      </c>
      <c r="D1260" s="31">
        <v>990000110289</v>
      </c>
      <c r="E1260" s="17" t="s">
        <v>214</v>
      </c>
      <c r="F1260" s="17">
        <v>23</v>
      </c>
      <c r="G1260" s="32">
        <v>45822</v>
      </c>
      <c r="H1260" s="33"/>
      <c r="I1260" s="17" t="s">
        <v>1690</v>
      </c>
      <c r="J1260" s="17" t="s">
        <v>379</v>
      </c>
      <c r="K1260" s="39"/>
    </row>
    <row r="1261" spans="1:11" s="3" customFormat="1" x14ac:dyDescent="0.3">
      <c r="A1261" s="18" t="s">
        <v>879</v>
      </c>
      <c r="B1261" s="17"/>
      <c r="C1261" s="17">
        <v>10880030187</v>
      </c>
      <c r="D1261" s="31">
        <v>990000110290</v>
      </c>
      <c r="E1261" s="17" t="s">
        <v>215</v>
      </c>
      <c r="F1261" s="17">
        <v>9</v>
      </c>
      <c r="G1261" s="32">
        <v>45822</v>
      </c>
      <c r="H1261" s="33"/>
      <c r="I1261" s="17" t="s">
        <v>1690</v>
      </c>
      <c r="J1261" s="17" t="s">
        <v>379</v>
      </c>
      <c r="K1261" s="39"/>
    </row>
    <row r="1262" spans="1:11" s="3" customFormat="1" x14ac:dyDescent="0.3">
      <c r="A1262" s="18" t="s">
        <v>879</v>
      </c>
      <c r="B1262" s="17"/>
      <c r="C1262" s="17">
        <v>10880030519</v>
      </c>
      <c r="D1262" s="31">
        <v>990000110291</v>
      </c>
      <c r="E1262" s="17" t="s">
        <v>208</v>
      </c>
      <c r="F1262" s="17">
        <v>26</v>
      </c>
      <c r="G1262" s="32">
        <v>45822</v>
      </c>
      <c r="H1262" s="33"/>
      <c r="I1262" s="17" t="s">
        <v>1690</v>
      </c>
      <c r="J1262" s="17" t="s">
        <v>379</v>
      </c>
      <c r="K1262" s="39"/>
    </row>
    <row r="1263" spans="1:11" s="3" customFormat="1" hidden="1" x14ac:dyDescent="0.3">
      <c r="A1263" s="18" t="s">
        <v>879</v>
      </c>
      <c r="B1263" s="17"/>
      <c r="C1263" s="17">
        <v>10880030551</v>
      </c>
      <c r="D1263" s="31">
        <v>990000111456</v>
      </c>
      <c r="E1263" s="17" t="s">
        <v>763</v>
      </c>
      <c r="F1263" s="17">
        <v>36</v>
      </c>
      <c r="G1263" s="32">
        <v>45869</v>
      </c>
      <c r="H1263" s="33"/>
      <c r="I1263" s="17" t="s">
        <v>1055</v>
      </c>
      <c r="J1263" s="17" t="s">
        <v>423</v>
      </c>
      <c r="K1263" s="39"/>
    </row>
    <row r="1264" spans="1:11" s="3" customFormat="1" hidden="1" x14ac:dyDescent="0.3">
      <c r="A1264" s="18" t="s">
        <v>879</v>
      </c>
      <c r="B1264" s="17"/>
      <c r="C1264" s="17">
        <v>10880031871</v>
      </c>
      <c r="D1264" s="31">
        <v>990000113613</v>
      </c>
      <c r="E1264" s="17" t="s">
        <v>154</v>
      </c>
      <c r="F1264" s="17">
        <v>100</v>
      </c>
      <c r="G1264" s="32">
        <v>45946</v>
      </c>
      <c r="H1264" s="33"/>
      <c r="I1264" s="38" t="s">
        <v>1691</v>
      </c>
      <c r="J1264" s="35" t="s">
        <v>379</v>
      </c>
      <c r="K1264" s="39"/>
    </row>
    <row r="1265" spans="1:11" s="3" customFormat="1" hidden="1" x14ac:dyDescent="0.3">
      <c r="A1265" s="18" t="s">
        <v>879</v>
      </c>
      <c r="B1265" s="17"/>
      <c r="C1265" s="17">
        <v>10880032383</v>
      </c>
      <c r="D1265" s="31">
        <v>990000113893</v>
      </c>
      <c r="E1265" s="17" t="s">
        <v>1224</v>
      </c>
      <c r="F1265" s="17">
        <v>57</v>
      </c>
      <c r="G1265" s="32">
        <v>45957</v>
      </c>
      <c r="H1265" s="33"/>
      <c r="I1265" s="17" t="s">
        <v>1225</v>
      </c>
      <c r="J1265" s="17" t="s">
        <v>379</v>
      </c>
      <c r="K1265" s="39"/>
    </row>
    <row r="1266" spans="1:11" s="3" customFormat="1" x14ac:dyDescent="0.3">
      <c r="A1266" s="18" t="s">
        <v>879</v>
      </c>
      <c r="B1266" s="17"/>
      <c r="C1266" s="17">
        <v>10880034195</v>
      </c>
      <c r="D1266" s="31">
        <v>990000113962</v>
      </c>
      <c r="E1266" s="17" t="s">
        <v>1022</v>
      </c>
      <c r="F1266" s="17">
        <v>2</v>
      </c>
      <c r="G1266" s="32">
        <v>45959</v>
      </c>
      <c r="H1266" s="33"/>
      <c r="I1266" s="17" t="s">
        <v>1692</v>
      </c>
      <c r="J1266" s="17" t="s">
        <v>379</v>
      </c>
      <c r="K1266" s="39"/>
    </row>
    <row r="1267" spans="1:11" s="3" customFormat="1" x14ac:dyDescent="0.3">
      <c r="A1267" s="18" t="s">
        <v>879</v>
      </c>
      <c r="B1267" s="17"/>
      <c r="C1267" s="17">
        <v>10880030519</v>
      </c>
      <c r="D1267" s="31">
        <v>990000113951</v>
      </c>
      <c r="E1267" s="17" t="s">
        <v>208</v>
      </c>
      <c r="F1267" s="17">
        <v>31</v>
      </c>
      <c r="G1267" s="32">
        <v>45959</v>
      </c>
      <c r="H1267" s="33"/>
      <c r="I1267" s="17" t="s">
        <v>1371</v>
      </c>
      <c r="J1267" s="17" t="s">
        <v>379</v>
      </c>
      <c r="K1267" s="39"/>
    </row>
    <row r="1268" spans="1:11" s="3" customFormat="1" x14ac:dyDescent="0.3">
      <c r="A1268" s="18" t="s">
        <v>879</v>
      </c>
      <c r="B1268" s="17"/>
      <c r="C1268" s="17">
        <v>10880030520</v>
      </c>
      <c r="D1268" s="31">
        <v>990000113952</v>
      </c>
      <c r="E1268" s="17" t="s">
        <v>214</v>
      </c>
      <c r="F1268" s="17">
        <v>45</v>
      </c>
      <c r="G1268" s="32">
        <v>45959</v>
      </c>
      <c r="H1268" s="33"/>
      <c r="I1268" s="17" t="s">
        <v>1371</v>
      </c>
      <c r="J1268" s="17" t="s">
        <v>379</v>
      </c>
      <c r="K1268" s="39"/>
    </row>
    <row r="1269" spans="1:11" hidden="1" x14ac:dyDescent="0.3">
      <c r="A1269" s="18" t="s">
        <v>879</v>
      </c>
      <c r="B1269" s="17"/>
      <c r="C1269" s="17">
        <v>10880030551</v>
      </c>
      <c r="D1269" s="31">
        <v>990000113954</v>
      </c>
      <c r="E1269" s="17" t="s">
        <v>763</v>
      </c>
      <c r="F1269" s="17">
        <v>1</v>
      </c>
      <c r="G1269" s="32">
        <v>45959</v>
      </c>
      <c r="H1269" s="33"/>
      <c r="I1269" s="17" t="s">
        <v>1693</v>
      </c>
      <c r="J1269" s="17" t="s">
        <v>379</v>
      </c>
      <c r="K1269" s="39"/>
    </row>
    <row r="1270" spans="1:11" s="3" customFormat="1" hidden="1" x14ac:dyDescent="0.3">
      <c r="A1270" s="18" t="s">
        <v>879</v>
      </c>
      <c r="B1270" s="17"/>
      <c r="C1270" s="17">
        <v>10880031011</v>
      </c>
      <c r="D1270" s="31">
        <v>990000113955</v>
      </c>
      <c r="E1270" s="17" t="s">
        <v>49</v>
      </c>
      <c r="F1270" s="17">
        <v>10</v>
      </c>
      <c r="G1270" s="32">
        <v>45959</v>
      </c>
      <c r="H1270" s="33"/>
      <c r="I1270" s="17" t="s">
        <v>1694</v>
      </c>
      <c r="J1270" s="17" t="s">
        <v>379</v>
      </c>
      <c r="K1270" s="39"/>
    </row>
    <row r="1271" spans="1:11" hidden="1" x14ac:dyDescent="0.3">
      <c r="A1271" s="18" t="s">
        <v>879</v>
      </c>
      <c r="B1271" s="17"/>
      <c r="C1271" s="17">
        <v>10880031760</v>
      </c>
      <c r="D1271" s="31">
        <v>990000113957</v>
      </c>
      <c r="E1271" s="17" t="s">
        <v>48</v>
      </c>
      <c r="F1271" s="17">
        <v>1</v>
      </c>
      <c r="G1271" s="32">
        <v>45959</v>
      </c>
      <c r="H1271" s="33"/>
      <c r="I1271" s="17" t="s">
        <v>1695</v>
      </c>
      <c r="J1271" s="17" t="s">
        <v>379</v>
      </c>
      <c r="K1271" s="39"/>
    </row>
    <row r="1272" spans="1:11" hidden="1" x14ac:dyDescent="0.3">
      <c r="A1272" s="18" t="s">
        <v>879</v>
      </c>
      <c r="B1272" s="17"/>
      <c r="C1272" s="17">
        <v>10880033610</v>
      </c>
      <c r="D1272" s="31">
        <v>990000113958</v>
      </c>
      <c r="E1272" s="17" t="s">
        <v>1662</v>
      </c>
      <c r="F1272" s="17">
        <v>1</v>
      </c>
      <c r="G1272" s="32">
        <v>45959</v>
      </c>
      <c r="H1272" s="33"/>
      <c r="I1272" s="17" t="s">
        <v>1696</v>
      </c>
      <c r="J1272" s="17" t="s">
        <v>379</v>
      </c>
      <c r="K1272" s="39"/>
    </row>
    <row r="1273" spans="1:11" hidden="1" x14ac:dyDescent="0.3">
      <c r="A1273" s="18" t="s">
        <v>879</v>
      </c>
      <c r="B1273" s="17"/>
      <c r="C1273" s="17">
        <v>10880035448</v>
      </c>
      <c r="D1273" s="31">
        <v>990000113959</v>
      </c>
      <c r="E1273" s="17" t="s">
        <v>1230</v>
      </c>
      <c r="F1273" s="17">
        <v>1</v>
      </c>
      <c r="G1273" s="32">
        <v>45959</v>
      </c>
      <c r="H1273" s="33"/>
      <c r="I1273" s="17" t="s">
        <v>1697</v>
      </c>
      <c r="J1273" s="17" t="s">
        <v>379</v>
      </c>
      <c r="K1273" s="39"/>
    </row>
    <row r="1274" spans="1:11" hidden="1" x14ac:dyDescent="0.3">
      <c r="A1274" s="18" t="s">
        <v>879</v>
      </c>
      <c r="B1274" s="17"/>
      <c r="C1274" s="17">
        <v>10880034621</v>
      </c>
      <c r="D1274" s="31">
        <v>990000113987</v>
      </c>
      <c r="E1274" s="17" t="s">
        <v>996</v>
      </c>
      <c r="F1274" s="17">
        <v>1</v>
      </c>
      <c r="G1274" s="32">
        <v>45959</v>
      </c>
      <c r="H1274" s="33"/>
      <c r="I1274" s="17" t="s">
        <v>1698</v>
      </c>
      <c r="J1274" s="17" t="s">
        <v>379</v>
      </c>
      <c r="K1274" s="39"/>
    </row>
    <row r="1275" spans="1:11" hidden="1" x14ac:dyDescent="0.3">
      <c r="A1275" s="18" t="s">
        <v>879</v>
      </c>
      <c r="B1275" s="17"/>
      <c r="C1275" s="17">
        <v>10880033535</v>
      </c>
      <c r="D1275" s="31">
        <v>990000114024</v>
      </c>
      <c r="E1275" s="17" t="s">
        <v>157</v>
      </c>
      <c r="F1275" s="17">
        <v>39</v>
      </c>
      <c r="G1275" s="32">
        <v>45960</v>
      </c>
      <c r="H1275" s="33"/>
      <c r="I1275" s="17" t="s">
        <v>1699</v>
      </c>
      <c r="J1275" s="17" t="s">
        <v>379</v>
      </c>
      <c r="K1275" s="39"/>
    </row>
    <row r="1276" spans="1:11" s="3" customFormat="1" hidden="1" x14ac:dyDescent="0.3">
      <c r="A1276" s="18" t="s">
        <v>879</v>
      </c>
      <c r="B1276" s="17"/>
      <c r="C1276" s="17">
        <v>10880036423</v>
      </c>
      <c r="D1276" s="31">
        <v>990000114030</v>
      </c>
      <c r="E1276" s="17" t="s">
        <v>170</v>
      </c>
      <c r="F1276" s="17">
        <v>192</v>
      </c>
      <c r="G1276" s="32">
        <v>45960</v>
      </c>
      <c r="H1276" s="33"/>
      <c r="I1276" s="17" t="s">
        <v>1700</v>
      </c>
      <c r="J1276" s="17" t="s">
        <v>379</v>
      </c>
      <c r="K1276" s="39"/>
    </row>
    <row r="1277" spans="1:11" hidden="1" x14ac:dyDescent="0.3">
      <c r="A1277" s="18" t="s">
        <v>879</v>
      </c>
      <c r="B1277" s="17"/>
      <c r="C1277" s="17">
        <v>10880032698</v>
      </c>
      <c r="D1277" s="31">
        <v>990000114050</v>
      </c>
      <c r="E1277" s="17" t="s">
        <v>1266</v>
      </c>
      <c r="F1277" s="17">
        <v>2</v>
      </c>
      <c r="G1277" s="32">
        <v>45961</v>
      </c>
      <c r="H1277" s="33"/>
      <c r="I1277" s="17" t="s">
        <v>1701</v>
      </c>
      <c r="J1277" s="17" t="s">
        <v>379</v>
      </c>
      <c r="K1277" s="39"/>
    </row>
    <row r="1278" spans="1:11" hidden="1" x14ac:dyDescent="0.3">
      <c r="A1278" s="18" t="s">
        <v>879</v>
      </c>
      <c r="B1278" s="17"/>
      <c r="C1278" s="17">
        <v>10880028328</v>
      </c>
      <c r="D1278" s="31">
        <v>990000114038</v>
      </c>
      <c r="E1278" s="17" t="s">
        <v>823</v>
      </c>
      <c r="F1278" s="17">
        <v>500</v>
      </c>
      <c r="G1278" s="32">
        <v>45961</v>
      </c>
      <c r="H1278" s="33"/>
      <c r="I1278" s="17" t="s">
        <v>1702</v>
      </c>
      <c r="J1278" s="17" t="s">
        <v>379</v>
      </c>
      <c r="K1278" s="39"/>
    </row>
    <row r="1279" spans="1:11" hidden="1" x14ac:dyDescent="0.3">
      <c r="A1279" s="18" t="s">
        <v>879</v>
      </c>
      <c r="B1279" s="17"/>
      <c r="C1279" s="17">
        <v>10880028088</v>
      </c>
      <c r="D1279" s="31">
        <v>990000114137</v>
      </c>
      <c r="E1279" s="17" t="s">
        <v>968</v>
      </c>
      <c r="F1279" s="17">
        <v>407</v>
      </c>
      <c r="G1279" s="32">
        <v>45965</v>
      </c>
      <c r="H1279" s="33"/>
      <c r="I1279" s="17" t="s">
        <v>1703</v>
      </c>
      <c r="J1279" s="17" t="s">
        <v>379</v>
      </c>
      <c r="K1279" s="39"/>
    </row>
    <row r="1280" spans="1:11" hidden="1" x14ac:dyDescent="0.3">
      <c r="A1280" s="18" t="s">
        <v>879</v>
      </c>
      <c r="B1280" s="17"/>
      <c r="C1280" s="17">
        <v>10880036489</v>
      </c>
      <c r="D1280" s="31">
        <v>990000115047</v>
      </c>
      <c r="E1280" s="17" t="s">
        <v>1309</v>
      </c>
      <c r="F1280" s="17">
        <v>476</v>
      </c>
      <c r="G1280" s="32">
        <v>46002</v>
      </c>
      <c r="H1280" s="33"/>
      <c r="I1280" s="17" t="s">
        <v>1705</v>
      </c>
      <c r="J1280" s="17" t="s">
        <v>379</v>
      </c>
      <c r="K1280" s="39"/>
    </row>
    <row r="1281" spans="1:11" hidden="1" x14ac:dyDescent="0.3">
      <c r="A1281" s="18" t="s">
        <v>879</v>
      </c>
      <c r="B1281" s="17"/>
      <c r="C1281" s="34">
        <v>10880030432</v>
      </c>
      <c r="D1281" s="34">
        <v>990000115547</v>
      </c>
      <c r="E1281" s="35" t="s">
        <v>1626</v>
      </c>
      <c r="F1281" s="34">
        <v>45</v>
      </c>
      <c r="G1281" s="36">
        <v>46021</v>
      </c>
      <c r="H1281" s="33"/>
      <c r="I1281" s="38" t="s">
        <v>1523</v>
      </c>
      <c r="J1281" s="35" t="s">
        <v>379</v>
      </c>
      <c r="K1281" s="39"/>
    </row>
    <row r="1282" spans="1:11" hidden="1" x14ac:dyDescent="0.3">
      <c r="A1282" s="18" t="s">
        <v>879</v>
      </c>
      <c r="B1282" s="17"/>
      <c r="C1282" s="34">
        <v>10880033605</v>
      </c>
      <c r="D1282" s="34">
        <v>990000115570</v>
      </c>
      <c r="E1282" s="35" t="s">
        <v>1495</v>
      </c>
      <c r="F1282" s="34">
        <v>63</v>
      </c>
      <c r="G1282" s="36">
        <v>46022</v>
      </c>
      <c r="H1282" s="33"/>
      <c r="I1282" s="38" t="s">
        <v>1707</v>
      </c>
      <c r="J1282" s="35" t="s">
        <v>379</v>
      </c>
      <c r="K1282" s="39"/>
    </row>
    <row r="1283" spans="1:11" x14ac:dyDescent="0.3">
      <c r="A1283" s="18" t="s">
        <v>879</v>
      </c>
      <c r="B1283" s="17"/>
      <c r="C1283" s="34">
        <v>10880034195</v>
      </c>
      <c r="D1283" s="34">
        <v>990000115733</v>
      </c>
      <c r="E1283" s="35" t="s">
        <v>1022</v>
      </c>
      <c r="F1283" s="34">
        <v>47</v>
      </c>
      <c r="G1283" s="36">
        <v>46030</v>
      </c>
      <c r="H1283" s="33"/>
      <c r="I1283" s="38" t="s">
        <v>1708</v>
      </c>
      <c r="J1283" s="35" t="s">
        <v>379</v>
      </c>
      <c r="K1283" s="39"/>
    </row>
    <row r="1284" spans="1:11" s="3" customFormat="1" x14ac:dyDescent="0.3">
      <c r="A1284" s="18" t="s">
        <v>879</v>
      </c>
      <c r="B1284" s="17"/>
      <c r="C1284" s="34">
        <v>10880031760</v>
      </c>
      <c r="D1284" s="34">
        <v>990000115826</v>
      </c>
      <c r="E1284" s="35" t="s">
        <v>48</v>
      </c>
      <c r="F1284" s="34">
        <v>4</v>
      </c>
      <c r="G1284" s="36">
        <v>46032</v>
      </c>
      <c r="H1284" s="33"/>
      <c r="I1284" s="38" t="s">
        <v>1598</v>
      </c>
      <c r="J1284" s="35" t="s">
        <v>732</v>
      </c>
      <c r="K1284" s="39"/>
    </row>
    <row r="1285" spans="1:11" x14ac:dyDescent="0.3">
      <c r="A1285" s="18" t="s">
        <v>879</v>
      </c>
      <c r="B1285" s="17"/>
      <c r="C1285" s="34">
        <v>10880030551</v>
      </c>
      <c r="D1285" s="34">
        <v>990000115827</v>
      </c>
      <c r="E1285" s="35" t="s">
        <v>763</v>
      </c>
      <c r="F1285" s="34">
        <v>74</v>
      </c>
      <c r="G1285" s="36">
        <v>46032</v>
      </c>
      <c r="H1285" s="33"/>
      <c r="I1285" s="38" t="s">
        <v>1598</v>
      </c>
      <c r="J1285" s="35" t="s">
        <v>732</v>
      </c>
      <c r="K1285" s="39"/>
    </row>
    <row r="1286" spans="1:11" s="3" customFormat="1" x14ac:dyDescent="0.3">
      <c r="A1286" s="18" t="s">
        <v>879</v>
      </c>
      <c r="B1286" s="17"/>
      <c r="C1286" s="34">
        <v>10880031011</v>
      </c>
      <c r="D1286" s="34">
        <v>990000115828</v>
      </c>
      <c r="E1286" s="35" t="s">
        <v>49</v>
      </c>
      <c r="F1286" s="34">
        <v>16</v>
      </c>
      <c r="G1286" s="36">
        <v>46032</v>
      </c>
      <c r="H1286" s="33"/>
      <c r="I1286" s="38" t="s">
        <v>1598</v>
      </c>
      <c r="J1286" s="35" t="s">
        <v>732</v>
      </c>
      <c r="K1286" s="39"/>
    </row>
    <row r="1287" spans="1:11" x14ac:dyDescent="0.3">
      <c r="A1287" s="18" t="s">
        <v>879</v>
      </c>
      <c r="B1287" s="17"/>
      <c r="C1287" s="34">
        <v>10880034621</v>
      </c>
      <c r="D1287" s="34">
        <v>990000115829</v>
      </c>
      <c r="E1287" s="35" t="s">
        <v>996</v>
      </c>
      <c r="F1287" s="34">
        <v>27</v>
      </c>
      <c r="G1287" s="36">
        <v>46032</v>
      </c>
      <c r="H1287" s="33"/>
      <c r="I1287" s="38" t="s">
        <v>1598</v>
      </c>
      <c r="J1287" s="35" t="s">
        <v>732</v>
      </c>
      <c r="K1287" s="39"/>
    </row>
    <row r="1288" spans="1:11" x14ac:dyDescent="0.3">
      <c r="A1288" s="18" t="s">
        <v>879</v>
      </c>
      <c r="B1288" s="17"/>
      <c r="C1288" s="34">
        <v>10880034619</v>
      </c>
      <c r="D1288" s="34">
        <v>990000115830</v>
      </c>
      <c r="E1288" s="35" t="s">
        <v>53</v>
      </c>
      <c r="F1288" s="34">
        <v>2</v>
      </c>
      <c r="G1288" s="36">
        <v>46032</v>
      </c>
      <c r="H1288" s="33"/>
      <c r="I1288" s="38" t="s">
        <v>1598</v>
      </c>
      <c r="J1288" s="35" t="s">
        <v>732</v>
      </c>
      <c r="K1288" s="39"/>
    </row>
    <row r="1289" spans="1:11" s="3" customFormat="1" x14ac:dyDescent="0.3">
      <c r="A1289" s="18" t="s">
        <v>879</v>
      </c>
      <c r="B1289" s="17"/>
      <c r="C1289" s="34">
        <v>10880033610</v>
      </c>
      <c r="D1289" s="34">
        <v>990000115831</v>
      </c>
      <c r="E1289" s="35" t="s">
        <v>1662</v>
      </c>
      <c r="F1289" s="34">
        <v>1</v>
      </c>
      <c r="G1289" s="36">
        <v>46032</v>
      </c>
      <c r="H1289" s="33"/>
      <c r="I1289" s="38" t="s">
        <v>1598</v>
      </c>
      <c r="J1289" s="35" t="s">
        <v>732</v>
      </c>
      <c r="K1289" s="39"/>
    </row>
    <row r="1290" spans="1:11" s="3" customFormat="1" hidden="1" x14ac:dyDescent="0.3">
      <c r="A1290" s="18" t="s">
        <v>879</v>
      </c>
      <c r="B1290" s="17"/>
      <c r="C1290" s="34">
        <v>10880033535</v>
      </c>
      <c r="D1290" s="34">
        <v>990000115994</v>
      </c>
      <c r="E1290" s="35" t="s">
        <v>157</v>
      </c>
      <c r="F1290" s="34">
        <v>100</v>
      </c>
      <c r="G1290" s="36">
        <v>46037</v>
      </c>
      <c r="H1290" s="33"/>
      <c r="I1290" s="38" t="s">
        <v>1710</v>
      </c>
      <c r="J1290" s="35" t="s">
        <v>389</v>
      </c>
      <c r="K1290" s="39"/>
    </row>
    <row r="1291" spans="1:11" hidden="1" x14ac:dyDescent="0.3">
      <c r="A1291" s="18" t="s">
        <v>879</v>
      </c>
      <c r="B1291" s="17"/>
      <c r="C1291" s="34">
        <v>10880030520</v>
      </c>
      <c r="D1291" s="34">
        <v>990000116084</v>
      </c>
      <c r="E1291" s="35" t="s">
        <v>214</v>
      </c>
      <c r="F1291" s="34">
        <v>189</v>
      </c>
      <c r="G1291" s="36">
        <v>46042</v>
      </c>
      <c r="H1291" s="33"/>
      <c r="I1291" s="38" t="s">
        <v>1711</v>
      </c>
      <c r="J1291" s="35" t="s">
        <v>379</v>
      </c>
      <c r="K1291" s="39"/>
    </row>
    <row r="1292" spans="1:11" s="3" customFormat="1" hidden="1" x14ac:dyDescent="0.3">
      <c r="A1292" s="18" t="s">
        <v>879</v>
      </c>
      <c r="B1292" s="17"/>
      <c r="C1292" s="34">
        <v>10880033610</v>
      </c>
      <c r="D1292" s="34">
        <v>990000111501</v>
      </c>
      <c r="E1292" s="35" t="s">
        <v>1662</v>
      </c>
      <c r="F1292" s="34">
        <v>28</v>
      </c>
      <c r="G1292" s="36">
        <v>45869</v>
      </c>
      <c r="H1292" s="33"/>
      <c r="I1292" s="38" t="s">
        <v>1055</v>
      </c>
      <c r="J1292" s="35" t="e">
        <v>#N/A</v>
      </c>
      <c r="K1292" s="39"/>
    </row>
    <row r="1293" spans="1:11" hidden="1" x14ac:dyDescent="0.3">
      <c r="A1293" s="18" t="s">
        <v>879</v>
      </c>
      <c r="B1293" s="17"/>
      <c r="C1293" s="34">
        <v>10880022123</v>
      </c>
      <c r="D1293" s="34">
        <v>990000115511</v>
      </c>
      <c r="E1293" s="35" t="s">
        <v>247</v>
      </c>
      <c r="F1293" s="34">
        <v>99</v>
      </c>
      <c r="G1293" s="36">
        <v>46018</v>
      </c>
      <c r="H1293" s="33"/>
      <c r="I1293" s="38" t="s">
        <v>1712</v>
      </c>
      <c r="J1293" s="35" t="s">
        <v>389</v>
      </c>
      <c r="K1293" s="39"/>
    </row>
    <row r="1294" spans="1:11" s="3" customFormat="1" hidden="1" x14ac:dyDescent="0.3">
      <c r="A1294" s="18" t="s">
        <v>879</v>
      </c>
      <c r="B1294" s="17"/>
      <c r="C1294" s="34">
        <v>10880018097</v>
      </c>
      <c r="D1294" s="34">
        <v>990000116087</v>
      </c>
      <c r="E1294" s="35" t="s">
        <v>65</v>
      </c>
      <c r="F1294" s="34">
        <v>100</v>
      </c>
      <c r="G1294" s="36">
        <v>46043</v>
      </c>
      <c r="H1294" s="33"/>
      <c r="I1294" s="38" t="s">
        <v>1713</v>
      </c>
      <c r="J1294" s="35" t="s">
        <v>379</v>
      </c>
      <c r="K1294" s="39"/>
    </row>
    <row r="1295" spans="1:11" x14ac:dyDescent="0.3">
      <c r="A1295" s="18" t="s">
        <v>879</v>
      </c>
      <c r="B1295" s="17"/>
      <c r="C1295" s="34">
        <v>10880031560</v>
      </c>
      <c r="D1295" s="34">
        <v>990000116125</v>
      </c>
      <c r="E1295" s="35" t="s">
        <v>798</v>
      </c>
      <c r="F1295" s="34">
        <v>476</v>
      </c>
      <c r="G1295" s="36">
        <v>46045</v>
      </c>
      <c r="H1295" s="33"/>
      <c r="I1295" s="38" t="s">
        <v>1598</v>
      </c>
      <c r="J1295" s="35" t="s">
        <v>732</v>
      </c>
      <c r="K1295" s="39"/>
    </row>
    <row r="1296" spans="1:11" hidden="1" x14ac:dyDescent="0.3">
      <c r="A1296" s="18" t="s">
        <v>879</v>
      </c>
      <c r="B1296" s="17"/>
      <c r="C1296" s="34">
        <v>10880021796</v>
      </c>
      <c r="D1296" s="34">
        <v>990000116318</v>
      </c>
      <c r="E1296" s="35" t="s">
        <v>773</v>
      </c>
      <c r="F1296" s="34">
        <v>252</v>
      </c>
      <c r="G1296" s="36">
        <v>46048</v>
      </c>
      <c r="H1296" s="33"/>
      <c r="I1296" s="38" t="s">
        <v>1714</v>
      </c>
      <c r="J1296" s="35" t="s">
        <v>379</v>
      </c>
      <c r="K1296" s="39"/>
    </row>
    <row r="1297" spans="1:11" hidden="1" x14ac:dyDescent="0.3">
      <c r="A1297" s="18" t="s">
        <v>879</v>
      </c>
      <c r="B1297" s="17"/>
      <c r="C1297" s="40">
        <v>10880037268</v>
      </c>
      <c r="D1297" s="40">
        <v>990000116916</v>
      </c>
      <c r="E1297" s="41" t="s">
        <v>1399</v>
      </c>
      <c r="F1297" s="40">
        <v>70</v>
      </c>
      <c r="G1297" s="42">
        <v>46087</v>
      </c>
      <c r="I1297" s="43" t="s">
        <v>1715</v>
      </c>
      <c r="J1297" s="41" t="s">
        <v>379</v>
      </c>
    </row>
    <row r="1298" spans="1:11" hidden="1" x14ac:dyDescent="0.3">
      <c r="A1298" s="18" t="s">
        <v>879</v>
      </c>
      <c r="B1298" s="17"/>
      <c r="C1298" s="40">
        <v>10880036134</v>
      </c>
      <c r="D1298" s="40">
        <v>990000117054</v>
      </c>
      <c r="E1298" s="41" t="s">
        <v>34</v>
      </c>
      <c r="F1298" s="40">
        <v>247</v>
      </c>
      <c r="G1298" s="42">
        <v>46094</v>
      </c>
      <c r="I1298" s="43" t="s">
        <v>1716</v>
      </c>
      <c r="J1298" s="41" t="s">
        <v>389</v>
      </c>
    </row>
    <row r="1299" spans="1:11" s="3" customFormat="1" hidden="1" x14ac:dyDescent="0.3">
      <c r="A1299" s="18" t="s">
        <v>879</v>
      </c>
      <c r="B1299" s="17"/>
      <c r="C1299" s="40">
        <v>10880036205</v>
      </c>
      <c r="D1299" s="40">
        <v>990000117055</v>
      </c>
      <c r="E1299" s="41" t="s">
        <v>22</v>
      </c>
      <c r="F1299" s="40">
        <v>748</v>
      </c>
      <c r="G1299" s="42">
        <v>46094</v>
      </c>
      <c r="H1299" s="6"/>
      <c r="I1299" s="43" t="s">
        <v>1717</v>
      </c>
      <c r="J1299" s="41" t="s">
        <v>389</v>
      </c>
      <c r="K1299" s="4"/>
    </row>
    <row r="1300" spans="1:11" hidden="1" x14ac:dyDescent="0.3">
      <c r="A1300" s="18" t="s">
        <v>879</v>
      </c>
      <c r="B1300" s="17"/>
      <c r="C1300" s="40">
        <v>10880036206</v>
      </c>
      <c r="D1300" s="40">
        <v>990000117056</v>
      </c>
      <c r="E1300" s="41" t="s">
        <v>1471</v>
      </c>
      <c r="F1300" s="40">
        <v>452</v>
      </c>
      <c r="G1300" s="42">
        <v>46094</v>
      </c>
      <c r="I1300" s="43" t="s">
        <v>1718</v>
      </c>
      <c r="J1300" s="41" t="s">
        <v>389</v>
      </c>
    </row>
    <row r="1301" spans="1:11" hidden="1" x14ac:dyDescent="0.3">
      <c r="A1301" s="18" t="s">
        <v>879</v>
      </c>
      <c r="B1301" s="17"/>
      <c r="C1301" s="40">
        <v>10880036481</v>
      </c>
      <c r="D1301" s="40">
        <v>990000117057</v>
      </c>
      <c r="E1301" s="41" t="s">
        <v>39</v>
      </c>
      <c r="F1301" s="40">
        <v>401</v>
      </c>
      <c r="G1301" s="42">
        <v>46094</v>
      </c>
      <c r="I1301" s="43" t="s">
        <v>1719</v>
      </c>
      <c r="J1301" s="41" t="s">
        <v>389</v>
      </c>
    </row>
    <row r="1302" spans="1:11" s="3" customFormat="1" hidden="1" x14ac:dyDescent="0.3">
      <c r="A1302" s="18" t="s">
        <v>879</v>
      </c>
      <c r="B1302" s="17"/>
      <c r="C1302" s="40">
        <v>10880036497</v>
      </c>
      <c r="D1302" s="40">
        <v>990000117058</v>
      </c>
      <c r="E1302" s="41" t="s">
        <v>1466</v>
      </c>
      <c r="F1302" s="40">
        <v>288</v>
      </c>
      <c r="G1302" s="42">
        <v>46094</v>
      </c>
      <c r="H1302" s="6"/>
      <c r="I1302" s="43" t="s">
        <v>1720</v>
      </c>
      <c r="J1302" s="41" t="s">
        <v>389</v>
      </c>
      <c r="K1302" s="4"/>
    </row>
    <row r="1303" spans="1:11" hidden="1" x14ac:dyDescent="0.3">
      <c r="A1303" s="18" t="s">
        <v>879</v>
      </c>
      <c r="B1303" s="17"/>
      <c r="C1303" s="40">
        <v>10880036495</v>
      </c>
      <c r="D1303" s="40">
        <v>990000117059</v>
      </c>
      <c r="E1303" s="41" t="s">
        <v>1436</v>
      </c>
      <c r="F1303" s="40">
        <v>149</v>
      </c>
      <c r="G1303" s="42">
        <v>46094</v>
      </c>
      <c r="I1303" s="43" t="s">
        <v>1721</v>
      </c>
      <c r="J1303" s="41" t="s">
        <v>389</v>
      </c>
    </row>
    <row r="1304" spans="1:11" hidden="1" x14ac:dyDescent="0.3">
      <c r="A1304" s="18" t="s">
        <v>879</v>
      </c>
      <c r="B1304" s="17"/>
      <c r="C1304" s="40">
        <v>10880036479</v>
      </c>
      <c r="D1304" s="40">
        <v>990000117060</v>
      </c>
      <c r="E1304" s="41" t="s">
        <v>30</v>
      </c>
      <c r="F1304" s="40">
        <v>866</v>
      </c>
      <c r="G1304" s="42">
        <v>46094</v>
      </c>
      <c r="I1304" s="43" t="s">
        <v>1722</v>
      </c>
      <c r="J1304" s="41" t="s">
        <v>389</v>
      </c>
    </row>
    <row r="1305" spans="1:11" hidden="1" x14ac:dyDescent="0.3">
      <c r="A1305" s="18" t="s">
        <v>879</v>
      </c>
      <c r="B1305" s="17"/>
      <c r="C1305" s="40">
        <v>10880036852</v>
      </c>
      <c r="D1305" s="40">
        <v>990000117081</v>
      </c>
      <c r="E1305" s="41" t="s">
        <v>1438</v>
      </c>
      <c r="F1305" s="40">
        <v>440</v>
      </c>
      <c r="G1305" s="42">
        <v>46094</v>
      </c>
      <c r="I1305" s="43" t="s">
        <v>1723</v>
      </c>
      <c r="J1305" s="41" t="s">
        <v>389</v>
      </c>
    </row>
    <row r="1306" spans="1:11" s="3" customFormat="1" hidden="1" x14ac:dyDescent="0.3">
      <c r="A1306" s="18" t="s">
        <v>879</v>
      </c>
      <c r="B1306" s="17"/>
      <c r="C1306" s="40">
        <v>10880036493</v>
      </c>
      <c r="D1306" s="40">
        <v>990000117082</v>
      </c>
      <c r="E1306" s="41" t="s">
        <v>38</v>
      </c>
      <c r="F1306" s="40">
        <v>342</v>
      </c>
      <c r="G1306" s="42">
        <v>46094</v>
      </c>
      <c r="H1306" s="6"/>
      <c r="I1306" s="43" t="s">
        <v>1724</v>
      </c>
      <c r="J1306" s="41" t="s">
        <v>389</v>
      </c>
      <c r="K1306" s="4"/>
    </row>
    <row r="1307" spans="1:11" s="3" customFormat="1" hidden="1" x14ac:dyDescent="0.3">
      <c r="A1307" s="18" t="s">
        <v>879</v>
      </c>
      <c r="B1307" s="17"/>
      <c r="C1307" s="40">
        <v>10880036504</v>
      </c>
      <c r="D1307" s="40">
        <v>990000117083</v>
      </c>
      <c r="E1307" s="41" t="s">
        <v>56</v>
      </c>
      <c r="F1307" s="40">
        <v>240</v>
      </c>
      <c r="G1307" s="42">
        <v>46094</v>
      </c>
      <c r="H1307" s="6"/>
      <c r="I1307" s="43" t="s">
        <v>1725</v>
      </c>
      <c r="J1307" s="41" t="s">
        <v>389</v>
      </c>
      <c r="K1307" s="4"/>
    </row>
    <row r="1308" spans="1:11" s="3" customFormat="1" hidden="1" x14ac:dyDescent="0.3">
      <c r="A1308" s="18" t="s">
        <v>879</v>
      </c>
      <c r="B1308" s="17"/>
      <c r="C1308" s="40">
        <v>10880036494</v>
      </c>
      <c r="D1308" s="40">
        <v>990000117084</v>
      </c>
      <c r="E1308" s="41" t="s">
        <v>1409</v>
      </c>
      <c r="F1308" s="40">
        <v>491</v>
      </c>
      <c r="G1308" s="42">
        <v>46094</v>
      </c>
      <c r="H1308" s="6"/>
      <c r="I1308" s="43" t="s">
        <v>1726</v>
      </c>
      <c r="J1308" s="41" t="s">
        <v>389</v>
      </c>
      <c r="K1308" s="4"/>
    </row>
    <row r="1309" spans="1:11" s="3" customFormat="1" hidden="1" x14ac:dyDescent="0.3">
      <c r="A1309" s="18" t="s">
        <v>879</v>
      </c>
      <c r="B1309" s="17"/>
      <c r="C1309" s="40">
        <v>10880036135</v>
      </c>
      <c r="D1309" s="40">
        <v>990000117085</v>
      </c>
      <c r="E1309" s="41" t="s">
        <v>1441</v>
      </c>
      <c r="F1309" s="40">
        <v>295</v>
      </c>
      <c r="G1309" s="42">
        <v>46094</v>
      </c>
      <c r="H1309" s="6"/>
      <c r="I1309" s="43" t="s">
        <v>1727</v>
      </c>
      <c r="J1309" s="41" t="s">
        <v>389</v>
      </c>
      <c r="K1309" s="4"/>
    </row>
    <row r="1310" spans="1:11" s="3" customFormat="1" hidden="1" x14ac:dyDescent="0.3">
      <c r="A1310" s="18" t="s">
        <v>879</v>
      </c>
      <c r="B1310" s="17"/>
      <c r="C1310" s="40">
        <v>10880036499</v>
      </c>
      <c r="D1310" s="40">
        <v>990000117086</v>
      </c>
      <c r="E1310" s="41" t="s">
        <v>29</v>
      </c>
      <c r="F1310" s="40">
        <v>126</v>
      </c>
      <c r="G1310" s="42">
        <v>46094</v>
      </c>
      <c r="H1310" s="6"/>
      <c r="I1310" s="43" t="s">
        <v>1728</v>
      </c>
      <c r="J1310" s="41" t="s">
        <v>389</v>
      </c>
      <c r="K1310" s="4"/>
    </row>
    <row r="1311" spans="1:11" s="3" customFormat="1" hidden="1" x14ac:dyDescent="0.3">
      <c r="A1311" s="18" t="s">
        <v>879</v>
      </c>
      <c r="B1311" s="17"/>
      <c r="C1311" s="40">
        <v>10880034411</v>
      </c>
      <c r="D1311" s="40">
        <v>990000117092</v>
      </c>
      <c r="E1311" s="41" t="s">
        <v>1018</v>
      </c>
      <c r="F1311" s="40">
        <v>160</v>
      </c>
      <c r="G1311" s="42">
        <v>46094</v>
      </c>
      <c r="H1311" s="6"/>
      <c r="I1311" s="43" t="s">
        <v>1729</v>
      </c>
      <c r="J1311" s="41" t="s">
        <v>379</v>
      </c>
      <c r="K1311" s="4"/>
    </row>
    <row r="1312" spans="1:11" s="3" customFormat="1" hidden="1" x14ac:dyDescent="0.3">
      <c r="A1312" s="18" t="s">
        <v>879</v>
      </c>
      <c r="B1312" s="17"/>
      <c r="C1312" s="40">
        <v>10880034251</v>
      </c>
      <c r="D1312" s="40">
        <v>990000117115</v>
      </c>
      <c r="E1312" s="41" t="s">
        <v>989</v>
      </c>
      <c r="F1312" s="40">
        <v>837</v>
      </c>
      <c r="G1312" s="42">
        <v>46095</v>
      </c>
      <c r="H1312" s="6"/>
      <c r="I1312" s="43" t="s">
        <v>1731</v>
      </c>
      <c r="J1312" s="41" t="s">
        <v>379</v>
      </c>
      <c r="K1312" s="4"/>
    </row>
    <row r="1313" spans="1:11" s="3" customFormat="1" hidden="1" x14ac:dyDescent="0.3">
      <c r="A1313" s="18" t="s">
        <v>879</v>
      </c>
      <c r="B1313" s="17"/>
      <c r="C1313" s="40">
        <v>10880022123</v>
      </c>
      <c r="D1313" s="40">
        <v>990000117218</v>
      </c>
      <c r="E1313" s="41" t="s">
        <v>247</v>
      </c>
      <c r="F1313" s="40">
        <v>288</v>
      </c>
      <c r="G1313" s="42">
        <v>46101</v>
      </c>
      <c r="H1313" s="6"/>
      <c r="I1313" s="43" t="s">
        <v>1732</v>
      </c>
      <c r="J1313" s="41" t="s">
        <v>389</v>
      </c>
      <c r="K1313" s="4"/>
    </row>
    <row r="1314" spans="1:11" s="3" customFormat="1" hidden="1" x14ac:dyDescent="0.3">
      <c r="A1314" s="18" t="s">
        <v>879</v>
      </c>
      <c r="B1314" s="17"/>
      <c r="C1314" s="40">
        <v>10880037503</v>
      </c>
      <c r="D1314" s="40">
        <v>990000117300</v>
      </c>
      <c r="E1314" s="41" t="s">
        <v>245</v>
      </c>
      <c r="F1314" s="40">
        <v>1040</v>
      </c>
      <c r="G1314" s="42">
        <v>46108</v>
      </c>
      <c r="H1314" s="6"/>
      <c r="I1314" s="43" t="s">
        <v>1734</v>
      </c>
      <c r="J1314" s="41" t="s">
        <v>379</v>
      </c>
      <c r="K1314" s="4"/>
    </row>
    <row r="1315" spans="1:11" s="3" customFormat="1" hidden="1" x14ac:dyDescent="0.3">
      <c r="A1315" s="18" t="s">
        <v>879</v>
      </c>
      <c r="B1315" s="17"/>
      <c r="C1315" s="40">
        <v>10880036708</v>
      </c>
      <c r="D1315" s="40">
        <v>990000117341</v>
      </c>
      <c r="E1315" s="41" t="s">
        <v>196</v>
      </c>
      <c r="F1315" s="40">
        <v>37</v>
      </c>
      <c r="G1315" s="42">
        <v>46108</v>
      </c>
      <c r="H1315" s="6"/>
      <c r="I1315" s="43" t="s">
        <v>1735</v>
      </c>
      <c r="J1315" s="41" t="s">
        <v>379</v>
      </c>
      <c r="K1315" s="4"/>
    </row>
    <row r="1316" spans="1:11" s="3" customFormat="1" hidden="1" x14ac:dyDescent="0.3">
      <c r="A1316" s="18" t="s">
        <v>879</v>
      </c>
      <c r="B1316" s="17"/>
      <c r="C1316" s="40">
        <v>10880037415</v>
      </c>
      <c r="D1316" s="40">
        <v>990000117342</v>
      </c>
      <c r="E1316" s="41" t="s">
        <v>1736</v>
      </c>
      <c r="F1316" s="40">
        <v>60</v>
      </c>
      <c r="G1316" s="42">
        <v>46108</v>
      </c>
      <c r="H1316" s="6"/>
      <c r="I1316" s="43" t="s">
        <v>1737</v>
      </c>
      <c r="J1316" s="41" t="s">
        <v>379</v>
      </c>
      <c r="K1316" s="4"/>
    </row>
    <row r="1317" spans="1:11" s="3" customFormat="1" hidden="1" x14ac:dyDescent="0.3">
      <c r="A1317" s="18" t="s">
        <v>879</v>
      </c>
      <c r="B1317" s="17"/>
      <c r="C1317" s="40">
        <v>10880031011</v>
      </c>
      <c r="D1317" s="40">
        <v>990000117333</v>
      </c>
      <c r="E1317" s="41" t="s">
        <v>49</v>
      </c>
      <c r="F1317" s="40">
        <v>390</v>
      </c>
      <c r="G1317" s="42">
        <v>46111</v>
      </c>
      <c r="H1317" s="6"/>
      <c r="I1317" s="43" t="s">
        <v>1738</v>
      </c>
      <c r="J1317" s="41" t="s">
        <v>389</v>
      </c>
      <c r="K1317" s="4"/>
    </row>
    <row r="1318" spans="1:11" s="3" customFormat="1" hidden="1" x14ac:dyDescent="0.3">
      <c r="A1318" s="18" t="s">
        <v>879</v>
      </c>
      <c r="B1318" s="17"/>
      <c r="C1318" s="40">
        <v>10880030551</v>
      </c>
      <c r="D1318" s="40">
        <v>990000117336</v>
      </c>
      <c r="E1318" s="41" t="s">
        <v>763</v>
      </c>
      <c r="F1318" s="40">
        <v>632</v>
      </c>
      <c r="G1318" s="42">
        <v>46111</v>
      </c>
      <c r="H1318" s="6"/>
      <c r="I1318" s="43" t="s">
        <v>1739</v>
      </c>
      <c r="J1318" s="41" t="s">
        <v>389</v>
      </c>
      <c r="K1318" s="4"/>
    </row>
    <row r="1319" spans="1:11" s="3" customFormat="1" hidden="1" x14ac:dyDescent="0.3">
      <c r="A1319" s="18" t="s">
        <v>879</v>
      </c>
      <c r="B1319" s="17"/>
      <c r="C1319" s="40">
        <v>10880034619</v>
      </c>
      <c r="D1319" s="40">
        <v>990000117337</v>
      </c>
      <c r="E1319" s="41" t="s">
        <v>53</v>
      </c>
      <c r="F1319" s="40">
        <v>145</v>
      </c>
      <c r="G1319" s="42">
        <v>46111</v>
      </c>
      <c r="H1319" s="6"/>
      <c r="I1319" s="43" t="s">
        <v>1740</v>
      </c>
      <c r="J1319" s="41" t="s">
        <v>389</v>
      </c>
      <c r="K1319" s="4"/>
    </row>
    <row r="1320" spans="1:11" s="3" customFormat="1" hidden="1" x14ac:dyDescent="0.3">
      <c r="A1320" s="18" t="s">
        <v>879</v>
      </c>
      <c r="B1320" s="17"/>
      <c r="C1320" s="40">
        <v>10880018097</v>
      </c>
      <c r="D1320" s="40">
        <v>990000117466</v>
      </c>
      <c r="E1320" s="41" t="s">
        <v>65</v>
      </c>
      <c r="F1320" s="40">
        <v>640</v>
      </c>
      <c r="G1320" s="42">
        <v>46119</v>
      </c>
      <c r="H1320" s="6"/>
      <c r="I1320" s="43" t="s">
        <v>1745</v>
      </c>
      <c r="J1320" s="41" t="s">
        <v>430</v>
      </c>
      <c r="K1320" s="4"/>
    </row>
    <row r="1321" spans="1:11" s="3" customFormat="1" hidden="1" x14ac:dyDescent="0.3">
      <c r="A1321" s="18" t="s">
        <v>879</v>
      </c>
      <c r="B1321" s="17"/>
      <c r="C1321" s="40">
        <v>40880000587</v>
      </c>
      <c r="D1321" s="40">
        <v>990000117513</v>
      </c>
      <c r="E1321" s="41" t="s">
        <v>260</v>
      </c>
      <c r="F1321" s="40">
        <v>143</v>
      </c>
      <c r="G1321" s="42">
        <v>46124</v>
      </c>
      <c r="H1321" s="6"/>
      <c r="I1321" s="43" t="s">
        <v>1750</v>
      </c>
      <c r="J1321" s="41" t="s">
        <v>379</v>
      </c>
      <c r="K1321" s="4"/>
    </row>
    <row r="1322" spans="1:11" s="3" customFormat="1" hidden="1" x14ac:dyDescent="0.3">
      <c r="A1322" s="18" t="s">
        <v>879</v>
      </c>
      <c r="B1322" s="17"/>
      <c r="C1322" s="40">
        <v>10880021106</v>
      </c>
      <c r="D1322" s="40">
        <v>990000117630</v>
      </c>
      <c r="E1322" s="41" t="s">
        <v>259</v>
      </c>
      <c r="F1322" s="40">
        <v>903</v>
      </c>
      <c r="G1322" s="42">
        <v>46126</v>
      </c>
      <c r="H1322" s="6"/>
      <c r="I1322" s="43" t="s">
        <v>1751</v>
      </c>
      <c r="J1322" s="41" t="s">
        <v>379</v>
      </c>
      <c r="K1322" s="4"/>
    </row>
    <row r="1323" spans="1:11" s="3" customFormat="1" hidden="1" x14ac:dyDescent="0.3">
      <c r="A1323" s="18" t="s">
        <v>879</v>
      </c>
      <c r="B1323" s="17"/>
      <c r="C1323" s="40">
        <v>10880035512</v>
      </c>
      <c r="D1323" s="40">
        <v>990000117545</v>
      </c>
      <c r="E1323" s="41" t="s">
        <v>191</v>
      </c>
      <c r="F1323" s="40">
        <v>131</v>
      </c>
      <c r="G1323" s="42">
        <v>46123</v>
      </c>
      <c r="H1323" s="6"/>
      <c r="I1323" s="43" t="s">
        <v>1686</v>
      </c>
      <c r="J1323" s="41" t="s">
        <v>1777</v>
      </c>
      <c r="K1323" s="4"/>
    </row>
    <row r="1324" spans="1:11" s="3" customFormat="1" hidden="1" x14ac:dyDescent="0.3">
      <c r="A1324" s="18" t="s">
        <v>879</v>
      </c>
      <c r="B1324" s="17"/>
      <c r="C1324" s="40">
        <v>10880022044</v>
      </c>
      <c r="D1324" s="40">
        <v>990000117690</v>
      </c>
      <c r="E1324" s="41" t="s">
        <v>417</v>
      </c>
      <c r="F1324" s="40">
        <v>1480</v>
      </c>
      <c r="G1324" s="42">
        <v>46128</v>
      </c>
      <c r="H1324" s="6"/>
      <c r="I1324" s="43" t="s">
        <v>1778</v>
      </c>
      <c r="J1324" s="41" t="s">
        <v>1779</v>
      </c>
      <c r="K1324" s="4"/>
    </row>
    <row r="1325" spans="1:11" s="3" customFormat="1" hidden="1" x14ac:dyDescent="0.3">
      <c r="A1325" s="18" t="s">
        <v>879</v>
      </c>
      <c r="B1325" s="17"/>
      <c r="C1325" s="40">
        <v>10880030243</v>
      </c>
      <c r="D1325" s="40">
        <v>990000117691</v>
      </c>
      <c r="E1325" s="41" t="s">
        <v>522</v>
      </c>
      <c r="F1325" s="40">
        <v>1080</v>
      </c>
      <c r="G1325" s="42">
        <v>46128</v>
      </c>
      <c r="H1325" s="6"/>
      <c r="I1325" s="43" t="s">
        <v>1780</v>
      </c>
      <c r="J1325" s="41" t="s">
        <v>1779</v>
      </c>
      <c r="K1325" s="4"/>
    </row>
    <row r="1326" spans="1:11" s="3" customFormat="1" x14ac:dyDescent="0.3">
      <c r="A1326" s="18" t="s">
        <v>879</v>
      </c>
      <c r="B1326" s="17"/>
      <c r="C1326" s="40">
        <v>10880029958</v>
      </c>
      <c r="D1326" s="40">
        <v>990000117692</v>
      </c>
      <c r="E1326" s="41" t="s">
        <v>251</v>
      </c>
      <c r="F1326" s="40">
        <v>323</v>
      </c>
      <c r="G1326" s="42">
        <v>46128</v>
      </c>
      <c r="H1326" s="6"/>
      <c r="I1326" s="43" t="s">
        <v>1781</v>
      </c>
      <c r="J1326" s="41" t="s">
        <v>1777</v>
      </c>
      <c r="K1326" s="4"/>
    </row>
    <row r="1327" spans="1:11" s="3" customFormat="1" hidden="1" x14ac:dyDescent="0.3">
      <c r="A1327" s="18" t="s">
        <v>879</v>
      </c>
      <c r="B1327" s="17"/>
      <c r="C1327" s="40">
        <v>10880037684</v>
      </c>
      <c r="D1327" s="40">
        <v>990000117739</v>
      </c>
      <c r="E1327" s="41" t="s">
        <v>1770</v>
      </c>
      <c r="F1327" s="40">
        <v>178</v>
      </c>
      <c r="G1327" s="42">
        <v>46134</v>
      </c>
      <c r="H1327" s="6"/>
      <c r="I1327" s="43" t="s">
        <v>1785</v>
      </c>
      <c r="J1327" s="41" t="s">
        <v>1777</v>
      </c>
      <c r="K1327" s="4"/>
    </row>
    <row r="1328" spans="1:11" s="3" customFormat="1" hidden="1" x14ac:dyDescent="0.3">
      <c r="A1328" s="18" t="s">
        <v>879</v>
      </c>
      <c r="B1328" s="17"/>
      <c r="C1328" s="40">
        <v>10880037882</v>
      </c>
      <c r="D1328" s="40">
        <v>990000117748</v>
      </c>
      <c r="E1328" s="41" t="s">
        <v>1771</v>
      </c>
      <c r="F1328" s="40">
        <v>20</v>
      </c>
      <c r="G1328" s="42">
        <v>46135</v>
      </c>
      <c r="H1328" s="6"/>
      <c r="I1328" s="43" t="s">
        <v>1787</v>
      </c>
      <c r="J1328" s="41" t="s">
        <v>1788</v>
      </c>
      <c r="K1328" s="4"/>
    </row>
    <row r="1329" spans="1:11" s="3" customFormat="1" hidden="1" x14ac:dyDescent="0.3">
      <c r="A1329" s="18" t="s">
        <v>879</v>
      </c>
      <c r="B1329" s="17"/>
      <c r="C1329" s="40">
        <v>10880037886</v>
      </c>
      <c r="D1329" s="40">
        <v>990000117749</v>
      </c>
      <c r="E1329" s="41" t="s">
        <v>1772</v>
      </c>
      <c r="F1329" s="40">
        <v>19</v>
      </c>
      <c r="G1329" s="42">
        <v>46135</v>
      </c>
      <c r="H1329" s="6"/>
      <c r="I1329" s="43" t="s">
        <v>1789</v>
      </c>
      <c r="J1329" s="41" t="s">
        <v>1788</v>
      </c>
      <c r="K1329" s="4"/>
    </row>
    <row r="1330" spans="1:11" s="3" customFormat="1" hidden="1" x14ac:dyDescent="0.3">
      <c r="A1330" s="18" t="s">
        <v>879</v>
      </c>
      <c r="B1330" s="17"/>
      <c r="C1330" s="40">
        <v>10880037836</v>
      </c>
      <c r="D1330" s="40">
        <v>990000117750</v>
      </c>
      <c r="E1330" s="41" t="s">
        <v>1773</v>
      </c>
      <c r="F1330" s="40">
        <v>20</v>
      </c>
      <c r="G1330" s="42">
        <v>46135</v>
      </c>
      <c r="H1330" s="6"/>
      <c r="I1330" s="43" t="s">
        <v>1790</v>
      </c>
      <c r="J1330" s="41" t="s">
        <v>1788</v>
      </c>
      <c r="K1330" s="4"/>
    </row>
    <row r="1331" spans="1:11" s="3" customFormat="1" hidden="1" x14ac:dyDescent="0.3">
      <c r="A1331" s="18" t="s">
        <v>879</v>
      </c>
      <c r="B1331" s="17"/>
      <c r="C1331" s="40">
        <v>10880035653</v>
      </c>
      <c r="D1331" s="40">
        <v>990000117792</v>
      </c>
      <c r="E1331" s="41" t="s">
        <v>96</v>
      </c>
      <c r="F1331" s="40">
        <v>84</v>
      </c>
      <c r="G1331" s="42">
        <v>46135</v>
      </c>
      <c r="H1331" s="6"/>
      <c r="I1331" s="43" t="s">
        <v>1791</v>
      </c>
      <c r="J1331" s="41" t="s">
        <v>1777</v>
      </c>
      <c r="K1331" s="4"/>
    </row>
    <row r="1332" spans="1:11" s="3" customFormat="1" hidden="1" x14ac:dyDescent="0.3">
      <c r="A1332" s="18" t="s">
        <v>879</v>
      </c>
      <c r="B1332" s="17"/>
      <c r="C1332" s="40">
        <v>10880038809</v>
      </c>
      <c r="D1332" s="40">
        <v>990000117751</v>
      </c>
      <c r="E1332" s="41" t="s">
        <v>1769</v>
      </c>
      <c r="F1332" s="40">
        <v>4</v>
      </c>
      <c r="G1332" s="42">
        <v>46135</v>
      </c>
      <c r="H1332" s="6"/>
      <c r="I1332" s="43" t="s">
        <v>1792</v>
      </c>
      <c r="J1332" s="41" t="s">
        <v>1777</v>
      </c>
      <c r="K1332" s="4"/>
    </row>
    <row r="1333" spans="1:11" s="3" customFormat="1" hidden="1" x14ac:dyDescent="0.3">
      <c r="A1333" s="18" t="s">
        <v>879</v>
      </c>
      <c r="B1333" s="17"/>
      <c r="C1333" s="40">
        <v>10880037165</v>
      </c>
      <c r="D1333" s="40">
        <v>990000117752</v>
      </c>
      <c r="E1333" s="41" t="s">
        <v>1774</v>
      </c>
      <c r="F1333" s="40">
        <v>15</v>
      </c>
      <c r="G1333" s="42">
        <v>46135</v>
      </c>
      <c r="H1333" s="6"/>
      <c r="I1333" s="43" t="s">
        <v>1793</v>
      </c>
      <c r="J1333" s="41" t="s">
        <v>1777</v>
      </c>
      <c r="K1333" s="4"/>
    </row>
    <row r="1334" spans="1:11" s="3" customFormat="1" hidden="1" x14ac:dyDescent="0.3">
      <c r="A1334" s="18" t="s">
        <v>879</v>
      </c>
      <c r="B1334" s="17"/>
      <c r="C1334" s="40">
        <v>10880033916</v>
      </c>
      <c r="D1334" s="40">
        <v>990000117804</v>
      </c>
      <c r="E1334" s="41" t="s">
        <v>258</v>
      </c>
      <c r="F1334" s="40">
        <v>507</v>
      </c>
      <c r="G1334" s="42">
        <v>46135</v>
      </c>
      <c r="H1334" s="6"/>
      <c r="I1334" s="43" t="s">
        <v>1794</v>
      </c>
      <c r="J1334" s="41" t="s">
        <v>1777</v>
      </c>
      <c r="K1334" s="4"/>
    </row>
    <row r="1335" spans="1:11" s="3" customFormat="1" hidden="1" x14ac:dyDescent="0.3">
      <c r="A1335" s="18" t="s">
        <v>879</v>
      </c>
      <c r="B1335" s="17"/>
      <c r="C1335" s="40">
        <v>10880030596</v>
      </c>
      <c r="D1335" s="40">
        <v>990000117810</v>
      </c>
      <c r="E1335" s="41" t="s">
        <v>227</v>
      </c>
      <c r="F1335" s="40">
        <v>407</v>
      </c>
      <c r="G1335" s="42">
        <v>46138</v>
      </c>
      <c r="H1335" s="6"/>
      <c r="I1335" s="43" t="s">
        <v>1796</v>
      </c>
      <c r="J1335" s="41" t="s">
        <v>1777</v>
      </c>
      <c r="K1335" s="4"/>
    </row>
    <row r="1336" spans="1:11" s="3" customFormat="1" hidden="1" x14ac:dyDescent="0.3">
      <c r="A1336" s="18" t="s">
        <v>879</v>
      </c>
      <c r="B1336" s="17"/>
      <c r="C1336" s="40">
        <v>10880031846</v>
      </c>
      <c r="D1336" s="40">
        <v>990000117811</v>
      </c>
      <c r="E1336" s="41" t="s">
        <v>1273</v>
      </c>
      <c r="F1336" s="40">
        <v>38</v>
      </c>
      <c r="G1336" s="42">
        <v>46138</v>
      </c>
      <c r="H1336" s="6"/>
      <c r="I1336" s="43" t="s">
        <v>1797</v>
      </c>
      <c r="J1336" s="41" t="s">
        <v>1777</v>
      </c>
      <c r="K1336" s="4"/>
    </row>
    <row r="1337" spans="1:11" s="3" customFormat="1" hidden="1" x14ac:dyDescent="0.3">
      <c r="A1337" s="18" t="s">
        <v>879</v>
      </c>
      <c r="B1337" s="17"/>
      <c r="C1337" s="40">
        <v>10880031847</v>
      </c>
      <c r="D1337" s="40">
        <v>990000117812</v>
      </c>
      <c r="E1337" s="41" t="s">
        <v>228</v>
      </c>
      <c r="F1337" s="40">
        <v>231</v>
      </c>
      <c r="G1337" s="42">
        <v>46138</v>
      </c>
      <c r="H1337" s="6"/>
      <c r="I1337" s="43" t="s">
        <v>1798</v>
      </c>
      <c r="J1337" s="41" t="s">
        <v>1777</v>
      </c>
      <c r="K1337" s="4"/>
    </row>
    <row r="1338" spans="1:11" s="3" customFormat="1" hidden="1" x14ac:dyDescent="0.3">
      <c r="A1338" s="18" t="s">
        <v>879</v>
      </c>
      <c r="B1338" s="17"/>
      <c r="C1338" s="40">
        <v>10880037582</v>
      </c>
      <c r="D1338" s="40">
        <v>990000117845</v>
      </c>
      <c r="E1338" s="41" t="s">
        <v>1776</v>
      </c>
      <c r="F1338" s="40">
        <v>420</v>
      </c>
      <c r="G1338" s="42">
        <v>46138</v>
      </c>
      <c r="H1338" s="6"/>
      <c r="I1338" s="43" t="s">
        <v>1799</v>
      </c>
      <c r="J1338" s="41" t="s">
        <v>1800</v>
      </c>
      <c r="K1338" s="4"/>
    </row>
    <row r="2206" spans="7:8" x14ac:dyDescent="0.3">
      <c r="G2206" s="44"/>
      <c r="H2206" s="44"/>
    </row>
    <row r="2207" spans="7:8" x14ac:dyDescent="0.3">
      <c r="G2207" s="44"/>
      <c r="H2207" s="44"/>
    </row>
    <row r="2208" spans="7:8" x14ac:dyDescent="0.3">
      <c r="G2208" s="44"/>
      <c r="H2208" s="44"/>
    </row>
    <row r="2209" spans="7:8" x14ac:dyDescent="0.3">
      <c r="G2209" s="44"/>
      <c r="H2209" s="44"/>
    </row>
    <row r="2210" spans="7:8" x14ac:dyDescent="0.3">
      <c r="G2210" s="44"/>
      <c r="H2210" s="44"/>
    </row>
    <row r="2211" spans="7:8" x14ac:dyDescent="0.3">
      <c r="G2211" s="44"/>
      <c r="H2211" s="44"/>
    </row>
    <row r="2212" spans="7:8" x14ac:dyDescent="0.3">
      <c r="G2212" s="44"/>
      <c r="H2212" s="44"/>
    </row>
    <row r="2213" spans="7:8" x14ac:dyDescent="0.3">
      <c r="G2213" s="44"/>
      <c r="H2213" s="44"/>
    </row>
    <row r="2214" spans="7:8" x14ac:dyDescent="0.3">
      <c r="G2214" s="44"/>
      <c r="H2214" s="44"/>
    </row>
    <row r="2215" spans="7:8" x14ac:dyDescent="0.3">
      <c r="G2215" s="44"/>
      <c r="H2215" s="44"/>
    </row>
    <row r="2216" spans="7:8" x14ac:dyDescent="0.3">
      <c r="G2216" s="44"/>
      <c r="H2216" s="44"/>
    </row>
    <row r="2217" spans="7:8" x14ac:dyDescent="0.3">
      <c r="G2217" s="44"/>
      <c r="H2217" s="44"/>
    </row>
    <row r="2218" spans="7:8" x14ac:dyDescent="0.3">
      <c r="G2218" s="44"/>
      <c r="H2218" s="44"/>
    </row>
    <row r="2219" spans="7:8" x14ac:dyDescent="0.3">
      <c r="G2219" s="44"/>
      <c r="H2219" s="44"/>
    </row>
    <row r="2220" spans="7:8" x14ac:dyDescent="0.3">
      <c r="G2220" s="44"/>
      <c r="H2220" s="44"/>
    </row>
    <row r="2221" spans="7:8" x14ac:dyDescent="0.3">
      <c r="G2221" s="44"/>
      <c r="H2221" s="44"/>
    </row>
    <row r="2222" spans="7:8" x14ac:dyDescent="0.3">
      <c r="G2222" s="44"/>
      <c r="H2222" s="44"/>
    </row>
    <row r="2223" spans="7:8" x14ac:dyDescent="0.3">
      <c r="G2223" s="44"/>
      <c r="H2223" s="44"/>
    </row>
    <row r="2224" spans="7:8" x14ac:dyDescent="0.3">
      <c r="G2224" s="44"/>
      <c r="H2224" s="44"/>
    </row>
    <row r="2225" spans="7:8" x14ac:dyDescent="0.3">
      <c r="G2225" s="44"/>
      <c r="H2225" s="44"/>
    </row>
    <row r="2226" spans="7:8" x14ac:dyDescent="0.3">
      <c r="G2226" s="44"/>
      <c r="H2226" s="44"/>
    </row>
    <row r="2227" spans="7:8" x14ac:dyDescent="0.3">
      <c r="G2227" s="44"/>
      <c r="H2227" s="44"/>
    </row>
    <row r="2228" spans="7:8" x14ac:dyDescent="0.3">
      <c r="G2228" s="44"/>
      <c r="H2228" s="44"/>
    </row>
    <row r="2229" spans="7:8" x14ac:dyDescent="0.3">
      <c r="G2229" s="44"/>
      <c r="H2229" s="44"/>
    </row>
    <row r="2230" spans="7:8" x14ac:dyDescent="0.3">
      <c r="G2230" s="44"/>
      <c r="H2230" s="44"/>
    </row>
    <row r="2231" spans="7:8" x14ac:dyDescent="0.3">
      <c r="G2231" s="44"/>
      <c r="H2231" s="44"/>
    </row>
    <row r="2232" spans="7:8" x14ac:dyDescent="0.3">
      <c r="G2232" s="44"/>
      <c r="H2232" s="44"/>
    </row>
    <row r="2233" spans="7:8" x14ac:dyDescent="0.3">
      <c r="G2233" s="44"/>
      <c r="H2233" s="44"/>
    </row>
    <row r="2234" spans="7:8" x14ac:dyDescent="0.3">
      <c r="G2234" s="44"/>
      <c r="H2234" s="44"/>
    </row>
    <row r="2235" spans="7:8" x14ac:dyDescent="0.3">
      <c r="G2235" s="44"/>
      <c r="H2235" s="44"/>
    </row>
    <row r="2236" spans="7:8" x14ac:dyDescent="0.3">
      <c r="G2236" s="44"/>
      <c r="H2236" s="44"/>
    </row>
    <row r="2237" spans="7:8" x14ac:dyDescent="0.3">
      <c r="G2237" s="44"/>
      <c r="H2237" s="44"/>
    </row>
    <row r="2238" spans="7:8" x14ac:dyDescent="0.3">
      <c r="G2238" s="44"/>
      <c r="H2238" s="44"/>
    </row>
    <row r="2239" spans="7:8" x14ac:dyDescent="0.3">
      <c r="G2239" s="44"/>
      <c r="H2239" s="44"/>
    </row>
    <row r="2240" spans="7:8" x14ac:dyDescent="0.3">
      <c r="G2240" s="44"/>
      <c r="H2240" s="44"/>
    </row>
    <row r="2241" spans="7:8" x14ac:dyDescent="0.3">
      <c r="G2241" s="44"/>
      <c r="H2241" s="44"/>
    </row>
    <row r="2242" spans="7:8" x14ac:dyDescent="0.3">
      <c r="G2242" s="44"/>
      <c r="H2242" s="44"/>
    </row>
    <row r="2243" spans="7:8" x14ac:dyDescent="0.3">
      <c r="G2243" s="44"/>
      <c r="H2243" s="44"/>
    </row>
    <row r="2244" spans="7:8" x14ac:dyDescent="0.3">
      <c r="G2244" s="44"/>
      <c r="H2244" s="44"/>
    </row>
  </sheetData>
  <autoFilter ref="A1:K1338" xr:uid="{00000000-0009-0000-0000-000002000000}">
    <filterColumn colId="8">
      <filters>
        <filter val="1031C客退品，升级最新程序，FCT测试无误后、目检包装出货,数量2pcs"/>
        <filter val="1031C客退品返工，升级EE程序，校验和E:CED5，FCT测试无误后、目检包装出货,数量47pcs."/>
        <filter val="1031D客退品，升级最新程序，FCT测试无误后、目检包装出货,数量1pcs"/>
        <filter val="1323-C2305A-D 0011801659客退品筛选不良，取产品退站FCT，撕客户标贴，FCT测试，贴标贴LINK后，目检外观，包装扫描,数量323pcs。"/>
        <filter val="386JL合肥退回库存，现对库存和客退品进行筛选，将不良品挑出，筛选后包装发货，286pcs"/>
        <filter val="386JL客户端反馈SW3按键卡死、掰角值错误，现对库存和客退品进行筛选，将不良品挑出，修正后包装发货。"/>
        <filter val="386JL客户端反馈掰角值错误，现对库存和客退品进行筛选，将不良品挑出，修正后包装发货。"/>
        <filter val="500323-C24A9A-PC 0011801490S产品客退复测，取产品，ICT测试C33电容，目检扫描，包装扫描，OBA抽检，数量219PCS。"/>
        <filter val="693-B2201B-PC 0011801424B重新烧录EE程序，更换产品标签，目检包装出货,1340库存+78客退+61无账=1479pcs"/>
        <filter val="693-C2390A-D 0021800616 客退不良品处理，取产品，确认原标贴校验和与现标贴一致后，测试baseline值，重新喷漆，测试baseline值，点亮测试，目检，包装，数量一共100pcs。"/>
        <filter val="客退品提供备件，FCT测试后，目检包装，200块使用纸箱包装，120块使用吸塑包装，一共320pcs。"/>
        <filter val="客退品提供备件，目检包装，使用纸箱包装，一共80pcs。"/>
        <filter val="零星客退品质高经理清不良品库存"/>
        <filter val="商空的板子不良仓有以下客退不良，请建立返工工单维修"/>
        <filter val="商空的板子不良仓有以下客退不良，商空1003和1031系列建立返工工单维修，共90pcs；"/>
        <filter val="顺德零星客退"/>
        <filter val="研发更新喷漆区域；现对 500323-C2496B-PC 0011801423AT   按照WI板面最新喷漆区域对R1,R24,R13电阻及其他未喷涂区域补漆，目检，包装入库；数量1458PCS（库存：1192PCS+客退：266pcs)"/>
        <filter val="研发更新喷漆区域；现对 500323-C2496K-PC 0011801423AX   按照WI板面最新喷漆区域对R1,R24,R13电阻及其他未喷涂区域补漆，目检，包装入库；数量691PCS（库存：27PCS+客退：664pcs)"/>
        <filter val="研发更新喷漆区域；现对 500323-C2496L-PC 0011801423AL  按照WI板面最新喷漆区域对R1,R24,R13电阻及其他未喷涂区域补漆，目检，包装入库；客退数量：224PCS"/>
        <filter val="研发更新喷漆区域；现对 693-C2394A-PC 0011801423AB    按照WI板面最新喷漆区域对R1,R24,R13电阻及其他未喷涂区域补漆，目检，包装入库；客退数量：376PCS"/>
        <filter val="研发更新喷漆区域；现对500323-C2496M-PC 0011801423AJ    按照WI板面最新喷漆区域对R1,R24,R13电阻及其他未喷涂区域补漆，目检，包装入库；数量940PCS（库存：216PCS+客退：724pcs)"/>
        <filter val="由客退品，现将693-B2286A-D 0021800442G 烧录空程序，FCT，烧录最新主程序，FCT,更换外壳、面膜、泡棉，FCT上电目检灯珠是否全亮，显示屏是否有阴影，异物，更换标签、LINK绑定，目检包装发货,数量69pcs"/>
        <filter val="由客退品，现将693-B2286B-D 0021800442A 烧录空程序，FCT1，烧录最新主程序，FCT2上电目检灯珠是否全亮，显示屏是否有阴影，异物，更换标签、LINK绑定，目检包装发货,数量7pcs"/>
        <filter val="由客退品，现将693-B2286D-D 0021800442GB 烧录空程序，FCT1，烧录最新主程序，FCT2上电目检灯珠是否全亮，显示屏是否有阴影，异物，更换标签、LINK绑定，目检包装发货,数量6pcs"/>
      </filters>
    </filterColumn>
    <sortState xmlns:xlrd2="http://schemas.microsoft.com/office/spreadsheetml/2017/richdata2" ref="A2:K1338">
      <sortCondition sortBy="cellColor" ref="D1:D1320" dxfId="1015"/>
    </sortState>
  </autoFilter>
  <phoneticPr fontId="7" type="noConversion"/>
  <conditionalFormatting sqref="A1">
    <cfRule type="duplicateValues" dxfId="958" priority="963"/>
  </conditionalFormatting>
  <conditionalFormatting sqref="B1">
    <cfRule type="duplicateValues" dxfId="957" priority="962"/>
  </conditionalFormatting>
  <conditionalFormatting sqref="D831">
    <cfRule type="duplicateValues" dxfId="956" priority="955"/>
    <cfRule type="duplicateValues" dxfId="955" priority="956"/>
    <cfRule type="duplicateValues" dxfId="954" priority="957"/>
    <cfRule type="duplicateValues" dxfId="953" priority="958"/>
    <cfRule type="duplicateValues" dxfId="952" priority="959"/>
    <cfRule type="duplicateValues" dxfId="951" priority="960"/>
    <cfRule type="duplicateValues" dxfId="950" priority="961"/>
  </conditionalFormatting>
  <conditionalFormatting sqref="D832">
    <cfRule type="duplicateValues" dxfId="949" priority="951"/>
    <cfRule type="duplicateValues" dxfId="948" priority="952"/>
    <cfRule type="duplicateValues" dxfId="947" priority="953"/>
    <cfRule type="duplicateValues" dxfId="946" priority="954"/>
  </conditionalFormatting>
  <conditionalFormatting sqref="D839">
    <cfRule type="duplicateValues" dxfId="945" priority="944"/>
    <cfRule type="duplicateValues" dxfId="944" priority="945"/>
    <cfRule type="duplicateValues" dxfId="943" priority="946"/>
    <cfRule type="duplicateValues" dxfId="942" priority="947"/>
    <cfRule type="duplicateValues" dxfId="941" priority="948"/>
    <cfRule type="duplicateValues" dxfId="940" priority="949"/>
    <cfRule type="duplicateValues" dxfId="939" priority="950"/>
  </conditionalFormatting>
  <conditionalFormatting sqref="D840">
    <cfRule type="duplicateValues" dxfId="938" priority="937"/>
    <cfRule type="duplicateValues" dxfId="937" priority="938"/>
    <cfRule type="duplicateValues" dxfId="936" priority="939"/>
    <cfRule type="duplicateValues" dxfId="935" priority="940"/>
    <cfRule type="duplicateValues" dxfId="934" priority="941"/>
    <cfRule type="duplicateValues" dxfId="933" priority="942"/>
    <cfRule type="duplicateValues" dxfId="932" priority="943"/>
  </conditionalFormatting>
  <conditionalFormatting sqref="D849">
    <cfRule type="duplicateValues" dxfId="931" priority="923"/>
    <cfRule type="duplicateValues" dxfId="930" priority="924"/>
    <cfRule type="duplicateValues" dxfId="929" priority="925"/>
    <cfRule type="duplicateValues" dxfId="928" priority="926"/>
    <cfRule type="duplicateValues" dxfId="927" priority="927"/>
    <cfRule type="duplicateValues" dxfId="926" priority="928"/>
    <cfRule type="duplicateValues" dxfId="925" priority="929"/>
    <cfRule type="duplicateValues" dxfId="924" priority="930"/>
    <cfRule type="duplicateValues" dxfId="923" priority="931"/>
    <cfRule type="duplicateValues" dxfId="922" priority="932"/>
    <cfRule type="duplicateValues" dxfId="921" priority="933"/>
    <cfRule type="duplicateValues" dxfId="920" priority="934"/>
    <cfRule type="duplicateValues" dxfId="919" priority="935"/>
    <cfRule type="duplicateValues" dxfId="918" priority="936"/>
  </conditionalFormatting>
  <conditionalFormatting sqref="D850">
    <cfRule type="duplicateValues" dxfId="917" priority="909"/>
    <cfRule type="duplicateValues" dxfId="916" priority="910"/>
    <cfRule type="duplicateValues" dxfId="915" priority="911"/>
    <cfRule type="duplicateValues" dxfId="914" priority="912"/>
    <cfRule type="duplicateValues" dxfId="913" priority="913"/>
    <cfRule type="duplicateValues" dxfId="912" priority="914"/>
    <cfRule type="duplicateValues" dxfId="911" priority="915"/>
    <cfRule type="duplicateValues" dxfId="910" priority="916"/>
    <cfRule type="duplicateValues" dxfId="909" priority="917"/>
    <cfRule type="duplicateValues" dxfId="908" priority="918"/>
    <cfRule type="duplicateValues" dxfId="907" priority="919"/>
    <cfRule type="duplicateValues" dxfId="906" priority="920"/>
    <cfRule type="duplicateValues" dxfId="905" priority="921"/>
    <cfRule type="duplicateValues" dxfId="904" priority="922"/>
  </conditionalFormatting>
  <conditionalFormatting sqref="D851">
    <cfRule type="duplicateValues" dxfId="903" priority="895"/>
    <cfRule type="duplicateValues" dxfId="902" priority="896"/>
    <cfRule type="duplicateValues" dxfId="901" priority="897"/>
    <cfRule type="duplicateValues" dxfId="900" priority="898"/>
    <cfRule type="duplicateValues" dxfId="899" priority="899"/>
    <cfRule type="duplicateValues" dxfId="898" priority="900"/>
    <cfRule type="duplicateValues" dxfId="897" priority="901"/>
    <cfRule type="duplicateValues" dxfId="896" priority="902"/>
    <cfRule type="duplicateValues" dxfId="895" priority="903"/>
    <cfRule type="duplicateValues" dxfId="894" priority="904"/>
    <cfRule type="duplicateValues" dxfId="893" priority="905"/>
    <cfRule type="duplicateValues" dxfId="892" priority="906"/>
    <cfRule type="duplicateValues" dxfId="891" priority="907"/>
    <cfRule type="duplicateValues" dxfId="890" priority="908"/>
  </conditionalFormatting>
  <conditionalFormatting sqref="D852">
    <cfRule type="duplicateValues" dxfId="889" priority="881"/>
    <cfRule type="duplicateValues" dxfId="888" priority="882"/>
    <cfRule type="duplicateValues" dxfId="887" priority="883"/>
    <cfRule type="duplicateValues" dxfId="886" priority="884"/>
    <cfRule type="duplicateValues" dxfId="885" priority="885"/>
    <cfRule type="duplicateValues" dxfId="884" priority="886"/>
    <cfRule type="duplicateValues" dxfId="883" priority="887"/>
    <cfRule type="duplicateValues" dxfId="882" priority="888"/>
    <cfRule type="duplicateValues" dxfId="881" priority="889"/>
    <cfRule type="duplicateValues" dxfId="880" priority="890"/>
    <cfRule type="duplicateValues" dxfId="879" priority="891"/>
    <cfRule type="duplicateValues" dxfId="878" priority="892"/>
    <cfRule type="duplicateValues" dxfId="877" priority="893"/>
    <cfRule type="duplicateValues" dxfId="876" priority="894"/>
  </conditionalFormatting>
  <conditionalFormatting sqref="D856">
    <cfRule type="duplicateValues" dxfId="875" priority="866"/>
    <cfRule type="duplicateValues" dxfId="874" priority="867"/>
    <cfRule type="duplicateValues" dxfId="873" priority="868"/>
    <cfRule type="duplicateValues" dxfId="872" priority="869"/>
    <cfRule type="duplicateValues" dxfId="871" priority="870"/>
    <cfRule type="duplicateValues" dxfId="870" priority="871"/>
    <cfRule type="duplicateValues" dxfId="869" priority="872"/>
    <cfRule type="duplicateValues" dxfId="868" priority="873"/>
    <cfRule type="duplicateValues" dxfId="867" priority="874"/>
    <cfRule type="duplicateValues" dxfId="866" priority="875"/>
    <cfRule type="duplicateValues" dxfId="865" priority="876"/>
    <cfRule type="duplicateValues" dxfId="864" priority="877"/>
    <cfRule type="duplicateValues" dxfId="863" priority="878"/>
    <cfRule type="duplicateValues" dxfId="862" priority="879"/>
    <cfRule type="duplicateValues" dxfId="861" priority="880"/>
  </conditionalFormatting>
  <conditionalFormatting sqref="D857">
    <cfRule type="duplicateValues" dxfId="860" priority="851"/>
    <cfRule type="duplicateValues" dxfId="859" priority="852"/>
    <cfRule type="duplicateValues" dxfId="858" priority="853"/>
    <cfRule type="duplicateValues" dxfId="857" priority="854"/>
    <cfRule type="duplicateValues" dxfId="856" priority="855"/>
    <cfRule type="duplicateValues" dxfId="855" priority="856"/>
    <cfRule type="duplicateValues" dxfId="854" priority="857"/>
    <cfRule type="duplicateValues" dxfId="853" priority="858"/>
    <cfRule type="duplicateValues" dxfId="852" priority="859"/>
    <cfRule type="duplicateValues" dxfId="851" priority="860"/>
    <cfRule type="duplicateValues" dxfId="850" priority="861"/>
    <cfRule type="duplicateValues" dxfId="849" priority="862"/>
    <cfRule type="duplicateValues" dxfId="848" priority="863"/>
    <cfRule type="duplicateValues" dxfId="847" priority="864"/>
    <cfRule type="duplicateValues" dxfId="846" priority="865"/>
  </conditionalFormatting>
  <conditionalFormatting sqref="D858">
    <cfRule type="duplicateValues" dxfId="845" priority="836"/>
    <cfRule type="duplicateValues" dxfId="844" priority="837"/>
    <cfRule type="duplicateValues" dxfId="843" priority="838"/>
    <cfRule type="duplicateValues" dxfId="842" priority="839"/>
    <cfRule type="duplicateValues" dxfId="841" priority="840"/>
    <cfRule type="duplicateValues" dxfId="840" priority="841"/>
    <cfRule type="duplicateValues" dxfId="839" priority="842"/>
    <cfRule type="duplicateValues" dxfId="838" priority="843"/>
    <cfRule type="duplicateValues" dxfId="837" priority="844"/>
    <cfRule type="duplicateValues" dxfId="836" priority="845"/>
    <cfRule type="duplicateValues" dxfId="835" priority="846"/>
    <cfRule type="duplicateValues" dxfId="834" priority="847"/>
    <cfRule type="duplicateValues" dxfId="833" priority="848"/>
    <cfRule type="duplicateValues" dxfId="832" priority="849"/>
    <cfRule type="duplicateValues" dxfId="831" priority="850"/>
  </conditionalFormatting>
  <conditionalFormatting sqref="D859">
    <cfRule type="duplicateValues" dxfId="830" priority="821"/>
    <cfRule type="duplicateValues" dxfId="829" priority="822"/>
    <cfRule type="duplicateValues" dxfId="828" priority="823"/>
    <cfRule type="duplicateValues" dxfId="827" priority="824"/>
    <cfRule type="duplicateValues" dxfId="826" priority="825"/>
    <cfRule type="duplicateValues" dxfId="825" priority="826"/>
    <cfRule type="duplicateValues" dxfId="824" priority="827"/>
    <cfRule type="duplicateValues" dxfId="823" priority="828"/>
    <cfRule type="duplicateValues" dxfId="822" priority="829"/>
    <cfRule type="duplicateValues" dxfId="821" priority="830"/>
    <cfRule type="duplicateValues" dxfId="820" priority="831"/>
    <cfRule type="duplicateValues" dxfId="819" priority="832"/>
    <cfRule type="duplicateValues" dxfId="818" priority="833"/>
    <cfRule type="duplicateValues" dxfId="817" priority="834"/>
    <cfRule type="duplicateValues" dxfId="816" priority="835"/>
  </conditionalFormatting>
  <conditionalFormatting sqref="D866">
    <cfRule type="duplicateValues" dxfId="815" priority="806"/>
    <cfRule type="duplicateValues" dxfId="814" priority="807"/>
    <cfRule type="duplicateValues" dxfId="813" priority="808"/>
    <cfRule type="duplicateValues" dxfId="812" priority="809"/>
    <cfRule type="duplicateValues" dxfId="811" priority="810"/>
    <cfRule type="duplicateValues" dxfId="810" priority="811"/>
    <cfRule type="duplicateValues" dxfId="809" priority="812"/>
    <cfRule type="duplicateValues" dxfId="808" priority="813"/>
    <cfRule type="duplicateValues" dxfId="807" priority="814"/>
    <cfRule type="duplicateValues" dxfId="806" priority="815"/>
    <cfRule type="duplicateValues" dxfId="805" priority="816"/>
    <cfRule type="duplicateValues" dxfId="804" priority="817"/>
    <cfRule type="duplicateValues" dxfId="803" priority="818"/>
    <cfRule type="duplicateValues" dxfId="802" priority="819"/>
    <cfRule type="duplicateValues" dxfId="801" priority="820"/>
  </conditionalFormatting>
  <conditionalFormatting sqref="D874">
    <cfRule type="duplicateValues" dxfId="800" priority="790"/>
    <cfRule type="duplicateValues" dxfId="799" priority="791"/>
    <cfRule type="duplicateValues" dxfId="798" priority="792"/>
    <cfRule type="duplicateValues" dxfId="797" priority="793"/>
    <cfRule type="duplicateValues" dxfId="796" priority="794"/>
    <cfRule type="duplicateValues" dxfId="795" priority="795"/>
    <cfRule type="duplicateValues" dxfId="794" priority="796"/>
    <cfRule type="duplicateValues" dxfId="793" priority="797"/>
    <cfRule type="duplicateValues" dxfId="792" priority="798"/>
    <cfRule type="duplicateValues" dxfId="791" priority="799"/>
    <cfRule type="duplicateValues" dxfId="790" priority="800"/>
    <cfRule type="duplicateValues" dxfId="789" priority="801"/>
    <cfRule type="duplicateValues" dxfId="788" priority="802"/>
    <cfRule type="duplicateValues" dxfId="787" priority="803"/>
    <cfRule type="duplicateValues" dxfId="786" priority="804"/>
    <cfRule type="duplicateValues" dxfId="785" priority="805"/>
  </conditionalFormatting>
  <conditionalFormatting sqref="D879">
    <cfRule type="duplicateValues" dxfId="784" priority="774"/>
    <cfRule type="duplicateValues" dxfId="783" priority="775"/>
    <cfRule type="duplicateValues" dxfId="782" priority="776"/>
    <cfRule type="duplicateValues" dxfId="781" priority="777"/>
    <cfRule type="duplicateValues" dxfId="780" priority="778"/>
    <cfRule type="duplicateValues" dxfId="779" priority="779"/>
    <cfRule type="duplicateValues" dxfId="778" priority="780"/>
    <cfRule type="duplicateValues" dxfId="777" priority="781"/>
    <cfRule type="duplicateValues" dxfId="776" priority="782"/>
    <cfRule type="duplicateValues" dxfId="775" priority="783"/>
    <cfRule type="duplicateValues" dxfId="774" priority="784"/>
    <cfRule type="duplicateValues" dxfId="773" priority="785"/>
    <cfRule type="duplicateValues" dxfId="772" priority="786"/>
    <cfRule type="duplicateValues" dxfId="771" priority="787"/>
    <cfRule type="duplicateValues" dxfId="770" priority="788"/>
    <cfRule type="duplicateValues" dxfId="769" priority="789"/>
  </conditionalFormatting>
  <conditionalFormatting sqref="D880">
    <cfRule type="duplicateValues" dxfId="768" priority="758"/>
    <cfRule type="duplicateValues" dxfId="767" priority="759"/>
    <cfRule type="duplicateValues" dxfId="766" priority="760"/>
    <cfRule type="duplicateValues" dxfId="765" priority="761"/>
    <cfRule type="duplicateValues" dxfId="764" priority="762"/>
    <cfRule type="duplicateValues" dxfId="763" priority="763"/>
    <cfRule type="duplicateValues" dxfId="762" priority="764"/>
    <cfRule type="duplicateValues" dxfId="761" priority="765"/>
    <cfRule type="duplicateValues" dxfId="760" priority="766"/>
    <cfRule type="duplicateValues" dxfId="759" priority="767"/>
    <cfRule type="duplicateValues" dxfId="758" priority="768"/>
    <cfRule type="duplicateValues" dxfId="757" priority="769"/>
    <cfRule type="duplicateValues" dxfId="756" priority="770"/>
    <cfRule type="duplicateValues" dxfId="755" priority="771"/>
    <cfRule type="duplicateValues" dxfId="754" priority="772"/>
    <cfRule type="duplicateValues" dxfId="753" priority="773"/>
  </conditionalFormatting>
  <conditionalFormatting sqref="D886">
    <cfRule type="duplicateValues" dxfId="752" priority="742"/>
    <cfRule type="duplicateValues" dxfId="751" priority="743"/>
    <cfRule type="duplicateValues" dxfId="750" priority="744"/>
    <cfRule type="duplicateValues" dxfId="749" priority="745"/>
    <cfRule type="duplicateValues" dxfId="748" priority="746"/>
    <cfRule type="duplicateValues" dxfId="747" priority="747"/>
    <cfRule type="duplicateValues" dxfId="746" priority="748"/>
    <cfRule type="duplicateValues" dxfId="745" priority="749"/>
    <cfRule type="duplicateValues" dxfId="744" priority="750"/>
    <cfRule type="duplicateValues" dxfId="743" priority="751"/>
    <cfRule type="duplicateValues" dxfId="742" priority="752"/>
    <cfRule type="duplicateValues" dxfId="741" priority="753"/>
    <cfRule type="duplicateValues" dxfId="740" priority="754"/>
    <cfRule type="duplicateValues" dxfId="739" priority="755"/>
    <cfRule type="duplicateValues" dxfId="738" priority="756"/>
    <cfRule type="duplicateValues" dxfId="737" priority="757"/>
  </conditionalFormatting>
  <conditionalFormatting sqref="D887">
    <cfRule type="duplicateValues" dxfId="736" priority="727"/>
    <cfRule type="duplicateValues" dxfId="735" priority="728"/>
    <cfRule type="duplicateValues" dxfId="734" priority="729"/>
    <cfRule type="duplicateValues" dxfId="733" priority="730"/>
    <cfRule type="duplicateValues" dxfId="732" priority="731"/>
    <cfRule type="duplicateValues" dxfId="731" priority="732"/>
    <cfRule type="duplicateValues" dxfId="730" priority="733"/>
    <cfRule type="duplicateValues" dxfId="729" priority="734"/>
    <cfRule type="duplicateValues" dxfId="728" priority="735"/>
    <cfRule type="duplicateValues" dxfId="727" priority="736"/>
    <cfRule type="duplicateValues" dxfId="726" priority="737"/>
    <cfRule type="duplicateValues" dxfId="725" priority="738"/>
    <cfRule type="duplicateValues" dxfId="724" priority="739"/>
    <cfRule type="duplicateValues" dxfId="723" priority="740"/>
    <cfRule type="duplicateValues" dxfId="722" priority="741"/>
  </conditionalFormatting>
  <conditionalFormatting sqref="D889">
    <cfRule type="duplicateValues" dxfId="721" priority="712"/>
    <cfRule type="duplicateValues" dxfId="720" priority="713"/>
    <cfRule type="duplicateValues" dxfId="719" priority="714"/>
    <cfRule type="duplicateValues" dxfId="718" priority="715"/>
    <cfRule type="duplicateValues" dxfId="717" priority="716"/>
    <cfRule type="duplicateValues" dxfId="716" priority="717"/>
    <cfRule type="duplicateValues" dxfId="715" priority="718"/>
    <cfRule type="duplicateValues" dxfId="714" priority="719"/>
    <cfRule type="duplicateValues" dxfId="713" priority="720"/>
    <cfRule type="duplicateValues" dxfId="712" priority="721"/>
    <cfRule type="duplicateValues" dxfId="711" priority="722"/>
    <cfRule type="duplicateValues" dxfId="710" priority="723"/>
    <cfRule type="duplicateValues" dxfId="709" priority="724"/>
    <cfRule type="duplicateValues" dxfId="708" priority="725"/>
    <cfRule type="duplicateValues" dxfId="707" priority="726"/>
  </conditionalFormatting>
  <conditionalFormatting sqref="D890">
    <cfRule type="duplicateValues" dxfId="706" priority="697"/>
    <cfRule type="duplicateValues" dxfId="705" priority="698"/>
    <cfRule type="duplicateValues" dxfId="704" priority="699"/>
    <cfRule type="duplicateValues" dxfId="703" priority="700"/>
    <cfRule type="duplicateValues" dxfId="702" priority="701"/>
    <cfRule type="duplicateValues" dxfId="701" priority="702"/>
    <cfRule type="duplicateValues" dxfId="700" priority="703"/>
    <cfRule type="duplicateValues" dxfId="699" priority="704"/>
    <cfRule type="duplicateValues" dxfId="698" priority="705"/>
    <cfRule type="duplicateValues" dxfId="697" priority="706"/>
    <cfRule type="duplicateValues" dxfId="696" priority="707"/>
    <cfRule type="duplicateValues" dxfId="695" priority="708"/>
    <cfRule type="duplicateValues" dxfId="694" priority="709"/>
    <cfRule type="duplicateValues" dxfId="693" priority="710"/>
    <cfRule type="duplicateValues" dxfId="692" priority="711"/>
  </conditionalFormatting>
  <conditionalFormatting sqref="D891">
    <cfRule type="duplicateValues" dxfId="691" priority="689"/>
    <cfRule type="duplicateValues" dxfId="690" priority="690"/>
    <cfRule type="duplicateValues" dxfId="689" priority="691"/>
    <cfRule type="duplicateValues" dxfId="688" priority="692"/>
    <cfRule type="duplicateValues" dxfId="687" priority="693"/>
    <cfRule type="duplicateValues" dxfId="686" priority="694"/>
    <cfRule type="duplicateValues" dxfId="685" priority="695"/>
    <cfRule type="duplicateValues" dxfId="684" priority="696"/>
  </conditionalFormatting>
  <conditionalFormatting sqref="D895">
    <cfRule type="duplicateValues" dxfId="683" priority="676"/>
    <cfRule type="duplicateValues" dxfId="682" priority="677"/>
    <cfRule type="duplicateValues" dxfId="681" priority="678"/>
    <cfRule type="duplicateValues" dxfId="680" priority="679"/>
    <cfRule type="duplicateValues" dxfId="679" priority="680"/>
    <cfRule type="duplicateValues" dxfId="678" priority="681"/>
    <cfRule type="duplicateValues" dxfId="677" priority="682"/>
    <cfRule type="duplicateValues" dxfId="676" priority="683"/>
    <cfRule type="duplicateValues" dxfId="675" priority="684"/>
    <cfRule type="duplicateValues" dxfId="674" priority="685"/>
    <cfRule type="duplicateValues" dxfId="673" priority="686"/>
    <cfRule type="duplicateValues" dxfId="672" priority="687"/>
    <cfRule type="duplicateValues" dxfId="671" priority="688"/>
  </conditionalFormatting>
  <conditionalFormatting sqref="D896">
    <cfRule type="duplicateValues" dxfId="670" priority="663"/>
    <cfRule type="duplicateValues" dxfId="669" priority="664"/>
    <cfRule type="duplicateValues" dxfId="668" priority="665"/>
    <cfRule type="duplicateValues" dxfId="667" priority="666"/>
    <cfRule type="duplicateValues" dxfId="666" priority="667"/>
    <cfRule type="duplicateValues" dxfId="665" priority="668"/>
    <cfRule type="duplicateValues" dxfId="664" priority="669"/>
    <cfRule type="duplicateValues" dxfId="663" priority="670"/>
    <cfRule type="duplicateValues" dxfId="662" priority="671"/>
    <cfRule type="duplicateValues" dxfId="661" priority="672"/>
    <cfRule type="duplicateValues" dxfId="660" priority="673"/>
    <cfRule type="duplicateValues" dxfId="659" priority="674"/>
    <cfRule type="duplicateValues" dxfId="658" priority="675"/>
  </conditionalFormatting>
  <conditionalFormatting sqref="D897">
    <cfRule type="duplicateValues" dxfId="657" priority="650"/>
    <cfRule type="duplicateValues" dxfId="656" priority="651"/>
    <cfRule type="duplicateValues" dxfId="655" priority="652"/>
    <cfRule type="duplicateValues" dxfId="654" priority="653"/>
    <cfRule type="duplicateValues" dxfId="653" priority="654"/>
    <cfRule type="duplicateValues" dxfId="652" priority="655"/>
    <cfRule type="duplicateValues" dxfId="651" priority="656"/>
    <cfRule type="duplicateValues" dxfId="650" priority="657"/>
    <cfRule type="duplicateValues" dxfId="649" priority="658"/>
    <cfRule type="duplicateValues" dxfId="648" priority="659"/>
    <cfRule type="duplicateValues" dxfId="647" priority="660"/>
    <cfRule type="duplicateValues" dxfId="646" priority="661"/>
    <cfRule type="duplicateValues" dxfId="645" priority="662"/>
  </conditionalFormatting>
  <conditionalFormatting sqref="D901">
    <cfRule type="duplicateValues" dxfId="644" priority="635"/>
    <cfRule type="duplicateValues" dxfId="643" priority="636"/>
    <cfRule type="duplicateValues" dxfId="642" priority="637"/>
    <cfRule type="duplicateValues" dxfId="641" priority="638"/>
    <cfRule type="duplicateValues" dxfId="640" priority="639"/>
    <cfRule type="duplicateValues" dxfId="639" priority="640"/>
    <cfRule type="duplicateValues" dxfId="638" priority="641"/>
    <cfRule type="duplicateValues" dxfId="637" priority="642"/>
    <cfRule type="duplicateValues" dxfId="636" priority="643"/>
    <cfRule type="duplicateValues" dxfId="635" priority="644"/>
    <cfRule type="duplicateValues" dxfId="634" priority="645"/>
    <cfRule type="duplicateValues" dxfId="633" priority="646"/>
    <cfRule type="duplicateValues" dxfId="632" priority="647"/>
    <cfRule type="duplicateValues" dxfId="631" priority="648"/>
    <cfRule type="duplicateValues" dxfId="630" priority="649"/>
  </conditionalFormatting>
  <conditionalFormatting sqref="D933">
    <cfRule type="duplicateValues" dxfId="629" priority="620"/>
    <cfRule type="duplicateValues" dxfId="628" priority="621"/>
    <cfRule type="duplicateValues" dxfId="627" priority="622"/>
    <cfRule type="duplicateValues" dxfId="626" priority="623"/>
    <cfRule type="duplicateValues" dxfId="625" priority="624"/>
    <cfRule type="duplicateValues" dxfId="624" priority="625"/>
    <cfRule type="duplicateValues" dxfId="623" priority="626"/>
    <cfRule type="duplicateValues" dxfId="622" priority="627"/>
    <cfRule type="duplicateValues" dxfId="621" priority="628"/>
    <cfRule type="duplicateValues" dxfId="620" priority="629"/>
    <cfRule type="duplicateValues" dxfId="619" priority="630"/>
    <cfRule type="duplicateValues" dxfId="618" priority="631"/>
    <cfRule type="duplicateValues" dxfId="617" priority="632"/>
    <cfRule type="duplicateValues" dxfId="616" priority="633"/>
    <cfRule type="duplicateValues" dxfId="615" priority="634"/>
  </conditionalFormatting>
  <conditionalFormatting sqref="D983">
    <cfRule type="duplicateValues" dxfId="614" priority="601"/>
    <cfRule type="duplicateValues" dxfId="613" priority="602"/>
    <cfRule type="duplicateValues" dxfId="612" priority="603"/>
    <cfRule type="duplicateValues" dxfId="611" priority="604"/>
    <cfRule type="duplicateValues" dxfId="610" priority="605"/>
    <cfRule type="duplicateValues" dxfId="609" priority="606"/>
    <cfRule type="duplicateValues" dxfId="608" priority="607"/>
    <cfRule type="duplicateValues" dxfId="607" priority="608"/>
    <cfRule type="duplicateValues" dxfId="606" priority="609"/>
    <cfRule type="duplicateValues" dxfId="605" priority="610"/>
    <cfRule type="duplicateValues" dxfId="604" priority="611"/>
    <cfRule type="duplicateValues" dxfId="603" priority="612"/>
    <cfRule type="duplicateValues" dxfId="602" priority="613"/>
    <cfRule type="duplicateValues" dxfId="601" priority="614"/>
    <cfRule type="duplicateValues" dxfId="600" priority="615"/>
    <cfRule type="duplicateValues" dxfId="599" priority="616"/>
    <cfRule type="duplicateValues" dxfId="598" priority="617"/>
    <cfRule type="duplicateValues" dxfId="597" priority="618"/>
    <cfRule type="duplicateValues" dxfId="596" priority="619"/>
  </conditionalFormatting>
  <conditionalFormatting sqref="D1000">
    <cfRule type="duplicateValues" dxfId="595" priority="586"/>
    <cfRule type="duplicateValues" dxfId="594" priority="587"/>
    <cfRule type="duplicateValues" dxfId="593" priority="588"/>
    <cfRule type="duplicateValues" dxfId="592" priority="589"/>
    <cfRule type="duplicateValues" dxfId="591" priority="590"/>
    <cfRule type="duplicateValues" dxfId="590" priority="591"/>
    <cfRule type="duplicateValues" dxfId="589" priority="592"/>
    <cfRule type="duplicateValues" dxfId="588" priority="593"/>
    <cfRule type="duplicateValues" dxfId="587" priority="594"/>
    <cfRule type="duplicateValues" dxfId="586" priority="595"/>
    <cfRule type="duplicateValues" dxfId="585" priority="596"/>
    <cfRule type="duplicateValues" dxfId="584" priority="597"/>
    <cfRule type="duplicateValues" dxfId="583" priority="598"/>
    <cfRule type="duplicateValues" dxfId="582" priority="599"/>
    <cfRule type="duplicateValues" dxfId="581" priority="600"/>
  </conditionalFormatting>
  <conditionalFormatting sqref="D1002">
    <cfRule type="duplicateValues" dxfId="580" priority="568"/>
    <cfRule type="duplicateValues" dxfId="579" priority="569"/>
    <cfRule type="duplicateValues" dxfId="578" priority="570"/>
    <cfRule type="duplicateValues" dxfId="577" priority="571"/>
    <cfRule type="duplicateValues" dxfId="576" priority="572"/>
    <cfRule type="duplicateValues" dxfId="575" priority="573"/>
    <cfRule type="duplicateValues" dxfId="574" priority="574"/>
    <cfRule type="duplicateValues" dxfId="573" priority="575"/>
    <cfRule type="duplicateValues" dxfId="572" priority="576"/>
    <cfRule type="duplicateValues" dxfId="571" priority="577"/>
    <cfRule type="duplicateValues" dxfId="570" priority="578"/>
    <cfRule type="duplicateValues" dxfId="569" priority="579"/>
    <cfRule type="duplicateValues" dxfId="568" priority="580"/>
    <cfRule type="duplicateValues" dxfId="567" priority="581"/>
    <cfRule type="duplicateValues" dxfId="566" priority="582"/>
    <cfRule type="duplicateValues" dxfId="565" priority="583"/>
    <cfRule type="duplicateValues" dxfId="564" priority="584"/>
    <cfRule type="duplicateValues" dxfId="563" priority="585"/>
  </conditionalFormatting>
  <conditionalFormatting sqref="D1003">
    <cfRule type="duplicateValues" dxfId="562" priority="553"/>
    <cfRule type="duplicateValues" dxfId="561" priority="554"/>
    <cfRule type="duplicateValues" dxfId="560" priority="555"/>
    <cfRule type="duplicateValues" dxfId="559" priority="556"/>
    <cfRule type="duplicateValues" dxfId="558" priority="557"/>
    <cfRule type="duplicateValues" dxfId="557" priority="558"/>
    <cfRule type="duplicateValues" dxfId="556" priority="559"/>
    <cfRule type="duplicateValues" dxfId="555" priority="560"/>
    <cfRule type="duplicateValues" dxfId="554" priority="561"/>
    <cfRule type="duplicateValues" dxfId="553" priority="562"/>
    <cfRule type="duplicateValues" dxfId="552" priority="563"/>
    <cfRule type="duplicateValues" dxfId="551" priority="564"/>
    <cfRule type="duplicateValues" dxfId="550" priority="565"/>
    <cfRule type="duplicateValues" dxfId="549" priority="566"/>
    <cfRule type="duplicateValues" dxfId="548" priority="567"/>
  </conditionalFormatting>
  <conditionalFormatting sqref="I1010">
    <cfRule type="duplicateValues" dxfId="547" priority="552"/>
  </conditionalFormatting>
  <conditionalFormatting sqref="D1016">
    <cfRule type="duplicateValues" dxfId="546" priority="539"/>
    <cfRule type="duplicateValues" dxfId="545" priority="540"/>
    <cfRule type="duplicateValues" dxfId="544" priority="541"/>
    <cfRule type="duplicateValues" dxfId="543" priority="542"/>
    <cfRule type="duplicateValues" dxfId="542" priority="543"/>
    <cfRule type="duplicateValues" dxfId="541" priority="544"/>
    <cfRule type="duplicateValues" dxfId="540" priority="545"/>
    <cfRule type="duplicateValues" dxfId="539" priority="546"/>
    <cfRule type="duplicateValues" dxfId="538" priority="547"/>
    <cfRule type="duplicateValues" dxfId="537" priority="548"/>
    <cfRule type="duplicateValues" dxfId="536" priority="549"/>
    <cfRule type="duplicateValues" dxfId="535" priority="550"/>
    <cfRule type="duplicateValues" dxfId="534" priority="551"/>
  </conditionalFormatting>
  <conditionalFormatting sqref="D1035">
    <cfRule type="duplicateValues" dxfId="533" priority="526"/>
    <cfRule type="duplicateValues" dxfId="532" priority="527"/>
    <cfRule type="duplicateValues" dxfId="531" priority="528"/>
    <cfRule type="duplicateValues" dxfId="530" priority="529"/>
    <cfRule type="duplicateValues" dxfId="529" priority="530"/>
    <cfRule type="duplicateValues" dxfId="528" priority="531"/>
    <cfRule type="duplicateValues" dxfId="527" priority="532"/>
    <cfRule type="duplicateValues" dxfId="526" priority="533"/>
    <cfRule type="duplicateValues" dxfId="525" priority="534"/>
    <cfRule type="duplicateValues" dxfId="524" priority="535"/>
    <cfRule type="duplicateValues" dxfId="523" priority="536"/>
    <cfRule type="duplicateValues" dxfId="522" priority="537"/>
    <cfRule type="duplicateValues" dxfId="521" priority="538"/>
  </conditionalFormatting>
  <conditionalFormatting sqref="I1175">
    <cfRule type="duplicateValues" dxfId="520" priority="12"/>
  </conditionalFormatting>
  <conditionalFormatting sqref="D213:D830">
    <cfRule type="duplicateValues" dxfId="519" priority="522"/>
    <cfRule type="duplicateValues" dxfId="518" priority="523"/>
    <cfRule type="duplicateValues" dxfId="517" priority="524"/>
    <cfRule type="duplicateValues" dxfId="516" priority="525"/>
  </conditionalFormatting>
  <conditionalFormatting sqref="D833:D838">
    <cfRule type="duplicateValues" dxfId="515" priority="515"/>
    <cfRule type="duplicateValues" dxfId="514" priority="516"/>
    <cfRule type="duplicateValues" dxfId="513" priority="517"/>
    <cfRule type="duplicateValues" dxfId="512" priority="518"/>
    <cfRule type="duplicateValues" dxfId="511" priority="519"/>
    <cfRule type="duplicateValues" dxfId="510" priority="520"/>
    <cfRule type="duplicateValues" dxfId="509" priority="521"/>
  </conditionalFormatting>
  <conditionalFormatting sqref="D841:D842">
    <cfRule type="duplicateValues" dxfId="508" priority="507"/>
    <cfRule type="duplicateValues" dxfId="507" priority="508"/>
    <cfRule type="duplicateValues" dxfId="506" priority="509"/>
    <cfRule type="duplicateValues" dxfId="505" priority="510"/>
    <cfRule type="duplicateValues" dxfId="504" priority="511"/>
    <cfRule type="duplicateValues" dxfId="503" priority="512"/>
    <cfRule type="duplicateValues" dxfId="502" priority="513"/>
    <cfRule type="duplicateValues" dxfId="501" priority="514"/>
  </conditionalFormatting>
  <conditionalFormatting sqref="D843:D848">
    <cfRule type="duplicateValues" dxfId="500" priority="493"/>
    <cfRule type="duplicateValues" dxfId="499" priority="494"/>
    <cfRule type="duplicateValues" dxfId="498" priority="495"/>
    <cfRule type="duplicateValues" dxfId="497" priority="496"/>
    <cfRule type="duplicateValues" dxfId="496" priority="497"/>
    <cfRule type="duplicateValues" dxfId="495" priority="498"/>
    <cfRule type="duplicateValues" dxfId="494" priority="499"/>
    <cfRule type="duplicateValues" dxfId="493" priority="500"/>
    <cfRule type="duplicateValues" dxfId="492" priority="501"/>
    <cfRule type="duplicateValues" dxfId="491" priority="502"/>
    <cfRule type="duplicateValues" dxfId="490" priority="503"/>
    <cfRule type="duplicateValues" dxfId="489" priority="504"/>
    <cfRule type="duplicateValues" dxfId="488" priority="505"/>
    <cfRule type="duplicateValues" dxfId="487" priority="506"/>
  </conditionalFormatting>
  <conditionalFormatting sqref="D853:D855">
    <cfRule type="duplicateValues" dxfId="486" priority="478"/>
    <cfRule type="duplicateValues" dxfId="485" priority="479"/>
    <cfRule type="duplicateValues" dxfId="484" priority="480"/>
    <cfRule type="duplicateValues" dxfId="483" priority="481"/>
    <cfRule type="duplicateValues" dxfId="482" priority="482"/>
    <cfRule type="duplicateValues" dxfId="481" priority="483"/>
    <cfRule type="duplicateValues" dxfId="480" priority="484"/>
    <cfRule type="duplicateValues" dxfId="479" priority="485"/>
    <cfRule type="duplicateValues" dxfId="478" priority="486"/>
    <cfRule type="duplicateValues" dxfId="477" priority="487"/>
    <cfRule type="duplicateValues" dxfId="476" priority="488"/>
    <cfRule type="duplicateValues" dxfId="475" priority="489"/>
    <cfRule type="duplicateValues" dxfId="474" priority="490"/>
    <cfRule type="duplicateValues" dxfId="473" priority="491"/>
    <cfRule type="duplicateValues" dxfId="472" priority="492"/>
  </conditionalFormatting>
  <conditionalFormatting sqref="D860:D861">
    <cfRule type="duplicateValues" dxfId="471" priority="463"/>
    <cfRule type="duplicateValues" dxfId="470" priority="464"/>
    <cfRule type="duplicateValues" dxfId="469" priority="465"/>
    <cfRule type="duplicateValues" dxfId="468" priority="466"/>
    <cfRule type="duplicateValues" dxfId="467" priority="467"/>
    <cfRule type="duplicateValues" dxfId="466" priority="468"/>
    <cfRule type="duplicateValues" dxfId="465" priority="469"/>
    <cfRule type="duplicateValues" dxfId="464" priority="470"/>
    <cfRule type="duplicateValues" dxfId="463" priority="471"/>
    <cfRule type="duplicateValues" dxfId="462" priority="472"/>
    <cfRule type="duplicateValues" dxfId="461" priority="473"/>
    <cfRule type="duplicateValues" dxfId="460" priority="474"/>
    <cfRule type="duplicateValues" dxfId="459" priority="475"/>
    <cfRule type="duplicateValues" dxfId="458" priority="476"/>
    <cfRule type="duplicateValues" dxfId="457" priority="477"/>
  </conditionalFormatting>
  <conditionalFormatting sqref="D862:D863">
    <cfRule type="duplicateValues" dxfId="456" priority="448"/>
    <cfRule type="duplicateValues" dxfId="455" priority="449"/>
    <cfRule type="duplicateValues" dxfId="454" priority="450"/>
    <cfRule type="duplicateValues" dxfId="453" priority="451"/>
    <cfRule type="duplicateValues" dxfId="452" priority="452"/>
    <cfRule type="duplicateValues" dxfId="451" priority="453"/>
    <cfRule type="duplicateValues" dxfId="450" priority="454"/>
    <cfRule type="duplicateValues" dxfId="449" priority="455"/>
    <cfRule type="duplicateValues" dxfId="448" priority="456"/>
    <cfRule type="duplicateValues" dxfId="447" priority="457"/>
    <cfRule type="duplicateValues" dxfId="446" priority="458"/>
    <cfRule type="duplicateValues" dxfId="445" priority="459"/>
    <cfRule type="duplicateValues" dxfId="444" priority="460"/>
    <cfRule type="duplicateValues" dxfId="443" priority="461"/>
    <cfRule type="duplicateValues" dxfId="442" priority="462"/>
  </conditionalFormatting>
  <conditionalFormatting sqref="D864:D865">
    <cfRule type="duplicateValues" dxfId="441" priority="433"/>
    <cfRule type="duplicateValues" dxfId="440" priority="434"/>
    <cfRule type="duplicateValues" dxfId="439" priority="435"/>
    <cfRule type="duplicateValues" dxfId="438" priority="436"/>
    <cfRule type="duplicateValues" dxfId="437" priority="437"/>
    <cfRule type="duplicateValues" dxfId="436" priority="438"/>
    <cfRule type="duplicateValues" dxfId="435" priority="439"/>
    <cfRule type="duplicateValues" dxfId="434" priority="440"/>
    <cfRule type="duplicateValues" dxfId="433" priority="441"/>
    <cfRule type="duplicateValues" dxfId="432" priority="442"/>
    <cfRule type="duplicateValues" dxfId="431" priority="443"/>
    <cfRule type="duplicateValues" dxfId="430" priority="444"/>
    <cfRule type="duplicateValues" dxfId="429" priority="445"/>
    <cfRule type="duplicateValues" dxfId="428" priority="446"/>
    <cfRule type="duplicateValues" dxfId="427" priority="447"/>
  </conditionalFormatting>
  <conditionalFormatting sqref="D867:D873">
    <cfRule type="duplicateValues" dxfId="426" priority="417"/>
    <cfRule type="duplicateValues" dxfId="425" priority="418"/>
    <cfRule type="duplicateValues" dxfId="424" priority="419"/>
    <cfRule type="duplicateValues" dxfId="423" priority="420"/>
    <cfRule type="duplicateValues" dxfId="422" priority="421"/>
    <cfRule type="duplicateValues" dxfId="421" priority="422"/>
    <cfRule type="duplicateValues" dxfId="420" priority="423"/>
    <cfRule type="duplicateValues" dxfId="419" priority="424"/>
    <cfRule type="duplicateValues" dxfId="418" priority="425"/>
    <cfRule type="duplicateValues" dxfId="417" priority="426"/>
    <cfRule type="duplicateValues" dxfId="416" priority="427"/>
    <cfRule type="duplicateValues" dxfId="415" priority="428"/>
    <cfRule type="duplicateValues" dxfId="414" priority="429"/>
    <cfRule type="duplicateValues" dxfId="413" priority="430"/>
    <cfRule type="duplicateValues" dxfId="412" priority="431"/>
    <cfRule type="duplicateValues" dxfId="411" priority="432"/>
  </conditionalFormatting>
  <conditionalFormatting sqref="D875:D878">
    <cfRule type="duplicateValues" dxfId="410" priority="401"/>
    <cfRule type="duplicateValues" dxfId="409" priority="402"/>
    <cfRule type="duplicateValues" dxfId="408" priority="403"/>
    <cfRule type="duplicateValues" dxfId="407" priority="404"/>
    <cfRule type="duplicateValues" dxfId="406" priority="405"/>
    <cfRule type="duplicateValues" dxfId="405" priority="406"/>
    <cfRule type="duplicateValues" dxfId="404" priority="407"/>
    <cfRule type="duplicateValues" dxfId="403" priority="408"/>
    <cfRule type="duplicateValues" dxfId="402" priority="409"/>
    <cfRule type="duplicateValues" dxfId="401" priority="410"/>
    <cfRule type="duplicateValues" dxfId="400" priority="411"/>
    <cfRule type="duplicateValues" dxfId="399" priority="412"/>
    <cfRule type="duplicateValues" dxfId="398" priority="413"/>
    <cfRule type="duplicateValues" dxfId="397" priority="414"/>
    <cfRule type="duplicateValues" dxfId="396" priority="415"/>
    <cfRule type="duplicateValues" dxfId="395" priority="416"/>
  </conditionalFormatting>
  <conditionalFormatting sqref="D881:D885">
    <cfRule type="duplicateValues" dxfId="394" priority="385"/>
    <cfRule type="duplicateValues" dxfId="393" priority="386"/>
    <cfRule type="duplicateValues" dxfId="392" priority="387"/>
    <cfRule type="duplicateValues" dxfId="391" priority="388"/>
    <cfRule type="duplicateValues" dxfId="390" priority="389"/>
    <cfRule type="duplicateValues" dxfId="389" priority="390"/>
    <cfRule type="duplicateValues" dxfId="388" priority="391"/>
    <cfRule type="duplicateValues" dxfId="387" priority="392"/>
    <cfRule type="duplicateValues" dxfId="386" priority="393"/>
    <cfRule type="duplicateValues" dxfId="385" priority="394"/>
    <cfRule type="duplicateValues" dxfId="384" priority="395"/>
    <cfRule type="duplicateValues" dxfId="383" priority="396"/>
    <cfRule type="duplicateValues" dxfId="382" priority="397"/>
    <cfRule type="duplicateValues" dxfId="381" priority="398"/>
    <cfRule type="duplicateValues" dxfId="380" priority="399"/>
    <cfRule type="duplicateValues" dxfId="379" priority="400"/>
  </conditionalFormatting>
  <conditionalFormatting sqref="D902:D909">
    <cfRule type="duplicateValues" dxfId="378" priority="372"/>
    <cfRule type="duplicateValues" dxfId="377" priority="373"/>
    <cfRule type="duplicateValues" dxfId="376" priority="374"/>
    <cfRule type="duplicateValues" dxfId="375" priority="375"/>
    <cfRule type="duplicateValues" dxfId="374" priority="376"/>
    <cfRule type="duplicateValues" dxfId="373" priority="377"/>
    <cfRule type="duplicateValues" dxfId="372" priority="378"/>
    <cfRule type="duplicateValues" dxfId="371" priority="379"/>
    <cfRule type="duplicateValues" dxfId="370" priority="380"/>
    <cfRule type="duplicateValues" dxfId="369" priority="381"/>
    <cfRule type="duplicateValues" dxfId="368" priority="382"/>
    <cfRule type="duplicateValues" dxfId="367" priority="383"/>
    <cfRule type="duplicateValues" dxfId="366" priority="384"/>
  </conditionalFormatting>
  <conditionalFormatting sqref="D910:D915">
    <cfRule type="duplicateValues" dxfId="365" priority="358"/>
    <cfRule type="duplicateValues" dxfId="364" priority="359"/>
    <cfRule type="duplicateValues" dxfId="363" priority="360"/>
    <cfRule type="duplicateValues" dxfId="362" priority="361"/>
    <cfRule type="duplicateValues" dxfId="361" priority="362"/>
    <cfRule type="duplicateValues" dxfId="360" priority="363"/>
    <cfRule type="duplicateValues" dxfId="359" priority="364"/>
    <cfRule type="duplicateValues" dxfId="358" priority="365"/>
    <cfRule type="duplicateValues" dxfId="357" priority="366"/>
    <cfRule type="duplicateValues" dxfId="356" priority="367"/>
    <cfRule type="duplicateValues" dxfId="355" priority="368"/>
    <cfRule type="duplicateValues" dxfId="354" priority="369"/>
    <cfRule type="duplicateValues" dxfId="353" priority="370"/>
    <cfRule type="duplicateValues" dxfId="352" priority="371"/>
  </conditionalFormatting>
  <conditionalFormatting sqref="D916:D918">
    <cfRule type="duplicateValues" dxfId="351" priority="344"/>
    <cfRule type="duplicateValues" dxfId="350" priority="345"/>
    <cfRule type="duplicateValues" dxfId="349" priority="346"/>
    <cfRule type="duplicateValues" dxfId="348" priority="347"/>
    <cfRule type="duplicateValues" dxfId="347" priority="348"/>
    <cfRule type="duplicateValues" dxfId="346" priority="349"/>
    <cfRule type="duplicateValues" dxfId="345" priority="350"/>
    <cfRule type="duplicateValues" dxfId="344" priority="351"/>
    <cfRule type="duplicateValues" dxfId="343" priority="352"/>
    <cfRule type="duplicateValues" dxfId="342" priority="353"/>
    <cfRule type="duplicateValues" dxfId="341" priority="354"/>
    <cfRule type="duplicateValues" dxfId="340" priority="355"/>
    <cfRule type="duplicateValues" dxfId="339" priority="356"/>
    <cfRule type="duplicateValues" dxfId="338" priority="357"/>
  </conditionalFormatting>
  <conditionalFormatting sqref="D919:D920">
    <cfRule type="duplicateValues" dxfId="337" priority="330"/>
    <cfRule type="duplicateValues" dxfId="336" priority="331"/>
    <cfRule type="duplicateValues" dxfId="335" priority="332"/>
    <cfRule type="duplicateValues" dxfId="334" priority="333"/>
    <cfRule type="duplicateValues" dxfId="333" priority="334"/>
    <cfRule type="duplicateValues" dxfId="332" priority="335"/>
    <cfRule type="duplicateValues" dxfId="331" priority="336"/>
    <cfRule type="duplicateValues" dxfId="330" priority="337"/>
    <cfRule type="duplicateValues" dxfId="329" priority="338"/>
    <cfRule type="duplicateValues" dxfId="328" priority="339"/>
    <cfRule type="duplicateValues" dxfId="327" priority="340"/>
    <cfRule type="duplicateValues" dxfId="326" priority="341"/>
    <cfRule type="duplicateValues" dxfId="325" priority="342"/>
    <cfRule type="duplicateValues" dxfId="324" priority="343"/>
  </conditionalFormatting>
  <conditionalFormatting sqref="D921:D922">
    <cfRule type="duplicateValues" dxfId="323" priority="315"/>
    <cfRule type="duplicateValues" dxfId="322" priority="316"/>
    <cfRule type="duplicateValues" dxfId="321" priority="317"/>
    <cfRule type="duplicateValues" dxfId="320" priority="318"/>
    <cfRule type="duplicateValues" dxfId="319" priority="319"/>
    <cfRule type="duplicateValues" dxfId="318" priority="320"/>
    <cfRule type="duplicateValues" dxfId="317" priority="321"/>
    <cfRule type="duplicateValues" dxfId="316" priority="322"/>
    <cfRule type="duplicateValues" dxfId="315" priority="323"/>
    <cfRule type="duplicateValues" dxfId="314" priority="324"/>
    <cfRule type="duplicateValues" dxfId="313" priority="325"/>
    <cfRule type="duplicateValues" dxfId="312" priority="326"/>
    <cfRule type="duplicateValues" dxfId="311" priority="327"/>
    <cfRule type="duplicateValues" dxfId="310" priority="328"/>
    <cfRule type="duplicateValues" dxfId="309" priority="329"/>
  </conditionalFormatting>
  <conditionalFormatting sqref="D923:D931">
    <cfRule type="duplicateValues" dxfId="308" priority="300"/>
    <cfRule type="duplicateValues" dxfId="307" priority="301"/>
    <cfRule type="duplicateValues" dxfId="306" priority="302"/>
    <cfRule type="duplicateValues" dxfId="305" priority="303"/>
    <cfRule type="duplicateValues" dxfId="304" priority="304"/>
    <cfRule type="duplicateValues" dxfId="303" priority="305"/>
    <cfRule type="duplicateValues" dxfId="302" priority="306"/>
    <cfRule type="duplicateValues" dxfId="301" priority="307"/>
    <cfRule type="duplicateValues" dxfId="300" priority="308"/>
    <cfRule type="duplicateValues" dxfId="299" priority="309"/>
    <cfRule type="duplicateValues" dxfId="298" priority="310"/>
    <cfRule type="duplicateValues" dxfId="297" priority="311"/>
    <cfRule type="duplicateValues" dxfId="296" priority="312"/>
    <cfRule type="duplicateValues" dxfId="295" priority="313"/>
    <cfRule type="duplicateValues" dxfId="294" priority="314"/>
  </conditionalFormatting>
  <conditionalFormatting sqref="D934:D938">
    <cfRule type="duplicateValues" dxfId="293" priority="285"/>
    <cfRule type="duplicateValues" dxfId="292" priority="286"/>
    <cfRule type="duplicateValues" dxfId="291" priority="287"/>
    <cfRule type="duplicateValues" dxfId="290" priority="288"/>
    <cfRule type="duplicateValues" dxfId="289" priority="289"/>
    <cfRule type="duplicateValues" dxfId="288" priority="290"/>
    <cfRule type="duplicateValues" dxfId="287" priority="291"/>
    <cfRule type="duplicateValues" dxfId="286" priority="292"/>
    <cfRule type="duplicateValues" dxfId="285" priority="293"/>
    <cfRule type="duplicateValues" dxfId="284" priority="294"/>
    <cfRule type="duplicateValues" dxfId="283" priority="295"/>
    <cfRule type="duplicateValues" dxfId="282" priority="296"/>
    <cfRule type="duplicateValues" dxfId="281" priority="297"/>
    <cfRule type="duplicateValues" dxfId="280" priority="298"/>
    <cfRule type="duplicateValues" dxfId="279" priority="299"/>
  </conditionalFormatting>
  <conditionalFormatting sqref="D939:D941">
    <cfRule type="duplicateValues" dxfId="278" priority="270"/>
    <cfRule type="duplicateValues" dxfId="277" priority="271"/>
    <cfRule type="duplicateValues" dxfId="276" priority="272"/>
    <cfRule type="duplicateValues" dxfId="275" priority="273"/>
    <cfRule type="duplicateValues" dxfId="274" priority="274"/>
    <cfRule type="duplicateValues" dxfId="273" priority="275"/>
    <cfRule type="duplicateValues" dxfId="272" priority="276"/>
    <cfRule type="duplicateValues" dxfId="271" priority="277"/>
    <cfRule type="duplicateValues" dxfId="270" priority="278"/>
    <cfRule type="duplicateValues" dxfId="269" priority="279"/>
    <cfRule type="duplicateValues" dxfId="268" priority="280"/>
    <cfRule type="duplicateValues" dxfId="267" priority="281"/>
    <cfRule type="duplicateValues" dxfId="266" priority="282"/>
    <cfRule type="duplicateValues" dxfId="265" priority="283"/>
    <cfRule type="duplicateValues" dxfId="264" priority="284"/>
  </conditionalFormatting>
  <conditionalFormatting sqref="D942:D949">
    <cfRule type="duplicateValues" dxfId="263" priority="255"/>
    <cfRule type="duplicateValues" dxfId="262" priority="256"/>
    <cfRule type="duplicateValues" dxfId="261" priority="257"/>
    <cfRule type="duplicateValues" dxfId="260" priority="258"/>
    <cfRule type="duplicateValues" dxfId="259" priority="259"/>
    <cfRule type="duplicateValues" dxfId="258" priority="260"/>
    <cfRule type="duplicateValues" dxfId="257" priority="261"/>
    <cfRule type="duplicateValues" dxfId="256" priority="262"/>
    <cfRule type="duplicateValues" dxfId="255" priority="263"/>
    <cfRule type="duplicateValues" dxfId="254" priority="264"/>
    <cfRule type="duplicateValues" dxfId="253" priority="265"/>
    <cfRule type="duplicateValues" dxfId="252" priority="266"/>
    <cfRule type="duplicateValues" dxfId="251" priority="267"/>
    <cfRule type="duplicateValues" dxfId="250" priority="268"/>
    <cfRule type="duplicateValues" dxfId="249" priority="269"/>
  </conditionalFormatting>
  <conditionalFormatting sqref="D950:D956">
    <cfRule type="duplicateValues" dxfId="248" priority="240"/>
    <cfRule type="duplicateValues" dxfId="247" priority="241"/>
    <cfRule type="duplicateValues" dxfId="246" priority="242"/>
    <cfRule type="duplicateValues" dxfId="245" priority="243"/>
    <cfRule type="duplicateValues" dxfId="244" priority="244"/>
    <cfRule type="duplicateValues" dxfId="243" priority="245"/>
    <cfRule type="duplicateValues" dxfId="242" priority="246"/>
    <cfRule type="duplicateValues" dxfId="241" priority="247"/>
    <cfRule type="duplicateValues" dxfId="240" priority="248"/>
    <cfRule type="duplicateValues" dxfId="239" priority="249"/>
    <cfRule type="duplicateValues" dxfId="238" priority="250"/>
    <cfRule type="duplicateValues" dxfId="237" priority="251"/>
    <cfRule type="duplicateValues" dxfId="236" priority="252"/>
    <cfRule type="duplicateValues" dxfId="235" priority="253"/>
    <cfRule type="duplicateValues" dxfId="234" priority="254"/>
  </conditionalFormatting>
  <conditionalFormatting sqref="D957:D958">
    <cfRule type="duplicateValues" dxfId="233" priority="225"/>
    <cfRule type="duplicateValues" dxfId="232" priority="226"/>
    <cfRule type="duplicateValues" dxfId="231" priority="227"/>
    <cfRule type="duplicateValues" dxfId="230" priority="228"/>
    <cfRule type="duplicateValues" dxfId="229" priority="229"/>
    <cfRule type="duplicateValues" dxfId="228" priority="230"/>
    <cfRule type="duplicateValues" dxfId="227" priority="231"/>
    <cfRule type="duplicateValues" dxfId="226" priority="232"/>
    <cfRule type="duplicateValues" dxfId="225" priority="233"/>
    <cfRule type="duplicateValues" dxfId="224" priority="234"/>
    <cfRule type="duplicateValues" dxfId="223" priority="235"/>
    <cfRule type="duplicateValues" dxfId="222" priority="236"/>
    <cfRule type="duplicateValues" dxfId="221" priority="237"/>
    <cfRule type="duplicateValues" dxfId="220" priority="238"/>
    <cfRule type="duplicateValues" dxfId="219" priority="239"/>
  </conditionalFormatting>
  <conditionalFormatting sqref="D959:D961">
    <cfRule type="duplicateValues" dxfId="218" priority="210"/>
    <cfRule type="duplicateValues" dxfId="217" priority="211"/>
    <cfRule type="duplicateValues" dxfId="216" priority="212"/>
    <cfRule type="duplicateValues" dxfId="215" priority="213"/>
    <cfRule type="duplicateValues" dxfId="214" priority="214"/>
    <cfRule type="duplicateValues" dxfId="213" priority="215"/>
    <cfRule type="duplicateValues" dxfId="212" priority="216"/>
    <cfRule type="duplicateValues" dxfId="211" priority="217"/>
    <cfRule type="duplicateValues" dxfId="210" priority="218"/>
    <cfRule type="duplicateValues" dxfId="209" priority="219"/>
    <cfRule type="duplicateValues" dxfId="208" priority="220"/>
    <cfRule type="duplicateValues" dxfId="207" priority="221"/>
    <cfRule type="duplicateValues" dxfId="206" priority="222"/>
    <cfRule type="duplicateValues" dxfId="205" priority="223"/>
    <cfRule type="duplicateValues" dxfId="204" priority="224"/>
  </conditionalFormatting>
  <conditionalFormatting sqref="D962:D964">
    <cfRule type="duplicateValues" dxfId="203" priority="194"/>
    <cfRule type="duplicateValues" dxfId="202" priority="195"/>
    <cfRule type="duplicateValues" dxfId="201" priority="196"/>
    <cfRule type="duplicateValues" dxfId="200" priority="197"/>
    <cfRule type="duplicateValues" dxfId="199" priority="198"/>
    <cfRule type="duplicateValues" dxfId="198" priority="199"/>
    <cfRule type="duplicateValues" dxfId="197" priority="200"/>
    <cfRule type="duplicateValues" dxfId="196" priority="201"/>
    <cfRule type="duplicateValues" dxfId="195" priority="202"/>
    <cfRule type="duplicateValues" dxfId="194" priority="203"/>
    <cfRule type="duplicateValues" dxfId="193" priority="204"/>
    <cfRule type="duplicateValues" dxfId="192" priority="205"/>
    <cfRule type="duplicateValues" dxfId="191" priority="206"/>
    <cfRule type="duplicateValues" dxfId="190" priority="207"/>
    <cfRule type="duplicateValues" dxfId="189" priority="208"/>
    <cfRule type="duplicateValues" dxfId="188" priority="209"/>
  </conditionalFormatting>
  <conditionalFormatting sqref="D965:D968">
    <cfRule type="duplicateValues" dxfId="187" priority="178"/>
    <cfRule type="duplicateValues" dxfId="186" priority="179"/>
    <cfRule type="duplicateValues" dxfId="185" priority="180"/>
    <cfRule type="duplicateValues" dxfId="184" priority="181"/>
    <cfRule type="duplicateValues" dxfId="183" priority="182"/>
    <cfRule type="duplicateValues" dxfId="182" priority="183"/>
    <cfRule type="duplicateValues" dxfId="181" priority="184"/>
    <cfRule type="duplicateValues" dxfId="180" priority="185"/>
    <cfRule type="duplicateValues" dxfId="179" priority="186"/>
    <cfRule type="duplicateValues" dxfId="178" priority="187"/>
    <cfRule type="duplicateValues" dxfId="177" priority="188"/>
    <cfRule type="duplicateValues" dxfId="176" priority="189"/>
    <cfRule type="duplicateValues" dxfId="175" priority="190"/>
    <cfRule type="duplicateValues" dxfId="174" priority="191"/>
    <cfRule type="duplicateValues" dxfId="173" priority="192"/>
    <cfRule type="duplicateValues" dxfId="172" priority="193"/>
  </conditionalFormatting>
  <conditionalFormatting sqref="D969:D972">
    <cfRule type="duplicateValues" dxfId="171" priority="162"/>
    <cfRule type="duplicateValues" dxfId="170" priority="163"/>
    <cfRule type="duplicateValues" dxfId="169" priority="164"/>
    <cfRule type="duplicateValues" dxfId="168" priority="165"/>
    <cfRule type="duplicateValues" dxfId="167" priority="166"/>
    <cfRule type="duplicateValues" dxfId="166" priority="167"/>
    <cfRule type="duplicateValues" dxfId="165" priority="168"/>
    <cfRule type="duplicateValues" dxfId="164" priority="169"/>
    <cfRule type="duplicateValues" dxfId="163" priority="170"/>
    <cfRule type="duplicateValues" dxfId="162" priority="171"/>
    <cfRule type="duplicateValues" dxfId="161" priority="172"/>
    <cfRule type="duplicateValues" dxfId="160" priority="173"/>
    <cfRule type="duplicateValues" dxfId="159" priority="174"/>
    <cfRule type="duplicateValues" dxfId="158" priority="175"/>
    <cfRule type="duplicateValues" dxfId="157" priority="176"/>
    <cfRule type="duplicateValues" dxfId="156" priority="177"/>
  </conditionalFormatting>
  <conditionalFormatting sqref="D973:D978">
    <cfRule type="duplicateValues" dxfId="155" priority="145"/>
    <cfRule type="duplicateValues" dxfId="154" priority="146"/>
    <cfRule type="duplicateValues" dxfId="153" priority="147"/>
    <cfRule type="duplicateValues" dxfId="152" priority="148"/>
    <cfRule type="duplicateValues" dxfId="151" priority="149"/>
    <cfRule type="duplicateValues" dxfId="150" priority="150"/>
    <cfRule type="duplicateValues" dxfId="149" priority="151"/>
    <cfRule type="duplicateValues" dxfId="148" priority="152"/>
    <cfRule type="duplicateValues" dxfId="147" priority="153"/>
    <cfRule type="duplicateValues" dxfId="146" priority="154"/>
    <cfRule type="duplicateValues" dxfId="145" priority="155"/>
    <cfRule type="duplicateValues" dxfId="144" priority="156"/>
    <cfRule type="duplicateValues" dxfId="143" priority="157"/>
    <cfRule type="duplicateValues" dxfId="142" priority="158"/>
    <cfRule type="duplicateValues" dxfId="141" priority="159"/>
    <cfRule type="duplicateValues" dxfId="140" priority="160"/>
    <cfRule type="duplicateValues" dxfId="139" priority="161"/>
  </conditionalFormatting>
  <conditionalFormatting sqref="D979:D981">
    <cfRule type="duplicateValues" dxfId="138" priority="128"/>
    <cfRule type="duplicateValues" dxfId="137" priority="129"/>
    <cfRule type="duplicateValues" dxfId="136" priority="130"/>
    <cfRule type="duplicateValues" dxfId="135" priority="131"/>
    <cfRule type="duplicateValues" dxfId="134" priority="132"/>
    <cfRule type="duplicateValues" dxfId="133" priority="133"/>
    <cfRule type="duplicateValues" dxfId="132" priority="134"/>
    <cfRule type="duplicateValues" dxfId="131" priority="135"/>
    <cfRule type="duplicateValues" dxfId="130" priority="136"/>
    <cfRule type="duplicateValues" dxfId="129" priority="137"/>
    <cfRule type="duplicateValues" dxfId="128" priority="138"/>
    <cfRule type="duplicateValues" dxfId="127" priority="139"/>
    <cfRule type="duplicateValues" dxfId="126" priority="140"/>
    <cfRule type="duplicateValues" dxfId="125" priority="141"/>
    <cfRule type="duplicateValues" dxfId="124" priority="142"/>
    <cfRule type="duplicateValues" dxfId="123" priority="143"/>
    <cfRule type="duplicateValues" dxfId="122" priority="144"/>
  </conditionalFormatting>
  <conditionalFormatting sqref="D1012:D1014"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  <cfRule type="duplicateValues" dxfId="112" priority="120"/>
    <cfRule type="duplicateValues" dxfId="111" priority="121"/>
    <cfRule type="duplicateValues" dxfId="110" priority="122"/>
    <cfRule type="duplicateValues" dxfId="109" priority="123"/>
    <cfRule type="duplicateValues" dxfId="108" priority="124"/>
    <cfRule type="duplicateValues" dxfId="107" priority="125"/>
    <cfRule type="duplicateValues" dxfId="106" priority="126"/>
    <cfRule type="duplicateValues" dxfId="105" priority="127"/>
  </conditionalFormatting>
  <conditionalFormatting sqref="D1049:D1071">
    <cfRule type="duplicateValues" dxfId="104" priority="22"/>
    <cfRule type="duplicateValues" dxfId="103" priority="23"/>
    <cfRule type="duplicateValues" dxfId="102" priority="24"/>
    <cfRule type="duplicateValues" dxfId="101" priority="25"/>
    <cfRule type="duplicateValues" dxfId="100" priority="26"/>
    <cfRule type="duplicateValues" dxfId="99" priority="27"/>
    <cfRule type="duplicateValues" dxfId="98" priority="28"/>
    <cfRule type="duplicateValues" dxfId="97" priority="29"/>
    <cfRule type="duplicateValues" dxfId="96" priority="30"/>
    <cfRule type="duplicateValues" dxfId="95" priority="31"/>
    <cfRule type="duplicateValues" dxfId="94" priority="32"/>
    <cfRule type="duplicateValues" dxfId="93" priority="33"/>
    <cfRule type="duplicateValues" dxfId="92" priority="34"/>
    <cfRule type="duplicateValues" dxfId="91" priority="35"/>
  </conditionalFormatting>
  <conditionalFormatting sqref="D1339:D1048576">
    <cfRule type="duplicateValues" dxfId="90" priority="109"/>
    <cfRule type="duplicateValues" dxfId="89" priority="110"/>
  </conditionalFormatting>
  <conditionalFormatting sqref="I1072:I1075">
    <cfRule type="duplicateValues" dxfId="88" priority="21"/>
  </conditionalFormatting>
  <conditionalFormatting sqref="I1076:I1109">
    <cfRule type="duplicateValues" dxfId="87" priority="20"/>
  </conditionalFormatting>
  <conditionalFormatting sqref="I1110:I1118">
    <cfRule type="duplicateValues" dxfId="86" priority="19"/>
  </conditionalFormatting>
  <conditionalFormatting sqref="I1143:I1148">
    <cfRule type="duplicateValues" dxfId="85" priority="15"/>
  </conditionalFormatting>
  <conditionalFormatting sqref="I1168:I1174">
    <cfRule type="duplicateValues" dxfId="84" priority="14"/>
  </conditionalFormatting>
  <conditionalFormatting sqref="I1176:I1177">
    <cfRule type="duplicateValues" dxfId="83" priority="13"/>
  </conditionalFormatting>
  <conditionalFormatting sqref="I1193:I1258">
    <cfRule type="duplicateValues" dxfId="82" priority="10"/>
  </conditionalFormatting>
  <conditionalFormatting sqref="I1259:I1264">
    <cfRule type="duplicateValues" dxfId="81" priority="9"/>
  </conditionalFormatting>
  <conditionalFormatting sqref="I1265:I1307">
    <cfRule type="duplicateValues" dxfId="80" priority="7"/>
    <cfRule type="duplicateValues" dxfId="79" priority="8"/>
  </conditionalFormatting>
  <conditionalFormatting sqref="D1339:D1048576 D1:D212">
    <cfRule type="duplicateValues" dxfId="78" priority="105"/>
    <cfRule type="duplicateValues" dxfId="77" priority="106"/>
    <cfRule type="duplicateValues" dxfId="76" priority="107"/>
    <cfRule type="duplicateValues" dxfId="75" priority="108"/>
  </conditionalFormatting>
  <conditionalFormatting sqref="D1339:D1048576 D1:D212 D891">
    <cfRule type="duplicateValues" dxfId="74" priority="104"/>
  </conditionalFormatting>
  <conditionalFormatting sqref="D1339:D1048576 D1:D840 D891:D894 D1001 D932 D898:D900 D987 D1004:D1006">
    <cfRule type="duplicateValues" dxfId="73" priority="103"/>
  </conditionalFormatting>
  <conditionalFormatting sqref="D1339:D1048576 D1:D842 D891:D894 D1001 D932 D898:D900 D987 D1004:D1006">
    <cfRule type="duplicateValues" dxfId="72" priority="99"/>
    <cfRule type="duplicateValues" dxfId="71" priority="100"/>
    <cfRule type="duplicateValues" dxfId="70" priority="101"/>
    <cfRule type="duplicateValues" dxfId="69" priority="102"/>
  </conditionalFormatting>
  <conditionalFormatting sqref="D1339:D1048576 D982 D1:D961 D987 D1000:D1034">
    <cfRule type="duplicateValues" dxfId="68" priority="98"/>
  </conditionalFormatting>
  <conditionalFormatting sqref="D1339:D1048576 D982 D1015 D1:D909 D932 D987 D1017:D1034 D1000:D1011">
    <cfRule type="duplicateValues" dxfId="67" priority="97"/>
  </conditionalFormatting>
  <conditionalFormatting sqref="D1339:D1048576 D982 D1015 D1:D920 D932 D987 D1017:D1034 D1000:D1011">
    <cfRule type="duplicateValues" dxfId="66" priority="96"/>
  </conditionalFormatting>
  <conditionalFormatting sqref="D1339:D1048576 D982 D1015 D891:D894 D888 D1:D842 D1001 D898:D900 D932 D1004:D1011 D987 D1017:D1034">
    <cfRule type="duplicateValues" dxfId="65" priority="94"/>
    <cfRule type="duplicateValues" dxfId="64" priority="95"/>
  </conditionalFormatting>
  <conditionalFormatting sqref="D1339:D1048576 D982 D1015 D891:D894 D888 D1:D852 D1001 D898:D900 D932 D1004:D1011 D987 D1017:D1034">
    <cfRule type="duplicateValues" dxfId="63" priority="93"/>
  </conditionalFormatting>
  <conditionalFormatting sqref="D1339:D1048576 D982 D1015 D891:D894 D888 D1:D866 D1001 D898:D900 D932 D1004:D1011 D987 D1017:D1034">
    <cfRule type="duplicateValues" dxfId="62" priority="92"/>
  </conditionalFormatting>
  <conditionalFormatting sqref="D1339:D1048576 D982 D1:D972 D987 D1000:D1035">
    <cfRule type="duplicateValues" dxfId="61" priority="91"/>
  </conditionalFormatting>
  <conditionalFormatting sqref="D1339:D1048576 D1:D1048">
    <cfRule type="duplicateValues" dxfId="60" priority="49"/>
  </conditionalFormatting>
  <conditionalFormatting sqref="D1:D1166 D1339:D1048576">
    <cfRule type="duplicateValues" dxfId="59" priority="17"/>
    <cfRule type="duplicateValues" dxfId="58" priority="18"/>
  </conditionalFormatting>
  <conditionalFormatting sqref="D1015 D982 D888 D1007:D1011 D1017:D1034">
    <cfRule type="duplicateValues" dxfId="57" priority="80"/>
    <cfRule type="duplicateValues" dxfId="56" priority="81"/>
    <cfRule type="duplicateValues" dxfId="55" priority="82"/>
    <cfRule type="duplicateValues" dxfId="54" priority="83"/>
    <cfRule type="duplicateValues" dxfId="53" priority="84"/>
    <cfRule type="duplicateValues" dxfId="52" priority="85"/>
    <cfRule type="duplicateValues" dxfId="51" priority="86"/>
    <cfRule type="duplicateValues" dxfId="50" priority="87"/>
    <cfRule type="duplicateValues" dxfId="49" priority="88"/>
    <cfRule type="duplicateValues" dxfId="48" priority="89"/>
    <cfRule type="duplicateValues" dxfId="47" priority="90"/>
  </conditionalFormatting>
  <conditionalFormatting sqref="D1001 D892:D894 D932 D898:D900 D987 D1004:D1006">
    <cfRule type="duplicateValues" dxfId="46" priority="76"/>
    <cfRule type="duplicateValues" dxfId="45" priority="77"/>
    <cfRule type="duplicateValues" dxfId="44" priority="78"/>
    <cfRule type="duplicateValues" dxfId="43" priority="79"/>
  </conditionalFormatting>
  <conditionalFormatting sqref="D1036:D1045 D984:D986">
    <cfRule type="duplicateValues" dxfId="42" priority="63"/>
    <cfRule type="duplicateValues" dxfId="41" priority="64"/>
    <cfRule type="duplicateValues" dxfId="40" priority="65"/>
    <cfRule type="duplicateValues" dxfId="39" priority="66"/>
    <cfRule type="duplicateValues" dxfId="38" priority="67"/>
    <cfRule type="duplicateValues" dxfId="37" priority="68"/>
    <cfRule type="duplicateValues" dxfId="36" priority="69"/>
    <cfRule type="duplicateValues" dxfId="35" priority="70"/>
    <cfRule type="duplicateValues" dxfId="34" priority="71"/>
    <cfRule type="duplicateValues" dxfId="33" priority="72"/>
    <cfRule type="duplicateValues" dxfId="32" priority="73"/>
    <cfRule type="duplicateValues" dxfId="31" priority="74"/>
    <cfRule type="duplicateValues" dxfId="30" priority="75"/>
  </conditionalFormatting>
  <conditionalFormatting sqref="D1046 D988">
    <cfRule type="duplicateValues" dxfId="29" priority="50"/>
    <cfRule type="duplicateValues" dxfId="28" priority="51"/>
    <cfRule type="duplicateValues" dxfId="27" priority="52"/>
    <cfRule type="duplicateValues" dxfId="26" priority="53"/>
    <cfRule type="duplicateValues" dxfId="25" priority="54"/>
    <cfRule type="duplicateValues" dxfId="24" priority="55"/>
    <cfRule type="duplicateValues" dxfId="23" priority="56"/>
    <cfRule type="duplicateValues" dxfId="22" priority="57"/>
    <cfRule type="duplicateValues" dxfId="21" priority="58"/>
    <cfRule type="duplicateValues" dxfId="20" priority="59"/>
    <cfRule type="duplicateValues" dxfId="19" priority="60"/>
    <cfRule type="duplicateValues" dxfId="18" priority="61"/>
    <cfRule type="duplicateValues" dxfId="17" priority="62"/>
  </conditionalFormatting>
  <conditionalFormatting sqref="D1047:D1048 D989:D999">
    <cfRule type="duplicateValues" dxfId="16" priority="36"/>
    <cfRule type="duplicateValues" dxfId="15" priority="37"/>
    <cfRule type="duplicateValues" dxfId="14" priority="38"/>
    <cfRule type="duplicateValues" dxfId="13" priority="39"/>
    <cfRule type="duplicateValues" dxfId="12" priority="40"/>
    <cfRule type="duplicateValues" dxfId="11" priority="41"/>
    <cfRule type="duplicateValues" dxfId="10" priority="42"/>
    <cfRule type="duplicateValues" dxfId="9" priority="43"/>
    <cfRule type="duplicateValues" dxfId="8" priority="44"/>
    <cfRule type="duplicateValues" dxfId="7" priority="45"/>
    <cfRule type="duplicateValues" dxfId="6" priority="46"/>
    <cfRule type="duplicateValues" dxfId="5" priority="47"/>
    <cfRule type="duplicateValues" dxfId="4" priority="48"/>
  </conditionalFormatting>
  <conditionalFormatting sqref="I1149:I1166 I1119:I1142">
    <cfRule type="duplicateValues" dxfId="3" priority="16"/>
  </conditionalFormatting>
  <conditionalFormatting sqref="I1167 I1178:I1192">
    <cfRule type="duplicateValues" dxfId="2" priority="11"/>
  </conditionalFormatting>
  <conditionalFormatting sqref="I1308:I1338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DIP计划</vt:lpstr>
      <vt:lpstr>配料明细</vt:lpstr>
      <vt:lpstr>返工工单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鲁倩</dc:creator>
  <cp:lastModifiedBy>高睿</cp:lastModifiedBy>
  <cp:lastPrinted>2026-01-09T03:46:00Z</cp:lastPrinted>
  <dcterms:created xsi:type="dcterms:W3CDTF">2015-06-05T18:19:00Z</dcterms:created>
  <dcterms:modified xsi:type="dcterms:W3CDTF">2026-04-30T08:50:17Z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6CBC3DE3AE2942E1BDA1A18788C0CD0C_13</vt:lpwstr>
  </property>
</Properties>
</file>